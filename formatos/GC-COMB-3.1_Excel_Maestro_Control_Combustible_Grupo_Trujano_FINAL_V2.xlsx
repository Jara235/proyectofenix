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D05919E9-0E78-45EF-AF3B-CEB1C091F599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Resumen_Ejecutivo_Copia" sheetId="30" r:id="rId1"/>
    <sheet name="Dashboard_Copia" sheetId="29" r:id="rId2"/>
    <sheet name="Base_Datos" sheetId="28" r:id="rId3"/>
    <sheet name="Dashboard" sheetId="17" r:id="rId4"/>
    <sheet name="Conciliacion_Auditoria" sheetId="21" r:id="rId5"/>
    <sheet name="Captura_Pegaso" sheetId="2" r:id="rId6"/>
    <sheet name="Captura_Obra" sheetId="4" r:id="rId7"/>
    <sheet name="Captura_Marimba_M01" sheetId="3" r:id="rId8"/>
    <sheet name="Captura_Jalisco" sheetId="13" r:id="rId9"/>
    <sheet name="Solicitudes" sheetId="10" r:id="rId10"/>
    <sheet name="Captura_Horas" sheetId="20" r:id="rId11"/>
    <sheet name="Catalogos" sheetId="6" r:id="rId12"/>
    <sheet name="Maquinaria_Inventario" sheetId="18" r:id="rId13"/>
    <sheet name="Captura_Facturas_Mobil" sheetId="22" r:id="rId14"/>
    <sheet name="Dashboard_Ejecutivo" sheetId="11" r:id="rId15"/>
    <sheet name="Estados_Cuenta_Mobil" sheetId="24" r:id="rId16"/>
    <sheet name="Captura_Gasolina" sheetId="26" r:id="rId17"/>
    <sheet name="Resumen_Ejecutivo" sheetId="27" r:id="rId18"/>
  </sheets>
  <definedNames>
    <definedName name="_xlnm._FilterDatabase" localSheetId="6" hidden="1">Captura_Obra!$A$4:$O$307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8" l="1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8" i="28"/>
  <c r="A309" i="28"/>
  <c r="A310" i="28"/>
  <c r="A311" i="28"/>
  <c r="A312" i="28"/>
  <c r="A313" i="28"/>
  <c r="A314" i="28"/>
  <c r="A315" i="28"/>
  <c r="A316" i="28"/>
  <c r="A317" i="28"/>
  <c r="A318" i="28"/>
  <c r="A319" i="28"/>
  <c r="A320" i="28"/>
  <c r="A321" i="28"/>
  <c r="A322" i="28"/>
  <c r="A323" i="28"/>
  <c r="A324" i="28"/>
  <c r="A325" i="28"/>
  <c r="A326" i="28"/>
  <c r="A327" i="28"/>
  <c r="A328" i="28"/>
  <c r="A329" i="28"/>
  <c r="A330" i="28"/>
  <c r="A331" i="28"/>
  <c r="A332" i="28"/>
  <c r="A333" i="28"/>
  <c r="A334" i="28"/>
  <c r="A335" i="28"/>
  <c r="A336" i="28"/>
  <c r="A337" i="28"/>
  <c r="A338" i="28"/>
  <c r="A339" i="28"/>
  <c r="A340" i="28"/>
  <c r="A341" i="28"/>
  <c r="A342" i="28"/>
  <c r="A343" i="28"/>
  <c r="A344" i="28"/>
  <c r="A345" i="28"/>
  <c r="A346" i="28"/>
  <c r="A347" i="28"/>
  <c r="A348" i="28"/>
  <c r="A349" i="28"/>
  <c r="A350" i="28"/>
  <c r="A351" i="28"/>
  <c r="A352" i="28"/>
  <c r="A353" i="28"/>
  <c r="A354" i="28"/>
  <c r="A355" i="28"/>
  <c r="A356" i="28"/>
  <c r="A357" i="28"/>
  <c r="A358" i="28"/>
  <c r="A359" i="28"/>
  <c r="A360" i="28"/>
  <c r="A361" i="28"/>
  <c r="A362" i="28"/>
  <c r="A363" i="28"/>
  <c r="A364" i="28"/>
  <c r="A365" i="28"/>
  <c r="A366" i="28"/>
  <c r="A367" i="28"/>
  <c r="A368" i="28"/>
  <c r="A369" i="28"/>
  <c r="A370" i="28"/>
  <c r="A371" i="28"/>
  <c r="A372" i="28"/>
  <c r="A373" i="28"/>
  <c r="A374" i="28"/>
  <c r="A375" i="28"/>
  <c r="A376" i="28"/>
  <c r="A377" i="28"/>
  <c r="A378" i="28"/>
  <c r="A379" i="28"/>
  <c r="A380" i="28"/>
  <c r="A381" i="28"/>
  <c r="A382" i="28"/>
  <c r="A383" i="28"/>
  <c r="A384" i="28"/>
  <c r="A385" i="28"/>
  <c r="A386" i="28"/>
  <c r="A387" i="28"/>
  <c r="A388" i="28"/>
  <c r="A389" i="28"/>
  <c r="A390" i="28"/>
  <c r="A391" i="28"/>
  <c r="A392" i="28"/>
  <c r="A393" i="28"/>
  <c r="A394" i="28"/>
  <c r="A395" i="28"/>
  <c r="A396" i="28"/>
  <c r="A397" i="28"/>
  <c r="A398" i="28"/>
  <c r="A399" i="28"/>
  <c r="A400" i="28"/>
  <c r="A401" i="28"/>
  <c r="A402" i="28"/>
  <c r="A403" i="28"/>
  <c r="A404" i="28"/>
  <c r="A405" i="28"/>
  <c r="A406" i="28"/>
  <c r="A407" i="28"/>
  <c r="A408" i="28"/>
  <c r="A409" i="28"/>
  <c r="A410" i="28"/>
  <c r="A411" i="28"/>
  <c r="A412" i="28"/>
  <c r="A413" i="28"/>
  <c r="A414" i="28"/>
  <c r="A415" i="28"/>
  <c r="A416" i="28"/>
  <c r="A417" i="28"/>
  <c r="A418" i="28"/>
  <c r="A419" i="28"/>
  <c r="A420" i="28"/>
  <c r="A421" i="28"/>
  <c r="A422" i="28"/>
  <c r="A423" i="28"/>
  <c r="A424" i="28"/>
  <c r="A425" i="28"/>
  <c r="A426" i="28"/>
  <c r="A427" i="28"/>
  <c r="A428" i="28"/>
  <c r="A429" i="28"/>
  <c r="A430" i="28"/>
  <c r="A431" i="28"/>
  <c r="A432" i="28"/>
  <c r="A433" i="28"/>
  <c r="A434" i="28"/>
  <c r="A435" i="28"/>
  <c r="A436" i="28"/>
  <c r="A437" i="28"/>
  <c r="A438" i="28"/>
  <c r="A439" i="28"/>
  <c r="A440" i="28"/>
  <c r="A441" i="28"/>
  <c r="A442" i="28"/>
  <c r="A443" i="28"/>
  <c r="A444" i="28"/>
  <c r="A445" i="28"/>
  <c r="A446" i="28"/>
  <c r="A447" i="28"/>
  <c r="A448" i="28"/>
  <c r="A449" i="28"/>
  <c r="A450" i="28"/>
  <c r="A451" i="28"/>
  <c r="A452" i="28"/>
  <c r="A453" i="28"/>
  <c r="A454" i="28"/>
  <c r="A455" i="28"/>
  <c r="A456" i="28"/>
  <c r="A457" i="28"/>
  <c r="A458" i="28"/>
  <c r="A459" i="28"/>
  <c r="A460" i="28"/>
  <c r="A461" i="28"/>
  <c r="A462" i="28"/>
  <c r="A463" i="28"/>
  <c r="A464" i="28"/>
  <c r="A465" i="28"/>
  <c r="A466" i="28"/>
  <c r="A467" i="28"/>
  <c r="A468" i="28"/>
  <c r="A469" i="28"/>
  <c r="A470" i="28"/>
  <c r="A471" i="28"/>
  <c r="A472" i="28"/>
  <c r="A473" i="28"/>
  <c r="A474" i="28"/>
  <c r="A475" i="28"/>
  <c r="A476" i="28"/>
  <c r="A477" i="28"/>
  <c r="A478" i="28"/>
  <c r="A479" i="28"/>
  <c r="A480" i="28"/>
  <c r="A481" i="28"/>
  <c r="A482" i="28"/>
  <c r="A483" i="28"/>
  <c r="A484" i="28"/>
  <c r="A485" i="28"/>
  <c r="A486" i="28"/>
  <c r="A487" i="28"/>
  <c r="A488" i="28"/>
  <c r="A489" i="28"/>
  <c r="A490" i="28"/>
  <c r="A491" i="28"/>
  <c r="A492" i="28"/>
  <c r="A493" i="28"/>
  <c r="A494" i="28"/>
  <c r="A495" i="28"/>
  <c r="A496" i="28"/>
  <c r="A497" i="28"/>
  <c r="A498" i="28"/>
  <c r="A499" i="28"/>
  <c r="A500" i="28"/>
  <c r="A501" i="28"/>
  <c r="A502" i="28"/>
  <c r="A503" i="28"/>
  <c r="A504" i="28"/>
  <c r="A505" i="28"/>
  <c r="A506" i="28"/>
  <c r="A507" i="28"/>
  <c r="A508" i="28"/>
  <c r="A509" i="28"/>
  <c r="A510" i="28"/>
  <c r="A511" i="28"/>
  <c r="A512" i="28"/>
  <c r="A513" i="28"/>
  <c r="A514" i="28"/>
  <c r="A515" i="28"/>
  <c r="A516" i="28"/>
  <c r="A517" i="28"/>
  <c r="A518" i="28"/>
  <c r="A519" i="28"/>
  <c r="A520" i="28"/>
  <c r="A521" i="28"/>
  <c r="A522" i="28"/>
  <c r="A523" i="28"/>
  <c r="A524" i="28"/>
  <c r="A525" i="28"/>
  <c r="A526" i="28"/>
  <c r="A527" i="28"/>
  <c r="A528" i="28"/>
  <c r="A529" i="28"/>
  <c r="A530" i="28"/>
  <c r="A531" i="28"/>
  <c r="A532" i="28"/>
  <c r="A533" i="28"/>
  <c r="A534" i="28"/>
  <c r="A535" i="28"/>
  <c r="A536" i="28"/>
  <c r="A537" i="28"/>
  <c r="A538" i="28"/>
  <c r="A539" i="28"/>
  <c r="A540" i="28"/>
  <c r="A541" i="28"/>
  <c r="A542" i="28"/>
  <c r="A543" i="28"/>
  <c r="A544" i="28"/>
  <c r="A545" i="28"/>
  <c r="A546" i="28"/>
  <c r="A547" i="28"/>
  <c r="A548" i="28"/>
  <c r="A549" i="28"/>
  <c r="A550" i="28"/>
  <c r="A551" i="28"/>
  <c r="A552" i="28"/>
  <c r="A553" i="28"/>
  <c r="A554" i="28"/>
  <c r="A555" i="28"/>
  <c r="A556" i="28"/>
  <c r="A557" i="28"/>
  <c r="A558" i="28"/>
  <c r="A559" i="28"/>
  <c r="A560" i="28"/>
  <c r="A561" i="28"/>
  <c r="A562" i="28"/>
  <c r="A563" i="28"/>
  <c r="A564" i="28"/>
  <c r="A565" i="28"/>
  <c r="A566" i="28"/>
  <c r="A567" i="28"/>
  <c r="A568" i="28"/>
  <c r="A569" i="28"/>
  <c r="A570" i="28"/>
  <c r="A571" i="28"/>
  <c r="A572" i="28"/>
  <c r="A573" i="28"/>
  <c r="A574" i="28"/>
  <c r="A575" i="28"/>
  <c r="A576" i="28"/>
  <c r="A577" i="28"/>
  <c r="A578" i="28"/>
  <c r="A579" i="28"/>
  <c r="A580" i="28"/>
  <c r="A581" i="28"/>
  <c r="A582" i="28"/>
  <c r="A583" i="28"/>
  <c r="A584" i="28"/>
  <c r="A585" i="28"/>
  <c r="A586" i="28"/>
  <c r="A587" i="28"/>
  <c r="A588" i="28"/>
  <c r="A589" i="28"/>
  <c r="A590" i="28"/>
  <c r="A591" i="28"/>
  <c r="A592" i="28"/>
  <c r="A593" i="28"/>
  <c r="A594" i="28"/>
  <c r="A595" i="28"/>
  <c r="A596" i="28"/>
  <c r="A597" i="28"/>
  <c r="A598" i="28"/>
  <c r="A599" i="28"/>
  <c r="A600" i="28"/>
  <c r="A601" i="28"/>
  <c r="A602" i="28"/>
  <c r="A603" i="28"/>
  <c r="A604" i="28"/>
  <c r="A605" i="28"/>
  <c r="A606" i="28"/>
  <c r="A607" i="28"/>
  <c r="A608" i="28"/>
  <c r="A609" i="28"/>
  <c r="A610" i="28"/>
  <c r="A611" i="28"/>
  <c r="A612" i="28"/>
  <c r="A613" i="28"/>
  <c r="A614" i="28"/>
  <c r="A615" i="28"/>
  <c r="A616" i="28"/>
  <c r="A617" i="28"/>
  <c r="A618" i="28"/>
  <c r="A619" i="28"/>
  <c r="A620" i="28"/>
  <c r="A621" i="28"/>
  <c r="A622" i="28"/>
  <c r="A623" i="28"/>
  <c r="A624" i="28"/>
  <c r="A625" i="28"/>
  <c r="A626" i="28"/>
  <c r="A627" i="28"/>
  <c r="A628" i="28"/>
  <c r="A629" i="28"/>
  <c r="A630" i="28"/>
  <c r="A631" i="28"/>
  <c r="A632" i="28"/>
  <c r="A633" i="28"/>
  <c r="A634" i="28"/>
  <c r="A635" i="28"/>
  <c r="A636" i="28"/>
  <c r="A637" i="28"/>
  <c r="A638" i="28"/>
  <c r="A639" i="28"/>
  <c r="A640" i="28"/>
  <c r="A641" i="28"/>
  <c r="A642" i="28"/>
  <c r="A643" i="28"/>
  <c r="A644" i="28"/>
  <c r="A645" i="28"/>
  <c r="A646" i="28"/>
  <c r="A647" i="28"/>
  <c r="A648" i="28"/>
  <c r="A649" i="28"/>
  <c r="A650" i="28"/>
  <c r="A651" i="28"/>
  <c r="A652" i="28"/>
  <c r="A653" i="28"/>
  <c r="A654" i="28"/>
  <c r="A655" i="28"/>
  <c r="A656" i="28"/>
  <c r="A657" i="28"/>
  <c r="A658" i="28"/>
  <c r="A659" i="28"/>
  <c r="A660" i="28"/>
  <c r="A661" i="28"/>
  <c r="A662" i="28"/>
  <c r="A663" i="28"/>
  <c r="A664" i="28"/>
  <c r="A665" i="28"/>
  <c r="A666" i="28"/>
  <c r="A667" i="28"/>
  <c r="A668" i="28"/>
  <c r="A669" i="28"/>
  <c r="A670" i="28"/>
  <c r="A671" i="28"/>
  <c r="A672" i="28"/>
  <c r="A673" i="28"/>
  <c r="A674" i="28"/>
  <c r="A675" i="28"/>
  <c r="A676" i="28"/>
  <c r="A677" i="28"/>
  <c r="A678" i="28"/>
  <c r="A679" i="28"/>
  <c r="A680" i="28"/>
  <c r="A681" i="28"/>
  <c r="A682" i="28"/>
  <c r="A683" i="28"/>
  <c r="A684" i="28"/>
  <c r="A685" i="28"/>
  <c r="A686" i="28"/>
  <c r="A687" i="28"/>
  <c r="A688" i="28"/>
  <c r="A689" i="28"/>
  <c r="A690" i="28"/>
  <c r="A691" i="28"/>
  <c r="A692" i="28"/>
  <c r="A693" i="28"/>
  <c r="A694" i="28"/>
  <c r="A695" i="28"/>
  <c r="A696" i="28"/>
  <c r="A697" i="28"/>
  <c r="A698" i="28"/>
  <c r="A699" i="28"/>
  <c r="A700" i="28"/>
  <c r="A701" i="28"/>
  <c r="A702" i="28"/>
  <c r="A703" i="28"/>
  <c r="A704" i="28"/>
  <c r="A705" i="28"/>
  <c r="A706" i="28"/>
  <c r="A707" i="28"/>
  <c r="A708" i="28"/>
  <c r="A709" i="28"/>
  <c r="A710" i="28"/>
  <c r="A711" i="28"/>
  <c r="A712" i="28"/>
  <c r="A713" i="28"/>
  <c r="A714" i="28"/>
  <c r="A715" i="28"/>
  <c r="A716" i="28"/>
  <c r="A717" i="28"/>
  <c r="A718" i="28"/>
  <c r="A719" i="28"/>
  <c r="A720" i="28"/>
  <c r="A721" i="28"/>
  <c r="A722" i="28"/>
  <c r="A723" i="28"/>
  <c r="A724" i="28"/>
  <c r="A725" i="28"/>
  <c r="A726" i="28"/>
  <c r="A727" i="28"/>
  <c r="A728" i="28"/>
  <c r="A729" i="28"/>
  <c r="A730" i="28"/>
  <c r="A731" i="28"/>
  <c r="A732" i="28"/>
  <c r="A733" i="28"/>
  <c r="A734" i="28"/>
  <c r="A735" i="28"/>
  <c r="A736" i="28"/>
  <c r="A737" i="28"/>
  <c r="A738" i="28"/>
  <c r="A739" i="28"/>
  <c r="A740" i="28"/>
  <c r="A741" i="28"/>
  <c r="A742" i="28"/>
  <c r="A743" i="28"/>
  <c r="A744" i="28"/>
  <c r="A745" i="28"/>
  <c r="A746" i="28"/>
  <c r="A747" i="28"/>
  <c r="A748" i="28"/>
  <c r="A749" i="28"/>
  <c r="A750" i="28"/>
  <c r="A751" i="28"/>
  <c r="A752" i="28"/>
  <c r="A753" i="28"/>
  <c r="A754" i="28"/>
  <c r="A755" i="28"/>
  <c r="A756" i="28"/>
  <c r="A757" i="28"/>
  <c r="A758" i="28"/>
  <c r="A759" i="28"/>
  <c r="A760" i="28"/>
  <c r="A761" i="28"/>
  <c r="A762" i="28"/>
  <c r="A763" i="28"/>
  <c r="E49" i="27"/>
  <c r="H48" i="27"/>
  <c r="E48" i="27"/>
  <c r="D48" i="27"/>
  <c r="C48" i="27"/>
  <c r="I48" i="27" s="1"/>
  <c r="B48" i="27"/>
  <c r="I47" i="27"/>
  <c r="H47" i="27"/>
  <c r="F47" i="27"/>
  <c r="E47" i="27"/>
  <c r="D47" i="27"/>
  <c r="G47" i="27" s="1"/>
  <c r="C47" i="27"/>
  <c r="B47" i="27"/>
  <c r="J46" i="27"/>
  <c r="I46" i="27"/>
  <c r="H46" i="27"/>
  <c r="D46" i="27"/>
  <c r="G46" i="27" s="1"/>
  <c r="C46" i="27"/>
  <c r="B46" i="27"/>
  <c r="J45" i="27"/>
  <c r="I45" i="27"/>
  <c r="H45" i="27"/>
  <c r="D45" i="27"/>
  <c r="G45" i="27" s="1"/>
  <c r="C45" i="27"/>
  <c r="B45" i="27"/>
  <c r="F45" i="27" s="1"/>
  <c r="J44" i="27"/>
  <c r="I44" i="27"/>
  <c r="H44" i="27"/>
  <c r="D44" i="27"/>
  <c r="C44" i="27"/>
  <c r="B44" i="27"/>
  <c r="D38" i="27"/>
  <c r="C38" i="27"/>
  <c r="D37" i="27"/>
  <c r="E37" i="27" s="1"/>
  <c r="D36" i="27"/>
  <c r="E36" i="27" s="1"/>
  <c r="F36" i="27" s="1"/>
  <c r="C36" i="27"/>
  <c r="H31" i="27"/>
  <c r="B31" i="27"/>
  <c r="D30" i="27"/>
  <c r="C30" i="27"/>
  <c r="D29" i="27"/>
  <c r="C29" i="27"/>
  <c r="E29" i="27" s="1"/>
  <c r="I28" i="27"/>
  <c r="I29" i="27" s="1"/>
  <c r="F28" i="27"/>
  <c r="E28" i="27"/>
  <c r="D28" i="27"/>
  <c r="C28" i="27"/>
  <c r="I27" i="27"/>
  <c r="F27" i="27"/>
  <c r="E27" i="27"/>
  <c r="D27" i="27"/>
  <c r="C27" i="27"/>
  <c r="I26" i="27"/>
  <c r="F26" i="27"/>
  <c r="F31" i="27" s="1"/>
  <c r="D26" i="27"/>
  <c r="E26" i="27" s="1"/>
  <c r="C26" i="27"/>
  <c r="B26" i="27"/>
  <c r="H10" i="27"/>
  <c r="D10" i="27"/>
  <c r="D9" i="27"/>
  <c r="D8" i="27"/>
  <c r="M3" i="27"/>
  <c r="M2" i="27"/>
  <c r="J49" i="27" s="1"/>
  <c r="F217" i="26"/>
  <c r="J216" i="26"/>
  <c r="J215" i="26"/>
  <c r="J214" i="26"/>
  <c r="J213" i="26"/>
  <c r="J212" i="26"/>
  <c r="O206" i="26"/>
  <c r="M206" i="26"/>
  <c r="L206" i="26"/>
  <c r="F206" i="26"/>
  <c r="E206" i="26"/>
  <c r="D206" i="26"/>
  <c r="A206" i="26"/>
  <c r="O205" i="26"/>
  <c r="M205" i="26"/>
  <c r="L205" i="26"/>
  <c r="F205" i="26"/>
  <c r="E205" i="26"/>
  <c r="D205" i="26"/>
  <c r="A205" i="26"/>
  <c r="O204" i="26"/>
  <c r="N204" i="26"/>
  <c r="M204" i="26"/>
  <c r="L204" i="26"/>
  <c r="J204" i="26"/>
  <c r="F204" i="26"/>
  <c r="E204" i="26"/>
  <c r="D204" i="26"/>
  <c r="A204" i="26"/>
  <c r="O203" i="26"/>
  <c r="N203" i="26"/>
  <c r="M203" i="26"/>
  <c r="L203" i="26"/>
  <c r="J203" i="26"/>
  <c r="F203" i="26"/>
  <c r="E203" i="26"/>
  <c r="D203" i="26"/>
  <c r="A203" i="26"/>
  <c r="O202" i="26"/>
  <c r="N202" i="26"/>
  <c r="M202" i="26"/>
  <c r="L202" i="26"/>
  <c r="J202" i="26"/>
  <c r="F202" i="26"/>
  <c r="E202" i="26"/>
  <c r="D202" i="26"/>
  <c r="A202" i="26"/>
  <c r="O201" i="26"/>
  <c r="N201" i="26"/>
  <c r="M201" i="26"/>
  <c r="L201" i="26"/>
  <c r="F201" i="26"/>
  <c r="J201" i="26" s="1"/>
  <c r="E201" i="26"/>
  <c r="D201" i="26"/>
  <c r="A201" i="26"/>
  <c r="O200" i="26"/>
  <c r="M200" i="26"/>
  <c r="L200" i="26"/>
  <c r="F200" i="26"/>
  <c r="E200" i="26"/>
  <c r="D200" i="26"/>
  <c r="A200" i="26"/>
  <c r="O199" i="26"/>
  <c r="M199" i="26"/>
  <c r="L199" i="26"/>
  <c r="J199" i="26"/>
  <c r="F199" i="26"/>
  <c r="N199" i="26" s="1"/>
  <c r="E199" i="26"/>
  <c r="D199" i="26"/>
  <c r="A199" i="26"/>
  <c r="O198" i="26"/>
  <c r="M198" i="26"/>
  <c r="L198" i="26"/>
  <c r="J198" i="26"/>
  <c r="F198" i="26"/>
  <c r="N198" i="26" s="1"/>
  <c r="E198" i="26"/>
  <c r="D198" i="26"/>
  <c r="A198" i="26"/>
  <c r="O197" i="26"/>
  <c r="M197" i="26"/>
  <c r="L197" i="26"/>
  <c r="J197" i="26"/>
  <c r="F197" i="26"/>
  <c r="N197" i="26" s="1"/>
  <c r="E197" i="26"/>
  <c r="D197" i="26"/>
  <c r="A197" i="26"/>
  <c r="O196" i="26"/>
  <c r="N196" i="26"/>
  <c r="M196" i="26"/>
  <c r="L196" i="26"/>
  <c r="J196" i="26"/>
  <c r="F196" i="26"/>
  <c r="E196" i="26"/>
  <c r="D196" i="26"/>
  <c r="A196" i="26"/>
  <c r="O195" i="26"/>
  <c r="N195" i="26"/>
  <c r="M195" i="26"/>
  <c r="L195" i="26"/>
  <c r="J195" i="26"/>
  <c r="F195" i="26"/>
  <c r="E195" i="26"/>
  <c r="D195" i="26"/>
  <c r="A195" i="26"/>
  <c r="O194" i="26"/>
  <c r="N194" i="26"/>
  <c r="M194" i="26"/>
  <c r="L194" i="26"/>
  <c r="J194" i="26"/>
  <c r="F194" i="26"/>
  <c r="E194" i="26"/>
  <c r="D194" i="26"/>
  <c r="A194" i="26"/>
  <c r="O193" i="26"/>
  <c r="N193" i="26"/>
  <c r="M193" i="26"/>
  <c r="L193" i="26"/>
  <c r="F193" i="26"/>
  <c r="J193" i="26" s="1"/>
  <c r="E193" i="26"/>
  <c r="D193" i="26"/>
  <c r="A193" i="26"/>
  <c r="O192" i="26"/>
  <c r="M192" i="26"/>
  <c r="L192" i="26"/>
  <c r="F192" i="26"/>
  <c r="E192" i="26"/>
  <c r="D192" i="26"/>
  <c r="A192" i="26"/>
  <c r="O191" i="26"/>
  <c r="M191" i="26"/>
  <c r="L191" i="26"/>
  <c r="J191" i="26"/>
  <c r="F191" i="26"/>
  <c r="N191" i="26" s="1"/>
  <c r="E191" i="26"/>
  <c r="D191" i="26"/>
  <c r="A191" i="26"/>
  <c r="O190" i="26"/>
  <c r="M190" i="26"/>
  <c r="L190" i="26"/>
  <c r="J190" i="26"/>
  <c r="F190" i="26"/>
  <c r="N190" i="26" s="1"/>
  <c r="E190" i="26"/>
  <c r="D190" i="26"/>
  <c r="A190" i="26"/>
  <c r="O189" i="26"/>
  <c r="M189" i="26"/>
  <c r="L189" i="26"/>
  <c r="J189" i="26"/>
  <c r="F189" i="26"/>
  <c r="N189" i="26" s="1"/>
  <c r="E189" i="26"/>
  <c r="D189" i="26"/>
  <c r="A189" i="26"/>
  <c r="O188" i="26"/>
  <c r="N188" i="26"/>
  <c r="M188" i="26"/>
  <c r="L188" i="26"/>
  <c r="J188" i="26"/>
  <c r="F188" i="26"/>
  <c r="E188" i="26"/>
  <c r="D188" i="26"/>
  <c r="A188" i="26"/>
  <c r="O187" i="26"/>
  <c r="N187" i="26"/>
  <c r="M187" i="26"/>
  <c r="L187" i="26"/>
  <c r="J187" i="26"/>
  <c r="F187" i="26"/>
  <c r="E187" i="26"/>
  <c r="D187" i="26"/>
  <c r="A187" i="26"/>
  <c r="O186" i="26"/>
  <c r="N186" i="26"/>
  <c r="M186" i="26"/>
  <c r="L186" i="26"/>
  <c r="J186" i="26"/>
  <c r="F186" i="26"/>
  <c r="E186" i="26"/>
  <c r="D186" i="26"/>
  <c r="A186" i="26"/>
  <c r="O185" i="26"/>
  <c r="N185" i="26"/>
  <c r="M185" i="26"/>
  <c r="L185" i="26"/>
  <c r="F185" i="26"/>
  <c r="J185" i="26" s="1"/>
  <c r="E185" i="26"/>
  <c r="D185" i="26"/>
  <c r="A185" i="26"/>
  <c r="O184" i="26"/>
  <c r="M184" i="26"/>
  <c r="L184" i="26"/>
  <c r="F184" i="26"/>
  <c r="E184" i="26"/>
  <c r="D184" i="26"/>
  <c r="A184" i="26"/>
  <c r="O183" i="26"/>
  <c r="M183" i="26"/>
  <c r="L183" i="26"/>
  <c r="F183" i="26"/>
  <c r="E183" i="26"/>
  <c r="D183" i="26"/>
  <c r="A183" i="26"/>
  <c r="O182" i="26"/>
  <c r="M182" i="26"/>
  <c r="L182" i="26"/>
  <c r="F182" i="26"/>
  <c r="E182" i="26"/>
  <c r="D182" i="26"/>
  <c r="A182" i="26"/>
  <c r="O181" i="26"/>
  <c r="M181" i="26"/>
  <c r="L181" i="26"/>
  <c r="F181" i="26"/>
  <c r="E181" i="26"/>
  <c r="D181" i="26"/>
  <c r="A181" i="26"/>
  <c r="O180" i="26"/>
  <c r="N180" i="26"/>
  <c r="M180" i="26"/>
  <c r="L180" i="26"/>
  <c r="J180" i="26"/>
  <c r="F180" i="26"/>
  <c r="E180" i="26"/>
  <c r="D180" i="26"/>
  <c r="A180" i="26"/>
  <c r="O179" i="26"/>
  <c r="N179" i="26"/>
  <c r="M179" i="26"/>
  <c r="L179" i="26"/>
  <c r="J179" i="26"/>
  <c r="F179" i="26"/>
  <c r="E179" i="26"/>
  <c r="D179" i="26"/>
  <c r="A179" i="26"/>
  <c r="O178" i="26"/>
  <c r="N178" i="26"/>
  <c r="M178" i="26"/>
  <c r="L178" i="26"/>
  <c r="J178" i="26"/>
  <c r="F178" i="26"/>
  <c r="E178" i="26"/>
  <c r="D178" i="26"/>
  <c r="A178" i="26"/>
  <c r="O177" i="26"/>
  <c r="N177" i="26"/>
  <c r="M177" i="26"/>
  <c r="L177" i="26"/>
  <c r="F177" i="26"/>
  <c r="J177" i="26" s="1"/>
  <c r="E177" i="26"/>
  <c r="D177" i="26"/>
  <c r="A177" i="26"/>
  <c r="O176" i="26"/>
  <c r="M176" i="26"/>
  <c r="L176" i="26"/>
  <c r="F176" i="26"/>
  <c r="E176" i="26"/>
  <c r="D176" i="26"/>
  <c r="A176" i="26"/>
  <c r="O175" i="26"/>
  <c r="M175" i="26"/>
  <c r="L175" i="26"/>
  <c r="F175" i="26"/>
  <c r="E175" i="26"/>
  <c r="D175" i="26"/>
  <c r="A175" i="26"/>
  <c r="O174" i="26"/>
  <c r="M174" i="26"/>
  <c r="L174" i="26"/>
  <c r="F174" i="26"/>
  <c r="E174" i="26"/>
  <c r="D174" i="26"/>
  <c r="A174" i="26"/>
  <c r="O173" i="26"/>
  <c r="M173" i="26"/>
  <c r="L173" i="26"/>
  <c r="F173" i="26"/>
  <c r="E173" i="26"/>
  <c r="D173" i="26"/>
  <c r="A173" i="26"/>
  <c r="O172" i="26"/>
  <c r="N172" i="26"/>
  <c r="M172" i="26"/>
  <c r="L172" i="26"/>
  <c r="J172" i="26"/>
  <c r="F172" i="26"/>
  <c r="E172" i="26"/>
  <c r="D172" i="26"/>
  <c r="A172" i="26"/>
  <c r="O171" i="26"/>
  <c r="N171" i="26"/>
  <c r="M171" i="26"/>
  <c r="L171" i="26"/>
  <c r="J171" i="26"/>
  <c r="F171" i="26"/>
  <c r="E171" i="26"/>
  <c r="D171" i="26"/>
  <c r="A171" i="26"/>
  <c r="O170" i="26"/>
  <c r="N170" i="26"/>
  <c r="M170" i="26"/>
  <c r="L170" i="26"/>
  <c r="J170" i="26"/>
  <c r="F170" i="26"/>
  <c r="E170" i="26"/>
  <c r="D170" i="26"/>
  <c r="A170" i="26"/>
  <c r="O169" i="26"/>
  <c r="N169" i="26"/>
  <c r="M169" i="26"/>
  <c r="L169" i="26"/>
  <c r="F169" i="26"/>
  <c r="J169" i="26" s="1"/>
  <c r="E169" i="26"/>
  <c r="D169" i="26"/>
  <c r="A169" i="26"/>
  <c r="O168" i="26"/>
  <c r="M168" i="26"/>
  <c r="L168" i="26"/>
  <c r="F168" i="26"/>
  <c r="E168" i="26"/>
  <c r="D168" i="26"/>
  <c r="A168" i="26"/>
  <c r="O167" i="26"/>
  <c r="M167" i="26"/>
  <c r="L167" i="26"/>
  <c r="F167" i="26"/>
  <c r="N167" i="26" s="1"/>
  <c r="E167" i="26"/>
  <c r="D167" i="26"/>
  <c r="A167" i="26"/>
  <c r="O166" i="26"/>
  <c r="M166" i="26"/>
  <c r="L166" i="26"/>
  <c r="F166" i="26"/>
  <c r="N166" i="26" s="1"/>
  <c r="E166" i="26"/>
  <c r="D166" i="26"/>
  <c r="A166" i="26"/>
  <c r="O165" i="26"/>
  <c r="M165" i="26"/>
  <c r="L165" i="26"/>
  <c r="F165" i="26"/>
  <c r="N165" i="26" s="1"/>
  <c r="E165" i="26"/>
  <c r="D165" i="26"/>
  <c r="A165" i="26"/>
  <c r="O164" i="26"/>
  <c r="N164" i="26"/>
  <c r="M164" i="26"/>
  <c r="L164" i="26"/>
  <c r="J164" i="26"/>
  <c r="F164" i="26"/>
  <c r="E164" i="26"/>
  <c r="D164" i="26"/>
  <c r="A164" i="26"/>
  <c r="O163" i="26"/>
  <c r="N163" i="26"/>
  <c r="M163" i="26"/>
  <c r="L163" i="26"/>
  <c r="J163" i="26"/>
  <c r="F163" i="26"/>
  <c r="E163" i="26"/>
  <c r="D163" i="26"/>
  <c r="A163" i="26"/>
  <c r="O162" i="26"/>
  <c r="N162" i="26"/>
  <c r="M162" i="26"/>
  <c r="L162" i="26"/>
  <c r="J162" i="26"/>
  <c r="F162" i="26"/>
  <c r="E162" i="26"/>
  <c r="D162" i="26"/>
  <c r="A162" i="26"/>
  <c r="O161" i="26"/>
  <c r="N161" i="26"/>
  <c r="M161" i="26"/>
  <c r="L161" i="26"/>
  <c r="F161" i="26"/>
  <c r="J161" i="26" s="1"/>
  <c r="E161" i="26"/>
  <c r="D161" i="26"/>
  <c r="A161" i="26"/>
  <c r="O160" i="26"/>
  <c r="M160" i="26"/>
  <c r="L160" i="26"/>
  <c r="F160" i="26"/>
  <c r="E160" i="26"/>
  <c r="D160" i="26"/>
  <c r="A160" i="26"/>
  <c r="O159" i="26"/>
  <c r="M159" i="26"/>
  <c r="L159" i="26"/>
  <c r="J159" i="26"/>
  <c r="F159" i="26"/>
  <c r="N159" i="26" s="1"/>
  <c r="E159" i="26"/>
  <c r="D159" i="26"/>
  <c r="A159" i="26"/>
  <c r="O158" i="26"/>
  <c r="M158" i="26"/>
  <c r="L158" i="26"/>
  <c r="J158" i="26"/>
  <c r="F158" i="26"/>
  <c r="N158" i="26" s="1"/>
  <c r="E158" i="26"/>
  <c r="D158" i="26"/>
  <c r="A158" i="26"/>
  <c r="O157" i="26"/>
  <c r="M157" i="26"/>
  <c r="L157" i="26"/>
  <c r="J157" i="26"/>
  <c r="F157" i="26"/>
  <c r="N157" i="26" s="1"/>
  <c r="E157" i="26"/>
  <c r="D157" i="26"/>
  <c r="A157" i="26"/>
  <c r="O156" i="26"/>
  <c r="N156" i="26"/>
  <c r="M156" i="26"/>
  <c r="L156" i="26"/>
  <c r="J156" i="26"/>
  <c r="F156" i="26"/>
  <c r="E156" i="26"/>
  <c r="D156" i="26"/>
  <c r="A156" i="26"/>
  <c r="O155" i="26"/>
  <c r="N155" i="26"/>
  <c r="M155" i="26"/>
  <c r="L155" i="26"/>
  <c r="J155" i="26"/>
  <c r="F155" i="26"/>
  <c r="E155" i="26"/>
  <c r="D155" i="26"/>
  <c r="A155" i="26"/>
  <c r="O154" i="26"/>
  <c r="N154" i="26"/>
  <c r="M154" i="26"/>
  <c r="L154" i="26"/>
  <c r="J154" i="26"/>
  <c r="F154" i="26"/>
  <c r="E154" i="26"/>
  <c r="D154" i="26"/>
  <c r="A154" i="26"/>
  <c r="O153" i="26"/>
  <c r="N153" i="26"/>
  <c r="M153" i="26"/>
  <c r="L153" i="26"/>
  <c r="F153" i="26"/>
  <c r="J153" i="26" s="1"/>
  <c r="E153" i="26"/>
  <c r="D153" i="26"/>
  <c r="A153" i="26"/>
  <c r="O152" i="26"/>
  <c r="M152" i="26"/>
  <c r="L152" i="26"/>
  <c r="F152" i="26"/>
  <c r="E152" i="26"/>
  <c r="D152" i="26"/>
  <c r="A152" i="26"/>
  <c r="O151" i="26"/>
  <c r="M151" i="26"/>
  <c r="L151" i="26"/>
  <c r="F151" i="26"/>
  <c r="E151" i="26"/>
  <c r="D151" i="26"/>
  <c r="A151" i="26"/>
  <c r="O150" i="26"/>
  <c r="M150" i="26"/>
  <c r="L150" i="26"/>
  <c r="F150" i="26"/>
  <c r="E150" i="26"/>
  <c r="D150" i="26"/>
  <c r="A150" i="26"/>
  <c r="O149" i="26"/>
  <c r="M149" i="26"/>
  <c r="L149" i="26"/>
  <c r="F149" i="26"/>
  <c r="E149" i="26"/>
  <c r="D149" i="26"/>
  <c r="A149" i="26"/>
  <c r="O148" i="26"/>
  <c r="N148" i="26"/>
  <c r="M148" i="26"/>
  <c r="L148" i="26"/>
  <c r="J148" i="26"/>
  <c r="F148" i="26"/>
  <c r="E148" i="26"/>
  <c r="D148" i="26"/>
  <c r="A148" i="26"/>
  <c r="O147" i="26"/>
  <c r="N147" i="26"/>
  <c r="M147" i="26"/>
  <c r="L147" i="26"/>
  <c r="J147" i="26"/>
  <c r="F147" i="26"/>
  <c r="E147" i="26"/>
  <c r="D147" i="26"/>
  <c r="A147" i="26"/>
  <c r="O146" i="26"/>
  <c r="N146" i="26"/>
  <c r="M146" i="26"/>
  <c r="L146" i="26"/>
  <c r="J146" i="26"/>
  <c r="F146" i="26"/>
  <c r="E146" i="26"/>
  <c r="D146" i="26"/>
  <c r="A146" i="26"/>
  <c r="O145" i="26"/>
  <c r="N145" i="26"/>
  <c r="M145" i="26"/>
  <c r="L145" i="26"/>
  <c r="F145" i="26"/>
  <c r="J145" i="26" s="1"/>
  <c r="E145" i="26"/>
  <c r="D145" i="26"/>
  <c r="A145" i="26"/>
  <c r="O144" i="26"/>
  <c r="M144" i="26"/>
  <c r="L144" i="26"/>
  <c r="F144" i="26"/>
  <c r="E144" i="26"/>
  <c r="D144" i="26"/>
  <c r="A144" i="26"/>
  <c r="O143" i="26"/>
  <c r="M143" i="26"/>
  <c r="L143" i="26"/>
  <c r="F143" i="26"/>
  <c r="E143" i="26"/>
  <c r="D143" i="26"/>
  <c r="A143" i="26"/>
  <c r="O142" i="26"/>
  <c r="M142" i="26"/>
  <c r="L142" i="26"/>
  <c r="F142" i="26"/>
  <c r="E142" i="26"/>
  <c r="D142" i="26"/>
  <c r="A142" i="26"/>
  <c r="O141" i="26"/>
  <c r="M141" i="26"/>
  <c r="L141" i="26"/>
  <c r="F141" i="26"/>
  <c r="E141" i="26"/>
  <c r="D141" i="26"/>
  <c r="A141" i="26"/>
  <c r="O140" i="26"/>
  <c r="N140" i="26"/>
  <c r="M140" i="26"/>
  <c r="L140" i="26"/>
  <c r="J140" i="26"/>
  <c r="F140" i="26"/>
  <c r="E140" i="26"/>
  <c r="D140" i="26"/>
  <c r="A140" i="26"/>
  <c r="O139" i="26"/>
  <c r="N139" i="26"/>
  <c r="M139" i="26"/>
  <c r="L139" i="26"/>
  <c r="J139" i="26"/>
  <c r="F139" i="26"/>
  <c r="E139" i="26"/>
  <c r="D139" i="26"/>
  <c r="A139" i="26"/>
  <c r="O138" i="26"/>
  <c r="N138" i="26"/>
  <c r="M138" i="26"/>
  <c r="L138" i="26"/>
  <c r="J138" i="26"/>
  <c r="F138" i="26"/>
  <c r="E138" i="26"/>
  <c r="D138" i="26"/>
  <c r="A138" i="26"/>
  <c r="O137" i="26"/>
  <c r="N137" i="26"/>
  <c r="M137" i="26"/>
  <c r="L137" i="26"/>
  <c r="F137" i="26"/>
  <c r="J137" i="26" s="1"/>
  <c r="E137" i="26"/>
  <c r="D137" i="26"/>
  <c r="A137" i="26"/>
  <c r="O136" i="26"/>
  <c r="M136" i="26"/>
  <c r="L136" i="26"/>
  <c r="F136" i="26"/>
  <c r="E136" i="26"/>
  <c r="D136" i="26"/>
  <c r="A136" i="26"/>
  <c r="O135" i="26"/>
  <c r="M135" i="26"/>
  <c r="L135" i="26"/>
  <c r="F135" i="26"/>
  <c r="N135" i="26" s="1"/>
  <c r="E135" i="26"/>
  <c r="D135" i="26"/>
  <c r="A135" i="26"/>
  <c r="O134" i="26"/>
  <c r="M134" i="26"/>
  <c r="L134" i="26"/>
  <c r="F134" i="26"/>
  <c r="N134" i="26" s="1"/>
  <c r="E134" i="26"/>
  <c r="D134" i="26"/>
  <c r="A134" i="26"/>
  <c r="O133" i="26"/>
  <c r="M133" i="26"/>
  <c r="L133" i="26"/>
  <c r="F133" i="26"/>
  <c r="N133" i="26" s="1"/>
  <c r="E133" i="26"/>
  <c r="D133" i="26"/>
  <c r="A133" i="26"/>
  <c r="O132" i="26"/>
  <c r="N132" i="26"/>
  <c r="M132" i="26"/>
  <c r="L132" i="26"/>
  <c r="J132" i="26"/>
  <c r="F132" i="26"/>
  <c r="E132" i="26"/>
  <c r="D132" i="26"/>
  <c r="A132" i="26"/>
  <c r="O131" i="26"/>
  <c r="N131" i="26"/>
  <c r="M131" i="26"/>
  <c r="L131" i="26"/>
  <c r="J131" i="26"/>
  <c r="F131" i="26"/>
  <c r="E131" i="26"/>
  <c r="D131" i="26"/>
  <c r="A131" i="26"/>
  <c r="O130" i="26"/>
  <c r="N130" i="26"/>
  <c r="M130" i="26"/>
  <c r="L130" i="26"/>
  <c r="J130" i="26"/>
  <c r="F130" i="26"/>
  <c r="E130" i="26"/>
  <c r="D130" i="26"/>
  <c r="A130" i="26"/>
  <c r="O129" i="26"/>
  <c r="N129" i="26"/>
  <c r="M129" i="26"/>
  <c r="L129" i="26"/>
  <c r="F129" i="26"/>
  <c r="J129" i="26" s="1"/>
  <c r="E129" i="26"/>
  <c r="D129" i="26"/>
  <c r="A129" i="26"/>
  <c r="O128" i="26"/>
  <c r="M128" i="26"/>
  <c r="L128" i="26"/>
  <c r="F128" i="26"/>
  <c r="E128" i="26"/>
  <c r="D128" i="26"/>
  <c r="A128" i="26"/>
  <c r="O127" i="26"/>
  <c r="M127" i="26"/>
  <c r="L127" i="26"/>
  <c r="J127" i="26"/>
  <c r="F127" i="26"/>
  <c r="N127" i="26" s="1"/>
  <c r="E127" i="26"/>
  <c r="D127" i="26"/>
  <c r="A127" i="26"/>
  <c r="O126" i="26"/>
  <c r="M126" i="26"/>
  <c r="L126" i="26"/>
  <c r="J126" i="26"/>
  <c r="F126" i="26"/>
  <c r="N126" i="26" s="1"/>
  <c r="E126" i="26"/>
  <c r="D126" i="26"/>
  <c r="A126" i="26"/>
  <c r="O125" i="26"/>
  <c r="M125" i="26"/>
  <c r="L125" i="26"/>
  <c r="J125" i="26"/>
  <c r="F125" i="26"/>
  <c r="N125" i="26" s="1"/>
  <c r="E125" i="26"/>
  <c r="D125" i="26"/>
  <c r="A125" i="26"/>
  <c r="O124" i="26"/>
  <c r="N124" i="26"/>
  <c r="M124" i="26"/>
  <c r="L124" i="26"/>
  <c r="J124" i="26"/>
  <c r="F124" i="26"/>
  <c r="E124" i="26"/>
  <c r="D124" i="26"/>
  <c r="A124" i="26"/>
  <c r="O123" i="26"/>
  <c r="N123" i="26"/>
  <c r="M123" i="26"/>
  <c r="L123" i="26"/>
  <c r="J123" i="26"/>
  <c r="F123" i="26"/>
  <c r="E123" i="26"/>
  <c r="D123" i="26"/>
  <c r="A123" i="26"/>
  <c r="O122" i="26"/>
  <c r="N122" i="26"/>
  <c r="M122" i="26"/>
  <c r="L122" i="26"/>
  <c r="J122" i="26"/>
  <c r="F122" i="26"/>
  <c r="E122" i="26"/>
  <c r="D122" i="26"/>
  <c r="A122" i="26"/>
  <c r="O121" i="26"/>
  <c r="N121" i="26"/>
  <c r="M121" i="26"/>
  <c r="L121" i="26"/>
  <c r="F121" i="26"/>
  <c r="J121" i="26" s="1"/>
  <c r="E121" i="26"/>
  <c r="D121" i="26"/>
  <c r="A121" i="26"/>
  <c r="O120" i="26"/>
  <c r="M120" i="26"/>
  <c r="L120" i="26"/>
  <c r="F120" i="26"/>
  <c r="E120" i="26"/>
  <c r="D120" i="26"/>
  <c r="A120" i="26"/>
  <c r="O119" i="26"/>
  <c r="M119" i="26"/>
  <c r="L119" i="26"/>
  <c r="F119" i="26"/>
  <c r="E119" i="26"/>
  <c r="D119" i="26"/>
  <c r="A119" i="26"/>
  <c r="O118" i="26"/>
  <c r="M118" i="26"/>
  <c r="L118" i="26"/>
  <c r="F118" i="26"/>
  <c r="E118" i="26"/>
  <c r="D118" i="26"/>
  <c r="A118" i="26"/>
  <c r="O117" i="26"/>
  <c r="M117" i="26"/>
  <c r="L117" i="26"/>
  <c r="F117" i="26"/>
  <c r="E117" i="26"/>
  <c r="D117" i="26"/>
  <c r="A117" i="26"/>
  <c r="O116" i="26"/>
  <c r="N116" i="26"/>
  <c r="M116" i="26"/>
  <c r="L116" i="26"/>
  <c r="J116" i="26"/>
  <c r="F116" i="26"/>
  <c r="E116" i="26"/>
  <c r="D116" i="26"/>
  <c r="A116" i="26"/>
  <c r="O115" i="26"/>
  <c r="N115" i="26"/>
  <c r="M115" i="26"/>
  <c r="L115" i="26"/>
  <c r="J115" i="26"/>
  <c r="F115" i="26"/>
  <c r="E115" i="26"/>
  <c r="D115" i="26"/>
  <c r="A115" i="26"/>
  <c r="O114" i="26"/>
  <c r="N114" i="26"/>
  <c r="M114" i="26"/>
  <c r="L114" i="26"/>
  <c r="J114" i="26"/>
  <c r="F114" i="26"/>
  <c r="E114" i="26"/>
  <c r="D114" i="26"/>
  <c r="A114" i="26"/>
  <c r="O113" i="26"/>
  <c r="N113" i="26"/>
  <c r="M113" i="26"/>
  <c r="L113" i="26"/>
  <c r="F113" i="26"/>
  <c r="J113" i="26" s="1"/>
  <c r="E113" i="26"/>
  <c r="D113" i="26"/>
  <c r="A113" i="26"/>
  <c r="O112" i="26"/>
  <c r="M112" i="26"/>
  <c r="L112" i="26"/>
  <c r="F112" i="26"/>
  <c r="E112" i="26"/>
  <c r="D112" i="26"/>
  <c r="A112" i="26"/>
  <c r="O111" i="26"/>
  <c r="M111" i="26"/>
  <c r="L111" i="26"/>
  <c r="F111" i="26"/>
  <c r="E111" i="26"/>
  <c r="D111" i="26"/>
  <c r="A111" i="26"/>
  <c r="O110" i="26"/>
  <c r="M110" i="26"/>
  <c r="L110" i="26"/>
  <c r="F110" i="26"/>
  <c r="E110" i="26"/>
  <c r="D110" i="26"/>
  <c r="A110" i="26"/>
  <c r="O109" i="26"/>
  <c r="M109" i="26"/>
  <c r="L109" i="26"/>
  <c r="F109" i="26"/>
  <c r="E109" i="26"/>
  <c r="D109" i="26"/>
  <c r="A109" i="26"/>
  <c r="O108" i="26"/>
  <c r="N108" i="26"/>
  <c r="M108" i="26"/>
  <c r="L108" i="26"/>
  <c r="J108" i="26"/>
  <c r="F108" i="26"/>
  <c r="E108" i="26"/>
  <c r="D108" i="26"/>
  <c r="A108" i="26"/>
  <c r="O107" i="26"/>
  <c r="N107" i="26"/>
  <c r="M107" i="26"/>
  <c r="L107" i="26"/>
  <c r="J107" i="26"/>
  <c r="F107" i="26"/>
  <c r="E107" i="26"/>
  <c r="D107" i="26"/>
  <c r="A107" i="26"/>
  <c r="O106" i="26"/>
  <c r="N106" i="26"/>
  <c r="M106" i="26"/>
  <c r="L106" i="26"/>
  <c r="J106" i="26"/>
  <c r="F106" i="26"/>
  <c r="E106" i="26"/>
  <c r="D106" i="26"/>
  <c r="A106" i="26"/>
  <c r="O105" i="26"/>
  <c r="N105" i="26"/>
  <c r="M105" i="26"/>
  <c r="L105" i="26"/>
  <c r="F105" i="26"/>
  <c r="J105" i="26" s="1"/>
  <c r="E105" i="26"/>
  <c r="D105" i="26"/>
  <c r="A105" i="26"/>
  <c r="O104" i="26"/>
  <c r="M104" i="26"/>
  <c r="L104" i="26"/>
  <c r="F104" i="26"/>
  <c r="E104" i="26"/>
  <c r="D104" i="26"/>
  <c r="A104" i="26"/>
  <c r="O103" i="26"/>
  <c r="M103" i="26"/>
  <c r="L103" i="26"/>
  <c r="F103" i="26"/>
  <c r="N103" i="26" s="1"/>
  <c r="E103" i="26"/>
  <c r="D103" i="26"/>
  <c r="A103" i="26"/>
  <c r="O102" i="26"/>
  <c r="M102" i="26"/>
  <c r="L102" i="26"/>
  <c r="F102" i="26"/>
  <c r="N102" i="26" s="1"/>
  <c r="E102" i="26"/>
  <c r="D102" i="26"/>
  <c r="A102" i="26"/>
  <c r="O101" i="26"/>
  <c r="M101" i="26"/>
  <c r="L101" i="26"/>
  <c r="F101" i="26"/>
  <c r="N101" i="26" s="1"/>
  <c r="E101" i="26"/>
  <c r="D101" i="26"/>
  <c r="A101" i="26"/>
  <c r="O100" i="26"/>
  <c r="N100" i="26"/>
  <c r="M100" i="26"/>
  <c r="L100" i="26"/>
  <c r="J100" i="26"/>
  <c r="F100" i="26"/>
  <c r="E100" i="26"/>
  <c r="D100" i="26"/>
  <c r="A100" i="26"/>
  <c r="O99" i="26"/>
  <c r="N99" i="26"/>
  <c r="M99" i="26"/>
  <c r="L99" i="26"/>
  <c r="J99" i="26"/>
  <c r="F99" i="26"/>
  <c r="E99" i="26"/>
  <c r="D99" i="26"/>
  <c r="A99" i="26"/>
  <c r="O98" i="26"/>
  <c r="N98" i="26"/>
  <c r="M98" i="26"/>
  <c r="L98" i="26"/>
  <c r="J98" i="26"/>
  <c r="F98" i="26"/>
  <c r="E98" i="26"/>
  <c r="D98" i="26"/>
  <c r="A98" i="26"/>
  <c r="O97" i="26"/>
  <c r="N97" i="26"/>
  <c r="M97" i="26"/>
  <c r="L97" i="26"/>
  <c r="F97" i="26"/>
  <c r="J97" i="26" s="1"/>
  <c r="E97" i="26"/>
  <c r="D97" i="26"/>
  <c r="A97" i="26"/>
  <c r="O96" i="26"/>
  <c r="M96" i="26"/>
  <c r="L96" i="26"/>
  <c r="F96" i="26"/>
  <c r="N96" i="26" s="1"/>
  <c r="E96" i="26"/>
  <c r="D96" i="26"/>
  <c r="A96" i="26"/>
  <c r="O95" i="26"/>
  <c r="M95" i="26"/>
  <c r="L95" i="26"/>
  <c r="F95" i="26"/>
  <c r="N95" i="26" s="1"/>
  <c r="E95" i="26"/>
  <c r="D95" i="26"/>
  <c r="A95" i="26"/>
  <c r="O94" i="26"/>
  <c r="M94" i="26"/>
  <c r="L94" i="26"/>
  <c r="F94" i="26"/>
  <c r="N94" i="26" s="1"/>
  <c r="E94" i="26"/>
  <c r="D94" i="26"/>
  <c r="A94" i="26"/>
  <c r="O93" i="26"/>
  <c r="M93" i="26"/>
  <c r="L93" i="26"/>
  <c r="F93" i="26"/>
  <c r="J93" i="26" s="1"/>
  <c r="E93" i="26"/>
  <c r="D93" i="26"/>
  <c r="A93" i="26"/>
  <c r="O92" i="26"/>
  <c r="N92" i="26"/>
  <c r="M92" i="26"/>
  <c r="L92" i="26"/>
  <c r="J92" i="26"/>
  <c r="F92" i="26"/>
  <c r="E92" i="26"/>
  <c r="D92" i="26"/>
  <c r="A92" i="26"/>
  <c r="O91" i="26"/>
  <c r="N91" i="26"/>
  <c r="M91" i="26"/>
  <c r="L91" i="26"/>
  <c r="J91" i="26"/>
  <c r="F91" i="26"/>
  <c r="E91" i="26"/>
  <c r="D91" i="26"/>
  <c r="A91" i="26"/>
  <c r="O90" i="26"/>
  <c r="N90" i="26"/>
  <c r="M90" i="26"/>
  <c r="L90" i="26"/>
  <c r="J90" i="26"/>
  <c r="F90" i="26"/>
  <c r="E90" i="26"/>
  <c r="D90" i="26"/>
  <c r="A90" i="26"/>
  <c r="O89" i="26"/>
  <c r="N89" i="26"/>
  <c r="M89" i="26"/>
  <c r="L89" i="26"/>
  <c r="F89" i="26"/>
  <c r="J89" i="26" s="1"/>
  <c r="E89" i="26"/>
  <c r="D89" i="26"/>
  <c r="A89" i="26"/>
  <c r="O88" i="26"/>
  <c r="M88" i="26"/>
  <c r="L88" i="26"/>
  <c r="J88" i="26"/>
  <c r="F88" i="26"/>
  <c r="N88" i="26" s="1"/>
  <c r="E88" i="26"/>
  <c r="D88" i="26"/>
  <c r="A88" i="26"/>
  <c r="O87" i="26"/>
  <c r="M87" i="26"/>
  <c r="L87" i="26"/>
  <c r="J87" i="26"/>
  <c r="F87" i="26"/>
  <c r="N87" i="26" s="1"/>
  <c r="E87" i="26"/>
  <c r="D87" i="26"/>
  <c r="A87" i="26"/>
  <c r="O86" i="26"/>
  <c r="M86" i="26"/>
  <c r="L86" i="26"/>
  <c r="J86" i="26"/>
  <c r="F86" i="26"/>
  <c r="N86" i="26" s="1"/>
  <c r="E86" i="26"/>
  <c r="D86" i="26"/>
  <c r="A86" i="26"/>
  <c r="O85" i="26"/>
  <c r="M85" i="26"/>
  <c r="L85" i="26"/>
  <c r="F85" i="26"/>
  <c r="J85" i="26" s="1"/>
  <c r="E85" i="26"/>
  <c r="D85" i="26"/>
  <c r="A85" i="26"/>
  <c r="O84" i="26"/>
  <c r="N84" i="26"/>
  <c r="M84" i="26"/>
  <c r="L84" i="26"/>
  <c r="J84" i="26"/>
  <c r="F84" i="26"/>
  <c r="A84" i="26"/>
  <c r="O83" i="26"/>
  <c r="N83" i="26"/>
  <c r="L83" i="26"/>
  <c r="M83" i="26" s="1"/>
  <c r="J83" i="26"/>
  <c r="F83" i="26"/>
  <c r="A83" i="26"/>
  <c r="O82" i="26"/>
  <c r="L82" i="26"/>
  <c r="M82" i="26" s="1"/>
  <c r="F82" i="26"/>
  <c r="A82" i="26"/>
  <c r="O81" i="26"/>
  <c r="L81" i="26"/>
  <c r="M81" i="26" s="1"/>
  <c r="F81" i="26"/>
  <c r="N81" i="26" s="1"/>
  <c r="A81" i="26"/>
  <c r="O80" i="26"/>
  <c r="M80" i="26"/>
  <c r="L80" i="26"/>
  <c r="F80" i="26"/>
  <c r="A80" i="26"/>
  <c r="O79" i="26"/>
  <c r="N79" i="26"/>
  <c r="M79" i="26"/>
  <c r="L79" i="26"/>
  <c r="F79" i="26"/>
  <c r="J79" i="26" s="1"/>
  <c r="A79" i="26"/>
  <c r="O78" i="26"/>
  <c r="N78" i="26"/>
  <c r="M78" i="26"/>
  <c r="L78" i="26"/>
  <c r="J78" i="26"/>
  <c r="F78" i="26"/>
  <c r="A78" i="26"/>
  <c r="O77" i="26"/>
  <c r="N77" i="26"/>
  <c r="L77" i="26"/>
  <c r="M77" i="26" s="1"/>
  <c r="J77" i="26"/>
  <c r="F77" i="26"/>
  <c r="A77" i="26"/>
  <c r="O76" i="26"/>
  <c r="N76" i="26"/>
  <c r="M76" i="26"/>
  <c r="L76" i="26"/>
  <c r="J76" i="26"/>
  <c r="F76" i="26"/>
  <c r="A76" i="26"/>
  <c r="N75" i="26"/>
  <c r="L75" i="26"/>
  <c r="M75" i="26" s="1"/>
  <c r="J75" i="26"/>
  <c r="F75" i="26"/>
  <c r="A75" i="26"/>
  <c r="M74" i="26"/>
  <c r="L74" i="26"/>
  <c r="F74" i="26"/>
  <c r="A74" i="26"/>
  <c r="L73" i="26"/>
  <c r="M73" i="26" s="1"/>
  <c r="F73" i="26"/>
  <c r="A73" i="26"/>
  <c r="M72" i="26"/>
  <c r="L72" i="26"/>
  <c r="F72" i="26"/>
  <c r="A72" i="26"/>
  <c r="N71" i="26"/>
  <c r="M71" i="26"/>
  <c r="L71" i="26"/>
  <c r="F71" i="26"/>
  <c r="A71" i="26"/>
  <c r="O70" i="26"/>
  <c r="N70" i="26"/>
  <c r="M70" i="26"/>
  <c r="L70" i="26"/>
  <c r="J70" i="26"/>
  <c r="F70" i="26"/>
  <c r="A70" i="26"/>
  <c r="O69" i="26"/>
  <c r="N69" i="26"/>
  <c r="L69" i="26"/>
  <c r="M69" i="26" s="1"/>
  <c r="J69" i="26"/>
  <c r="F69" i="26"/>
  <c r="A69" i="26"/>
  <c r="O68" i="26"/>
  <c r="N68" i="26"/>
  <c r="M68" i="26"/>
  <c r="L68" i="26"/>
  <c r="J68" i="26"/>
  <c r="F68" i="26"/>
  <c r="A68" i="26"/>
  <c r="N67" i="26"/>
  <c r="M67" i="26"/>
  <c r="L67" i="26"/>
  <c r="J67" i="26"/>
  <c r="F67" i="26"/>
  <c r="O67" i="26" s="1"/>
  <c r="A67" i="26"/>
  <c r="M66" i="26"/>
  <c r="L66" i="26"/>
  <c r="J66" i="26"/>
  <c r="F66" i="26"/>
  <c r="A66" i="26"/>
  <c r="L65" i="26"/>
  <c r="M65" i="26" s="1"/>
  <c r="F65" i="26"/>
  <c r="A65" i="26"/>
  <c r="M64" i="26"/>
  <c r="L64" i="26"/>
  <c r="J64" i="26"/>
  <c r="F64" i="26"/>
  <c r="A64" i="26"/>
  <c r="N63" i="26"/>
  <c r="M63" i="26"/>
  <c r="L63" i="26"/>
  <c r="F63" i="26"/>
  <c r="A63" i="26"/>
  <c r="O62" i="26"/>
  <c r="N62" i="26"/>
  <c r="M62" i="26"/>
  <c r="L62" i="26"/>
  <c r="J62" i="26"/>
  <c r="F62" i="26"/>
  <c r="A62" i="26"/>
  <c r="N61" i="26"/>
  <c r="O61" i="26" s="1"/>
  <c r="L61" i="26"/>
  <c r="M61" i="26" s="1"/>
  <c r="J61" i="26"/>
  <c r="F61" i="26"/>
  <c r="A61" i="26"/>
  <c r="N60" i="26"/>
  <c r="O60" i="26" s="1"/>
  <c r="M60" i="26"/>
  <c r="L60" i="26"/>
  <c r="J60" i="26"/>
  <c r="F60" i="26"/>
  <c r="A60" i="26"/>
  <c r="N59" i="26"/>
  <c r="L59" i="26"/>
  <c r="M59" i="26" s="1"/>
  <c r="J59" i="26"/>
  <c r="F59" i="26"/>
  <c r="A59" i="26"/>
  <c r="M58" i="26"/>
  <c r="L58" i="26"/>
  <c r="F58" i="26"/>
  <c r="A58" i="26"/>
  <c r="L57" i="26"/>
  <c r="M57" i="26" s="1"/>
  <c r="F57" i="26"/>
  <c r="A57" i="26"/>
  <c r="H40" i="26"/>
  <c r="H34" i="26"/>
  <c r="H65" i="24"/>
  <c r="C65" i="24"/>
  <c r="H64" i="24"/>
  <c r="F64" i="24"/>
  <c r="G64" i="24" s="1"/>
  <c r="D64" i="24"/>
  <c r="C64" i="24"/>
  <c r="H63" i="24"/>
  <c r="C63" i="24"/>
  <c r="H62" i="24"/>
  <c r="C62" i="24"/>
  <c r="H61" i="24"/>
  <c r="C61" i="24"/>
  <c r="H60" i="24"/>
  <c r="I60" i="24" s="1"/>
  <c r="G60" i="24"/>
  <c r="F60" i="24"/>
  <c r="E60" i="24"/>
  <c r="D60" i="24"/>
  <c r="C60" i="24"/>
  <c r="H59" i="24"/>
  <c r="F59" i="24"/>
  <c r="G59" i="24" s="1"/>
  <c r="C59" i="24"/>
  <c r="H58" i="24"/>
  <c r="F58" i="24"/>
  <c r="G58" i="24" s="1"/>
  <c r="C58" i="24"/>
  <c r="H57" i="24"/>
  <c r="F57" i="24"/>
  <c r="G57" i="24" s="1"/>
  <c r="C57" i="24"/>
  <c r="H56" i="24"/>
  <c r="C56" i="24"/>
  <c r="H55" i="24"/>
  <c r="D55" i="24"/>
  <c r="E55" i="24" s="1"/>
  <c r="C55" i="24"/>
  <c r="H54" i="24"/>
  <c r="C54" i="24"/>
  <c r="H53" i="24"/>
  <c r="C53" i="24"/>
  <c r="C182" i="11" s="1"/>
  <c r="H52" i="24"/>
  <c r="C52" i="24"/>
  <c r="F47" i="24"/>
  <c r="I46" i="24"/>
  <c r="G46" i="24"/>
  <c r="K45" i="24"/>
  <c r="I45" i="24"/>
  <c r="J45" i="24" s="1"/>
  <c r="H45" i="24"/>
  <c r="G45" i="24"/>
  <c r="I44" i="24"/>
  <c r="J44" i="24" s="1"/>
  <c r="H44" i="24"/>
  <c r="G44" i="24"/>
  <c r="K43" i="24"/>
  <c r="J43" i="24"/>
  <c r="I43" i="24"/>
  <c r="H43" i="24"/>
  <c r="G43" i="24"/>
  <c r="K42" i="24"/>
  <c r="J42" i="24"/>
  <c r="I42" i="24"/>
  <c r="H42" i="24"/>
  <c r="G42" i="24"/>
  <c r="I41" i="24"/>
  <c r="H41" i="24"/>
  <c r="G41" i="24"/>
  <c r="K40" i="24"/>
  <c r="J40" i="24"/>
  <c r="I40" i="24"/>
  <c r="H40" i="24"/>
  <c r="G40" i="24"/>
  <c r="I39" i="24"/>
  <c r="J39" i="24" s="1"/>
  <c r="G39" i="24"/>
  <c r="I38" i="24"/>
  <c r="G38" i="24"/>
  <c r="K37" i="24"/>
  <c r="I37" i="24"/>
  <c r="J37" i="24" s="1"/>
  <c r="H37" i="24"/>
  <c r="G37" i="24"/>
  <c r="I36" i="24"/>
  <c r="J36" i="24" s="1"/>
  <c r="G36" i="24"/>
  <c r="K35" i="24"/>
  <c r="J35" i="24"/>
  <c r="I35" i="24"/>
  <c r="H35" i="24"/>
  <c r="G35" i="24"/>
  <c r="K34" i="24"/>
  <c r="I34" i="24"/>
  <c r="J34" i="24" s="1"/>
  <c r="H34" i="24"/>
  <c r="G34" i="24"/>
  <c r="I33" i="24"/>
  <c r="G33" i="24"/>
  <c r="K32" i="24"/>
  <c r="I32" i="24"/>
  <c r="J32" i="24" s="1"/>
  <c r="H32" i="24"/>
  <c r="G32" i="24"/>
  <c r="J31" i="24"/>
  <c r="I31" i="24"/>
  <c r="H31" i="24"/>
  <c r="G31" i="24"/>
  <c r="I30" i="24"/>
  <c r="G30" i="24"/>
  <c r="K29" i="24"/>
  <c r="J29" i="24"/>
  <c r="I29" i="24"/>
  <c r="H29" i="24"/>
  <c r="G29" i="24"/>
  <c r="I28" i="24"/>
  <c r="G28" i="24"/>
  <c r="K27" i="24"/>
  <c r="J27" i="24"/>
  <c r="I27" i="24"/>
  <c r="F61" i="24" s="1"/>
  <c r="G61" i="24" s="1"/>
  <c r="G27" i="24"/>
  <c r="H27" i="24" s="1"/>
  <c r="I26" i="24"/>
  <c r="J26" i="24" s="1"/>
  <c r="G26" i="24"/>
  <c r="H26" i="24" s="1"/>
  <c r="K26" i="24" s="1"/>
  <c r="I25" i="24"/>
  <c r="J25" i="24" s="1"/>
  <c r="G25" i="24"/>
  <c r="K24" i="24"/>
  <c r="I24" i="24"/>
  <c r="J24" i="24" s="1"/>
  <c r="H24" i="24"/>
  <c r="G24" i="24"/>
  <c r="I23" i="24"/>
  <c r="J23" i="24" s="1"/>
  <c r="H23" i="24"/>
  <c r="K23" i="24" s="1"/>
  <c r="G23" i="24"/>
  <c r="K22" i="24"/>
  <c r="J22" i="24"/>
  <c r="I22" i="24"/>
  <c r="H22" i="24"/>
  <c r="G22" i="24"/>
  <c r="K21" i="24"/>
  <c r="J21" i="24"/>
  <c r="I21" i="24"/>
  <c r="H21" i="24"/>
  <c r="G21" i="24"/>
  <c r="J20" i="24"/>
  <c r="I20" i="24"/>
  <c r="G20" i="24"/>
  <c r="K19" i="24"/>
  <c r="J19" i="24"/>
  <c r="I19" i="24"/>
  <c r="G19" i="24"/>
  <c r="H19" i="24" s="1"/>
  <c r="J18" i="24"/>
  <c r="I18" i="24"/>
  <c r="G18" i="24"/>
  <c r="I17" i="24"/>
  <c r="J17" i="24" s="1"/>
  <c r="H17" i="24"/>
  <c r="G17" i="24"/>
  <c r="K16" i="24"/>
  <c r="J16" i="24"/>
  <c r="I16" i="24"/>
  <c r="H16" i="24"/>
  <c r="G16" i="24"/>
  <c r="I15" i="24"/>
  <c r="H15" i="24"/>
  <c r="G15" i="24"/>
  <c r="J14" i="24"/>
  <c r="I14" i="24"/>
  <c r="G14" i="24"/>
  <c r="K13" i="24"/>
  <c r="I13" i="24"/>
  <c r="J13" i="24" s="1"/>
  <c r="H13" i="24"/>
  <c r="G13" i="24"/>
  <c r="J12" i="24"/>
  <c r="I12" i="24"/>
  <c r="G12" i="24"/>
  <c r="K11" i="24"/>
  <c r="J11" i="24"/>
  <c r="I11" i="24"/>
  <c r="G11" i="24"/>
  <c r="H11" i="24" s="1"/>
  <c r="I10" i="24"/>
  <c r="J10" i="24" s="1"/>
  <c r="G10" i="24"/>
  <c r="H10" i="24" s="1"/>
  <c r="K10" i="24" s="1"/>
  <c r="I9" i="24"/>
  <c r="G9" i="24"/>
  <c r="K8" i="24"/>
  <c r="I8" i="24"/>
  <c r="H8" i="24"/>
  <c r="G8" i="24"/>
  <c r="D53" i="24" s="1"/>
  <c r="I7" i="24"/>
  <c r="J7" i="24" s="1"/>
  <c r="H7" i="24"/>
  <c r="G7" i="24"/>
  <c r="K6" i="24"/>
  <c r="J6" i="24"/>
  <c r="I6" i="24"/>
  <c r="H6" i="24"/>
  <c r="G6" i="24"/>
  <c r="K5" i="24"/>
  <c r="J5" i="24"/>
  <c r="I5" i="24"/>
  <c r="F52" i="24" s="1"/>
  <c r="G52" i="24" s="1"/>
  <c r="H5" i="24"/>
  <c r="G5" i="24"/>
  <c r="D52" i="24" s="1"/>
  <c r="E52" i="24" s="1"/>
  <c r="D182" i="11"/>
  <c r="D181" i="11"/>
  <c r="D180" i="11"/>
  <c r="C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C144" i="11"/>
  <c r="D143" i="11"/>
  <c r="D142" i="11"/>
  <c r="D141" i="11"/>
  <c r="D140" i="11"/>
  <c r="D139" i="11"/>
  <c r="D138" i="11"/>
  <c r="D137" i="11"/>
  <c r="D136" i="11"/>
  <c r="D135" i="11"/>
  <c r="D134" i="11"/>
  <c r="D133" i="11"/>
  <c r="D132" i="11"/>
  <c r="D131" i="11"/>
  <c r="D130" i="11"/>
  <c r="D129" i="11"/>
  <c r="C129" i="11"/>
  <c r="D128" i="11"/>
  <c r="D127" i="11"/>
  <c r="D126" i="11"/>
  <c r="D125" i="11"/>
  <c r="D124" i="11"/>
  <c r="C124" i="11"/>
  <c r="D123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D95" i="11"/>
  <c r="I95" i="11" s="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9" i="11"/>
  <c r="E68" i="11"/>
  <c r="E67" i="11"/>
  <c r="E66" i="11"/>
  <c r="E65" i="11"/>
  <c r="G65" i="11" s="1"/>
  <c r="E64" i="11"/>
  <c r="E63" i="11"/>
  <c r="E62" i="11"/>
  <c r="E61" i="11"/>
  <c r="G61" i="11" s="1"/>
  <c r="E60" i="11"/>
  <c r="E59" i="11"/>
  <c r="E58" i="11"/>
  <c r="E57" i="11"/>
  <c r="G57" i="11" s="1"/>
  <c r="E56" i="11"/>
  <c r="G56" i="11" s="1"/>
  <c r="E55" i="11"/>
  <c r="E54" i="11"/>
  <c r="E53" i="11"/>
  <c r="G53" i="11" s="1"/>
  <c r="E52" i="11"/>
  <c r="G52" i="11" s="1"/>
  <c r="E51" i="11"/>
  <c r="G51" i="11" s="1"/>
  <c r="E50" i="11"/>
  <c r="G50" i="11" s="1"/>
  <c r="D50" i="11"/>
  <c r="E49" i="11"/>
  <c r="G49" i="11" s="1"/>
  <c r="E48" i="11"/>
  <c r="G48" i="11" s="1"/>
  <c r="E47" i="11"/>
  <c r="G47" i="11" s="1"/>
  <c r="E46" i="11"/>
  <c r="G46" i="11" s="1"/>
  <c r="E45" i="11"/>
  <c r="G45" i="11" s="1"/>
  <c r="E44" i="11"/>
  <c r="G44" i="11" s="1"/>
  <c r="E43" i="11"/>
  <c r="G43" i="11" s="1"/>
  <c r="E42" i="11"/>
  <c r="G42" i="11" s="1"/>
  <c r="E40" i="11"/>
  <c r="G40" i="11" s="1"/>
  <c r="E39" i="11"/>
  <c r="G39" i="11" s="1"/>
  <c r="F38" i="11"/>
  <c r="E38" i="11"/>
  <c r="H38" i="11" s="1"/>
  <c r="C38" i="11"/>
  <c r="F37" i="11"/>
  <c r="E37" i="11"/>
  <c r="F36" i="11"/>
  <c r="I36" i="11" s="1"/>
  <c r="F35" i="11"/>
  <c r="F34" i="11"/>
  <c r="F32" i="11"/>
  <c r="E32" i="11"/>
  <c r="G32" i="11" s="1"/>
  <c r="D32" i="11"/>
  <c r="C32" i="11"/>
  <c r="D30" i="11"/>
  <c r="G28" i="11"/>
  <c r="F28" i="11"/>
  <c r="E28" i="11"/>
  <c r="D28" i="11"/>
  <c r="C28" i="11"/>
  <c r="H28" i="11" s="1"/>
  <c r="B28" i="11"/>
  <c r="E12" i="11"/>
  <c r="B12" i="11"/>
  <c r="E11" i="11"/>
  <c r="B11" i="11"/>
  <c r="E10" i="11"/>
  <c r="B10" i="11"/>
  <c r="E9" i="11"/>
  <c r="B9" i="11"/>
  <c r="E8" i="11"/>
  <c r="B8" i="11"/>
  <c r="E7" i="11"/>
  <c r="B7" i="11"/>
  <c r="N200" i="22"/>
  <c r="N199" i="22"/>
  <c r="N198" i="22"/>
  <c r="N197" i="22"/>
  <c r="N196" i="22"/>
  <c r="N195" i="22"/>
  <c r="N194" i="22"/>
  <c r="N193" i="22"/>
  <c r="N192" i="22"/>
  <c r="N191" i="22"/>
  <c r="N190" i="22"/>
  <c r="N189" i="22"/>
  <c r="N188" i="22"/>
  <c r="N187" i="22"/>
  <c r="N186" i="22"/>
  <c r="N185" i="22"/>
  <c r="N184" i="22"/>
  <c r="N183" i="22"/>
  <c r="N182" i="22"/>
  <c r="N181" i="22"/>
  <c r="N180" i="22"/>
  <c r="N179" i="22"/>
  <c r="N178" i="22"/>
  <c r="N177" i="22"/>
  <c r="N176" i="22"/>
  <c r="N175" i="22"/>
  <c r="N174" i="22"/>
  <c r="N173" i="22"/>
  <c r="N172" i="22"/>
  <c r="N171" i="22"/>
  <c r="N170" i="22"/>
  <c r="N169" i="22"/>
  <c r="N168" i="22"/>
  <c r="N167" i="22"/>
  <c r="N166" i="22"/>
  <c r="N165" i="22"/>
  <c r="L55" i="22"/>
  <c r="J55" i="22"/>
  <c r="I55" i="22"/>
  <c r="H55" i="22"/>
  <c r="K55" i="22" s="1"/>
  <c r="F55" i="22"/>
  <c r="L54" i="22"/>
  <c r="J54" i="22"/>
  <c r="I54" i="22"/>
  <c r="H54" i="22"/>
  <c r="K54" i="22" s="1"/>
  <c r="F54" i="22"/>
  <c r="L53" i="22"/>
  <c r="J53" i="22"/>
  <c r="I53" i="22"/>
  <c r="H53" i="22"/>
  <c r="K53" i="22" s="1"/>
  <c r="F53" i="22"/>
  <c r="L52" i="22"/>
  <c r="J52" i="22"/>
  <c r="I52" i="22"/>
  <c r="H52" i="22"/>
  <c r="K52" i="22" s="1"/>
  <c r="F52" i="22"/>
  <c r="N51" i="22"/>
  <c r="H51" i="22"/>
  <c r="K51" i="22" s="1"/>
  <c r="F51" i="22"/>
  <c r="N50" i="22"/>
  <c r="H50" i="22"/>
  <c r="K50" i="22" s="1"/>
  <c r="F50" i="22"/>
  <c r="L49" i="22"/>
  <c r="J49" i="22"/>
  <c r="I49" i="22"/>
  <c r="H49" i="22"/>
  <c r="K49" i="22" s="1"/>
  <c r="F49" i="22"/>
  <c r="N48" i="22"/>
  <c r="H48" i="22"/>
  <c r="I48" i="22" s="1"/>
  <c r="L48" i="22" s="1"/>
  <c r="F48" i="22"/>
  <c r="L47" i="22"/>
  <c r="J47" i="22"/>
  <c r="I47" i="22"/>
  <c r="H47" i="22"/>
  <c r="K47" i="22" s="1"/>
  <c r="F47" i="22"/>
  <c r="L46" i="22"/>
  <c r="K46" i="22"/>
  <c r="J46" i="22"/>
  <c r="I46" i="22"/>
  <c r="H46" i="22"/>
  <c r="F46" i="22"/>
  <c r="L45" i="22"/>
  <c r="J45" i="22"/>
  <c r="I45" i="22"/>
  <c r="H45" i="22"/>
  <c r="K45" i="22" s="1"/>
  <c r="F45" i="22"/>
  <c r="L44" i="22"/>
  <c r="J44" i="22"/>
  <c r="I44" i="22"/>
  <c r="H44" i="22"/>
  <c r="K44" i="22" s="1"/>
  <c r="F44" i="22"/>
  <c r="L43" i="22"/>
  <c r="J43" i="22"/>
  <c r="I43" i="22"/>
  <c r="H43" i="22"/>
  <c r="K43" i="22" s="1"/>
  <c r="F43" i="22"/>
  <c r="L42" i="22"/>
  <c r="J42" i="22"/>
  <c r="I42" i="22"/>
  <c r="H42" i="22"/>
  <c r="K42" i="22" s="1"/>
  <c r="F42" i="22"/>
  <c r="L41" i="22"/>
  <c r="J41" i="22"/>
  <c r="I41" i="22"/>
  <c r="H41" i="22"/>
  <c r="K41" i="22" s="1"/>
  <c r="F41" i="22"/>
  <c r="L40" i="22"/>
  <c r="J40" i="22"/>
  <c r="I40" i="22"/>
  <c r="H40" i="22"/>
  <c r="K40" i="22" s="1"/>
  <c r="F40" i="22"/>
  <c r="L39" i="22"/>
  <c r="J39" i="22"/>
  <c r="I39" i="22"/>
  <c r="H39" i="22"/>
  <c r="K39" i="22" s="1"/>
  <c r="F39" i="22"/>
  <c r="L38" i="22"/>
  <c r="J38" i="22"/>
  <c r="I38" i="22"/>
  <c r="H38" i="22"/>
  <c r="K38" i="22" s="1"/>
  <c r="F38" i="22"/>
  <c r="L37" i="22"/>
  <c r="J37" i="22"/>
  <c r="I37" i="22"/>
  <c r="H37" i="22"/>
  <c r="K37" i="22" s="1"/>
  <c r="F37" i="22"/>
  <c r="L36" i="22"/>
  <c r="J36" i="22"/>
  <c r="I36" i="22"/>
  <c r="H36" i="22"/>
  <c r="K36" i="22" s="1"/>
  <c r="F36" i="22"/>
  <c r="L35" i="22"/>
  <c r="J35" i="22"/>
  <c r="I35" i="22"/>
  <c r="H35" i="22"/>
  <c r="K35" i="22" s="1"/>
  <c r="F35" i="22"/>
  <c r="L34" i="22"/>
  <c r="J34" i="22"/>
  <c r="I34" i="22"/>
  <c r="H34" i="22"/>
  <c r="K34" i="22" s="1"/>
  <c r="F34" i="22"/>
  <c r="L33" i="22"/>
  <c r="J33" i="22"/>
  <c r="I33" i="22"/>
  <c r="H33" i="22"/>
  <c r="K33" i="22" s="1"/>
  <c r="F33" i="22"/>
  <c r="N32" i="22"/>
  <c r="H32" i="22"/>
  <c r="J32" i="22" s="1"/>
  <c r="F32" i="22"/>
  <c r="N31" i="22"/>
  <c r="H31" i="22"/>
  <c r="K31" i="22" s="1"/>
  <c r="F31" i="22"/>
  <c r="N30" i="22"/>
  <c r="H30" i="22"/>
  <c r="K30" i="22" s="1"/>
  <c r="F30" i="22"/>
  <c r="N29" i="22"/>
  <c r="H29" i="22"/>
  <c r="J29" i="22" s="1"/>
  <c r="F29" i="22"/>
  <c r="N28" i="22"/>
  <c r="H28" i="22"/>
  <c r="I28" i="22" s="1"/>
  <c r="L28" i="22" s="1"/>
  <c r="F28" i="22"/>
  <c r="N27" i="22"/>
  <c r="H27" i="22"/>
  <c r="J27" i="22" s="1"/>
  <c r="F27" i="22"/>
  <c r="N26" i="22"/>
  <c r="H36" i="11" s="1"/>
  <c r="H26" i="22"/>
  <c r="J26" i="22" s="1"/>
  <c r="F26" i="22"/>
  <c r="N25" i="22"/>
  <c r="H25" i="22"/>
  <c r="F25" i="22"/>
  <c r="N24" i="22"/>
  <c r="H24" i="22"/>
  <c r="K24" i="22" s="1"/>
  <c r="F24" i="22"/>
  <c r="L23" i="22"/>
  <c r="J23" i="22"/>
  <c r="I23" i="22"/>
  <c r="H23" i="22"/>
  <c r="K23" i="22" s="1"/>
  <c r="F23" i="22"/>
  <c r="L22" i="22"/>
  <c r="J22" i="22"/>
  <c r="I22" i="22"/>
  <c r="H22" i="22"/>
  <c r="K22" i="22" s="1"/>
  <c r="F22" i="22"/>
  <c r="L21" i="22"/>
  <c r="J21" i="22"/>
  <c r="I21" i="22"/>
  <c r="H21" i="22"/>
  <c r="K21" i="22" s="1"/>
  <c r="F21" i="22"/>
  <c r="N20" i="22"/>
  <c r="H20" i="22"/>
  <c r="K20" i="22" s="1"/>
  <c r="F20" i="22"/>
  <c r="N19" i="22"/>
  <c r="H19" i="22"/>
  <c r="K19" i="22" s="1"/>
  <c r="F19" i="22"/>
  <c r="N18" i="22"/>
  <c r="J18" i="22"/>
  <c r="I18" i="22"/>
  <c r="H18" i="22"/>
  <c r="K18" i="22" s="1"/>
  <c r="F18" i="22"/>
  <c r="N17" i="22"/>
  <c r="H17" i="22"/>
  <c r="J17" i="22" s="1"/>
  <c r="F17" i="22"/>
  <c r="N16" i="22"/>
  <c r="H16" i="22"/>
  <c r="I16" i="22" s="1"/>
  <c r="L16" i="22" s="1"/>
  <c r="F16" i="22"/>
  <c r="N15" i="22"/>
  <c r="H15" i="22"/>
  <c r="J15" i="22" s="1"/>
  <c r="F15" i="22"/>
  <c r="N14" i="22"/>
  <c r="H14" i="22"/>
  <c r="K14" i="22" s="1"/>
  <c r="F14" i="22"/>
  <c r="N13" i="22"/>
  <c r="H13" i="22"/>
  <c r="K13" i="22" s="1"/>
  <c r="F13" i="22"/>
  <c r="N12" i="22"/>
  <c r="H12" i="22"/>
  <c r="J12" i="22" s="1"/>
  <c r="F12" i="22"/>
  <c r="N11" i="22"/>
  <c r="H11" i="22"/>
  <c r="K11" i="22" s="1"/>
  <c r="F11" i="22"/>
  <c r="N10" i="22"/>
  <c r="H10" i="22"/>
  <c r="K10" i="22" s="1"/>
  <c r="F10" i="22"/>
  <c r="N9" i="22"/>
  <c r="H9" i="22"/>
  <c r="J9" i="22" s="1"/>
  <c r="F9" i="22"/>
  <c r="N8" i="22"/>
  <c r="H8" i="22"/>
  <c r="I8" i="22" s="1"/>
  <c r="L8" i="22" s="1"/>
  <c r="F8" i="22"/>
  <c r="N7" i="22"/>
  <c r="H7" i="22"/>
  <c r="K7" i="22" s="1"/>
  <c r="F7" i="22"/>
  <c r="N6" i="22"/>
  <c r="H6" i="22"/>
  <c r="J6" i="22" s="1"/>
  <c r="F6" i="22"/>
  <c r="N5" i="22"/>
  <c r="C115" i="11" s="1"/>
  <c r="H5" i="22"/>
  <c r="F5" i="22"/>
  <c r="J33" i="18"/>
  <c r="K33" i="18" s="1"/>
  <c r="K32" i="18"/>
  <c r="J32" i="18"/>
  <c r="J31" i="18"/>
  <c r="K31" i="18" s="1"/>
  <c r="J30" i="18"/>
  <c r="K30" i="18" s="1"/>
  <c r="J29" i="18"/>
  <c r="K29" i="18" s="1"/>
  <c r="J28" i="18"/>
  <c r="K28" i="18" s="1"/>
  <c r="I94" i="20" s="1"/>
  <c r="K27" i="18"/>
  <c r="J27" i="18"/>
  <c r="J26" i="18"/>
  <c r="K26" i="18" s="1"/>
  <c r="J25" i="18"/>
  <c r="K25" i="18" s="1"/>
  <c r="J24" i="18"/>
  <c r="K24" i="18" s="1"/>
  <c r="I30" i="20" s="1"/>
  <c r="K23" i="18"/>
  <c r="J23" i="18"/>
  <c r="J22" i="18"/>
  <c r="K22" i="18" s="1"/>
  <c r="J21" i="18"/>
  <c r="K21" i="18" s="1"/>
  <c r="K20" i="18"/>
  <c r="J20" i="18"/>
  <c r="J19" i="18"/>
  <c r="K19" i="18" s="1"/>
  <c r="I14" i="20" s="1"/>
  <c r="K18" i="18"/>
  <c r="J18" i="18"/>
  <c r="J17" i="18"/>
  <c r="K17" i="18" s="1"/>
  <c r="J16" i="18"/>
  <c r="K16" i="18" s="1"/>
  <c r="J15" i="18"/>
  <c r="K15" i="18" s="1"/>
  <c r="K14" i="18"/>
  <c r="J14" i="18"/>
  <c r="J13" i="18"/>
  <c r="K13" i="18" s="1"/>
  <c r="J12" i="18"/>
  <c r="K12" i="18" s="1"/>
  <c r="K11" i="18"/>
  <c r="J11" i="18"/>
  <c r="J10" i="18"/>
  <c r="K10" i="18" s="1"/>
  <c r="I22" i="20" s="1"/>
  <c r="J9" i="18"/>
  <c r="K9" i="18" s="1"/>
  <c r="J8" i="18"/>
  <c r="K8" i="18" s="1"/>
  <c r="I78" i="20" s="1"/>
  <c r="J7" i="18"/>
  <c r="K7" i="18" s="1"/>
  <c r="J6" i="18"/>
  <c r="K6" i="18" s="1"/>
  <c r="J5" i="18"/>
  <c r="K5" i="18" s="1"/>
  <c r="K4" i="18"/>
  <c r="J4" i="18"/>
  <c r="J3" i="18"/>
  <c r="K3" i="18" s="1"/>
  <c r="K2" i="18"/>
  <c r="J2" i="18"/>
  <c r="Q11" i="6"/>
  <c r="R11" i="6" s="1"/>
  <c r="M11" i="6"/>
  <c r="N11" i="6" s="1"/>
  <c r="Q10" i="6"/>
  <c r="R10" i="6" s="1"/>
  <c r="M10" i="6"/>
  <c r="N10" i="6" s="1"/>
  <c r="Q9" i="6"/>
  <c r="R9" i="6" s="1"/>
  <c r="M9" i="6"/>
  <c r="N9" i="6" s="1"/>
  <c r="Q8" i="6"/>
  <c r="R8" i="6" s="1"/>
  <c r="M8" i="6"/>
  <c r="N8" i="6" s="1"/>
  <c r="Q7" i="6"/>
  <c r="R7" i="6" s="1"/>
  <c r="M7" i="6"/>
  <c r="N7" i="6" s="1"/>
  <c r="Q6" i="6"/>
  <c r="R6" i="6" s="1"/>
  <c r="M6" i="6"/>
  <c r="N6" i="6" s="1"/>
  <c r="Q5" i="6"/>
  <c r="R5" i="6" s="1"/>
  <c r="M5" i="6"/>
  <c r="N5" i="6" s="1"/>
  <c r="Q4" i="6"/>
  <c r="R4" i="6" s="1"/>
  <c r="M4" i="6"/>
  <c r="N4" i="6" s="1"/>
  <c r="J2000" i="20"/>
  <c r="J1999" i="20"/>
  <c r="J1998" i="20"/>
  <c r="J1997" i="20"/>
  <c r="J1996" i="20"/>
  <c r="J1995" i="20"/>
  <c r="J1994" i="20"/>
  <c r="J1993" i="20"/>
  <c r="J1992" i="20"/>
  <c r="J1991" i="20"/>
  <c r="J1990" i="20"/>
  <c r="J1989" i="20"/>
  <c r="J1988" i="20"/>
  <c r="J1987" i="20"/>
  <c r="J1986" i="20"/>
  <c r="J1985" i="20"/>
  <c r="J1984" i="20"/>
  <c r="J1983" i="20"/>
  <c r="J1982" i="20"/>
  <c r="J1981" i="20"/>
  <c r="J1980" i="20"/>
  <c r="J1979" i="20"/>
  <c r="J1978" i="20"/>
  <c r="J1977" i="20"/>
  <c r="J1976" i="20"/>
  <c r="J1975" i="20"/>
  <c r="J1974" i="20"/>
  <c r="J1973" i="20"/>
  <c r="J1972" i="20"/>
  <c r="J1971" i="20"/>
  <c r="J1970" i="20"/>
  <c r="J1969" i="20"/>
  <c r="J1968" i="20"/>
  <c r="J1967" i="20"/>
  <c r="J1966" i="20"/>
  <c r="J1965" i="20"/>
  <c r="J1964" i="20"/>
  <c r="J1963" i="20"/>
  <c r="J1962" i="20"/>
  <c r="J1961" i="20"/>
  <c r="J1960" i="20"/>
  <c r="J1959" i="20"/>
  <c r="J1958" i="20"/>
  <c r="J1957" i="20"/>
  <c r="J1956" i="20"/>
  <c r="J1955" i="20"/>
  <c r="J1954" i="20"/>
  <c r="J1953" i="20"/>
  <c r="J1952" i="20"/>
  <c r="J1951" i="20"/>
  <c r="J1950" i="20"/>
  <c r="J1949" i="20"/>
  <c r="J1948" i="20"/>
  <c r="J1947" i="20"/>
  <c r="J1946" i="20"/>
  <c r="J1945" i="20"/>
  <c r="J1944" i="20"/>
  <c r="J1943" i="20"/>
  <c r="J1942" i="20"/>
  <c r="J1941" i="20"/>
  <c r="J1940" i="20"/>
  <c r="J1939" i="20"/>
  <c r="J1938" i="20"/>
  <c r="J1937" i="20"/>
  <c r="J1936" i="20"/>
  <c r="J1935" i="20"/>
  <c r="J1934" i="20"/>
  <c r="J1933" i="20"/>
  <c r="J1932" i="20"/>
  <c r="J1931" i="20"/>
  <c r="J1930" i="20"/>
  <c r="J1929" i="20"/>
  <c r="J1928" i="20"/>
  <c r="J1927" i="20"/>
  <c r="J1926" i="20"/>
  <c r="J1925" i="20"/>
  <c r="J1924" i="20"/>
  <c r="J1923" i="20"/>
  <c r="J1922" i="20"/>
  <c r="J1921" i="20"/>
  <c r="J1920" i="20"/>
  <c r="J1919" i="20"/>
  <c r="J1918" i="20"/>
  <c r="J1917" i="20"/>
  <c r="J1916" i="20"/>
  <c r="J1915" i="20"/>
  <c r="J1914" i="20"/>
  <c r="J1913" i="20"/>
  <c r="J1912" i="20"/>
  <c r="J1911" i="20"/>
  <c r="J1910" i="20"/>
  <c r="J1909" i="20"/>
  <c r="J1908" i="20"/>
  <c r="J1907" i="20"/>
  <c r="J1906" i="20"/>
  <c r="J1905" i="20"/>
  <c r="J1904" i="20"/>
  <c r="J1903" i="20"/>
  <c r="J1902" i="20"/>
  <c r="J1901" i="20"/>
  <c r="J1900" i="20"/>
  <c r="J1899" i="20"/>
  <c r="J1898" i="20"/>
  <c r="J1897" i="20"/>
  <c r="J1896" i="20"/>
  <c r="J1895" i="20"/>
  <c r="J1894" i="20"/>
  <c r="J1893" i="20"/>
  <c r="J1892" i="20"/>
  <c r="J1891" i="20"/>
  <c r="J1890" i="20"/>
  <c r="J1889" i="20"/>
  <c r="J1888" i="20"/>
  <c r="J1887" i="20"/>
  <c r="J1886" i="20"/>
  <c r="J1885" i="20"/>
  <c r="J1884" i="20"/>
  <c r="J1883" i="20"/>
  <c r="J1882" i="20"/>
  <c r="J1881" i="20"/>
  <c r="J1880" i="20"/>
  <c r="J1879" i="20"/>
  <c r="J1878" i="20"/>
  <c r="J1877" i="20"/>
  <c r="J1876" i="20"/>
  <c r="J1875" i="20"/>
  <c r="J1874" i="20"/>
  <c r="J1873" i="20"/>
  <c r="J1872" i="20"/>
  <c r="J1871" i="20"/>
  <c r="J1870" i="20"/>
  <c r="J1869" i="20"/>
  <c r="J1868" i="20"/>
  <c r="J1867" i="20"/>
  <c r="J1866" i="20"/>
  <c r="J1865" i="20"/>
  <c r="J1864" i="20"/>
  <c r="J1863" i="20"/>
  <c r="J1862" i="20"/>
  <c r="J1861" i="20"/>
  <c r="J1860" i="20"/>
  <c r="J1859" i="20"/>
  <c r="J1858" i="20"/>
  <c r="J1857" i="20"/>
  <c r="J1856" i="20"/>
  <c r="J1855" i="20"/>
  <c r="J1854" i="20"/>
  <c r="J1853" i="20"/>
  <c r="J1852" i="20"/>
  <c r="J1851" i="20"/>
  <c r="J1850" i="20"/>
  <c r="J1849" i="20"/>
  <c r="J1848" i="20"/>
  <c r="J1847" i="20"/>
  <c r="J1846" i="20"/>
  <c r="J1845" i="20"/>
  <c r="J1844" i="20"/>
  <c r="J1843" i="20"/>
  <c r="J1842" i="20"/>
  <c r="J1841" i="20"/>
  <c r="J1840" i="20"/>
  <c r="J1839" i="20"/>
  <c r="J1838" i="20"/>
  <c r="J1837" i="20"/>
  <c r="J1836" i="20"/>
  <c r="J1835" i="20"/>
  <c r="J1834" i="20"/>
  <c r="J1833" i="20"/>
  <c r="J1832" i="20"/>
  <c r="J1831" i="20"/>
  <c r="J1830" i="20"/>
  <c r="J1829" i="20"/>
  <c r="J1828" i="20"/>
  <c r="J1827" i="20"/>
  <c r="J1826" i="20"/>
  <c r="J1825" i="20"/>
  <c r="J1824" i="20"/>
  <c r="J1823" i="20"/>
  <c r="J1822" i="20"/>
  <c r="J1821" i="20"/>
  <c r="J1820" i="20"/>
  <c r="J1819" i="20"/>
  <c r="J1818" i="20"/>
  <c r="J1817" i="20"/>
  <c r="J1816" i="20"/>
  <c r="J1815" i="20"/>
  <c r="J1814" i="20"/>
  <c r="J1813" i="20"/>
  <c r="J1812" i="20"/>
  <c r="J1811" i="20"/>
  <c r="J1810" i="20"/>
  <c r="J1809" i="20"/>
  <c r="J1808" i="20"/>
  <c r="J1807" i="20"/>
  <c r="J1806" i="20"/>
  <c r="J1805" i="20"/>
  <c r="J1804" i="20"/>
  <c r="J1803" i="20"/>
  <c r="J1802" i="20"/>
  <c r="J1801" i="20"/>
  <c r="J1800" i="20"/>
  <c r="J1799" i="20"/>
  <c r="J1798" i="20"/>
  <c r="J1797" i="20"/>
  <c r="J1796" i="20"/>
  <c r="J1795" i="20"/>
  <c r="J1794" i="20"/>
  <c r="J1793" i="20"/>
  <c r="J1792" i="20"/>
  <c r="J1791" i="20"/>
  <c r="J1790" i="20"/>
  <c r="J1789" i="20"/>
  <c r="J1788" i="20"/>
  <c r="J1787" i="20"/>
  <c r="J1786" i="20"/>
  <c r="J1785" i="20"/>
  <c r="J1784" i="20"/>
  <c r="J1783" i="20"/>
  <c r="J1782" i="20"/>
  <c r="J1781" i="20"/>
  <c r="J1780" i="20"/>
  <c r="J1779" i="20"/>
  <c r="J1778" i="20"/>
  <c r="J1777" i="20"/>
  <c r="J1776" i="20"/>
  <c r="J1775" i="20"/>
  <c r="J1774" i="20"/>
  <c r="J1773" i="20"/>
  <c r="J1772" i="20"/>
  <c r="J1771" i="20"/>
  <c r="J1770" i="20"/>
  <c r="J1769" i="20"/>
  <c r="J1768" i="20"/>
  <c r="J1767" i="20"/>
  <c r="J1766" i="20"/>
  <c r="J1765" i="20"/>
  <c r="J1764" i="20"/>
  <c r="J1763" i="20"/>
  <c r="J1762" i="20"/>
  <c r="J1761" i="20"/>
  <c r="J1760" i="20"/>
  <c r="J1759" i="20"/>
  <c r="J1758" i="20"/>
  <c r="J1757" i="20"/>
  <c r="J1756" i="20"/>
  <c r="J1755" i="20"/>
  <c r="J1754" i="20"/>
  <c r="J1753" i="20"/>
  <c r="J1752" i="20"/>
  <c r="J1751" i="20"/>
  <c r="J1750" i="20"/>
  <c r="J1749" i="20"/>
  <c r="J1748" i="20"/>
  <c r="J1747" i="20"/>
  <c r="J1746" i="20"/>
  <c r="J1745" i="20"/>
  <c r="J1744" i="20"/>
  <c r="J1743" i="20"/>
  <c r="J1742" i="20"/>
  <c r="J1741" i="20"/>
  <c r="J1740" i="20"/>
  <c r="J1739" i="20"/>
  <c r="J1738" i="20"/>
  <c r="J1737" i="20"/>
  <c r="J1736" i="20"/>
  <c r="J1735" i="20"/>
  <c r="J1734" i="20"/>
  <c r="J1733" i="20"/>
  <c r="J1732" i="20"/>
  <c r="J1731" i="20"/>
  <c r="J1730" i="20"/>
  <c r="J1729" i="20"/>
  <c r="J1728" i="20"/>
  <c r="J1727" i="20"/>
  <c r="J1726" i="20"/>
  <c r="J1725" i="20"/>
  <c r="J1724" i="20"/>
  <c r="J1723" i="20"/>
  <c r="J1722" i="20"/>
  <c r="J1721" i="20"/>
  <c r="J1720" i="20"/>
  <c r="J1719" i="20"/>
  <c r="J1718" i="20"/>
  <c r="J1717" i="20"/>
  <c r="J1716" i="20"/>
  <c r="J1715" i="20"/>
  <c r="J1714" i="20"/>
  <c r="J1713" i="20"/>
  <c r="J1712" i="20"/>
  <c r="J1711" i="20"/>
  <c r="J1710" i="20"/>
  <c r="J1709" i="20"/>
  <c r="J1708" i="20"/>
  <c r="J1707" i="20"/>
  <c r="J1706" i="20"/>
  <c r="J1705" i="20"/>
  <c r="J1704" i="20"/>
  <c r="J1703" i="20"/>
  <c r="J1702" i="20"/>
  <c r="J1701" i="20"/>
  <c r="J1700" i="20"/>
  <c r="J1699" i="20"/>
  <c r="J1698" i="20"/>
  <c r="J1697" i="20"/>
  <c r="J1696" i="20"/>
  <c r="J1695" i="20"/>
  <c r="J1694" i="20"/>
  <c r="J1693" i="20"/>
  <c r="J1692" i="20"/>
  <c r="J1691" i="20"/>
  <c r="J1690" i="20"/>
  <c r="J1689" i="20"/>
  <c r="J1688" i="20"/>
  <c r="J1687" i="20"/>
  <c r="J1686" i="20"/>
  <c r="J1685" i="20"/>
  <c r="J1684" i="20"/>
  <c r="J1683" i="20"/>
  <c r="J1682" i="20"/>
  <c r="J1681" i="20"/>
  <c r="J1680" i="20"/>
  <c r="J1679" i="20"/>
  <c r="J1678" i="20"/>
  <c r="J1677" i="20"/>
  <c r="J1676" i="20"/>
  <c r="J1675" i="20"/>
  <c r="J1674" i="20"/>
  <c r="J1673" i="20"/>
  <c r="J1672" i="20"/>
  <c r="J1671" i="20"/>
  <c r="J1670" i="20"/>
  <c r="J1669" i="20"/>
  <c r="J1668" i="20"/>
  <c r="J1667" i="20"/>
  <c r="J1666" i="20"/>
  <c r="J1665" i="20"/>
  <c r="J1664" i="20"/>
  <c r="J1663" i="20"/>
  <c r="J1662" i="20"/>
  <c r="J1661" i="20"/>
  <c r="J1660" i="20"/>
  <c r="J1659" i="20"/>
  <c r="J1658" i="20"/>
  <c r="J1657" i="20"/>
  <c r="J1656" i="20"/>
  <c r="J1655" i="20"/>
  <c r="J1654" i="20"/>
  <c r="J1653" i="20"/>
  <c r="J1652" i="20"/>
  <c r="J1651" i="20"/>
  <c r="J1650" i="20"/>
  <c r="J1649" i="20"/>
  <c r="J1648" i="20"/>
  <c r="J1647" i="20"/>
  <c r="J1646" i="20"/>
  <c r="J1645" i="20"/>
  <c r="J1644" i="20"/>
  <c r="J1643" i="20"/>
  <c r="J1642" i="20"/>
  <c r="J1641" i="20"/>
  <c r="J1640" i="20"/>
  <c r="J1639" i="20"/>
  <c r="J1638" i="20"/>
  <c r="J1637" i="20"/>
  <c r="J1636" i="20"/>
  <c r="J1635" i="20"/>
  <c r="J1634" i="20"/>
  <c r="J1633" i="20"/>
  <c r="J1632" i="20"/>
  <c r="J1631" i="20"/>
  <c r="J1630" i="20"/>
  <c r="J1629" i="20"/>
  <c r="J1628" i="20"/>
  <c r="J1627" i="20"/>
  <c r="J1626" i="20"/>
  <c r="J1625" i="20"/>
  <c r="J1624" i="20"/>
  <c r="J1623" i="20"/>
  <c r="J1622" i="20"/>
  <c r="J1621" i="20"/>
  <c r="J1620" i="20"/>
  <c r="J1619" i="20"/>
  <c r="J1618" i="20"/>
  <c r="J1617" i="20"/>
  <c r="J1616" i="20"/>
  <c r="J1615" i="20"/>
  <c r="J1614" i="20"/>
  <c r="J1613" i="20"/>
  <c r="J1612" i="20"/>
  <c r="J1611" i="20"/>
  <c r="J1610" i="20"/>
  <c r="J1609" i="20"/>
  <c r="J1608" i="20"/>
  <c r="J1607" i="20"/>
  <c r="J1606" i="20"/>
  <c r="J1605" i="20"/>
  <c r="J1604" i="20"/>
  <c r="J1603" i="20"/>
  <c r="J1602" i="20"/>
  <c r="J1601" i="20"/>
  <c r="J1600" i="20"/>
  <c r="J1599" i="20"/>
  <c r="J1598" i="20"/>
  <c r="J1597" i="20"/>
  <c r="J1596" i="20"/>
  <c r="J1595" i="20"/>
  <c r="J1594" i="20"/>
  <c r="J1593" i="20"/>
  <c r="J1592" i="20"/>
  <c r="J1591" i="20"/>
  <c r="J1590" i="20"/>
  <c r="J1589" i="20"/>
  <c r="J1588" i="20"/>
  <c r="J1587" i="20"/>
  <c r="J1586" i="20"/>
  <c r="J1585" i="20"/>
  <c r="J1584" i="20"/>
  <c r="J1583" i="20"/>
  <c r="J1582" i="20"/>
  <c r="J1581" i="20"/>
  <c r="J1580" i="20"/>
  <c r="J1579" i="20"/>
  <c r="J1578" i="20"/>
  <c r="J1577" i="20"/>
  <c r="J1576" i="20"/>
  <c r="J1575" i="20"/>
  <c r="J1574" i="20"/>
  <c r="J1573" i="20"/>
  <c r="J1572" i="20"/>
  <c r="J1571" i="20"/>
  <c r="J1570" i="20"/>
  <c r="J1569" i="20"/>
  <c r="J1568" i="20"/>
  <c r="J1567" i="20"/>
  <c r="J1566" i="20"/>
  <c r="J1565" i="20"/>
  <c r="J1564" i="20"/>
  <c r="J1563" i="20"/>
  <c r="J1562" i="20"/>
  <c r="J1561" i="20"/>
  <c r="J1560" i="20"/>
  <c r="J1559" i="20"/>
  <c r="J1558" i="20"/>
  <c r="J1557" i="20"/>
  <c r="J1556" i="20"/>
  <c r="J1555" i="20"/>
  <c r="J1554" i="20"/>
  <c r="J1553" i="20"/>
  <c r="J1552" i="20"/>
  <c r="J1551" i="20"/>
  <c r="J1550" i="20"/>
  <c r="J1549" i="20"/>
  <c r="J1548" i="20"/>
  <c r="J1547" i="20"/>
  <c r="J1546" i="20"/>
  <c r="J1545" i="20"/>
  <c r="J1544" i="20"/>
  <c r="J1543" i="20"/>
  <c r="J1542" i="20"/>
  <c r="J1541" i="20"/>
  <c r="J1540" i="20"/>
  <c r="J1539" i="20"/>
  <c r="J1538" i="20"/>
  <c r="J1537" i="20"/>
  <c r="J1536" i="20"/>
  <c r="J1535" i="20"/>
  <c r="J1534" i="20"/>
  <c r="J1533" i="20"/>
  <c r="J1532" i="20"/>
  <c r="J1531" i="20"/>
  <c r="J1530" i="20"/>
  <c r="J1529" i="20"/>
  <c r="J1528" i="20"/>
  <c r="J1527" i="20"/>
  <c r="J1526" i="20"/>
  <c r="J1525" i="20"/>
  <c r="J1524" i="20"/>
  <c r="J1523" i="20"/>
  <c r="J1522" i="20"/>
  <c r="J1521" i="20"/>
  <c r="J1520" i="20"/>
  <c r="J1519" i="20"/>
  <c r="J1518" i="20"/>
  <c r="J1517" i="20"/>
  <c r="J1516" i="20"/>
  <c r="J1515" i="20"/>
  <c r="J1514" i="20"/>
  <c r="J1513" i="20"/>
  <c r="J1512" i="20"/>
  <c r="J1511" i="20"/>
  <c r="J1510" i="20"/>
  <c r="J1509" i="20"/>
  <c r="J1508" i="20"/>
  <c r="J1507" i="20"/>
  <c r="J1506" i="20"/>
  <c r="J1505" i="20"/>
  <c r="J1504" i="20"/>
  <c r="J1503" i="20"/>
  <c r="J1502" i="20"/>
  <c r="J1501" i="20"/>
  <c r="J1500" i="20"/>
  <c r="J1499" i="20"/>
  <c r="J1498" i="20"/>
  <c r="J1497" i="20"/>
  <c r="J1496" i="20"/>
  <c r="J1495" i="20"/>
  <c r="J1494" i="20"/>
  <c r="J1493" i="20"/>
  <c r="J1492" i="20"/>
  <c r="J1491" i="20"/>
  <c r="J1490" i="20"/>
  <c r="J1489" i="20"/>
  <c r="J1488" i="20"/>
  <c r="J1487" i="20"/>
  <c r="J1486" i="20"/>
  <c r="J1485" i="20"/>
  <c r="J1484" i="20"/>
  <c r="J1483" i="20"/>
  <c r="J1482" i="20"/>
  <c r="J1481" i="20"/>
  <c r="J1480" i="20"/>
  <c r="J1479" i="20"/>
  <c r="J1478" i="20"/>
  <c r="J1477" i="20"/>
  <c r="J1476" i="20"/>
  <c r="J1475" i="20"/>
  <c r="J1474" i="20"/>
  <c r="J1473" i="20"/>
  <c r="J1472" i="20"/>
  <c r="J1471" i="20"/>
  <c r="J1470" i="20"/>
  <c r="J1469" i="20"/>
  <c r="J1468" i="20"/>
  <c r="J1467" i="20"/>
  <c r="J1466" i="20"/>
  <c r="J1465" i="20"/>
  <c r="J1464" i="20"/>
  <c r="J1463" i="20"/>
  <c r="J1462" i="20"/>
  <c r="J1461" i="20"/>
  <c r="J1460" i="20"/>
  <c r="J1459" i="20"/>
  <c r="J1458" i="20"/>
  <c r="J1457" i="20"/>
  <c r="J1456" i="20"/>
  <c r="J1455" i="20"/>
  <c r="J1454" i="20"/>
  <c r="J1453" i="20"/>
  <c r="J1452" i="20"/>
  <c r="J1451" i="20"/>
  <c r="J1450" i="20"/>
  <c r="J1449" i="20"/>
  <c r="J1448" i="20"/>
  <c r="J1447" i="20"/>
  <c r="J1446" i="20"/>
  <c r="J1445" i="20"/>
  <c r="J1444" i="20"/>
  <c r="J1443" i="20"/>
  <c r="J1442" i="20"/>
  <c r="J1441" i="20"/>
  <c r="J1440" i="20"/>
  <c r="J1439" i="20"/>
  <c r="J1438" i="20"/>
  <c r="J1437" i="20"/>
  <c r="J1436" i="20"/>
  <c r="J1435" i="20"/>
  <c r="J1434" i="20"/>
  <c r="J1433" i="20"/>
  <c r="J1432" i="20"/>
  <c r="J1431" i="20"/>
  <c r="J1430" i="20"/>
  <c r="J1429" i="20"/>
  <c r="J1428" i="20"/>
  <c r="J1427" i="20"/>
  <c r="J1426" i="20"/>
  <c r="J1425" i="20"/>
  <c r="J1424" i="20"/>
  <c r="J1423" i="20"/>
  <c r="J1422" i="20"/>
  <c r="J1421" i="20"/>
  <c r="J1420" i="20"/>
  <c r="J1419" i="20"/>
  <c r="J1418" i="20"/>
  <c r="J1417" i="20"/>
  <c r="J1416" i="20"/>
  <c r="J1415" i="20"/>
  <c r="J1414" i="20"/>
  <c r="J1413" i="20"/>
  <c r="J1412" i="20"/>
  <c r="J1411" i="20"/>
  <c r="J1410" i="20"/>
  <c r="J1409" i="20"/>
  <c r="J1408" i="20"/>
  <c r="J1407" i="20"/>
  <c r="J1406" i="20"/>
  <c r="J1405" i="20"/>
  <c r="J1404" i="20"/>
  <c r="J1403" i="20"/>
  <c r="J1402" i="20"/>
  <c r="J1401" i="20"/>
  <c r="J1400" i="20"/>
  <c r="J1399" i="20"/>
  <c r="J1398" i="20"/>
  <c r="J1397" i="20"/>
  <c r="J1396" i="20"/>
  <c r="J1395" i="20"/>
  <c r="J1394" i="20"/>
  <c r="J1393" i="20"/>
  <c r="J1392" i="20"/>
  <c r="J1391" i="20"/>
  <c r="J1390" i="20"/>
  <c r="J1389" i="20"/>
  <c r="J1388" i="20"/>
  <c r="J1387" i="20"/>
  <c r="J1386" i="20"/>
  <c r="J1385" i="20"/>
  <c r="J1384" i="20"/>
  <c r="J1383" i="20"/>
  <c r="J1382" i="20"/>
  <c r="J1381" i="20"/>
  <c r="J1380" i="20"/>
  <c r="J1379" i="20"/>
  <c r="J1378" i="20"/>
  <c r="J1377" i="20"/>
  <c r="J1376" i="20"/>
  <c r="J1375" i="20"/>
  <c r="J1374" i="20"/>
  <c r="J1373" i="20"/>
  <c r="J1372" i="20"/>
  <c r="J1371" i="20"/>
  <c r="J1370" i="20"/>
  <c r="J1369" i="20"/>
  <c r="J1368" i="20"/>
  <c r="J1367" i="20"/>
  <c r="J1366" i="20"/>
  <c r="J1365" i="20"/>
  <c r="J1364" i="20"/>
  <c r="J1363" i="20"/>
  <c r="J1362" i="20"/>
  <c r="J1361" i="20"/>
  <c r="J1360" i="20"/>
  <c r="J1359" i="20"/>
  <c r="J1358" i="20"/>
  <c r="J1357" i="20"/>
  <c r="J1356" i="20"/>
  <c r="J1355" i="20"/>
  <c r="J1354" i="20"/>
  <c r="J1353" i="20"/>
  <c r="J1352" i="20"/>
  <c r="J1351" i="20"/>
  <c r="J1350" i="20"/>
  <c r="J1349" i="20"/>
  <c r="J1348" i="20"/>
  <c r="J1347" i="20"/>
  <c r="J1346" i="20"/>
  <c r="J1345" i="20"/>
  <c r="J1344" i="20"/>
  <c r="J1343" i="20"/>
  <c r="J1342" i="20"/>
  <c r="J1341" i="20"/>
  <c r="J1340" i="20"/>
  <c r="J1339" i="20"/>
  <c r="J1338" i="20"/>
  <c r="J1337" i="20"/>
  <c r="J1336" i="20"/>
  <c r="J1335" i="20"/>
  <c r="J1334" i="20"/>
  <c r="J1333" i="20"/>
  <c r="J1332" i="20"/>
  <c r="J1331" i="20"/>
  <c r="J1330" i="20"/>
  <c r="J1329" i="20"/>
  <c r="J1328" i="20"/>
  <c r="J1327" i="20"/>
  <c r="J1326" i="20"/>
  <c r="J1325" i="20"/>
  <c r="J1324" i="20"/>
  <c r="J1323" i="20"/>
  <c r="J1322" i="20"/>
  <c r="J1321" i="20"/>
  <c r="J1320" i="20"/>
  <c r="J1319" i="20"/>
  <c r="J1318" i="20"/>
  <c r="J1317" i="20"/>
  <c r="J1316" i="20"/>
  <c r="J1315" i="20"/>
  <c r="J1314" i="20"/>
  <c r="J1313" i="20"/>
  <c r="J1312" i="20"/>
  <c r="J1311" i="20"/>
  <c r="J1310" i="20"/>
  <c r="J1309" i="20"/>
  <c r="J1308" i="20"/>
  <c r="J1307" i="20"/>
  <c r="J1306" i="20"/>
  <c r="J1305" i="20"/>
  <c r="J1304" i="20"/>
  <c r="J1303" i="20"/>
  <c r="J1302" i="20"/>
  <c r="J1301" i="20"/>
  <c r="J1300" i="20"/>
  <c r="J1299" i="20"/>
  <c r="J1298" i="20"/>
  <c r="J1297" i="20"/>
  <c r="J1296" i="20"/>
  <c r="J1295" i="20"/>
  <c r="J1294" i="20"/>
  <c r="J1293" i="20"/>
  <c r="J1292" i="20"/>
  <c r="J1291" i="20"/>
  <c r="J1290" i="20"/>
  <c r="J1289" i="20"/>
  <c r="J1288" i="20"/>
  <c r="J1287" i="20"/>
  <c r="J1286" i="20"/>
  <c r="J1285" i="20"/>
  <c r="J1284" i="20"/>
  <c r="J1283" i="20"/>
  <c r="J1282" i="20"/>
  <c r="J1281" i="20"/>
  <c r="J1280" i="20"/>
  <c r="J1279" i="20"/>
  <c r="J1278" i="20"/>
  <c r="J1277" i="20"/>
  <c r="J1276" i="20"/>
  <c r="J1275" i="20"/>
  <c r="J1274" i="20"/>
  <c r="J1273" i="20"/>
  <c r="J1272" i="20"/>
  <c r="J1271" i="20"/>
  <c r="J1270" i="20"/>
  <c r="J1269" i="20"/>
  <c r="J1268" i="20"/>
  <c r="J1267" i="20"/>
  <c r="J1266" i="20"/>
  <c r="J1265" i="20"/>
  <c r="J1264" i="20"/>
  <c r="J1263" i="20"/>
  <c r="J1262" i="20"/>
  <c r="J1261" i="20"/>
  <c r="J1260" i="20"/>
  <c r="J1259" i="20"/>
  <c r="J1258" i="20"/>
  <c r="J1257" i="20"/>
  <c r="J1256" i="20"/>
  <c r="J1255" i="20"/>
  <c r="J1254" i="20"/>
  <c r="J1253" i="20"/>
  <c r="J1252" i="20"/>
  <c r="J1251" i="20"/>
  <c r="J1250" i="20"/>
  <c r="J1249" i="20"/>
  <c r="J1248" i="20"/>
  <c r="J1247" i="20"/>
  <c r="J1246" i="20"/>
  <c r="J1245" i="20"/>
  <c r="J1244" i="20"/>
  <c r="J1243" i="20"/>
  <c r="J1242" i="20"/>
  <c r="J1241" i="20"/>
  <c r="J1240" i="20"/>
  <c r="J1239" i="20"/>
  <c r="J1238" i="20"/>
  <c r="J1237" i="20"/>
  <c r="J1236" i="20"/>
  <c r="J1235" i="20"/>
  <c r="J1234" i="20"/>
  <c r="J1233" i="20"/>
  <c r="J1232" i="20"/>
  <c r="J1231" i="20"/>
  <c r="J1230" i="20"/>
  <c r="J1229" i="20"/>
  <c r="J1228" i="20"/>
  <c r="J1227" i="20"/>
  <c r="J1226" i="20"/>
  <c r="J1225" i="20"/>
  <c r="J1224" i="20"/>
  <c r="J1223" i="20"/>
  <c r="J1222" i="20"/>
  <c r="J1221" i="20"/>
  <c r="J1220" i="20"/>
  <c r="J1219" i="20"/>
  <c r="J1218" i="20"/>
  <c r="J1217" i="20"/>
  <c r="J1216" i="20"/>
  <c r="J1215" i="20"/>
  <c r="J1214" i="20"/>
  <c r="J1213" i="20"/>
  <c r="J1212" i="20"/>
  <c r="J1211" i="20"/>
  <c r="J1210" i="20"/>
  <c r="J1209" i="20"/>
  <c r="J1208" i="20"/>
  <c r="J1207" i="20"/>
  <c r="J1206" i="20"/>
  <c r="J1205" i="20"/>
  <c r="J1204" i="20"/>
  <c r="J1203" i="20"/>
  <c r="J1202" i="20"/>
  <c r="J1201" i="20"/>
  <c r="J1200" i="20"/>
  <c r="J1199" i="20"/>
  <c r="J1198" i="20"/>
  <c r="J1197" i="20"/>
  <c r="J1196" i="20"/>
  <c r="J1195" i="20"/>
  <c r="J1194" i="20"/>
  <c r="J1193" i="20"/>
  <c r="J1192" i="20"/>
  <c r="J1191" i="20"/>
  <c r="J1190" i="20"/>
  <c r="J1189" i="20"/>
  <c r="J1188" i="20"/>
  <c r="J1187" i="20"/>
  <c r="J1186" i="20"/>
  <c r="J1185" i="20"/>
  <c r="J1184" i="20"/>
  <c r="J1183" i="20"/>
  <c r="J1182" i="20"/>
  <c r="J1181" i="20"/>
  <c r="J1180" i="20"/>
  <c r="J1179" i="20"/>
  <c r="J1178" i="20"/>
  <c r="J1177" i="20"/>
  <c r="J1176" i="20"/>
  <c r="J1175" i="20"/>
  <c r="J1174" i="20"/>
  <c r="J1173" i="20"/>
  <c r="J1172" i="20"/>
  <c r="J1171" i="20"/>
  <c r="J1170" i="20"/>
  <c r="J1169" i="20"/>
  <c r="J1168" i="20"/>
  <c r="J1167" i="20"/>
  <c r="J1166" i="20"/>
  <c r="J1165" i="20"/>
  <c r="J1164" i="20"/>
  <c r="J1163" i="20"/>
  <c r="J1162" i="20"/>
  <c r="J1161" i="20"/>
  <c r="J1160" i="20"/>
  <c r="J1159" i="20"/>
  <c r="J1158" i="20"/>
  <c r="J1157" i="20"/>
  <c r="J1156" i="20"/>
  <c r="J1155" i="20"/>
  <c r="J1154" i="20"/>
  <c r="J1153" i="20"/>
  <c r="J1152" i="20"/>
  <c r="J1151" i="20"/>
  <c r="J1150" i="20"/>
  <c r="J1149" i="20"/>
  <c r="J1148" i="20"/>
  <c r="J1147" i="20"/>
  <c r="J1146" i="20"/>
  <c r="J1145" i="20"/>
  <c r="J1144" i="20"/>
  <c r="J1143" i="20"/>
  <c r="J1142" i="20"/>
  <c r="J1141" i="20"/>
  <c r="J1140" i="20"/>
  <c r="J1139" i="20"/>
  <c r="J1138" i="20"/>
  <c r="J1137" i="20"/>
  <c r="J1136" i="20"/>
  <c r="J1135" i="20"/>
  <c r="J1134" i="20"/>
  <c r="J1133" i="20"/>
  <c r="J1132" i="20"/>
  <c r="J1131" i="20"/>
  <c r="J1130" i="20"/>
  <c r="J1129" i="20"/>
  <c r="J1128" i="20"/>
  <c r="J1127" i="20"/>
  <c r="J1126" i="20"/>
  <c r="J1125" i="20"/>
  <c r="J1124" i="20"/>
  <c r="J1123" i="20"/>
  <c r="J1122" i="20"/>
  <c r="J1121" i="20"/>
  <c r="J1120" i="20"/>
  <c r="J1119" i="20"/>
  <c r="J1118" i="20"/>
  <c r="J1117" i="20"/>
  <c r="J1116" i="20"/>
  <c r="J1115" i="20"/>
  <c r="J1114" i="20"/>
  <c r="J1113" i="20"/>
  <c r="J1112" i="20"/>
  <c r="J1111" i="20"/>
  <c r="J1110" i="20"/>
  <c r="J1109" i="20"/>
  <c r="J1108" i="20"/>
  <c r="J1107" i="20"/>
  <c r="J1106" i="20"/>
  <c r="J1105" i="20"/>
  <c r="J1104" i="20"/>
  <c r="J1103" i="20"/>
  <c r="J1102" i="20"/>
  <c r="J1101" i="20"/>
  <c r="J1100" i="20"/>
  <c r="J1099" i="20"/>
  <c r="J1098" i="20"/>
  <c r="J1097" i="20"/>
  <c r="J1096" i="20"/>
  <c r="J1095" i="20"/>
  <c r="J1094" i="20"/>
  <c r="J1093" i="20"/>
  <c r="J1092" i="20"/>
  <c r="J1091" i="20"/>
  <c r="J1090" i="20"/>
  <c r="J1089" i="20"/>
  <c r="J1088" i="20"/>
  <c r="J1087" i="20"/>
  <c r="J1086" i="20"/>
  <c r="J1085" i="20"/>
  <c r="J1084" i="20"/>
  <c r="J1083" i="20"/>
  <c r="J1082" i="20"/>
  <c r="J1081" i="20"/>
  <c r="J1080" i="20"/>
  <c r="J1079" i="20"/>
  <c r="J1078" i="20"/>
  <c r="J1077" i="20"/>
  <c r="J1076" i="20"/>
  <c r="J1075" i="20"/>
  <c r="J1074" i="20"/>
  <c r="J1073" i="20"/>
  <c r="J1072" i="20"/>
  <c r="J1071" i="20"/>
  <c r="J1070" i="20"/>
  <c r="J1069" i="20"/>
  <c r="J1068" i="20"/>
  <c r="J1067" i="20"/>
  <c r="J1066" i="20"/>
  <c r="J1065" i="20"/>
  <c r="J1064" i="20"/>
  <c r="J1063" i="20"/>
  <c r="J1062" i="20"/>
  <c r="J1061" i="20"/>
  <c r="J1060" i="20"/>
  <c r="J1059" i="20"/>
  <c r="J1058" i="20"/>
  <c r="J1057" i="20"/>
  <c r="J1056" i="20"/>
  <c r="J1055" i="20"/>
  <c r="J1054" i="20"/>
  <c r="J1053" i="20"/>
  <c r="J1052" i="20"/>
  <c r="J1051" i="20"/>
  <c r="J1050" i="20"/>
  <c r="J1049" i="20"/>
  <c r="J1048" i="20"/>
  <c r="J1047" i="20"/>
  <c r="J1046" i="20"/>
  <c r="J1045" i="20"/>
  <c r="J1044" i="20"/>
  <c r="J1043" i="20"/>
  <c r="J1042" i="20"/>
  <c r="J1041" i="20"/>
  <c r="J1040" i="20"/>
  <c r="J1039" i="20"/>
  <c r="J1038" i="20"/>
  <c r="J1037" i="20"/>
  <c r="J1036" i="20"/>
  <c r="J1035" i="20"/>
  <c r="J1034" i="20"/>
  <c r="J1033" i="20"/>
  <c r="J1032" i="20"/>
  <c r="J1031" i="20"/>
  <c r="J1030" i="20"/>
  <c r="J1029" i="20"/>
  <c r="J1028" i="20"/>
  <c r="J1027" i="20"/>
  <c r="J1026" i="20"/>
  <c r="J1025" i="20"/>
  <c r="J1024" i="20"/>
  <c r="J1023" i="20"/>
  <c r="J1022" i="20"/>
  <c r="J1021" i="20"/>
  <c r="J1020" i="20"/>
  <c r="J1019" i="20"/>
  <c r="J1018" i="20"/>
  <c r="J1017" i="20"/>
  <c r="J1016" i="20"/>
  <c r="J1015" i="20"/>
  <c r="J1014" i="20"/>
  <c r="J1013" i="20"/>
  <c r="J1012" i="20"/>
  <c r="J1011" i="20"/>
  <c r="J1010" i="20"/>
  <c r="J1009" i="20"/>
  <c r="J1008" i="20"/>
  <c r="J1007" i="20"/>
  <c r="J1006" i="20"/>
  <c r="J1005" i="20"/>
  <c r="J1004" i="20"/>
  <c r="J1003" i="20"/>
  <c r="J1002" i="20"/>
  <c r="J1001" i="20"/>
  <c r="J1000" i="20"/>
  <c r="J999" i="20"/>
  <c r="J998" i="20"/>
  <c r="J997" i="20"/>
  <c r="J996" i="20"/>
  <c r="J995" i="20"/>
  <c r="J994" i="20"/>
  <c r="J993" i="20"/>
  <c r="J992" i="20"/>
  <c r="J991" i="20"/>
  <c r="J990" i="20"/>
  <c r="J989" i="20"/>
  <c r="J988" i="20"/>
  <c r="J987" i="20"/>
  <c r="J986" i="20"/>
  <c r="J985" i="20"/>
  <c r="J984" i="20"/>
  <c r="J983" i="20"/>
  <c r="J982" i="20"/>
  <c r="J981" i="20"/>
  <c r="J980" i="20"/>
  <c r="J979" i="20"/>
  <c r="J978" i="20"/>
  <c r="J977" i="20"/>
  <c r="J976" i="20"/>
  <c r="J975" i="20"/>
  <c r="J974" i="20"/>
  <c r="J973" i="20"/>
  <c r="J972" i="20"/>
  <c r="J971" i="20"/>
  <c r="J970" i="20"/>
  <c r="J969" i="20"/>
  <c r="J968" i="20"/>
  <c r="J967" i="20"/>
  <c r="J966" i="20"/>
  <c r="J965" i="20"/>
  <c r="J964" i="20"/>
  <c r="J963" i="20"/>
  <c r="J962" i="20"/>
  <c r="J961" i="20"/>
  <c r="J960" i="20"/>
  <c r="J959" i="20"/>
  <c r="J958" i="20"/>
  <c r="J957" i="20"/>
  <c r="J956" i="20"/>
  <c r="J955" i="20"/>
  <c r="J954" i="20"/>
  <c r="J953" i="20"/>
  <c r="J952" i="20"/>
  <c r="J951" i="20"/>
  <c r="J950" i="20"/>
  <c r="J949" i="20"/>
  <c r="J948" i="20"/>
  <c r="J947" i="20"/>
  <c r="J946" i="20"/>
  <c r="J945" i="20"/>
  <c r="J944" i="20"/>
  <c r="J943" i="20"/>
  <c r="J942" i="20"/>
  <c r="J941" i="20"/>
  <c r="J940" i="20"/>
  <c r="J939" i="20"/>
  <c r="J938" i="20"/>
  <c r="J937" i="20"/>
  <c r="J936" i="20"/>
  <c r="J935" i="20"/>
  <c r="J934" i="20"/>
  <c r="J933" i="20"/>
  <c r="J932" i="20"/>
  <c r="J931" i="20"/>
  <c r="J930" i="20"/>
  <c r="J929" i="20"/>
  <c r="J928" i="20"/>
  <c r="J927" i="20"/>
  <c r="J926" i="20"/>
  <c r="J925" i="20"/>
  <c r="J924" i="20"/>
  <c r="J923" i="20"/>
  <c r="J922" i="20"/>
  <c r="J921" i="20"/>
  <c r="J920" i="20"/>
  <c r="J919" i="20"/>
  <c r="J918" i="20"/>
  <c r="J917" i="20"/>
  <c r="J916" i="20"/>
  <c r="J915" i="20"/>
  <c r="J914" i="20"/>
  <c r="J913" i="20"/>
  <c r="J912" i="20"/>
  <c r="J911" i="20"/>
  <c r="J910" i="20"/>
  <c r="J909" i="20"/>
  <c r="J908" i="20"/>
  <c r="J907" i="20"/>
  <c r="J906" i="20"/>
  <c r="J905" i="20"/>
  <c r="J904" i="20"/>
  <c r="J903" i="20"/>
  <c r="J902" i="20"/>
  <c r="J901" i="20"/>
  <c r="J900" i="20"/>
  <c r="J899" i="20"/>
  <c r="J898" i="20"/>
  <c r="J897" i="20"/>
  <c r="J896" i="20"/>
  <c r="J895" i="20"/>
  <c r="J894" i="20"/>
  <c r="J893" i="20"/>
  <c r="J892" i="20"/>
  <c r="J891" i="20"/>
  <c r="J890" i="20"/>
  <c r="J889" i="20"/>
  <c r="J888" i="20"/>
  <c r="J887" i="20"/>
  <c r="J886" i="20"/>
  <c r="J885" i="20"/>
  <c r="J884" i="20"/>
  <c r="J883" i="20"/>
  <c r="J882" i="20"/>
  <c r="J881" i="20"/>
  <c r="J880" i="20"/>
  <c r="J879" i="20"/>
  <c r="J878" i="20"/>
  <c r="J877" i="20"/>
  <c r="J876" i="20"/>
  <c r="J875" i="20"/>
  <c r="J874" i="20"/>
  <c r="J873" i="20"/>
  <c r="J872" i="20"/>
  <c r="J871" i="20"/>
  <c r="J870" i="20"/>
  <c r="J869" i="20"/>
  <c r="J868" i="20"/>
  <c r="J867" i="20"/>
  <c r="J866" i="20"/>
  <c r="J865" i="20"/>
  <c r="J864" i="20"/>
  <c r="J863" i="20"/>
  <c r="J862" i="20"/>
  <c r="J861" i="20"/>
  <c r="J860" i="20"/>
  <c r="J859" i="20"/>
  <c r="J858" i="20"/>
  <c r="J857" i="20"/>
  <c r="J856" i="20"/>
  <c r="J855" i="20"/>
  <c r="J854" i="20"/>
  <c r="J853" i="20"/>
  <c r="J852" i="20"/>
  <c r="J851" i="20"/>
  <c r="J850" i="20"/>
  <c r="J849" i="20"/>
  <c r="J848" i="20"/>
  <c r="J847" i="20"/>
  <c r="J846" i="20"/>
  <c r="J845" i="20"/>
  <c r="J844" i="20"/>
  <c r="J843" i="20"/>
  <c r="J842" i="20"/>
  <c r="J841" i="20"/>
  <c r="J840" i="20"/>
  <c r="J839" i="20"/>
  <c r="J838" i="20"/>
  <c r="J837" i="20"/>
  <c r="J836" i="20"/>
  <c r="J835" i="20"/>
  <c r="J834" i="20"/>
  <c r="J833" i="20"/>
  <c r="J832" i="20"/>
  <c r="J831" i="20"/>
  <c r="J830" i="20"/>
  <c r="J829" i="20"/>
  <c r="J828" i="20"/>
  <c r="J827" i="20"/>
  <c r="J826" i="20"/>
  <c r="J825" i="20"/>
  <c r="J824" i="20"/>
  <c r="J823" i="20"/>
  <c r="J822" i="20"/>
  <c r="J821" i="20"/>
  <c r="J820" i="20"/>
  <c r="J819" i="20"/>
  <c r="J818" i="20"/>
  <c r="J817" i="20"/>
  <c r="J816" i="20"/>
  <c r="J815" i="20"/>
  <c r="J814" i="20"/>
  <c r="J813" i="20"/>
  <c r="J812" i="20"/>
  <c r="J811" i="20"/>
  <c r="J810" i="20"/>
  <c r="J809" i="20"/>
  <c r="J808" i="20"/>
  <c r="J807" i="20"/>
  <c r="J806" i="20"/>
  <c r="J805" i="20"/>
  <c r="J804" i="20"/>
  <c r="J803" i="20"/>
  <c r="J802" i="20"/>
  <c r="J801" i="20"/>
  <c r="J800" i="20"/>
  <c r="J799" i="20"/>
  <c r="J798" i="20"/>
  <c r="J797" i="20"/>
  <c r="J796" i="20"/>
  <c r="J795" i="20"/>
  <c r="J794" i="20"/>
  <c r="J793" i="20"/>
  <c r="J792" i="20"/>
  <c r="J791" i="20"/>
  <c r="J790" i="20"/>
  <c r="J789" i="20"/>
  <c r="J788" i="20"/>
  <c r="J787" i="20"/>
  <c r="J786" i="20"/>
  <c r="J785" i="20"/>
  <c r="J784" i="20"/>
  <c r="J783" i="20"/>
  <c r="J782" i="20"/>
  <c r="J781" i="20"/>
  <c r="J780" i="20"/>
  <c r="J779" i="20"/>
  <c r="J778" i="20"/>
  <c r="J777" i="20"/>
  <c r="J776" i="20"/>
  <c r="J775" i="20"/>
  <c r="J774" i="20"/>
  <c r="J773" i="20"/>
  <c r="J772" i="20"/>
  <c r="J771" i="20"/>
  <c r="J770" i="20"/>
  <c r="J769" i="20"/>
  <c r="J768" i="20"/>
  <c r="J767" i="20"/>
  <c r="J766" i="20"/>
  <c r="J765" i="20"/>
  <c r="J764" i="20"/>
  <c r="J763" i="20"/>
  <c r="J762" i="20"/>
  <c r="J761" i="20"/>
  <c r="J760" i="20"/>
  <c r="J759" i="20"/>
  <c r="J758" i="20"/>
  <c r="J757" i="20"/>
  <c r="J756" i="20"/>
  <c r="J755" i="20"/>
  <c r="J754" i="20"/>
  <c r="J753" i="20"/>
  <c r="J752" i="20"/>
  <c r="J751" i="20"/>
  <c r="J750" i="20"/>
  <c r="J749" i="20"/>
  <c r="J748" i="20"/>
  <c r="J747" i="20"/>
  <c r="J746" i="20"/>
  <c r="J745" i="20"/>
  <c r="J744" i="20"/>
  <c r="J743" i="20"/>
  <c r="J742" i="20"/>
  <c r="J741" i="20"/>
  <c r="J740" i="20"/>
  <c r="J739" i="20"/>
  <c r="J738" i="20"/>
  <c r="J737" i="20"/>
  <c r="J736" i="20"/>
  <c r="J735" i="20"/>
  <c r="J734" i="20"/>
  <c r="J733" i="20"/>
  <c r="J732" i="20"/>
  <c r="J731" i="20"/>
  <c r="J730" i="20"/>
  <c r="J729" i="20"/>
  <c r="J728" i="20"/>
  <c r="J727" i="20"/>
  <c r="J726" i="20"/>
  <c r="J725" i="20"/>
  <c r="J724" i="20"/>
  <c r="J723" i="20"/>
  <c r="J722" i="20"/>
  <c r="J721" i="20"/>
  <c r="J720" i="20"/>
  <c r="J719" i="20"/>
  <c r="J718" i="20"/>
  <c r="J717" i="20"/>
  <c r="J716" i="20"/>
  <c r="J715" i="20"/>
  <c r="J714" i="20"/>
  <c r="J713" i="20"/>
  <c r="J712" i="20"/>
  <c r="J711" i="20"/>
  <c r="J710" i="20"/>
  <c r="J709" i="20"/>
  <c r="J708" i="20"/>
  <c r="J707" i="20"/>
  <c r="J706" i="20"/>
  <c r="J705" i="20"/>
  <c r="J704" i="20"/>
  <c r="J703" i="20"/>
  <c r="J702" i="20"/>
  <c r="J701" i="20"/>
  <c r="J700" i="20"/>
  <c r="J699" i="20"/>
  <c r="J698" i="20"/>
  <c r="J697" i="20"/>
  <c r="J696" i="20"/>
  <c r="J695" i="20"/>
  <c r="J694" i="20"/>
  <c r="J693" i="20"/>
  <c r="J692" i="20"/>
  <c r="J691" i="20"/>
  <c r="J690" i="20"/>
  <c r="J689" i="20"/>
  <c r="J688" i="20"/>
  <c r="J687" i="20"/>
  <c r="J686" i="20"/>
  <c r="J685" i="20"/>
  <c r="J684" i="20"/>
  <c r="J683" i="20"/>
  <c r="J682" i="20"/>
  <c r="J681" i="20"/>
  <c r="J680" i="20"/>
  <c r="J679" i="20"/>
  <c r="J678" i="20"/>
  <c r="J677" i="20"/>
  <c r="J676" i="20"/>
  <c r="J675" i="20"/>
  <c r="J674" i="20"/>
  <c r="J673" i="20"/>
  <c r="J672" i="20"/>
  <c r="J671" i="20"/>
  <c r="J670" i="20"/>
  <c r="J669" i="20"/>
  <c r="J668" i="20"/>
  <c r="J667" i="20"/>
  <c r="J666" i="20"/>
  <c r="J665" i="20"/>
  <c r="J664" i="20"/>
  <c r="J663" i="20"/>
  <c r="J662" i="20"/>
  <c r="J661" i="20"/>
  <c r="J660" i="20"/>
  <c r="J659" i="20"/>
  <c r="J658" i="20"/>
  <c r="J657" i="20"/>
  <c r="J656" i="20"/>
  <c r="J655" i="20"/>
  <c r="J654" i="20"/>
  <c r="J653" i="20"/>
  <c r="J652" i="20"/>
  <c r="J651" i="20"/>
  <c r="J650" i="20"/>
  <c r="J649" i="20"/>
  <c r="J648" i="20"/>
  <c r="J647" i="20"/>
  <c r="J646" i="20"/>
  <c r="J645" i="20"/>
  <c r="J644" i="20"/>
  <c r="J643" i="20"/>
  <c r="J642" i="20"/>
  <c r="J641" i="20"/>
  <c r="J640" i="20"/>
  <c r="J639" i="20"/>
  <c r="J638" i="20"/>
  <c r="J637" i="20"/>
  <c r="J636" i="20"/>
  <c r="J635" i="20"/>
  <c r="J634" i="20"/>
  <c r="J633" i="20"/>
  <c r="J632" i="20"/>
  <c r="J631" i="20"/>
  <c r="J630" i="20"/>
  <c r="J629" i="20"/>
  <c r="J628" i="20"/>
  <c r="J627" i="20"/>
  <c r="J626" i="20"/>
  <c r="J625" i="20"/>
  <c r="J624" i="20"/>
  <c r="J623" i="20"/>
  <c r="J622" i="20"/>
  <c r="J621" i="20"/>
  <c r="J620" i="20"/>
  <c r="J619" i="20"/>
  <c r="J618" i="20"/>
  <c r="J617" i="20"/>
  <c r="J616" i="20"/>
  <c r="J615" i="20"/>
  <c r="J614" i="20"/>
  <c r="J613" i="20"/>
  <c r="J612" i="20"/>
  <c r="J611" i="20"/>
  <c r="J610" i="20"/>
  <c r="J609" i="20"/>
  <c r="J608" i="20"/>
  <c r="J607" i="20"/>
  <c r="J606" i="20"/>
  <c r="J605" i="20"/>
  <c r="J604" i="20"/>
  <c r="J603" i="20"/>
  <c r="J602" i="20"/>
  <c r="J601" i="20"/>
  <c r="J600" i="20"/>
  <c r="J599" i="20"/>
  <c r="J598" i="20"/>
  <c r="J597" i="20"/>
  <c r="J596" i="20"/>
  <c r="J595" i="20"/>
  <c r="J594" i="20"/>
  <c r="J593" i="20"/>
  <c r="J592" i="20"/>
  <c r="J591" i="20"/>
  <c r="J590" i="20"/>
  <c r="J589" i="20"/>
  <c r="J588" i="20"/>
  <c r="J587" i="20"/>
  <c r="J586" i="20"/>
  <c r="J585" i="20"/>
  <c r="J584" i="20"/>
  <c r="J583" i="20"/>
  <c r="J582" i="20"/>
  <c r="J581" i="20"/>
  <c r="J580" i="20"/>
  <c r="J579" i="20"/>
  <c r="J578" i="20"/>
  <c r="J577" i="20"/>
  <c r="J576" i="20"/>
  <c r="J575" i="20"/>
  <c r="J574" i="20"/>
  <c r="J573" i="20"/>
  <c r="J572" i="20"/>
  <c r="J571" i="20"/>
  <c r="J570" i="20"/>
  <c r="J569" i="20"/>
  <c r="J568" i="20"/>
  <c r="J567" i="20"/>
  <c r="J566" i="20"/>
  <c r="J565" i="20"/>
  <c r="J564" i="20"/>
  <c r="J563" i="20"/>
  <c r="J562" i="20"/>
  <c r="J561" i="20"/>
  <c r="J560" i="20"/>
  <c r="J559" i="20"/>
  <c r="J558" i="20"/>
  <c r="J557" i="20"/>
  <c r="J556" i="20"/>
  <c r="J555" i="20"/>
  <c r="J554" i="20"/>
  <c r="J553" i="20"/>
  <c r="J552" i="20"/>
  <c r="J551" i="20"/>
  <c r="J550" i="20"/>
  <c r="J549" i="20"/>
  <c r="J548" i="20"/>
  <c r="J547" i="20"/>
  <c r="J546" i="20"/>
  <c r="J545" i="20"/>
  <c r="J544" i="20"/>
  <c r="J543" i="20"/>
  <c r="J542" i="20"/>
  <c r="J541" i="20"/>
  <c r="J540" i="20"/>
  <c r="J539" i="20"/>
  <c r="J538" i="20"/>
  <c r="J537" i="20"/>
  <c r="J536" i="20"/>
  <c r="J535" i="20"/>
  <c r="J534" i="20"/>
  <c r="J533" i="20"/>
  <c r="J532" i="20"/>
  <c r="J531" i="20"/>
  <c r="J530" i="20"/>
  <c r="J529" i="20"/>
  <c r="J528" i="20"/>
  <c r="J527" i="20"/>
  <c r="J526" i="20"/>
  <c r="J525" i="20"/>
  <c r="J524" i="20"/>
  <c r="J523" i="20"/>
  <c r="J522" i="20"/>
  <c r="J521" i="20"/>
  <c r="J520" i="20"/>
  <c r="J519" i="20"/>
  <c r="J518" i="20"/>
  <c r="J517" i="20"/>
  <c r="J516" i="20"/>
  <c r="J515" i="20"/>
  <c r="J514" i="20"/>
  <c r="J513" i="20"/>
  <c r="J512" i="20"/>
  <c r="J511" i="20"/>
  <c r="J510" i="20"/>
  <c r="J509" i="20"/>
  <c r="J508" i="20"/>
  <c r="J507" i="20"/>
  <c r="J506" i="20"/>
  <c r="J505" i="20"/>
  <c r="J504" i="20"/>
  <c r="J503" i="20"/>
  <c r="J502" i="20"/>
  <c r="J501" i="20"/>
  <c r="J500" i="20"/>
  <c r="J499" i="20"/>
  <c r="J498" i="20"/>
  <c r="J497" i="20"/>
  <c r="J496" i="20"/>
  <c r="J495" i="20"/>
  <c r="J494" i="20"/>
  <c r="J493" i="20"/>
  <c r="J492" i="20"/>
  <c r="J491" i="20"/>
  <c r="J490" i="20"/>
  <c r="J489" i="20"/>
  <c r="J488" i="20"/>
  <c r="J487" i="20"/>
  <c r="J486" i="20"/>
  <c r="J485" i="20"/>
  <c r="J484" i="20"/>
  <c r="J483" i="20"/>
  <c r="J482" i="20"/>
  <c r="J481" i="20"/>
  <c r="J480" i="20"/>
  <c r="J479" i="20"/>
  <c r="J478" i="20"/>
  <c r="J477" i="20"/>
  <c r="J476" i="20"/>
  <c r="J475" i="20"/>
  <c r="J474" i="20"/>
  <c r="J473" i="20"/>
  <c r="J472" i="20"/>
  <c r="J471" i="20"/>
  <c r="J470" i="20"/>
  <c r="J469" i="20"/>
  <c r="J468" i="20"/>
  <c r="J467" i="20"/>
  <c r="J466" i="20"/>
  <c r="J465" i="20"/>
  <c r="J464" i="20"/>
  <c r="J463" i="20"/>
  <c r="J462" i="20"/>
  <c r="J461" i="20"/>
  <c r="J460" i="20"/>
  <c r="J459" i="20"/>
  <c r="J458" i="20"/>
  <c r="J457" i="20"/>
  <c r="J456" i="20"/>
  <c r="J455" i="20"/>
  <c r="J454" i="20"/>
  <c r="J453" i="20"/>
  <c r="J452" i="20"/>
  <c r="J451" i="20"/>
  <c r="J450" i="20"/>
  <c r="J449" i="20"/>
  <c r="J448" i="20"/>
  <c r="J447" i="20"/>
  <c r="J446" i="20"/>
  <c r="J445" i="20"/>
  <c r="J444" i="20"/>
  <c r="J443" i="20"/>
  <c r="J442" i="20"/>
  <c r="J441" i="20"/>
  <c r="J440" i="20"/>
  <c r="J439" i="20"/>
  <c r="J438" i="20"/>
  <c r="J437" i="20"/>
  <c r="J436" i="20"/>
  <c r="J435" i="20"/>
  <c r="J434" i="20"/>
  <c r="J433" i="20"/>
  <c r="J432" i="20"/>
  <c r="J431" i="20"/>
  <c r="J430" i="20"/>
  <c r="J429" i="20"/>
  <c r="J428" i="20"/>
  <c r="J427" i="20"/>
  <c r="J426" i="20"/>
  <c r="J425" i="20"/>
  <c r="J424" i="20"/>
  <c r="J423" i="20"/>
  <c r="J422" i="20"/>
  <c r="J421" i="20"/>
  <c r="J420" i="20"/>
  <c r="J419" i="20"/>
  <c r="J418" i="20"/>
  <c r="J417" i="20"/>
  <c r="J416" i="20"/>
  <c r="J415" i="20"/>
  <c r="J414" i="20"/>
  <c r="J413" i="20"/>
  <c r="J412" i="20"/>
  <c r="J411" i="20"/>
  <c r="J410" i="20"/>
  <c r="J409" i="20"/>
  <c r="J408" i="20"/>
  <c r="J407" i="20"/>
  <c r="J406" i="20"/>
  <c r="J405" i="20"/>
  <c r="J404" i="20"/>
  <c r="J403" i="20"/>
  <c r="J402" i="20"/>
  <c r="J401" i="20"/>
  <c r="J400" i="20"/>
  <c r="J399" i="20"/>
  <c r="J398" i="20"/>
  <c r="J397" i="20"/>
  <c r="J396" i="20"/>
  <c r="J395" i="20"/>
  <c r="J394" i="20"/>
  <c r="J393" i="20"/>
  <c r="J392" i="20"/>
  <c r="J391" i="20"/>
  <c r="J390" i="20"/>
  <c r="J389" i="20"/>
  <c r="J388" i="20"/>
  <c r="J387" i="20"/>
  <c r="J386" i="20"/>
  <c r="J385" i="20"/>
  <c r="J384" i="20"/>
  <c r="J383" i="20"/>
  <c r="J382" i="20"/>
  <c r="J381" i="20"/>
  <c r="J380" i="20"/>
  <c r="J379" i="20"/>
  <c r="J378" i="20"/>
  <c r="J377" i="20"/>
  <c r="J376" i="20"/>
  <c r="J375" i="20"/>
  <c r="J374" i="20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I200" i="20"/>
  <c r="F200" i="20"/>
  <c r="E200" i="20"/>
  <c r="A200" i="20"/>
  <c r="J199" i="20"/>
  <c r="F199" i="20"/>
  <c r="E199" i="20"/>
  <c r="I199" i="20" s="1"/>
  <c r="A199" i="20"/>
  <c r="J198" i="20"/>
  <c r="F198" i="20"/>
  <c r="E198" i="20"/>
  <c r="I198" i="20" s="1"/>
  <c r="A198" i="20"/>
  <c r="J197" i="20"/>
  <c r="F197" i="20"/>
  <c r="E197" i="20"/>
  <c r="I197" i="20" s="1"/>
  <c r="A197" i="20"/>
  <c r="J196" i="20"/>
  <c r="I196" i="20"/>
  <c r="F196" i="20"/>
  <c r="E196" i="20"/>
  <c r="A196" i="20"/>
  <c r="J195" i="20"/>
  <c r="I195" i="20"/>
  <c r="F195" i="20"/>
  <c r="E195" i="20"/>
  <c r="A195" i="20"/>
  <c r="J194" i="20"/>
  <c r="F194" i="20"/>
  <c r="E194" i="20"/>
  <c r="I194" i="20" s="1"/>
  <c r="A194" i="20"/>
  <c r="J193" i="20"/>
  <c r="I193" i="20"/>
  <c r="F193" i="20"/>
  <c r="E193" i="20"/>
  <c r="A193" i="20"/>
  <c r="J192" i="20"/>
  <c r="I192" i="20"/>
  <c r="F192" i="20"/>
  <c r="E192" i="20"/>
  <c r="A192" i="20"/>
  <c r="J191" i="20"/>
  <c r="F191" i="20"/>
  <c r="E191" i="20"/>
  <c r="I191" i="20" s="1"/>
  <c r="A191" i="20"/>
  <c r="J190" i="20"/>
  <c r="F190" i="20"/>
  <c r="E190" i="20"/>
  <c r="I190" i="20" s="1"/>
  <c r="A190" i="20"/>
  <c r="J189" i="20"/>
  <c r="F189" i="20"/>
  <c r="E189" i="20"/>
  <c r="I189" i="20" s="1"/>
  <c r="A189" i="20"/>
  <c r="J188" i="20"/>
  <c r="I188" i="20"/>
  <c r="F188" i="20"/>
  <c r="E188" i="20"/>
  <c r="A188" i="20"/>
  <c r="J187" i="20"/>
  <c r="F187" i="20"/>
  <c r="E187" i="20"/>
  <c r="I187" i="20" s="1"/>
  <c r="A187" i="20"/>
  <c r="J186" i="20"/>
  <c r="F186" i="20"/>
  <c r="E186" i="20"/>
  <c r="I186" i="20" s="1"/>
  <c r="A186" i="20"/>
  <c r="J185" i="20"/>
  <c r="I185" i="20"/>
  <c r="F185" i="20"/>
  <c r="E185" i="20"/>
  <c r="A185" i="20"/>
  <c r="J184" i="20"/>
  <c r="I184" i="20"/>
  <c r="F184" i="20"/>
  <c r="E184" i="20"/>
  <c r="A184" i="20"/>
  <c r="J183" i="20"/>
  <c r="F183" i="20"/>
  <c r="E183" i="20"/>
  <c r="I183" i="20" s="1"/>
  <c r="A183" i="20"/>
  <c r="J182" i="20"/>
  <c r="F182" i="20"/>
  <c r="E182" i="20"/>
  <c r="I182" i="20" s="1"/>
  <c r="A182" i="20"/>
  <c r="J181" i="20"/>
  <c r="F181" i="20"/>
  <c r="E181" i="20"/>
  <c r="I181" i="20" s="1"/>
  <c r="A181" i="20"/>
  <c r="J180" i="20"/>
  <c r="I180" i="20"/>
  <c r="F180" i="20"/>
  <c r="E180" i="20"/>
  <c r="A180" i="20"/>
  <c r="J179" i="20"/>
  <c r="I179" i="20"/>
  <c r="F179" i="20"/>
  <c r="E179" i="20"/>
  <c r="A179" i="20"/>
  <c r="J178" i="20"/>
  <c r="F178" i="20"/>
  <c r="E178" i="20"/>
  <c r="I178" i="20" s="1"/>
  <c r="A178" i="20"/>
  <c r="J177" i="20"/>
  <c r="I177" i="20"/>
  <c r="F177" i="20"/>
  <c r="E177" i="20"/>
  <c r="A177" i="20"/>
  <c r="J176" i="20"/>
  <c r="I176" i="20"/>
  <c r="F176" i="20"/>
  <c r="E176" i="20"/>
  <c r="A176" i="20"/>
  <c r="J175" i="20"/>
  <c r="F175" i="20"/>
  <c r="E175" i="20"/>
  <c r="I175" i="20" s="1"/>
  <c r="A175" i="20"/>
  <c r="J174" i="20"/>
  <c r="F174" i="20"/>
  <c r="E174" i="20"/>
  <c r="I174" i="20" s="1"/>
  <c r="A174" i="20"/>
  <c r="J173" i="20"/>
  <c r="F173" i="20"/>
  <c r="E173" i="20"/>
  <c r="I173" i="20" s="1"/>
  <c r="A173" i="20"/>
  <c r="J172" i="20"/>
  <c r="I172" i="20"/>
  <c r="F172" i="20"/>
  <c r="E172" i="20"/>
  <c r="A172" i="20"/>
  <c r="J171" i="20"/>
  <c r="F171" i="20"/>
  <c r="E171" i="20"/>
  <c r="I171" i="20" s="1"/>
  <c r="A171" i="20"/>
  <c r="J170" i="20"/>
  <c r="F170" i="20"/>
  <c r="E170" i="20"/>
  <c r="I170" i="20" s="1"/>
  <c r="A170" i="20"/>
  <c r="J169" i="20"/>
  <c r="I169" i="20"/>
  <c r="F169" i="20"/>
  <c r="E169" i="20"/>
  <c r="A169" i="20"/>
  <c r="J168" i="20"/>
  <c r="I168" i="20"/>
  <c r="F168" i="20"/>
  <c r="E168" i="20"/>
  <c r="A168" i="20"/>
  <c r="J167" i="20"/>
  <c r="F167" i="20"/>
  <c r="E167" i="20"/>
  <c r="I167" i="20" s="1"/>
  <c r="A167" i="20"/>
  <c r="J166" i="20"/>
  <c r="F166" i="20"/>
  <c r="E166" i="20"/>
  <c r="I166" i="20" s="1"/>
  <c r="A166" i="20"/>
  <c r="J165" i="20"/>
  <c r="F165" i="20"/>
  <c r="E165" i="20"/>
  <c r="I165" i="20" s="1"/>
  <c r="A165" i="20"/>
  <c r="J164" i="20"/>
  <c r="I164" i="20"/>
  <c r="F164" i="20"/>
  <c r="E164" i="20"/>
  <c r="A164" i="20"/>
  <c r="J163" i="20"/>
  <c r="I163" i="20"/>
  <c r="F163" i="20"/>
  <c r="E163" i="20"/>
  <c r="A163" i="20"/>
  <c r="J162" i="20"/>
  <c r="F162" i="20"/>
  <c r="E162" i="20"/>
  <c r="I162" i="20" s="1"/>
  <c r="A162" i="20"/>
  <c r="J161" i="20"/>
  <c r="I161" i="20"/>
  <c r="F161" i="20"/>
  <c r="E161" i="20"/>
  <c r="A161" i="20"/>
  <c r="J160" i="20"/>
  <c r="I160" i="20"/>
  <c r="F160" i="20"/>
  <c r="E160" i="20"/>
  <c r="A160" i="20"/>
  <c r="J159" i="20"/>
  <c r="F159" i="20"/>
  <c r="E159" i="20"/>
  <c r="I159" i="20" s="1"/>
  <c r="A159" i="20"/>
  <c r="J158" i="20"/>
  <c r="F158" i="20"/>
  <c r="E158" i="20"/>
  <c r="I158" i="20" s="1"/>
  <c r="A158" i="20"/>
  <c r="J157" i="20"/>
  <c r="F157" i="20"/>
  <c r="E157" i="20"/>
  <c r="I157" i="20" s="1"/>
  <c r="A157" i="20"/>
  <c r="J156" i="20"/>
  <c r="I156" i="20"/>
  <c r="F156" i="20"/>
  <c r="E156" i="20"/>
  <c r="A156" i="20"/>
  <c r="J155" i="20"/>
  <c r="F155" i="20"/>
  <c r="E155" i="20"/>
  <c r="I155" i="20" s="1"/>
  <c r="A155" i="20"/>
  <c r="J154" i="20"/>
  <c r="F154" i="20"/>
  <c r="E154" i="20"/>
  <c r="I154" i="20" s="1"/>
  <c r="A154" i="20"/>
  <c r="J153" i="20"/>
  <c r="I153" i="20"/>
  <c r="F153" i="20"/>
  <c r="E153" i="20"/>
  <c r="A153" i="20"/>
  <c r="J152" i="20"/>
  <c r="I152" i="20"/>
  <c r="F152" i="20"/>
  <c r="E152" i="20"/>
  <c r="A152" i="20"/>
  <c r="J151" i="20"/>
  <c r="F151" i="20"/>
  <c r="E151" i="20"/>
  <c r="I151" i="20" s="1"/>
  <c r="A151" i="20"/>
  <c r="J150" i="20"/>
  <c r="F150" i="20"/>
  <c r="E150" i="20"/>
  <c r="I150" i="20" s="1"/>
  <c r="A150" i="20"/>
  <c r="J149" i="20"/>
  <c r="F149" i="20"/>
  <c r="E149" i="20"/>
  <c r="I149" i="20" s="1"/>
  <c r="A149" i="20"/>
  <c r="J148" i="20"/>
  <c r="I148" i="20"/>
  <c r="F148" i="20"/>
  <c r="E148" i="20"/>
  <c r="A148" i="20"/>
  <c r="J147" i="20"/>
  <c r="I147" i="20"/>
  <c r="F147" i="20"/>
  <c r="E147" i="20"/>
  <c r="A147" i="20"/>
  <c r="J146" i="20"/>
  <c r="F146" i="20"/>
  <c r="E146" i="20"/>
  <c r="I146" i="20" s="1"/>
  <c r="A146" i="20"/>
  <c r="J145" i="20"/>
  <c r="I145" i="20"/>
  <c r="F145" i="20"/>
  <c r="E145" i="20"/>
  <c r="A145" i="20"/>
  <c r="J144" i="20"/>
  <c r="I144" i="20"/>
  <c r="F144" i="20"/>
  <c r="E144" i="20"/>
  <c r="A144" i="20"/>
  <c r="J143" i="20"/>
  <c r="F143" i="20"/>
  <c r="E143" i="20"/>
  <c r="I143" i="20" s="1"/>
  <c r="A143" i="20"/>
  <c r="J142" i="20"/>
  <c r="F142" i="20"/>
  <c r="E142" i="20"/>
  <c r="I142" i="20" s="1"/>
  <c r="A142" i="20"/>
  <c r="J141" i="20"/>
  <c r="F141" i="20"/>
  <c r="E141" i="20"/>
  <c r="I141" i="20" s="1"/>
  <c r="A141" i="20"/>
  <c r="J140" i="20"/>
  <c r="I140" i="20"/>
  <c r="F140" i="20"/>
  <c r="E140" i="20"/>
  <c r="A140" i="20"/>
  <c r="J139" i="20"/>
  <c r="F139" i="20"/>
  <c r="E139" i="20"/>
  <c r="I139" i="20" s="1"/>
  <c r="A139" i="20"/>
  <c r="J138" i="20"/>
  <c r="F138" i="20"/>
  <c r="E138" i="20"/>
  <c r="I138" i="20" s="1"/>
  <c r="A138" i="20"/>
  <c r="J137" i="20"/>
  <c r="I137" i="20"/>
  <c r="F137" i="20"/>
  <c r="E137" i="20"/>
  <c r="A137" i="20"/>
  <c r="J136" i="20"/>
  <c r="I136" i="20"/>
  <c r="F136" i="20"/>
  <c r="E136" i="20"/>
  <c r="A136" i="20"/>
  <c r="J135" i="20"/>
  <c r="F135" i="20"/>
  <c r="E135" i="20"/>
  <c r="I135" i="20" s="1"/>
  <c r="A135" i="20"/>
  <c r="J134" i="20"/>
  <c r="F134" i="20"/>
  <c r="E134" i="20"/>
  <c r="I134" i="20" s="1"/>
  <c r="A134" i="20"/>
  <c r="J133" i="20"/>
  <c r="F133" i="20"/>
  <c r="E133" i="20"/>
  <c r="I133" i="20" s="1"/>
  <c r="A133" i="20"/>
  <c r="J132" i="20"/>
  <c r="I132" i="20"/>
  <c r="F132" i="20"/>
  <c r="E132" i="20"/>
  <c r="A132" i="20"/>
  <c r="J131" i="20"/>
  <c r="I131" i="20"/>
  <c r="F131" i="20"/>
  <c r="E131" i="20"/>
  <c r="A131" i="20"/>
  <c r="J130" i="20"/>
  <c r="F130" i="20"/>
  <c r="E130" i="20"/>
  <c r="I130" i="20" s="1"/>
  <c r="A130" i="20"/>
  <c r="J129" i="20"/>
  <c r="I129" i="20"/>
  <c r="F129" i="20"/>
  <c r="E129" i="20"/>
  <c r="A129" i="20"/>
  <c r="J128" i="20"/>
  <c r="I128" i="20"/>
  <c r="F128" i="20"/>
  <c r="E128" i="20"/>
  <c r="A128" i="20"/>
  <c r="J127" i="20"/>
  <c r="F127" i="20"/>
  <c r="E127" i="20"/>
  <c r="I127" i="20" s="1"/>
  <c r="A127" i="20"/>
  <c r="J126" i="20"/>
  <c r="F126" i="20"/>
  <c r="E126" i="20"/>
  <c r="I126" i="20" s="1"/>
  <c r="A126" i="20"/>
  <c r="J125" i="20"/>
  <c r="F125" i="20"/>
  <c r="E125" i="20"/>
  <c r="I125" i="20" s="1"/>
  <c r="A125" i="20"/>
  <c r="J124" i="20"/>
  <c r="I124" i="20"/>
  <c r="F124" i="20"/>
  <c r="E124" i="20"/>
  <c r="A124" i="20"/>
  <c r="J123" i="20"/>
  <c r="F123" i="20"/>
  <c r="E123" i="20"/>
  <c r="I123" i="20" s="1"/>
  <c r="A123" i="20"/>
  <c r="J122" i="20"/>
  <c r="F122" i="20"/>
  <c r="E122" i="20"/>
  <c r="I122" i="20" s="1"/>
  <c r="A122" i="20"/>
  <c r="J121" i="20"/>
  <c r="I121" i="20"/>
  <c r="F121" i="20"/>
  <c r="E121" i="20"/>
  <c r="A121" i="20"/>
  <c r="J120" i="20"/>
  <c r="I120" i="20"/>
  <c r="F120" i="20"/>
  <c r="E120" i="20"/>
  <c r="A120" i="20"/>
  <c r="J119" i="20"/>
  <c r="F119" i="20"/>
  <c r="E119" i="20"/>
  <c r="I119" i="20" s="1"/>
  <c r="A119" i="20"/>
  <c r="J118" i="20"/>
  <c r="F118" i="20"/>
  <c r="E118" i="20"/>
  <c r="I118" i="20" s="1"/>
  <c r="A118" i="20"/>
  <c r="J117" i="20"/>
  <c r="I117" i="20"/>
  <c r="F117" i="20"/>
  <c r="E117" i="20"/>
  <c r="A117" i="20"/>
  <c r="J116" i="20"/>
  <c r="I116" i="20"/>
  <c r="F116" i="20"/>
  <c r="E116" i="20"/>
  <c r="A116" i="20"/>
  <c r="J115" i="20"/>
  <c r="F115" i="20"/>
  <c r="E115" i="20"/>
  <c r="I115" i="20" s="1"/>
  <c r="A115" i="20"/>
  <c r="J114" i="20"/>
  <c r="F114" i="20"/>
  <c r="E114" i="20"/>
  <c r="I114" i="20" s="1"/>
  <c r="A114" i="20"/>
  <c r="J113" i="20"/>
  <c r="I113" i="20"/>
  <c r="F113" i="20"/>
  <c r="E113" i="20"/>
  <c r="A113" i="20"/>
  <c r="J112" i="20"/>
  <c r="I112" i="20"/>
  <c r="F112" i="20"/>
  <c r="E112" i="20"/>
  <c r="A112" i="20"/>
  <c r="J111" i="20"/>
  <c r="F111" i="20"/>
  <c r="E111" i="20"/>
  <c r="I111" i="20" s="1"/>
  <c r="A111" i="20"/>
  <c r="J110" i="20"/>
  <c r="F110" i="20"/>
  <c r="E110" i="20"/>
  <c r="I110" i="20" s="1"/>
  <c r="A110" i="20"/>
  <c r="J109" i="20"/>
  <c r="F109" i="20"/>
  <c r="E109" i="20"/>
  <c r="I109" i="20" s="1"/>
  <c r="A109" i="20"/>
  <c r="J108" i="20"/>
  <c r="I108" i="20"/>
  <c r="F108" i="20"/>
  <c r="E108" i="20"/>
  <c r="A108" i="20"/>
  <c r="J107" i="20"/>
  <c r="I107" i="20"/>
  <c r="F107" i="20"/>
  <c r="E107" i="20"/>
  <c r="A107" i="20"/>
  <c r="J106" i="20"/>
  <c r="F106" i="20"/>
  <c r="E106" i="20"/>
  <c r="A106" i="20"/>
  <c r="J105" i="20"/>
  <c r="I105" i="20"/>
  <c r="F105" i="20"/>
  <c r="E105" i="20"/>
  <c r="A105" i="20"/>
  <c r="J104" i="20"/>
  <c r="I104" i="20"/>
  <c r="F104" i="20"/>
  <c r="E104" i="20"/>
  <c r="A104" i="20"/>
  <c r="J103" i="20"/>
  <c r="F103" i="20"/>
  <c r="E103" i="20"/>
  <c r="I103" i="20" s="1"/>
  <c r="A103" i="20"/>
  <c r="J102" i="20"/>
  <c r="F102" i="20"/>
  <c r="E102" i="20"/>
  <c r="I102" i="20" s="1"/>
  <c r="A102" i="20"/>
  <c r="J101" i="20"/>
  <c r="F101" i="20"/>
  <c r="E101" i="20"/>
  <c r="I101" i="20" s="1"/>
  <c r="A101" i="20"/>
  <c r="J100" i="20"/>
  <c r="F100" i="20"/>
  <c r="E100" i="20"/>
  <c r="I100" i="20" s="1"/>
  <c r="A100" i="20"/>
  <c r="J99" i="20"/>
  <c r="F99" i="20"/>
  <c r="E99" i="20"/>
  <c r="I99" i="20" s="1"/>
  <c r="A99" i="20"/>
  <c r="J98" i="20"/>
  <c r="I98" i="20"/>
  <c r="F98" i="20"/>
  <c r="E98" i="20"/>
  <c r="A98" i="20"/>
  <c r="J97" i="20"/>
  <c r="I97" i="20"/>
  <c r="F97" i="20"/>
  <c r="E97" i="20"/>
  <c r="A97" i="20"/>
  <c r="J96" i="20"/>
  <c r="F96" i="20"/>
  <c r="E96" i="20"/>
  <c r="A96" i="20"/>
  <c r="J95" i="20"/>
  <c r="F95" i="20"/>
  <c r="E95" i="20"/>
  <c r="I95" i="20" s="1"/>
  <c r="A95" i="20"/>
  <c r="J94" i="20"/>
  <c r="F94" i="20"/>
  <c r="E94" i="20"/>
  <c r="A94" i="20"/>
  <c r="J93" i="20"/>
  <c r="I93" i="20"/>
  <c r="F93" i="20"/>
  <c r="E93" i="20"/>
  <c r="A93" i="20"/>
  <c r="J92" i="20"/>
  <c r="F92" i="20"/>
  <c r="E92" i="20"/>
  <c r="I92" i="20" s="1"/>
  <c r="A92" i="20"/>
  <c r="J91" i="20"/>
  <c r="I91" i="20"/>
  <c r="F91" i="20"/>
  <c r="E91" i="20"/>
  <c r="A91" i="20"/>
  <c r="J90" i="20"/>
  <c r="F90" i="20"/>
  <c r="E90" i="20"/>
  <c r="I90" i="20" s="1"/>
  <c r="A90" i="20"/>
  <c r="J89" i="20"/>
  <c r="I89" i="20"/>
  <c r="F89" i="20"/>
  <c r="E89" i="20"/>
  <c r="A89" i="20"/>
  <c r="J88" i="20"/>
  <c r="I88" i="20"/>
  <c r="F88" i="20"/>
  <c r="E88" i="20"/>
  <c r="A88" i="20"/>
  <c r="J87" i="20"/>
  <c r="F87" i="20"/>
  <c r="E87" i="20"/>
  <c r="I87" i="20" s="1"/>
  <c r="A87" i="20"/>
  <c r="J86" i="20"/>
  <c r="F86" i="20"/>
  <c r="E86" i="20"/>
  <c r="A86" i="20"/>
  <c r="J85" i="20"/>
  <c r="F85" i="20"/>
  <c r="E85" i="20"/>
  <c r="I85" i="20" s="1"/>
  <c r="A85" i="20"/>
  <c r="J84" i="20"/>
  <c r="F84" i="20"/>
  <c r="E84" i="20"/>
  <c r="I84" i="20" s="1"/>
  <c r="A84" i="20"/>
  <c r="J83" i="20"/>
  <c r="F83" i="20"/>
  <c r="E83" i="20"/>
  <c r="I83" i="20" s="1"/>
  <c r="A83" i="20"/>
  <c r="J82" i="20"/>
  <c r="F82" i="20"/>
  <c r="E82" i="20"/>
  <c r="I82" i="20" s="1"/>
  <c r="A82" i="20"/>
  <c r="J81" i="20"/>
  <c r="I81" i="20"/>
  <c r="F81" i="20"/>
  <c r="E81" i="20"/>
  <c r="A81" i="20"/>
  <c r="J80" i="20"/>
  <c r="I80" i="20"/>
  <c r="F80" i="20"/>
  <c r="E80" i="20"/>
  <c r="A80" i="20"/>
  <c r="J79" i="20"/>
  <c r="F79" i="20"/>
  <c r="E79" i="20"/>
  <c r="I79" i="20" s="1"/>
  <c r="A79" i="20"/>
  <c r="J78" i="20"/>
  <c r="F78" i="20"/>
  <c r="E78" i="20"/>
  <c r="A78" i="20"/>
  <c r="J77" i="20"/>
  <c r="F77" i="20"/>
  <c r="E77" i="20"/>
  <c r="I77" i="20" s="1"/>
  <c r="A77" i="20"/>
  <c r="J76" i="20"/>
  <c r="F76" i="20"/>
  <c r="E76" i="20"/>
  <c r="I76" i="20" s="1"/>
  <c r="A76" i="20"/>
  <c r="J75" i="20"/>
  <c r="F75" i="20"/>
  <c r="E75" i="20"/>
  <c r="I75" i="20" s="1"/>
  <c r="A75" i="20"/>
  <c r="J74" i="20"/>
  <c r="I74" i="20"/>
  <c r="F74" i="20"/>
  <c r="E74" i="20"/>
  <c r="A74" i="20"/>
  <c r="J73" i="20"/>
  <c r="I73" i="20"/>
  <c r="F73" i="20"/>
  <c r="E73" i="20"/>
  <c r="A73" i="20"/>
  <c r="J72" i="20"/>
  <c r="I72" i="20"/>
  <c r="F72" i="20"/>
  <c r="E72" i="20"/>
  <c r="A72" i="20"/>
  <c r="J71" i="20"/>
  <c r="F71" i="20"/>
  <c r="E71" i="20"/>
  <c r="I71" i="20" s="1"/>
  <c r="A71" i="20"/>
  <c r="J70" i="20"/>
  <c r="I70" i="20"/>
  <c r="F70" i="20"/>
  <c r="E70" i="20"/>
  <c r="A70" i="20"/>
  <c r="J69" i="20"/>
  <c r="I69" i="20"/>
  <c r="F69" i="20"/>
  <c r="E69" i="20"/>
  <c r="A69" i="20"/>
  <c r="J68" i="20"/>
  <c r="F68" i="20"/>
  <c r="E68" i="20"/>
  <c r="I68" i="20" s="1"/>
  <c r="A68" i="20"/>
  <c r="J67" i="20"/>
  <c r="I67" i="20"/>
  <c r="F67" i="20"/>
  <c r="E67" i="20"/>
  <c r="A67" i="20"/>
  <c r="J66" i="20"/>
  <c r="F66" i="20"/>
  <c r="E66" i="20"/>
  <c r="I66" i="20" s="1"/>
  <c r="A66" i="20"/>
  <c r="J65" i="20"/>
  <c r="I65" i="20"/>
  <c r="F65" i="20"/>
  <c r="E65" i="20"/>
  <c r="A65" i="20"/>
  <c r="J64" i="20"/>
  <c r="I64" i="20"/>
  <c r="F64" i="20"/>
  <c r="E64" i="20"/>
  <c r="A64" i="20"/>
  <c r="J63" i="20"/>
  <c r="F63" i="20"/>
  <c r="E63" i="20"/>
  <c r="I63" i="20" s="1"/>
  <c r="A63" i="20"/>
  <c r="J62" i="20"/>
  <c r="I62" i="20"/>
  <c r="F62" i="20"/>
  <c r="E62" i="20"/>
  <c r="A62" i="20"/>
  <c r="J61" i="20"/>
  <c r="F61" i="20"/>
  <c r="E61" i="20"/>
  <c r="I61" i="20" s="1"/>
  <c r="A61" i="20"/>
  <c r="J60" i="20"/>
  <c r="F60" i="20"/>
  <c r="E60" i="20"/>
  <c r="I60" i="20" s="1"/>
  <c r="A60" i="20"/>
  <c r="J59" i="20"/>
  <c r="F59" i="20"/>
  <c r="E59" i="20"/>
  <c r="I59" i="20" s="1"/>
  <c r="A59" i="20"/>
  <c r="J58" i="20"/>
  <c r="F58" i="20"/>
  <c r="E58" i="20"/>
  <c r="I58" i="20" s="1"/>
  <c r="A58" i="20"/>
  <c r="J57" i="20"/>
  <c r="I57" i="20"/>
  <c r="F57" i="20"/>
  <c r="E57" i="20"/>
  <c r="A57" i="20"/>
  <c r="J56" i="20"/>
  <c r="I56" i="20"/>
  <c r="F56" i="20"/>
  <c r="E56" i="20"/>
  <c r="A56" i="20"/>
  <c r="J55" i="20"/>
  <c r="F55" i="20"/>
  <c r="E55" i="20"/>
  <c r="I55" i="20" s="1"/>
  <c r="A55" i="20"/>
  <c r="J54" i="20"/>
  <c r="F54" i="20"/>
  <c r="E54" i="20"/>
  <c r="A54" i="20"/>
  <c r="J53" i="20"/>
  <c r="F53" i="20"/>
  <c r="E53" i="20"/>
  <c r="I53" i="20" s="1"/>
  <c r="A53" i="20"/>
  <c r="J52" i="20"/>
  <c r="F52" i="20"/>
  <c r="E52" i="20"/>
  <c r="I52" i="20" s="1"/>
  <c r="A52" i="20"/>
  <c r="J51" i="20"/>
  <c r="F51" i="20"/>
  <c r="E51" i="20"/>
  <c r="I51" i="20" s="1"/>
  <c r="A51" i="20"/>
  <c r="J50" i="20"/>
  <c r="I50" i="20"/>
  <c r="F50" i="20"/>
  <c r="E50" i="20"/>
  <c r="A50" i="20"/>
  <c r="J49" i="20"/>
  <c r="I49" i="20"/>
  <c r="F49" i="20"/>
  <c r="E49" i="20"/>
  <c r="A49" i="20"/>
  <c r="J48" i="20"/>
  <c r="I48" i="20"/>
  <c r="F48" i="20"/>
  <c r="E48" i="20"/>
  <c r="A48" i="20"/>
  <c r="J47" i="20"/>
  <c r="F47" i="20"/>
  <c r="E47" i="20"/>
  <c r="I47" i="20" s="1"/>
  <c r="A47" i="20"/>
  <c r="J46" i="20"/>
  <c r="F46" i="20"/>
  <c r="E46" i="20"/>
  <c r="A46" i="20"/>
  <c r="J45" i="20"/>
  <c r="I45" i="20"/>
  <c r="F45" i="20"/>
  <c r="E45" i="20"/>
  <c r="A45" i="20"/>
  <c r="J44" i="20"/>
  <c r="F44" i="20"/>
  <c r="E44" i="20"/>
  <c r="I44" i="20" s="1"/>
  <c r="A44" i="20"/>
  <c r="J43" i="20"/>
  <c r="I43" i="20"/>
  <c r="F43" i="20"/>
  <c r="E43" i="20"/>
  <c r="A43" i="20"/>
  <c r="J42" i="20"/>
  <c r="F42" i="20"/>
  <c r="E42" i="20"/>
  <c r="I42" i="20" s="1"/>
  <c r="A42" i="20"/>
  <c r="J41" i="20"/>
  <c r="I41" i="20"/>
  <c r="F41" i="20"/>
  <c r="E41" i="20"/>
  <c r="A41" i="20"/>
  <c r="J40" i="20"/>
  <c r="I40" i="20"/>
  <c r="F40" i="20"/>
  <c r="E40" i="20"/>
  <c r="A40" i="20"/>
  <c r="J39" i="20"/>
  <c r="F39" i="20"/>
  <c r="E39" i="20"/>
  <c r="I39" i="20" s="1"/>
  <c r="A39" i="20"/>
  <c r="J38" i="20"/>
  <c r="F38" i="20"/>
  <c r="E38" i="20"/>
  <c r="A38" i="20"/>
  <c r="J37" i="20"/>
  <c r="F37" i="20"/>
  <c r="E37" i="20"/>
  <c r="I37" i="20" s="1"/>
  <c r="A37" i="20"/>
  <c r="J36" i="20"/>
  <c r="F36" i="20"/>
  <c r="E36" i="20"/>
  <c r="I36" i="20" s="1"/>
  <c r="A36" i="20"/>
  <c r="J35" i="20"/>
  <c r="F35" i="20"/>
  <c r="E35" i="20"/>
  <c r="I35" i="20" s="1"/>
  <c r="A35" i="20"/>
  <c r="J34" i="20"/>
  <c r="F34" i="20"/>
  <c r="E34" i="20"/>
  <c r="I34" i="20" s="1"/>
  <c r="A34" i="20"/>
  <c r="J33" i="20"/>
  <c r="I33" i="20"/>
  <c r="F33" i="20"/>
  <c r="E33" i="20"/>
  <c r="A33" i="20"/>
  <c r="J32" i="20"/>
  <c r="I32" i="20"/>
  <c r="F32" i="20"/>
  <c r="E32" i="20"/>
  <c r="A32" i="20"/>
  <c r="J31" i="20"/>
  <c r="F31" i="20"/>
  <c r="E31" i="20"/>
  <c r="A31" i="20"/>
  <c r="J30" i="20"/>
  <c r="F30" i="20"/>
  <c r="E30" i="20"/>
  <c r="A30" i="20"/>
  <c r="J29" i="20"/>
  <c r="F29" i="20"/>
  <c r="E29" i="20"/>
  <c r="I29" i="20" s="1"/>
  <c r="A29" i="20"/>
  <c r="J28" i="20"/>
  <c r="F28" i="20"/>
  <c r="E28" i="20"/>
  <c r="I28" i="20" s="1"/>
  <c r="A28" i="20"/>
  <c r="J27" i="20"/>
  <c r="F27" i="20"/>
  <c r="E27" i="20"/>
  <c r="I27" i="20" s="1"/>
  <c r="A27" i="20"/>
  <c r="J26" i="20"/>
  <c r="I26" i="20"/>
  <c r="F26" i="20"/>
  <c r="E26" i="20"/>
  <c r="A26" i="20"/>
  <c r="J25" i="20"/>
  <c r="I25" i="20"/>
  <c r="F25" i="20"/>
  <c r="E25" i="20"/>
  <c r="A25" i="20"/>
  <c r="J24" i="20"/>
  <c r="F24" i="20"/>
  <c r="E24" i="20"/>
  <c r="A24" i="20"/>
  <c r="J23" i="20"/>
  <c r="F23" i="20"/>
  <c r="E23" i="20"/>
  <c r="I23" i="20" s="1"/>
  <c r="A23" i="20"/>
  <c r="J22" i="20"/>
  <c r="F22" i="20"/>
  <c r="E22" i="20"/>
  <c r="A22" i="20"/>
  <c r="J21" i="20"/>
  <c r="F21" i="20"/>
  <c r="E21" i="20"/>
  <c r="I21" i="20" s="1"/>
  <c r="A21" i="20"/>
  <c r="J20" i="20"/>
  <c r="F20" i="20"/>
  <c r="E20" i="20"/>
  <c r="I20" i="20" s="1"/>
  <c r="A20" i="20"/>
  <c r="J19" i="20"/>
  <c r="I19" i="20"/>
  <c r="F19" i="20"/>
  <c r="E19" i="20"/>
  <c r="A19" i="20"/>
  <c r="J18" i="20"/>
  <c r="F18" i="20"/>
  <c r="E18" i="20"/>
  <c r="I18" i="20" s="1"/>
  <c r="A18" i="20"/>
  <c r="J17" i="20"/>
  <c r="F17" i="20"/>
  <c r="E17" i="20"/>
  <c r="A17" i="20"/>
  <c r="J16" i="20"/>
  <c r="I16" i="20"/>
  <c r="F16" i="20"/>
  <c r="E16" i="20"/>
  <c r="A16" i="20"/>
  <c r="J15" i="20"/>
  <c r="F15" i="20"/>
  <c r="E15" i="20"/>
  <c r="I15" i="20" s="1"/>
  <c r="A15" i="20"/>
  <c r="J14" i="20"/>
  <c r="F14" i="20"/>
  <c r="E14" i="20"/>
  <c r="A14" i="20"/>
  <c r="J13" i="20"/>
  <c r="F13" i="20"/>
  <c r="E13" i="20"/>
  <c r="I13" i="20" s="1"/>
  <c r="A13" i="20"/>
  <c r="J12" i="20"/>
  <c r="F12" i="20"/>
  <c r="E12" i="20"/>
  <c r="A12" i="20"/>
  <c r="J11" i="20"/>
  <c r="F11" i="20"/>
  <c r="E11" i="20"/>
  <c r="I11" i="20" s="1"/>
  <c r="A11" i="20"/>
  <c r="J10" i="20"/>
  <c r="F10" i="20"/>
  <c r="E10" i="20"/>
  <c r="I10" i="20" s="1"/>
  <c r="A10" i="20"/>
  <c r="J9" i="20"/>
  <c r="I9" i="20"/>
  <c r="F9" i="20"/>
  <c r="E9" i="20"/>
  <c r="A9" i="20"/>
  <c r="J8" i="20"/>
  <c r="I8" i="20"/>
  <c r="F8" i="20"/>
  <c r="E8" i="20"/>
  <c r="A8" i="20"/>
  <c r="J7" i="20"/>
  <c r="F7" i="20"/>
  <c r="E7" i="20"/>
  <c r="A7" i="20"/>
  <c r="J6" i="20"/>
  <c r="I6" i="20"/>
  <c r="F6" i="20"/>
  <c r="E6" i="20"/>
  <c r="A6" i="20"/>
  <c r="J5" i="20"/>
  <c r="F5" i="20"/>
  <c r="E5" i="20"/>
  <c r="I5" i="20" s="1"/>
  <c r="A5" i="20"/>
  <c r="J4" i="20"/>
  <c r="F4" i="20"/>
  <c r="E4" i="20"/>
  <c r="I4" i="20" s="1"/>
  <c r="A4" i="20"/>
  <c r="K2000" i="10"/>
  <c r="K1999" i="10"/>
  <c r="K1998" i="10"/>
  <c r="K1997" i="10"/>
  <c r="K1996" i="10"/>
  <c r="K1995" i="10"/>
  <c r="K1994" i="10"/>
  <c r="K1993" i="10"/>
  <c r="K1992" i="10"/>
  <c r="K1991" i="10"/>
  <c r="K1990" i="10"/>
  <c r="K1989" i="10"/>
  <c r="K1988" i="10"/>
  <c r="K1987" i="10"/>
  <c r="K1986" i="10"/>
  <c r="K1985" i="10"/>
  <c r="K1984" i="10"/>
  <c r="K1983" i="10"/>
  <c r="K1982" i="10"/>
  <c r="K1981" i="10"/>
  <c r="K1980" i="10"/>
  <c r="K1979" i="10"/>
  <c r="K1978" i="10"/>
  <c r="K1977" i="10"/>
  <c r="K1976" i="10"/>
  <c r="K1975" i="10"/>
  <c r="K1974" i="10"/>
  <c r="K1973" i="10"/>
  <c r="K1972" i="10"/>
  <c r="K1971" i="10"/>
  <c r="K1970" i="10"/>
  <c r="K1969" i="10"/>
  <c r="K1968" i="10"/>
  <c r="K1967" i="10"/>
  <c r="K1966" i="10"/>
  <c r="K1965" i="10"/>
  <c r="K1964" i="10"/>
  <c r="K1963" i="10"/>
  <c r="K1962" i="10"/>
  <c r="K1961" i="10"/>
  <c r="K1960" i="10"/>
  <c r="K1959" i="10"/>
  <c r="K1958" i="10"/>
  <c r="K1957" i="10"/>
  <c r="K1956" i="10"/>
  <c r="K1955" i="10"/>
  <c r="K1954" i="10"/>
  <c r="K1953" i="10"/>
  <c r="K1952" i="10"/>
  <c r="K1951" i="10"/>
  <c r="K1950" i="10"/>
  <c r="K1949" i="10"/>
  <c r="K1948" i="10"/>
  <c r="K1947" i="10"/>
  <c r="K1946" i="10"/>
  <c r="K1945" i="10"/>
  <c r="K1944" i="10"/>
  <c r="K1943" i="10"/>
  <c r="K1942" i="10"/>
  <c r="K1941" i="10"/>
  <c r="K1940" i="10"/>
  <c r="K1939" i="10"/>
  <c r="K1938" i="10"/>
  <c r="K1937" i="10"/>
  <c r="K1936" i="10"/>
  <c r="K1935" i="10"/>
  <c r="K1934" i="10"/>
  <c r="K1933" i="10"/>
  <c r="K1932" i="10"/>
  <c r="K1931" i="10"/>
  <c r="K1930" i="10"/>
  <c r="K1929" i="10"/>
  <c r="K1928" i="10"/>
  <c r="K1927" i="10"/>
  <c r="K1926" i="10"/>
  <c r="K1925" i="10"/>
  <c r="K1924" i="10"/>
  <c r="K1923" i="10"/>
  <c r="K1922" i="10"/>
  <c r="K1921" i="10"/>
  <c r="K1920" i="10"/>
  <c r="K1919" i="10"/>
  <c r="K1918" i="10"/>
  <c r="K1917" i="10"/>
  <c r="K1916" i="10"/>
  <c r="K1915" i="10"/>
  <c r="K1914" i="10"/>
  <c r="K1913" i="10"/>
  <c r="K1912" i="10"/>
  <c r="K1911" i="10"/>
  <c r="K1910" i="10"/>
  <c r="K1909" i="10"/>
  <c r="K1908" i="10"/>
  <c r="K1907" i="10"/>
  <c r="K1906" i="10"/>
  <c r="K1905" i="10"/>
  <c r="K1904" i="10"/>
  <c r="K1903" i="10"/>
  <c r="K1902" i="10"/>
  <c r="K1901" i="10"/>
  <c r="K1900" i="10"/>
  <c r="K1899" i="10"/>
  <c r="K1898" i="10"/>
  <c r="K1897" i="10"/>
  <c r="K1896" i="10"/>
  <c r="K1895" i="10"/>
  <c r="K1894" i="10"/>
  <c r="K1893" i="10"/>
  <c r="K1892" i="10"/>
  <c r="K1891" i="10"/>
  <c r="K1890" i="10"/>
  <c r="K1889" i="10"/>
  <c r="K1888" i="10"/>
  <c r="K1887" i="10"/>
  <c r="K1886" i="10"/>
  <c r="K1885" i="10"/>
  <c r="K1884" i="10"/>
  <c r="K1883" i="10"/>
  <c r="K1882" i="10"/>
  <c r="K1881" i="10"/>
  <c r="K1880" i="10"/>
  <c r="K1879" i="10"/>
  <c r="K1878" i="10"/>
  <c r="K1877" i="10"/>
  <c r="K1876" i="10"/>
  <c r="K1875" i="10"/>
  <c r="K1874" i="10"/>
  <c r="K1873" i="10"/>
  <c r="K1872" i="10"/>
  <c r="K1871" i="10"/>
  <c r="K1870" i="10"/>
  <c r="K1869" i="10"/>
  <c r="K1868" i="10"/>
  <c r="K1867" i="10"/>
  <c r="K1866" i="10"/>
  <c r="K1865" i="10"/>
  <c r="K1864" i="10"/>
  <c r="K1863" i="10"/>
  <c r="K1862" i="10"/>
  <c r="K1861" i="10"/>
  <c r="K1860" i="10"/>
  <c r="K1859" i="10"/>
  <c r="K1858" i="10"/>
  <c r="K1857" i="10"/>
  <c r="K1856" i="10"/>
  <c r="K1855" i="10"/>
  <c r="K1854" i="10"/>
  <c r="K1853" i="10"/>
  <c r="K1852" i="10"/>
  <c r="K1851" i="10"/>
  <c r="K1850" i="10"/>
  <c r="K1849" i="10"/>
  <c r="K1848" i="10"/>
  <c r="K1847" i="10"/>
  <c r="K1846" i="10"/>
  <c r="K1845" i="10"/>
  <c r="K1844" i="10"/>
  <c r="K1843" i="10"/>
  <c r="K1842" i="10"/>
  <c r="K1841" i="10"/>
  <c r="K1840" i="10"/>
  <c r="K1839" i="10"/>
  <c r="K1838" i="10"/>
  <c r="K1837" i="10"/>
  <c r="K1836" i="10"/>
  <c r="K1835" i="10"/>
  <c r="K1834" i="10"/>
  <c r="K1833" i="10"/>
  <c r="K1832" i="10"/>
  <c r="K1831" i="10"/>
  <c r="K1830" i="10"/>
  <c r="K1829" i="10"/>
  <c r="K1828" i="10"/>
  <c r="K1827" i="10"/>
  <c r="K1826" i="10"/>
  <c r="K1825" i="10"/>
  <c r="K1824" i="10"/>
  <c r="K1823" i="10"/>
  <c r="K1822" i="10"/>
  <c r="K1821" i="10"/>
  <c r="K1820" i="10"/>
  <c r="K1819" i="10"/>
  <c r="K1818" i="10"/>
  <c r="K1817" i="10"/>
  <c r="K1816" i="10"/>
  <c r="K1815" i="10"/>
  <c r="K1814" i="10"/>
  <c r="K1813" i="10"/>
  <c r="K1812" i="10"/>
  <c r="K1811" i="10"/>
  <c r="K1810" i="10"/>
  <c r="K1809" i="10"/>
  <c r="K1808" i="10"/>
  <c r="K1807" i="10"/>
  <c r="K1806" i="10"/>
  <c r="K1805" i="10"/>
  <c r="K1804" i="10"/>
  <c r="K1803" i="10"/>
  <c r="K1802" i="10"/>
  <c r="K1801" i="10"/>
  <c r="K1800" i="10"/>
  <c r="K1799" i="10"/>
  <c r="K1798" i="10"/>
  <c r="K1797" i="10"/>
  <c r="K1796" i="10"/>
  <c r="K1795" i="10"/>
  <c r="K1794" i="10"/>
  <c r="K1793" i="10"/>
  <c r="K1792" i="10"/>
  <c r="K1791" i="10"/>
  <c r="K1790" i="10"/>
  <c r="K1789" i="10"/>
  <c r="K1788" i="10"/>
  <c r="K1787" i="10"/>
  <c r="K1786" i="10"/>
  <c r="K1785" i="10"/>
  <c r="K1784" i="10"/>
  <c r="K1783" i="10"/>
  <c r="K1782" i="10"/>
  <c r="K1781" i="10"/>
  <c r="K1780" i="10"/>
  <c r="K1779" i="10"/>
  <c r="K1778" i="10"/>
  <c r="K1777" i="10"/>
  <c r="K1776" i="10"/>
  <c r="K1775" i="10"/>
  <c r="K1774" i="10"/>
  <c r="K1773" i="10"/>
  <c r="K1772" i="10"/>
  <c r="K1771" i="10"/>
  <c r="K1770" i="10"/>
  <c r="K1769" i="10"/>
  <c r="K1768" i="10"/>
  <c r="K1767" i="10"/>
  <c r="K1766" i="10"/>
  <c r="K1765" i="10"/>
  <c r="K1764" i="10"/>
  <c r="K1763" i="10"/>
  <c r="K1762" i="10"/>
  <c r="K1761" i="10"/>
  <c r="K1760" i="10"/>
  <c r="K1759" i="10"/>
  <c r="K1758" i="10"/>
  <c r="K1757" i="10"/>
  <c r="K1756" i="10"/>
  <c r="K1755" i="10"/>
  <c r="K1754" i="10"/>
  <c r="K1753" i="10"/>
  <c r="K1752" i="10"/>
  <c r="K1751" i="10"/>
  <c r="K1750" i="10"/>
  <c r="K1749" i="10"/>
  <c r="K1748" i="10"/>
  <c r="K1747" i="10"/>
  <c r="K1746" i="10"/>
  <c r="K1745" i="10"/>
  <c r="K1744" i="10"/>
  <c r="K1743" i="10"/>
  <c r="K1742" i="10"/>
  <c r="K1741" i="10"/>
  <c r="K1740" i="10"/>
  <c r="K1739" i="10"/>
  <c r="K1738" i="10"/>
  <c r="K1737" i="10"/>
  <c r="K1736" i="10"/>
  <c r="K1735" i="10"/>
  <c r="K1734" i="10"/>
  <c r="K1733" i="10"/>
  <c r="K1732" i="10"/>
  <c r="K1731" i="10"/>
  <c r="K1730" i="10"/>
  <c r="K1729" i="10"/>
  <c r="K1728" i="10"/>
  <c r="K1727" i="10"/>
  <c r="K1726" i="10"/>
  <c r="K1725" i="10"/>
  <c r="K1724" i="10"/>
  <c r="K1723" i="10"/>
  <c r="K1722" i="10"/>
  <c r="K1721" i="10"/>
  <c r="K1720" i="10"/>
  <c r="K1719" i="10"/>
  <c r="K1718" i="10"/>
  <c r="K1717" i="10"/>
  <c r="K1716" i="10"/>
  <c r="K1715" i="10"/>
  <c r="K1714" i="10"/>
  <c r="K1713" i="10"/>
  <c r="K1712" i="10"/>
  <c r="K1711" i="10"/>
  <c r="K1710" i="10"/>
  <c r="K1709" i="10"/>
  <c r="K1708" i="10"/>
  <c r="K1707" i="10"/>
  <c r="K1706" i="10"/>
  <c r="K1705" i="10"/>
  <c r="K1704" i="10"/>
  <c r="K1703" i="10"/>
  <c r="K1702" i="10"/>
  <c r="K1701" i="10"/>
  <c r="K1700" i="10"/>
  <c r="K1699" i="10"/>
  <c r="K1698" i="10"/>
  <c r="K1697" i="10"/>
  <c r="K1696" i="10"/>
  <c r="K1695" i="10"/>
  <c r="K1694" i="10"/>
  <c r="K1693" i="10"/>
  <c r="K1692" i="10"/>
  <c r="K1691" i="10"/>
  <c r="K1690" i="10"/>
  <c r="K1689" i="10"/>
  <c r="K1688" i="10"/>
  <c r="K1687" i="10"/>
  <c r="K1686" i="10"/>
  <c r="K1685" i="10"/>
  <c r="K1684" i="10"/>
  <c r="K1683" i="10"/>
  <c r="K1682" i="10"/>
  <c r="K1681" i="10"/>
  <c r="K1680" i="10"/>
  <c r="K1679" i="10"/>
  <c r="K1678" i="10"/>
  <c r="K1677" i="10"/>
  <c r="K1676" i="10"/>
  <c r="K1675" i="10"/>
  <c r="K1674" i="10"/>
  <c r="K1673" i="10"/>
  <c r="K1672" i="10"/>
  <c r="K1671" i="10"/>
  <c r="K1670" i="10"/>
  <c r="K1669" i="10"/>
  <c r="K1668" i="10"/>
  <c r="K1667" i="10"/>
  <c r="K1666" i="10"/>
  <c r="K1665" i="10"/>
  <c r="K1664" i="10"/>
  <c r="K1663" i="10"/>
  <c r="K1662" i="10"/>
  <c r="K1661" i="10"/>
  <c r="K1660" i="10"/>
  <c r="K1659" i="10"/>
  <c r="K1658" i="10"/>
  <c r="K1657" i="10"/>
  <c r="K1656" i="10"/>
  <c r="K1655" i="10"/>
  <c r="K1654" i="10"/>
  <c r="K1653" i="10"/>
  <c r="K1652" i="10"/>
  <c r="K1651" i="10"/>
  <c r="K1650" i="10"/>
  <c r="K1649" i="10"/>
  <c r="K1648" i="10"/>
  <c r="K1647" i="10"/>
  <c r="K1646" i="10"/>
  <c r="K1645" i="10"/>
  <c r="K1644" i="10"/>
  <c r="K1643" i="10"/>
  <c r="K1642" i="10"/>
  <c r="K1641" i="10"/>
  <c r="K1640" i="10"/>
  <c r="K1639" i="10"/>
  <c r="K1638" i="10"/>
  <c r="K1637" i="10"/>
  <c r="K1636" i="10"/>
  <c r="K1635" i="10"/>
  <c r="K1634" i="10"/>
  <c r="K1633" i="10"/>
  <c r="K1632" i="10"/>
  <c r="K1631" i="10"/>
  <c r="K1630" i="10"/>
  <c r="K1629" i="10"/>
  <c r="K1628" i="10"/>
  <c r="K1627" i="10"/>
  <c r="K1626" i="10"/>
  <c r="K1625" i="10"/>
  <c r="K1624" i="10"/>
  <c r="K1623" i="10"/>
  <c r="K1622" i="10"/>
  <c r="K1621" i="10"/>
  <c r="K1620" i="10"/>
  <c r="K1619" i="10"/>
  <c r="K1618" i="10"/>
  <c r="K1617" i="10"/>
  <c r="K1616" i="10"/>
  <c r="K1615" i="10"/>
  <c r="K1614" i="10"/>
  <c r="K1613" i="10"/>
  <c r="K1612" i="10"/>
  <c r="K1611" i="10"/>
  <c r="K1610" i="10"/>
  <c r="K1609" i="10"/>
  <c r="K1608" i="10"/>
  <c r="K1607" i="10"/>
  <c r="K1606" i="10"/>
  <c r="K1605" i="10"/>
  <c r="K1604" i="10"/>
  <c r="K1603" i="10"/>
  <c r="K1602" i="10"/>
  <c r="K1601" i="10"/>
  <c r="K1600" i="10"/>
  <c r="K1599" i="10"/>
  <c r="K1598" i="10"/>
  <c r="K1597" i="10"/>
  <c r="K1596" i="10"/>
  <c r="K1595" i="10"/>
  <c r="K1594" i="10"/>
  <c r="K1593" i="10"/>
  <c r="K1592" i="10"/>
  <c r="K1591" i="10"/>
  <c r="K1590" i="10"/>
  <c r="K1589" i="10"/>
  <c r="K1588" i="10"/>
  <c r="K1587" i="10"/>
  <c r="K1586" i="10"/>
  <c r="K1585" i="10"/>
  <c r="K1584" i="10"/>
  <c r="K1583" i="10"/>
  <c r="K1582" i="10"/>
  <c r="K1581" i="10"/>
  <c r="K1580" i="10"/>
  <c r="K1579" i="10"/>
  <c r="K1578" i="10"/>
  <c r="K1577" i="10"/>
  <c r="K1576" i="10"/>
  <c r="K1575" i="10"/>
  <c r="K1574" i="10"/>
  <c r="K1573" i="10"/>
  <c r="K1572" i="10"/>
  <c r="K1571" i="10"/>
  <c r="K1570" i="10"/>
  <c r="K1569" i="10"/>
  <c r="K1568" i="10"/>
  <c r="K1567" i="10"/>
  <c r="K1566" i="10"/>
  <c r="K1565" i="10"/>
  <c r="K1564" i="10"/>
  <c r="K1563" i="10"/>
  <c r="K1562" i="10"/>
  <c r="K1561" i="10"/>
  <c r="K1560" i="10"/>
  <c r="K1559" i="10"/>
  <c r="K1558" i="10"/>
  <c r="K1557" i="10"/>
  <c r="K1556" i="10"/>
  <c r="K1555" i="10"/>
  <c r="K1554" i="10"/>
  <c r="K1553" i="10"/>
  <c r="K1552" i="10"/>
  <c r="K1551" i="10"/>
  <c r="K1550" i="10"/>
  <c r="K1549" i="10"/>
  <c r="K1548" i="10"/>
  <c r="K1547" i="10"/>
  <c r="K1546" i="10"/>
  <c r="K1545" i="10"/>
  <c r="K1544" i="10"/>
  <c r="K1543" i="10"/>
  <c r="K1542" i="10"/>
  <c r="K1541" i="10"/>
  <c r="K1540" i="10"/>
  <c r="K1539" i="10"/>
  <c r="K1538" i="10"/>
  <c r="K1537" i="10"/>
  <c r="K1536" i="10"/>
  <c r="K1535" i="10"/>
  <c r="K1534" i="10"/>
  <c r="K1533" i="10"/>
  <c r="K1532" i="10"/>
  <c r="K1531" i="10"/>
  <c r="K1530" i="10"/>
  <c r="K1529" i="10"/>
  <c r="K1528" i="10"/>
  <c r="K1527" i="10"/>
  <c r="K1526" i="10"/>
  <c r="K1525" i="10"/>
  <c r="K1524" i="10"/>
  <c r="K1523" i="10"/>
  <c r="K1522" i="10"/>
  <c r="K1521" i="10"/>
  <c r="K1520" i="10"/>
  <c r="K1519" i="10"/>
  <c r="K1518" i="10"/>
  <c r="K1517" i="10"/>
  <c r="K1516" i="10"/>
  <c r="K1515" i="10"/>
  <c r="K1514" i="10"/>
  <c r="K1513" i="10"/>
  <c r="K1512" i="10"/>
  <c r="K1511" i="10"/>
  <c r="K1510" i="10"/>
  <c r="K1509" i="10"/>
  <c r="K1508" i="10"/>
  <c r="K1507" i="10"/>
  <c r="K1506" i="10"/>
  <c r="K1505" i="10"/>
  <c r="K1504" i="10"/>
  <c r="K1503" i="10"/>
  <c r="K1502" i="10"/>
  <c r="K1501" i="10"/>
  <c r="K1500" i="10"/>
  <c r="K1499" i="10"/>
  <c r="K1498" i="10"/>
  <c r="K1497" i="10"/>
  <c r="K1496" i="10"/>
  <c r="K1495" i="10"/>
  <c r="K1494" i="10"/>
  <c r="K1493" i="10"/>
  <c r="K1492" i="10"/>
  <c r="K1491" i="10"/>
  <c r="K1490" i="10"/>
  <c r="K1489" i="10"/>
  <c r="K1488" i="10"/>
  <c r="K1487" i="10"/>
  <c r="K1486" i="10"/>
  <c r="K1485" i="10"/>
  <c r="K1484" i="10"/>
  <c r="K1483" i="10"/>
  <c r="K1482" i="10"/>
  <c r="K1481" i="10"/>
  <c r="K1480" i="10"/>
  <c r="K1479" i="10"/>
  <c r="K1478" i="10"/>
  <c r="K1477" i="10"/>
  <c r="K1476" i="10"/>
  <c r="K1475" i="10"/>
  <c r="K1474" i="10"/>
  <c r="K1473" i="10"/>
  <c r="K1472" i="10"/>
  <c r="K1471" i="10"/>
  <c r="K1470" i="10"/>
  <c r="K1469" i="10"/>
  <c r="K1468" i="10"/>
  <c r="K1467" i="10"/>
  <c r="K1466" i="10"/>
  <c r="K1465" i="10"/>
  <c r="K1464" i="10"/>
  <c r="K1463" i="10"/>
  <c r="K1462" i="10"/>
  <c r="K1461" i="10"/>
  <c r="K1460" i="10"/>
  <c r="K1459" i="10"/>
  <c r="K1458" i="10"/>
  <c r="K1457" i="10"/>
  <c r="K1456" i="10"/>
  <c r="K1455" i="10"/>
  <c r="K1454" i="10"/>
  <c r="K1453" i="10"/>
  <c r="K1452" i="10"/>
  <c r="K1451" i="10"/>
  <c r="K1450" i="10"/>
  <c r="K1449" i="10"/>
  <c r="K1448" i="10"/>
  <c r="K1447" i="10"/>
  <c r="K1446" i="10"/>
  <c r="K1445" i="10"/>
  <c r="K1444" i="10"/>
  <c r="K1443" i="10"/>
  <c r="K1442" i="10"/>
  <c r="K1441" i="10"/>
  <c r="K1440" i="10"/>
  <c r="K1439" i="10"/>
  <c r="K1438" i="10"/>
  <c r="K1437" i="10"/>
  <c r="K1436" i="10"/>
  <c r="K1435" i="10"/>
  <c r="K1434" i="10"/>
  <c r="K1433" i="10"/>
  <c r="K1432" i="10"/>
  <c r="K1431" i="10"/>
  <c r="K1430" i="10"/>
  <c r="K1429" i="10"/>
  <c r="K1428" i="10"/>
  <c r="K1427" i="10"/>
  <c r="K1426" i="10"/>
  <c r="K1425" i="10"/>
  <c r="K1424" i="10"/>
  <c r="K1423" i="10"/>
  <c r="K1422" i="10"/>
  <c r="K1421" i="10"/>
  <c r="K1420" i="10"/>
  <c r="K1419" i="10"/>
  <c r="K1418" i="10"/>
  <c r="K1417" i="10"/>
  <c r="K1416" i="10"/>
  <c r="K1415" i="10"/>
  <c r="K1414" i="10"/>
  <c r="K1413" i="10"/>
  <c r="K1412" i="10"/>
  <c r="K1411" i="10"/>
  <c r="K1410" i="10"/>
  <c r="K1409" i="10"/>
  <c r="K1408" i="10"/>
  <c r="K1407" i="10"/>
  <c r="K1406" i="10"/>
  <c r="K1405" i="10"/>
  <c r="K1404" i="10"/>
  <c r="K1403" i="10"/>
  <c r="K1402" i="10"/>
  <c r="K1401" i="10"/>
  <c r="K1400" i="10"/>
  <c r="K1399" i="10"/>
  <c r="K1398" i="10"/>
  <c r="K1397" i="10"/>
  <c r="K1396" i="10"/>
  <c r="K1395" i="10"/>
  <c r="K1394" i="10"/>
  <c r="K1393" i="10"/>
  <c r="K1392" i="10"/>
  <c r="K1391" i="10"/>
  <c r="K1390" i="10"/>
  <c r="K1389" i="10"/>
  <c r="K1388" i="10"/>
  <c r="K1387" i="10"/>
  <c r="K1386" i="10"/>
  <c r="K1385" i="10"/>
  <c r="K1384" i="10"/>
  <c r="K1383" i="10"/>
  <c r="K1382" i="10"/>
  <c r="K1381" i="10"/>
  <c r="K1380" i="10"/>
  <c r="K1379" i="10"/>
  <c r="K1378" i="10"/>
  <c r="K1377" i="10"/>
  <c r="K1376" i="10"/>
  <c r="K1375" i="10"/>
  <c r="K1374" i="10"/>
  <c r="K1373" i="10"/>
  <c r="K1372" i="10"/>
  <c r="K1371" i="10"/>
  <c r="K1370" i="10"/>
  <c r="K1369" i="10"/>
  <c r="K1368" i="10"/>
  <c r="K1367" i="10"/>
  <c r="K1366" i="10"/>
  <c r="K1365" i="10"/>
  <c r="K1364" i="10"/>
  <c r="K1363" i="10"/>
  <c r="K1362" i="10"/>
  <c r="K1361" i="10"/>
  <c r="K1360" i="10"/>
  <c r="K1359" i="10"/>
  <c r="K1358" i="10"/>
  <c r="K1357" i="10"/>
  <c r="K1356" i="10"/>
  <c r="K1355" i="10"/>
  <c r="K1354" i="10"/>
  <c r="K1353" i="10"/>
  <c r="K1352" i="10"/>
  <c r="K1351" i="10"/>
  <c r="K1350" i="10"/>
  <c r="K1349" i="10"/>
  <c r="K1348" i="10"/>
  <c r="K1347" i="10"/>
  <c r="K1346" i="10"/>
  <c r="K1345" i="10"/>
  <c r="K1344" i="10"/>
  <c r="K1343" i="10"/>
  <c r="K1342" i="10"/>
  <c r="K1341" i="10"/>
  <c r="K1340" i="10"/>
  <c r="K1339" i="10"/>
  <c r="K1338" i="10"/>
  <c r="K1337" i="10"/>
  <c r="K1336" i="10"/>
  <c r="K1335" i="10"/>
  <c r="K1334" i="10"/>
  <c r="K1333" i="10"/>
  <c r="K1332" i="10"/>
  <c r="K1331" i="10"/>
  <c r="K1330" i="10"/>
  <c r="K1329" i="10"/>
  <c r="K1328" i="10"/>
  <c r="K1327" i="10"/>
  <c r="K1326" i="10"/>
  <c r="K1325" i="10"/>
  <c r="K1324" i="10"/>
  <c r="K1323" i="10"/>
  <c r="K1322" i="10"/>
  <c r="K1321" i="10"/>
  <c r="K1320" i="10"/>
  <c r="K1319" i="10"/>
  <c r="K1318" i="10"/>
  <c r="K1317" i="10"/>
  <c r="K1316" i="10"/>
  <c r="K1315" i="10"/>
  <c r="K1314" i="10"/>
  <c r="K1313" i="10"/>
  <c r="K1312" i="10"/>
  <c r="K1311" i="10"/>
  <c r="K1310" i="10"/>
  <c r="K1309" i="10"/>
  <c r="K1308" i="10"/>
  <c r="K1307" i="10"/>
  <c r="K1306" i="10"/>
  <c r="K1305" i="10"/>
  <c r="K1304" i="10"/>
  <c r="K1303" i="10"/>
  <c r="K1302" i="10"/>
  <c r="K1301" i="10"/>
  <c r="K1300" i="10"/>
  <c r="K1299" i="10"/>
  <c r="K1298" i="10"/>
  <c r="K1297" i="10"/>
  <c r="K1296" i="10"/>
  <c r="K1295" i="10"/>
  <c r="K1294" i="10"/>
  <c r="K1293" i="10"/>
  <c r="K1292" i="10"/>
  <c r="K1291" i="10"/>
  <c r="K1290" i="10"/>
  <c r="K1289" i="10"/>
  <c r="K1288" i="10"/>
  <c r="K1287" i="10"/>
  <c r="K1286" i="10"/>
  <c r="K1285" i="10"/>
  <c r="K1284" i="10"/>
  <c r="K1283" i="10"/>
  <c r="K1282" i="10"/>
  <c r="K1281" i="10"/>
  <c r="K1280" i="10"/>
  <c r="K1279" i="10"/>
  <c r="K1278" i="10"/>
  <c r="K1277" i="10"/>
  <c r="K1276" i="10"/>
  <c r="K1275" i="10"/>
  <c r="K1274" i="10"/>
  <c r="K1273" i="10"/>
  <c r="K1272" i="10"/>
  <c r="K1271" i="10"/>
  <c r="K1270" i="10"/>
  <c r="K1269" i="10"/>
  <c r="K1268" i="10"/>
  <c r="K1267" i="10"/>
  <c r="K1266" i="10"/>
  <c r="K1265" i="10"/>
  <c r="K1264" i="10"/>
  <c r="K1263" i="10"/>
  <c r="K1262" i="10"/>
  <c r="K1261" i="10"/>
  <c r="K1260" i="10"/>
  <c r="K1259" i="10"/>
  <c r="K1258" i="10"/>
  <c r="K1257" i="10"/>
  <c r="K1256" i="10"/>
  <c r="K1255" i="10"/>
  <c r="K1254" i="10"/>
  <c r="K1253" i="10"/>
  <c r="K1252" i="10"/>
  <c r="K1251" i="10"/>
  <c r="K1250" i="10"/>
  <c r="K1249" i="10"/>
  <c r="K1248" i="10"/>
  <c r="K1247" i="10"/>
  <c r="K1246" i="10"/>
  <c r="K1245" i="10"/>
  <c r="K1244" i="10"/>
  <c r="K1243" i="10"/>
  <c r="K1242" i="10"/>
  <c r="K1241" i="10"/>
  <c r="K1240" i="10"/>
  <c r="K1239" i="10"/>
  <c r="K1238" i="10"/>
  <c r="K1237" i="10"/>
  <c r="K1236" i="10"/>
  <c r="K1235" i="10"/>
  <c r="K1234" i="10"/>
  <c r="K1233" i="10"/>
  <c r="K1232" i="10"/>
  <c r="K1231" i="10"/>
  <c r="K1230" i="10"/>
  <c r="K1229" i="10"/>
  <c r="K1228" i="10"/>
  <c r="K1227" i="10"/>
  <c r="K1226" i="10"/>
  <c r="K1225" i="10"/>
  <c r="K1224" i="10"/>
  <c r="K1223" i="10"/>
  <c r="K1222" i="10"/>
  <c r="K1221" i="10"/>
  <c r="K1220" i="10"/>
  <c r="K1219" i="10"/>
  <c r="K1218" i="10"/>
  <c r="K1217" i="10"/>
  <c r="K1216" i="10"/>
  <c r="K1215" i="10"/>
  <c r="K1214" i="10"/>
  <c r="K1213" i="10"/>
  <c r="K1212" i="10"/>
  <c r="K1211" i="10"/>
  <c r="K1210" i="10"/>
  <c r="K1209" i="10"/>
  <c r="K1208" i="10"/>
  <c r="K1207" i="10"/>
  <c r="K1206" i="10"/>
  <c r="K1205" i="10"/>
  <c r="K1204" i="10"/>
  <c r="K1203" i="10"/>
  <c r="K1202" i="10"/>
  <c r="K1201" i="10"/>
  <c r="K1200" i="10"/>
  <c r="K1199" i="10"/>
  <c r="K1198" i="10"/>
  <c r="K1197" i="10"/>
  <c r="K1196" i="10"/>
  <c r="K1195" i="10"/>
  <c r="K1194" i="10"/>
  <c r="K1193" i="10"/>
  <c r="K1192" i="10"/>
  <c r="K1191" i="10"/>
  <c r="K1190" i="10"/>
  <c r="K1189" i="10"/>
  <c r="K1188" i="10"/>
  <c r="K1187" i="10"/>
  <c r="K1186" i="10"/>
  <c r="K1185" i="10"/>
  <c r="K1184" i="10"/>
  <c r="K1183" i="10"/>
  <c r="K1182" i="10"/>
  <c r="K1181" i="10"/>
  <c r="K1180" i="10"/>
  <c r="K1179" i="10"/>
  <c r="K1178" i="10"/>
  <c r="K1177" i="10"/>
  <c r="K1176" i="10"/>
  <c r="K1175" i="10"/>
  <c r="K1174" i="10"/>
  <c r="K1173" i="10"/>
  <c r="K1172" i="10"/>
  <c r="K1171" i="10"/>
  <c r="K1170" i="10"/>
  <c r="K1169" i="10"/>
  <c r="K1168" i="10"/>
  <c r="K1167" i="10"/>
  <c r="K1166" i="10"/>
  <c r="K1165" i="10"/>
  <c r="K1164" i="10"/>
  <c r="K1163" i="10"/>
  <c r="K1162" i="10"/>
  <c r="K1161" i="10"/>
  <c r="K1160" i="10"/>
  <c r="K1159" i="10"/>
  <c r="K1158" i="10"/>
  <c r="K1157" i="10"/>
  <c r="K1156" i="10"/>
  <c r="K1155" i="10"/>
  <c r="K1154" i="10"/>
  <c r="K1153" i="10"/>
  <c r="K1152" i="10"/>
  <c r="K1151" i="10"/>
  <c r="K1150" i="10"/>
  <c r="K1149" i="10"/>
  <c r="K1148" i="10"/>
  <c r="K1147" i="10"/>
  <c r="K1146" i="10"/>
  <c r="K1145" i="10"/>
  <c r="K1144" i="10"/>
  <c r="K1143" i="10"/>
  <c r="K1142" i="10"/>
  <c r="K1141" i="10"/>
  <c r="K1140" i="10"/>
  <c r="K1139" i="10"/>
  <c r="K1138" i="10"/>
  <c r="K1137" i="10"/>
  <c r="K1136" i="10"/>
  <c r="K1135" i="10"/>
  <c r="K1134" i="10"/>
  <c r="K1133" i="10"/>
  <c r="K1132" i="10"/>
  <c r="K1131" i="10"/>
  <c r="K1130" i="10"/>
  <c r="K1129" i="10"/>
  <c r="K1128" i="10"/>
  <c r="K1127" i="10"/>
  <c r="K1126" i="10"/>
  <c r="K1125" i="10"/>
  <c r="K1124" i="10"/>
  <c r="K1123" i="10"/>
  <c r="K1122" i="10"/>
  <c r="K1121" i="10"/>
  <c r="K1120" i="10"/>
  <c r="K1119" i="10"/>
  <c r="K1118" i="10"/>
  <c r="K1117" i="10"/>
  <c r="K1116" i="10"/>
  <c r="K1115" i="10"/>
  <c r="K1114" i="10"/>
  <c r="K1113" i="10"/>
  <c r="K1112" i="10"/>
  <c r="K1111" i="10"/>
  <c r="K1110" i="10"/>
  <c r="K1109" i="10"/>
  <c r="K1108" i="10"/>
  <c r="K1107" i="10"/>
  <c r="K1106" i="10"/>
  <c r="K1105" i="10"/>
  <c r="K1104" i="10"/>
  <c r="K1103" i="10"/>
  <c r="K1102" i="10"/>
  <c r="K1101" i="10"/>
  <c r="K1100" i="10"/>
  <c r="K1099" i="10"/>
  <c r="K1098" i="10"/>
  <c r="K1097" i="10"/>
  <c r="K1096" i="10"/>
  <c r="K1095" i="10"/>
  <c r="K1094" i="10"/>
  <c r="K1093" i="10"/>
  <c r="K1092" i="10"/>
  <c r="K1091" i="10"/>
  <c r="K1090" i="10"/>
  <c r="K1089" i="10"/>
  <c r="K1088" i="10"/>
  <c r="K1087" i="10"/>
  <c r="K1086" i="10"/>
  <c r="K1085" i="10"/>
  <c r="K1084" i="10"/>
  <c r="K1083" i="10"/>
  <c r="K1082" i="10"/>
  <c r="K1081" i="10"/>
  <c r="K1080" i="10"/>
  <c r="K1079" i="10"/>
  <c r="K1078" i="10"/>
  <c r="K1077" i="10"/>
  <c r="K1076" i="10"/>
  <c r="K1075" i="10"/>
  <c r="K1074" i="10"/>
  <c r="K1073" i="10"/>
  <c r="K1072" i="10"/>
  <c r="K1071" i="10"/>
  <c r="K1070" i="10"/>
  <c r="K1069" i="10"/>
  <c r="K1068" i="10"/>
  <c r="K1067" i="10"/>
  <c r="K1066" i="10"/>
  <c r="K1065" i="10"/>
  <c r="K1064" i="10"/>
  <c r="K1063" i="10"/>
  <c r="K1062" i="10"/>
  <c r="K1061" i="10"/>
  <c r="K1060" i="10"/>
  <c r="K1059" i="10"/>
  <c r="K1058" i="10"/>
  <c r="K1057" i="10"/>
  <c r="K1056" i="10"/>
  <c r="K1055" i="10"/>
  <c r="K1054" i="10"/>
  <c r="K1053" i="10"/>
  <c r="K1052" i="10"/>
  <c r="K1051" i="10"/>
  <c r="K1050" i="10"/>
  <c r="K1049" i="10"/>
  <c r="K1048" i="10"/>
  <c r="K1047" i="10"/>
  <c r="K1046" i="10"/>
  <c r="K1045" i="10"/>
  <c r="K1044" i="10"/>
  <c r="K1043" i="10"/>
  <c r="K1042" i="10"/>
  <c r="K1041" i="10"/>
  <c r="K1040" i="10"/>
  <c r="K1039" i="10"/>
  <c r="K1038" i="10"/>
  <c r="K1037" i="10"/>
  <c r="K1036" i="10"/>
  <c r="K1035" i="10"/>
  <c r="K1034" i="10"/>
  <c r="K1033" i="10"/>
  <c r="K1032" i="10"/>
  <c r="K1031" i="10"/>
  <c r="K1030" i="10"/>
  <c r="K1029" i="10"/>
  <c r="K1028" i="10"/>
  <c r="K1027" i="10"/>
  <c r="K1026" i="10"/>
  <c r="K1025" i="10"/>
  <c r="K1024" i="10"/>
  <c r="K1023" i="10"/>
  <c r="K1022" i="10"/>
  <c r="K1021" i="10"/>
  <c r="K1020" i="10"/>
  <c r="K1019" i="10"/>
  <c r="K1018" i="10"/>
  <c r="K1017" i="10"/>
  <c r="K1016" i="10"/>
  <c r="K1015" i="10"/>
  <c r="K1014" i="10"/>
  <c r="K1013" i="10"/>
  <c r="K1012" i="10"/>
  <c r="K1011" i="10"/>
  <c r="K1010" i="10"/>
  <c r="K1009" i="10"/>
  <c r="K1008" i="10"/>
  <c r="K1007" i="10"/>
  <c r="K1006" i="10"/>
  <c r="K1005" i="10"/>
  <c r="K1004" i="10"/>
  <c r="K1003" i="10"/>
  <c r="K1002" i="10"/>
  <c r="K1001" i="10"/>
  <c r="K1000" i="10"/>
  <c r="K999" i="10"/>
  <c r="K998" i="10"/>
  <c r="K997" i="10"/>
  <c r="K996" i="10"/>
  <c r="K995" i="10"/>
  <c r="K994" i="10"/>
  <c r="K993" i="10"/>
  <c r="K992" i="10"/>
  <c r="K991" i="10"/>
  <c r="K990" i="10"/>
  <c r="K989" i="10"/>
  <c r="K988" i="10"/>
  <c r="K987" i="10"/>
  <c r="K986" i="10"/>
  <c r="K985" i="10"/>
  <c r="K984" i="10"/>
  <c r="K983" i="10"/>
  <c r="K982" i="10"/>
  <c r="K981" i="10"/>
  <c r="K980" i="10"/>
  <c r="K979" i="10"/>
  <c r="K978" i="10"/>
  <c r="K977" i="10"/>
  <c r="K976" i="10"/>
  <c r="K975" i="10"/>
  <c r="K974" i="10"/>
  <c r="K973" i="10"/>
  <c r="K972" i="10"/>
  <c r="K971" i="10"/>
  <c r="K970" i="10"/>
  <c r="K969" i="10"/>
  <c r="K968" i="10"/>
  <c r="K967" i="10"/>
  <c r="K966" i="10"/>
  <c r="K965" i="10"/>
  <c r="K964" i="10"/>
  <c r="K963" i="10"/>
  <c r="K962" i="10"/>
  <c r="K961" i="10"/>
  <c r="K960" i="10"/>
  <c r="K959" i="10"/>
  <c r="K958" i="10"/>
  <c r="K957" i="10"/>
  <c r="K956" i="10"/>
  <c r="K955" i="10"/>
  <c r="K954" i="10"/>
  <c r="K953" i="10"/>
  <c r="K952" i="10"/>
  <c r="K951" i="10"/>
  <c r="K950" i="10"/>
  <c r="K949" i="10"/>
  <c r="K948" i="10"/>
  <c r="K947" i="10"/>
  <c r="K946" i="10"/>
  <c r="K945" i="10"/>
  <c r="K944" i="10"/>
  <c r="K943" i="10"/>
  <c r="K942" i="10"/>
  <c r="K941" i="10"/>
  <c r="K940" i="10"/>
  <c r="K939" i="10"/>
  <c r="K938" i="10"/>
  <c r="K937" i="10"/>
  <c r="K936" i="10"/>
  <c r="K935" i="10"/>
  <c r="K934" i="10"/>
  <c r="K933" i="10"/>
  <c r="K932" i="10"/>
  <c r="K931" i="10"/>
  <c r="K930" i="10"/>
  <c r="K929" i="10"/>
  <c r="K928" i="10"/>
  <c r="K927" i="10"/>
  <c r="K926" i="10"/>
  <c r="K925" i="10"/>
  <c r="K924" i="10"/>
  <c r="K923" i="10"/>
  <c r="K922" i="10"/>
  <c r="K921" i="10"/>
  <c r="K920" i="10"/>
  <c r="K919" i="10"/>
  <c r="K918" i="10"/>
  <c r="K917" i="10"/>
  <c r="K916" i="10"/>
  <c r="K915" i="10"/>
  <c r="K914" i="10"/>
  <c r="K913" i="10"/>
  <c r="K912" i="10"/>
  <c r="K911" i="10"/>
  <c r="K910" i="10"/>
  <c r="K909" i="10"/>
  <c r="K908" i="10"/>
  <c r="K907" i="10"/>
  <c r="K906" i="10"/>
  <c r="K905" i="10"/>
  <c r="K904" i="10"/>
  <c r="K903" i="10"/>
  <c r="K902" i="10"/>
  <c r="K901" i="10"/>
  <c r="K900" i="10"/>
  <c r="K899" i="10"/>
  <c r="K898" i="10"/>
  <c r="K897" i="10"/>
  <c r="K896" i="10"/>
  <c r="K895" i="10"/>
  <c r="K894" i="10"/>
  <c r="K893" i="10"/>
  <c r="K892" i="10"/>
  <c r="K891" i="10"/>
  <c r="K890" i="10"/>
  <c r="K889" i="10"/>
  <c r="K888" i="10"/>
  <c r="K887" i="10"/>
  <c r="K886" i="10"/>
  <c r="K885" i="10"/>
  <c r="K884" i="10"/>
  <c r="K883" i="10"/>
  <c r="K882" i="10"/>
  <c r="K881" i="10"/>
  <c r="K880" i="10"/>
  <c r="K879" i="10"/>
  <c r="K878" i="10"/>
  <c r="K877" i="10"/>
  <c r="K876" i="10"/>
  <c r="K875" i="10"/>
  <c r="K874" i="10"/>
  <c r="K873" i="10"/>
  <c r="K872" i="10"/>
  <c r="K871" i="10"/>
  <c r="K870" i="10"/>
  <c r="K869" i="10"/>
  <c r="K868" i="10"/>
  <c r="K867" i="10"/>
  <c r="K866" i="10"/>
  <c r="K865" i="10"/>
  <c r="K864" i="10"/>
  <c r="K863" i="10"/>
  <c r="K862" i="10"/>
  <c r="K861" i="10"/>
  <c r="K860" i="10"/>
  <c r="K859" i="10"/>
  <c r="K858" i="10"/>
  <c r="K857" i="10"/>
  <c r="K856" i="10"/>
  <c r="K855" i="10"/>
  <c r="K854" i="10"/>
  <c r="K853" i="10"/>
  <c r="K852" i="10"/>
  <c r="K851" i="10"/>
  <c r="K850" i="10"/>
  <c r="K849" i="10"/>
  <c r="K848" i="10"/>
  <c r="K847" i="10"/>
  <c r="K846" i="10"/>
  <c r="K845" i="10"/>
  <c r="K844" i="10"/>
  <c r="K843" i="10"/>
  <c r="K842" i="10"/>
  <c r="K841" i="10"/>
  <c r="K840" i="10"/>
  <c r="K839" i="10"/>
  <c r="K838" i="10"/>
  <c r="K837" i="10"/>
  <c r="K836" i="10"/>
  <c r="K835" i="10"/>
  <c r="K834" i="10"/>
  <c r="K833" i="10"/>
  <c r="K832" i="10"/>
  <c r="K831" i="10"/>
  <c r="K830" i="10"/>
  <c r="K829" i="10"/>
  <c r="K828" i="10"/>
  <c r="K827" i="10"/>
  <c r="K826" i="10"/>
  <c r="K825" i="10"/>
  <c r="K824" i="10"/>
  <c r="K823" i="10"/>
  <c r="K822" i="10"/>
  <c r="K821" i="10"/>
  <c r="K820" i="10"/>
  <c r="K819" i="10"/>
  <c r="K818" i="10"/>
  <c r="K817" i="10"/>
  <c r="K816" i="10"/>
  <c r="K815" i="10"/>
  <c r="K814" i="10"/>
  <c r="K813" i="10"/>
  <c r="K812" i="10"/>
  <c r="K811" i="10"/>
  <c r="K810" i="10"/>
  <c r="K809" i="10"/>
  <c r="K808" i="10"/>
  <c r="K807" i="10"/>
  <c r="K806" i="10"/>
  <c r="K805" i="10"/>
  <c r="K804" i="10"/>
  <c r="K803" i="10"/>
  <c r="K802" i="10"/>
  <c r="K801" i="10"/>
  <c r="K800" i="10"/>
  <c r="K799" i="10"/>
  <c r="K798" i="10"/>
  <c r="K797" i="10"/>
  <c r="K796" i="10"/>
  <c r="K795" i="10"/>
  <c r="K794" i="10"/>
  <c r="K793" i="10"/>
  <c r="K792" i="10"/>
  <c r="K791" i="10"/>
  <c r="K790" i="10"/>
  <c r="K789" i="10"/>
  <c r="K788" i="10"/>
  <c r="K787" i="10"/>
  <c r="K786" i="10"/>
  <c r="K785" i="10"/>
  <c r="K784" i="10"/>
  <c r="K783" i="10"/>
  <c r="K782" i="10"/>
  <c r="K781" i="10"/>
  <c r="K780" i="10"/>
  <c r="K779" i="10"/>
  <c r="K778" i="10"/>
  <c r="K777" i="10"/>
  <c r="K776" i="10"/>
  <c r="K775" i="10"/>
  <c r="K774" i="10"/>
  <c r="K773" i="10"/>
  <c r="K772" i="10"/>
  <c r="K771" i="10"/>
  <c r="K770" i="10"/>
  <c r="K769" i="10"/>
  <c r="K768" i="10"/>
  <c r="K767" i="10"/>
  <c r="K766" i="10"/>
  <c r="K765" i="10"/>
  <c r="K764" i="10"/>
  <c r="K763" i="10"/>
  <c r="K762" i="10"/>
  <c r="K761" i="10"/>
  <c r="K760" i="10"/>
  <c r="K759" i="10"/>
  <c r="K758" i="10"/>
  <c r="K757" i="10"/>
  <c r="K756" i="10"/>
  <c r="K755" i="10"/>
  <c r="K754" i="10"/>
  <c r="K753" i="10"/>
  <c r="K752" i="10"/>
  <c r="K751" i="10"/>
  <c r="K750" i="10"/>
  <c r="K749" i="10"/>
  <c r="K748" i="10"/>
  <c r="K747" i="10"/>
  <c r="K746" i="10"/>
  <c r="K745" i="10"/>
  <c r="K744" i="10"/>
  <c r="K743" i="10"/>
  <c r="K742" i="10"/>
  <c r="K741" i="10"/>
  <c r="K740" i="10"/>
  <c r="K739" i="10"/>
  <c r="K738" i="10"/>
  <c r="K737" i="10"/>
  <c r="K736" i="10"/>
  <c r="K735" i="10"/>
  <c r="K734" i="10"/>
  <c r="K733" i="10"/>
  <c r="K732" i="10"/>
  <c r="K731" i="10"/>
  <c r="K730" i="10"/>
  <c r="K729" i="10"/>
  <c r="K728" i="10"/>
  <c r="K727" i="10"/>
  <c r="K726" i="10"/>
  <c r="K725" i="10"/>
  <c r="K724" i="10"/>
  <c r="K723" i="10"/>
  <c r="K722" i="10"/>
  <c r="K721" i="10"/>
  <c r="K720" i="10"/>
  <c r="K719" i="10"/>
  <c r="K718" i="10"/>
  <c r="K717" i="10"/>
  <c r="K716" i="10"/>
  <c r="K715" i="10"/>
  <c r="K714" i="10"/>
  <c r="K713" i="10"/>
  <c r="K712" i="10"/>
  <c r="K711" i="10"/>
  <c r="K710" i="10"/>
  <c r="K709" i="10"/>
  <c r="K708" i="10"/>
  <c r="K707" i="10"/>
  <c r="K706" i="10"/>
  <c r="K705" i="10"/>
  <c r="K704" i="10"/>
  <c r="K703" i="10"/>
  <c r="K702" i="10"/>
  <c r="K701" i="10"/>
  <c r="K700" i="10"/>
  <c r="K699" i="10"/>
  <c r="K698" i="10"/>
  <c r="K697" i="10"/>
  <c r="K696" i="10"/>
  <c r="K695" i="10"/>
  <c r="K694" i="10"/>
  <c r="K693" i="10"/>
  <c r="K692" i="10"/>
  <c r="K691" i="10"/>
  <c r="K690" i="10"/>
  <c r="K689" i="10"/>
  <c r="K688" i="10"/>
  <c r="K687" i="10"/>
  <c r="K686" i="10"/>
  <c r="K685" i="10"/>
  <c r="K684" i="10"/>
  <c r="K683" i="10"/>
  <c r="K682" i="10"/>
  <c r="K681" i="10"/>
  <c r="K680" i="10"/>
  <c r="K679" i="10"/>
  <c r="K678" i="10"/>
  <c r="K677" i="10"/>
  <c r="K676" i="10"/>
  <c r="K675" i="10"/>
  <c r="K674" i="10"/>
  <c r="K673" i="10"/>
  <c r="K672" i="10"/>
  <c r="K671" i="10"/>
  <c r="K670" i="10"/>
  <c r="K669" i="10"/>
  <c r="K668" i="10"/>
  <c r="K667" i="10"/>
  <c r="K666" i="10"/>
  <c r="K665" i="10"/>
  <c r="K664" i="10"/>
  <c r="K663" i="10"/>
  <c r="K662" i="10"/>
  <c r="K661" i="10"/>
  <c r="K660" i="10"/>
  <c r="K659" i="10"/>
  <c r="K658" i="10"/>
  <c r="K657" i="10"/>
  <c r="K656" i="10"/>
  <c r="K655" i="10"/>
  <c r="K654" i="10"/>
  <c r="K653" i="10"/>
  <c r="K652" i="10"/>
  <c r="K651" i="10"/>
  <c r="K650" i="10"/>
  <c r="K649" i="10"/>
  <c r="K648" i="10"/>
  <c r="K647" i="10"/>
  <c r="K646" i="10"/>
  <c r="K645" i="10"/>
  <c r="K644" i="10"/>
  <c r="K643" i="10"/>
  <c r="K642" i="10"/>
  <c r="K641" i="10"/>
  <c r="K640" i="10"/>
  <c r="K639" i="10"/>
  <c r="K638" i="10"/>
  <c r="K637" i="10"/>
  <c r="K636" i="10"/>
  <c r="K635" i="10"/>
  <c r="K634" i="10"/>
  <c r="K633" i="10"/>
  <c r="K632" i="10"/>
  <c r="K631" i="10"/>
  <c r="K630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610" i="10"/>
  <c r="K609" i="10"/>
  <c r="K608" i="10"/>
  <c r="K607" i="10"/>
  <c r="K606" i="10"/>
  <c r="K605" i="10"/>
  <c r="K604" i="10"/>
  <c r="K603" i="10"/>
  <c r="K602" i="10"/>
  <c r="K601" i="10"/>
  <c r="K600" i="10"/>
  <c r="K599" i="10"/>
  <c r="K598" i="10"/>
  <c r="K597" i="10"/>
  <c r="K596" i="10"/>
  <c r="K595" i="10"/>
  <c r="K594" i="10"/>
  <c r="K593" i="10"/>
  <c r="K592" i="10"/>
  <c r="K591" i="10"/>
  <c r="K590" i="10"/>
  <c r="K589" i="10"/>
  <c r="K588" i="10"/>
  <c r="K587" i="10"/>
  <c r="K586" i="10"/>
  <c r="K585" i="10"/>
  <c r="K584" i="10"/>
  <c r="K583" i="10"/>
  <c r="K582" i="10"/>
  <c r="K581" i="10"/>
  <c r="K580" i="10"/>
  <c r="K579" i="10"/>
  <c r="K578" i="10"/>
  <c r="K577" i="10"/>
  <c r="K576" i="10"/>
  <c r="K575" i="10"/>
  <c r="K574" i="10"/>
  <c r="K573" i="10"/>
  <c r="K572" i="10"/>
  <c r="K571" i="10"/>
  <c r="K570" i="10"/>
  <c r="K569" i="10"/>
  <c r="K568" i="10"/>
  <c r="K567" i="10"/>
  <c r="K566" i="10"/>
  <c r="K565" i="10"/>
  <c r="K564" i="10"/>
  <c r="K563" i="10"/>
  <c r="K562" i="10"/>
  <c r="K561" i="10"/>
  <c r="K560" i="10"/>
  <c r="K559" i="10"/>
  <c r="K558" i="10"/>
  <c r="K557" i="10"/>
  <c r="K556" i="10"/>
  <c r="K555" i="10"/>
  <c r="K554" i="10"/>
  <c r="K553" i="10"/>
  <c r="K552" i="10"/>
  <c r="K551" i="10"/>
  <c r="K550" i="10"/>
  <c r="K549" i="10"/>
  <c r="K548" i="10"/>
  <c r="K547" i="10"/>
  <c r="K546" i="10"/>
  <c r="K545" i="10"/>
  <c r="K544" i="10"/>
  <c r="K543" i="10"/>
  <c r="K542" i="10"/>
  <c r="K541" i="10"/>
  <c r="K540" i="10"/>
  <c r="K539" i="10"/>
  <c r="K538" i="10"/>
  <c r="K537" i="10"/>
  <c r="K536" i="10"/>
  <c r="K535" i="10"/>
  <c r="K534" i="10"/>
  <c r="K533" i="10"/>
  <c r="K532" i="10"/>
  <c r="K531" i="10"/>
  <c r="K530" i="10"/>
  <c r="K529" i="10"/>
  <c r="K528" i="10"/>
  <c r="K527" i="10"/>
  <c r="K526" i="10"/>
  <c r="K525" i="10"/>
  <c r="K524" i="10"/>
  <c r="K523" i="10"/>
  <c r="K522" i="10"/>
  <c r="K521" i="10"/>
  <c r="K520" i="10"/>
  <c r="K519" i="10"/>
  <c r="K518" i="10"/>
  <c r="K517" i="10"/>
  <c r="K516" i="10"/>
  <c r="K515" i="10"/>
  <c r="K514" i="10"/>
  <c r="K513" i="10"/>
  <c r="K512" i="10"/>
  <c r="K511" i="10"/>
  <c r="K510" i="10"/>
  <c r="K509" i="10"/>
  <c r="K508" i="10"/>
  <c r="K507" i="10"/>
  <c r="K506" i="10"/>
  <c r="K505" i="10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H387" i="10"/>
  <c r="E387" i="10"/>
  <c r="H386" i="10"/>
  <c r="E386" i="10"/>
  <c r="H385" i="10"/>
  <c r="E385" i="10"/>
  <c r="H384" i="10"/>
  <c r="E384" i="10"/>
  <c r="H383" i="10"/>
  <c r="E383" i="10"/>
  <c r="H382" i="10"/>
  <c r="E382" i="10"/>
  <c r="H381" i="10"/>
  <c r="E381" i="10"/>
  <c r="H380" i="10"/>
  <c r="E380" i="10"/>
  <c r="H379" i="10"/>
  <c r="E379" i="10"/>
  <c r="H378" i="10"/>
  <c r="E378" i="10"/>
  <c r="H377" i="10"/>
  <c r="E377" i="10"/>
  <c r="H376" i="10"/>
  <c r="E376" i="10"/>
  <c r="H375" i="10"/>
  <c r="E375" i="10"/>
  <c r="H374" i="10"/>
  <c r="E374" i="10"/>
  <c r="H373" i="10"/>
  <c r="E373" i="10"/>
  <c r="H372" i="10"/>
  <c r="E372" i="10"/>
  <c r="H371" i="10"/>
  <c r="E371" i="10"/>
  <c r="H370" i="10"/>
  <c r="E370" i="10"/>
  <c r="H369" i="10"/>
  <c r="E369" i="10"/>
  <c r="H368" i="10"/>
  <c r="E368" i="10"/>
  <c r="H367" i="10"/>
  <c r="E367" i="10"/>
  <c r="H366" i="10"/>
  <c r="E366" i="10"/>
  <c r="H365" i="10"/>
  <c r="E365" i="10"/>
  <c r="H364" i="10"/>
  <c r="E364" i="10"/>
  <c r="H363" i="10"/>
  <c r="E363" i="10"/>
  <c r="H362" i="10"/>
  <c r="E362" i="10"/>
  <c r="H361" i="10"/>
  <c r="E361" i="10"/>
  <c r="H360" i="10"/>
  <c r="E360" i="10"/>
  <c r="H359" i="10"/>
  <c r="E359" i="10"/>
  <c r="H358" i="10"/>
  <c r="E358" i="10"/>
  <c r="H357" i="10"/>
  <c r="E357" i="10"/>
  <c r="H356" i="10"/>
  <c r="E356" i="10"/>
  <c r="H355" i="10"/>
  <c r="E355" i="10"/>
  <c r="H354" i="10"/>
  <c r="E354" i="10"/>
  <c r="H353" i="10"/>
  <c r="E353" i="10"/>
  <c r="H352" i="10"/>
  <c r="E352" i="10"/>
  <c r="H351" i="10"/>
  <c r="E351" i="10"/>
  <c r="H350" i="10"/>
  <c r="E350" i="10"/>
  <c r="H349" i="10"/>
  <c r="E349" i="10"/>
  <c r="H348" i="10"/>
  <c r="E348" i="10"/>
  <c r="H347" i="10"/>
  <c r="E347" i="10"/>
  <c r="H346" i="10"/>
  <c r="E346" i="10"/>
  <c r="H345" i="10"/>
  <c r="E345" i="10"/>
  <c r="H344" i="10"/>
  <c r="E344" i="10"/>
  <c r="H343" i="10"/>
  <c r="E343" i="10"/>
  <c r="H342" i="10"/>
  <c r="E342" i="10"/>
  <c r="H341" i="10"/>
  <c r="E341" i="10"/>
  <c r="H340" i="10"/>
  <c r="E340" i="10"/>
  <c r="H339" i="10"/>
  <c r="E339" i="10"/>
  <c r="H338" i="10"/>
  <c r="E338" i="10"/>
  <c r="H337" i="10"/>
  <c r="E337" i="10"/>
  <c r="H336" i="10"/>
  <c r="E336" i="10"/>
  <c r="H335" i="10"/>
  <c r="E335" i="10"/>
  <c r="H334" i="10"/>
  <c r="E334" i="10"/>
  <c r="H333" i="10"/>
  <c r="E333" i="10"/>
  <c r="H332" i="10"/>
  <c r="E332" i="10"/>
  <c r="H331" i="10"/>
  <c r="E331" i="10"/>
  <c r="H330" i="10"/>
  <c r="E330" i="10"/>
  <c r="H329" i="10"/>
  <c r="E329" i="10"/>
  <c r="H328" i="10"/>
  <c r="E328" i="10"/>
  <c r="H327" i="10"/>
  <c r="E327" i="10"/>
  <c r="H326" i="10"/>
  <c r="E326" i="10"/>
  <c r="H325" i="10"/>
  <c r="E325" i="10"/>
  <c r="H324" i="10"/>
  <c r="E324" i="10"/>
  <c r="H323" i="10"/>
  <c r="E323" i="10"/>
  <c r="H322" i="10"/>
  <c r="E322" i="10"/>
  <c r="H321" i="10"/>
  <c r="E321" i="10"/>
  <c r="H320" i="10"/>
  <c r="E320" i="10"/>
  <c r="H319" i="10"/>
  <c r="E319" i="10"/>
  <c r="H318" i="10"/>
  <c r="E318" i="10"/>
  <c r="H317" i="10"/>
  <c r="E317" i="10"/>
  <c r="H316" i="10"/>
  <c r="E316" i="10"/>
  <c r="H315" i="10"/>
  <c r="E315" i="10"/>
  <c r="H314" i="10"/>
  <c r="E314" i="10"/>
  <c r="H313" i="10"/>
  <c r="E313" i="10"/>
  <c r="H312" i="10"/>
  <c r="E312" i="10"/>
  <c r="H311" i="10"/>
  <c r="E311" i="10"/>
  <c r="H310" i="10"/>
  <c r="E310" i="10"/>
  <c r="H309" i="10"/>
  <c r="E309" i="10"/>
  <c r="H308" i="10"/>
  <c r="E308" i="10"/>
  <c r="H307" i="10"/>
  <c r="E307" i="10"/>
  <c r="H306" i="10"/>
  <c r="E306" i="10"/>
  <c r="H305" i="10"/>
  <c r="E305" i="10"/>
  <c r="H304" i="10"/>
  <c r="E304" i="10"/>
  <c r="H303" i="10"/>
  <c r="E303" i="10"/>
  <c r="H302" i="10"/>
  <c r="E302" i="10"/>
  <c r="H301" i="10"/>
  <c r="E301" i="10"/>
  <c r="H300" i="10"/>
  <c r="E300" i="10"/>
  <c r="H299" i="10"/>
  <c r="E299" i="10"/>
  <c r="H298" i="10"/>
  <c r="E298" i="10"/>
  <c r="H297" i="10"/>
  <c r="E297" i="10"/>
  <c r="H296" i="10"/>
  <c r="E296" i="10"/>
  <c r="H295" i="10"/>
  <c r="E295" i="10"/>
  <c r="H294" i="10"/>
  <c r="E294" i="10"/>
  <c r="H293" i="10"/>
  <c r="E293" i="10"/>
  <c r="H292" i="10"/>
  <c r="E292" i="10"/>
  <c r="H291" i="10"/>
  <c r="E291" i="10"/>
  <c r="H290" i="10"/>
  <c r="E290" i="10"/>
  <c r="H289" i="10"/>
  <c r="E289" i="10"/>
  <c r="H288" i="10"/>
  <c r="E288" i="10"/>
  <c r="H287" i="10"/>
  <c r="E287" i="10"/>
  <c r="H286" i="10"/>
  <c r="E286" i="10"/>
  <c r="H285" i="10"/>
  <c r="E285" i="10"/>
  <c r="H284" i="10"/>
  <c r="E284" i="10"/>
  <c r="I283" i="10"/>
  <c r="H283" i="10"/>
  <c r="E283" i="10"/>
  <c r="I282" i="10"/>
  <c r="H282" i="10"/>
  <c r="E282" i="10"/>
  <c r="I281" i="10"/>
  <c r="H281" i="10"/>
  <c r="E281" i="10"/>
  <c r="I280" i="10"/>
  <c r="H280" i="10"/>
  <c r="E280" i="10"/>
  <c r="I279" i="10"/>
  <c r="H279" i="10"/>
  <c r="E279" i="10"/>
  <c r="I278" i="10"/>
  <c r="H278" i="10"/>
  <c r="E278" i="10"/>
  <c r="I277" i="10"/>
  <c r="H277" i="10"/>
  <c r="E277" i="10"/>
  <c r="I276" i="10"/>
  <c r="H276" i="10"/>
  <c r="E276" i="10"/>
  <c r="I275" i="10"/>
  <c r="H275" i="10"/>
  <c r="E275" i="10"/>
  <c r="I274" i="10"/>
  <c r="H274" i="10"/>
  <c r="E274" i="10"/>
  <c r="I273" i="10"/>
  <c r="H273" i="10"/>
  <c r="E273" i="10"/>
  <c r="I272" i="10"/>
  <c r="H272" i="10"/>
  <c r="E272" i="10"/>
  <c r="I271" i="10"/>
  <c r="H271" i="10"/>
  <c r="E271" i="10"/>
  <c r="I270" i="10"/>
  <c r="H270" i="10"/>
  <c r="E270" i="10"/>
  <c r="I269" i="10"/>
  <c r="H269" i="10"/>
  <c r="E269" i="10"/>
  <c r="I268" i="10"/>
  <c r="H268" i="10"/>
  <c r="E268" i="10"/>
  <c r="I267" i="10"/>
  <c r="H267" i="10"/>
  <c r="E267" i="10"/>
  <c r="I266" i="10"/>
  <c r="H266" i="10"/>
  <c r="E266" i="10"/>
  <c r="I265" i="10"/>
  <c r="H265" i="10"/>
  <c r="E265" i="10"/>
  <c r="I264" i="10"/>
  <c r="H264" i="10"/>
  <c r="E264" i="10"/>
  <c r="I263" i="10"/>
  <c r="H263" i="10"/>
  <c r="E263" i="10"/>
  <c r="I262" i="10"/>
  <c r="H262" i="10"/>
  <c r="E262" i="10"/>
  <c r="I261" i="10"/>
  <c r="H261" i="10"/>
  <c r="E261" i="10"/>
  <c r="I260" i="10"/>
  <c r="H260" i="10"/>
  <c r="E260" i="10"/>
  <c r="I259" i="10"/>
  <c r="H259" i="10"/>
  <c r="E259" i="10"/>
  <c r="I258" i="10"/>
  <c r="H258" i="10"/>
  <c r="E258" i="10"/>
  <c r="I257" i="10"/>
  <c r="H257" i="10"/>
  <c r="E257" i="10"/>
  <c r="I256" i="10"/>
  <c r="H256" i="10"/>
  <c r="E256" i="10"/>
  <c r="I255" i="10"/>
  <c r="H255" i="10"/>
  <c r="E255" i="10"/>
  <c r="I254" i="10"/>
  <c r="H254" i="10"/>
  <c r="E254" i="10"/>
  <c r="I253" i="10"/>
  <c r="H253" i="10"/>
  <c r="E253" i="10"/>
  <c r="I252" i="10"/>
  <c r="H252" i="10"/>
  <c r="E252" i="10"/>
  <c r="I251" i="10"/>
  <c r="H251" i="10"/>
  <c r="E251" i="10"/>
  <c r="I250" i="10"/>
  <c r="H250" i="10"/>
  <c r="E250" i="10"/>
  <c r="I249" i="10"/>
  <c r="H249" i="10"/>
  <c r="E249" i="10"/>
  <c r="I248" i="10"/>
  <c r="H248" i="10"/>
  <c r="E248" i="10"/>
  <c r="I247" i="10"/>
  <c r="H247" i="10"/>
  <c r="E247" i="10"/>
  <c r="I246" i="10"/>
  <c r="H246" i="10"/>
  <c r="E246" i="10"/>
  <c r="I245" i="10"/>
  <c r="H245" i="10"/>
  <c r="E245" i="10"/>
  <c r="I244" i="10"/>
  <c r="H244" i="10"/>
  <c r="E244" i="10"/>
  <c r="I243" i="10"/>
  <c r="H243" i="10"/>
  <c r="E243" i="10"/>
  <c r="I242" i="10"/>
  <c r="H242" i="10"/>
  <c r="E242" i="10"/>
  <c r="I241" i="10"/>
  <c r="H241" i="10"/>
  <c r="E241" i="10"/>
  <c r="I240" i="10"/>
  <c r="H240" i="10"/>
  <c r="E240" i="10"/>
  <c r="I239" i="10"/>
  <c r="H239" i="10"/>
  <c r="E239" i="10"/>
  <c r="I238" i="10"/>
  <c r="H238" i="10"/>
  <c r="E238" i="10"/>
  <c r="I237" i="10"/>
  <c r="H237" i="10"/>
  <c r="E237" i="10"/>
  <c r="I236" i="10"/>
  <c r="H236" i="10"/>
  <c r="E236" i="10"/>
  <c r="I235" i="10"/>
  <c r="H235" i="10"/>
  <c r="E235" i="10"/>
  <c r="I234" i="10"/>
  <c r="H234" i="10"/>
  <c r="E234" i="10"/>
  <c r="I233" i="10"/>
  <c r="H233" i="10"/>
  <c r="E233" i="10"/>
  <c r="I232" i="10"/>
  <c r="H232" i="10"/>
  <c r="E232" i="10"/>
  <c r="I231" i="10"/>
  <c r="H231" i="10"/>
  <c r="E231" i="10"/>
  <c r="I230" i="10"/>
  <c r="H230" i="10"/>
  <c r="E230" i="10"/>
  <c r="I229" i="10"/>
  <c r="H229" i="10"/>
  <c r="E229" i="10"/>
  <c r="I228" i="10"/>
  <c r="H228" i="10"/>
  <c r="E228" i="10"/>
  <c r="I227" i="10"/>
  <c r="H227" i="10"/>
  <c r="E227" i="10"/>
  <c r="I226" i="10"/>
  <c r="H226" i="10"/>
  <c r="E226" i="10"/>
  <c r="I225" i="10"/>
  <c r="H225" i="10"/>
  <c r="E225" i="10"/>
  <c r="I224" i="10"/>
  <c r="H224" i="10"/>
  <c r="E224" i="10"/>
  <c r="I223" i="10"/>
  <c r="H223" i="10"/>
  <c r="E223" i="10"/>
  <c r="I222" i="10"/>
  <c r="H222" i="10"/>
  <c r="E222" i="10"/>
  <c r="I221" i="10"/>
  <c r="H221" i="10"/>
  <c r="E221" i="10"/>
  <c r="I220" i="10"/>
  <c r="H220" i="10"/>
  <c r="E220" i="10"/>
  <c r="I219" i="10"/>
  <c r="H219" i="10"/>
  <c r="E219" i="10"/>
  <c r="I218" i="10"/>
  <c r="H218" i="10"/>
  <c r="E218" i="10"/>
  <c r="I217" i="10"/>
  <c r="H217" i="10"/>
  <c r="E217" i="10"/>
  <c r="I216" i="10"/>
  <c r="H216" i="10"/>
  <c r="E216" i="10"/>
  <c r="I215" i="10"/>
  <c r="H215" i="10"/>
  <c r="E215" i="10"/>
  <c r="I214" i="10"/>
  <c r="H214" i="10"/>
  <c r="E214" i="10"/>
  <c r="I213" i="10"/>
  <c r="H213" i="10"/>
  <c r="E213" i="10"/>
  <c r="I212" i="10"/>
  <c r="H212" i="10"/>
  <c r="E212" i="10"/>
  <c r="I211" i="10"/>
  <c r="H211" i="10"/>
  <c r="E211" i="10"/>
  <c r="I210" i="10"/>
  <c r="H210" i="10"/>
  <c r="E210" i="10"/>
  <c r="I209" i="10"/>
  <c r="H209" i="10"/>
  <c r="E209" i="10"/>
  <c r="I208" i="10"/>
  <c r="H208" i="10"/>
  <c r="E208" i="10"/>
  <c r="I207" i="10"/>
  <c r="H207" i="10"/>
  <c r="E207" i="10"/>
  <c r="I206" i="10"/>
  <c r="H206" i="10"/>
  <c r="E206" i="10"/>
  <c r="I205" i="10"/>
  <c r="H205" i="10"/>
  <c r="E205" i="10"/>
  <c r="I204" i="10"/>
  <c r="H204" i="10"/>
  <c r="E204" i="10"/>
  <c r="I203" i="10"/>
  <c r="H203" i="10"/>
  <c r="E203" i="10"/>
  <c r="I202" i="10"/>
  <c r="H202" i="10"/>
  <c r="E202" i="10"/>
  <c r="I201" i="10"/>
  <c r="H201" i="10"/>
  <c r="E201" i="10"/>
  <c r="I200" i="10"/>
  <c r="H200" i="10"/>
  <c r="E200" i="10"/>
  <c r="I199" i="10"/>
  <c r="H199" i="10"/>
  <c r="E199" i="10"/>
  <c r="I198" i="10"/>
  <c r="H198" i="10"/>
  <c r="E198" i="10"/>
  <c r="I197" i="10"/>
  <c r="H197" i="10"/>
  <c r="E197" i="10"/>
  <c r="I196" i="10"/>
  <c r="H196" i="10"/>
  <c r="E196" i="10"/>
  <c r="I195" i="10"/>
  <c r="H195" i="10"/>
  <c r="E195" i="10"/>
  <c r="I194" i="10"/>
  <c r="H194" i="10"/>
  <c r="E194" i="10"/>
  <c r="I193" i="10"/>
  <c r="H193" i="10"/>
  <c r="E193" i="10"/>
  <c r="I192" i="10"/>
  <c r="H192" i="10"/>
  <c r="E192" i="10"/>
  <c r="I191" i="10"/>
  <c r="H191" i="10"/>
  <c r="E191" i="10"/>
  <c r="I190" i="10"/>
  <c r="H190" i="10"/>
  <c r="E190" i="10"/>
  <c r="I189" i="10"/>
  <c r="H189" i="10"/>
  <c r="E189" i="10"/>
  <c r="I188" i="10"/>
  <c r="H188" i="10"/>
  <c r="E188" i="10"/>
  <c r="I187" i="10"/>
  <c r="H187" i="10"/>
  <c r="E187" i="10"/>
  <c r="I186" i="10"/>
  <c r="H186" i="10"/>
  <c r="E186" i="10"/>
  <c r="I185" i="10"/>
  <c r="H185" i="10"/>
  <c r="E185" i="10"/>
  <c r="I184" i="10"/>
  <c r="H184" i="10"/>
  <c r="E184" i="10"/>
  <c r="I183" i="10"/>
  <c r="H183" i="10"/>
  <c r="E183" i="10"/>
  <c r="I182" i="10"/>
  <c r="H182" i="10"/>
  <c r="E182" i="10"/>
  <c r="I181" i="10"/>
  <c r="H181" i="10"/>
  <c r="E181" i="10"/>
  <c r="I180" i="10"/>
  <c r="H180" i="10"/>
  <c r="E180" i="10"/>
  <c r="I179" i="10"/>
  <c r="H179" i="10"/>
  <c r="E179" i="10"/>
  <c r="I178" i="10"/>
  <c r="H178" i="10"/>
  <c r="E178" i="10"/>
  <c r="I177" i="10"/>
  <c r="H177" i="10"/>
  <c r="E177" i="10"/>
  <c r="I176" i="10"/>
  <c r="H176" i="10"/>
  <c r="E176" i="10"/>
  <c r="I175" i="10"/>
  <c r="H175" i="10"/>
  <c r="E175" i="10"/>
  <c r="I174" i="10"/>
  <c r="H174" i="10"/>
  <c r="E174" i="10"/>
  <c r="I173" i="10"/>
  <c r="H173" i="10"/>
  <c r="E173" i="10"/>
  <c r="I172" i="10"/>
  <c r="H172" i="10"/>
  <c r="E172" i="10"/>
  <c r="I171" i="10"/>
  <c r="H171" i="10"/>
  <c r="E171" i="10"/>
  <c r="I170" i="10"/>
  <c r="H170" i="10"/>
  <c r="E170" i="10"/>
  <c r="I169" i="10"/>
  <c r="H169" i="10"/>
  <c r="E169" i="10"/>
  <c r="I168" i="10"/>
  <c r="H168" i="10"/>
  <c r="E168" i="10"/>
  <c r="I167" i="10"/>
  <c r="H167" i="10"/>
  <c r="E167" i="10"/>
  <c r="I166" i="10"/>
  <c r="H166" i="10"/>
  <c r="E166" i="10"/>
  <c r="I165" i="10"/>
  <c r="H165" i="10"/>
  <c r="E165" i="10"/>
  <c r="I164" i="10"/>
  <c r="H164" i="10"/>
  <c r="E164" i="10"/>
  <c r="I163" i="10"/>
  <c r="H163" i="10"/>
  <c r="E163" i="10"/>
  <c r="I162" i="10"/>
  <c r="H162" i="10"/>
  <c r="E162" i="10"/>
  <c r="I161" i="10"/>
  <c r="H161" i="10"/>
  <c r="E161" i="10"/>
  <c r="I160" i="10"/>
  <c r="H160" i="10"/>
  <c r="E160" i="10"/>
  <c r="I159" i="10"/>
  <c r="H159" i="10"/>
  <c r="E159" i="10"/>
  <c r="I158" i="10"/>
  <c r="H158" i="10"/>
  <c r="E158" i="10"/>
  <c r="I157" i="10"/>
  <c r="H157" i="10"/>
  <c r="E157" i="10"/>
  <c r="I156" i="10"/>
  <c r="H156" i="10"/>
  <c r="E156" i="10"/>
  <c r="I155" i="10"/>
  <c r="H155" i="10"/>
  <c r="E155" i="10"/>
  <c r="I154" i="10"/>
  <c r="H154" i="10"/>
  <c r="E154" i="10"/>
  <c r="I153" i="10"/>
  <c r="H153" i="10"/>
  <c r="E153" i="10"/>
  <c r="I152" i="10"/>
  <c r="H152" i="10"/>
  <c r="E152" i="10"/>
  <c r="I151" i="10"/>
  <c r="H151" i="10"/>
  <c r="E151" i="10"/>
  <c r="I150" i="10"/>
  <c r="H150" i="10"/>
  <c r="E150" i="10"/>
  <c r="I149" i="10"/>
  <c r="H149" i="10"/>
  <c r="E149" i="10"/>
  <c r="I148" i="10"/>
  <c r="H148" i="10"/>
  <c r="E148" i="10"/>
  <c r="I147" i="10"/>
  <c r="H147" i="10"/>
  <c r="E147" i="10"/>
  <c r="I146" i="10"/>
  <c r="H146" i="10"/>
  <c r="E146" i="10"/>
  <c r="I145" i="10"/>
  <c r="H145" i="10"/>
  <c r="E145" i="10"/>
  <c r="I144" i="10"/>
  <c r="H144" i="10"/>
  <c r="E144" i="10"/>
  <c r="I143" i="10"/>
  <c r="H143" i="10"/>
  <c r="E143" i="10"/>
  <c r="I142" i="10"/>
  <c r="H142" i="10"/>
  <c r="E142" i="10"/>
  <c r="I141" i="10"/>
  <c r="H141" i="10"/>
  <c r="E141" i="10"/>
  <c r="I140" i="10"/>
  <c r="H140" i="10"/>
  <c r="E140" i="10"/>
  <c r="I139" i="10"/>
  <c r="H139" i="10"/>
  <c r="E139" i="10"/>
  <c r="I138" i="10"/>
  <c r="H138" i="10"/>
  <c r="E138" i="10"/>
  <c r="I137" i="10"/>
  <c r="H137" i="10"/>
  <c r="E137" i="10"/>
  <c r="I136" i="10"/>
  <c r="H136" i="10"/>
  <c r="E136" i="10"/>
  <c r="I135" i="10"/>
  <c r="H135" i="10"/>
  <c r="E135" i="10"/>
  <c r="I134" i="10"/>
  <c r="H134" i="10"/>
  <c r="E134" i="10"/>
  <c r="I133" i="10"/>
  <c r="H133" i="10"/>
  <c r="E133" i="10"/>
  <c r="I132" i="10"/>
  <c r="H132" i="10"/>
  <c r="E132" i="10"/>
  <c r="I131" i="10"/>
  <c r="H131" i="10"/>
  <c r="E131" i="10"/>
  <c r="I130" i="10"/>
  <c r="H130" i="10"/>
  <c r="E130" i="10"/>
  <c r="I129" i="10"/>
  <c r="H129" i="10"/>
  <c r="E129" i="10"/>
  <c r="I128" i="10"/>
  <c r="H128" i="10"/>
  <c r="E128" i="10"/>
  <c r="I127" i="10"/>
  <c r="H127" i="10"/>
  <c r="E127" i="10"/>
  <c r="I126" i="10"/>
  <c r="H126" i="10"/>
  <c r="E126" i="10"/>
  <c r="I125" i="10"/>
  <c r="H125" i="10"/>
  <c r="E125" i="10"/>
  <c r="I124" i="10"/>
  <c r="H124" i="10"/>
  <c r="E124" i="10"/>
  <c r="I123" i="10"/>
  <c r="H123" i="10"/>
  <c r="E123" i="10"/>
  <c r="I122" i="10"/>
  <c r="H122" i="10"/>
  <c r="E122" i="10"/>
  <c r="I121" i="10"/>
  <c r="H121" i="10"/>
  <c r="E121" i="10"/>
  <c r="I120" i="10"/>
  <c r="H120" i="10"/>
  <c r="E120" i="10"/>
  <c r="I119" i="10"/>
  <c r="H119" i="10"/>
  <c r="E119" i="10"/>
  <c r="I118" i="10"/>
  <c r="H118" i="10"/>
  <c r="E118" i="10"/>
  <c r="I117" i="10"/>
  <c r="H117" i="10"/>
  <c r="E117" i="10"/>
  <c r="I116" i="10"/>
  <c r="H116" i="10"/>
  <c r="E116" i="10"/>
  <c r="I115" i="10"/>
  <c r="H115" i="10"/>
  <c r="E115" i="10"/>
  <c r="I114" i="10"/>
  <c r="H114" i="10"/>
  <c r="E114" i="10"/>
  <c r="I113" i="10"/>
  <c r="H113" i="10"/>
  <c r="E113" i="10"/>
  <c r="I112" i="10"/>
  <c r="H112" i="10"/>
  <c r="E112" i="10"/>
  <c r="I111" i="10"/>
  <c r="H111" i="10"/>
  <c r="E111" i="10"/>
  <c r="I110" i="10"/>
  <c r="H110" i="10"/>
  <c r="E110" i="10"/>
  <c r="I109" i="10"/>
  <c r="H109" i="10"/>
  <c r="E109" i="10"/>
  <c r="I108" i="10"/>
  <c r="H108" i="10"/>
  <c r="E108" i="10"/>
  <c r="I107" i="10"/>
  <c r="H107" i="10"/>
  <c r="E107" i="10"/>
  <c r="I106" i="10"/>
  <c r="H106" i="10"/>
  <c r="E106" i="10"/>
  <c r="I105" i="10"/>
  <c r="H105" i="10"/>
  <c r="E105" i="10"/>
  <c r="I104" i="10"/>
  <c r="H104" i="10"/>
  <c r="E104" i="10"/>
  <c r="I103" i="10"/>
  <c r="H103" i="10"/>
  <c r="E103" i="10"/>
  <c r="I102" i="10"/>
  <c r="H102" i="10"/>
  <c r="E102" i="10"/>
  <c r="I101" i="10"/>
  <c r="H101" i="10"/>
  <c r="E101" i="10"/>
  <c r="I100" i="10"/>
  <c r="H100" i="10"/>
  <c r="E100" i="10"/>
  <c r="I99" i="10"/>
  <c r="H99" i="10"/>
  <c r="E99" i="10"/>
  <c r="I98" i="10"/>
  <c r="H98" i="10"/>
  <c r="E98" i="10"/>
  <c r="I97" i="10"/>
  <c r="H97" i="10"/>
  <c r="E97" i="10"/>
  <c r="I96" i="10"/>
  <c r="H96" i="10"/>
  <c r="E96" i="10"/>
  <c r="I95" i="10"/>
  <c r="H95" i="10"/>
  <c r="E95" i="10"/>
  <c r="I94" i="10"/>
  <c r="H94" i="10"/>
  <c r="E94" i="10"/>
  <c r="I93" i="10"/>
  <c r="H93" i="10"/>
  <c r="E93" i="10"/>
  <c r="I92" i="10"/>
  <c r="H92" i="10"/>
  <c r="E92" i="10"/>
  <c r="I91" i="10"/>
  <c r="H91" i="10"/>
  <c r="E91" i="10"/>
  <c r="I90" i="10"/>
  <c r="H90" i="10"/>
  <c r="E90" i="10"/>
  <c r="I89" i="10"/>
  <c r="H89" i="10"/>
  <c r="E89" i="10"/>
  <c r="I88" i="10"/>
  <c r="H88" i="10"/>
  <c r="E88" i="10"/>
  <c r="I87" i="10"/>
  <c r="H87" i="10"/>
  <c r="E87" i="10"/>
  <c r="I86" i="10"/>
  <c r="H86" i="10"/>
  <c r="E86" i="10"/>
  <c r="I85" i="10"/>
  <c r="H85" i="10"/>
  <c r="E85" i="10"/>
  <c r="I84" i="10"/>
  <c r="H84" i="10"/>
  <c r="E84" i="10"/>
  <c r="I83" i="10"/>
  <c r="H83" i="10"/>
  <c r="E83" i="10"/>
  <c r="I82" i="10"/>
  <c r="H82" i="10"/>
  <c r="E82" i="10"/>
  <c r="I81" i="10"/>
  <c r="H81" i="10"/>
  <c r="E81" i="10"/>
  <c r="I80" i="10"/>
  <c r="H80" i="10"/>
  <c r="E80" i="10"/>
  <c r="I79" i="10"/>
  <c r="H79" i="10"/>
  <c r="E79" i="10"/>
  <c r="I78" i="10"/>
  <c r="H78" i="10"/>
  <c r="E78" i="10"/>
  <c r="I77" i="10"/>
  <c r="H77" i="10"/>
  <c r="E77" i="10"/>
  <c r="I76" i="10"/>
  <c r="H76" i="10"/>
  <c r="E76" i="10"/>
  <c r="I75" i="10"/>
  <c r="H75" i="10"/>
  <c r="E75" i="10"/>
  <c r="I74" i="10"/>
  <c r="H74" i="10"/>
  <c r="E74" i="10"/>
  <c r="I73" i="10"/>
  <c r="H73" i="10"/>
  <c r="E73" i="10"/>
  <c r="I72" i="10"/>
  <c r="H72" i="10"/>
  <c r="E72" i="10"/>
  <c r="I71" i="10"/>
  <c r="H71" i="10"/>
  <c r="E71" i="10"/>
  <c r="I70" i="10"/>
  <c r="H70" i="10"/>
  <c r="E70" i="10"/>
  <c r="I69" i="10"/>
  <c r="H69" i="10"/>
  <c r="E69" i="10"/>
  <c r="I68" i="10"/>
  <c r="H68" i="10"/>
  <c r="E68" i="10"/>
  <c r="I67" i="10"/>
  <c r="H67" i="10"/>
  <c r="E67" i="10"/>
  <c r="I66" i="10"/>
  <c r="H66" i="10"/>
  <c r="E66" i="10"/>
  <c r="I65" i="10"/>
  <c r="H65" i="10"/>
  <c r="E65" i="10"/>
  <c r="I64" i="10"/>
  <c r="H64" i="10"/>
  <c r="E64" i="10"/>
  <c r="I63" i="10"/>
  <c r="H63" i="10"/>
  <c r="E63" i="10"/>
  <c r="I62" i="10"/>
  <c r="H62" i="10"/>
  <c r="E62" i="10"/>
  <c r="I61" i="10"/>
  <c r="H61" i="10"/>
  <c r="E61" i="10"/>
  <c r="I60" i="10"/>
  <c r="H60" i="10"/>
  <c r="E60" i="10"/>
  <c r="I59" i="10"/>
  <c r="H59" i="10"/>
  <c r="E59" i="10"/>
  <c r="I58" i="10"/>
  <c r="H58" i="10"/>
  <c r="E58" i="10"/>
  <c r="I57" i="10"/>
  <c r="H57" i="10"/>
  <c r="E57" i="10"/>
  <c r="I56" i="10"/>
  <c r="H56" i="10"/>
  <c r="E56" i="10"/>
  <c r="I55" i="10"/>
  <c r="H55" i="10"/>
  <c r="E55" i="10"/>
  <c r="I54" i="10"/>
  <c r="H54" i="10"/>
  <c r="E54" i="10"/>
  <c r="I53" i="10"/>
  <c r="H53" i="10"/>
  <c r="E53" i="10"/>
  <c r="I52" i="10"/>
  <c r="H52" i="10"/>
  <c r="E52" i="10"/>
  <c r="I51" i="10"/>
  <c r="H51" i="10"/>
  <c r="E51" i="10"/>
  <c r="I50" i="10"/>
  <c r="H50" i="10"/>
  <c r="E50" i="10"/>
  <c r="I49" i="10"/>
  <c r="H49" i="10"/>
  <c r="E49" i="10"/>
  <c r="I48" i="10"/>
  <c r="H48" i="10"/>
  <c r="E48" i="10"/>
  <c r="I47" i="10"/>
  <c r="H47" i="10"/>
  <c r="E47" i="10"/>
  <c r="I46" i="10"/>
  <c r="H46" i="10"/>
  <c r="E46" i="10"/>
  <c r="I45" i="10"/>
  <c r="H45" i="10"/>
  <c r="E45" i="10"/>
  <c r="I44" i="10"/>
  <c r="H44" i="10"/>
  <c r="E44" i="10"/>
  <c r="I43" i="10"/>
  <c r="H43" i="10"/>
  <c r="E43" i="10"/>
  <c r="I42" i="10"/>
  <c r="H42" i="10"/>
  <c r="E42" i="10"/>
  <c r="I41" i="10"/>
  <c r="H41" i="10"/>
  <c r="E41" i="10"/>
  <c r="I40" i="10"/>
  <c r="H40" i="10"/>
  <c r="E40" i="10"/>
  <c r="I39" i="10"/>
  <c r="H39" i="10"/>
  <c r="E39" i="10"/>
  <c r="I38" i="10"/>
  <c r="H38" i="10"/>
  <c r="E38" i="10"/>
  <c r="I37" i="10"/>
  <c r="H37" i="10"/>
  <c r="E37" i="10"/>
  <c r="I36" i="10"/>
  <c r="H36" i="10"/>
  <c r="E36" i="10"/>
  <c r="I35" i="10"/>
  <c r="H35" i="10"/>
  <c r="E35" i="10"/>
  <c r="I34" i="10"/>
  <c r="H34" i="10"/>
  <c r="E34" i="10"/>
  <c r="I33" i="10"/>
  <c r="H33" i="10"/>
  <c r="E33" i="10"/>
  <c r="I32" i="10"/>
  <c r="H32" i="10"/>
  <c r="E32" i="10"/>
  <c r="I31" i="10"/>
  <c r="H31" i="10"/>
  <c r="E31" i="10"/>
  <c r="I30" i="10"/>
  <c r="H30" i="10"/>
  <c r="E30" i="10"/>
  <c r="I29" i="10"/>
  <c r="H29" i="10"/>
  <c r="E29" i="10"/>
  <c r="I28" i="10"/>
  <c r="H28" i="10"/>
  <c r="E28" i="10"/>
  <c r="I27" i="10"/>
  <c r="H27" i="10"/>
  <c r="E27" i="10"/>
  <c r="I26" i="10"/>
  <c r="H26" i="10"/>
  <c r="E26" i="10"/>
  <c r="I25" i="10"/>
  <c r="H25" i="10"/>
  <c r="E25" i="10"/>
  <c r="I24" i="10"/>
  <c r="H24" i="10"/>
  <c r="E24" i="10"/>
  <c r="I23" i="10"/>
  <c r="H23" i="10"/>
  <c r="E23" i="10"/>
  <c r="I22" i="10"/>
  <c r="H22" i="10"/>
  <c r="E22" i="10"/>
  <c r="I21" i="10"/>
  <c r="H21" i="10"/>
  <c r="E21" i="10"/>
  <c r="I20" i="10"/>
  <c r="H20" i="10"/>
  <c r="E20" i="10"/>
  <c r="I19" i="10"/>
  <c r="H19" i="10"/>
  <c r="E19" i="10"/>
  <c r="I18" i="10"/>
  <c r="H18" i="10"/>
  <c r="E18" i="10"/>
  <c r="I17" i="10"/>
  <c r="H17" i="10"/>
  <c r="E17" i="10"/>
  <c r="I16" i="10"/>
  <c r="H16" i="10"/>
  <c r="E16" i="10"/>
  <c r="I15" i="10"/>
  <c r="H15" i="10"/>
  <c r="E15" i="10"/>
  <c r="I14" i="10"/>
  <c r="H14" i="10"/>
  <c r="E14" i="10"/>
  <c r="I13" i="10"/>
  <c r="H13" i="10"/>
  <c r="E13" i="10"/>
  <c r="I12" i="10"/>
  <c r="H12" i="10"/>
  <c r="E12" i="10"/>
  <c r="I11" i="10"/>
  <c r="H11" i="10"/>
  <c r="E11" i="10"/>
  <c r="I10" i="10"/>
  <c r="H10" i="10"/>
  <c r="E10" i="10"/>
  <c r="I9" i="10"/>
  <c r="H9" i="10"/>
  <c r="E9" i="10"/>
  <c r="I8" i="10"/>
  <c r="H8" i="10"/>
  <c r="E8" i="10"/>
  <c r="I7" i="10"/>
  <c r="H7" i="10"/>
  <c r="E7" i="10"/>
  <c r="I6" i="10"/>
  <c r="H6" i="10"/>
  <c r="E6" i="10"/>
  <c r="I5" i="10"/>
  <c r="H5" i="10"/>
  <c r="E5" i="10"/>
  <c r="M2000" i="13"/>
  <c r="M1999" i="13"/>
  <c r="M1998" i="13"/>
  <c r="M1997" i="13"/>
  <c r="M1996" i="13"/>
  <c r="M1995" i="13"/>
  <c r="M1994" i="13"/>
  <c r="M1993" i="13"/>
  <c r="M1992" i="13"/>
  <c r="M1991" i="13"/>
  <c r="M1990" i="13"/>
  <c r="M1989" i="13"/>
  <c r="M1988" i="13"/>
  <c r="M1987" i="13"/>
  <c r="M1986" i="13"/>
  <c r="M1985" i="13"/>
  <c r="M1984" i="13"/>
  <c r="M1983" i="13"/>
  <c r="M1982" i="13"/>
  <c r="M1981" i="13"/>
  <c r="M1980" i="13"/>
  <c r="M1979" i="13"/>
  <c r="M1978" i="13"/>
  <c r="M1977" i="13"/>
  <c r="M1976" i="13"/>
  <c r="M1975" i="13"/>
  <c r="M1974" i="13"/>
  <c r="M1973" i="13"/>
  <c r="M1972" i="13"/>
  <c r="M1971" i="13"/>
  <c r="M1970" i="13"/>
  <c r="M1969" i="13"/>
  <c r="M1968" i="13"/>
  <c r="M1967" i="13"/>
  <c r="M1966" i="13"/>
  <c r="M1965" i="13"/>
  <c r="M1964" i="13"/>
  <c r="M1963" i="13"/>
  <c r="M1962" i="13"/>
  <c r="M1961" i="13"/>
  <c r="M1960" i="13"/>
  <c r="M1959" i="13"/>
  <c r="M1958" i="13"/>
  <c r="M1957" i="13"/>
  <c r="M1956" i="13"/>
  <c r="M1955" i="13"/>
  <c r="M1954" i="13"/>
  <c r="M1953" i="13"/>
  <c r="M1952" i="13"/>
  <c r="M1951" i="13"/>
  <c r="M1950" i="13"/>
  <c r="M1949" i="13"/>
  <c r="M1948" i="13"/>
  <c r="M1947" i="13"/>
  <c r="M1946" i="13"/>
  <c r="M1945" i="13"/>
  <c r="M1944" i="13"/>
  <c r="M1943" i="13"/>
  <c r="M1942" i="13"/>
  <c r="M1941" i="13"/>
  <c r="M1940" i="13"/>
  <c r="M1939" i="13"/>
  <c r="M1938" i="13"/>
  <c r="M1937" i="13"/>
  <c r="M1936" i="13"/>
  <c r="M1935" i="13"/>
  <c r="M1934" i="13"/>
  <c r="M1933" i="13"/>
  <c r="M1932" i="13"/>
  <c r="M1931" i="13"/>
  <c r="M1930" i="13"/>
  <c r="M1929" i="13"/>
  <c r="M1928" i="13"/>
  <c r="M1927" i="13"/>
  <c r="M1926" i="13"/>
  <c r="M1925" i="13"/>
  <c r="M1924" i="13"/>
  <c r="M1923" i="13"/>
  <c r="M1922" i="13"/>
  <c r="M1921" i="13"/>
  <c r="M1920" i="13"/>
  <c r="M1919" i="13"/>
  <c r="M1918" i="13"/>
  <c r="M1917" i="13"/>
  <c r="M1916" i="13"/>
  <c r="M1915" i="13"/>
  <c r="M1914" i="13"/>
  <c r="M1913" i="13"/>
  <c r="M1912" i="13"/>
  <c r="M1911" i="13"/>
  <c r="M1910" i="13"/>
  <c r="M1909" i="13"/>
  <c r="M1908" i="13"/>
  <c r="M1907" i="13"/>
  <c r="M1906" i="13"/>
  <c r="M1905" i="13"/>
  <c r="M1904" i="13"/>
  <c r="M1903" i="13"/>
  <c r="M1902" i="13"/>
  <c r="M1901" i="13"/>
  <c r="M1900" i="13"/>
  <c r="M1899" i="13"/>
  <c r="M1898" i="13"/>
  <c r="M1897" i="13"/>
  <c r="M1896" i="13"/>
  <c r="M1895" i="13"/>
  <c r="M1894" i="13"/>
  <c r="M1893" i="13"/>
  <c r="M1892" i="13"/>
  <c r="M1891" i="13"/>
  <c r="M1890" i="13"/>
  <c r="M1889" i="13"/>
  <c r="M1888" i="13"/>
  <c r="M1887" i="13"/>
  <c r="M1886" i="13"/>
  <c r="M1885" i="13"/>
  <c r="M1884" i="13"/>
  <c r="M1883" i="13"/>
  <c r="M1882" i="13"/>
  <c r="M1881" i="13"/>
  <c r="M1880" i="13"/>
  <c r="M1879" i="13"/>
  <c r="M1878" i="13"/>
  <c r="M1877" i="13"/>
  <c r="M1876" i="13"/>
  <c r="M1875" i="13"/>
  <c r="M1874" i="13"/>
  <c r="M1873" i="13"/>
  <c r="M1872" i="13"/>
  <c r="M1871" i="13"/>
  <c r="M1870" i="13"/>
  <c r="M1869" i="13"/>
  <c r="M1868" i="13"/>
  <c r="M1867" i="13"/>
  <c r="M1866" i="13"/>
  <c r="M1865" i="13"/>
  <c r="M1864" i="13"/>
  <c r="M1863" i="13"/>
  <c r="M1862" i="13"/>
  <c r="M1861" i="13"/>
  <c r="M1860" i="13"/>
  <c r="M1859" i="13"/>
  <c r="M1858" i="13"/>
  <c r="M1857" i="13"/>
  <c r="M1856" i="13"/>
  <c r="M1855" i="13"/>
  <c r="M1854" i="13"/>
  <c r="M1853" i="13"/>
  <c r="M1852" i="13"/>
  <c r="M1851" i="13"/>
  <c r="M1850" i="13"/>
  <c r="M1849" i="13"/>
  <c r="M1848" i="13"/>
  <c r="M1847" i="13"/>
  <c r="M1846" i="13"/>
  <c r="M1845" i="13"/>
  <c r="M1844" i="13"/>
  <c r="M1843" i="13"/>
  <c r="M1842" i="13"/>
  <c r="M1841" i="13"/>
  <c r="M1840" i="13"/>
  <c r="M1839" i="13"/>
  <c r="M1838" i="13"/>
  <c r="M1837" i="13"/>
  <c r="M1836" i="13"/>
  <c r="M1835" i="13"/>
  <c r="M1834" i="13"/>
  <c r="M1833" i="13"/>
  <c r="M1832" i="13"/>
  <c r="M1831" i="13"/>
  <c r="M1830" i="13"/>
  <c r="M1829" i="13"/>
  <c r="M1828" i="13"/>
  <c r="M1827" i="13"/>
  <c r="M1826" i="13"/>
  <c r="M1825" i="13"/>
  <c r="M1824" i="13"/>
  <c r="M1823" i="13"/>
  <c r="M1822" i="13"/>
  <c r="M1821" i="13"/>
  <c r="M1820" i="13"/>
  <c r="M1819" i="13"/>
  <c r="M1818" i="13"/>
  <c r="M1817" i="13"/>
  <c r="M1816" i="13"/>
  <c r="M1815" i="13"/>
  <c r="M1814" i="13"/>
  <c r="M1813" i="13"/>
  <c r="M1812" i="13"/>
  <c r="M1811" i="13"/>
  <c r="M1810" i="13"/>
  <c r="M1809" i="13"/>
  <c r="M1808" i="13"/>
  <c r="M1807" i="13"/>
  <c r="M1806" i="13"/>
  <c r="M1805" i="13"/>
  <c r="M1804" i="13"/>
  <c r="M1803" i="13"/>
  <c r="M1802" i="13"/>
  <c r="M1801" i="13"/>
  <c r="M1800" i="13"/>
  <c r="M1799" i="13"/>
  <c r="M1798" i="13"/>
  <c r="M1797" i="13"/>
  <c r="M1796" i="13"/>
  <c r="M1795" i="13"/>
  <c r="M1794" i="13"/>
  <c r="M1793" i="13"/>
  <c r="M1792" i="13"/>
  <c r="M1791" i="13"/>
  <c r="M1790" i="13"/>
  <c r="M1789" i="13"/>
  <c r="M1788" i="13"/>
  <c r="M1787" i="13"/>
  <c r="M1786" i="13"/>
  <c r="M1785" i="13"/>
  <c r="M1784" i="13"/>
  <c r="M1783" i="13"/>
  <c r="M1782" i="13"/>
  <c r="M1781" i="13"/>
  <c r="M1780" i="13"/>
  <c r="M1779" i="13"/>
  <c r="M1778" i="13"/>
  <c r="M1777" i="13"/>
  <c r="M1776" i="13"/>
  <c r="M1775" i="13"/>
  <c r="M1774" i="13"/>
  <c r="M1773" i="13"/>
  <c r="M1772" i="13"/>
  <c r="M1771" i="13"/>
  <c r="M1770" i="13"/>
  <c r="M1769" i="13"/>
  <c r="M1768" i="13"/>
  <c r="M1767" i="13"/>
  <c r="M1766" i="13"/>
  <c r="M1765" i="13"/>
  <c r="M1764" i="13"/>
  <c r="M1763" i="13"/>
  <c r="M1762" i="13"/>
  <c r="M1761" i="13"/>
  <c r="M1760" i="13"/>
  <c r="M1759" i="13"/>
  <c r="M1758" i="13"/>
  <c r="M1757" i="13"/>
  <c r="M1756" i="13"/>
  <c r="M1755" i="13"/>
  <c r="M1754" i="13"/>
  <c r="M1753" i="13"/>
  <c r="M1752" i="13"/>
  <c r="M1751" i="13"/>
  <c r="M1750" i="13"/>
  <c r="M1749" i="13"/>
  <c r="M1748" i="13"/>
  <c r="M1747" i="13"/>
  <c r="M1746" i="13"/>
  <c r="M1745" i="13"/>
  <c r="M1744" i="13"/>
  <c r="M1743" i="13"/>
  <c r="M1742" i="13"/>
  <c r="M1741" i="13"/>
  <c r="M1740" i="13"/>
  <c r="M1739" i="13"/>
  <c r="M1738" i="13"/>
  <c r="M1737" i="13"/>
  <c r="M1736" i="13"/>
  <c r="M1735" i="13"/>
  <c r="M1734" i="13"/>
  <c r="M1733" i="13"/>
  <c r="M1732" i="13"/>
  <c r="M1731" i="13"/>
  <c r="M1730" i="13"/>
  <c r="M1729" i="13"/>
  <c r="M1728" i="13"/>
  <c r="M1727" i="13"/>
  <c r="M1726" i="13"/>
  <c r="M1725" i="13"/>
  <c r="M1724" i="13"/>
  <c r="M1723" i="13"/>
  <c r="M1722" i="13"/>
  <c r="M1721" i="13"/>
  <c r="M1720" i="13"/>
  <c r="M1719" i="13"/>
  <c r="M1718" i="13"/>
  <c r="M1717" i="13"/>
  <c r="M1716" i="13"/>
  <c r="M1715" i="13"/>
  <c r="M1714" i="13"/>
  <c r="M1713" i="13"/>
  <c r="M1712" i="13"/>
  <c r="M1711" i="13"/>
  <c r="M1710" i="13"/>
  <c r="M1709" i="13"/>
  <c r="M1708" i="13"/>
  <c r="M1707" i="13"/>
  <c r="M1706" i="13"/>
  <c r="M1705" i="13"/>
  <c r="M1704" i="13"/>
  <c r="M1703" i="13"/>
  <c r="M1702" i="13"/>
  <c r="M1701" i="13"/>
  <c r="M1700" i="13"/>
  <c r="M1699" i="13"/>
  <c r="M1698" i="13"/>
  <c r="M1697" i="13"/>
  <c r="M1696" i="13"/>
  <c r="M1695" i="13"/>
  <c r="M1694" i="13"/>
  <c r="M1693" i="13"/>
  <c r="M1692" i="13"/>
  <c r="M1691" i="13"/>
  <c r="M1690" i="13"/>
  <c r="M1689" i="13"/>
  <c r="M1688" i="13"/>
  <c r="M1687" i="13"/>
  <c r="M1686" i="13"/>
  <c r="M1685" i="13"/>
  <c r="M1684" i="13"/>
  <c r="M1683" i="13"/>
  <c r="M1682" i="13"/>
  <c r="M1681" i="13"/>
  <c r="M1680" i="13"/>
  <c r="M1679" i="13"/>
  <c r="M1678" i="13"/>
  <c r="M1677" i="13"/>
  <c r="M1676" i="13"/>
  <c r="M1675" i="13"/>
  <c r="M1674" i="13"/>
  <c r="M1673" i="13"/>
  <c r="M1672" i="13"/>
  <c r="M1671" i="13"/>
  <c r="M1670" i="13"/>
  <c r="M1669" i="13"/>
  <c r="M1668" i="13"/>
  <c r="M1667" i="13"/>
  <c r="M1666" i="13"/>
  <c r="M1665" i="13"/>
  <c r="M1664" i="13"/>
  <c r="M1663" i="13"/>
  <c r="M1662" i="13"/>
  <c r="M1661" i="13"/>
  <c r="M1660" i="13"/>
  <c r="M1659" i="13"/>
  <c r="M1658" i="13"/>
  <c r="M1657" i="13"/>
  <c r="M1656" i="13"/>
  <c r="M1655" i="13"/>
  <c r="M1654" i="13"/>
  <c r="M1653" i="13"/>
  <c r="M1652" i="13"/>
  <c r="M1651" i="13"/>
  <c r="M1650" i="13"/>
  <c r="M1649" i="13"/>
  <c r="M1648" i="13"/>
  <c r="M1647" i="13"/>
  <c r="M1646" i="13"/>
  <c r="M1645" i="13"/>
  <c r="M1644" i="13"/>
  <c r="M1643" i="13"/>
  <c r="M1642" i="13"/>
  <c r="M1641" i="13"/>
  <c r="M1640" i="13"/>
  <c r="M1639" i="13"/>
  <c r="M1638" i="13"/>
  <c r="M1637" i="13"/>
  <c r="M1636" i="13"/>
  <c r="M1635" i="13"/>
  <c r="M1634" i="13"/>
  <c r="M1633" i="13"/>
  <c r="M1632" i="13"/>
  <c r="M1631" i="13"/>
  <c r="M1630" i="13"/>
  <c r="M1629" i="13"/>
  <c r="M1628" i="13"/>
  <c r="M1627" i="13"/>
  <c r="M1626" i="13"/>
  <c r="M1625" i="13"/>
  <c r="M1624" i="13"/>
  <c r="M1623" i="13"/>
  <c r="M1622" i="13"/>
  <c r="M1621" i="13"/>
  <c r="M1620" i="13"/>
  <c r="M1619" i="13"/>
  <c r="M1618" i="13"/>
  <c r="M1617" i="13"/>
  <c r="M1616" i="13"/>
  <c r="M1615" i="13"/>
  <c r="M1614" i="13"/>
  <c r="M1613" i="13"/>
  <c r="M1612" i="13"/>
  <c r="M1611" i="13"/>
  <c r="M1610" i="13"/>
  <c r="M1609" i="13"/>
  <c r="M1608" i="13"/>
  <c r="M1607" i="13"/>
  <c r="M1606" i="13"/>
  <c r="M1605" i="13"/>
  <c r="M1604" i="13"/>
  <c r="M1603" i="13"/>
  <c r="M1602" i="13"/>
  <c r="M1601" i="13"/>
  <c r="M1600" i="13"/>
  <c r="M1599" i="13"/>
  <c r="M1598" i="13"/>
  <c r="M1597" i="13"/>
  <c r="M1596" i="13"/>
  <c r="M1595" i="13"/>
  <c r="M1594" i="13"/>
  <c r="M1593" i="13"/>
  <c r="M1592" i="13"/>
  <c r="M1591" i="13"/>
  <c r="M1590" i="13"/>
  <c r="M1589" i="13"/>
  <c r="M1588" i="13"/>
  <c r="M1587" i="13"/>
  <c r="M1586" i="13"/>
  <c r="M1585" i="13"/>
  <c r="M1584" i="13"/>
  <c r="M1583" i="13"/>
  <c r="M1582" i="13"/>
  <c r="M1581" i="13"/>
  <c r="M1580" i="13"/>
  <c r="M1579" i="13"/>
  <c r="M1578" i="13"/>
  <c r="M1577" i="13"/>
  <c r="M1576" i="13"/>
  <c r="M1575" i="13"/>
  <c r="M1574" i="13"/>
  <c r="M1573" i="13"/>
  <c r="M1572" i="13"/>
  <c r="M1571" i="13"/>
  <c r="M1570" i="13"/>
  <c r="M1569" i="13"/>
  <c r="M1568" i="13"/>
  <c r="M1567" i="13"/>
  <c r="M1566" i="13"/>
  <c r="M1565" i="13"/>
  <c r="M1564" i="13"/>
  <c r="M1563" i="13"/>
  <c r="M1562" i="13"/>
  <c r="M1561" i="13"/>
  <c r="M1560" i="13"/>
  <c r="M1559" i="13"/>
  <c r="M1558" i="13"/>
  <c r="M1557" i="13"/>
  <c r="M1556" i="13"/>
  <c r="M1555" i="13"/>
  <c r="M1554" i="13"/>
  <c r="M1553" i="13"/>
  <c r="M1552" i="13"/>
  <c r="M1551" i="13"/>
  <c r="M1550" i="13"/>
  <c r="M1549" i="13"/>
  <c r="M1548" i="13"/>
  <c r="M1547" i="13"/>
  <c r="M1546" i="13"/>
  <c r="M1545" i="13"/>
  <c r="M1544" i="13"/>
  <c r="M1543" i="13"/>
  <c r="M1542" i="13"/>
  <c r="M1541" i="13"/>
  <c r="M1540" i="13"/>
  <c r="M1539" i="13"/>
  <c r="M1538" i="13"/>
  <c r="M1537" i="13"/>
  <c r="M1536" i="13"/>
  <c r="M1535" i="13"/>
  <c r="M1534" i="13"/>
  <c r="M1533" i="13"/>
  <c r="M1532" i="13"/>
  <c r="M1531" i="13"/>
  <c r="M1530" i="13"/>
  <c r="M1529" i="13"/>
  <c r="M1528" i="13"/>
  <c r="M1527" i="13"/>
  <c r="M1526" i="13"/>
  <c r="M1525" i="13"/>
  <c r="M1524" i="13"/>
  <c r="M1523" i="13"/>
  <c r="M1522" i="13"/>
  <c r="M1521" i="13"/>
  <c r="M1520" i="13"/>
  <c r="M1519" i="13"/>
  <c r="M1518" i="13"/>
  <c r="M1517" i="13"/>
  <c r="M1516" i="13"/>
  <c r="M1515" i="13"/>
  <c r="M1514" i="13"/>
  <c r="M1513" i="13"/>
  <c r="M1512" i="13"/>
  <c r="M1511" i="13"/>
  <c r="M1510" i="13"/>
  <c r="M1509" i="13"/>
  <c r="M1508" i="13"/>
  <c r="M1507" i="13"/>
  <c r="M1506" i="13"/>
  <c r="M1505" i="13"/>
  <c r="M1504" i="13"/>
  <c r="M1503" i="13"/>
  <c r="M1502" i="13"/>
  <c r="M1501" i="13"/>
  <c r="M1500" i="13"/>
  <c r="M1499" i="13"/>
  <c r="M1498" i="13"/>
  <c r="M1497" i="13"/>
  <c r="M1496" i="13"/>
  <c r="M1495" i="13"/>
  <c r="M1494" i="13"/>
  <c r="M1493" i="13"/>
  <c r="M1492" i="13"/>
  <c r="M1491" i="13"/>
  <c r="M1490" i="13"/>
  <c r="M1489" i="13"/>
  <c r="M1488" i="13"/>
  <c r="M1487" i="13"/>
  <c r="M1486" i="13"/>
  <c r="M1485" i="13"/>
  <c r="M1484" i="13"/>
  <c r="M1483" i="13"/>
  <c r="M1482" i="13"/>
  <c r="M1481" i="13"/>
  <c r="M1480" i="13"/>
  <c r="M1479" i="13"/>
  <c r="M1478" i="13"/>
  <c r="M1477" i="13"/>
  <c r="M1476" i="13"/>
  <c r="M1475" i="13"/>
  <c r="M1474" i="13"/>
  <c r="M1473" i="13"/>
  <c r="M1472" i="13"/>
  <c r="M1471" i="13"/>
  <c r="M1470" i="13"/>
  <c r="M1469" i="13"/>
  <c r="M1468" i="13"/>
  <c r="M1467" i="13"/>
  <c r="M1466" i="13"/>
  <c r="M1465" i="13"/>
  <c r="M1464" i="13"/>
  <c r="M1463" i="13"/>
  <c r="M1462" i="13"/>
  <c r="M1461" i="13"/>
  <c r="M1460" i="13"/>
  <c r="M1459" i="13"/>
  <c r="M1458" i="13"/>
  <c r="M1457" i="13"/>
  <c r="M1456" i="13"/>
  <c r="M1455" i="13"/>
  <c r="M1454" i="13"/>
  <c r="M1453" i="13"/>
  <c r="M1452" i="13"/>
  <c r="M1451" i="13"/>
  <c r="M1450" i="13"/>
  <c r="M1449" i="13"/>
  <c r="M1448" i="13"/>
  <c r="M1447" i="13"/>
  <c r="M1446" i="13"/>
  <c r="M1445" i="13"/>
  <c r="M1444" i="13"/>
  <c r="M1443" i="13"/>
  <c r="M1442" i="13"/>
  <c r="M1441" i="13"/>
  <c r="M1440" i="13"/>
  <c r="M1439" i="13"/>
  <c r="M1438" i="13"/>
  <c r="M1437" i="13"/>
  <c r="M1436" i="13"/>
  <c r="M1435" i="13"/>
  <c r="M1434" i="13"/>
  <c r="M1433" i="13"/>
  <c r="M1432" i="13"/>
  <c r="M1431" i="13"/>
  <c r="M1430" i="13"/>
  <c r="M1429" i="13"/>
  <c r="M1428" i="13"/>
  <c r="M1427" i="13"/>
  <c r="M1426" i="13"/>
  <c r="M1425" i="13"/>
  <c r="M1424" i="13"/>
  <c r="M1423" i="13"/>
  <c r="M1422" i="13"/>
  <c r="M1421" i="13"/>
  <c r="M1420" i="13"/>
  <c r="M1419" i="13"/>
  <c r="M1418" i="13"/>
  <c r="M1417" i="13"/>
  <c r="M1416" i="13"/>
  <c r="M1415" i="13"/>
  <c r="M1414" i="13"/>
  <c r="M1413" i="13"/>
  <c r="M1412" i="13"/>
  <c r="M1411" i="13"/>
  <c r="M1410" i="13"/>
  <c r="M1409" i="13"/>
  <c r="M1408" i="13"/>
  <c r="M1407" i="13"/>
  <c r="M1406" i="13"/>
  <c r="M1405" i="13"/>
  <c r="M1404" i="13"/>
  <c r="M1403" i="13"/>
  <c r="M1402" i="13"/>
  <c r="M1401" i="13"/>
  <c r="M1400" i="13"/>
  <c r="M1399" i="13"/>
  <c r="M1398" i="13"/>
  <c r="M1397" i="13"/>
  <c r="M1396" i="13"/>
  <c r="M1395" i="13"/>
  <c r="M1394" i="13"/>
  <c r="M1393" i="13"/>
  <c r="M1392" i="13"/>
  <c r="M1391" i="13"/>
  <c r="M1390" i="13"/>
  <c r="M1389" i="13"/>
  <c r="M1388" i="13"/>
  <c r="M1387" i="13"/>
  <c r="M1386" i="13"/>
  <c r="M1385" i="13"/>
  <c r="M1384" i="13"/>
  <c r="M1383" i="13"/>
  <c r="M1382" i="13"/>
  <c r="M1381" i="13"/>
  <c r="M1380" i="13"/>
  <c r="M1379" i="13"/>
  <c r="M1378" i="13"/>
  <c r="M1377" i="13"/>
  <c r="M1376" i="13"/>
  <c r="M1375" i="13"/>
  <c r="M1374" i="13"/>
  <c r="M1373" i="13"/>
  <c r="M1372" i="13"/>
  <c r="M1371" i="13"/>
  <c r="M1370" i="13"/>
  <c r="M1369" i="13"/>
  <c r="M1368" i="13"/>
  <c r="M1367" i="13"/>
  <c r="M1366" i="13"/>
  <c r="M1365" i="13"/>
  <c r="M1364" i="13"/>
  <c r="M1363" i="13"/>
  <c r="M1362" i="13"/>
  <c r="M1361" i="13"/>
  <c r="M1360" i="13"/>
  <c r="M1359" i="13"/>
  <c r="M1358" i="13"/>
  <c r="M1357" i="13"/>
  <c r="M1356" i="13"/>
  <c r="M1355" i="13"/>
  <c r="M1354" i="13"/>
  <c r="M1353" i="13"/>
  <c r="M1352" i="13"/>
  <c r="M1351" i="13"/>
  <c r="M1350" i="13"/>
  <c r="M1349" i="13"/>
  <c r="M1348" i="13"/>
  <c r="M1347" i="13"/>
  <c r="M1346" i="13"/>
  <c r="M1345" i="13"/>
  <c r="M1344" i="13"/>
  <c r="M1343" i="13"/>
  <c r="M1342" i="13"/>
  <c r="M1341" i="13"/>
  <c r="M1340" i="13"/>
  <c r="M1339" i="13"/>
  <c r="M1338" i="13"/>
  <c r="M1337" i="13"/>
  <c r="M1336" i="13"/>
  <c r="M1335" i="13"/>
  <c r="M1334" i="13"/>
  <c r="M1333" i="13"/>
  <c r="M1332" i="13"/>
  <c r="M1331" i="13"/>
  <c r="M1330" i="13"/>
  <c r="M1329" i="13"/>
  <c r="M1328" i="13"/>
  <c r="M1327" i="13"/>
  <c r="M1326" i="13"/>
  <c r="M1325" i="13"/>
  <c r="M1324" i="13"/>
  <c r="M1323" i="13"/>
  <c r="M1322" i="13"/>
  <c r="M1321" i="13"/>
  <c r="M1320" i="13"/>
  <c r="M1319" i="13"/>
  <c r="M1318" i="13"/>
  <c r="M1317" i="13"/>
  <c r="M1316" i="13"/>
  <c r="M1315" i="13"/>
  <c r="M1314" i="13"/>
  <c r="M1313" i="13"/>
  <c r="M1312" i="13"/>
  <c r="M1311" i="13"/>
  <c r="M1310" i="13"/>
  <c r="M1309" i="13"/>
  <c r="M1308" i="13"/>
  <c r="M1307" i="13"/>
  <c r="M1306" i="13"/>
  <c r="M1305" i="13"/>
  <c r="M1304" i="13"/>
  <c r="M1303" i="13"/>
  <c r="M1302" i="13"/>
  <c r="M1301" i="13"/>
  <c r="M1300" i="13"/>
  <c r="M1299" i="13"/>
  <c r="M1298" i="13"/>
  <c r="M1297" i="13"/>
  <c r="M1296" i="13"/>
  <c r="M1295" i="13"/>
  <c r="M1294" i="13"/>
  <c r="M1293" i="13"/>
  <c r="M1292" i="13"/>
  <c r="M1291" i="13"/>
  <c r="M1290" i="13"/>
  <c r="M1289" i="13"/>
  <c r="M1288" i="13"/>
  <c r="M1287" i="13"/>
  <c r="M1286" i="13"/>
  <c r="M1285" i="13"/>
  <c r="M1284" i="13"/>
  <c r="M1283" i="13"/>
  <c r="M1282" i="13"/>
  <c r="M1281" i="13"/>
  <c r="M1280" i="13"/>
  <c r="M1279" i="13"/>
  <c r="M1278" i="13"/>
  <c r="M1277" i="13"/>
  <c r="M1276" i="13"/>
  <c r="M1275" i="13"/>
  <c r="M1274" i="13"/>
  <c r="M1273" i="13"/>
  <c r="M1272" i="13"/>
  <c r="M1271" i="13"/>
  <c r="M1270" i="13"/>
  <c r="M1269" i="13"/>
  <c r="M1268" i="13"/>
  <c r="M1267" i="13"/>
  <c r="M1266" i="13"/>
  <c r="M1265" i="13"/>
  <c r="M1264" i="13"/>
  <c r="M1263" i="13"/>
  <c r="M1262" i="13"/>
  <c r="M1261" i="13"/>
  <c r="M1260" i="13"/>
  <c r="M1259" i="13"/>
  <c r="M1258" i="13"/>
  <c r="M1257" i="13"/>
  <c r="M1256" i="13"/>
  <c r="M1255" i="13"/>
  <c r="M1254" i="13"/>
  <c r="M1253" i="13"/>
  <c r="M1252" i="13"/>
  <c r="M1251" i="13"/>
  <c r="M1250" i="13"/>
  <c r="M1249" i="13"/>
  <c r="M1248" i="13"/>
  <c r="M1247" i="13"/>
  <c r="M1246" i="13"/>
  <c r="M1245" i="13"/>
  <c r="M1244" i="13"/>
  <c r="M1243" i="13"/>
  <c r="M1242" i="13"/>
  <c r="M1241" i="13"/>
  <c r="M1240" i="13"/>
  <c r="M1239" i="13"/>
  <c r="M1238" i="13"/>
  <c r="M1237" i="13"/>
  <c r="M1236" i="13"/>
  <c r="M1235" i="13"/>
  <c r="M1234" i="13"/>
  <c r="M1233" i="13"/>
  <c r="M1232" i="13"/>
  <c r="M1231" i="13"/>
  <c r="M1230" i="13"/>
  <c r="M1229" i="13"/>
  <c r="M1228" i="13"/>
  <c r="M1227" i="13"/>
  <c r="M1226" i="13"/>
  <c r="M1225" i="13"/>
  <c r="M1224" i="13"/>
  <c r="M1223" i="13"/>
  <c r="M1222" i="13"/>
  <c r="M1221" i="13"/>
  <c r="M1220" i="13"/>
  <c r="M1219" i="13"/>
  <c r="M1218" i="13"/>
  <c r="M1217" i="13"/>
  <c r="M1216" i="13"/>
  <c r="M1215" i="13"/>
  <c r="M1214" i="13"/>
  <c r="M1213" i="13"/>
  <c r="M1212" i="13"/>
  <c r="M1211" i="13"/>
  <c r="M1210" i="13"/>
  <c r="M1209" i="13"/>
  <c r="M1208" i="13"/>
  <c r="M1207" i="13"/>
  <c r="M1206" i="13"/>
  <c r="M1205" i="13"/>
  <c r="M1204" i="13"/>
  <c r="M1203" i="13"/>
  <c r="M1202" i="13"/>
  <c r="M1201" i="13"/>
  <c r="M1200" i="13"/>
  <c r="M1199" i="13"/>
  <c r="M1198" i="13"/>
  <c r="M1197" i="13"/>
  <c r="M1196" i="13"/>
  <c r="M1195" i="13"/>
  <c r="M1194" i="13"/>
  <c r="M1193" i="13"/>
  <c r="M1192" i="13"/>
  <c r="M1191" i="13"/>
  <c r="M1190" i="13"/>
  <c r="M1189" i="13"/>
  <c r="M1188" i="13"/>
  <c r="M1187" i="13"/>
  <c r="M1186" i="13"/>
  <c r="M1185" i="13"/>
  <c r="M1184" i="13"/>
  <c r="M1183" i="13"/>
  <c r="M1182" i="13"/>
  <c r="M1181" i="13"/>
  <c r="M1180" i="13"/>
  <c r="M1179" i="13"/>
  <c r="M1178" i="13"/>
  <c r="M1177" i="13"/>
  <c r="M1176" i="13"/>
  <c r="M1175" i="13"/>
  <c r="M1174" i="13"/>
  <c r="M1173" i="13"/>
  <c r="M1172" i="13"/>
  <c r="M1171" i="13"/>
  <c r="M1170" i="13"/>
  <c r="M1169" i="13"/>
  <c r="M1168" i="13"/>
  <c r="M1167" i="13"/>
  <c r="M1166" i="13"/>
  <c r="M1165" i="13"/>
  <c r="M1164" i="13"/>
  <c r="M1163" i="13"/>
  <c r="M1162" i="13"/>
  <c r="M1161" i="13"/>
  <c r="M1160" i="13"/>
  <c r="M1159" i="13"/>
  <c r="M1158" i="13"/>
  <c r="M1157" i="13"/>
  <c r="M1156" i="13"/>
  <c r="M1155" i="13"/>
  <c r="M1154" i="13"/>
  <c r="M1153" i="13"/>
  <c r="M1152" i="13"/>
  <c r="M1151" i="13"/>
  <c r="M1150" i="13"/>
  <c r="M1149" i="13"/>
  <c r="M1148" i="13"/>
  <c r="M1147" i="13"/>
  <c r="M1146" i="13"/>
  <c r="M1145" i="13"/>
  <c r="M1144" i="13"/>
  <c r="M1143" i="13"/>
  <c r="M1142" i="13"/>
  <c r="M1141" i="13"/>
  <c r="M1140" i="13"/>
  <c r="M1139" i="13"/>
  <c r="M1138" i="13"/>
  <c r="M1137" i="13"/>
  <c r="M1136" i="13"/>
  <c r="M1135" i="13"/>
  <c r="M1134" i="13"/>
  <c r="M1133" i="13"/>
  <c r="M1132" i="13"/>
  <c r="M1131" i="13"/>
  <c r="M1130" i="13"/>
  <c r="M1129" i="13"/>
  <c r="M1128" i="13"/>
  <c r="M1127" i="13"/>
  <c r="M1126" i="13"/>
  <c r="M1125" i="13"/>
  <c r="M1124" i="13"/>
  <c r="M1123" i="13"/>
  <c r="M1122" i="13"/>
  <c r="M1121" i="13"/>
  <c r="M1120" i="13"/>
  <c r="M1119" i="13"/>
  <c r="M1118" i="13"/>
  <c r="M1117" i="13"/>
  <c r="M1116" i="13"/>
  <c r="M1115" i="13"/>
  <c r="M1114" i="13"/>
  <c r="M1113" i="13"/>
  <c r="M1112" i="13"/>
  <c r="M1111" i="13"/>
  <c r="M1110" i="13"/>
  <c r="M1109" i="13"/>
  <c r="M1108" i="13"/>
  <c r="M1107" i="13"/>
  <c r="M1106" i="13"/>
  <c r="M1105" i="13"/>
  <c r="M1104" i="13"/>
  <c r="M1103" i="13"/>
  <c r="M1102" i="13"/>
  <c r="M1101" i="13"/>
  <c r="M1100" i="13"/>
  <c r="M1099" i="13"/>
  <c r="M1098" i="13"/>
  <c r="M1097" i="13"/>
  <c r="M1096" i="13"/>
  <c r="M1095" i="13"/>
  <c r="M1094" i="13"/>
  <c r="M1093" i="13"/>
  <c r="M1092" i="13"/>
  <c r="M1091" i="13"/>
  <c r="M1090" i="13"/>
  <c r="M1089" i="13"/>
  <c r="M1088" i="13"/>
  <c r="M1087" i="13"/>
  <c r="M1086" i="13"/>
  <c r="M1085" i="13"/>
  <c r="M1084" i="13"/>
  <c r="M1083" i="13"/>
  <c r="M1082" i="13"/>
  <c r="M1081" i="13"/>
  <c r="M1080" i="13"/>
  <c r="M1079" i="13"/>
  <c r="M1078" i="13"/>
  <c r="M1077" i="13"/>
  <c r="M1076" i="13"/>
  <c r="M1075" i="13"/>
  <c r="M1074" i="13"/>
  <c r="M1073" i="13"/>
  <c r="M1072" i="13"/>
  <c r="M1071" i="13"/>
  <c r="M1070" i="13"/>
  <c r="M1069" i="13"/>
  <c r="M1068" i="13"/>
  <c r="M1067" i="13"/>
  <c r="M1066" i="13"/>
  <c r="M1065" i="13"/>
  <c r="M1064" i="13"/>
  <c r="M1063" i="13"/>
  <c r="M1062" i="13"/>
  <c r="M1061" i="13"/>
  <c r="M1060" i="13"/>
  <c r="M1059" i="13"/>
  <c r="M1058" i="13"/>
  <c r="M1057" i="13"/>
  <c r="M1056" i="13"/>
  <c r="M1055" i="13"/>
  <c r="M1054" i="13"/>
  <c r="M1053" i="13"/>
  <c r="M1052" i="13"/>
  <c r="M1051" i="13"/>
  <c r="M1050" i="13"/>
  <c r="M1049" i="13"/>
  <c r="M1048" i="13"/>
  <c r="M1047" i="13"/>
  <c r="M1046" i="13"/>
  <c r="M1045" i="13"/>
  <c r="M1044" i="13"/>
  <c r="M1043" i="13"/>
  <c r="M1042" i="13"/>
  <c r="M1041" i="13"/>
  <c r="M1040" i="13"/>
  <c r="M1039" i="13"/>
  <c r="M1038" i="13"/>
  <c r="M1037" i="13"/>
  <c r="M1036" i="13"/>
  <c r="M1035" i="13"/>
  <c r="M1034" i="13"/>
  <c r="M1033" i="13"/>
  <c r="M1032" i="13"/>
  <c r="M1031" i="13"/>
  <c r="M1030" i="13"/>
  <c r="M1029" i="13"/>
  <c r="M1028" i="13"/>
  <c r="M1027" i="13"/>
  <c r="M1026" i="13"/>
  <c r="M1025" i="13"/>
  <c r="M1024" i="13"/>
  <c r="M1023" i="13"/>
  <c r="M1022" i="13"/>
  <c r="M1021" i="13"/>
  <c r="M1020" i="13"/>
  <c r="M1019" i="13"/>
  <c r="M1018" i="13"/>
  <c r="M1017" i="13"/>
  <c r="M1016" i="13"/>
  <c r="M1015" i="13"/>
  <c r="M1014" i="13"/>
  <c r="M1013" i="13"/>
  <c r="M1012" i="13"/>
  <c r="M1011" i="13"/>
  <c r="M1010" i="13"/>
  <c r="M1009" i="13"/>
  <c r="M1008" i="13"/>
  <c r="M1007" i="13"/>
  <c r="M1006" i="13"/>
  <c r="M1005" i="13"/>
  <c r="M1004" i="13"/>
  <c r="M1003" i="13"/>
  <c r="M1002" i="13"/>
  <c r="M1001" i="13"/>
  <c r="M1000" i="13"/>
  <c r="M999" i="13"/>
  <c r="M998" i="13"/>
  <c r="M997" i="13"/>
  <c r="M996" i="13"/>
  <c r="M995" i="13"/>
  <c r="M994" i="13"/>
  <c r="M993" i="13"/>
  <c r="M992" i="13"/>
  <c r="M991" i="13"/>
  <c r="M990" i="13"/>
  <c r="M989" i="13"/>
  <c r="M988" i="13"/>
  <c r="M987" i="13"/>
  <c r="M986" i="13"/>
  <c r="M985" i="13"/>
  <c r="M984" i="13"/>
  <c r="M983" i="13"/>
  <c r="M982" i="13"/>
  <c r="M981" i="13"/>
  <c r="M980" i="13"/>
  <c r="M979" i="13"/>
  <c r="M978" i="13"/>
  <c r="M977" i="13"/>
  <c r="M976" i="13"/>
  <c r="M975" i="13"/>
  <c r="M974" i="13"/>
  <c r="M973" i="13"/>
  <c r="M972" i="13"/>
  <c r="M971" i="13"/>
  <c r="M970" i="13"/>
  <c r="M969" i="13"/>
  <c r="M968" i="13"/>
  <c r="M967" i="13"/>
  <c r="M966" i="13"/>
  <c r="M965" i="13"/>
  <c r="M964" i="13"/>
  <c r="M963" i="13"/>
  <c r="M962" i="13"/>
  <c r="M961" i="13"/>
  <c r="M960" i="13"/>
  <c r="M959" i="13"/>
  <c r="M958" i="13"/>
  <c r="M957" i="13"/>
  <c r="M956" i="13"/>
  <c r="M955" i="13"/>
  <c r="M954" i="13"/>
  <c r="M953" i="13"/>
  <c r="M952" i="13"/>
  <c r="M951" i="13"/>
  <c r="M950" i="13"/>
  <c r="M949" i="13"/>
  <c r="M948" i="13"/>
  <c r="M947" i="13"/>
  <c r="M946" i="13"/>
  <c r="M945" i="13"/>
  <c r="M944" i="13"/>
  <c r="M943" i="13"/>
  <c r="M942" i="13"/>
  <c r="M941" i="13"/>
  <c r="M940" i="13"/>
  <c r="M939" i="13"/>
  <c r="M938" i="13"/>
  <c r="M937" i="13"/>
  <c r="M936" i="13"/>
  <c r="M935" i="13"/>
  <c r="M934" i="13"/>
  <c r="M933" i="13"/>
  <c r="M932" i="13"/>
  <c r="M931" i="13"/>
  <c r="M930" i="13"/>
  <c r="M929" i="13"/>
  <c r="M928" i="13"/>
  <c r="M927" i="13"/>
  <c r="M926" i="13"/>
  <c r="M925" i="13"/>
  <c r="M924" i="13"/>
  <c r="M923" i="13"/>
  <c r="M922" i="13"/>
  <c r="M921" i="13"/>
  <c r="M920" i="13"/>
  <c r="M919" i="13"/>
  <c r="M918" i="13"/>
  <c r="M917" i="13"/>
  <c r="M916" i="13"/>
  <c r="M915" i="13"/>
  <c r="M914" i="13"/>
  <c r="M913" i="13"/>
  <c r="M912" i="13"/>
  <c r="M911" i="13"/>
  <c r="M910" i="13"/>
  <c r="M909" i="13"/>
  <c r="M908" i="13"/>
  <c r="M907" i="13"/>
  <c r="M906" i="13"/>
  <c r="M905" i="13"/>
  <c r="M904" i="13"/>
  <c r="M903" i="13"/>
  <c r="M902" i="13"/>
  <c r="M901" i="13"/>
  <c r="M900" i="13"/>
  <c r="M899" i="13"/>
  <c r="M898" i="13"/>
  <c r="M897" i="13"/>
  <c r="M896" i="13"/>
  <c r="M895" i="13"/>
  <c r="M894" i="13"/>
  <c r="M893" i="13"/>
  <c r="M892" i="13"/>
  <c r="M891" i="13"/>
  <c r="M890" i="13"/>
  <c r="M889" i="13"/>
  <c r="M888" i="13"/>
  <c r="M887" i="13"/>
  <c r="M886" i="13"/>
  <c r="M885" i="13"/>
  <c r="M884" i="13"/>
  <c r="M883" i="13"/>
  <c r="M882" i="13"/>
  <c r="M881" i="13"/>
  <c r="M880" i="13"/>
  <c r="M879" i="13"/>
  <c r="M878" i="13"/>
  <c r="M877" i="13"/>
  <c r="M876" i="13"/>
  <c r="M875" i="13"/>
  <c r="M874" i="13"/>
  <c r="M873" i="13"/>
  <c r="M872" i="13"/>
  <c r="M871" i="13"/>
  <c r="M870" i="13"/>
  <c r="M869" i="13"/>
  <c r="M868" i="13"/>
  <c r="M867" i="13"/>
  <c r="M866" i="13"/>
  <c r="M865" i="13"/>
  <c r="M864" i="13"/>
  <c r="M863" i="13"/>
  <c r="M862" i="13"/>
  <c r="M861" i="13"/>
  <c r="M860" i="13"/>
  <c r="M859" i="13"/>
  <c r="M858" i="13"/>
  <c r="M857" i="13"/>
  <c r="M856" i="13"/>
  <c r="M855" i="13"/>
  <c r="M854" i="13"/>
  <c r="M853" i="13"/>
  <c r="M852" i="13"/>
  <c r="M851" i="13"/>
  <c r="M850" i="13"/>
  <c r="M849" i="13"/>
  <c r="M848" i="13"/>
  <c r="M847" i="13"/>
  <c r="M846" i="13"/>
  <c r="M845" i="13"/>
  <c r="M844" i="13"/>
  <c r="M843" i="13"/>
  <c r="M842" i="13"/>
  <c r="M841" i="13"/>
  <c r="M840" i="13"/>
  <c r="M839" i="13"/>
  <c r="M838" i="13"/>
  <c r="M837" i="13"/>
  <c r="M836" i="13"/>
  <c r="M835" i="13"/>
  <c r="M834" i="13"/>
  <c r="M833" i="13"/>
  <c r="M832" i="13"/>
  <c r="M831" i="13"/>
  <c r="M830" i="13"/>
  <c r="M829" i="13"/>
  <c r="M828" i="13"/>
  <c r="M827" i="13"/>
  <c r="M826" i="13"/>
  <c r="M825" i="13"/>
  <c r="M824" i="13"/>
  <c r="M823" i="13"/>
  <c r="M822" i="13"/>
  <c r="M821" i="13"/>
  <c r="M820" i="13"/>
  <c r="M819" i="13"/>
  <c r="M818" i="13"/>
  <c r="M817" i="13"/>
  <c r="M816" i="13"/>
  <c r="M815" i="13"/>
  <c r="M814" i="13"/>
  <c r="M813" i="13"/>
  <c r="M812" i="13"/>
  <c r="M811" i="13"/>
  <c r="M810" i="13"/>
  <c r="M809" i="13"/>
  <c r="M808" i="13"/>
  <c r="M807" i="13"/>
  <c r="M806" i="13"/>
  <c r="M805" i="13"/>
  <c r="M804" i="13"/>
  <c r="M803" i="13"/>
  <c r="M802" i="13"/>
  <c r="M801" i="13"/>
  <c r="M800" i="13"/>
  <c r="M799" i="13"/>
  <c r="M798" i="13"/>
  <c r="M797" i="13"/>
  <c r="M796" i="13"/>
  <c r="M795" i="13"/>
  <c r="M794" i="13"/>
  <c r="M793" i="13"/>
  <c r="M792" i="13"/>
  <c r="M791" i="13"/>
  <c r="M790" i="13"/>
  <c r="M789" i="13"/>
  <c r="M788" i="13"/>
  <c r="M787" i="13"/>
  <c r="M786" i="13"/>
  <c r="M785" i="13"/>
  <c r="M784" i="13"/>
  <c r="M783" i="13"/>
  <c r="M782" i="13"/>
  <c r="M781" i="13"/>
  <c r="M780" i="13"/>
  <c r="M779" i="13"/>
  <c r="M778" i="13"/>
  <c r="M777" i="13"/>
  <c r="M776" i="13"/>
  <c r="M775" i="13"/>
  <c r="M774" i="13"/>
  <c r="M773" i="13"/>
  <c r="M772" i="13"/>
  <c r="M771" i="13"/>
  <c r="M770" i="13"/>
  <c r="M769" i="13"/>
  <c r="M768" i="13"/>
  <c r="M767" i="13"/>
  <c r="M766" i="13"/>
  <c r="M765" i="13"/>
  <c r="M764" i="13"/>
  <c r="M763" i="13"/>
  <c r="M762" i="13"/>
  <c r="M761" i="13"/>
  <c r="M760" i="13"/>
  <c r="M759" i="13"/>
  <c r="M758" i="13"/>
  <c r="M757" i="13"/>
  <c r="M756" i="13"/>
  <c r="M755" i="13"/>
  <c r="M754" i="13"/>
  <c r="M753" i="13"/>
  <c r="M752" i="13"/>
  <c r="M751" i="13"/>
  <c r="M750" i="13"/>
  <c r="M749" i="13"/>
  <c r="M748" i="13"/>
  <c r="M747" i="13"/>
  <c r="M746" i="13"/>
  <c r="M745" i="13"/>
  <c r="M744" i="13"/>
  <c r="M743" i="13"/>
  <c r="M742" i="13"/>
  <c r="M741" i="13"/>
  <c r="M740" i="13"/>
  <c r="M739" i="13"/>
  <c r="M738" i="13"/>
  <c r="M737" i="13"/>
  <c r="M736" i="13"/>
  <c r="M735" i="13"/>
  <c r="M734" i="13"/>
  <c r="M733" i="13"/>
  <c r="M732" i="13"/>
  <c r="M731" i="13"/>
  <c r="M730" i="13"/>
  <c r="M729" i="13"/>
  <c r="M728" i="13"/>
  <c r="M727" i="13"/>
  <c r="M726" i="13"/>
  <c r="M725" i="13"/>
  <c r="M724" i="13"/>
  <c r="M723" i="13"/>
  <c r="M722" i="13"/>
  <c r="M721" i="13"/>
  <c r="M720" i="13"/>
  <c r="M719" i="13"/>
  <c r="M718" i="13"/>
  <c r="M717" i="13"/>
  <c r="M716" i="13"/>
  <c r="M715" i="13"/>
  <c r="M714" i="13"/>
  <c r="M713" i="13"/>
  <c r="M712" i="13"/>
  <c r="M711" i="13"/>
  <c r="M710" i="13"/>
  <c r="M709" i="13"/>
  <c r="M708" i="13"/>
  <c r="M707" i="13"/>
  <c r="M706" i="13"/>
  <c r="M705" i="13"/>
  <c r="M704" i="13"/>
  <c r="M703" i="13"/>
  <c r="M702" i="13"/>
  <c r="M701" i="13"/>
  <c r="M700" i="13"/>
  <c r="M699" i="13"/>
  <c r="M698" i="13"/>
  <c r="M697" i="13"/>
  <c r="M696" i="13"/>
  <c r="M695" i="13"/>
  <c r="M694" i="13"/>
  <c r="M693" i="13"/>
  <c r="M692" i="13"/>
  <c r="M691" i="13"/>
  <c r="M690" i="13"/>
  <c r="M689" i="13"/>
  <c r="M688" i="13"/>
  <c r="M687" i="13"/>
  <c r="M686" i="13"/>
  <c r="M685" i="13"/>
  <c r="M684" i="13"/>
  <c r="M683" i="13"/>
  <c r="M682" i="13"/>
  <c r="M681" i="13"/>
  <c r="M680" i="13"/>
  <c r="M679" i="13"/>
  <c r="M678" i="13"/>
  <c r="M677" i="13"/>
  <c r="M676" i="13"/>
  <c r="M675" i="13"/>
  <c r="M674" i="13"/>
  <c r="M673" i="13"/>
  <c r="M672" i="13"/>
  <c r="M671" i="13"/>
  <c r="M670" i="13"/>
  <c r="M669" i="13"/>
  <c r="M668" i="13"/>
  <c r="M667" i="13"/>
  <c r="M666" i="13"/>
  <c r="M665" i="13"/>
  <c r="M664" i="13"/>
  <c r="M663" i="13"/>
  <c r="M662" i="13"/>
  <c r="M661" i="13"/>
  <c r="M660" i="13"/>
  <c r="M659" i="13"/>
  <c r="M658" i="13"/>
  <c r="M657" i="13"/>
  <c r="M656" i="13"/>
  <c r="M655" i="13"/>
  <c r="M654" i="13"/>
  <c r="M653" i="13"/>
  <c r="M652" i="13"/>
  <c r="M651" i="13"/>
  <c r="M650" i="13"/>
  <c r="M649" i="13"/>
  <c r="M648" i="13"/>
  <c r="M647" i="13"/>
  <c r="M646" i="13"/>
  <c r="M645" i="13"/>
  <c r="M644" i="13"/>
  <c r="M643" i="13"/>
  <c r="M642" i="13"/>
  <c r="M641" i="13"/>
  <c r="M640" i="13"/>
  <c r="M639" i="13"/>
  <c r="M638" i="13"/>
  <c r="M637" i="13"/>
  <c r="M636" i="13"/>
  <c r="M635" i="13"/>
  <c r="M634" i="13"/>
  <c r="M633" i="13"/>
  <c r="M632" i="13"/>
  <c r="M631" i="13"/>
  <c r="M630" i="13"/>
  <c r="M629" i="13"/>
  <c r="M628" i="13"/>
  <c r="M627" i="13"/>
  <c r="M626" i="13"/>
  <c r="M625" i="13"/>
  <c r="M624" i="13"/>
  <c r="M623" i="13"/>
  <c r="M622" i="13"/>
  <c r="M621" i="13"/>
  <c r="M620" i="13"/>
  <c r="M619" i="13"/>
  <c r="M618" i="13"/>
  <c r="M617" i="13"/>
  <c r="M616" i="13"/>
  <c r="M615" i="13"/>
  <c r="M614" i="13"/>
  <c r="M613" i="13"/>
  <c r="M612" i="13"/>
  <c r="M611" i="13"/>
  <c r="M610" i="13"/>
  <c r="M609" i="13"/>
  <c r="M608" i="13"/>
  <c r="M607" i="13"/>
  <c r="M606" i="13"/>
  <c r="M605" i="13"/>
  <c r="M604" i="13"/>
  <c r="M603" i="13"/>
  <c r="M602" i="13"/>
  <c r="M601" i="13"/>
  <c r="M600" i="13"/>
  <c r="M599" i="13"/>
  <c r="M598" i="13"/>
  <c r="M597" i="13"/>
  <c r="M596" i="13"/>
  <c r="M595" i="13"/>
  <c r="M594" i="13"/>
  <c r="M593" i="13"/>
  <c r="M592" i="13"/>
  <c r="M591" i="13"/>
  <c r="M590" i="13"/>
  <c r="M589" i="13"/>
  <c r="M588" i="13"/>
  <c r="M587" i="13"/>
  <c r="M586" i="13"/>
  <c r="M585" i="13"/>
  <c r="M584" i="13"/>
  <c r="M583" i="13"/>
  <c r="M582" i="13"/>
  <c r="M581" i="13"/>
  <c r="M580" i="13"/>
  <c r="M579" i="13"/>
  <c r="M578" i="13"/>
  <c r="M577" i="13"/>
  <c r="M576" i="13"/>
  <c r="M575" i="13"/>
  <c r="M574" i="13"/>
  <c r="M573" i="13"/>
  <c r="M572" i="13"/>
  <c r="M571" i="13"/>
  <c r="M570" i="13"/>
  <c r="M569" i="13"/>
  <c r="M568" i="13"/>
  <c r="M567" i="13"/>
  <c r="M566" i="13"/>
  <c r="M565" i="13"/>
  <c r="M564" i="13"/>
  <c r="M563" i="13"/>
  <c r="M562" i="13"/>
  <c r="M561" i="13"/>
  <c r="M560" i="13"/>
  <c r="M559" i="13"/>
  <c r="M558" i="13"/>
  <c r="M557" i="13"/>
  <c r="M556" i="13"/>
  <c r="M555" i="13"/>
  <c r="M554" i="13"/>
  <c r="M553" i="13"/>
  <c r="M552" i="13"/>
  <c r="M551" i="13"/>
  <c r="M550" i="13"/>
  <c r="M549" i="13"/>
  <c r="M548" i="13"/>
  <c r="M547" i="13"/>
  <c r="M546" i="13"/>
  <c r="M545" i="13"/>
  <c r="M544" i="13"/>
  <c r="M543" i="13"/>
  <c r="M542" i="13"/>
  <c r="M541" i="13"/>
  <c r="M540" i="13"/>
  <c r="M539" i="13"/>
  <c r="M538" i="13"/>
  <c r="M537" i="13"/>
  <c r="M536" i="13"/>
  <c r="M535" i="13"/>
  <c r="M534" i="13"/>
  <c r="M533" i="13"/>
  <c r="M532" i="13"/>
  <c r="M531" i="13"/>
  <c r="M530" i="13"/>
  <c r="M529" i="13"/>
  <c r="M528" i="13"/>
  <c r="M527" i="13"/>
  <c r="M526" i="13"/>
  <c r="M525" i="13"/>
  <c r="M524" i="13"/>
  <c r="M523" i="13"/>
  <c r="M522" i="13"/>
  <c r="M521" i="13"/>
  <c r="M520" i="13"/>
  <c r="M519" i="13"/>
  <c r="M518" i="13"/>
  <c r="M517" i="13"/>
  <c r="M516" i="13"/>
  <c r="M515" i="13"/>
  <c r="M514" i="13"/>
  <c r="M513" i="13"/>
  <c r="M512" i="13"/>
  <c r="M511" i="13"/>
  <c r="M510" i="13"/>
  <c r="M509" i="13"/>
  <c r="M508" i="13"/>
  <c r="M507" i="13"/>
  <c r="M506" i="13"/>
  <c r="M505" i="13"/>
  <c r="M504" i="13"/>
  <c r="M503" i="13"/>
  <c r="M502" i="13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L206" i="13"/>
  <c r="J206" i="13"/>
  <c r="E206" i="13"/>
  <c r="M205" i="13"/>
  <c r="K206" i="13" s="1"/>
  <c r="L205" i="13"/>
  <c r="J205" i="13"/>
  <c r="E205" i="13"/>
  <c r="M204" i="13"/>
  <c r="L204" i="13"/>
  <c r="K205" i="13" s="1"/>
  <c r="K204" i="13"/>
  <c r="J204" i="13"/>
  <c r="E204" i="13"/>
  <c r="M203" i="13"/>
  <c r="L203" i="13"/>
  <c r="K203" i="13"/>
  <c r="J203" i="13"/>
  <c r="E203" i="13"/>
  <c r="M202" i="13"/>
  <c r="L202" i="13"/>
  <c r="J202" i="13"/>
  <c r="E202" i="13"/>
  <c r="M201" i="13"/>
  <c r="K202" i="13" s="1"/>
  <c r="L201" i="13"/>
  <c r="J201" i="13"/>
  <c r="E201" i="13"/>
  <c r="M200" i="13"/>
  <c r="L200" i="13"/>
  <c r="K201" i="13" s="1"/>
  <c r="K200" i="13"/>
  <c r="J200" i="13"/>
  <c r="E200" i="13"/>
  <c r="M199" i="13"/>
  <c r="L199" i="13"/>
  <c r="J199" i="13"/>
  <c r="E199" i="13"/>
  <c r="M198" i="13"/>
  <c r="K199" i="13" s="1"/>
  <c r="L198" i="13"/>
  <c r="J198" i="13"/>
  <c r="E198" i="13"/>
  <c r="M197" i="13"/>
  <c r="K198" i="13" s="1"/>
  <c r="L197" i="13"/>
  <c r="K197" i="13"/>
  <c r="J197" i="13"/>
  <c r="E197" i="13"/>
  <c r="M196" i="13"/>
  <c r="L196" i="13"/>
  <c r="K196" i="13"/>
  <c r="J196" i="13"/>
  <c r="E196" i="13"/>
  <c r="M195" i="13"/>
  <c r="L195" i="13"/>
  <c r="J195" i="13"/>
  <c r="E195" i="13"/>
  <c r="M194" i="13"/>
  <c r="K195" i="13" s="1"/>
  <c r="L194" i="13"/>
  <c r="J194" i="13"/>
  <c r="E194" i="13"/>
  <c r="M193" i="13"/>
  <c r="K194" i="13" s="1"/>
  <c r="L193" i="13"/>
  <c r="J193" i="13"/>
  <c r="E193" i="13"/>
  <c r="M192" i="13"/>
  <c r="K193" i="13" s="1"/>
  <c r="L192" i="13"/>
  <c r="J192" i="13"/>
  <c r="E192" i="13"/>
  <c r="M191" i="13"/>
  <c r="L191" i="13"/>
  <c r="K192" i="13" s="1"/>
  <c r="K191" i="13"/>
  <c r="J191" i="13"/>
  <c r="E191" i="13"/>
  <c r="M190" i="13"/>
  <c r="L190" i="13"/>
  <c r="J190" i="13"/>
  <c r="E190" i="13"/>
  <c r="M189" i="13"/>
  <c r="K190" i="13" s="1"/>
  <c r="L189" i="13"/>
  <c r="J189" i="13"/>
  <c r="E189" i="13"/>
  <c r="M188" i="13"/>
  <c r="L188" i="13"/>
  <c r="K189" i="13" s="1"/>
  <c r="K188" i="13"/>
  <c r="J188" i="13"/>
  <c r="E188" i="13"/>
  <c r="M187" i="13"/>
  <c r="L187" i="13"/>
  <c r="K187" i="13"/>
  <c r="J187" i="13"/>
  <c r="E187" i="13"/>
  <c r="M186" i="13"/>
  <c r="L186" i="13"/>
  <c r="J186" i="13"/>
  <c r="E186" i="13"/>
  <c r="M185" i="13"/>
  <c r="K186" i="13" s="1"/>
  <c r="L185" i="13"/>
  <c r="J185" i="13"/>
  <c r="E185" i="13"/>
  <c r="M184" i="13"/>
  <c r="L184" i="13"/>
  <c r="K185" i="13" s="1"/>
  <c r="K184" i="13"/>
  <c r="J184" i="13"/>
  <c r="E184" i="13"/>
  <c r="M183" i="13"/>
  <c r="L183" i="13"/>
  <c r="K183" i="13"/>
  <c r="J183" i="13"/>
  <c r="E183" i="13"/>
  <c r="M182" i="13"/>
  <c r="L182" i="13"/>
  <c r="J182" i="13"/>
  <c r="E182" i="13"/>
  <c r="M181" i="13"/>
  <c r="K182" i="13" s="1"/>
  <c r="L181" i="13"/>
  <c r="J181" i="13"/>
  <c r="E181" i="13"/>
  <c r="M180" i="13"/>
  <c r="L180" i="13"/>
  <c r="K181" i="13" s="1"/>
  <c r="K180" i="13"/>
  <c r="J180" i="13"/>
  <c r="E180" i="13"/>
  <c r="M179" i="13"/>
  <c r="L179" i="13"/>
  <c r="K179" i="13"/>
  <c r="J179" i="13"/>
  <c r="E179" i="13"/>
  <c r="M178" i="13"/>
  <c r="L178" i="13"/>
  <c r="J178" i="13"/>
  <c r="E178" i="13"/>
  <c r="M177" i="13"/>
  <c r="K178" i="13" s="1"/>
  <c r="L177" i="13"/>
  <c r="J177" i="13"/>
  <c r="E177" i="13"/>
  <c r="M176" i="13"/>
  <c r="L176" i="13"/>
  <c r="K177" i="13" s="1"/>
  <c r="K176" i="13"/>
  <c r="J176" i="13"/>
  <c r="E176" i="13"/>
  <c r="M175" i="13"/>
  <c r="L175" i="13"/>
  <c r="K175" i="13"/>
  <c r="J175" i="13"/>
  <c r="E175" i="13"/>
  <c r="M174" i="13"/>
  <c r="L174" i="13"/>
  <c r="J174" i="13"/>
  <c r="E174" i="13"/>
  <c r="M173" i="13"/>
  <c r="K174" i="13" s="1"/>
  <c r="L173" i="13"/>
  <c r="J173" i="13"/>
  <c r="E173" i="13"/>
  <c r="M172" i="13"/>
  <c r="L172" i="13"/>
  <c r="K173" i="13" s="1"/>
  <c r="K172" i="13"/>
  <c r="J172" i="13"/>
  <c r="E172" i="13"/>
  <c r="M171" i="13"/>
  <c r="L171" i="13"/>
  <c r="K171" i="13"/>
  <c r="J171" i="13"/>
  <c r="E171" i="13"/>
  <c r="M170" i="13"/>
  <c r="L170" i="13"/>
  <c r="J170" i="13"/>
  <c r="E170" i="13"/>
  <c r="M169" i="13"/>
  <c r="K170" i="13" s="1"/>
  <c r="L169" i="13"/>
  <c r="J169" i="13"/>
  <c r="E169" i="13"/>
  <c r="M168" i="13"/>
  <c r="L168" i="13"/>
  <c r="K169" i="13" s="1"/>
  <c r="K168" i="13"/>
  <c r="J168" i="13"/>
  <c r="E168" i="13"/>
  <c r="M167" i="13"/>
  <c r="L167" i="13"/>
  <c r="K167" i="13"/>
  <c r="J167" i="13"/>
  <c r="E167" i="13"/>
  <c r="M166" i="13"/>
  <c r="L166" i="13"/>
  <c r="J166" i="13"/>
  <c r="E166" i="13"/>
  <c r="M165" i="13"/>
  <c r="K166" i="13" s="1"/>
  <c r="L165" i="13"/>
  <c r="J165" i="13"/>
  <c r="E165" i="13"/>
  <c r="M164" i="13"/>
  <c r="L164" i="13"/>
  <c r="K165" i="13" s="1"/>
  <c r="K164" i="13"/>
  <c r="J164" i="13"/>
  <c r="E164" i="13"/>
  <c r="M163" i="13"/>
  <c r="L163" i="13"/>
  <c r="K163" i="13"/>
  <c r="J163" i="13"/>
  <c r="E163" i="13"/>
  <c r="M162" i="13"/>
  <c r="L162" i="13"/>
  <c r="J162" i="13"/>
  <c r="E162" i="13"/>
  <c r="M161" i="13"/>
  <c r="K162" i="13" s="1"/>
  <c r="L161" i="13"/>
  <c r="J161" i="13"/>
  <c r="E161" i="13"/>
  <c r="M160" i="13"/>
  <c r="L160" i="13"/>
  <c r="K161" i="13" s="1"/>
  <c r="K160" i="13"/>
  <c r="J160" i="13"/>
  <c r="E160" i="13"/>
  <c r="M159" i="13"/>
  <c r="L159" i="13"/>
  <c r="K159" i="13"/>
  <c r="J159" i="13"/>
  <c r="E159" i="13"/>
  <c r="M158" i="13"/>
  <c r="L158" i="13"/>
  <c r="J158" i="13"/>
  <c r="E158" i="13"/>
  <c r="M157" i="13"/>
  <c r="K158" i="13" s="1"/>
  <c r="L157" i="13"/>
  <c r="J157" i="13"/>
  <c r="E157" i="13"/>
  <c r="M156" i="13"/>
  <c r="L156" i="13"/>
  <c r="K157" i="13" s="1"/>
  <c r="K156" i="13"/>
  <c r="J156" i="13"/>
  <c r="E156" i="13"/>
  <c r="M155" i="13"/>
  <c r="L155" i="13"/>
  <c r="K155" i="13"/>
  <c r="J155" i="13"/>
  <c r="E155" i="13"/>
  <c r="M154" i="13"/>
  <c r="L154" i="13"/>
  <c r="J154" i="13"/>
  <c r="E154" i="13"/>
  <c r="M153" i="13"/>
  <c r="K154" i="13" s="1"/>
  <c r="L153" i="13"/>
  <c r="J153" i="13"/>
  <c r="E153" i="13"/>
  <c r="M152" i="13"/>
  <c r="L152" i="13"/>
  <c r="K153" i="13" s="1"/>
  <c r="K152" i="13"/>
  <c r="J152" i="13"/>
  <c r="E152" i="13"/>
  <c r="M151" i="13"/>
  <c r="L151" i="13"/>
  <c r="K151" i="13"/>
  <c r="J151" i="13"/>
  <c r="E151" i="13"/>
  <c r="M150" i="13"/>
  <c r="L150" i="13"/>
  <c r="J150" i="13"/>
  <c r="E150" i="13"/>
  <c r="M149" i="13"/>
  <c r="K150" i="13" s="1"/>
  <c r="L149" i="13"/>
  <c r="J149" i="13"/>
  <c r="E149" i="13"/>
  <c r="M148" i="13"/>
  <c r="L148" i="13"/>
  <c r="K149" i="13" s="1"/>
  <c r="K148" i="13"/>
  <c r="J148" i="13"/>
  <c r="E148" i="13"/>
  <c r="M147" i="13"/>
  <c r="L147" i="13"/>
  <c r="K147" i="13"/>
  <c r="J147" i="13"/>
  <c r="E147" i="13"/>
  <c r="M146" i="13"/>
  <c r="L146" i="13"/>
  <c r="J146" i="13"/>
  <c r="E146" i="13"/>
  <c r="M145" i="13"/>
  <c r="K146" i="13" s="1"/>
  <c r="L145" i="13"/>
  <c r="J145" i="13"/>
  <c r="E145" i="13"/>
  <c r="M144" i="13"/>
  <c r="L144" i="13"/>
  <c r="K145" i="13" s="1"/>
  <c r="K144" i="13"/>
  <c r="J144" i="13"/>
  <c r="E144" i="13"/>
  <c r="M143" i="13"/>
  <c r="L143" i="13"/>
  <c r="K143" i="13"/>
  <c r="J143" i="13"/>
  <c r="E143" i="13"/>
  <c r="M142" i="13"/>
  <c r="L142" i="13"/>
  <c r="J142" i="13"/>
  <c r="E142" i="13"/>
  <c r="M141" i="13"/>
  <c r="K142" i="13" s="1"/>
  <c r="L141" i="13"/>
  <c r="J141" i="13"/>
  <c r="E141" i="13"/>
  <c r="M140" i="13"/>
  <c r="L140" i="13"/>
  <c r="K141" i="13" s="1"/>
  <c r="K140" i="13"/>
  <c r="J140" i="13"/>
  <c r="E140" i="13"/>
  <c r="M139" i="13"/>
  <c r="L139" i="13"/>
  <c r="K139" i="13"/>
  <c r="J139" i="13"/>
  <c r="E139" i="13"/>
  <c r="M138" i="13"/>
  <c r="L138" i="13"/>
  <c r="J138" i="13"/>
  <c r="E138" i="13"/>
  <c r="M137" i="13"/>
  <c r="K138" i="13" s="1"/>
  <c r="L137" i="13"/>
  <c r="J137" i="13"/>
  <c r="E137" i="13"/>
  <c r="M136" i="13"/>
  <c r="L136" i="13"/>
  <c r="K137" i="13" s="1"/>
  <c r="K136" i="13"/>
  <c r="J136" i="13"/>
  <c r="E136" i="13"/>
  <c r="M135" i="13"/>
  <c r="L135" i="13"/>
  <c r="K135" i="13"/>
  <c r="J135" i="13"/>
  <c r="E135" i="13"/>
  <c r="M134" i="13"/>
  <c r="L134" i="13"/>
  <c r="J134" i="13"/>
  <c r="E134" i="13"/>
  <c r="M133" i="13"/>
  <c r="K134" i="13" s="1"/>
  <c r="L133" i="13"/>
  <c r="J133" i="13"/>
  <c r="E133" i="13"/>
  <c r="M132" i="13"/>
  <c r="L132" i="13"/>
  <c r="K133" i="13" s="1"/>
  <c r="K132" i="13"/>
  <c r="J132" i="13"/>
  <c r="E132" i="13"/>
  <c r="M131" i="13"/>
  <c r="L131" i="13"/>
  <c r="K131" i="13"/>
  <c r="J131" i="13"/>
  <c r="E131" i="13"/>
  <c r="M130" i="13"/>
  <c r="L130" i="13"/>
  <c r="J130" i="13"/>
  <c r="E130" i="13"/>
  <c r="M129" i="13"/>
  <c r="K130" i="13" s="1"/>
  <c r="L129" i="13"/>
  <c r="J129" i="13"/>
  <c r="E129" i="13"/>
  <c r="M128" i="13"/>
  <c r="L128" i="13"/>
  <c r="K129" i="13" s="1"/>
  <c r="K128" i="13"/>
  <c r="J128" i="13"/>
  <c r="E128" i="13"/>
  <c r="M127" i="13"/>
  <c r="L127" i="13"/>
  <c r="K127" i="13"/>
  <c r="J127" i="13"/>
  <c r="E127" i="13"/>
  <c r="M126" i="13"/>
  <c r="L126" i="13"/>
  <c r="J126" i="13"/>
  <c r="E126" i="13"/>
  <c r="M125" i="13"/>
  <c r="K126" i="13" s="1"/>
  <c r="L125" i="13"/>
  <c r="J125" i="13"/>
  <c r="E125" i="13"/>
  <c r="M124" i="13"/>
  <c r="L124" i="13"/>
  <c r="K125" i="13" s="1"/>
  <c r="K124" i="13"/>
  <c r="J124" i="13"/>
  <c r="E124" i="13"/>
  <c r="M123" i="13"/>
  <c r="L123" i="13"/>
  <c r="K123" i="13"/>
  <c r="J123" i="13"/>
  <c r="E123" i="13"/>
  <c r="M122" i="13"/>
  <c r="L122" i="13"/>
  <c r="J122" i="13"/>
  <c r="E122" i="13"/>
  <c r="M121" i="13"/>
  <c r="K122" i="13" s="1"/>
  <c r="L121" i="13"/>
  <c r="J121" i="13"/>
  <c r="E121" i="13"/>
  <c r="M120" i="13"/>
  <c r="L120" i="13"/>
  <c r="K121" i="13" s="1"/>
  <c r="K120" i="13"/>
  <c r="J120" i="13"/>
  <c r="E120" i="13"/>
  <c r="M119" i="13"/>
  <c r="L119" i="13"/>
  <c r="K119" i="13"/>
  <c r="J119" i="13"/>
  <c r="E119" i="13"/>
  <c r="M118" i="13"/>
  <c r="L118" i="13"/>
  <c r="J118" i="13"/>
  <c r="E118" i="13"/>
  <c r="M117" i="13"/>
  <c r="K118" i="13" s="1"/>
  <c r="L117" i="13"/>
  <c r="J117" i="13"/>
  <c r="E117" i="13"/>
  <c r="M116" i="13"/>
  <c r="L116" i="13"/>
  <c r="K117" i="13" s="1"/>
  <c r="K116" i="13"/>
  <c r="J116" i="13"/>
  <c r="E116" i="13"/>
  <c r="M115" i="13"/>
  <c r="L115" i="13"/>
  <c r="K115" i="13"/>
  <c r="J115" i="13"/>
  <c r="E115" i="13"/>
  <c r="M114" i="13"/>
  <c r="L114" i="13"/>
  <c r="J114" i="13"/>
  <c r="E114" i="13"/>
  <c r="M113" i="13"/>
  <c r="K114" i="13" s="1"/>
  <c r="L113" i="13"/>
  <c r="J113" i="13"/>
  <c r="E113" i="13"/>
  <c r="M112" i="13"/>
  <c r="L112" i="13"/>
  <c r="K113" i="13" s="1"/>
  <c r="K112" i="13"/>
  <c r="J112" i="13"/>
  <c r="E112" i="13"/>
  <c r="M111" i="13"/>
  <c r="L111" i="13"/>
  <c r="K111" i="13"/>
  <c r="J111" i="13"/>
  <c r="E111" i="13"/>
  <c r="M110" i="13"/>
  <c r="L110" i="13"/>
  <c r="J110" i="13"/>
  <c r="E110" i="13"/>
  <c r="M109" i="13"/>
  <c r="K110" i="13" s="1"/>
  <c r="L109" i="13"/>
  <c r="J109" i="13"/>
  <c r="E109" i="13"/>
  <c r="M108" i="13"/>
  <c r="L108" i="13"/>
  <c r="K109" i="13" s="1"/>
  <c r="K108" i="13"/>
  <c r="J108" i="13"/>
  <c r="E108" i="13"/>
  <c r="M107" i="13"/>
  <c r="L107" i="13"/>
  <c r="K107" i="13"/>
  <c r="J107" i="13"/>
  <c r="E107" i="13"/>
  <c r="M106" i="13"/>
  <c r="L106" i="13"/>
  <c r="J106" i="13"/>
  <c r="E106" i="13"/>
  <c r="M105" i="13"/>
  <c r="K106" i="13" s="1"/>
  <c r="L105" i="13"/>
  <c r="J105" i="13"/>
  <c r="E105" i="13"/>
  <c r="M104" i="13"/>
  <c r="L104" i="13"/>
  <c r="K105" i="13" s="1"/>
  <c r="K104" i="13"/>
  <c r="J104" i="13"/>
  <c r="E104" i="13"/>
  <c r="M103" i="13"/>
  <c r="L103" i="13"/>
  <c r="K103" i="13"/>
  <c r="J103" i="13"/>
  <c r="E103" i="13"/>
  <c r="M102" i="13"/>
  <c r="L102" i="13"/>
  <c r="J102" i="13"/>
  <c r="E102" i="13"/>
  <c r="M101" i="13"/>
  <c r="K102" i="13" s="1"/>
  <c r="L101" i="13"/>
  <c r="J101" i="13"/>
  <c r="E101" i="13"/>
  <c r="M100" i="13"/>
  <c r="L100" i="13"/>
  <c r="K101" i="13" s="1"/>
  <c r="K100" i="13"/>
  <c r="J100" i="13"/>
  <c r="E100" i="13"/>
  <c r="M99" i="13"/>
  <c r="L99" i="13"/>
  <c r="K99" i="13"/>
  <c r="J99" i="13"/>
  <c r="E99" i="13"/>
  <c r="M98" i="13"/>
  <c r="L98" i="13"/>
  <c r="J98" i="13"/>
  <c r="E98" i="13"/>
  <c r="M97" i="13"/>
  <c r="K98" i="13" s="1"/>
  <c r="L97" i="13"/>
  <c r="J97" i="13"/>
  <c r="E97" i="13"/>
  <c r="M96" i="13"/>
  <c r="L96" i="13"/>
  <c r="K97" i="13" s="1"/>
  <c r="K96" i="13"/>
  <c r="J96" i="13"/>
  <c r="E96" i="13"/>
  <c r="M95" i="13"/>
  <c r="L95" i="13"/>
  <c r="K95" i="13"/>
  <c r="J95" i="13"/>
  <c r="E95" i="13"/>
  <c r="M94" i="13"/>
  <c r="L94" i="13"/>
  <c r="J94" i="13"/>
  <c r="E94" i="13"/>
  <c r="M93" i="13"/>
  <c r="K94" i="13" s="1"/>
  <c r="L93" i="13"/>
  <c r="J93" i="13"/>
  <c r="E93" i="13"/>
  <c r="M92" i="13"/>
  <c r="L92" i="13"/>
  <c r="K93" i="13" s="1"/>
  <c r="K92" i="13"/>
  <c r="J92" i="13"/>
  <c r="E92" i="13"/>
  <c r="M91" i="13"/>
  <c r="L91" i="13"/>
  <c r="K91" i="13"/>
  <c r="J91" i="13"/>
  <c r="E91" i="13"/>
  <c r="M90" i="13"/>
  <c r="L90" i="13"/>
  <c r="J90" i="13"/>
  <c r="E90" i="13"/>
  <c r="M89" i="13"/>
  <c r="K90" i="13" s="1"/>
  <c r="L89" i="13"/>
  <c r="J89" i="13"/>
  <c r="E89" i="13"/>
  <c r="M88" i="13"/>
  <c r="L88" i="13"/>
  <c r="K89" i="13" s="1"/>
  <c r="K88" i="13"/>
  <c r="J88" i="13"/>
  <c r="E88" i="13"/>
  <c r="M87" i="13"/>
  <c r="L87" i="13"/>
  <c r="K87" i="13"/>
  <c r="J87" i="13"/>
  <c r="E87" i="13"/>
  <c r="M86" i="13"/>
  <c r="L86" i="13"/>
  <c r="J86" i="13"/>
  <c r="E86" i="13"/>
  <c r="M85" i="13"/>
  <c r="K86" i="13" s="1"/>
  <c r="L85" i="13"/>
  <c r="J85" i="13"/>
  <c r="E85" i="13"/>
  <c r="M84" i="13"/>
  <c r="L84" i="13"/>
  <c r="K85" i="13" s="1"/>
  <c r="K84" i="13"/>
  <c r="J84" i="13"/>
  <c r="E84" i="13"/>
  <c r="M83" i="13"/>
  <c r="L83" i="13"/>
  <c r="K83" i="13"/>
  <c r="J83" i="13"/>
  <c r="E83" i="13"/>
  <c r="M82" i="13"/>
  <c r="L82" i="13"/>
  <c r="J82" i="13"/>
  <c r="E82" i="13"/>
  <c r="M81" i="13"/>
  <c r="K82" i="13" s="1"/>
  <c r="L81" i="13"/>
  <c r="J81" i="13"/>
  <c r="E81" i="13"/>
  <c r="M80" i="13"/>
  <c r="L80" i="13"/>
  <c r="K81" i="13" s="1"/>
  <c r="K80" i="13"/>
  <c r="J80" i="13"/>
  <c r="E80" i="13"/>
  <c r="M79" i="13"/>
  <c r="L79" i="13"/>
  <c r="K79" i="13"/>
  <c r="J79" i="13"/>
  <c r="E79" i="13"/>
  <c r="M78" i="13"/>
  <c r="L78" i="13"/>
  <c r="J78" i="13"/>
  <c r="E78" i="13"/>
  <c r="M77" i="13"/>
  <c r="K78" i="13" s="1"/>
  <c r="L77" i="13"/>
  <c r="J77" i="13"/>
  <c r="E77" i="13"/>
  <c r="M76" i="13"/>
  <c r="L76" i="13"/>
  <c r="K77" i="13" s="1"/>
  <c r="K76" i="13"/>
  <c r="J76" i="13"/>
  <c r="E76" i="13"/>
  <c r="M75" i="13"/>
  <c r="L75" i="13"/>
  <c r="K75" i="13"/>
  <c r="J75" i="13"/>
  <c r="E75" i="13"/>
  <c r="M74" i="13"/>
  <c r="L74" i="13"/>
  <c r="J74" i="13"/>
  <c r="E74" i="13"/>
  <c r="M73" i="13"/>
  <c r="K74" i="13" s="1"/>
  <c r="L73" i="13"/>
  <c r="J73" i="13"/>
  <c r="E73" i="13"/>
  <c r="M72" i="13"/>
  <c r="L72" i="13"/>
  <c r="K73" i="13" s="1"/>
  <c r="K72" i="13"/>
  <c r="J72" i="13"/>
  <c r="E72" i="13"/>
  <c r="M71" i="13"/>
  <c r="L71" i="13"/>
  <c r="K71" i="13"/>
  <c r="J71" i="13"/>
  <c r="E71" i="13"/>
  <c r="M70" i="13"/>
  <c r="L70" i="13"/>
  <c r="J70" i="13"/>
  <c r="E70" i="13"/>
  <c r="M69" i="13"/>
  <c r="K70" i="13" s="1"/>
  <c r="L69" i="13"/>
  <c r="J69" i="13"/>
  <c r="E69" i="13"/>
  <c r="M68" i="13"/>
  <c r="L68" i="13"/>
  <c r="K69" i="13" s="1"/>
  <c r="K68" i="13"/>
  <c r="J68" i="13"/>
  <c r="E68" i="13"/>
  <c r="M67" i="13"/>
  <c r="L67" i="13"/>
  <c r="K67" i="13"/>
  <c r="J67" i="13"/>
  <c r="H67" i="13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H93" i="13" s="1"/>
  <c r="H94" i="13" s="1"/>
  <c r="H95" i="13" s="1"/>
  <c r="H96" i="13" s="1"/>
  <c r="H97" i="13" s="1"/>
  <c r="H98" i="13" s="1"/>
  <c r="H99" i="13" s="1"/>
  <c r="H100" i="13" s="1"/>
  <c r="H101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H132" i="13" s="1"/>
  <c r="H133" i="13" s="1"/>
  <c r="H134" i="13" s="1"/>
  <c r="H135" i="13" s="1"/>
  <c r="H136" i="13" s="1"/>
  <c r="H137" i="13" s="1"/>
  <c r="H138" i="13" s="1"/>
  <c r="H139" i="13" s="1"/>
  <c r="H140" i="13" s="1"/>
  <c r="H141" i="13" s="1"/>
  <c r="H142" i="13" s="1"/>
  <c r="H143" i="13" s="1"/>
  <c r="H144" i="13" s="1"/>
  <c r="H145" i="13" s="1"/>
  <c r="H146" i="13" s="1"/>
  <c r="H147" i="13" s="1"/>
  <c r="H148" i="13" s="1"/>
  <c r="H149" i="13" s="1"/>
  <c r="H150" i="13" s="1"/>
  <c r="H151" i="13" s="1"/>
  <c r="H152" i="13" s="1"/>
  <c r="H153" i="13" s="1"/>
  <c r="H154" i="13" s="1"/>
  <c r="H155" i="13" s="1"/>
  <c r="H156" i="13" s="1"/>
  <c r="H157" i="13" s="1"/>
  <c r="H158" i="13" s="1"/>
  <c r="H159" i="13" s="1"/>
  <c r="H160" i="13" s="1"/>
  <c r="H161" i="13" s="1"/>
  <c r="H162" i="13" s="1"/>
  <c r="H163" i="13" s="1"/>
  <c r="H164" i="13" s="1"/>
  <c r="H165" i="13" s="1"/>
  <c r="H166" i="13" s="1"/>
  <c r="H167" i="13" s="1"/>
  <c r="H168" i="13" s="1"/>
  <c r="H169" i="13" s="1"/>
  <c r="H170" i="13" s="1"/>
  <c r="H171" i="13" s="1"/>
  <c r="H172" i="13" s="1"/>
  <c r="H173" i="13" s="1"/>
  <c r="H174" i="13" s="1"/>
  <c r="H175" i="13" s="1"/>
  <c r="H176" i="13" s="1"/>
  <c r="H177" i="13" s="1"/>
  <c r="H178" i="13" s="1"/>
  <c r="H179" i="13" s="1"/>
  <c r="H180" i="13" s="1"/>
  <c r="H181" i="13" s="1"/>
  <c r="H182" i="13" s="1"/>
  <c r="H183" i="13" s="1"/>
  <c r="H184" i="13" s="1"/>
  <c r="H185" i="13" s="1"/>
  <c r="H186" i="13" s="1"/>
  <c r="H187" i="13" s="1"/>
  <c r="H188" i="13" s="1"/>
  <c r="H189" i="13" s="1"/>
  <c r="H190" i="13" s="1"/>
  <c r="H191" i="13" s="1"/>
  <c r="H192" i="13" s="1"/>
  <c r="H193" i="13" s="1"/>
  <c r="H194" i="13" s="1"/>
  <c r="H195" i="13" s="1"/>
  <c r="H196" i="13" s="1"/>
  <c r="H197" i="13" s="1"/>
  <c r="H198" i="13" s="1"/>
  <c r="H199" i="13" s="1"/>
  <c r="H200" i="13" s="1"/>
  <c r="H201" i="13" s="1"/>
  <c r="H202" i="13" s="1"/>
  <c r="H203" i="13" s="1"/>
  <c r="H204" i="13" s="1"/>
  <c r="H205" i="13" s="1"/>
  <c r="H206" i="13" s="1"/>
  <c r="E67" i="13"/>
  <c r="M66" i="13"/>
  <c r="L66" i="13"/>
  <c r="J66" i="13"/>
  <c r="H66" i="13"/>
  <c r="E66" i="13"/>
  <c r="M65" i="13"/>
  <c r="K66" i="13" s="1"/>
  <c r="L65" i="13"/>
  <c r="J65" i="13"/>
  <c r="H65" i="13"/>
  <c r="E65" i="13"/>
  <c r="M64" i="13"/>
  <c r="L64" i="13"/>
  <c r="K65" i="13" s="1"/>
  <c r="K64" i="13"/>
  <c r="E64" i="13"/>
  <c r="M63" i="13"/>
  <c r="L63" i="13"/>
  <c r="J63" i="13"/>
  <c r="E63" i="13"/>
  <c r="M62" i="13"/>
  <c r="K63" i="13" s="1"/>
  <c r="L62" i="13"/>
  <c r="J62" i="13"/>
  <c r="E62" i="13"/>
  <c r="M61" i="13"/>
  <c r="L61" i="13"/>
  <c r="K62" i="13" s="1"/>
  <c r="K61" i="13"/>
  <c r="J61" i="13"/>
  <c r="E61" i="13"/>
  <c r="M60" i="13"/>
  <c r="L60" i="13"/>
  <c r="K60" i="13"/>
  <c r="J60" i="13"/>
  <c r="H60" i="13"/>
  <c r="H61" i="13" s="1"/>
  <c r="H62" i="13" s="1"/>
  <c r="H63" i="13" s="1"/>
  <c r="E60" i="13"/>
  <c r="M59" i="13"/>
  <c r="L59" i="13"/>
  <c r="J59" i="13"/>
  <c r="H59" i="13"/>
  <c r="E59" i="13"/>
  <c r="M58" i="13"/>
  <c r="K59" i="13" s="1"/>
  <c r="L58" i="13"/>
  <c r="J58" i="13"/>
  <c r="H58" i="13"/>
  <c r="E58" i="13"/>
  <c r="M57" i="13"/>
  <c r="L57" i="13"/>
  <c r="K58" i="13" s="1"/>
  <c r="K57" i="13"/>
  <c r="J57" i="13"/>
  <c r="H57" i="13"/>
  <c r="E57" i="13"/>
  <c r="M56" i="13"/>
  <c r="L56" i="13"/>
  <c r="E56" i="13"/>
  <c r="M55" i="13"/>
  <c r="K56" i="13" s="1"/>
  <c r="L55" i="13"/>
  <c r="J55" i="13"/>
  <c r="E55" i="13"/>
  <c r="M54" i="13"/>
  <c r="L54" i="13"/>
  <c r="K55" i="13" s="1"/>
  <c r="K54" i="13"/>
  <c r="J54" i="13"/>
  <c r="E54" i="13"/>
  <c r="M53" i="13"/>
  <c r="L53" i="13"/>
  <c r="K53" i="13"/>
  <c r="J53" i="13"/>
  <c r="E53" i="13"/>
  <c r="M52" i="13"/>
  <c r="L52" i="13"/>
  <c r="J52" i="13"/>
  <c r="E52" i="13"/>
  <c r="M51" i="13"/>
  <c r="K52" i="13" s="1"/>
  <c r="L51" i="13"/>
  <c r="J51" i="13"/>
  <c r="E51" i="13"/>
  <c r="M50" i="13"/>
  <c r="L50" i="13"/>
  <c r="K51" i="13" s="1"/>
  <c r="K50" i="13"/>
  <c r="J50" i="13"/>
  <c r="E50" i="13"/>
  <c r="M49" i="13"/>
  <c r="L49" i="13"/>
  <c r="K49" i="13"/>
  <c r="H49" i="13"/>
  <c r="H50" i="13" s="1"/>
  <c r="H51" i="13" s="1"/>
  <c r="H52" i="13" s="1"/>
  <c r="H53" i="13" s="1"/>
  <c r="H54" i="13" s="1"/>
  <c r="H55" i="13" s="1"/>
  <c r="E49" i="13"/>
  <c r="M48" i="13"/>
  <c r="L48" i="13"/>
  <c r="J48" i="13"/>
  <c r="E48" i="13"/>
  <c r="M47" i="13"/>
  <c r="L47" i="13"/>
  <c r="K48" i="13" s="1"/>
  <c r="K47" i="13"/>
  <c r="J47" i="13"/>
  <c r="E47" i="13"/>
  <c r="M46" i="13"/>
  <c r="L46" i="13"/>
  <c r="K46" i="13"/>
  <c r="J46" i="13"/>
  <c r="E46" i="13"/>
  <c r="M45" i="13"/>
  <c r="L45" i="13"/>
  <c r="J45" i="13"/>
  <c r="E45" i="13"/>
  <c r="M44" i="13"/>
  <c r="K45" i="13" s="1"/>
  <c r="L44" i="13"/>
  <c r="J44" i="13"/>
  <c r="E44" i="13"/>
  <c r="R43" i="13"/>
  <c r="M43" i="13"/>
  <c r="L43" i="13"/>
  <c r="K44" i="13" s="1"/>
  <c r="J43" i="13"/>
  <c r="E43" i="13"/>
  <c r="M42" i="13"/>
  <c r="L42" i="13"/>
  <c r="J42" i="13"/>
  <c r="E42" i="13"/>
  <c r="M41" i="13"/>
  <c r="L41" i="13"/>
  <c r="K42" i="13" s="1"/>
  <c r="J41" i="13"/>
  <c r="E41" i="13"/>
  <c r="M40" i="13"/>
  <c r="L40" i="13"/>
  <c r="K41" i="13" s="1"/>
  <c r="J40" i="13"/>
  <c r="E40" i="13"/>
  <c r="M39" i="13"/>
  <c r="L39" i="13"/>
  <c r="J39" i="13"/>
  <c r="E39" i="13"/>
  <c r="M38" i="13"/>
  <c r="L38" i="13"/>
  <c r="K39" i="13" s="1"/>
  <c r="K38" i="13"/>
  <c r="J38" i="13"/>
  <c r="E38" i="13"/>
  <c r="M37" i="13"/>
  <c r="L37" i="13"/>
  <c r="K37" i="13"/>
  <c r="J37" i="13"/>
  <c r="E37" i="13"/>
  <c r="M36" i="13"/>
  <c r="L36" i="13"/>
  <c r="J36" i="13"/>
  <c r="E36" i="13"/>
  <c r="M35" i="13"/>
  <c r="L35" i="13"/>
  <c r="K36" i="13" s="1"/>
  <c r="J35" i="13"/>
  <c r="E35" i="13"/>
  <c r="M34" i="13"/>
  <c r="L34" i="13"/>
  <c r="J34" i="13"/>
  <c r="E34" i="13"/>
  <c r="M33" i="13"/>
  <c r="L33" i="13"/>
  <c r="K34" i="13" s="1"/>
  <c r="J33" i="13"/>
  <c r="E33" i="13"/>
  <c r="M32" i="13"/>
  <c r="L32" i="13"/>
  <c r="K33" i="13" s="1"/>
  <c r="J32" i="13"/>
  <c r="H32" i="13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E32" i="13"/>
  <c r="M31" i="13"/>
  <c r="L31" i="13"/>
  <c r="J31" i="13"/>
  <c r="E31" i="13"/>
  <c r="M30" i="13"/>
  <c r="L30" i="13"/>
  <c r="K31" i="13" s="1"/>
  <c r="J30" i="13"/>
  <c r="E30" i="13"/>
  <c r="M29" i="13"/>
  <c r="L29" i="13"/>
  <c r="K30" i="13" s="1"/>
  <c r="K29" i="13"/>
  <c r="J29" i="13"/>
  <c r="E29" i="13"/>
  <c r="M28" i="13"/>
  <c r="L28" i="13"/>
  <c r="J28" i="13"/>
  <c r="E28" i="13"/>
  <c r="M27" i="13"/>
  <c r="L27" i="13"/>
  <c r="J27" i="13"/>
  <c r="E27" i="13"/>
  <c r="M26" i="13"/>
  <c r="L26" i="13"/>
  <c r="K27" i="13" s="1"/>
  <c r="K26" i="13"/>
  <c r="J26" i="13"/>
  <c r="E26" i="13"/>
  <c r="M25" i="13"/>
  <c r="L25" i="13"/>
  <c r="K25" i="13"/>
  <c r="J25" i="13"/>
  <c r="E25" i="13"/>
  <c r="M24" i="13"/>
  <c r="L24" i="13"/>
  <c r="J24" i="13"/>
  <c r="E24" i="13"/>
  <c r="M23" i="13"/>
  <c r="L23" i="13"/>
  <c r="K24" i="13" s="1"/>
  <c r="K23" i="13"/>
  <c r="J23" i="13"/>
  <c r="E23" i="13"/>
  <c r="M22" i="13"/>
  <c r="L22" i="13"/>
  <c r="K22" i="13"/>
  <c r="J22" i="13"/>
  <c r="E22" i="13"/>
  <c r="M21" i="13"/>
  <c r="L21" i="13"/>
  <c r="J21" i="13"/>
  <c r="E21" i="13"/>
  <c r="M20" i="13"/>
  <c r="L20" i="13"/>
  <c r="K21" i="13" s="1"/>
  <c r="J20" i="13"/>
  <c r="E20" i="13"/>
  <c r="M19" i="13"/>
  <c r="L19" i="13"/>
  <c r="K20" i="13" s="1"/>
  <c r="K19" i="13"/>
  <c r="J19" i="13"/>
  <c r="E19" i="13"/>
  <c r="M18" i="13"/>
  <c r="L18" i="13"/>
  <c r="J18" i="13"/>
  <c r="E18" i="13"/>
  <c r="M17" i="13"/>
  <c r="L17" i="13"/>
  <c r="K18" i="13" s="1"/>
  <c r="J17" i="13"/>
  <c r="E17" i="13"/>
  <c r="M16" i="13"/>
  <c r="L16" i="13"/>
  <c r="K17" i="13" s="1"/>
  <c r="J16" i="13"/>
  <c r="H16" i="13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E16" i="13"/>
  <c r="M15" i="13"/>
  <c r="L15" i="13"/>
  <c r="J15" i="13"/>
  <c r="E15" i="13"/>
  <c r="M14" i="13"/>
  <c r="L14" i="13"/>
  <c r="K15" i="13" s="1"/>
  <c r="J14" i="13"/>
  <c r="E14" i="13"/>
  <c r="M13" i="13"/>
  <c r="L13" i="13"/>
  <c r="K14" i="13" s="1"/>
  <c r="K13" i="13"/>
  <c r="J13" i="13"/>
  <c r="E13" i="13"/>
  <c r="M12" i="13"/>
  <c r="L12" i="13"/>
  <c r="J12" i="13"/>
  <c r="E12" i="13"/>
  <c r="M11" i="13"/>
  <c r="L11" i="13"/>
  <c r="J11" i="13"/>
  <c r="E11" i="13"/>
  <c r="M10" i="13"/>
  <c r="L10" i="13"/>
  <c r="K11" i="13" s="1"/>
  <c r="K10" i="13"/>
  <c r="J10" i="13"/>
  <c r="E10" i="13"/>
  <c r="M9" i="13"/>
  <c r="L9" i="13"/>
  <c r="K9" i="13"/>
  <c r="J9" i="13"/>
  <c r="E9" i="13"/>
  <c r="M8" i="13"/>
  <c r="L8" i="13"/>
  <c r="J8" i="13"/>
  <c r="E8" i="13"/>
  <c r="M7" i="13"/>
  <c r="L7" i="13"/>
  <c r="K8" i="13" s="1"/>
  <c r="K7" i="13"/>
  <c r="J7" i="13"/>
  <c r="E7" i="13"/>
  <c r="M6" i="13"/>
  <c r="L6" i="13"/>
  <c r="K6" i="13"/>
  <c r="J6" i="13"/>
  <c r="H6" i="13"/>
  <c r="H7" i="13" s="1"/>
  <c r="H8" i="13" s="1"/>
  <c r="H9" i="13" s="1"/>
  <c r="H10" i="13" s="1"/>
  <c r="H11" i="13" s="1"/>
  <c r="H12" i="13" s="1"/>
  <c r="H13" i="13" s="1"/>
  <c r="H14" i="13" s="1"/>
  <c r="H15" i="13" s="1"/>
  <c r="E6" i="13"/>
  <c r="M5" i="13"/>
  <c r="L5" i="13"/>
  <c r="J5" i="13"/>
  <c r="E5" i="1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J206" i="3"/>
  <c r="E206" i="3"/>
  <c r="M205" i="3"/>
  <c r="J205" i="3"/>
  <c r="E205" i="3"/>
  <c r="M204" i="3"/>
  <c r="J204" i="3"/>
  <c r="E204" i="3"/>
  <c r="M203" i="3"/>
  <c r="J203" i="3"/>
  <c r="E203" i="3"/>
  <c r="M202" i="3"/>
  <c r="J202" i="3"/>
  <c r="E202" i="3"/>
  <c r="M201" i="3"/>
  <c r="J201" i="3"/>
  <c r="E201" i="3"/>
  <c r="N200" i="3"/>
  <c r="M200" i="3"/>
  <c r="J200" i="3"/>
  <c r="E200" i="3"/>
  <c r="N199" i="3"/>
  <c r="M199" i="3"/>
  <c r="J199" i="3"/>
  <c r="E199" i="3"/>
  <c r="N198" i="3"/>
  <c r="M198" i="3"/>
  <c r="J198" i="3"/>
  <c r="E198" i="3"/>
  <c r="N197" i="3"/>
  <c r="M197" i="3"/>
  <c r="J197" i="3"/>
  <c r="E197" i="3"/>
  <c r="N196" i="3"/>
  <c r="M196" i="3"/>
  <c r="J196" i="3"/>
  <c r="E196" i="3"/>
  <c r="N195" i="3"/>
  <c r="M195" i="3"/>
  <c r="J195" i="3"/>
  <c r="E195" i="3"/>
  <c r="N194" i="3"/>
  <c r="M194" i="3"/>
  <c r="J194" i="3"/>
  <c r="E194" i="3"/>
  <c r="N193" i="3"/>
  <c r="M193" i="3"/>
  <c r="J193" i="3"/>
  <c r="E193" i="3"/>
  <c r="N192" i="3"/>
  <c r="M192" i="3"/>
  <c r="J192" i="3"/>
  <c r="E192" i="3"/>
  <c r="N191" i="3"/>
  <c r="M191" i="3"/>
  <c r="J191" i="3"/>
  <c r="E191" i="3"/>
  <c r="N190" i="3"/>
  <c r="M190" i="3"/>
  <c r="J190" i="3"/>
  <c r="E190" i="3"/>
  <c r="N189" i="3"/>
  <c r="M189" i="3"/>
  <c r="J189" i="3"/>
  <c r="E189" i="3"/>
  <c r="N188" i="3"/>
  <c r="M188" i="3"/>
  <c r="J188" i="3"/>
  <c r="E188" i="3"/>
  <c r="N187" i="3"/>
  <c r="M187" i="3"/>
  <c r="J187" i="3"/>
  <c r="E187" i="3"/>
  <c r="N186" i="3"/>
  <c r="M186" i="3"/>
  <c r="J186" i="3"/>
  <c r="E186" i="3"/>
  <c r="N185" i="3"/>
  <c r="M185" i="3"/>
  <c r="J185" i="3"/>
  <c r="E185" i="3"/>
  <c r="N184" i="3"/>
  <c r="M184" i="3"/>
  <c r="J184" i="3"/>
  <c r="E184" i="3"/>
  <c r="N183" i="3"/>
  <c r="M183" i="3"/>
  <c r="J183" i="3"/>
  <c r="E183" i="3"/>
  <c r="N182" i="3"/>
  <c r="M182" i="3"/>
  <c r="J182" i="3"/>
  <c r="E182" i="3"/>
  <c r="N181" i="3"/>
  <c r="M181" i="3"/>
  <c r="J181" i="3"/>
  <c r="E181" i="3"/>
  <c r="N180" i="3"/>
  <c r="M180" i="3"/>
  <c r="J180" i="3"/>
  <c r="E180" i="3"/>
  <c r="N179" i="3"/>
  <c r="M179" i="3"/>
  <c r="J179" i="3"/>
  <c r="E179" i="3"/>
  <c r="N178" i="3"/>
  <c r="M178" i="3"/>
  <c r="J178" i="3"/>
  <c r="E178" i="3"/>
  <c r="N177" i="3"/>
  <c r="M177" i="3"/>
  <c r="J177" i="3"/>
  <c r="E177" i="3"/>
  <c r="N176" i="3"/>
  <c r="M176" i="3"/>
  <c r="J176" i="3"/>
  <c r="E176" i="3"/>
  <c r="N175" i="3"/>
  <c r="M175" i="3"/>
  <c r="J175" i="3"/>
  <c r="E175" i="3"/>
  <c r="N174" i="3"/>
  <c r="M174" i="3"/>
  <c r="J174" i="3"/>
  <c r="E174" i="3"/>
  <c r="N173" i="3"/>
  <c r="M173" i="3"/>
  <c r="J173" i="3"/>
  <c r="E173" i="3"/>
  <c r="N172" i="3"/>
  <c r="M172" i="3"/>
  <c r="J172" i="3"/>
  <c r="E172" i="3"/>
  <c r="N171" i="3"/>
  <c r="M171" i="3"/>
  <c r="J171" i="3"/>
  <c r="E171" i="3"/>
  <c r="N170" i="3"/>
  <c r="M170" i="3"/>
  <c r="J170" i="3"/>
  <c r="E170" i="3"/>
  <c r="N169" i="3"/>
  <c r="M169" i="3"/>
  <c r="J169" i="3"/>
  <c r="E169" i="3"/>
  <c r="N168" i="3"/>
  <c r="M168" i="3"/>
  <c r="J168" i="3"/>
  <c r="E168" i="3"/>
  <c r="N167" i="3"/>
  <c r="M167" i="3"/>
  <c r="J167" i="3"/>
  <c r="E167" i="3"/>
  <c r="N166" i="3"/>
  <c r="M166" i="3"/>
  <c r="J166" i="3"/>
  <c r="E166" i="3"/>
  <c r="N165" i="3"/>
  <c r="M165" i="3"/>
  <c r="J165" i="3"/>
  <c r="E165" i="3"/>
  <c r="N164" i="3"/>
  <c r="M164" i="3"/>
  <c r="J164" i="3"/>
  <c r="E164" i="3"/>
  <c r="N163" i="3"/>
  <c r="M163" i="3"/>
  <c r="J163" i="3"/>
  <c r="E163" i="3"/>
  <c r="N162" i="3"/>
  <c r="M162" i="3"/>
  <c r="J162" i="3"/>
  <c r="E162" i="3"/>
  <c r="N161" i="3"/>
  <c r="M161" i="3"/>
  <c r="J161" i="3"/>
  <c r="E161" i="3"/>
  <c r="N160" i="3"/>
  <c r="M160" i="3"/>
  <c r="J160" i="3"/>
  <c r="E160" i="3"/>
  <c r="N159" i="3"/>
  <c r="M159" i="3"/>
  <c r="J159" i="3"/>
  <c r="E159" i="3"/>
  <c r="N158" i="3"/>
  <c r="M158" i="3"/>
  <c r="J158" i="3"/>
  <c r="E158" i="3"/>
  <c r="N157" i="3"/>
  <c r="M157" i="3"/>
  <c r="J157" i="3"/>
  <c r="E157" i="3"/>
  <c r="N156" i="3"/>
  <c r="M156" i="3"/>
  <c r="J156" i="3"/>
  <c r="E156" i="3"/>
  <c r="N155" i="3"/>
  <c r="M155" i="3"/>
  <c r="J155" i="3"/>
  <c r="E155" i="3"/>
  <c r="N154" i="3"/>
  <c r="M154" i="3"/>
  <c r="J154" i="3"/>
  <c r="E154" i="3"/>
  <c r="N153" i="3"/>
  <c r="M153" i="3"/>
  <c r="J153" i="3"/>
  <c r="E153" i="3"/>
  <c r="N152" i="3"/>
  <c r="M152" i="3"/>
  <c r="J152" i="3"/>
  <c r="E152" i="3"/>
  <c r="N151" i="3"/>
  <c r="M151" i="3"/>
  <c r="J151" i="3"/>
  <c r="E151" i="3"/>
  <c r="N150" i="3"/>
  <c r="M150" i="3"/>
  <c r="J150" i="3"/>
  <c r="E150" i="3"/>
  <c r="N149" i="3"/>
  <c r="M149" i="3"/>
  <c r="J149" i="3"/>
  <c r="E149" i="3"/>
  <c r="N148" i="3"/>
  <c r="M148" i="3"/>
  <c r="J148" i="3"/>
  <c r="E148" i="3"/>
  <c r="N147" i="3"/>
  <c r="M147" i="3"/>
  <c r="J147" i="3"/>
  <c r="E147" i="3"/>
  <c r="N146" i="3"/>
  <c r="M146" i="3"/>
  <c r="J146" i="3"/>
  <c r="E146" i="3"/>
  <c r="N145" i="3"/>
  <c r="M145" i="3"/>
  <c r="J145" i="3"/>
  <c r="E145" i="3"/>
  <c r="N144" i="3"/>
  <c r="M144" i="3"/>
  <c r="J144" i="3"/>
  <c r="E144" i="3"/>
  <c r="N143" i="3"/>
  <c r="M143" i="3"/>
  <c r="J143" i="3"/>
  <c r="E143" i="3"/>
  <c r="N142" i="3"/>
  <c r="M142" i="3"/>
  <c r="J142" i="3"/>
  <c r="E142" i="3"/>
  <c r="N141" i="3"/>
  <c r="M141" i="3"/>
  <c r="J141" i="3"/>
  <c r="E141" i="3"/>
  <c r="N140" i="3"/>
  <c r="M140" i="3"/>
  <c r="J140" i="3"/>
  <c r="E140" i="3"/>
  <c r="N139" i="3"/>
  <c r="M139" i="3"/>
  <c r="J139" i="3"/>
  <c r="E139" i="3"/>
  <c r="N138" i="3"/>
  <c r="M138" i="3"/>
  <c r="J138" i="3"/>
  <c r="E138" i="3"/>
  <c r="N137" i="3"/>
  <c r="M137" i="3"/>
  <c r="J137" i="3"/>
  <c r="E137" i="3"/>
  <c r="N136" i="3"/>
  <c r="M136" i="3"/>
  <c r="J136" i="3"/>
  <c r="E136" i="3"/>
  <c r="N135" i="3"/>
  <c r="M135" i="3"/>
  <c r="J135" i="3"/>
  <c r="E135" i="3"/>
  <c r="N134" i="3"/>
  <c r="M134" i="3"/>
  <c r="J134" i="3"/>
  <c r="E134" i="3"/>
  <c r="N133" i="3"/>
  <c r="M133" i="3"/>
  <c r="J133" i="3"/>
  <c r="E133" i="3"/>
  <c r="N132" i="3"/>
  <c r="M132" i="3"/>
  <c r="J132" i="3"/>
  <c r="E132" i="3"/>
  <c r="N131" i="3"/>
  <c r="M131" i="3"/>
  <c r="J131" i="3"/>
  <c r="E131" i="3"/>
  <c r="N130" i="3"/>
  <c r="M130" i="3"/>
  <c r="J130" i="3"/>
  <c r="E130" i="3"/>
  <c r="N129" i="3"/>
  <c r="M129" i="3"/>
  <c r="J129" i="3"/>
  <c r="E129" i="3"/>
  <c r="N128" i="3"/>
  <c r="M128" i="3"/>
  <c r="J128" i="3"/>
  <c r="E128" i="3"/>
  <c r="N127" i="3"/>
  <c r="M127" i="3"/>
  <c r="J127" i="3"/>
  <c r="E127" i="3"/>
  <c r="N126" i="3"/>
  <c r="M126" i="3"/>
  <c r="J126" i="3"/>
  <c r="E126" i="3"/>
  <c r="N125" i="3"/>
  <c r="M125" i="3"/>
  <c r="J125" i="3"/>
  <c r="E125" i="3"/>
  <c r="N124" i="3"/>
  <c r="M124" i="3"/>
  <c r="J124" i="3"/>
  <c r="E124" i="3"/>
  <c r="N123" i="3"/>
  <c r="M123" i="3"/>
  <c r="J123" i="3"/>
  <c r="E123" i="3"/>
  <c r="N122" i="3"/>
  <c r="M122" i="3"/>
  <c r="J122" i="3"/>
  <c r="E122" i="3"/>
  <c r="N121" i="3"/>
  <c r="M121" i="3"/>
  <c r="J121" i="3"/>
  <c r="E121" i="3"/>
  <c r="N120" i="3"/>
  <c r="M120" i="3"/>
  <c r="J120" i="3"/>
  <c r="E120" i="3"/>
  <c r="N119" i="3"/>
  <c r="M119" i="3"/>
  <c r="J119" i="3"/>
  <c r="E119" i="3"/>
  <c r="N118" i="3"/>
  <c r="M118" i="3"/>
  <c r="J118" i="3"/>
  <c r="E118" i="3"/>
  <c r="N117" i="3"/>
  <c r="M117" i="3"/>
  <c r="J117" i="3"/>
  <c r="E117" i="3"/>
  <c r="N116" i="3"/>
  <c r="M116" i="3"/>
  <c r="J116" i="3"/>
  <c r="E116" i="3"/>
  <c r="N115" i="3"/>
  <c r="M115" i="3"/>
  <c r="J115" i="3"/>
  <c r="E115" i="3"/>
  <c r="N114" i="3"/>
  <c r="M114" i="3"/>
  <c r="J114" i="3"/>
  <c r="E114" i="3"/>
  <c r="N113" i="3"/>
  <c r="M113" i="3"/>
  <c r="J113" i="3"/>
  <c r="E113" i="3"/>
  <c r="N112" i="3"/>
  <c r="M112" i="3"/>
  <c r="J112" i="3"/>
  <c r="E112" i="3"/>
  <c r="N111" i="3"/>
  <c r="M111" i="3"/>
  <c r="J111" i="3"/>
  <c r="E111" i="3"/>
  <c r="N110" i="3"/>
  <c r="M110" i="3"/>
  <c r="J110" i="3"/>
  <c r="E110" i="3"/>
  <c r="N109" i="3"/>
  <c r="M109" i="3"/>
  <c r="J109" i="3"/>
  <c r="E109" i="3"/>
  <c r="N108" i="3"/>
  <c r="M108" i="3"/>
  <c r="J108" i="3"/>
  <c r="E108" i="3"/>
  <c r="N107" i="3"/>
  <c r="M107" i="3"/>
  <c r="J107" i="3"/>
  <c r="E107" i="3"/>
  <c r="N106" i="3"/>
  <c r="M106" i="3"/>
  <c r="J106" i="3"/>
  <c r="E106" i="3"/>
  <c r="N105" i="3"/>
  <c r="M105" i="3"/>
  <c r="J105" i="3"/>
  <c r="E105" i="3"/>
  <c r="N104" i="3"/>
  <c r="M104" i="3"/>
  <c r="J104" i="3"/>
  <c r="E104" i="3"/>
  <c r="N103" i="3"/>
  <c r="M103" i="3"/>
  <c r="J103" i="3"/>
  <c r="E103" i="3"/>
  <c r="N102" i="3"/>
  <c r="M102" i="3"/>
  <c r="J102" i="3"/>
  <c r="E102" i="3"/>
  <c r="N101" i="3"/>
  <c r="M101" i="3"/>
  <c r="J101" i="3"/>
  <c r="E101" i="3"/>
  <c r="N100" i="3"/>
  <c r="M100" i="3"/>
  <c r="J100" i="3"/>
  <c r="E100" i="3"/>
  <c r="N99" i="3"/>
  <c r="M99" i="3"/>
  <c r="J99" i="3"/>
  <c r="E99" i="3"/>
  <c r="N98" i="3"/>
  <c r="M98" i="3"/>
  <c r="J98" i="3"/>
  <c r="E98" i="3"/>
  <c r="N97" i="3"/>
  <c r="M97" i="3"/>
  <c r="J97" i="3"/>
  <c r="E97" i="3"/>
  <c r="N96" i="3"/>
  <c r="M96" i="3"/>
  <c r="J96" i="3"/>
  <c r="E96" i="3"/>
  <c r="N95" i="3"/>
  <c r="M95" i="3"/>
  <c r="J95" i="3"/>
  <c r="E95" i="3"/>
  <c r="N94" i="3"/>
  <c r="M94" i="3"/>
  <c r="J94" i="3"/>
  <c r="E94" i="3"/>
  <c r="N93" i="3"/>
  <c r="M93" i="3"/>
  <c r="J93" i="3"/>
  <c r="E93" i="3"/>
  <c r="N92" i="3"/>
  <c r="M92" i="3"/>
  <c r="J92" i="3"/>
  <c r="E92" i="3"/>
  <c r="N91" i="3"/>
  <c r="M91" i="3"/>
  <c r="J91" i="3"/>
  <c r="E91" i="3"/>
  <c r="N90" i="3"/>
  <c r="M90" i="3"/>
  <c r="J90" i="3"/>
  <c r="E90" i="3"/>
  <c r="N89" i="3"/>
  <c r="M89" i="3"/>
  <c r="J89" i="3"/>
  <c r="E89" i="3"/>
  <c r="N88" i="3"/>
  <c r="M88" i="3"/>
  <c r="J88" i="3"/>
  <c r="E88" i="3"/>
  <c r="N87" i="3"/>
  <c r="M87" i="3"/>
  <c r="J87" i="3"/>
  <c r="E87" i="3"/>
  <c r="N86" i="3"/>
  <c r="M86" i="3"/>
  <c r="J86" i="3"/>
  <c r="E86" i="3"/>
  <c r="N85" i="3"/>
  <c r="M85" i="3"/>
  <c r="J85" i="3"/>
  <c r="E85" i="3"/>
  <c r="N84" i="3"/>
  <c r="M84" i="3"/>
  <c r="J84" i="3"/>
  <c r="E84" i="3"/>
  <c r="N83" i="3"/>
  <c r="M83" i="3"/>
  <c r="J83" i="3"/>
  <c r="E83" i="3"/>
  <c r="N82" i="3"/>
  <c r="M82" i="3"/>
  <c r="J82" i="3"/>
  <c r="E82" i="3"/>
  <c r="N81" i="3"/>
  <c r="M81" i="3"/>
  <c r="J81" i="3"/>
  <c r="E81" i="3"/>
  <c r="N80" i="3"/>
  <c r="M80" i="3"/>
  <c r="J80" i="3"/>
  <c r="H80" i="3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E80" i="3"/>
  <c r="N79" i="3"/>
  <c r="M79" i="3"/>
  <c r="J79" i="3"/>
  <c r="E79" i="3"/>
  <c r="N78" i="3"/>
  <c r="M78" i="3"/>
  <c r="J78" i="3"/>
  <c r="E78" i="3"/>
  <c r="N77" i="3"/>
  <c r="M77" i="3"/>
  <c r="J77" i="3"/>
  <c r="E77" i="3"/>
  <c r="N76" i="3"/>
  <c r="M76" i="3"/>
  <c r="J76" i="3"/>
  <c r="E76" i="3"/>
  <c r="N75" i="3"/>
  <c r="M75" i="3"/>
  <c r="J75" i="3"/>
  <c r="H75" i="3"/>
  <c r="H76" i="3" s="1"/>
  <c r="H77" i="3" s="1"/>
  <c r="H78" i="3" s="1"/>
  <c r="H79" i="3" s="1"/>
  <c r="E75" i="3"/>
  <c r="N74" i="3"/>
  <c r="M74" i="3"/>
  <c r="J74" i="3"/>
  <c r="E74" i="3"/>
  <c r="N73" i="3"/>
  <c r="M73" i="3"/>
  <c r="J73" i="3"/>
  <c r="E73" i="3"/>
  <c r="N72" i="3"/>
  <c r="M72" i="3"/>
  <c r="J72" i="3"/>
  <c r="E72" i="3"/>
  <c r="N71" i="3"/>
  <c r="M71" i="3"/>
  <c r="J71" i="3"/>
  <c r="E71" i="3"/>
  <c r="N70" i="3"/>
  <c r="M70" i="3"/>
  <c r="J70" i="3"/>
  <c r="E70" i="3"/>
  <c r="N69" i="3"/>
  <c r="M69" i="3"/>
  <c r="J69" i="3"/>
  <c r="E69" i="3"/>
  <c r="N68" i="3"/>
  <c r="M68" i="3"/>
  <c r="J68" i="3"/>
  <c r="E68" i="3"/>
  <c r="N67" i="3"/>
  <c r="M67" i="3"/>
  <c r="J67" i="3"/>
  <c r="H67" i="3"/>
  <c r="H68" i="3" s="1"/>
  <c r="H69" i="3" s="1"/>
  <c r="H70" i="3" s="1"/>
  <c r="H71" i="3" s="1"/>
  <c r="H72" i="3" s="1"/>
  <c r="H73" i="3" s="1"/>
  <c r="H74" i="3" s="1"/>
  <c r="E67" i="3"/>
  <c r="N66" i="3"/>
  <c r="M66" i="3"/>
  <c r="J66" i="3"/>
  <c r="H66" i="3"/>
  <c r="E66" i="3"/>
  <c r="N65" i="3"/>
  <c r="M65" i="3"/>
  <c r="J65" i="3"/>
  <c r="H65" i="3"/>
  <c r="E65" i="3"/>
  <c r="N64" i="3"/>
  <c r="M64" i="3"/>
  <c r="E64" i="3"/>
  <c r="N63" i="3"/>
  <c r="M63" i="3"/>
  <c r="J63" i="3"/>
  <c r="E63" i="3"/>
  <c r="N62" i="3"/>
  <c r="M62" i="3"/>
  <c r="J62" i="3"/>
  <c r="E62" i="3"/>
  <c r="N61" i="3"/>
  <c r="M61" i="3"/>
  <c r="J61" i="3"/>
  <c r="E61" i="3"/>
  <c r="N60" i="3"/>
  <c r="M60" i="3"/>
  <c r="J60" i="3"/>
  <c r="H60" i="3"/>
  <c r="H61" i="3" s="1"/>
  <c r="H62" i="3" s="1"/>
  <c r="H63" i="3" s="1"/>
  <c r="F64" i="3" s="1"/>
  <c r="E60" i="3"/>
  <c r="N59" i="3"/>
  <c r="M59" i="3"/>
  <c r="J59" i="3"/>
  <c r="E59" i="3"/>
  <c r="N58" i="3"/>
  <c r="M58" i="3"/>
  <c r="J58" i="3"/>
  <c r="E58" i="3"/>
  <c r="N57" i="3"/>
  <c r="M57" i="3"/>
  <c r="J57" i="3"/>
  <c r="H57" i="3"/>
  <c r="H58" i="3" s="1"/>
  <c r="H59" i="3" s="1"/>
  <c r="E57" i="3"/>
  <c r="N56" i="3"/>
  <c r="M56" i="3"/>
  <c r="E56" i="3"/>
  <c r="N55" i="3"/>
  <c r="M55" i="3"/>
  <c r="J55" i="3"/>
  <c r="H55" i="3"/>
  <c r="F56" i="3" s="1"/>
  <c r="E55" i="3"/>
  <c r="N54" i="3"/>
  <c r="M54" i="3"/>
  <c r="J54" i="3"/>
  <c r="E54" i="3"/>
  <c r="N53" i="3"/>
  <c r="M53" i="3"/>
  <c r="J53" i="3"/>
  <c r="E53" i="3"/>
  <c r="N52" i="3"/>
  <c r="M52" i="3"/>
  <c r="J52" i="3"/>
  <c r="E52" i="3"/>
  <c r="N51" i="3"/>
  <c r="M51" i="3"/>
  <c r="J51" i="3"/>
  <c r="E51" i="3"/>
  <c r="N50" i="3"/>
  <c r="M50" i="3"/>
  <c r="J50" i="3"/>
  <c r="H50" i="3"/>
  <c r="H51" i="3" s="1"/>
  <c r="H52" i="3" s="1"/>
  <c r="H53" i="3" s="1"/>
  <c r="H54" i="3" s="1"/>
  <c r="E50" i="3"/>
  <c r="N49" i="3"/>
  <c r="M49" i="3"/>
  <c r="H49" i="3"/>
  <c r="E49" i="3"/>
  <c r="N48" i="3"/>
  <c r="M48" i="3"/>
  <c r="J48" i="3"/>
  <c r="E48" i="3"/>
  <c r="N47" i="3"/>
  <c r="M47" i="3"/>
  <c r="J47" i="3"/>
  <c r="E47" i="3"/>
  <c r="N46" i="3"/>
  <c r="M46" i="3"/>
  <c r="J46" i="3"/>
  <c r="E46" i="3"/>
  <c r="N45" i="3"/>
  <c r="M45" i="3"/>
  <c r="J45" i="3"/>
  <c r="E45" i="3"/>
  <c r="N44" i="3"/>
  <c r="M44" i="3"/>
  <c r="J44" i="3"/>
  <c r="E44" i="3"/>
  <c r="N43" i="3"/>
  <c r="M43" i="3"/>
  <c r="J43" i="3"/>
  <c r="E43" i="3"/>
  <c r="N42" i="3"/>
  <c r="M42" i="3"/>
  <c r="J42" i="3"/>
  <c r="E42" i="3"/>
  <c r="N41" i="3"/>
  <c r="M41" i="3"/>
  <c r="J41" i="3"/>
  <c r="E41" i="3"/>
  <c r="N40" i="3"/>
  <c r="M40" i="3"/>
  <c r="J40" i="3"/>
  <c r="E40" i="3"/>
  <c r="N39" i="3"/>
  <c r="M39" i="3"/>
  <c r="J39" i="3"/>
  <c r="E39" i="3"/>
  <c r="N38" i="3"/>
  <c r="M38" i="3"/>
  <c r="J38" i="3"/>
  <c r="E38" i="3"/>
  <c r="N37" i="3"/>
  <c r="M37" i="3"/>
  <c r="J37" i="3"/>
  <c r="E37" i="3"/>
  <c r="N36" i="3"/>
  <c r="M36" i="3"/>
  <c r="J36" i="3"/>
  <c r="E36" i="3"/>
  <c r="N35" i="3"/>
  <c r="M35" i="3"/>
  <c r="J35" i="3"/>
  <c r="H35" i="3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E35" i="3"/>
  <c r="N34" i="3"/>
  <c r="M34" i="3"/>
  <c r="J34" i="3"/>
  <c r="E34" i="3"/>
  <c r="N33" i="3"/>
  <c r="M33" i="3"/>
  <c r="J33" i="3"/>
  <c r="E33" i="3"/>
  <c r="N32" i="3"/>
  <c r="M32" i="3"/>
  <c r="J32" i="3"/>
  <c r="E32" i="3"/>
  <c r="N31" i="3"/>
  <c r="M31" i="3"/>
  <c r="J31" i="3"/>
  <c r="E31" i="3"/>
  <c r="N30" i="3"/>
  <c r="M30" i="3"/>
  <c r="J30" i="3"/>
  <c r="H30" i="3"/>
  <c r="H31" i="3" s="1"/>
  <c r="H32" i="3" s="1"/>
  <c r="H33" i="3" s="1"/>
  <c r="H34" i="3" s="1"/>
  <c r="E30" i="3"/>
  <c r="N29" i="3"/>
  <c r="M29" i="3"/>
  <c r="J29" i="3"/>
  <c r="E29" i="3"/>
  <c r="N28" i="3"/>
  <c r="M28" i="3"/>
  <c r="J28" i="3"/>
  <c r="E28" i="3"/>
  <c r="N27" i="3"/>
  <c r="M27" i="3"/>
  <c r="J27" i="3"/>
  <c r="E27" i="3"/>
  <c r="N26" i="3"/>
  <c r="M26" i="3"/>
  <c r="J26" i="3"/>
  <c r="E26" i="3"/>
  <c r="N25" i="3"/>
  <c r="M25" i="3"/>
  <c r="J25" i="3"/>
  <c r="E25" i="3"/>
  <c r="N24" i="3"/>
  <c r="M24" i="3"/>
  <c r="J24" i="3"/>
  <c r="E24" i="3"/>
  <c r="N23" i="3"/>
  <c r="M23" i="3"/>
  <c r="J23" i="3"/>
  <c r="E23" i="3"/>
  <c r="N22" i="3"/>
  <c r="M22" i="3"/>
  <c r="J22" i="3"/>
  <c r="E22" i="3"/>
  <c r="N21" i="3"/>
  <c r="M21" i="3"/>
  <c r="J21" i="3"/>
  <c r="E21" i="3"/>
  <c r="N20" i="3"/>
  <c r="M20" i="3"/>
  <c r="J20" i="3"/>
  <c r="E20" i="3"/>
  <c r="N19" i="3"/>
  <c r="M19" i="3"/>
  <c r="J19" i="3"/>
  <c r="E19" i="3"/>
  <c r="N18" i="3"/>
  <c r="M18" i="3"/>
  <c r="J18" i="3"/>
  <c r="E18" i="3"/>
  <c r="N17" i="3"/>
  <c r="M17" i="3"/>
  <c r="J17" i="3"/>
  <c r="E17" i="3"/>
  <c r="N16" i="3"/>
  <c r="M16" i="3"/>
  <c r="J16" i="3"/>
  <c r="E16" i="3"/>
  <c r="N15" i="3"/>
  <c r="M15" i="3"/>
  <c r="J15" i="3"/>
  <c r="E15" i="3"/>
  <c r="N14" i="3"/>
  <c r="M14" i="3"/>
  <c r="J14" i="3"/>
  <c r="E14" i="3"/>
  <c r="N13" i="3"/>
  <c r="M13" i="3"/>
  <c r="J13" i="3"/>
  <c r="E13" i="3"/>
  <c r="N12" i="3"/>
  <c r="M12" i="3"/>
  <c r="J12" i="3"/>
  <c r="H12" i="3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E12" i="3"/>
  <c r="N11" i="3"/>
  <c r="M11" i="3"/>
  <c r="J11" i="3"/>
  <c r="E11" i="3"/>
  <c r="N10" i="3"/>
  <c r="M10" i="3"/>
  <c r="J10" i="3"/>
  <c r="E10" i="3"/>
  <c r="N9" i="3"/>
  <c r="M9" i="3"/>
  <c r="J9" i="3"/>
  <c r="E9" i="3"/>
  <c r="N8" i="3"/>
  <c r="M8" i="3"/>
  <c r="J8" i="3"/>
  <c r="E8" i="3"/>
  <c r="N7" i="3"/>
  <c r="M7" i="3"/>
  <c r="J7" i="3"/>
  <c r="H7" i="3"/>
  <c r="H8" i="3" s="1"/>
  <c r="H9" i="3" s="1"/>
  <c r="H10" i="3" s="1"/>
  <c r="H11" i="3" s="1"/>
  <c r="E7" i="3"/>
  <c r="N6" i="3"/>
  <c r="M6" i="3"/>
  <c r="J6" i="3"/>
  <c r="H6" i="3"/>
  <c r="E6" i="3"/>
  <c r="N5" i="3"/>
  <c r="M5" i="3"/>
  <c r="J5" i="3"/>
  <c r="H5" i="3"/>
  <c r="E5" i="3"/>
  <c r="H305" i="4"/>
  <c r="E305" i="4"/>
  <c r="H304" i="4"/>
  <c r="E304" i="4"/>
  <c r="H303" i="4"/>
  <c r="E303" i="4"/>
  <c r="H302" i="4"/>
  <c r="E302" i="4"/>
  <c r="H301" i="4"/>
  <c r="E301" i="4"/>
  <c r="H300" i="4"/>
  <c r="E300" i="4"/>
  <c r="H299" i="4"/>
  <c r="E299" i="4"/>
  <c r="H298" i="4"/>
  <c r="E298" i="4"/>
  <c r="H297" i="4"/>
  <c r="E297" i="4"/>
  <c r="H296" i="4"/>
  <c r="E296" i="4"/>
  <c r="H295" i="4"/>
  <c r="E295" i="4"/>
  <c r="H294" i="4"/>
  <c r="E294" i="4"/>
  <c r="H293" i="4"/>
  <c r="E293" i="4"/>
  <c r="H292" i="4"/>
  <c r="E292" i="4"/>
  <c r="H291" i="4"/>
  <c r="E291" i="4"/>
  <c r="H290" i="4"/>
  <c r="E290" i="4"/>
  <c r="H289" i="4"/>
  <c r="E289" i="4"/>
  <c r="H288" i="4"/>
  <c r="E288" i="4"/>
  <c r="H287" i="4"/>
  <c r="E287" i="4"/>
  <c r="H286" i="4"/>
  <c r="E286" i="4"/>
  <c r="H285" i="4"/>
  <c r="E285" i="4"/>
  <c r="H284" i="4"/>
  <c r="E284" i="4"/>
  <c r="H283" i="4"/>
  <c r="E283" i="4"/>
  <c r="H282" i="4"/>
  <c r="E282" i="4"/>
  <c r="H281" i="4"/>
  <c r="E281" i="4"/>
  <c r="H280" i="4"/>
  <c r="E280" i="4"/>
  <c r="H279" i="4"/>
  <c r="E279" i="4"/>
  <c r="H278" i="4"/>
  <c r="E278" i="4"/>
  <c r="H277" i="4"/>
  <c r="E277" i="4"/>
  <c r="H276" i="4"/>
  <c r="E276" i="4"/>
  <c r="H275" i="4"/>
  <c r="E275" i="4"/>
  <c r="H274" i="4"/>
  <c r="E274" i="4"/>
  <c r="H273" i="4"/>
  <c r="E273" i="4"/>
  <c r="H272" i="4"/>
  <c r="E272" i="4"/>
  <c r="H271" i="4"/>
  <c r="E271" i="4"/>
  <c r="H270" i="4"/>
  <c r="E270" i="4"/>
  <c r="H269" i="4"/>
  <c r="E269" i="4"/>
  <c r="H268" i="4"/>
  <c r="E268" i="4"/>
  <c r="H267" i="4"/>
  <c r="E267" i="4"/>
  <c r="H266" i="4"/>
  <c r="E266" i="4"/>
  <c r="H265" i="4"/>
  <c r="E265" i="4"/>
  <c r="H264" i="4"/>
  <c r="E264" i="4"/>
  <c r="H263" i="4"/>
  <c r="E263" i="4"/>
  <c r="H262" i="4"/>
  <c r="E262" i="4"/>
  <c r="H261" i="4"/>
  <c r="E261" i="4"/>
  <c r="H260" i="4"/>
  <c r="E260" i="4"/>
  <c r="H259" i="4"/>
  <c r="E259" i="4"/>
  <c r="H258" i="4"/>
  <c r="E258" i="4"/>
  <c r="H257" i="4"/>
  <c r="E257" i="4"/>
  <c r="H256" i="4"/>
  <c r="E256" i="4"/>
  <c r="H255" i="4"/>
  <c r="E255" i="4"/>
  <c r="H254" i="4"/>
  <c r="E254" i="4"/>
  <c r="H253" i="4"/>
  <c r="E253" i="4"/>
  <c r="H252" i="4"/>
  <c r="E252" i="4"/>
  <c r="H251" i="4"/>
  <c r="E251" i="4"/>
  <c r="H250" i="4"/>
  <c r="E250" i="4"/>
  <c r="H249" i="4"/>
  <c r="E249" i="4"/>
  <c r="H248" i="4"/>
  <c r="E248" i="4"/>
  <c r="H247" i="4"/>
  <c r="E247" i="4"/>
  <c r="H246" i="4"/>
  <c r="E246" i="4"/>
  <c r="H245" i="4"/>
  <c r="E245" i="4"/>
  <c r="H244" i="4"/>
  <c r="E244" i="4"/>
  <c r="N243" i="4"/>
  <c r="H243" i="4"/>
  <c r="E243" i="4"/>
  <c r="N242" i="4"/>
  <c r="H242" i="4"/>
  <c r="E242" i="4"/>
  <c r="N241" i="4"/>
  <c r="H241" i="4"/>
  <c r="E241" i="4"/>
  <c r="N240" i="4"/>
  <c r="H240" i="4"/>
  <c r="E240" i="4"/>
  <c r="N239" i="4"/>
  <c r="H239" i="4"/>
  <c r="E239" i="4"/>
  <c r="N238" i="4"/>
  <c r="H238" i="4"/>
  <c r="E238" i="4"/>
  <c r="N237" i="4"/>
  <c r="H237" i="4"/>
  <c r="E237" i="4"/>
  <c r="N236" i="4"/>
  <c r="H236" i="4"/>
  <c r="E236" i="4"/>
  <c r="N235" i="4"/>
  <c r="H235" i="4"/>
  <c r="E235" i="4"/>
  <c r="N234" i="4"/>
  <c r="H234" i="4"/>
  <c r="E234" i="4"/>
  <c r="N233" i="4"/>
  <c r="H233" i="4"/>
  <c r="E233" i="4"/>
  <c r="N232" i="4"/>
  <c r="H232" i="4"/>
  <c r="E232" i="4"/>
  <c r="N231" i="4"/>
  <c r="H231" i="4"/>
  <c r="E231" i="4"/>
  <c r="N230" i="4"/>
  <c r="H230" i="4"/>
  <c r="E230" i="4"/>
  <c r="N229" i="4"/>
  <c r="H229" i="4"/>
  <c r="E229" i="4"/>
  <c r="N228" i="4"/>
  <c r="H228" i="4"/>
  <c r="E228" i="4"/>
  <c r="N227" i="4"/>
  <c r="H227" i="4"/>
  <c r="E227" i="4"/>
  <c r="N226" i="4"/>
  <c r="H226" i="4"/>
  <c r="E226" i="4"/>
  <c r="N225" i="4"/>
  <c r="H225" i="4"/>
  <c r="E225" i="4"/>
  <c r="N224" i="4"/>
  <c r="H224" i="4"/>
  <c r="E224" i="4"/>
  <c r="N223" i="4"/>
  <c r="H223" i="4"/>
  <c r="E223" i="4"/>
  <c r="N222" i="4"/>
  <c r="H222" i="4"/>
  <c r="E222" i="4"/>
  <c r="N221" i="4"/>
  <c r="H221" i="4"/>
  <c r="E221" i="4"/>
  <c r="N220" i="4"/>
  <c r="H220" i="4"/>
  <c r="E220" i="4"/>
  <c r="N219" i="4"/>
  <c r="H219" i="4"/>
  <c r="E219" i="4"/>
  <c r="N218" i="4"/>
  <c r="H218" i="4"/>
  <c r="E218" i="4"/>
  <c r="N217" i="4"/>
  <c r="H217" i="4"/>
  <c r="E217" i="4"/>
  <c r="N216" i="4"/>
  <c r="H216" i="4"/>
  <c r="E216" i="4"/>
  <c r="N215" i="4"/>
  <c r="H215" i="4"/>
  <c r="E215" i="4"/>
  <c r="N214" i="4"/>
  <c r="H214" i="4"/>
  <c r="E214" i="4"/>
  <c r="N213" i="4"/>
  <c r="H213" i="4"/>
  <c r="E213" i="4"/>
  <c r="N212" i="4"/>
  <c r="H212" i="4"/>
  <c r="E212" i="4"/>
  <c r="N211" i="4"/>
  <c r="H211" i="4"/>
  <c r="E211" i="4"/>
  <c r="N210" i="4"/>
  <c r="H210" i="4"/>
  <c r="E210" i="4"/>
  <c r="N209" i="4"/>
  <c r="H209" i="4"/>
  <c r="E209" i="4"/>
  <c r="N208" i="4"/>
  <c r="H208" i="4"/>
  <c r="E208" i="4"/>
  <c r="N207" i="4"/>
  <c r="H207" i="4"/>
  <c r="E207" i="4"/>
  <c r="N206" i="4"/>
  <c r="H206" i="4"/>
  <c r="E206" i="4"/>
  <c r="N205" i="4"/>
  <c r="H205" i="4"/>
  <c r="E205" i="4"/>
  <c r="N204" i="4"/>
  <c r="H204" i="4"/>
  <c r="E204" i="4"/>
  <c r="N203" i="4"/>
  <c r="C499" i="21" s="1"/>
  <c r="H203" i="4"/>
  <c r="E203" i="4"/>
  <c r="N202" i="4"/>
  <c r="H202" i="4"/>
  <c r="E202" i="4"/>
  <c r="N201" i="4"/>
  <c r="C497" i="21" s="1"/>
  <c r="H201" i="4"/>
  <c r="E201" i="4"/>
  <c r="N200" i="4"/>
  <c r="C496" i="21" s="1"/>
  <c r="H200" i="4"/>
  <c r="E200" i="4"/>
  <c r="N199" i="4"/>
  <c r="C495" i="21" s="1"/>
  <c r="H199" i="4"/>
  <c r="E199" i="4"/>
  <c r="N198" i="4"/>
  <c r="C494" i="21" s="1"/>
  <c r="H198" i="4"/>
  <c r="E198" i="4"/>
  <c r="N197" i="4"/>
  <c r="C493" i="21" s="1"/>
  <c r="H197" i="4"/>
  <c r="E197" i="4"/>
  <c r="N196" i="4"/>
  <c r="C492" i="21" s="1"/>
  <c r="H196" i="4"/>
  <c r="E196" i="4"/>
  <c r="N195" i="4"/>
  <c r="C491" i="21" s="1"/>
  <c r="H195" i="4"/>
  <c r="E195" i="4"/>
  <c r="N194" i="4"/>
  <c r="H194" i="4"/>
  <c r="E194" i="4"/>
  <c r="N193" i="4"/>
  <c r="C489" i="21" s="1"/>
  <c r="H193" i="4"/>
  <c r="E193" i="4"/>
  <c r="N192" i="4"/>
  <c r="H192" i="4"/>
  <c r="E192" i="4"/>
  <c r="N191" i="4"/>
  <c r="C487" i="21" s="1"/>
  <c r="H191" i="4"/>
  <c r="E191" i="4"/>
  <c r="N190" i="4"/>
  <c r="H190" i="4"/>
  <c r="E190" i="4"/>
  <c r="N189" i="4"/>
  <c r="H189" i="4"/>
  <c r="E189" i="4"/>
  <c r="N188" i="4"/>
  <c r="H188" i="4"/>
  <c r="E188" i="4"/>
  <c r="N187" i="4"/>
  <c r="H187" i="4"/>
  <c r="E187" i="4"/>
  <c r="N186" i="4"/>
  <c r="C482" i="21" s="1"/>
  <c r="H186" i="4"/>
  <c r="E186" i="4"/>
  <c r="N185" i="4"/>
  <c r="C481" i="21" s="1"/>
  <c r="H185" i="4"/>
  <c r="E185" i="4"/>
  <c r="N184" i="4"/>
  <c r="H184" i="4"/>
  <c r="E184" i="4"/>
  <c r="N183" i="4"/>
  <c r="C479" i="21" s="1"/>
  <c r="H183" i="4"/>
  <c r="E183" i="4"/>
  <c r="N182" i="4"/>
  <c r="H182" i="4"/>
  <c r="E182" i="4"/>
  <c r="N181" i="4"/>
  <c r="H181" i="4"/>
  <c r="E181" i="4"/>
  <c r="N180" i="4"/>
  <c r="C476" i="21" s="1"/>
  <c r="H180" i="4"/>
  <c r="E180" i="4"/>
  <c r="N179" i="4"/>
  <c r="C475" i="21" s="1"/>
  <c r="H179" i="4"/>
  <c r="E179" i="4"/>
  <c r="N178" i="4"/>
  <c r="H178" i="4"/>
  <c r="E178" i="4"/>
  <c r="N177" i="4"/>
  <c r="C473" i="21" s="1"/>
  <c r="H177" i="4"/>
  <c r="E177" i="4"/>
  <c r="N176" i="4"/>
  <c r="C472" i="21" s="1"/>
  <c r="H176" i="4"/>
  <c r="E176" i="4"/>
  <c r="N175" i="4"/>
  <c r="C471" i="21" s="1"/>
  <c r="H175" i="4"/>
  <c r="E175" i="4"/>
  <c r="N174" i="4"/>
  <c r="H174" i="4"/>
  <c r="E174" i="4"/>
  <c r="N173" i="4"/>
  <c r="C469" i="21" s="1"/>
  <c r="H173" i="4"/>
  <c r="E173" i="4"/>
  <c r="N172" i="4"/>
  <c r="C468" i="21" s="1"/>
  <c r="H172" i="4"/>
  <c r="E172" i="4"/>
  <c r="N171" i="4"/>
  <c r="C467" i="21" s="1"/>
  <c r="H171" i="4"/>
  <c r="E171" i="4"/>
  <c r="N170" i="4"/>
  <c r="H170" i="4"/>
  <c r="E170" i="4"/>
  <c r="N169" i="4"/>
  <c r="C465" i="21" s="1"/>
  <c r="H169" i="4"/>
  <c r="E169" i="4"/>
  <c r="N168" i="4"/>
  <c r="H168" i="4"/>
  <c r="E168" i="4"/>
  <c r="N167" i="4"/>
  <c r="C463" i="21" s="1"/>
  <c r="H167" i="4"/>
  <c r="E167" i="4"/>
  <c r="N166" i="4"/>
  <c r="C462" i="21" s="1"/>
  <c r="H166" i="4"/>
  <c r="E166" i="4"/>
  <c r="N165" i="4"/>
  <c r="H165" i="4"/>
  <c r="E165" i="4"/>
  <c r="N164" i="4"/>
  <c r="C460" i="21" s="1"/>
  <c r="H164" i="4"/>
  <c r="E164" i="4"/>
  <c r="N163" i="4"/>
  <c r="C459" i="21" s="1"/>
  <c r="H163" i="4"/>
  <c r="E163" i="4"/>
  <c r="N162" i="4"/>
  <c r="C458" i="21" s="1"/>
  <c r="H162" i="4"/>
  <c r="E162" i="4"/>
  <c r="N161" i="4"/>
  <c r="C457" i="21" s="1"/>
  <c r="H161" i="4"/>
  <c r="E161" i="4"/>
  <c r="N160" i="4"/>
  <c r="H160" i="4"/>
  <c r="E160" i="4"/>
  <c r="N159" i="4"/>
  <c r="C455" i="21" s="1"/>
  <c r="H159" i="4"/>
  <c r="E159" i="4"/>
  <c r="N158" i="4"/>
  <c r="C454" i="21" s="1"/>
  <c r="H158" i="4"/>
  <c r="E158" i="4"/>
  <c r="N157" i="4"/>
  <c r="H157" i="4"/>
  <c r="E157" i="4"/>
  <c r="N156" i="4"/>
  <c r="H156" i="4"/>
  <c r="E156" i="4"/>
  <c r="N155" i="4"/>
  <c r="C451" i="21" s="1"/>
  <c r="H155" i="4"/>
  <c r="E155" i="4"/>
  <c r="N154" i="4"/>
  <c r="H154" i="4"/>
  <c r="E154" i="4"/>
  <c r="N153" i="4"/>
  <c r="C449" i="21" s="1"/>
  <c r="H153" i="4"/>
  <c r="E153" i="4"/>
  <c r="N152" i="4"/>
  <c r="C448" i="21" s="1"/>
  <c r="H152" i="4"/>
  <c r="E152" i="4"/>
  <c r="N151" i="4"/>
  <c r="C447" i="21" s="1"/>
  <c r="H151" i="4"/>
  <c r="E151" i="4"/>
  <c r="N150" i="4"/>
  <c r="C446" i="21" s="1"/>
  <c r="H150" i="4"/>
  <c r="E150" i="4"/>
  <c r="N149" i="4"/>
  <c r="C445" i="21" s="1"/>
  <c r="H149" i="4"/>
  <c r="E149" i="4"/>
  <c r="N148" i="4"/>
  <c r="C444" i="21" s="1"/>
  <c r="H148" i="4"/>
  <c r="E148" i="4"/>
  <c r="N147" i="4"/>
  <c r="C443" i="21" s="1"/>
  <c r="H147" i="4"/>
  <c r="E147" i="4"/>
  <c r="N146" i="4"/>
  <c r="H146" i="4"/>
  <c r="E146" i="4"/>
  <c r="N145" i="4"/>
  <c r="C441" i="21" s="1"/>
  <c r="H145" i="4"/>
  <c r="E145" i="4"/>
  <c r="N144" i="4"/>
  <c r="H144" i="4"/>
  <c r="E144" i="4"/>
  <c r="N143" i="4"/>
  <c r="C439" i="21" s="1"/>
  <c r="H143" i="4"/>
  <c r="E143" i="4"/>
  <c r="N142" i="4"/>
  <c r="C438" i="21" s="1"/>
  <c r="H142" i="4"/>
  <c r="E142" i="4"/>
  <c r="N141" i="4"/>
  <c r="H141" i="4"/>
  <c r="E141" i="4"/>
  <c r="N140" i="4"/>
  <c r="H140" i="4"/>
  <c r="E140" i="4"/>
  <c r="N139" i="4"/>
  <c r="C435" i="21" s="1"/>
  <c r="H139" i="4"/>
  <c r="E139" i="4"/>
  <c r="N138" i="4"/>
  <c r="C434" i="21" s="1"/>
  <c r="H138" i="4"/>
  <c r="E138" i="4"/>
  <c r="N137" i="4"/>
  <c r="C433" i="21" s="1"/>
  <c r="H137" i="4"/>
  <c r="E137" i="4"/>
  <c r="N136" i="4"/>
  <c r="H136" i="4"/>
  <c r="E136" i="4"/>
  <c r="N135" i="4"/>
  <c r="C431" i="21" s="1"/>
  <c r="H135" i="4"/>
  <c r="E135" i="4"/>
  <c r="N134" i="4"/>
  <c r="H134" i="4"/>
  <c r="E134" i="4"/>
  <c r="N133" i="4"/>
  <c r="H133" i="4"/>
  <c r="E133" i="4"/>
  <c r="N132" i="4"/>
  <c r="H132" i="4"/>
  <c r="E132" i="4"/>
  <c r="N131" i="4"/>
  <c r="H131" i="4"/>
  <c r="E131" i="4"/>
  <c r="N130" i="4"/>
  <c r="C225" i="21" s="1"/>
  <c r="H130" i="4"/>
  <c r="E130" i="4"/>
  <c r="N129" i="4"/>
  <c r="C224" i="21" s="1"/>
  <c r="H129" i="4"/>
  <c r="E129" i="4"/>
  <c r="N128" i="4"/>
  <c r="H128" i="4"/>
  <c r="E128" i="4"/>
  <c r="N127" i="4"/>
  <c r="H127" i="4"/>
  <c r="E127" i="4"/>
  <c r="N126" i="4"/>
  <c r="H126" i="4"/>
  <c r="E126" i="4"/>
  <c r="N125" i="4"/>
  <c r="H125" i="4"/>
  <c r="E125" i="4"/>
  <c r="N124" i="4"/>
  <c r="C45" i="21" s="1"/>
  <c r="H124" i="4"/>
  <c r="E124" i="4"/>
  <c r="N123" i="4"/>
  <c r="H123" i="4"/>
  <c r="E123" i="4"/>
  <c r="N122" i="4"/>
  <c r="H122" i="4"/>
  <c r="E122" i="4"/>
  <c r="N121" i="4"/>
  <c r="H121" i="4"/>
  <c r="E121" i="4"/>
  <c r="N120" i="4"/>
  <c r="H120" i="4"/>
  <c r="E120" i="4"/>
  <c r="N119" i="4"/>
  <c r="H119" i="4"/>
  <c r="E119" i="4"/>
  <c r="N118" i="4"/>
  <c r="H118" i="4"/>
  <c r="E118" i="4"/>
  <c r="N117" i="4"/>
  <c r="H117" i="4"/>
  <c r="E117" i="4"/>
  <c r="N116" i="4"/>
  <c r="C412" i="21" s="1"/>
  <c r="H116" i="4"/>
  <c r="E116" i="4"/>
  <c r="N115" i="4"/>
  <c r="H115" i="4"/>
  <c r="E115" i="4"/>
  <c r="N114" i="4"/>
  <c r="C410" i="21" s="1"/>
  <c r="H114" i="4"/>
  <c r="E114" i="4"/>
  <c r="N113" i="4"/>
  <c r="C217" i="21" s="1"/>
  <c r="H113" i="4"/>
  <c r="E113" i="4"/>
  <c r="N112" i="4"/>
  <c r="H112" i="4"/>
  <c r="E112" i="4"/>
  <c r="N111" i="4"/>
  <c r="C221" i="21" s="1"/>
  <c r="H111" i="4"/>
  <c r="E111" i="4"/>
  <c r="N110" i="4"/>
  <c r="H110" i="4"/>
  <c r="E110" i="4"/>
  <c r="N109" i="4"/>
  <c r="H109" i="4"/>
  <c r="E109" i="4"/>
  <c r="N108" i="4"/>
  <c r="H108" i="4"/>
  <c r="E108" i="4"/>
  <c r="N107" i="4"/>
  <c r="C403" i="21" s="1"/>
  <c r="H107" i="4"/>
  <c r="E107" i="4"/>
  <c r="N106" i="4"/>
  <c r="C402" i="21" s="1"/>
  <c r="H106" i="4"/>
  <c r="E106" i="4"/>
  <c r="N105" i="4"/>
  <c r="C401" i="21" s="1"/>
  <c r="H105" i="4"/>
  <c r="E105" i="4"/>
  <c r="N104" i="4"/>
  <c r="H104" i="4"/>
  <c r="E104" i="4"/>
  <c r="N103" i="4"/>
  <c r="H103" i="4"/>
  <c r="E103" i="4"/>
  <c r="N102" i="4"/>
  <c r="H102" i="4"/>
  <c r="E102" i="4"/>
  <c r="N101" i="4"/>
  <c r="H101" i="4"/>
  <c r="E101" i="4"/>
  <c r="N100" i="4"/>
  <c r="C213" i="21" s="1"/>
  <c r="H100" i="4"/>
  <c r="E100" i="4"/>
  <c r="N99" i="4"/>
  <c r="C212" i="21" s="1"/>
  <c r="H99" i="4"/>
  <c r="E99" i="4"/>
  <c r="N98" i="4"/>
  <c r="H98" i="4"/>
  <c r="E98" i="4"/>
  <c r="N97" i="4"/>
  <c r="C37" i="21" s="1"/>
  <c r="H97" i="4"/>
  <c r="E97" i="4"/>
  <c r="N96" i="4"/>
  <c r="H96" i="4"/>
  <c r="E96" i="4"/>
  <c r="N95" i="4"/>
  <c r="H95" i="4"/>
  <c r="E95" i="4"/>
  <c r="N94" i="4"/>
  <c r="H94" i="4"/>
  <c r="E94" i="4"/>
  <c r="N93" i="4"/>
  <c r="C389" i="21" s="1"/>
  <c r="H93" i="4"/>
  <c r="E93" i="4"/>
  <c r="N92" i="4"/>
  <c r="C388" i="21" s="1"/>
  <c r="H92" i="4"/>
  <c r="E92" i="4"/>
  <c r="N91" i="4"/>
  <c r="H91" i="4"/>
  <c r="E91" i="4"/>
  <c r="N90" i="4"/>
  <c r="H90" i="4"/>
  <c r="E90" i="4"/>
  <c r="N89" i="4"/>
  <c r="H89" i="4"/>
  <c r="E89" i="4"/>
  <c r="N88" i="4"/>
  <c r="H88" i="4"/>
  <c r="E88" i="4"/>
  <c r="N87" i="4"/>
  <c r="H87" i="4"/>
  <c r="E87" i="4"/>
  <c r="N86" i="4"/>
  <c r="H86" i="4"/>
  <c r="E86" i="4"/>
  <c r="N85" i="4"/>
  <c r="H85" i="4"/>
  <c r="E85" i="4"/>
  <c r="N84" i="4"/>
  <c r="H84" i="4"/>
  <c r="E84" i="4"/>
  <c r="N83" i="4"/>
  <c r="C379" i="21" s="1"/>
  <c r="H83" i="4"/>
  <c r="E83" i="4"/>
  <c r="N82" i="4"/>
  <c r="C378" i="21" s="1"/>
  <c r="H82" i="4"/>
  <c r="E82" i="4"/>
  <c r="N81" i="4"/>
  <c r="C377" i="21" s="1"/>
  <c r="H81" i="4"/>
  <c r="E81" i="4"/>
  <c r="N80" i="4"/>
  <c r="H80" i="4"/>
  <c r="E80" i="4"/>
  <c r="N79" i="4"/>
  <c r="H79" i="4"/>
  <c r="E79" i="4"/>
  <c r="N78" i="4"/>
  <c r="C29" i="21" s="1"/>
  <c r="H78" i="4"/>
  <c r="E78" i="4"/>
  <c r="N77" i="4"/>
  <c r="H77" i="4"/>
  <c r="E77" i="4"/>
  <c r="N76" i="4"/>
  <c r="H76" i="4"/>
  <c r="E76" i="4"/>
  <c r="N75" i="4"/>
  <c r="H75" i="4"/>
  <c r="E75" i="4"/>
  <c r="N74" i="4"/>
  <c r="C370" i="21" s="1"/>
  <c r="H74" i="4"/>
  <c r="E74" i="4"/>
  <c r="N73" i="4"/>
  <c r="H73" i="4"/>
  <c r="E73" i="4"/>
  <c r="N72" i="4"/>
  <c r="H72" i="4"/>
  <c r="E72" i="4"/>
  <c r="N71" i="4"/>
  <c r="H71" i="4"/>
  <c r="E71" i="4"/>
  <c r="N70" i="4"/>
  <c r="H70" i="4"/>
  <c r="E70" i="4"/>
  <c r="N69" i="4"/>
  <c r="C365" i="21" s="1"/>
  <c r="H69" i="4"/>
  <c r="E69" i="4"/>
  <c r="N68" i="4"/>
  <c r="H68" i="4"/>
  <c r="E68" i="4"/>
  <c r="N67" i="4"/>
  <c r="H67" i="4"/>
  <c r="E67" i="4"/>
  <c r="N66" i="4"/>
  <c r="H66" i="4"/>
  <c r="E66" i="4"/>
  <c r="N65" i="4"/>
  <c r="C196" i="21" s="1"/>
  <c r="H65" i="4"/>
  <c r="E65" i="4"/>
  <c r="N64" i="4"/>
  <c r="H64" i="4"/>
  <c r="E64" i="4"/>
  <c r="N63" i="4"/>
  <c r="C193" i="21" s="1"/>
  <c r="H63" i="4"/>
  <c r="E63" i="4"/>
  <c r="N62" i="4"/>
  <c r="H62" i="4"/>
  <c r="E62" i="4"/>
  <c r="N61" i="4"/>
  <c r="H61" i="4"/>
  <c r="E61" i="4"/>
  <c r="N60" i="4"/>
  <c r="H60" i="4"/>
  <c r="E60" i="4"/>
  <c r="N59" i="4"/>
  <c r="H59" i="4"/>
  <c r="E59" i="4"/>
  <c r="N58" i="4"/>
  <c r="H58" i="4"/>
  <c r="E58" i="4"/>
  <c r="N57" i="4"/>
  <c r="H57" i="4"/>
  <c r="E57" i="4"/>
  <c r="N56" i="4"/>
  <c r="H56" i="4"/>
  <c r="E56" i="4"/>
  <c r="N55" i="4"/>
  <c r="C185" i="21" s="1"/>
  <c r="H55" i="4"/>
  <c r="E55" i="4"/>
  <c r="N54" i="4"/>
  <c r="H54" i="4"/>
  <c r="E54" i="4"/>
  <c r="N53" i="4"/>
  <c r="H53" i="4"/>
  <c r="E53" i="4"/>
  <c r="N52" i="4"/>
  <c r="H52" i="4"/>
  <c r="E52" i="4"/>
  <c r="N51" i="4"/>
  <c r="H51" i="4"/>
  <c r="E51" i="4"/>
  <c r="N50" i="4"/>
  <c r="H50" i="4"/>
  <c r="E50" i="4"/>
  <c r="N49" i="4"/>
  <c r="H49" i="4"/>
  <c r="E49" i="4"/>
  <c r="N48" i="4"/>
  <c r="H48" i="4"/>
  <c r="E48" i="4"/>
  <c r="N47" i="4"/>
  <c r="C16" i="21" s="1"/>
  <c r="H47" i="4"/>
  <c r="E47" i="4"/>
  <c r="N46" i="4"/>
  <c r="H46" i="4"/>
  <c r="E46" i="4"/>
  <c r="N45" i="4"/>
  <c r="H45" i="4"/>
  <c r="E45" i="4"/>
  <c r="N44" i="4"/>
  <c r="C340" i="21" s="1"/>
  <c r="H44" i="4"/>
  <c r="E44" i="4"/>
  <c r="N43" i="4"/>
  <c r="H43" i="4"/>
  <c r="E43" i="4"/>
  <c r="N42" i="4"/>
  <c r="H42" i="4"/>
  <c r="E42" i="4"/>
  <c r="N41" i="4"/>
  <c r="H41" i="4"/>
  <c r="E41" i="4"/>
  <c r="N40" i="4"/>
  <c r="H40" i="4"/>
  <c r="E40" i="4"/>
  <c r="N39" i="4"/>
  <c r="H39" i="4"/>
  <c r="E39" i="4"/>
  <c r="N38" i="4"/>
  <c r="H38" i="4"/>
  <c r="E38" i="4"/>
  <c r="N37" i="4"/>
  <c r="H37" i="4"/>
  <c r="E37" i="4"/>
  <c r="N36" i="4"/>
  <c r="C176" i="21" s="1"/>
  <c r="H36" i="4"/>
  <c r="E36" i="4"/>
  <c r="N35" i="4"/>
  <c r="H35" i="4"/>
  <c r="E35" i="4"/>
  <c r="N34" i="4"/>
  <c r="H34" i="4"/>
  <c r="E34" i="4"/>
  <c r="N33" i="4"/>
  <c r="C11" i="21" s="1"/>
  <c r="H33" i="4"/>
  <c r="E33" i="4"/>
  <c r="N32" i="4"/>
  <c r="H32" i="4"/>
  <c r="E32" i="4"/>
  <c r="N31" i="4"/>
  <c r="H31" i="4"/>
  <c r="E31" i="4"/>
  <c r="N30" i="4"/>
  <c r="H30" i="4"/>
  <c r="E30" i="4"/>
  <c r="N29" i="4"/>
  <c r="C172" i="21" s="1"/>
  <c r="H29" i="4"/>
  <c r="E29" i="4"/>
  <c r="N28" i="4"/>
  <c r="H28" i="4"/>
  <c r="E28" i="4"/>
  <c r="N27" i="4"/>
  <c r="H27" i="4"/>
  <c r="E27" i="4"/>
  <c r="N26" i="4"/>
  <c r="C165" i="21" s="1"/>
  <c r="H26" i="4"/>
  <c r="E26" i="4"/>
  <c r="N25" i="4"/>
  <c r="C168" i="21" s="1"/>
  <c r="H25" i="4"/>
  <c r="E25" i="4"/>
  <c r="N24" i="4"/>
  <c r="H24" i="4"/>
  <c r="E24" i="4"/>
  <c r="N23" i="4"/>
  <c r="H23" i="4"/>
  <c r="E23" i="4"/>
  <c r="N22" i="4"/>
  <c r="H22" i="4"/>
  <c r="E22" i="4"/>
  <c r="N21" i="4"/>
  <c r="H21" i="4"/>
  <c r="E21" i="4"/>
  <c r="N20" i="4"/>
  <c r="H20" i="4"/>
  <c r="E20" i="4"/>
  <c r="N19" i="4"/>
  <c r="H19" i="4"/>
  <c r="E19" i="4"/>
  <c r="N18" i="4"/>
  <c r="H18" i="4"/>
  <c r="E18" i="4"/>
  <c r="N17" i="4"/>
  <c r="H17" i="4"/>
  <c r="E17" i="4"/>
  <c r="N16" i="4"/>
  <c r="H16" i="4"/>
  <c r="E16" i="4"/>
  <c r="N15" i="4"/>
  <c r="H15" i="4"/>
  <c r="E15" i="4"/>
  <c r="N14" i="4"/>
  <c r="H14" i="4"/>
  <c r="E14" i="4"/>
  <c r="N13" i="4"/>
  <c r="H13" i="4"/>
  <c r="E13" i="4"/>
  <c r="N12" i="4"/>
  <c r="H12" i="4"/>
  <c r="E12" i="4"/>
  <c r="N11" i="4"/>
  <c r="H11" i="4"/>
  <c r="E11" i="4"/>
  <c r="N10" i="4"/>
  <c r="C156" i="21" s="1"/>
  <c r="H10" i="4"/>
  <c r="E10" i="4"/>
  <c r="N9" i="4"/>
  <c r="H9" i="4"/>
  <c r="E9" i="4"/>
  <c r="N8" i="4"/>
  <c r="H8" i="4"/>
  <c r="E8" i="4"/>
  <c r="N7" i="4"/>
  <c r="H7" i="4"/>
  <c r="E7" i="4"/>
  <c r="N6" i="4"/>
  <c r="H6" i="4"/>
  <c r="E6" i="4"/>
  <c r="N5" i="4"/>
  <c r="H5" i="4"/>
  <c r="E5" i="4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K208" i="2"/>
  <c r="F208" i="2"/>
  <c r="M207" i="2"/>
  <c r="K207" i="2"/>
  <c r="F207" i="2"/>
  <c r="M206" i="2"/>
  <c r="K206" i="2"/>
  <c r="F206" i="2"/>
  <c r="M205" i="2"/>
  <c r="K205" i="2"/>
  <c r="F205" i="2"/>
  <c r="M204" i="2"/>
  <c r="K204" i="2"/>
  <c r="F204" i="2"/>
  <c r="M203" i="2"/>
  <c r="K203" i="2"/>
  <c r="F203" i="2"/>
  <c r="M202" i="2"/>
  <c r="K202" i="2"/>
  <c r="F202" i="2"/>
  <c r="M201" i="2"/>
  <c r="K201" i="2"/>
  <c r="F201" i="2"/>
  <c r="N200" i="2"/>
  <c r="M200" i="2"/>
  <c r="K200" i="2"/>
  <c r="F200" i="2"/>
  <c r="N199" i="2"/>
  <c r="M199" i="2"/>
  <c r="K199" i="2"/>
  <c r="F199" i="2"/>
  <c r="N198" i="2"/>
  <c r="M198" i="2"/>
  <c r="K198" i="2"/>
  <c r="F198" i="2"/>
  <c r="N197" i="2"/>
  <c r="M197" i="2"/>
  <c r="K197" i="2"/>
  <c r="F197" i="2"/>
  <c r="N196" i="2"/>
  <c r="M196" i="2"/>
  <c r="K196" i="2"/>
  <c r="F196" i="2"/>
  <c r="N195" i="2"/>
  <c r="M195" i="2"/>
  <c r="K195" i="2"/>
  <c r="F195" i="2"/>
  <c r="N194" i="2"/>
  <c r="M194" i="2"/>
  <c r="K194" i="2"/>
  <c r="F194" i="2"/>
  <c r="N193" i="2"/>
  <c r="M193" i="2"/>
  <c r="K193" i="2"/>
  <c r="F193" i="2"/>
  <c r="N192" i="2"/>
  <c r="M192" i="2"/>
  <c r="K192" i="2"/>
  <c r="F192" i="2"/>
  <c r="N191" i="2"/>
  <c r="M191" i="2"/>
  <c r="K191" i="2"/>
  <c r="F191" i="2"/>
  <c r="N190" i="2"/>
  <c r="M190" i="2"/>
  <c r="K190" i="2"/>
  <c r="F190" i="2"/>
  <c r="N189" i="2"/>
  <c r="M189" i="2"/>
  <c r="K189" i="2"/>
  <c r="F189" i="2"/>
  <c r="N188" i="2"/>
  <c r="M188" i="2"/>
  <c r="K188" i="2"/>
  <c r="F188" i="2"/>
  <c r="N187" i="2"/>
  <c r="M187" i="2"/>
  <c r="K187" i="2"/>
  <c r="F187" i="2"/>
  <c r="N186" i="2"/>
  <c r="M186" i="2"/>
  <c r="K186" i="2"/>
  <c r="F186" i="2"/>
  <c r="N185" i="2"/>
  <c r="M185" i="2"/>
  <c r="K185" i="2"/>
  <c r="F185" i="2"/>
  <c r="N184" i="2"/>
  <c r="M184" i="2"/>
  <c r="K184" i="2"/>
  <c r="F184" i="2"/>
  <c r="N183" i="2"/>
  <c r="M183" i="2"/>
  <c r="K183" i="2"/>
  <c r="F183" i="2"/>
  <c r="N182" i="2"/>
  <c r="M182" i="2"/>
  <c r="K182" i="2"/>
  <c r="F182" i="2"/>
  <c r="N181" i="2"/>
  <c r="M181" i="2"/>
  <c r="K181" i="2"/>
  <c r="F181" i="2"/>
  <c r="N180" i="2"/>
  <c r="M180" i="2"/>
  <c r="K180" i="2"/>
  <c r="F180" i="2"/>
  <c r="N179" i="2"/>
  <c r="M179" i="2"/>
  <c r="K179" i="2"/>
  <c r="F179" i="2"/>
  <c r="N178" i="2"/>
  <c r="M178" i="2"/>
  <c r="K178" i="2"/>
  <c r="F178" i="2"/>
  <c r="N177" i="2"/>
  <c r="M177" i="2"/>
  <c r="K177" i="2"/>
  <c r="F177" i="2"/>
  <c r="N176" i="2"/>
  <c r="M176" i="2"/>
  <c r="K176" i="2"/>
  <c r="F176" i="2"/>
  <c r="N175" i="2"/>
  <c r="M175" i="2"/>
  <c r="K175" i="2"/>
  <c r="F175" i="2"/>
  <c r="N174" i="2"/>
  <c r="M174" i="2"/>
  <c r="K174" i="2"/>
  <c r="F174" i="2"/>
  <c r="N173" i="2"/>
  <c r="M173" i="2"/>
  <c r="K173" i="2"/>
  <c r="F173" i="2"/>
  <c r="N172" i="2"/>
  <c r="M172" i="2"/>
  <c r="K172" i="2"/>
  <c r="F172" i="2"/>
  <c r="N171" i="2"/>
  <c r="M171" i="2"/>
  <c r="K171" i="2"/>
  <c r="F171" i="2"/>
  <c r="N170" i="2"/>
  <c r="M170" i="2"/>
  <c r="K170" i="2"/>
  <c r="F170" i="2"/>
  <c r="N169" i="2"/>
  <c r="M169" i="2"/>
  <c r="K169" i="2"/>
  <c r="F169" i="2"/>
  <c r="N168" i="2"/>
  <c r="M168" i="2"/>
  <c r="K168" i="2"/>
  <c r="F168" i="2"/>
  <c r="N167" i="2"/>
  <c r="M167" i="2"/>
  <c r="K167" i="2"/>
  <c r="F167" i="2"/>
  <c r="N166" i="2"/>
  <c r="M166" i="2"/>
  <c r="K166" i="2"/>
  <c r="F166" i="2"/>
  <c r="N165" i="2"/>
  <c r="M165" i="2"/>
  <c r="K165" i="2"/>
  <c r="F165" i="2"/>
  <c r="N164" i="2"/>
  <c r="M164" i="2"/>
  <c r="K164" i="2"/>
  <c r="F164" i="2"/>
  <c r="N163" i="2"/>
  <c r="M163" i="2"/>
  <c r="K163" i="2"/>
  <c r="F163" i="2"/>
  <c r="N162" i="2"/>
  <c r="M162" i="2"/>
  <c r="K162" i="2"/>
  <c r="F162" i="2"/>
  <c r="N161" i="2"/>
  <c r="M161" i="2"/>
  <c r="K161" i="2"/>
  <c r="F161" i="2"/>
  <c r="N160" i="2"/>
  <c r="M160" i="2"/>
  <c r="K160" i="2"/>
  <c r="F160" i="2"/>
  <c r="N159" i="2"/>
  <c r="M159" i="2"/>
  <c r="K159" i="2"/>
  <c r="F159" i="2"/>
  <c r="N158" i="2"/>
  <c r="M158" i="2"/>
  <c r="K158" i="2"/>
  <c r="F158" i="2"/>
  <c r="N157" i="2"/>
  <c r="M157" i="2"/>
  <c r="K157" i="2"/>
  <c r="F157" i="2"/>
  <c r="N156" i="2"/>
  <c r="M156" i="2"/>
  <c r="K156" i="2"/>
  <c r="F156" i="2"/>
  <c r="N155" i="2"/>
  <c r="M155" i="2"/>
  <c r="K155" i="2"/>
  <c r="F155" i="2"/>
  <c r="N154" i="2"/>
  <c r="M154" i="2"/>
  <c r="K154" i="2"/>
  <c r="F154" i="2"/>
  <c r="N153" i="2"/>
  <c r="M153" i="2"/>
  <c r="K153" i="2"/>
  <c r="F153" i="2"/>
  <c r="N152" i="2"/>
  <c r="M152" i="2"/>
  <c r="K152" i="2"/>
  <c r="F152" i="2"/>
  <c r="N151" i="2"/>
  <c r="M151" i="2"/>
  <c r="K151" i="2"/>
  <c r="F151" i="2"/>
  <c r="N150" i="2"/>
  <c r="M150" i="2"/>
  <c r="K150" i="2"/>
  <c r="F150" i="2"/>
  <c r="N149" i="2"/>
  <c r="M149" i="2"/>
  <c r="K149" i="2"/>
  <c r="F149" i="2"/>
  <c r="N148" i="2"/>
  <c r="M148" i="2"/>
  <c r="K148" i="2"/>
  <c r="F148" i="2"/>
  <c r="N147" i="2"/>
  <c r="M147" i="2"/>
  <c r="K147" i="2"/>
  <c r="F147" i="2"/>
  <c r="N146" i="2"/>
  <c r="M146" i="2"/>
  <c r="K146" i="2"/>
  <c r="F146" i="2"/>
  <c r="N145" i="2"/>
  <c r="M145" i="2"/>
  <c r="K145" i="2"/>
  <c r="F145" i="2"/>
  <c r="N144" i="2"/>
  <c r="M144" i="2"/>
  <c r="K144" i="2"/>
  <c r="F144" i="2"/>
  <c r="N143" i="2"/>
  <c r="M143" i="2"/>
  <c r="K143" i="2"/>
  <c r="F143" i="2"/>
  <c r="N142" i="2"/>
  <c r="M142" i="2"/>
  <c r="K142" i="2"/>
  <c r="F142" i="2"/>
  <c r="N141" i="2"/>
  <c r="M141" i="2"/>
  <c r="K141" i="2"/>
  <c r="F141" i="2"/>
  <c r="N140" i="2"/>
  <c r="M140" i="2"/>
  <c r="K140" i="2"/>
  <c r="F140" i="2"/>
  <c r="N139" i="2"/>
  <c r="M139" i="2"/>
  <c r="K139" i="2"/>
  <c r="F139" i="2"/>
  <c r="N138" i="2"/>
  <c r="M138" i="2"/>
  <c r="K138" i="2"/>
  <c r="F138" i="2"/>
  <c r="N137" i="2"/>
  <c r="M137" i="2"/>
  <c r="K137" i="2"/>
  <c r="F137" i="2"/>
  <c r="N136" i="2"/>
  <c r="M136" i="2"/>
  <c r="K136" i="2"/>
  <c r="F136" i="2"/>
  <c r="N135" i="2"/>
  <c r="M135" i="2"/>
  <c r="K135" i="2"/>
  <c r="F135" i="2"/>
  <c r="N134" i="2"/>
  <c r="M134" i="2"/>
  <c r="K134" i="2"/>
  <c r="F134" i="2"/>
  <c r="N133" i="2"/>
  <c r="M133" i="2"/>
  <c r="K133" i="2"/>
  <c r="F133" i="2"/>
  <c r="N132" i="2"/>
  <c r="M132" i="2"/>
  <c r="K132" i="2"/>
  <c r="F132" i="2"/>
  <c r="N131" i="2"/>
  <c r="M131" i="2"/>
  <c r="K131" i="2"/>
  <c r="F131" i="2"/>
  <c r="N130" i="2"/>
  <c r="M130" i="2"/>
  <c r="K130" i="2"/>
  <c r="F130" i="2"/>
  <c r="N129" i="2"/>
  <c r="M129" i="2"/>
  <c r="K129" i="2"/>
  <c r="F129" i="2"/>
  <c r="N128" i="2"/>
  <c r="M128" i="2"/>
  <c r="K128" i="2"/>
  <c r="F128" i="2"/>
  <c r="N127" i="2"/>
  <c r="M127" i="2"/>
  <c r="K127" i="2"/>
  <c r="F127" i="2"/>
  <c r="N126" i="2"/>
  <c r="M126" i="2"/>
  <c r="K126" i="2"/>
  <c r="F126" i="2"/>
  <c r="N125" i="2"/>
  <c r="M125" i="2"/>
  <c r="K125" i="2"/>
  <c r="F125" i="2"/>
  <c r="N124" i="2"/>
  <c r="M124" i="2"/>
  <c r="K124" i="2"/>
  <c r="F124" i="2"/>
  <c r="N123" i="2"/>
  <c r="M123" i="2"/>
  <c r="K123" i="2"/>
  <c r="F123" i="2"/>
  <c r="N122" i="2"/>
  <c r="M122" i="2"/>
  <c r="K122" i="2"/>
  <c r="F122" i="2"/>
  <c r="N121" i="2"/>
  <c r="M121" i="2"/>
  <c r="K121" i="2"/>
  <c r="F121" i="2"/>
  <c r="N120" i="2"/>
  <c r="M120" i="2"/>
  <c r="K120" i="2"/>
  <c r="F120" i="2"/>
  <c r="N119" i="2"/>
  <c r="M119" i="2"/>
  <c r="K119" i="2"/>
  <c r="F119" i="2"/>
  <c r="N118" i="2"/>
  <c r="M118" i="2"/>
  <c r="K118" i="2"/>
  <c r="F118" i="2"/>
  <c r="N117" i="2"/>
  <c r="M117" i="2"/>
  <c r="K117" i="2"/>
  <c r="F117" i="2"/>
  <c r="N116" i="2"/>
  <c r="M116" i="2"/>
  <c r="K116" i="2"/>
  <c r="F116" i="2"/>
  <c r="N115" i="2"/>
  <c r="M115" i="2"/>
  <c r="K115" i="2"/>
  <c r="F115" i="2"/>
  <c r="N114" i="2"/>
  <c r="M114" i="2"/>
  <c r="K114" i="2"/>
  <c r="F114" i="2"/>
  <c r="N113" i="2"/>
  <c r="M113" i="2"/>
  <c r="K113" i="2"/>
  <c r="F113" i="2"/>
  <c r="N112" i="2"/>
  <c r="M112" i="2"/>
  <c r="K112" i="2"/>
  <c r="F112" i="2"/>
  <c r="N111" i="2"/>
  <c r="M111" i="2"/>
  <c r="K111" i="2"/>
  <c r="F111" i="2"/>
  <c r="N110" i="2"/>
  <c r="M110" i="2"/>
  <c r="K110" i="2"/>
  <c r="F110" i="2"/>
  <c r="N109" i="2"/>
  <c r="M109" i="2"/>
  <c r="K109" i="2"/>
  <c r="F109" i="2"/>
  <c r="N108" i="2"/>
  <c r="M108" i="2"/>
  <c r="K108" i="2"/>
  <c r="F108" i="2"/>
  <c r="N107" i="2"/>
  <c r="M107" i="2"/>
  <c r="K107" i="2"/>
  <c r="F107" i="2"/>
  <c r="N106" i="2"/>
  <c r="M106" i="2"/>
  <c r="K106" i="2"/>
  <c r="F106" i="2"/>
  <c r="N105" i="2"/>
  <c r="M105" i="2"/>
  <c r="K105" i="2"/>
  <c r="F105" i="2"/>
  <c r="N104" i="2"/>
  <c r="M104" i="2"/>
  <c r="K104" i="2"/>
  <c r="F104" i="2"/>
  <c r="N103" i="2"/>
  <c r="M103" i="2"/>
  <c r="K103" i="2"/>
  <c r="F103" i="2"/>
  <c r="N102" i="2"/>
  <c r="M102" i="2"/>
  <c r="K102" i="2"/>
  <c r="F102" i="2"/>
  <c r="N101" i="2"/>
  <c r="M101" i="2"/>
  <c r="K101" i="2"/>
  <c r="F101" i="2"/>
  <c r="N100" i="2"/>
  <c r="M100" i="2"/>
  <c r="K100" i="2"/>
  <c r="F100" i="2"/>
  <c r="N99" i="2"/>
  <c r="M99" i="2"/>
  <c r="K99" i="2"/>
  <c r="F99" i="2"/>
  <c r="N98" i="2"/>
  <c r="M98" i="2"/>
  <c r="K98" i="2"/>
  <c r="F98" i="2"/>
  <c r="N97" i="2"/>
  <c r="M97" i="2"/>
  <c r="K97" i="2"/>
  <c r="F97" i="2"/>
  <c r="N96" i="2"/>
  <c r="M96" i="2"/>
  <c r="K96" i="2"/>
  <c r="F96" i="2"/>
  <c r="N95" i="2"/>
  <c r="M95" i="2"/>
  <c r="K95" i="2"/>
  <c r="F95" i="2"/>
  <c r="N94" i="2"/>
  <c r="M94" i="2"/>
  <c r="K94" i="2"/>
  <c r="F94" i="2"/>
  <c r="N93" i="2"/>
  <c r="M93" i="2"/>
  <c r="K93" i="2"/>
  <c r="F93" i="2"/>
  <c r="N92" i="2"/>
  <c r="M92" i="2"/>
  <c r="K92" i="2"/>
  <c r="F92" i="2"/>
  <c r="N91" i="2"/>
  <c r="M91" i="2"/>
  <c r="K91" i="2"/>
  <c r="F91" i="2"/>
  <c r="N90" i="2"/>
  <c r="M90" i="2"/>
  <c r="K90" i="2"/>
  <c r="F90" i="2"/>
  <c r="N89" i="2"/>
  <c r="M89" i="2"/>
  <c r="K89" i="2"/>
  <c r="F89" i="2"/>
  <c r="N88" i="2"/>
  <c r="M88" i="2"/>
  <c r="K88" i="2"/>
  <c r="F88" i="2"/>
  <c r="N87" i="2"/>
  <c r="M87" i="2"/>
  <c r="K87" i="2"/>
  <c r="F87" i="2"/>
  <c r="N86" i="2"/>
  <c r="M86" i="2"/>
  <c r="K86" i="2"/>
  <c r="F86" i="2"/>
  <c r="N85" i="2"/>
  <c r="M85" i="2"/>
  <c r="K85" i="2"/>
  <c r="F85" i="2"/>
  <c r="N84" i="2"/>
  <c r="M84" i="2"/>
  <c r="K84" i="2"/>
  <c r="F84" i="2"/>
  <c r="N83" i="2"/>
  <c r="M83" i="2"/>
  <c r="K83" i="2"/>
  <c r="F83" i="2"/>
  <c r="N82" i="2"/>
  <c r="M82" i="2"/>
  <c r="K82" i="2"/>
  <c r="F82" i="2"/>
  <c r="N81" i="2"/>
  <c r="M81" i="2"/>
  <c r="K81" i="2"/>
  <c r="F81" i="2"/>
  <c r="N80" i="2"/>
  <c r="M80" i="2"/>
  <c r="K80" i="2"/>
  <c r="F80" i="2"/>
  <c r="N79" i="2"/>
  <c r="M79" i="2"/>
  <c r="K79" i="2"/>
  <c r="F79" i="2"/>
  <c r="N78" i="2"/>
  <c r="M78" i="2"/>
  <c r="K78" i="2"/>
  <c r="F78" i="2"/>
  <c r="N77" i="2"/>
  <c r="M77" i="2"/>
  <c r="K77" i="2"/>
  <c r="F77" i="2"/>
  <c r="N76" i="2"/>
  <c r="M76" i="2"/>
  <c r="K76" i="2"/>
  <c r="F76" i="2"/>
  <c r="N75" i="2"/>
  <c r="M75" i="2"/>
  <c r="K75" i="2"/>
  <c r="F75" i="2"/>
  <c r="N74" i="2"/>
  <c r="M74" i="2"/>
  <c r="K74" i="2"/>
  <c r="F74" i="2"/>
  <c r="N73" i="2"/>
  <c r="M73" i="2"/>
  <c r="K73" i="2"/>
  <c r="F73" i="2"/>
  <c r="N72" i="2"/>
  <c r="M72" i="2"/>
  <c r="K72" i="2"/>
  <c r="F72" i="2"/>
  <c r="N71" i="2"/>
  <c r="M71" i="2"/>
  <c r="K71" i="2"/>
  <c r="F71" i="2"/>
  <c r="N70" i="2"/>
  <c r="M70" i="2"/>
  <c r="K70" i="2"/>
  <c r="F70" i="2"/>
  <c r="N69" i="2"/>
  <c r="M69" i="2"/>
  <c r="K69" i="2"/>
  <c r="F69" i="2"/>
  <c r="N68" i="2"/>
  <c r="K68" i="2"/>
  <c r="F68" i="2"/>
  <c r="N67" i="2"/>
  <c r="K67" i="2"/>
  <c r="F67" i="2"/>
  <c r="N66" i="2"/>
  <c r="K66" i="2"/>
  <c r="F66" i="2"/>
  <c r="N65" i="2"/>
  <c r="K65" i="2"/>
  <c r="F65" i="2"/>
  <c r="N64" i="2"/>
  <c r="K64" i="2"/>
  <c r="F64" i="2"/>
  <c r="N63" i="2"/>
  <c r="K63" i="2"/>
  <c r="F63" i="2"/>
  <c r="N62" i="2"/>
  <c r="K62" i="2"/>
  <c r="F62" i="2"/>
  <c r="N61" i="2"/>
  <c r="K61" i="2"/>
  <c r="F61" i="2"/>
  <c r="N60" i="2"/>
  <c r="K60" i="2"/>
  <c r="F60" i="2"/>
  <c r="N59" i="2"/>
  <c r="K59" i="2"/>
  <c r="F59" i="2"/>
  <c r="N58" i="2"/>
  <c r="K58" i="2"/>
  <c r="F58" i="2"/>
  <c r="N57" i="2"/>
  <c r="K57" i="2"/>
  <c r="F57" i="2"/>
  <c r="N56" i="2"/>
  <c r="K56" i="2"/>
  <c r="F56" i="2"/>
  <c r="N55" i="2"/>
  <c r="K55" i="2"/>
  <c r="F55" i="2"/>
  <c r="N54" i="2"/>
  <c r="K54" i="2"/>
  <c r="F54" i="2"/>
  <c r="N53" i="2"/>
  <c r="K53" i="2"/>
  <c r="F53" i="2"/>
  <c r="N52" i="2"/>
  <c r="K52" i="2"/>
  <c r="F52" i="2"/>
  <c r="N51" i="2"/>
  <c r="K51" i="2"/>
  <c r="F51" i="2"/>
  <c r="N50" i="2"/>
  <c r="K50" i="2"/>
  <c r="F50" i="2"/>
  <c r="N49" i="2"/>
  <c r="K49" i="2"/>
  <c r="F49" i="2"/>
  <c r="N48" i="2"/>
  <c r="K48" i="2"/>
  <c r="F48" i="2"/>
  <c r="N47" i="2"/>
  <c r="K47" i="2"/>
  <c r="F47" i="2"/>
  <c r="N46" i="2"/>
  <c r="K46" i="2"/>
  <c r="F46" i="2"/>
  <c r="N45" i="2"/>
  <c r="K45" i="2"/>
  <c r="F45" i="2"/>
  <c r="N44" i="2"/>
  <c r="K44" i="2"/>
  <c r="F44" i="2"/>
  <c r="N43" i="2"/>
  <c r="K43" i="2"/>
  <c r="F43" i="2"/>
  <c r="N42" i="2"/>
  <c r="K42" i="2"/>
  <c r="F42" i="2"/>
  <c r="N41" i="2"/>
  <c r="K41" i="2"/>
  <c r="F41" i="2"/>
  <c r="N40" i="2"/>
  <c r="K40" i="2"/>
  <c r="F40" i="2"/>
  <c r="N39" i="2"/>
  <c r="K39" i="2"/>
  <c r="F39" i="2"/>
  <c r="N38" i="2"/>
  <c r="K38" i="2"/>
  <c r="F38" i="2"/>
  <c r="N37" i="2"/>
  <c r="K37" i="2"/>
  <c r="F37" i="2"/>
  <c r="N36" i="2"/>
  <c r="F36" i="2"/>
  <c r="N35" i="2"/>
  <c r="K35" i="2"/>
  <c r="F35" i="2"/>
  <c r="N34" i="2"/>
  <c r="K34" i="2"/>
  <c r="F34" i="2"/>
  <c r="N33" i="2"/>
  <c r="K33" i="2"/>
  <c r="F33" i="2"/>
  <c r="N32" i="2"/>
  <c r="K32" i="2"/>
  <c r="F32" i="2"/>
  <c r="N31" i="2"/>
  <c r="K31" i="2"/>
  <c r="F31" i="2"/>
  <c r="N30" i="2"/>
  <c r="K30" i="2"/>
  <c r="F30" i="2"/>
  <c r="N29" i="2"/>
  <c r="K29" i="2"/>
  <c r="F29" i="2"/>
  <c r="N28" i="2"/>
  <c r="K28" i="2"/>
  <c r="F28" i="2"/>
  <c r="N27" i="2"/>
  <c r="K27" i="2"/>
  <c r="F27" i="2"/>
  <c r="N26" i="2"/>
  <c r="K26" i="2"/>
  <c r="F26" i="2"/>
  <c r="N25" i="2"/>
  <c r="K25" i="2"/>
  <c r="F25" i="2"/>
  <c r="N24" i="2"/>
  <c r="K24" i="2"/>
  <c r="F24" i="2"/>
  <c r="N23" i="2"/>
  <c r="K23" i="2"/>
  <c r="F23" i="2"/>
  <c r="N22" i="2"/>
  <c r="K22" i="2"/>
  <c r="F22" i="2"/>
  <c r="N21" i="2"/>
  <c r="K21" i="2"/>
  <c r="F21" i="2"/>
  <c r="N20" i="2"/>
  <c r="K20" i="2"/>
  <c r="F20" i="2"/>
  <c r="N19" i="2"/>
  <c r="K19" i="2"/>
  <c r="F19" i="2"/>
  <c r="N18" i="2"/>
  <c r="K18" i="2"/>
  <c r="F18" i="2"/>
  <c r="N17" i="2"/>
  <c r="K17" i="2"/>
  <c r="F17" i="2"/>
  <c r="N16" i="2"/>
  <c r="K16" i="2"/>
  <c r="F16" i="2"/>
  <c r="N15" i="2"/>
  <c r="K15" i="2"/>
  <c r="F15" i="2"/>
  <c r="N14" i="2"/>
  <c r="K14" i="2"/>
  <c r="F14" i="2"/>
  <c r="N13" i="2"/>
  <c r="K13" i="2"/>
  <c r="F13" i="2"/>
  <c r="N12" i="2"/>
  <c r="K12" i="2"/>
  <c r="F12" i="2"/>
  <c r="N11" i="2"/>
  <c r="K11" i="2"/>
  <c r="F11" i="2"/>
  <c r="N10" i="2"/>
  <c r="K10" i="2"/>
  <c r="F10" i="2"/>
  <c r="N9" i="2"/>
  <c r="K9" i="2"/>
  <c r="I9" i="2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F9" i="2"/>
  <c r="N8" i="2"/>
  <c r="K8" i="2"/>
  <c r="F8" i="2"/>
  <c r="N7" i="2"/>
  <c r="K7" i="2"/>
  <c r="I7" i="2"/>
  <c r="I8" i="2" s="1"/>
  <c r="F7" i="2"/>
  <c r="N6" i="2"/>
  <c r="K6" i="2"/>
  <c r="F6" i="2"/>
  <c r="N5" i="2"/>
  <c r="K5" i="2"/>
  <c r="I5" i="2"/>
  <c r="I6" i="2" s="1"/>
  <c r="F5" i="2"/>
  <c r="I500" i="21"/>
  <c r="H500" i="21"/>
  <c r="G500" i="21"/>
  <c r="F500" i="21"/>
  <c r="E500" i="21"/>
  <c r="D500" i="21"/>
  <c r="C500" i="21"/>
  <c r="B500" i="21"/>
  <c r="A500" i="21"/>
  <c r="I499" i="21"/>
  <c r="H499" i="21"/>
  <c r="J499" i="21" s="1"/>
  <c r="G499" i="21"/>
  <c r="F499" i="21"/>
  <c r="E499" i="21"/>
  <c r="D499" i="21"/>
  <c r="B499" i="21"/>
  <c r="A499" i="21"/>
  <c r="I498" i="21"/>
  <c r="H498" i="21"/>
  <c r="J498" i="21" s="1"/>
  <c r="G498" i="21"/>
  <c r="F498" i="21"/>
  <c r="E498" i="21"/>
  <c r="D498" i="21"/>
  <c r="C498" i="21"/>
  <c r="B498" i="21"/>
  <c r="A498" i="21"/>
  <c r="I497" i="21"/>
  <c r="H497" i="21"/>
  <c r="J497" i="21" s="1"/>
  <c r="G497" i="21"/>
  <c r="F497" i="21"/>
  <c r="E497" i="21"/>
  <c r="D497" i="21"/>
  <c r="B497" i="21"/>
  <c r="A497" i="21"/>
  <c r="I496" i="21"/>
  <c r="H496" i="21"/>
  <c r="J496" i="21" s="1"/>
  <c r="G496" i="21"/>
  <c r="F496" i="21"/>
  <c r="E496" i="21"/>
  <c r="D496" i="21"/>
  <c r="B496" i="21"/>
  <c r="A496" i="21"/>
  <c r="I495" i="21"/>
  <c r="H495" i="21"/>
  <c r="G495" i="21"/>
  <c r="F495" i="21"/>
  <c r="E495" i="21"/>
  <c r="D495" i="21"/>
  <c r="B495" i="21"/>
  <c r="A495" i="21"/>
  <c r="I494" i="21"/>
  <c r="H494" i="21"/>
  <c r="J494" i="21" s="1"/>
  <c r="G494" i="21"/>
  <c r="F494" i="21"/>
  <c r="E494" i="21"/>
  <c r="D494" i="21"/>
  <c r="B494" i="21"/>
  <c r="A494" i="21"/>
  <c r="I493" i="21"/>
  <c r="H493" i="21"/>
  <c r="J493" i="21" s="1"/>
  <c r="G493" i="21"/>
  <c r="F493" i="21"/>
  <c r="E493" i="21"/>
  <c r="D493" i="21"/>
  <c r="B493" i="21"/>
  <c r="A493" i="21"/>
  <c r="I492" i="21"/>
  <c r="H492" i="21"/>
  <c r="J492" i="21" s="1"/>
  <c r="G492" i="21"/>
  <c r="F492" i="21"/>
  <c r="E492" i="21"/>
  <c r="D492" i="21"/>
  <c r="B492" i="21"/>
  <c r="A492" i="21"/>
  <c r="I491" i="21"/>
  <c r="H491" i="21"/>
  <c r="G491" i="21"/>
  <c r="F491" i="21"/>
  <c r="E491" i="21"/>
  <c r="D491" i="21"/>
  <c r="B491" i="21"/>
  <c r="A491" i="21"/>
  <c r="I490" i="21"/>
  <c r="H490" i="21"/>
  <c r="J490" i="21" s="1"/>
  <c r="G490" i="21"/>
  <c r="F490" i="21"/>
  <c r="E490" i="21"/>
  <c r="D490" i="21"/>
  <c r="C490" i="21"/>
  <c r="B490" i="21"/>
  <c r="A490" i="21"/>
  <c r="I489" i="21"/>
  <c r="H489" i="21"/>
  <c r="G489" i="21"/>
  <c r="F489" i="21"/>
  <c r="E489" i="21"/>
  <c r="D489" i="21"/>
  <c r="B489" i="21"/>
  <c r="A489" i="21"/>
  <c r="I488" i="21"/>
  <c r="H488" i="21"/>
  <c r="G488" i="21"/>
  <c r="F488" i="21"/>
  <c r="E488" i="21"/>
  <c r="D488" i="21"/>
  <c r="C488" i="21"/>
  <c r="B488" i="21"/>
  <c r="A488" i="21"/>
  <c r="I487" i="21"/>
  <c r="H487" i="21"/>
  <c r="G487" i="21"/>
  <c r="F487" i="21"/>
  <c r="E487" i="21"/>
  <c r="D487" i="21"/>
  <c r="B487" i="21"/>
  <c r="A487" i="21"/>
  <c r="I486" i="21"/>
  <c r="H486" i="21"/>
  <c r="J486" i="21" s="1"/>
  <c r="G486" i="21"/>
  <c r="F486" i="21"/>
  <c r="E486" i="21"/>
  <c r="D486" i="21"/>
  <c r="C486" i="21"/>
  <c r="B486" i="21"/>
  <c r="A486" i="21"/>
  <c r="I485" i="21"/>
  <c r="H485" i="21"/>
  <c r="J485" i="21" s="1"/>
  <c r="G485" i="21"/>
  <c r="F485" i="21"/>
  <c r="E485" i="21"/>
  <c r="D485" i="21"/>
  <c r="C485" i="21"/>
  <c r="B485" i="21"/>
  <c r="A485" i="21"/>
  <c r="J484" i="21"/>
  <c r="I484" i="21"/>
  <c r="H484" i="21"/>
  <c r="G484" i="21"/>
  <c r="F484" i="21"/>
  <c r="E484" i="21"/>
  <c r="D484" i="21"/>
  <c r="C484" i="21"/>
  <c r="B484" i="21"/>
  <c r="A484" i="21"/>
  <c r="J483" i="21"/>
  <c r="I483" i="21"/>
  <c r="H483" i="21"/>
  <c r="G483" i="21"/>
  <c r="F483" i="21"/>
  <c r="E483" i="21"/>
  <c r="D483" i="21"/>
  <c r="C483" i="21"/>
  <c r="B483" i="21"/>
  <c r="A483" i="21"/>
  <c r="I482" i="21"/>
  <c r="H482" i="21"/>
  <c r="G482" i="21"/>
  <c r="F482" i="21"/>
  <c r="E482" i="21"/>
  <c r="D482" i="21"/>
  <c r="B482" i="21"/>
  <c r="A482" i="21"/>
  <c r="I481" i="21"/>
  <c r="H481" i="21"/>
  <c r="J481" i="21" s="1"/>
  <c r="G481" i="21"/>
  <c r="F481" i="21"/>
  <c r="E481" i="21"/>
  <c r="D481" i="21"/>
  <c r="B481" i="21"/>
  <c r="A481" i="21"/>
  <c r="I480" i="21"/>
  <c r="H480" i="21"/>
  <c r="J480" i="21" s="1"/>
  <c r="G480" i="21"/>
  <c r="F480" i="21"/>
  <c r="E480" i="21"/>
  <c r="D480" i="21"/>
  <c r="C480" i="21"/>
  <c r="B480" i="21"/>
  <c r="A480" i="21"/>
  <c r="I479" i="21"/>
  <c r="H479" i="21"/>
  <c r="G479" i="21"/>
  <c r="F479" i="21"/>
  <c r="E479" i="21"/>
  <c r="D479" i="21"/>
  <c r="B479" i="21"/>
  <c r="A479" i="21"/>
  <c r="I478" i="21"/>
  <c r="H478" i="21"/>
  <c r="G478" i="21"/>
  <c r="F478" i="21"/>
  <c r="E478" i="21"/>
  <c r="D478" i="21"/>
  <c r="C478" i="21"/>
  <c r="B478" i="21"/>
  <c r="A478" i="21"/>
  <c r="I477" i="21"/>
  <c r="H477" i="21"/>
  <c r="J477" i="21" s="1"/>
  <c r="G477" i="21"/>
  <c r="F477" i="21"/>
  <c r="E477" i="21"/>
  <c r="D477" i="21"/>
  <c r="C477" i="21"/>
  <c r="B477" i="21"/>
  <c r="A477" i="21"/>
  <c r="I476" i="21"/>
  <c r="H476" i="21"/>
  <c r="J476" i="21" s="1"/>
  <c r="G476" i="21"/>
  <c r="F476" i="21"/>
  <c r="E476" i="21"/>
  <c r="D476" i="21"/>
  <c r="B476" i="21"/>
  <c r="A476" i="21"/>
  <c r="I475" i="21"/>
  <c r="H475" i="21"/>
  <c r="G475" i="21"/>
  <c r="F475" i="21"/>
  <c r="E475" i="21"/>
  <c r="D475" i="21"/>
  <c r="B475" i="21"/>
  <c r="A475" i="21"/>
  <c r="I474" i="21"/>
  <c r="H474" i="21"/>
  <c r="J474" i="21" s="1"/>
  <c r="G474" i="21"/>
  <c r="F474" i="21"/>
  <c r="E474" i="21"/>
  <c r="D474" i="21"/>
  <c r="C474" i="21"/>
  <c r="B474" i="21"/>
  <c r="A474" i="21"/>
  <c r="I473" i="21"/>
  <c r="H473" i="21"/>
  <c r="J473" i="21" s="1"/>
  <c r="G473" i="21"/>
  <c r="F473" i="21"/>
  <c r="E473" i="21"/>
  <c r="D473" i="21"/>
  <c r="B473" i="21"/>
  <c r="A473" i="21"/>
  <c r="I472" i="21"/>
  <c r="H472" i="21"/>
  <c r="G472" i="21"/>
  <c r="F472" i="21"/>
  <c r="E472" i="21"/>
  <c r="D472" i="21"/>
  <c r="B472" i="21"/>
  <c r="A472" i="21"/>
  <c r="I471" i="21"/>
  <c r="H471" i="21"/>
  <c r="G471" i="21"/>
  <c r="F471" i="21"/>
  <c r="E471" i="21"/>
  <c r="D471" i="21"/>
  <c r="B471" i="21"/>
  <c r="A471" i="21"/>
  <c r="I470" i="21"/>
  <c r="H470" i="21"/>
  <c r="J470" i="21" s="1"/>
  <c r="G470" i="21"/>
  <c r="F470" i="21"/>
  <c r="E470" i="21"/>
  <c r="D470" i="21"/>
  <c r="C470" i="21"/>
  <c r="B470" i="21"/>
  <c r="A470" i="21"/>
  <c r="I469" i="21"/>
  <c r="H469" i="21"/>
  <c r="J469" i="21" s="1"/>
  <c r="G469" i="21"/>
  <c r="F469" i="21"/>
  <c r="E469" i="21"/>
  <c r="D469" i="21"/>
  <c r="B469" i="21"/>
  <c r="A469" i="21"/>
  <c r="I468" i="21"/>
  <c r="H468" i="21"/>
  <c r="J468" i="21" s="1"/>
  <c r="G468" i="21"/>
  <c r="F468" i="21"/>
  <c r="E468" i="21"/>
  <c r="D468" i="21"/>
  <c r="B468" i="21"/>
  <c r="A468" i="21"/>
  <c r="I467" i="21"/>
  <c r="H467" i="21"/>
  <c r="J467" i="21" s="1"/>
  <c r="G467" i="21"/>
  <c r="F467" i="21"/>
  <c r="E467" i="21"/>
  <c r="D467" i="21"/>
  <c r="B467" i="21"/>
  <c r="A467" i="21"/>
  <c r="I466" i="21"/>
  <c r="H466" i="21"/>
  <c r="G466" i="21"/>
  <c r="F466" i="21"/>
  <c r="E466" i="21"/>
  <c r="D466" i="21"/>
  <c r="C466" i="21"/>
  <c r="B466" i="21"/>
  <c r="A466" i="21"/>
  <c r="I465" i="21"/>
  <c r="H465" i="21"/>
  <c r="G465" i="21"/>
  <c r="F465" i="21"/>
  <c r="E465" i="21"/>
  <c r="D465" i="21"/>
  <c r="B465" i="21"/>
  <c r="A465" i="21"/>
  <c r="I464" i="21"/>
  <c r="H464" i="21"/>
  <c r="J464" i="21" s="1"/>
  <c r="G464" i="21"/>
  <c r="F464" i="21"/>
  <c r="E464" i="21"/>
  <c r="D464" i="21"/>
  <c r="C464" i="21"/>
  <c r="B464" i="21"/>
  <c r="A464" i="21"/>
  <c r="I463" i="21"/>
  <c r="H463" i="21"/>
  <c r="J463" i="21" s="1"/>
  <c r="G463" i="21"/>
  <c r="F463" i="21"/>
  <c r="E463" i="21"/>
  <c r="D463" i="21"/>
  <c r="B463" i="21"/>
  <c r="A463" i="21"/>
  <c r="I462" i="21"/>
  <c r="H462" i="21"/>
  <c r="J462" i="21" s="1"/>
  <c r="G462" i="21"/>
  <c r="F462" i="21"/>
  <c r="E462" i="21"/>
  <c r="D462" i="21"/>
  <c r="B462" i="21"/>
  <c r="A462" i="21"/>
  <c r="I461" i="21"/>
  <c r="H461" i="21"/>
  <c r="J461" i="21" s="1"/>
  <c r="G461" i="21"/>
  <c r="F461" i="21"/>
  <c r="E461" i="21"/>
  <c r="D461" i="21"/>
  <c r="C461" i="21"/>
  <c r="B461" i="21"/>
  <c r="A461" i="21"/>
  <c r="I460" i="21"/>
  <c r="H460" i="21"/>
  <c r="G460" i="21"/>
  <c r="F460" i="21"/>
  <c r="E460" i="21"/>
  <c r="D460" i="21"/>
  <c r="B460" i="21"/>
  <c r="A460" i="21"/>
  <c r="I459" i="21"/>
  <c r="H459" i="21"/>
  <c r="G459" i="21"/>
  <c r="F459" i="21"/>
  <c r="E459" i="21"/>
  <c r="D459" i="21"/>
  <c r="B459" i="21"/>
  <c r="A459" i="21"/>
  <c r="I458" i="21"/>
  <c r="H458" i="21"/>
  <c r="G458" i="21"/>
  <c r="F458" i="21"/>
  <c r="E458" i="21"/>
  <c r="D458" i="21"/>
  <c r="B458" i="21"/>
  <c r="A458" i="21"/>
  <c r="I457" i="21"/>
  <c r="H457" i="21"/>
  <c r="J457" i="21" s="1"/>
  <c r="G457" i="21"/>
  <c r="F457" i="21"/>
  <c r="E457" i="21"/>
  <c r="D457" i="21"/>
  <c r="B457" i="21"/>
  <c r="A457" i="21"/>
  <c r="I456" i="21"/>
  <c r="H456" i="21"/>
  <c r="G456" i="21"/>
  <c r="F456" i="21"/>
  <c r="E456" i="21"/>
  <c r="D456" i="21"/>
  <c r="C456" i="21"/>
  <c r="B456" i="21"/>
  <c r="A456" i="21"/>
  <c r="I455" i="21"/>
  <c r="H455" i="21"/>
  <c r="G455" i="21"/>
  <c r="F455" i="21"/>
  <c r="E455" i="21"/>
  <c r="D455" i="21"/>
  <c r="B455" i="21"/>
  <c r="A455" i="21"/>
  <c r="I454" i="21"/>
  <c r="J454" i="21" s="1"/>
  <c r="H454" i="21"/>
  <c r="G454" i="21"/>
  <c r="F454" i="21"/>
  <c r="E454" i="21"/>
  <c r="D454" i="21"/>
  <c r="B454" i="21"/>
  <c r="A454" i="21"/>
  <c r="I453" i="21"/>
  <c r="H453" i="21"/>
  <c r="G453" i="21"/>
  <c r="F453" i="21"/>
  <c r="E453" i="21"/>
  <c r="D453" i="21"/>
  <c r="C453" i="21"/>
  <c r="B453" i="21"/>
  <c r="A453" i="21"/>
  <c r="I452" i="21"/>
  <c r="H452" i="21"/>
  <c r="G452" i="21"/>
  <c r="F452" i="21"/>
  <c r="E452" i="21"/>
  <c r="D452" i="21"/>
  <c r="C452" i="21"/>
  <c r="B452" i="21"/>
  <c r="A452" i="21"/>
  <c r="I451" i="21"/>
  <c r="H451" i="21"/>
  <c r="G451" i="21"/>
  <c r="F451" i="21"/>
  <c r="E451" i="21"/>
  <c r="D451" i="21"/>
  <c r="B451" i="21"/>
  <c r="A451" i="21"/>
  <c r="I450" i="21"/>
  <c r="H450" i="21"/>
  <c r="G450" i="21"/>
  <c r="F450" i="21"/>
  <c r="E450" i="21"/>
  <c r="D450" i="21"/>
  <c r="C450" i="21"/>
  <c r="B450" i="21"/>
  <c r="A450" i="21"/>
  <c r="I449" i="21"/>
  <c r="H449" i="21"/>
  <c r="J449" i="21" s="1"/>
  <c r="G449" i="21"/>
  <c r="F449" i="21"/>
  <c r="E449" i="21"/>
  <c r="D449" i="21"/>
  <c r="B449" i="21"/>
  <c r="A449" i="21"/>
  <c r="I448" i="21"/>
  <c r="H448" i="21"/>
  <c r="G448" i="21"/>
  <c r="F448" i="21"/>
  <c r="E448" i="21"/>
  <c r="D448" i="21"/>
  <c r="B448" i="21"/>
  <c r="A448" i="21"/>
  <c r="I447" i="21"/>
  <c r="H447" i="21"/>
  <c r="G447" i="21"/>
  <c r="F447" i="21"/>
  <c r="E447" i="21"/>
  <c r="D447" i="21"/>
  <c r="B447" i="21"/>
  <c r="A447" i="21"/>
  <c r="I446" i="21"/>
  <c r="H446" i="21"/>
  <c r="G446" i="21"/>
  <c r="F446" i="21"/>
  <c r="E446" i="21"/>
  <c r="D446" i="21"/>
  <c r="B446" i="21"/>
  <c r="A446" i="21"/>
  <c r="I445" i="21"/>
  <c r="H445" i="21"/>
  <c r="J445" i="21" s="1"/>
  <c r="G445" i="21"/>
  <c r="F445" i="21"/>
  <c r="E445" i="21"/>
  <c r="D445" i="21"/>
  <c r="B445" i="21"/>
  <c r="A445" i="21"/>
  <c r="I444" i="21"/>
  <c r="H444" i="21"/>
  <c r="G444" i="21"/>
  <c r="F444" i="21"/>
  <c r="E444" i="21"/>
  <c r="D444" i="21"/>
  <c r="B444" i="21"/>
  <c r="A444" i="21"/>
  <c r="I443" i="21"/>
  <c r="H443" i="21"/>
  <c r="G443" i="21"/>
  <c r="F443" i="21"/>
  <c r="E443" i="21"/>
  <c r="D443" i="21"/>
  <c r="B443" i="21"/>
  <c r="A443" i="21"/>
  <c r="I442" i="21"/>
  <c r="H442" i="21"/>
  <c r="G442" i="21"/>
  <c r="F442" i="21"/>
  <c r="E442" i="21"/>
  <c r="D442" i="21"/>
  <c r="C442" i="21"/>
  <c r="B442" i="21"/>
  <c r="A442" i="21"/>
  <c r="I441" i="21"/>
  <c r="H441" i="21"/>
  <c r="G441" i="21"/>
  <c r="F441" i="21"/>
  <c r="E441" i="21"/>
  <c r="D441" i="21"/>
  <c r="B441" i="21"/>
  <c r="A441" i="21"/>
  <c r="I440" i="21"/>
  <c r="H440" i="21"/>
  <c r="G440" i="21"/>
  <c r="F440" i="21"/>
  <c r="E440" i="21"/>
  <c r="D440" i="21"/>
  <c r="C440" i="21"/>
  <c r="B440" i="21"/>
  <c r="A440" i="21"/>
  <c r="I439" i="21"/>
  <c r="H439" i="21"/>
  <c r="G439" i="21"/>
  <c r="F439" i="21"/>
  <c r="E439" i="21"/>
  <c r="D439" i="21"/>
  <c r="B439" i="21"/>
  <c r="A439" i="21"/>
  <c r="I438" i="21"/>
  <c r="H438" i="21"/>
  <c r="G438" i="21"/>
  <c r="F438" i="21"/>
  <c r="E438" i="21"/>
  <c r="D438" i="21"/>
  <c r="B438" i="21"/>
  <c r="A438" i="21"/>
  <c r="I437" i="21"/>
  <c r="H437" i="21"/>
  <c r="J437" i="21" s="1"/>
  <c r="G437" i="21"/>
  <c r="F437" i="21"/>
  <c r="E437" i="21"/>
  <c r="D437" i="21"/>
  <c r="C437" i="21"/>
  <c r="B437" i="21"/>
  <c r="A437" i="21"/>
  <c r="I436" i="21"/>
  <c r="H436" i="21"/>
  <c r="G436" i="21"/>
  <c r="F436" i="21"/>
  <c r="E436" i="21"/>
  <c r="D436" i="21"/>
  <c r="C436" i="21"/>
  <c r="B436" i="21"/>
  <c r="A436" i="21"/>
  <c r="I435" i="21"/>
  <c r="H435" i="21"/>
  <c r="G435" i="21"/>
  <c r="F435" i="21"/>
  <c r="E435" i="21"/>
  <c r="D435" i="21"/>
  <c r="B435" i="21"/>
  <c r="A435" i="21"/>
  <c r="I434" i="21"/>
  <c r="H434" i="21"/>
  <c r="J434" i="21" s="1"/>
  <c r="G434" i="21"/>
  <c r="F434" i="21"/>
  <c r="E434" i="21"/>
  <c r="D434" i="21"/>
  <c r="B434" i="21"/>
  <c r="A434" i="21"/>
  <c r="I433" i="21"/>
  <c r="H433" i="21"/>
  <c r="J433" i="21" s="1"/>
  <c r="G433" i="21"/>
  <c r="F433" i="21"/>
  <c r="E433" i="21"/>
  <c r="D433" i="21"/>
  <c r="B433" i="21"/>
  <c r="A433" i="21"/>
  <c r="I432" i="21"/>
  <c r="H432" i="21"/>
  <c r="G432" i="21"/>
  <c r="F432" i="21"/>
  <c r="E432" i="21"/>
  <c r="D432" i="21"/>
  <c r="C432" i="21"/>
  <c r="B432" i="21"/>
  <c r="A432" i="21"/>
  <c r="I431" i="21"/>
  <c r="H431" i="21"/>
  <c r="G431" i="21"/>
  <c r="F431" i="21"/>
  <c r="E431" i="21"/>
  <c r="D431" i="21"/>
  <c r="B431" i="21"/>
  <c r="A431" i="21"/>
  <c r="I430" i="21"/>
  <c r="H430" i="21"/>
  <c r="J430" i="21" s="1"/>
  <c r="G430" i="21"/>
  <c r="F430" i="21"/>
  <c r="E430" i="21"/>
  <c r="D430" i="21"/>
  <c r="C430" i="21"/>
  <c r="B430" i="21"/>
  <c r="A430" i="21"/>
  <c r="I429" i="21"/>
  <c r="H429" i="21"/>
  <c r="G429" i="21"/>
  <c r="F429" i="21"/>
  <c r="E429" i="21"/>
  <c r="D429" i="21"/>
  <c r="C429" i="21"/>
  <c r="B429" i="21"/>
  <c r="A429" i="21"/>
  <c r="J428" i="21"/>
  <c r="I428" i="21"/>
  <c r="H428" i="21"/>
  <c r="G428" i="21"/>
  <c r="F428" i="21"/>
  <c r="E428" i="21"/>
  <c r="D428" i="21"/>
  <c r="C428" i="21"/>
  <c r="B428" i="21"/>
  <c r="A428" i="21"/>
  <c r="J427" i="21"/>
  <c r="I427" i="21"/>
  <c r="H427" i="21"/>
  <c r="G427" i="21"/>
  <c r="F427" i="21"/>
  <c r="E427" i="21"/>
  <c r="D427" i="21"/>
  <c r="C427" i="21"/>
  <c r="B427" i="21"/>
  <c r="A427" i="21"/>
  <c r="J426" i="21"/>
  <c r="I426" i="21"/>
  <c r="H426" i="21"/>
  <c r="G426" i="21"/>
  <c r="F426" i="21"/>
  <c r="E426" i="21"/>
  <c r="D426" i="21"/>
  <c r="C426" i="21"/>
  <c r="B426" i="21"/>
  <c r="A426" i="21"/>
  <c r="J425" i="21"/>
  <c r="I425" i="21"/>
  <c r="H425" i="21"/>
  <c r="G425" i="21"/>
  <c r="F425" i="21"/>
  <c r="E425" i="21"/>
  <c r="D425" i="21"/>
  <c r="C425" i="21"/>
  <c r="B425" i="21"/>
  <c r="A425" i="21"/>
  <c r="J424" i="21"/>
  <c r="I424" i="21"/>
  <c r="H424" i="21"/>
  <c r="G424" i="21"/>
  <c r="F424" i="21"/>
  <c r="E424" i="21"/>
  <c r="D424" i="21"/>
  <c r="C424" i="21"/>
  <c r="B424" i="21"/>
  <c r="A424" i="21"/>
  <c r="J423" i="21"/>
  <c r="I423" i="21"/>
  <c r="H423" i="21"/>
  <c r="G423" i="21"/>
  <c r="F423" i="21"/>
  <c r="E423" i="21"/>
  <c r="D423" i="21"/>
  <c r="C423" i="21"/>
  <c r="B423" i="21"/>
  <c r="A423" i="21"/>
  <c r="J422" i="21"/>
  <c r="I422" i="21"/>
  <c r="H422" i="21"/>
  <c r="G422" i="21"/>
  <c r="F422" i="21"/>
  <c r="E422" i="21"/>
  <c r="D422" i="21"/>
  <c r="C422" i="21"/>
  <c r="B422" i="21"/>
  <c r="A422" i="21"/>
  <c r="J421" i="21"/>
  <c r="I421" i="21"/>
  <c r="H421" i="21"/>
  <c r="G421" i="21"/>
  <c r="F421" i="21"/>
  <c r="E421" i="21"/>
  <c r="D421" i="21"/>
  <c r="C421" i="21"/>
  <c r="B421" i="21"/>
  <c r="A421" i="21"/>
  <c r="J420" i="21"/>
  <c r="I420" i="21"/>
  <c r="H420" i="21"/>
  <c r="G420" i="21"/>
  <c r="F420" i="21"/>
  <c r="E420" i="21"/>
  <c r="D420" i="21"/>
  <c r="C420" i="21"/>
  <c r="B420" i="21"/>
  <c r="A420" i="21"/>
  <c r="J419" i="21"/>
  <c r="I419" i="21"/>
  <c r="H419" i="21"/>
  <c r="G419" i="21"/>
  <c r="F419" i="21"/>
  <c r="E419" i="21"/>
  <c r="D419" i="21"/>
  <c r="C419" i="21"/>
  <c r="B419" i="21"/>
  <c r="A419" i="21"/>
  <c r="J418" i="21"/>
  <c r="I418" i="21"/>
  <c r="H418" i="21"/>
  <c r="G418" i="21"/>
  <c r="F418" i="21"/>
  <c r="E418" i="21"/>
  <c r="D418" i="21"/>
  <c r="C418" i="21"/>
  <c r="B418" i="21"/>
  <c r="A418" i="21"/>
  <c r="J417" i="21"/>
  <c r="I417" i="21"/>
  <c r="H417" i="21"/>
  <c r="G417" i="21"/>
  <c r="F417" i="21"/>
  <c r="E417" i="21"/>
  <c r="D417" i="21"/>
  <c r="C417" i="21"/>
  <c r="B417" i="21"/>
  <c r="A417" i="21"/>
  <c r="J416" i="21"/>
  <c r="I416" i="21"/>
  <c r="H416" i="21"/>
  <c r="G416" i="21"/>
  <c r="F416" i="21"/>
  <c r="E416" i="21"/>
  <c r="D416" i="21"/>
  <c r="C416" i="21"/>
  <c r="B416" i="21"/>
  <c r="A416" i="21"/>
  <c r="J415" i="21"/>
  <c r="I415" i="21"/>
  <c r="H415" i="21"/>
  <c r="G415" i="21"/>
  <c r="F415" i="21"/>
  <c r="E415" i="21"/>
  <c r="D415" i="21"/>
  <c r="C415" i="21"/>
  <c r="B415" i="21"/>
  <c r="A415" i="21"/>
  <c r="J414" i="21"/>
  <c r="I414" i="21"/>
  <c r="H414" i="21"/>
  <c r="G414" i="21"/>
  <c r="F414" i="21"/>
  <c r="E414" i="21"/>
  <c r="D414" i="21"/>
  <c r="C414" i="21"/>
  <c r="B414" i="21"/>
  <c r="A414" i="21"/>
  <c r="I413" i="21"/>
  <c r="H413" i="21"/>
  <c r="J413" i="21" s="1"/>
  <c r="G413" i="21"/>
  <c r="F413" i="21"/>
  <c r="E413" i="21"/>
  <c r="D413" i="21"/>
  <c r="C413" i="21"/>
  <c r="B413" i="21"/>
  <c r="A413" i="21"/>
  <c r="I412" i="21"/>
  <c r="H412" i="21"/>
  <c r="G412" i="21"/>
  <c r="F412" i="21"/>
  <c r="E412" i="21"/>
  <c r="D412" i="21"/>
  <c r="B412" i="21"/>
  <c r="A412" i="21"/>
  <c r="I411" i="21"/>
  <c r="H411" i="21"/>
  <c r="G411" i="21"/>
  <c r="F411" i="21"/>
  <c r="E411" i="21"/>
  <c r="D411" i="21"/>
  <c r="C411" i="21"/>
  <c r="B411" i="21"/>
  <c r="A411" i="21"/>
  <c r="I410" i="21"/>
  <c r="H410" i="21"/>
  <c r="J410" i="21" s="1"/>
  <c r="G410" i="21"/>
  <c r="F410" i="21"/>
  <c r="E410" i="21"/>
  <c r="D410" i="21"/>
  <c r="B410" i="21"/>
  <c r="A410" i="21"/>
  <c r="J409" i="21"/>
  <c r="I409" i="21"/>
  <c r="H409" i="21"/>
  <c r="G409" i="21"/>
  <c r="F409" i="21"/>
  <c r="E409" i="21"/>
  <c r="D409" i="21"/>
  <c r="C409" i="21"/>
  <c r="B409" i="21"/>
  <c r="A409" i="21"/>
  <c r="J408" i="21"/>
  <c r="I408" i="21"/>
  <c r="H408" i="21"/>
  <c r="G408" i="21"/>
  <c r="F408" i="21"/>
  <c r="E408" i="21"/>
  <c r="D408" i="21"/>
  <c r="C408" i="21"/>
  <c r="B408" i="21"/>
  <c r="A408" i="21"/>
  <c r="J407" i="21"/>
  <c r="I407" i="21"/>
  <c r="H407" i="21"/>
  <c r="G407" i="21"/>
  <c r="F407" i="21"/>
  <c r="E407" i="21"/>
  <c r="D407" i="21"/>
  <c r="C407" i="21"/>
  <c r="B407" i="21"/>
  <c r="A407" i="21"/>
  <c r="J406" i="21"/>
  <c r="I406" i="21"/>
  <c r="H406" i="21"/>
  <c r="G406" i="21"/>
  <c r="F406" i="21"/>
  <c r="E406" i="21"/>
  <c r="D406" i="21"/>
  <c r="C406" i="21"/>
  <c r="B406" i="21"/>
  <c r="A406" i="21"/>
  <c r="J405" i="21"/>
  <c r="I405" i="21"/>
  <c r="H405" i="21"/>
  <c r="G405" i="21"/>
  <c r="F405" i="21"/>
  <c r="E405" i="21"/>
  <c r="D405" i="21"/>
  <c r="C405" i="21"/>
  <c r="B405" i="21"/>
  <c r="A405" i="21"/>
  <c r="J404" i="21"/>
  <c r="I404" i="21"/>
  <c r="H404" i="21"/>
  <c r="G404" i="21"/>
  <c r="F404" i="21"/>
  <c r="E404" i="21"/>
  <c r="D404" i="21"/>
  <c r="C404" i="21"/>
  <c r="B404" i="21"/>
  <c r="A404" i="21"/>
  <c r="I403" i="21"/>
  <c r="H403" i="21"/>
  <c r="G403" i="21"/>
  <c r="F403" i="21"/>
  <c r="E403" i="21"/>
  <c r="D403" i="21"/>
  <c r="B403" i="21"/>
  <c r="A403" i="21"/>
  <c r="I402" i="21"/>
  <c r="H402" i="21"/>
  <c r="J402" i="21" s="1"/>
  <c r="G402" i="21"/>
  <c r="F402" i="21"/>
  <c r="E402" i="21"/>
  <c r="D402" i="21"/>
  <c r="B402" i="21"/>
  <c r="A402" i="21"/>
  <c r="I401" i="21"/>
  <c r="H401" i="21"/>
  <c r="J401" i="21" s="1"/>
  <c r="G401" i="21"/>
  <c r="F401" i="21"/>
  <c r="E401" i="21"/>
  <c r="D401" i="21"/>
  <c r="B401" i="21"/>
  <c r="A401" i="21"/>
  <c r="J400" i="21"/>
  <c r="I400" i="21"/>
  <c r="H400" i="21"/>
  <c r="G400" i="21"/>
  <c r="F400" i="21"/>
  <c r="E400" i="21"/>
  <c r="D400" i="21"/>
  <c r="C400" i="21"/>
  <c r="B400" i="21"/>
  <c r="A400" i="21"/>
  <c r="J399" i="21"/>
  <c r="I399" i="21"/>
  <c r="H399" i="21"/>
  <c r="G399" i="21"/>
  <c r="F399" i="21"/>
  <c r="E399" i="21"/>
  <c r="D399" i="21"/>
  <c r="C399" i="21"/>
  <c r="B399" i="21"/>
  <c r="A399" i="21"/>
  <c r="J398" i="21"/>
  <c r="I398" i="21"/>
  <c r="H398" i="21"/>
  <c r="G398" i="21"/>
  <c r="F398" i="21"/>
  <c r="E398" i="21"/>
  <c r="D398" i="21"/>
  <c r="C398" i="21"/>
  <c r="B398" i="21"/>
  <c r="A398" i="21"/>
  <c r="J397" i="21"/>
  <c r="I397" i="21"/>
  <c r="H397" i="21"/>
  <c r="G397" i="21"/>
  <c r="F397" i="21"/>
  <c r="E397" i="21"/>
  <c r="D397" i="21"/>
  <c r="C397" i="21"/>
  <c r="B397" i="21"/>
  <c r="A397" i="21"/>
  <c r="J396" i="21"/>
  <c r="I396" i="21"/>
  <c r="H396" i="21"/>
  <c r="G396" i="21"/>
  <c r="F396" i="21"/>
  <c r="E396" i="21"/>
  <c r="D396" i="21"/>
  <c r="C396" i="21"/>
  <c r="B396" i="21"/>
  <c r="A396" i="21"/>
  <c r="J395" i="21"/>
  <c r="I395" i="21"/>
  <c r="H395" i="21"/>
  <c r="G395" i="21"/>
  <c r="F395" i="21"/>
  <c r="E395" i="21"/>
  <c r="D395" i="21"/>
  <c r="C395" i="21"/>
  <c r="B395" i="21"/>
  <c r="A395" i="21"/>
  <c r="J394" i="21"/>
  <c r="I394" i="21"/>
  <c r="H394" i="21"/>
  <c r="G394" i="21"/>
  <c r="F394" i="21"/>
  <c r="E394" i="21"/>
  <c r="D394" i="21"/>
  <c r="C394" i="21"/>
  <c r="B394" i="21"/>
  <c r="A394" i="21"/>
  <c r="J393" i="21"/>
  <c r="I393" i="21"/>
  <c r="H393" i="21"/>
  <c r="G393" i="21"/>
  <c r="F393" i="21"/>
  <c r="E393" i="21"/>
  <c r="D393" i="21"/>
  <c r="C393" i="21"/>
  <c r="B393" i="21"/>
  <c r="A393" i="21"/>
  <c r="J392" i="21"/>
  <c r="I392" i="21"/>
  <c r="H392" i="21"/>
  <c r="G392" i="21"/>
  <c r="F392" i="21"/>
  <c r="E392" i="21"/>
  <c r="D392" i="21"/>
  <c r="C392" i="21"/>
  <c r="B392" i="21"/>
  <c r="A392" i="21"/>
  <c r="J391" i="21"/>
  <c r="I391" i="21"/>
  <c r="H391" i="21"/>
  <c r="G391" i="21"/>
  <c r="F391" i="21"/>
  <c r="E391" i="21"/>
  <c r="D391" i="21"/>
  <c r="C391" i="21"/>
  <c r="B391" i="21"/>
  <c r="A391" i="21"/>
  <c r="J390" i="21"/>
  <c r="I390" i="21"/>
  <c r="H390" i="21"/>
  <c r="G390" i="21"/>
  <c r="F390" i="21"/>
  <c r="E390" i="21"/>
  <c r="D390" i="21"/>
  <c r="C390" i="21"/>
  <c r="B390" i="21"/>
  <c r="A390" i="21"/>
  <c r="I389" i="21"/>
  <c r="H389" i="21"/>
  <c r="J389" i="21" s="1"/>
  <c r="G389" i="21"/>
  <c r="F389" i="21"/>
  <c r="E389" i="21"/>
  <c r="D389" i="21"/>
  <c r="B389" i="21"/>
  <c r="A389" i="21"/>
  <c r="I388" i="21"/>
  <c r="H388" i="21"/>
  <c r="G388" i="21"/>
  <c r="F388" i="21"/>
  <c r="E388" i="21"/>
  <c r="D388" i="21"/>
  <c r="B388" i="21"/>
  <c r="A388" i="21"/>
  <c r="J387" i="21"/>
  <c r="I387" i="21"/>
  <c r="H387" i="21"/>
  <c r="G387" i="21"/>
  <c r="F387" i="21"/>
  <c r="E387" i="21"/>
  <c r="D387" i="21"/>
  <c r="C387" i="21"/>
  <c r="B387" i="21"/>
  <c r="A387" i="21"/>
  <c r="J386" i="21"/>
  <c r="I386" i="21"/>
  <c r="H386" i="21"/>
  <c r="G386" i="21"/>
  <c r="F386" i="21"/>
  <c r="E386" i="21"/>
  <c r="D386" i="21"/>
  <c r="C386" i="21"/>
  <c r="B386" i="21"/>
  <c r="A386" i="21"/>
  <c r="J385" i="21"/>
  <c r="I385" i="21"/>
  <c r="H385" i="21"/>
  <c r="G385" i="21"/>
  <c r="F385" i="21"/>
  <c r="E385" i="21"/>
  <c r="D385" i="21"/>
  <c r="C385" i="21"/>
  <c r="B385" i="21"/>
  <c r="A385" i="21"/>
  <c r="J384" i="21"/>
  <c r="I384" i="21"/>
  <c r="H384" i="21"/>
  <c r="G384" i="21"/>
  <c r="F384" i="21"/>
  <c r="E384" i="21"/>
  <c r="D384" i="21"/>
  <c r="C384" i="21"/>
  <c r="B384" i="21"/>
  <c r="A384" i="21"/>
  <c r="J383" i="21"/>
  <c r="I383" i="21"/>
  <c r="H383" i="21"/>
  <c r="G383" i="21"/>
  <c r="F383" i="21"/>
  <c r="E383" i="21"/>
  <c r="D383" i="21"/>
  <c r="C383" i="21"/>
  <c r="B383" i="21"/>
  <c r="A383" i="21"/>
  <c r="J382" i="21"/>
  <c r="I382" i="21"/>
  <c r="H382" i="21"/>
  <c r="G382" i="21"/>
  <c r="F382" i="21"/>
  <c r="E382" i="21"/>
  <c r="D382" i="21"/>
  <c r="C382" i="21"/>
  <c r="B382" i="21"/>
  <c r="A382" i="21"/>
  <c r="J381" i="21"/>
  <c r="I381" i="21"/>
  <c r="H381" i="21"/>
  <c r="G381" i="21"/>
  <c r="F381" i="21"/>
  <c r="E381" i="21"/>
  <c r="D381" i="21"/>
  <c r="C381" i="21"/>
  <c r="B381" i="21"/>
  <c r="A381" i="21"/>
  <c r="J380" i="21"/>
  <c r="I380" i="21"/>
  <c r="H380" i="21"/>
  <c r="G380" i="21"/>
  <c r="F380" i="21"/>
  <c r="E380" i="21"/>
  <c r="D380" i="21"/>
  <c r="C380" i="21"/>
  <c r="B380" i="21"/>
  <c r="A380" i="21"/>
  <c r="I379" i="21"/>
  <c r="H379" i="21"/>
  <c r="G379" i="21"/>
  <c r="F379" i="21"/>
  <c r="E379" i="21"/>
  <c r="D379" i="21"/>
  <c r="B379" i="21"/>
  <c r="A379" i="21"/>
  <c r="I378" i="21"/>
  <c r="H378" i="21"/>
  <c r="J378" i="21" s="1"/>
  <c r="G378" i="21"/>
  <c r="F378" i="21"/>
  <c r="E378" i="21"/>
  <c r="D378" i="21"/>
  <c r="B378" i="21"/>
  <c r="A378" i="21"/>
  <c r="I377" i="21"/>
  <c r="H377" i="21"/>
  <c r="J377" i="21" s="1"/>
  <c r="G377" i="21"/>
  <c r="F377" i="21"/>
  <c r="E377" i="21"/>
  <c r="D377" i="21"/>
  <c r="B377" i="21"/>
  <c r="A377" i="21"/>
  <c r="J376" i="21"/>
  <c r="I376" i="21"/>
  <c r="H376" i="21"/>
  <c r="G376" i="21"/>
  <c r="F376" i="21"/>
  <c r="E376" i="21"/>
  <c r="D376" i="21"/>
  <c r="C376" i="21"/>
  <c r="B376" i="21"/>
  <c r="A376" i="21"/>
  <c r="J375" i="21"/>
  <c r="I375" i="21"/>
  <c r="H375" i="21"/>
  <c r="G375" i="21"/>
  <c r="F375" i="21"/>
  <c r="E375" i="21"/>
  <c r="D375" i="21"/>
  <c r="C375" i="21"/>
  <c r="B375" i="21"/>
  <c r="A375" i="21"/>
  <c r="J374" i="21"/>
  <c r="I374" i="21"/>
  <c r="H374" i="21"/>
  <c r="G374" i="21"/>
  <c r="F374" i="21"/>
  <c r="E374" i="21"/>
  <c r="D374" i="21"/>
  <c r="C374" i="21"/>
  <c r="B374" i="21"/>
  <c r="A374" i="21"/>
  <c r="J373" i="21"/>
  <c r="I373" i="21"/>
  <c r="H373" i="21"/>
  <c r="G373" i="21"/>
  <c r="F373" i="21"/>
  <c r="E373" i="21"/>
  <c r="D373" i="21"/>
  <c r="C373" i="21"/>
  <c r="B373" i="21"/>
  <c r="A373" i="21"/>
  <c r="J372" i="21"/>
  <c r="I372" i="21"/>
  <c r="H372" i="21"/>
  <c r="G372" i="21"/>
  <c r="F372" i="21"/>
  <c r="E372" i="21"/>
  <c r="D372" i="21"/>
  <c r="C372" i="21"/>
  <c r="B372" i="21"/>
  <c r="A372" i="21"/>
  <c r="J371" i="21"/>
  <c r="I371" i="21"/>
  <c r="H371" i="21"/>
  <c r="G371" i="21"/>
  <c r="F371" i="21"/>
  <c r="E371" i="21"/>
  <c r="D371" i="21"/>
  <c r="C371" i="21"/>
  <c r="B371" i="21"/>
  <c r="A371" i="21"/>
  <c r="I370" i="21"/>
  <c r="H370" i="21"/>
  <c r="G370" i="21"/>
  <c r="F370" i="21"/>
  <c r="E370" i="21"/>
  <c r="D370" i="21"/>
  <c r="B370" i="21"/>
  <c r="A370" i="21"/>
  <c r="J369" i="21"/>
  <c r="I369" i="21"/>
  <c r="H369" i="21"/>
  <c r="G369" i="21"/>
  <c r="F369" i="21"/>
  <c r="E369" i="21"/>
  <c r="D369" i="21"/>
  <c r="C369" i="21"/>
  <c r="B369" i="21"/>
  <c r="A369" i="21"/>
  <c r="J368" i="21"/>
  <c r="I368" i="21"/>
  <c r="H368" i="21"/>
  <c r="G368" i="21"/>
  <c r="F368" i="21"/>
  <c r="E368" i="21"/>
  <c r="D368" i="21"/>
  <c r="C368" i="21"/>
  <c r="B368" i="21"/>
  <c r="A368" i="21"/>
  <c r="J367" i="21"/>
  <c r="I367" i="21"/>
  <c r="H367" i="21"/>
  <c r="G367" i="21"/>
  <c r="F367" i="21"/>
  <c r="E367" i="21"/>
  <c r="D367" i="21"/>
  <c r="C367" i="21"/>
  <c r="B367" i="21"/>
  <c r="A367" i="21"/>
  <c r="J366" i="21"/>
  <c r="I366" i="21"/>
  <c r="H366" i="21"/>
  <c r="G366" i="21"/>
  <c r="F366" i="21"/>
  <c r="E366" i="21"/>
  <c r="D366" i="21"/>
  <c r="C366" i="21"/>
  <c r="B366" i="21"/>
  <c r="A366" i="21"/>
  <c r="I365" i="21"/>
  <c r="H365" i="21"/>
  <c r="J365" i="21" s="1"/>
  <c r="G365" i="21"/>
  <c r="F365" i="21"/>
  <c r="E365" i="21"/>
  <c r="D365" i="21"/>
  <c r="B365" i="21"/>
  <c r="A365" i="21"/>
  <c r="J364" i="21"/>
  <c r="I364" i="21"/>
  <c r="H364" i="21"/>
  <c r="G364" i="21"/>
  <c r="F364" i="21"/>
  <c r="E364" i="21"/>
  <c r="D364" i="21"/>
  <c r="C364" i="21"/>
  <c r="B364" i="21"/>
  <c r="A364" i="21"/>
  <c r="J363" i="21"/>
  <c r="I363" i="21"/>
  <c r="H363" i="21"/>
  <c r="G363" i="21"/>
  <c r="F363" i="21"/>
  <c r="E363" i="21"/>
  <c r="D363" i="21"/>
  <c r="C363" i="21"/>
  <c r="B363" i="21"/>
  <c r="A363" i="21"/>
  <c r="J362" i="21"/>
  <c r="I362" i="21"/>
  <c r="H362" i="21"/>
  <c r="G362" i="21"/>
  <c r="F362" i="21"/>
  <c r="E362" i="21"/>
  <c r="D362" i="21"/>
  <c r="C362" i="21"/>
  <c r="B362" i="21"/>
  <c r="A362" i="21"/>
  <c r="J361" i="21"/>
  <c r="I361" i="21"/>
  <c r="H361" i="21"/>
  <c r="G361" i="21"/>
  <c r="F361" i="21"/>
  <c r="E361" i="21"/>
  <c r="D361" i="21"/>
  <c r="C361" i="21"/>
  <c r="B361" i="21"/>
  <c r="A361" i="21"/>
  <c r="J360" i="21"/>
  <c r="I360" i="21"/>
  <c r="H360" i="21"/>
  <c r="G360" i="21"/>
  <c r="F360" i="21"/>
  <c r="E360" i="21"/>
  <c r="D360" i="21"/>
  <c r="C360" i="21"/>
  <c r="B360" i="21"/>
  <c r="A360" i="21"/>
  <c r="J359" i="21"/>
  <c r="I359" i="21"/>
  <c r="H359" i="21"/>
  <c r="G359" i="21"/>
  <c r="F359" i="21"/>
  <c r="E359" i="21"/>
  <c r="D359" i="21"/>
  <c r="C359" i="21"/>
  <c r="B359" i="21"/>
  <c r="A359" i="21"/>
  <c r="J358" i="21"/>
  <c r="I358" i="21"/>
  <c r="H358" i="21"/>
  <c r="G358" i="21"/>
  <c r="F358" i="21"/>
  <c r="E358" i="21"/>
  <c r="D358" i="21"/>
  <c r="C358" i="21"/>
  <c r="B358" i="21"/>
  <c r="A358" i="21"/>
  <c r="J357" i="21"/>
  <c r="I357" i="21"/>
  <c r="H357" i="21"/>
  <c r="G357" i="21"/>
  <c r="F357" i="21"/>
  <c r="E357" i="21"/>
  <c r="D357" i="21"/>
  <c r="C357" i="21"/>
  <c r="B357" i="21"/>
  <c r="A357" i="21"/>
  <c r="J356" i="21"/>
  <c r="I356" i="21"/>
  <c r="H356" i="21"/>
  <c r="G356" i="21"/>
  <c r="F356" i="21"/>
  <c r="E356" i="21"/>
  <c r="D356" i="21"/>
  <c r="C356" i="21"/>
  <c r="B356" i="21"/>
  <c r="A356" i="21"/>
  <c r="J355" i="21"/>
  <c r="I355" i="21"/>
  <c r="H355" i="21"/>
  <c r="G355" i="21"/>
  <c r="F355" i="21"/>
  <c r="E355" i="21"/>
  <c r="D355" i="21"/>
  <c r="C355" i="21"/>
  <c r="B355" i="21"/>
  <c r="A355" i="21"/>
  <c r="J354" i="21"/>
  <c r="I354" i="21"/>
  <c r="H354" i="21"/>
  <c r="G354" i="21"/>
  <c r="F354" i="21"/>
  <c r="E354" i="21"/>
  <c r="D354" i="21"/>
  <c r="C354" i="21"/>
  <c r="B354" i="21"/>
  <c r="A354" i="21"/>
  <c r="J353" i="21"/>
  <c r="I353" i="21"/>
  <c r="H353" i="21"/>
  <c r="G353" i="21"/>
  <c r="F353" i="21"/>
  <c r="E353" i="21"/>
  <c r="D353" i="21"/>
  <c r="C353" i="21"/>
  <c r="B353" i="21"/>
  <c r="A353" i="21"/>
  <c r="J352" i="21"/>
  <c r="I352" i="21"/>
  <c r="H352" i="21"/>
  <c r="G352" i="21"/>
  <c r="F352" i="21"/>
  <c r="E352" i="21"/>
  <c r="D352" i="21"/>
  <c r="C352" i="21"/>
  <c r="B352" i="21"/>
  <c r="A352" i="21"/>
  <c r="J351" i="21"/>
  <c r="I351" i="21"/>
  <c r="H351" i="21"/>
  <c r="G351" i="21"/>
  <c r="F351" i="21"/>
  <c r="E351" i="21"/>
  <c r="D351" i="21"/>
  <c r="C351" i="21"/>
  <c r="B351" i="21"/>
  <c r="A351" i="21"/>
  <c r="J350" i="21"/>
  <c r="I350" i="21"/>
  <c r="H350" i="21"/>
  <c r="G350" i="21"/>
  <c r="F350" i="21"/>
  <c r="E350" i="21"/>
  <c r="D350" i="21"/>
  <c r="C350" i="21"/>
  <c r="B350" i="21"/>
  <c r="A350" i="21"/>
  <c r="J349" i="21"/>
  <c r="I349" i="21"/>
  <c r="H349" i="21"/>
  <c r="G349" i="21"/>
  <c r="F349" i="21"/>
  <c r="E349" i="21"/>
  <c r="D349" i="21"/>
  <c r="C349" i="21"/>
  <c r="B349" i="21"/>
  <c r="A349" i="21"/>
  <c r="J348" i="21"/>
  <c r="I348" i="21"/>
  <c r="H348" i="21"/>
  <c r="G348" i="21"/>
  <c r="F348" i="21"/>
  <c r="E348" i="21"/>
  <c r="D348" i="21"/>
  <c r="C348" i="21"/>
  <c r="B348" i="21"/>
  <c r="A348" i="21"/>
  <c r="J347" i="21"/>
  <c r="I347" i="21"/>
  <c r="H347" i="21"/>
  <c r="G347" i="21"/>
  <c r="F347" i="21"/>
  <c r="E347" i="21"/>
  <c r="D347" i="21"/>
  <c r="C347" i="21"/>
  <c r="B347" i="21"/>
  <c r="A347" i="21"/>
  <c r="J346" i="21"/>
  <c r="I346" i="21"/>
  <c r="H346" i="21"/>
  <c r="G346" i="21"/>
  <c r="F346" i="21"/>
  <c r="E346" i="21"/>
  <c r="D346" i="21"/>
  <c r="C346" i="21"/>
  <c r="B346" i="21"/>
  <c r="A346" i="21"/>
  <c r="J345" i="21"/>
  <c r="I345" i="21"/>
  <c r="H345" i="21"/>
  <c r="G345" i="21"/>
  <c r="F345" i="21"/>
  <c r="E345" i="21"/>
  <c r="D345" i="21"/>
  <c r="C345" i="21"/>
  <c r="B345" i="21"/>
  <c r="A345" i="21"/>
  <c r="J344" i="21"/>
  <c r="I344" i="21"/>
  <c r="H344" i="21"/>
  <c r="G344" i="21"/>
  <c r="F344" i="21"/>
  <c r="E344" i="21"/>
  <c r="D344" i="21"/>
  <c r="C344" i="21"/>
  <c r="B344" i="21"/>
  <c r="A344" i="21"/>
  <c r="J343" i="21"/>
  <c r="I343" i="21"/>
  <c r="H343" i="21"/>
  <c r="G343" i="21"/>
  <c r="F343" i="21"/>
  <c r="E343" i="21"/>
  <c r="D343" i="21"/>
  <c r="C343" i="21"/>
  <c r="B343" i="21"/>
  <c r="A343" i="21"/>
  <c r="J342" i="21"/>
  <c r="I342" i="21"/>
  <c r="H342" i="21"/>
  <c r="G342" i="21"/>
  <c r="F342" i="21"/>
  <c r="E342" i="21"/>
  <c r="D342" i="21"/>
  <c r="C342" i="21"/>
  <c r="B342" i="21"/>
  <c r="A342" i="21"/>
  <c r="J341" i="21"/>
  <c r="I341" i="21"/>
  <c r="H341" i="21"/>
  <c r="G341" i="21"/>
  <c r="F341" i="21"/>
  <c r="E341" i="21"/>
  <c r="D341" i="21"/>
  <c r="C341" i="21"/>
  <c r="B341" i="21"/>
  <c r="A341" i="21"/>
  <c r="I340" i="21"/>
  <c r="H340" i="21"/>
  <c r="G340" i="21"/>
  <c r="F340" i="21"/>
  <c r="E340" i="21"/>
  <c r="D340" i="21"/>
  <c r="B340" i="21"/>
  <c r="A340" i="21"/>
  <c r="J339" i="21"/>
  <c r="I339" i="21"/>
  <c r="H339" i="21"/>
  <c r="G339" i="21"/>
  <c r="F339" i="21"/>
  <c r="E339" i="21"/>
  <c r="D339" i="21"/>
  <c r="C339" i="21"/>
  <c r="B339" i="21"/>
  <c r="A339" i="21"/>
  <c r="J338" i="21"/>
  <c r="I338" i="21"/>
  <c r="H338" i="21"/>
  <c r="G338" i="21"/>
  <c r="F338" i="21"/>
  <c r="E338" i="21"/>
  <c r="D338" i="21"/>
  <c r="C338" i="21"/>
  <c r="B338" i="21"/>
  <c r="A338" i="21"/>
  <c r="J337" i="21"/>
  <c r="I337" i="21"/>
  <c r="H337" i="21"/>
  <c r="G337" i="21"/>
  <c r="F337" i="21"/>
  <c r="E337" i="21"/>
  <c r="D337" i="21"/>
  <c r="C337" i="21"/>
  <c r="B337" i="21"/>
  <c r="A337" i="21"/>
  <c r="J336" i="21"/>
  <c r="I336" i="21"/>
  <c r="H336" i="21"/>
  <c r="G336" i="21"/>
  <c r="F336" i="21"/>
  <c r="E336" i="21"/>
  <c r="D336" i="21"/>
  <c r="C336" i="21"/>
  <c r="B336" i="21"/>
  <c r="A336" i="21"/>
  <c r="J335" i="21"/>
  <c r="I335" i="21"/>
  <c r="H335" i="21"/>
  <c r="G335" i="21"/>
  <c r="F335" i="21"/>
  <c r="E335" i="21"/>
  <c r="D335" i="21"/>
  <c r="C335" i="21"/>
  <c r="B335" i="21"/>
  <c r="A335" i="21"/>
  <c r="J334" i="21"/>
  <c r="I334" i="21"/>
  <c r="H334" i="21"/>
  <c r="G334" i="21"/>
  <c r="F334" i="21"/>
  <c r="E334" i="21"/>
  <c r="D334" i="21"/>
  <c r="C334" i="21"/>
  <c r="B334" i="21"/>
  <c r="A334" i="21"/>
  <c r="J333" i="21"/>
  <c r="I333" i="21"/>
  <c r="H333" i="21"/>
  <c r="G333" i="21"/>
  <c r="F333" i="21"/>
  <c r="E333" i="21"/>
  <c r="D333" i="21"/>
  <c r="C333" i="21"/>
  <c r="B333" i="21"/>
  <c r="A333" i="21"/>
  <c r="J332" i="21"/>
  <c r="I332" i="21"/>
  <c r="H332" i="21"/>
  <c r="G332" i="21"/>
  <c r="F332" i="21"/>
  <c r="E332" i="21"/>
  <c r="D332" i="21"/>
  <c r="C332" i="21"/>
  <c r="B332" i="21"/>
  <c r="A332" i="21"/>
  <c r="J331" i="21"/>
  <c r="I331" i="21"/>
  <c r="H331" i="21"/>
  <c r="G331" i="21"/>
  <c r="F331" i="21"/>
  <c r="E331" i="21"/>
  <c r="D331" i="21"/>
  <c r="C331" i="21"/>
  <c r="B331" i="21"/>
  <c r="A331" i="21"/>
  <c r="J330" i="21"/>
  <c r="I330" i="21"/>
  <c r="H330" i="21"/>
  <c r="G330" i="21"/>
  <c r="F330" i="21"/>
  <c r="E330" i="21"/>
  <c r="D330" i="21"/>
  <c r="C330" i="21"/>
  <c r="B330" i="21"/>
  <c r="A330" i="21"/>
  <c r="J329" i="21"/>
  <c r="I329" i="21"/>
  <c r="H329" i="21"/>
  <c r="G329" i="21"/>
  <c r="F329" i="21"/>
  <c r="E329" i="21"/>
  <c r="D329" i="21"/>
  <c r="C329" i="21"/>
  <c r="B329" i="21"/>
  <c r="A329" i="21"/>
  <c r="J328" i="21"/>
  <c r="I328" i="21"/>
  <c r="H328" i="21"/>
  <c r="G328" i="21"/>
  <c r="F328" i="21"/>
  <c r="E328" i="21"/>
  <c r="D328" i="21"/>
  <c r="C328" i="21"/>
  <c r="B328" i="21"/>
  <c r="A328" i="21"/>
  <c r="J327" i="21"/>
  <c r="I327" i="21"/>
  <c r="H327" i="21"/>
  <c r="G327" i="21"/>
  <c r="F327" i="21"/>
  <c r="E327" i="21"/>
  <c r="D327" i="21"/>
  <c r="C327" i="21"/>
  <c r="B327" i="21"/>
  <c r="A327" i="21"/>
  <c r="J326" i="21"/>
  <c r="I326" i="21"/>
  <c r="H326" i="21"/>
  <c r="G326" i="21"/>
  <c r="F326" i="21"/>
  <c r="E326" i="21"/>
  <c r="D326" i="21"/>
  <c r="C326" i="21"/>
  <c r="B326" i="21"/>
  <c r="A326" i="21"/>
  <c r="J325" i="21"/>
  <c r="I325" i="21"/>
  <c r="H325" i="21"/>
  <c r="G325" i="21"/>
  <c r="F325" i="21"/>
  <c r="E325" i="21"/>
  <c r="D325" i="21"/>
  <c r="C325" i="21"/>
  <c r="B325" i="21"/>
  <c r="A325" i="21"/>
  <c r="J324" i="21"/>
  <c r="I324" i="21"/>
  <c r="H324" i="21"/>
  <c r="G324" i="21"/>
  <c r="F324" i="21"/>
  <c r="E324" i="21"/>
  <c r="D324" i="21"/>
  <c r="C324" i="21"/>
  <c r="B324" i="21"/>
  <c r="A324" i="21"/>
  <c r="J323" i="21"/>
  <c r="I323" i="21"/>
  <c r="H323" i="21"/>
  <c r="G323" i="21"/>
  <c r="F323" i="21"/>
  <c r="E323" i="21"/>
  <c r="D323" i="21"/>
  <c r="C323" i="21"/>
  <c r="B323" i="21"/>
  <c r="A323" i="21"/>
  <c r="J322" i="21"/>
  <c r="I322" i="21"/>
  <c r="H322" i="21"/>
  <c r="G322" i="21"/>
  <c r="F322" i="21"/>
  <c r="E322" i="21"/>
  <c r="D322" i="21"/>
  <c r="C322" i="21"/>
  <c r="B322" i="21"/>
  <c r="A322" i="21"/>
  <c r="J321" i="21"/>
  <c r="I321" i="21"/>
  <c r="H321" i="21"/>
  <c r="G321" i="21"/>
  <c r="F321" i="21"/>
  <c r="E321" i="21"/>
  <c r="D321" i="21"/>
  <c r="C321" i="21"/>
  <c r="B321" i="21"/>
  <c r="A321" i="21"/>
  <c r="J320" i="21"/>
  <c r="I320" i="21"/>
  <c r="H320" i="21"/>
  <c r="G320" i="21"/>
  <c r="F320" i="21"/>
  <c r="E320" i="21"/>
  <c r="D320" i="21"/>
  <c r="C320" i="21"/>
  <c r="B320" i="21"/>
  <c r="A320" i="21"/>
  <c r="J319" i="21"/>
  <c r="I319" i="21"/>
  <c r="H319" i="21"/>
  <c r="G319" i="21"/>
  <c r="F319" i="21"/>
  <c r="E319" i="21"/>
  <c r="D319" i="21"/>
  <c r="C319" i="21"/>
  <c r="B319" i="21"/>
  <c r="A319" i="21"/>
  <c r="J318" i="21"/>
  <c r="I318" i="21"/>
  <c r="H318" i="21"/>
  <c r="G318" i="21"/>
  <c r="F318" i="21"/>
  <c r="E318" i="21"/>
  <c r="D318" i="21"/>
  <c r="C318" i="21"/>
  <c r="B318" i="21"/>
  <c r="A318" i="21"/>
  <c r="J317" i="21"/>
  <c r="I317" i="21"/>
  <c r="H317" i="21"/>
  <c r="G317" i="21"/>
  <c r="F317" i="21"/>
  <c r="E317" i="21"/>
  <c r="D317" i="21"/>
  <c r="C317" i="21"/>
  <c r="B317" i="21"/>
  <c r="A317" i="21"/>
  <c r="J316" i="21"/>
  <c r="I316" i="21"/>
  <c r="H316" i="21"/>
  <c r="G316" i="21"/>
  <c r="F316" i="21"/>
  <c r="E316" i="21"/>
  <c r="D316" i="21"/>
  <c r="C316" i="21"/>
  <c r="B316" i="21"/>
  <c r="A316" i="21"/>
  <c r="I315" i="21"/>
  <c r="H315" i="21"/>
  <c r="J315" i="21" s="1"/>
  <c r="G315" i="21"/>
  <c r="F315" i="21"/>
  <c r="E315" i="21"/>
  <c r="D315" i="21"/>
  <c r="C315" i="21"/>
  <c r="B315" i="21"/>
  <c r="A315" i="21"/>
  <c r="I314" i="21"/>
  <c r="H314" i="21"/>
  <c r="J314" i="21" s="1"/>
  <c r="G314" i="21"/>
  <c r="F314" i="21"/>
  <c r="E314" i="21"/>
  <c r="D314" i="21"/>
  <c r="C314" i="21"/>
  <c r="B314" i="21"/>
  <c r="A314" i="21"/>
  <c r="J313" i="21"/>
  <c r="I313" i="21"/>
  <c r="H313" i="21"/>
  <c r="G313" i="21"/>
  <c r="F313" i="21"/>
  <c r="E313" i="21"/>
  <c r="D313" i="21"/>
  <c r="C313" i="21"/>
  <c r="B313" i="21"/>
  <c r="A313" i="21"/>
  <c r="J312" i="21"/>
  <c r="I312" i="21"/>
  <c r="H312" i="21"/>
  <c r="G312" i="21"/>
  <c r="F312" i="21"/>
  <c r="E312" i="21"/>
  <c r="D312" i="21"/>
  <c r="C312" i="21"/>
  <c r="B312" i="21"/>
  <c r="A312" i="21"/>
  <c r="J311" i="21"/>
  <c r="I311" i="21"/>
  <c r="H311" i="21"/>
  <c r="G311" i="21"/>
  <c r="F311" i="21"/>
  <c r="E311" i="21"/>
  <c r="D311" i="21"/>
  <c r="C311" i="21"/>
  <c r="B311" i="21"/>
  <c r="A311" i="21"/>
  <c r="J310" i="21"/>
  <c r="I310" i="21"/>
  <c r="H310" i="21"/>
  <c r="G310" i="21"/>
  <c r="F310" i="21"/>
  <c r="E310" i="21"/>
  <c r="D310" i="21"/>
  <c r="C310" i="21"/>
  <c r="B310" i="21"/>
  <c r="A310" i="21"/>
  <c r="J309" i="21"/>
  <c r="I309" i="21"/>
  <c r="H309" i="21"/>
  <c r="G309" i="21"/>
  <c r="F309" i="21"/>
  <c r="E309" i="21"/>
  <c r="D309" i="21"/>
  <c r="C309" i="21"/>
  <c r="B309" i="21"/>
  <c r="A309" i="21"/>
  <c r="J308" i="21"/>
  <c r="I308" i="21"/>
  <c r="H308" i="21"/>
  <c r="G308" i="21"/>
  <c r="F308" i="21"/>
  <c r="E308" i="21"/>
  <c r="D308" i="21"/>
  <c r="C308" i="21"/>
  <c r="B308" i="21"/>
  <c r="A308" i="21"/>
  <c r="J307" i="21"/>
  <c r="I307" i="21"/>
  <c r="H307" i="21"/>
  <c r="G307" i="21"/>
  <c r="F307" i="21"/>
  <c r="E307" i="21"/>
  <c r="D307" i="21"/>
  <c r="C307" i="21"/>
  <c r="B307" i="21"/>
  <c r="A307" i="21"/>
  <c r="J306" i="21"/>
  <c r="I306" i="21"/>
  <c r="H306" i="21"/>
  <c r="G306" i="21"/>
  <c r="F306" i="21"/>
  <c r="E306" i="21"/>
  <c r="D306" i="21"/>
  <c r="C306" i="21"/>
  <c r="B306" i="21"/>
  <c r="A306" i="21"/>
  <c r="J305" i="21"/>
  <c r="I305" i="21"/>
  <c r="H305" i="21"/>
  <c r="G305" i="21"/>
  <c r="F305" i="21"/>
  <c r="E305" i="21"/>
  <c r="D305" i="21"/>
  <c r="C305" i="21"/>
  <c r="B305" i="21"/>
  <c r="A305" i="21"/>
  <c r="J304" i="21"/>
  <c r="I304" i="21"/>
  <c r="H304" i="21"/>
  <c r="G304" i="21"/>
  <c r="F304" i="21"/>
  <c r="E304" i="21"/>
  <c r="D304" i="21"/>
  <c r="C304" i="21"/>
  <c r="B304" i="21"/>
  <c r="A304" i="21"/>
  <c r="J303" i="21"/>
  <c r="I303" i="21"/>
  <c r="H303" i="21"/>
  <c r="G303" i="21"/>
  <c r="F303" i="21"/>
  <c r="E303" i="21"/>
  <c r="D303" i="21"/>
  <c r="C303" i="21"/>
  <c r="B303" i="21"/>
  <c r="A303" i="21"/>
  <c r="J302" i="21"/>
  <c r="I302" i="21"/>
  <c r="H302" i="21"/>
  <c r="G302" i="21"/>
  <c r="F302" i="21"/>
  <c r="E302" i="21"/>
  <c r="D302" i="21"/>
  <c r="C302" i="21"/>
  <c r="B302" i="21"/>
  <c r="A302" i="21"/>
  <c r="J301" i="21"/>
  <c r="I301" i="21"/>
  <c r="H301" i="21"/>
  <c r="G301" i="21"/>
  <c r="F301" i="21"/>
  <c r="E301" i="21"/>
  <c r="D301" i="21"/>
  <c r="C301" i="21"/>
  <c r="B301" i="21"/>
  <c r="A301" i="21"/>
  <c r="J300" i="21"/>
  <c r="I300" i="21"/>
  <c r="H300" i="21"/>
  <c r="G300" i="21"/>
  <c r="F300" i="21"/>
  <c r="E300" i="21"/>
  <c r="D300" i="21"/>
  <c r="C300" i="21"/>
  <c r="B300" i="21"/>
  <c r="A300" i="21"/>
  <c r="J299" i="21"/>
  <c r="I299" i="21"/>
  <c r="H299" i="21"/>
  <c r="G299" i="21"/>
  <c r="F299" i="21"/>
  <c r="E299" i="21"/>
  <c r="D299" i="21"/>
  <c r="C299" i="21"/>
  <c r="B299" i="21"/>
  <c r="A299" i="21"/>
  <c r="J298" i="21"/>
  <c r="I298" i="21"/>
  <c r="H298" i="21"/>
  <c r="G298" i="21"/>
  <c r="F298" i="21"/>
  <c r="E298" i="21"/>
  <c r="D298" i="21"/>
  <c r="C298" i="21"/>
  <c r="B298" i="21"/>
  <c r="A298" i="21"/>
  <c r="J297" i="21"/>
  <c r="I297" i="21"/>
  <c r="H297" i="21"/>
  <c r="G297" i="21"/>
  <c r="F297" i="21"/>
  <c r="E297" i="21"/>
  <c r="D297" i="21"/>
  <c r="C297" i="21"/>
  <c r="B297" i="21"/>
  <c r="A297" i="21"/>
  <c r="J296" i="21"/>
  <c r="I296" i="21"/>
  <c r="H296" i="21"/>
  <c r="G296" i="21"/>
  <c r="F296" i="21"/>
  <c r="E296" i="21"/>
  <c r="D296" i="21"/>
  <c r="C296" i="21"/>
  <c r="B296" i="21"/>
  <c r="A296" i="21"/>
  <c r="J295" i="21"/>
  <c r="I295" i="21"/>
  <c r="H295" i="21"/>
  <c r="G295" i="21"/>
  <c r="F295" i="21"/>
  <c r="E295" i="21"/>
  <c r="D295" i="21"/>
  <c r="C295" i="21"/>
  <c r="B295" i="21"/>
  <c r="A295" i="21"/>
  <c r="J294" i="21"/>
  <c r="I294" i="21"/>
  <c r="H294" i="21"/>
  <c r="G294" i="21"/>
  <c r="F294" i="21"/>
  <c r="E294" i="21"/>
  <c r="D294" i="21"/>
  <c r="C294" i="21"/>
  <c r="B294" i="21"/>
  <c r="A294" i="21"/>
  <c r="J293" i="21"/>
  <c r="I293" i="21"/>
  <c r="H293" i="21"/>
  <c r="G293" i="21"/>
  <c r="F293" i="21"/>
  <c r="E293" i="21"/>
  <c r="D293" i="21"/>
  <c r="C293" i="21"/>
  <c r="B293" i="21"/>
  <c r="A293" i="21"/>
  <c r="J292" i="21"/>
  <c r="I292" i="21"/>
  <c r="H292" i="21"/>
  <c r="G292" i="21"/>
  <c r="F292" i="21"/>
  <c r="E292" i="21"/>
  <c r="D292" i="21"/>
  <c r="C292" i="21"/>
  <c r="B292" i="21"/>
  <c r="A292" i="21"/>
  <c r="J291" i="21"/>
  <c r="I291" i="21"/>
  <c r="H291" i="21"/>
  <c r="G291" i="21"/>
  <c r="F291" i="21"/>
  <c r="E291" i="21"/>
  <c r="D291" i="21"/>
  <c r="C291" i="21"/>
  <c r="B291" i="21"/>
  <c r="A291" i="21"/>
  <c r="J290" i="21"/>
  <c r="I290" i="21"/>
  <c r="H290" i="21"/>
  <c r="G290" i="21"/>
  <c r="F290" i="21"/>
  <c r="E290" i="21"/>
  <c r="D290" i="21"/>
  <c r="C290" i="21"/>
  <c r="B290" i="21"/>
  <c r="A290" i="21"/>
  <c r="J289" i="21"/>
  <c r="I289" i="21"/>
  <c r="H289" i="21"/>
  <c r="G289" i="21"/>
  <c r="F289" i="21"/>
  <c r="E289" i="21"/>
  <c r="D289" i="21"/>
  <c r="C289" i="21"/>
  <c r="B289" i="21"/>
  <c r="A289" i="21"/>
  <c r="J288" i="21"/>
  <c r="I288" i="21"/>
  <c r="H288" i="21"/>
  <c r="G288" i="21"/>
  <c r="F288" i="21"/>
  <c r="E288" i="21"/>
  <c r="D288" i="21"/>
  <c r="C288" i="21"/>
  <c r="B288" i="21"/>
  <c r="A288" i="21"/>
  <c r="J287" i="21"/>
  <c r="I287" i="21"/>
  <c r="H287" i="21"/>
  <c r="G287" i="21"/>
  <c r="F287" i="21"/>
  <c r="E287" i="21"/>
  <c r="D287" i="21"/>
  <c r="C287" i="21"/>
  <c r="B287" i="21"/>
  <c r="A287" i="21"/>
  <c r="J286" i="21"/>
  <c r="I286" i="21"/>
  <c r="H286" i="21"/>
  <c r="G286" i="21"/>
  <c r="F286" i="21"/>
  <c r="E286" i="21"/>
  <c r="D286" i="21"/>
  <c r="C286" i="21"/>
  <c r="B286" i="21"/>
  <c r="A286" i="21"/>
  <c r="J285" i="21"/>
  <c r="I285" i="21"/>
  <c r="H285" i="21"/>
  <c r="G285" i="21"/>
  <c r="F285" i="21"/>
  <c r="E285" i="21"/>
  <c r="D285" i="21"/>
  <c r="C285" i="21"/>
  <c r="B285" i="21"/>
  <c r="A285" i="21"/>
  <c r="J284" i="21"/>
  <c r="I284" i="21"/>
  <c r="H284" i="21"/>
  <c r="G284" i="21"/>
  <c r="F284" i="21"/>
  <c r="E284" i="21"/>
  <c r="D284" i="21"/>
  <c r="C284" i="21"/>
  <c r="B284" i="21"/>
  <c r="A284" i="21"/>
  <c r="J283" i="21"/>
  <c r="I283" i="21"/>
  <c r="H283" i="21"/>
  <c r="G283" i="21"/>
  <c r="F283" i="21"/>
  <c r="E283" i="21"/>
  <c r="D283" i="21"/>
  <c r="C283" i="21"/>
  <c r="B283" i="21"/>
  <c r="A283" i="21"/>
  <c r="J282" i="21"/>
  <c r="I282" i="21"/>
  <c r="H282" i="21"/>
  <c r="G282" i="21"/>
  <c r="F282" i="21"/>
  <c r="E282" i="21"/>
  <c r="D282" i="21"/>
  <c r="C282" i="21"/>
  <c r="B282" i="21"/>
  <c r="A282" i="21"/>
  <c r="J281" i="21"/>
  <c r="I281" i="21"/>
  <c r="H281" i="21"/>
  <c r="G281" i="21"/>
  <c r="F281" i="21"/>
  <c r="E281" i="21"/>
  <c r="D281" i="21"/>
  <c r="C281" i="21"/>
  <c r="B281" i="21"/>
  <c r="A281" i="21"/>
  <c r="J280" i="21"/>
  <c r="I280" i="21"/>
  <c r="H280" i="21"/>
  <c r="G280" i="21"/>
  <c r="F280" i="21"/>
  <c r="E280" i="21"/>
  <c r="D280" i="21"/>
  <c r="C280" i="21"/>
  <c r="B280" i="21"/>
  <c r="A280" i="21"/>
  <c r="J279" i="21"/>
  <c r="I279" i="21"/>
  <c r="H279" i="21"/>
  <c r="G279" i="21"/>
  <c r="F279" i="21"/>
  <c r="E279" i="21"/>
  <c r="D279" i="21"/>
  <c r="C279" i="21"/>
  <c r="B279" i="21"/>
  <c r="A279" i="21"/>
  <c r="J278" i="21"/>
  <c r="I278" i="21"/>
  <c r="H278" i="21"/>
  <c r="G278" i="21"/>
  <c r="F278" i="21"/>
  <c r="E278" i="21"/>
  <c r="D278" i="21"/>
  <c r="C278" i="21"/>
  <c r="B278" i="21"/>
  <c r="A278" i="21"/>
  <c r="J277" i="21"/>
  <c r="I277" i="21"/>
  <c r="H277" i="21"/>
  <c r="G277" i="21"/>
  <c r="F277" i="21"/>
  <c r="E277" i="21"/>
  <c r="D277" i="21"/>
  <c r="C277" i="21"/>
  <c r="B277" i="21"/>
  <c r="A277" i="21"/>
  <c r="J276" i="21"/>
  <c r="I276" i="21"/>
  <c r="H276" i="21"/>
  <c r="G276" i="21"/>
  <c r="F276" i="21"/>
  <c r="E276" i="21"/>
  <c r="D276" i="21"/>
  <c r="C276" i="21"/>
  <c r="B276" i="21"/>
  <c r="A276" i="21"/>
  <c r="J275" i="21"/>
  <c r="I275" i="21"/>
  <c r="H275" i="21"/>
  <c r="G275" i="21"/>
  <c r="F275" i="21"/>
  <c r="E275" i="21"/>
  <c r="D275" i="21"/>
  <c r="C275" i="21"/>
  <c r="B275" i="21"/>
  <c r="A275" i="21"/>
  <c r="J274" i="21"/>
  <c r="I274" i="21"/>
  <c r="H274" i="21"/>
  <c r="G274" i="21"/>
  <c r="F274" i="21"/>
  <c r="E274" i="21"/>
  <c r="D274" i="21"/>
  <c r="C274" i="21"/>
  <c r="B274" i="21"/>
  <c r="A274" i="21"/>
  <c r="J273" i="21"/>
  <c r="I273" i="21"/>
  <c r="H273" i="21"/>
  <c r="G273" i="21"/>
  <c r="F273" i="21"/>
  <c r="E273" i="21"/>
  <c r="D273" i="21"/>
  <c r="C273" i="21"/>
  <c r="B273" i="21"/>
  <c r="A273" i="21"/>
  <c r="J272" i="21"/>
  <c r="I272" i="21"/>
  <c r="H272" i="21"/>
  <c r="G272" i="21"/>
  <c r="F272" i="21"/>
  <c r="E272" i="21"/>
  <c r="D272" i="21"/>
  <c r="C272" i="21"/>
  <c r="B272" i="21"/>
  <c r="A272" i="21"/>
  <c r="J271" i="21"/>
  <c r="I271" i="21"/>
  <c r="H271" i="21"/>
  <c r="G271" i="21"/>
  <c r="F271" i="21"/>
  <c r="E271" i="21"/>
  <c r="D271" i="21"/>
  <c r="C271" i="21"/>
  <c r="B271" i="21"/>
  <c r="A271" i="21"/>
  <c r="J270" i="21"/>
  <c r="I270" i="21"/>
  <c r="H270" i="21"/>
  <c r="G270" i="21"/>
  <c r="F270" i="21"/>
  <c r="E270" i="21"/>
  <c r="D270" i="21"/>
  <c r="C270" i="21"/>
  <c r="B270" i="21"/>
  <c r="A270" i="21"/>
  <c r="J269" i="21"/>
  <c r="I269" i="21"/>
  <c r="H269" i="21"/>
  <c r="G269" i="21"/>
  <c r="F269" i="21"/>
  <c r="E269" i="21"/>
  <c r="D269" i="21"/>
  <c r="C269" i="21"/>
  <c r="B269" i="21"/>
  <c r="A269" i="21"/>
  <c r="J268" i="21"/>
  <c r="I268" i="21"/>
  <c r="H268" i="21"/>
  <c r="G268" i="21"/>
  <c r="F268" i="21"/>
  <c r="E268" i="21"/>
  <c r="D268" i="21"/>
  <c r="C268" i="21"/>
  <c r="B268" i="21"/>
  <c r="A268" i="21"/>
  <c r="J267" i="21"/>
  <c r="I267" i="21"/>
  <c r="H267" i="21"/>
  <c r="G267" i="21"/>
  <c r="F267" i="21"/>
  <c r="E267" i="21"/>
  <c r="D267" i="21"/>
  <c r="C267" i="21"/>
  <c r="B267" i="21"/>
  <c r="A267" i="21"/>
  <c r="J266" i="21"/>
  <c r="I266" i="21"/>
  <c r="H266" i="21"/>
  <c r="G266" i="21"/>
  <c r="F266" i="21"/>
  <c r="E266" i="21"/>
  <c r="D266" i="21"/>
  <c r="C266" i="21"/>
  <c r="B266" i="21"/>
  <c r="A266" i="21"/>
  <c r="J265" i="21"/>
  <c r="I265" i="21"/>
  <c r="H265" i="21"/>
  <c r="G265" i="21"/>
  <c r="F265" i="21"/>
  <c r="E265" i="21"/>
  <c r="D265" i="21"/>
  <c r="C265" i="21"/>
  <c r="B265" i="21"/>
  <c r="A265" i="21"/>
  <c r="J264" i="21"/>
  <c r="I264" i="21"/>
  <c r="H264" i="21"/>
  <c r="G264" i="21"/>
  <c r="F264" i="21"/>
  <c r="E264" i="21"/>
  <c r="D264" i="21"/>
  <c r="C264" i="21"/>
  <c r="B264" i="21"/>
  <c r="A264" i="21"/>
  <c r="J263" i="21"/>
  <c r="I263" i="21"/>
  <c r="H263" i="21"/>
  <c r="G263" i="21"/>
  <c r="F263" i="21"/>
  <c r="E263" i="21"/>
  <c r="D263" i="21"/>
  <c r="C263" i="21"/>
  <c r="B263" i="21"/>
  <c r="A263" i="21"/>
  <c r="J262" i="21"/>
  <c r="I262" i="21"/>
  <c r="H262" i="21"/>
  <c r="G262" i="21"/>
  <c r="F262" i="21"/>
  <c r="E262" i="21"/>
  <c r="D262" i="21"/>
  <c r="C262" i="21"/>
  <c r="B262" i="21"/>
  <c r="A262" i="21"/>
  <c r="J261" i="21"/>
  <c r="I261" i="21"/>
  <c r="H261" i="21"/>
  <c r="G261" i="21"/>
  <c r="F261" i="21"/>
  <c r="E261" i="21"/>
  <c r="D261" i="21"/>
  <c r="C261" i="21"/>
  <c r="B261" i="21"/>
  <c r="A261" i="21"/>
  <c r="J260" i="21"/>
  <c r="I260" i="21"/>
  <c r="H260" i="21"/>
  <c r="G260" i="21"/>
  <c r="F260" i="21"/>
  <c r="E260" i="21"/>
  <c r="D260" i="21"/>
  <c r="C260" i="21"/>
  <c r="B260" i="21"/>
  <c r="A260" i="21"/>
  <c r="J259" i="21"/>
  <c r="I259" i="21"/>
  <c r="H259" i="21"/>
  <c r="G259" i="21"/>
  <c r="F259" i="21"/>
  <c r="E259" i="21"/>
  <c r="D259" i="21"/>
  <c r="C259" i="21"/>
  <c r="B259" i="21"/>
  <c r="A259" i="21"/>
  <c r="J258" i="21"/>
  <c r="I258" i="21"/>
  <c r="H258" i="21"/>
  <c r="G258" i="21"/>
  <c r="F258" i="21"/>
  <c r="E258" i="21"/>
  <c r="D258" i="21"/>
  <c r="C258" i="21"/>
  <c r="B258" i="21"/>
  <c r="A258" i="21"/>
  <c r="J257" i="21"/>
  <c r="I257" i="21"/>
  <c r="H257" i="21"/>
  <c r="G257" i="21"/>
  <c r="F257" i="21"/>
  <c r="E257" i="21"/>
  <c r="D257" i="21"/>
  <c r="C257" i="21"/>
  <c r="B257" i="21"/>
  <c r="A257" i="21"/>
  <c r="J256" i="21"/>
  <c r="I256" i="21"/>
  <c r="H256" i="21"/>
  <c r="G256" i="21"/>
  <c r="F256" i="21"/>
  <c r="E256" i="21"/>
  <c r="D256" i="21"/>
  <c r="C256" i="21"/>
  <c r="B256" i="21"/>
  <c r="A256" i="21"/>
  <c r="J255" i="21"/>
  <c r="I255" i="21"/>
  <c r="H255" i="21"/>
  <c r="G255" i="21"/>
  <c r="F255" i="21"/>
  <c r="E255" i="21"/>
  <c r="D255" i="21"/>
  <c r="C255" i="21"/>
  <c r="B255" i="21"/>
  <c r="A255" i="21"/>
  <c r="J254" i="21"/>
  <c r="I254" i="21"/>
  <c r="H254" i="21"/>
  <c r="G254" i="21"/>
  <c r="F254" i="21"/>
  <c r="E254" i="21"/>
  <c r="D254" i="21"/>
  <c r="C254" i="21"/>
  <c r="B254" i="21"/>
  <c r="A254" i="21"/>
  <c r="J253" i="21"/>
  <c r="I253" i="21"/>
  <c r="H253" i="21"/>
  <c r="G253" i="21"/>
  <c r="F253" i="21"/>
  <c r="E253" i="21"/>
  <c r="D253" i="21"/>
  <c r="C253" i="21"/>
  <c r="B253" i="21"/>
  <c r="A253" i="21"/>
  <c r="J252" i="21"/>
  <c r="I252" i="21"/>
  <c r="H252" i="21"/>
  <c r="G252" i="21"/>
  <c r="F252" i="21"/>
  <c r="E252" i="21"/>
  <c r="D252" i="21"/>
  <c r="C252" i="21"/>
  <c r="B252" i="21"/>
  <c r="A252" i="21"/>
  <c r="J251" i="21"/>
  <c r="I251" i="21"/>
  <c r="H251" i="21"/>
  <c r="G251" i="21"/>
  <c r="F251" i="21"/>
  <c r="E251" i="21"/>
  <c r="D251" i="21"/>
  <c r="C251" i="21"/>
  <c r="B251" i="21"/>
  <c r="A251" i="21"/>
  <c r="J250" i="21"/>
  <c r="I250" i="21"/>
  <c r="H250" i="21"/>
  <c r="G250" i="21"/>
  <c r="F250" i="21"/>
  <c r="E250" i="21"/>
  <c r="D250" i="21"/>
  <c r="C250" i="21"/>
  <c r="B250" i="21"/>
  <c r="A250" i="21"/>
  <c r="J249" i="21"/>
  <c r="I249" i="21"/>
  <c r="H249" i="21"/>
  <c r="G249" i="21"/>
  <c r="F249" i="21"/>
  <c r="E249" i="21"/>
  <c r="D249" i="21"/>
  <c r="C249" i="21"/>
  <c r="B249" i="21"/>
  <c r="A249" i="21"/>
  <c r="J248" i="21"/>
  <c r="I248" i="21"/>
  <c r="H248" i="21"/>
  <c r="G248" i="21"/>
  <c r="F248" i="21"/>
  <c r="E248" i="21"/>
  <c r="D248" i="21"/>
  <c r="C248" i="21"/>
  <c r="B248" i="21"/>
  <c r="A248" i="21"/>
  <c r="J247" i="21"/>
  <c r="I247" i="21"/>
  <c r="H247" i="21"/>
  <c r="G247" i="21"/>
  <c r="F247" i="21"/>
  <c r="E247" i="21"/>
  <c r="D247" i="21"/>
  <c r="C247" i="21"/>
  <c r="B247" i="21"/>
  <c r="A247" i="21"/>
  <c r="J246" i="21"/>
  <c r="I246" i="21"/>
  <c r="H246" i="21"/>
  <c r="G246" i="21"/>
  <c r="F246" i="21"/>
  <c r="E246" i="21"/>
  <c r="D246" i="21"/>
  <c r="C246" i="21"/>
  <c r="B246" i="21"/>
  <c r="A246" i="21"/>
  <c r="J245" i="21"/>
  <c r="I245" i="21"/>
  <c r="H245" i="21"/>
  <c r="G245" i="21"/>
  <c r="F245" i="21"/>
  <c r="E245" i="21"/>
  <c r="D245" i="21"/>
  <c r="C245" i="21"/>
  <c r="B245" i="21"/>
  <c r="A245" i="21"/>
  <c r="J244" i="21"/>
  <c r="I244" i="21"/>
  <c r="H244" i="21"/>
  <c r="G244" i="21"/>
  <c r="F244" i="21"/>
  <c r="E244" i="21"/>
  <c r="D244" i="21"/>
  <c r="C244" i="21"/>
  <c r="B244" i="21"/>
  <c r="A244" i="21"/>
  <c r="J243" i="21"/>
  <c r="I243" i="21"/>
  <c r="H243" i="21"/>
  <c r="G243" i="21"/>
  <c r="F243" i="21"/>
  <c r="E243" i="21"/>
  <c r="D243" i="21"/>
  <c r="C243" i="21"/>
  <c r="B243" i="21"/>
  <c r="A243" i="21"/>
  <c r="J242" i="21"/>
  <c r="I242" i="21"/>
  <c r="H242" i="21"/>
  <c r="G242" i="21"/>
  <c r="F242" i="21"/>
  <c r="E242" i="21"/>
  <c r="D242" i="21"/>
  <c r="C242" i="21"/>
  <c r="B242" i="21"/>
  <c r="A242" i="21"/>
  <c r="J241" i="21"/>
  <c r="I241" i="21"/>
  <c r="H241" i="21"/>
  <c r="G241" i="21"/>
  <c r="F241" i="21"/>
  <c r="E241" i="21"/>
  <c r="D241" i="21"/>
  <c r="C241" i="21"/>
  <c r="B241" i="21"/>
  <c r="A241" i="21"/>
  <c r="J240" i="21"/>
  <c r="I240" i="21"/>
  <c r="H240" i="21"/>
  <c r="G240" i="21"/>
  <c r="F240" i="21"/>
  <c r="E240" i="21"/>
  <c r="D240" i="21"/>
  <c r="C240" i="21"/>
  <c r="B240" i="21"/>
  <c r="A240" i="21"/>
  <c r="J239" i="21"/>
  <c r="I239" i="21"/>
  <c r="H239" i="21"/>
  <c r="G239" i="21"/>
  <c r="F239" i="21"/>
  <c r="E239" i="21"/>
  <c r="D239" i="21"/>
  <c r="C239" i="21"/>
  <c r="B239" i="21"/>
  <c r="A239" i="21"/>
  <c r="J238" i="21"/>
  <c r="I238" i="21"/>
  <c r="H238" i="21"/>
  <c r="G238" i="21"/>
  <c r="F238" i="21"/>
  <c r="E238" i="21"/>
  <c r="D238" i="21"/>
  <c r="C238" i="21"/>
  <c r="B238" i="21"/>
  <c r="A238" i="21"/>
  <c r="J237" i="21"/>
  <c r="I237" i="21"/>
  <c r="H237" i="21"/>
  <c r="G237" i="21"/>
  <c r="F237" i="21"/>
  <c r="E237" i="21"/>
  <c r="D237" i="21"/>
  <c r="C237" i="21"/>
  <c r="B237" i="21"/>
  <c r="A237" i="21"/>
  <c r="J236" i="21"/>
  <c r="I236" i="21"/>
  <c r="H236" i="21"/>
  <c r="G236" i="21"/>
  <c r="F236" i="21"/>
  <c r="E236" i="21"/>
  <c r="D236" i="21"/>
  <c r="C236" i="21"/>
  <c r="B236" i="21"/>
  <c r="A236" i="21"/>
  <c r="J235" i="21"/>
  <c r="I235" i="21"/>
  <c r="H235" i="21"/>
  <c r="G235" i="21"/>
  <c r="F235" i="21"/>
  <c r="E235" i="21"/>
  <c r="D235" i="21"/>
  <c r="C235" i="21"/>
  <c r="B235" i="21"/>
  <c r="A235" i="21"/>
  <c r="J234" i="21"/>
  <c r="I234" i="21"/>
  <c r="H234" i="21"/>
  <c r="G234" i="21"/>
  <c r="F234" i="21"/>
  <c r="E234" i="21"/>
  <c r="D234" i="21"/>
  <c r="C234" i="21"/>
  <c r="B234" i="21"/>
  <c r="A234" i="21"/>
  <c r="J233" i="21"/>
  <c r="I233" i="21"/>
  <c r="H233" i="21"/>
  <c r="G233" i="21"/>
  <c r="F233" i="21"/>
  <c r="E233" i="21"/>
  <c r="D233" i="21"/>
  <c r="C233" i="21"/>
  <c r="B233" i="21"/>
  <c r="A233" i="21"/>
  <c r="J232" i="21"/>
  <c r="I232" i="21"/>
  <c r="H232" i="21"/>
  <c r="G232" i="21"/>
  <c r="F232" i="21"/>
  <c r="E232" i="21"/>
  <c r="D232" i="21"/>
  <c r="C232" i="21"/>
  <c r="B232" i="21"/>
  <c r="A232" i="21"/>
  <c r="J231" i="21"/>
  <c r="I231" i="21"/>
  <c r="H231" i="21"/>
  <c r="G231" i="21"/>
  <c r="F231" i="21"/>
  <c r="E231" i="21"/>
  <c r="D231" i="21"/>
  <c r="C231" i="21"/>
  <c r="B231" i="21"/>
  <c r="A231" i="21"/>
  <c r="J230" i="21"/>
  <c r="I230" i="21"/>
  <c r="H230" i="21"/>
  <c r="G230" i="21"/>
  <c r="F230" i="21"/>
  <c r="E230" i="21"/>
  <c r="D230" i="21"/>
  <c r="C230" i="21"/>
  <c r="B230" i="21"/>
  <c r="A230" i="21"/>
  <c r="J229" i="21"/>
  <c r="I229" i="21"/>
  <c r="H229" i="21"/>
  <c r="G229" i="21"/>
  <c r="F229" i="21"/>
  <c r="E229" i="21"/>
  <c r="D229" i="21"/>
  <c r="C229" i="21"/>
  <c r="B229" i="21"/>
  <c r="A229" i="21"/>
  <c r="J228" i="21"/>
  <c r="I228" i="21"/>
  <c r="H228" i="21"/>
  <c r="G228" i="21"/>
  <c r="F228" i="21"/>
  <c r="E228" i="21"/>
  <c r="D228" i="21"/>
  <c r="C228" i="21"/>
  <c r="B228" i="21"/>
  <c r="A228" i="21"/>
  <c r="H227" i="21"/>
  <c r="G227" i="21"/>
  <c r="F227" i="21"/>
  <c r="E227" i="21"/>
  <c r="B227" i="21"/>
  <c r="A227" i="21"/>
  <c r="I226" i="21"/>
  <c r="J226" i="21" s="1"/>
  <c r="D226" i="21" s="1"/>
  <c r="H226" i="21"/>
  <c r="G226" i="21"/>
  <c r="F226" i="21"/>
  <c r="E226" i="21"/>
  <c r="B226" i="21"/>
  <c r="A226" i="21"/>
  <c r="I225" i="21"/>
  <c r="J225" i="21" s="1"/>
  <c r="D225" i="21" s="1"/>
  <c r="H225" i="21"/>
  <c r="G225" i="21"/>
  <c r="F225" i="21"/>
  <c r="E225" i="21"/>
  <c r="B225" i="21"/>
  <c r="A225" i="21"/>
  <c r="H224" i="21"/>
  <c r="G224" i="21"/>
  <c r="F224" i="21"/>
  <c r="E224" i="21"/>
  <c r="I224" i="21" s="1"/>
  <c r="J224" i="21" s="1"/>
  <c r="D224" i="21"/>
  <c r="B224" i="21"/>
  <c r="A224" i="21"/>
  <c r="H223" i="21"/>
  <c r="G223" i="21"/>
  <c r="F223" i="21"/>
  <c r="E223" i="21"/>
  <c r="B223" i="21"/>
  <c r="A223" i="21"/>
  <c r="I222" i="21"/>
  <c r="J222" i="21" s="1"/>
  <c r="D222" i="21" s="1"/>
  <c r="H222" i="21"/>
  <c r="G222" i="21"/>
  <c r="F222" i="21"/>
  <c r="E222" i="21"/>
  <c r="B222" i="21"/>
  <c r="A222" i="21"/>
  <c r="I221" i="21"/>
  <c r="J221" i="21" s="1"/>
  <c r="D221" i="21" s="1"/>
  <c r="H221" i="21"/>
  <c r="G221" i="21"/>
  <c r="F221" i="21"/>
  <c r="E221" i="21"/>
  <c r="B221" i="21"/>
  <c r="A221" i="21"/>
  <c r="H220" i="21"/>
  <c r="G220" i="21"/>
  <c r="F220" i="21"/>
  <c r="E220" i="21"/>
  <c r="I220" i="21" s="1"/>
  <c r="J220" i="21" s="1"/>
  <c r="D220" i="21" s="1"/>
  <c r="C220" i="21"/>
  <c r="B220" i="21"/>
  <c r="A220" i="21"/>
  <c r="H219" i="21"/>
  <c r="G219" i="21"/>
  <c r="F219" i="21"/>
  <c r="E219" i="21"/>
  <c r="B219" i="21"/>
  <c r="A219" i="21"/>
  <c r="I218" i="21"/>
  <c r="J218" i="21" s="1"/>
  <c r="D218" i="21" s="1"/>
  <c r="H218" i="21"/>
  <c r="G218" i="21"/>
  <c r="F218" i="21"/>
  <c r="E218" i="21"/>
  <c r="B218" i="21"/>
  <c r="A218" i="21"/>
  <c r="I217" i="21"/>
  <c r="J217" i="21" s="1"/>
  <c r="D217" i="21" s="1"/>
  <c r="H217" i="21"/>
  <c r="G217" i="21"/>
  <c r="F217" i="21"/>
  <c r="E217" i="21"/>
  <c r="B217" i="21"/>
  <c r="A217" i="21"/>
  <c r="H216" i="21"/>
  <c r="G216" i="21"/>
  <c r="F216" i="21"/>
  <c r="E216" i="21"/>
  <c r="I216" i="21" s="1"/>
  <c r="J216" i="21" s="1"/>
  <c r="D216" i="21"/>
  <c r="C216" i="21"/>
  <c r="B216" i="21"/>
  <c r="A216" i="21"/>
  <c r="H215" i="21"/>
  <c r="G215" i="21"/>
  <c r="F215" i="21"/>
  <c r="E215" i="21"/>
  <c r="B215" i="21"/>
  <c r="A215" i="21"/>
  <c r="I214" i="21"/>
  <c r="J214" i="21" s="1"/>
  <c r="D214" i="21" s="1"/>
  <c r="H214" i="21"/>
  <c r="G214" i="21"/>
  <c r="F214" i="21"/>
  <c r="E214" i="21"/>
  <c r="B214" i="21"/>
  <c r="A214" i="21"/>
  <c r="I213" i="21"/>
  <c r="J213" i="21" s="1"/>
  <c r="D213" i="21" s="1"/>
  <c r="H213" i="21"/>
  <c r="G213" i="21"/>
  <c r="F213" i="21"/>
  <c r="E213" i="21"/>
  <c r="B213" i="21"/>
  <c r="A213" i="21"/>
  <c r="H212" i="21"/>
  <c r="G212" i="21"/>
  <c r="F212" i="21"/>
  <c r="E212" i="21"/>
  <c r="I212" i="21" s="1"/>
  <c r="J212" i="21" s="1"/>
  <c r="D212" i="21" s="1"/>
  <c r="B212" i="21"/>
  <c r="A212" i="21"/>
  <c r="H211" i="21"/>
  <c r="G211" i="21"/>
  <c r="F211" i="21"/>
  <c r="E211" i="21"/>
  <c r="B211" i="21"/>
  <c r="A211" i="21"/>
  <c r="I210" i="21"/>
  <c r="J210" i="21" s="1"/>
  <c r="D210" i="21" s="1"/>
  <c r="H210" i="21"/>
  <c r="G210" i="21"/>
  <c r="F210" i="21"/>
  <c r="E210" i="21"/>
  <c r="C210" i="21" s="1"/>
  <c r="B210" i="21"/>
  <c r="A210" i="21"/>
  <c r="I209" i="21"/>
  <c r="J209" i="21" s="1"/>
  <c r="D209" i="21" s="1"/>
  <c r="H209" i="21"/>
  <c r="G209" i="21"/>
  <c r="F209" i="21"/>
  <c r="E209" i="21"/>
  <c r="C209" i="21"/>
  <c r="B209" i="21"/>
  <c r="A209" i="21"/>
  <c r="H208" i="21"/>
  <c r="G208" i="21"/>
  <c r="F208" i="21"/>
  <c r="E208" i="21"/>
  <c r="I208" i="21" s="1"/>
  <c r="J208" i="21" s="1"/>
  <c r="D208" i="21" s="1"/>
  <c r="C208" i="21"/>
  <c r="B208" i="21"/>
  <c r="A208" i="21"/>
  <c r="H207" i="21"/>
  <c r="G207" i="21"/>
  <c r="F207" i="21"/>
  <c r="E207" i="21"/>
  <c r="B207" i="21"/>
  <c r="A207" i="21"/>
  <c r="I206" i="21"/>
  <c r="J206" i="21" s="1"/>
  <c r="D206" i="21" s="1"/>
  <c r="H206" i="21"/>
  <c r="G206" i="21"/>
  <c r="F206" i="21"/>
  <c r="E206" i="21"/>
  <c r="B206" i="21"/>
  <c r="A206" i="21"/>
  <c r="I205" i="21"/>
  <c r="J205" i="21" s="1"/>
  <c r="D205" i="21" s="1"/>
  <c r="H205" i="21"/>
  <c r="G205" i="21"/>
  <c r="F205" i="21"/>
  <c r="E205" i="21"/>
  <c r="C205" i="21"/>
  <c r="B205" i="21"/>
  <c r="A205" i="21"/>
  <c r="H204" i="21"/>
  <c r="G204" i="21"/>
  <c r="F204" i="21"/>
  <c r="E204" i="21"/>
  <c r="I204" i="21" s="1"/>
  <c r="J204" i="21" s="1"/>
  <c r="D204" i="21" s="1"/>
  <c r="C204" i="21"/>
  <c r="B204" i="21"/>
  <c r="A204" i="21"/>
  <c r="H203" i="21"/>
  <c r="G203" i="21"/>
  <c r="F203" i="21"/>
  <c r="E203" i="21"/>
  <c r="B203" i="21"/>
  <c r="A203" i="21"/>
  <c r="I202" i="21"/>
  <c r="J202" i="21" s="1"/>
  <c r="D202" i="21" s="1"/>
  <c r="H202" i="21"/>
  <c r="G202" i="21"/>
  <c r="F202" i="21"/>
  <c r="E202" i="21"/>
  <c r="C202" i="21" s="1"/>
  <c r="B202" i="21"/>
  <c r="A202" i="21"/>
  <c r="I201" i="21"/>
  <c r="J201" i="21" s="1"/>
  <c r="D201" i="21" s="1"/>
  <c r="H201" i="21"/>
  <c r="G201" i="21"/>
  <c r="F201" i="21"/>
  <c r="E201" i="21"/>
  <c r="C201" i="21"/>
  <c r="B201" i="21"/>
  <c r="A201" i="21"/>
  <c r="H200" i="21"/>
  <c r="G200" i="21"/>
  <c r="F200" i="21"/>
  <c r="E200" i="21"/>
  <c r="I200" i="21" s="1"/>
  <c r="J200" i="21" s="1"/>
  <c r="D200" i="21"/>
  <c r="C200" i="21"/>
  <c r="B200" i="21"/>
  <c r="A200" i="21"/>
  <c r="H199" i="21"/>
  <c r="G199" i="21"/>
  <c r="F199" i="21"/>
  <c r="E199" i="21"/>
  <c r="B199" i="21"/>
  <c r="A199" i="21"/>
  <c r="I198" i="21"/>
  <c r="J198" i="21" s="1"/>
  <c r="D198" i="21" s="1"/>
  <c r="H198" i="21"/>
  <c r="G198" i="21"/>
  <c r="F198" i="21"/>
  <c r="E198" i="21"/>
  <c r="C198" i="21" s="1"/>
  <c r="B198" i="21"/>
  <c r="A198" i="21"/>
  <c r="I197" i="21"/>
  <c r="J197" i="21" s="1"/>
  <c r="D197" i="21" s="1"/>
  <c r="H197" i="21"/>
  <c r="G197" i="21"/>
  <c r="F197" i="21"/>
  <c r="E197" i="21"/>
  <c r="C197" i="21"/>
  <c r="B197" i="21"/>
  <c r="A197" i="21"/>
  <c r="H196" i="21"/>
  <c r="G196" i="21"/>
  <c r="F196" i="21"/>
  <c r="E196" i="21"/>
  <c r="I196" i="21" s="1"/>
  <c r="J196" i="21" s="1"/>
  <c r="D196" i="21" s="1"/>
  <c r="B196" i="21"/>
  <c r="A196" i="21"/>
  <c r="H195" i="21"/>
  <c r="G195" i="21"/>
  <c r="F195" i="21"/>
  <c r="E195" i="21"/>
  <c r="B195" i="21"/>
  <c r="A195" i="21"/>
  <c r="I194" i="21"/>
  <c r="J194" i="21" s="1"/>
  <c r="D194" i="21" s="1"/>
  <c r="H194" i="21"/>
  <c r="G194" i="21"/>
  <c r="F194" i="21"/>
  <c r="E194" i="21"/>
  <c r="C194" i="21" s="1"/>
  <c r="B194" i="21"/>
  <c r="A194" i="21"/>
  <c r="I193" i="21"/>
  <c r="J193" i="21" s="1"/>
  <c r="D193" i="21" s="1"/>
  <c r="H193" i="21"/>
  <c r="G193" i="21"/>
  <c r="F193" i="21"/>
  <c r="E193" i="21"/>
  <c r="B193" i="21"/>
  <c r="A193" i="21"/>
  <c r="H192" i="21"/>
  <c r="G192" i="21"/>
  <c r="F192" i="21"/>
  <c r="E192" i="21"/>
  <c r="I192" i="21" s="1"/>
  <c r="J192" i="21" s="1"/>
  <c r="D192" i="21"/>
  <c r="C192" i="21"/>
  <c r="B192" i="21"/>
  <c r="A192" i="21"/>
  <c r="H191" i="21"/>
  <c r="G191" i="21"/>
  <c r="F191" i="21"/>
  <c r="E191" i="21"/>
  <c r="B191" i="21"/>
  <c r="A191" i="21"/>
  <c r="I190" i="21"/>
  <c r="J190" i="21" s="1"/>
  <c r="D190" i="21" s="1"/>
  <c r="H190" i="21"/>
  <c r="G190" i="21"/>
  <c r="F190" i="21"/>
  <c r="E190" i="21"/>
  <c r="C190" i="21" s="1"/>
  <c r="B190" i="21"/>
  <c r="A190" i="21"/>
  <c r="I189" i="21"/>
  <c r="J189" i="21" s="1"/>
  <c r="D189" i="21" s="1"/>
  <c r="H189" i="21"/>
  <c r="G189" i="21"/>
  <c r="F189" i="21"/>
  <c r="E189" i="21"/>
  <c r="C189" i="21"/>
  <c r="B189" i="21"/>
  <c r="A189" i="21"/>
  <c r="H188" i="21"/>
  <c r="G188" i="21"/>
  <c r="F188" i="21"/>
  <c r="E188" i="21"/>
  <c r="I188" i="21" s="1"/>
  <c r="J188" i="21" s="1"/>
  <c r="D188" i="21" s="1"/>
  <c r="C188" i="21"/>
  <c r="B188" i="21"/>
  <c r="A188" i="21"/>
  <c r="H187" i="21"/>
  <c r="G187" i="21"/>
  <c r="F187" i="21"/>
  <c r="E187" i="21"/>
  <c r="B187" i="21"/>
  <c r="A187" i="21"/>
  <c r="I186" i="21"/>
  <c r="J186" i="21" s="1"/>
  <c r="D186" i="21" s="1"/>
  <c r="H186" i="21"/>
  <c r="G186" i="21"/>
  <c r="F186" i="21"/>
  <c r="E186" i="21"/>
  <c r="C186" i="21" s="1"/>
  <c r="B186" i="21"/>
  <c r="A186" i="21"/>
  <c r="I185" i="21"/>
  <c r="J185" i="21" s="1"/>
  <c r="D185" i="21" s="1"/>
  <c r="H185" i="21"/>
  <c r="G185" i="21"/>
  <c r="F185" i="21"/>
  <c r="E185" i="21"/>
  <c r="B185" i="21"/>
  <c r="A185" i="21"/>
  <c r="H184" i="21"/>
  <c r="G184" i="21"/>
  <c r="F184" i="21"/>
  <c r="E184" i="21"/>
  <c r="I184" i="21" s="1"/>
  <c r="J184" i="21" s="1"/>
  <c r="D184" i="21"/>
  <c r="C184" i="21"/>
  <c r="B184" i="21"/>
  <c r="A184" i="21"/>
  <c r="H183" i="21"/>
  <c r="G183" i="21"/>
  <c r="F183" i="21"/>
  <c r="E183" i="21"/>
  <c r="B183" i="21"/>
  <c r="A183" i="21"/>
  <c r="I182" i="21"/>
  <c r="J182" i="21" s="1"/>
  <c r="D182" i="21" s="1"/>
  <c r="H182" i="21"/>
  <c r="G182" i="21"/>
  <c r="F182" i="21"/>
  <c r="E182" i="21"/>
  <c r="C182" i="21" s="1"/>
  <c r="B182" i="21"/>
  <c r="A182" i="21"/>
  <c r="I181" i="21"/>
  <c r="J181" i="21" s="1"/>
  <c r="D181" i="21" s="1"/>
  <c r="H181" i="21"/>
  <c r="G181" i="21"/>
  <c r="F181" i="21"/>
  <c r="E181" i="21"/>
  <c r="C181" i="21"/>
  <c r="B181" i="21"/>
  <c r="A181" i="21"/>
  <c r="H180" i="21"/>
  <c r="G180" i="21"/>
  <c r="F180" i="21"/>
  <c r="E180" i="21"/>
  <c r="I180" i="21" s="1"/>
  <c r="J180" i="21" s="1"/>
  <c r="D180" i="21" s="1"/>
  <c r="C180" i="21"/>
  <c r="B180" i="21"/>
  <c r="A180" i="21"/>
  <c r="H179" i="21"/>
  <c r="G179" i="21"/>
  <c r="F179" i="21"/>
  <c r="E179" i="21"/>
  <c r="B179" i="21"/>
  <c r="A179" i="21"/>
  <c r="I178" i="21"/>
  <c r="J178" i="21" s="1"/>
  <c r="D178" i="21" s="1"/>
  <c r="H178" i="21"/>
  <c r="G178" i="21"/>
  <c r="F178" i="21"/>
  <c r="E178" i="21"/>
  <c r="B178" i="21"/>
  <c r="A178" i="21"/>
  <c r="I177" i="21"/>
  <c r="J177" i="21" s="1"/>
  <c r="D177" i="21" s="1"/>
  <c r="H177" i="21"/>
  <c r="G177" i="21"/>
  <c r="F177" i="21"/>
  <c r="E177" i="21"/>
  <c r="C177" i="21"/>
  <c r="B177" i="21"/>
  <c r="A177" i="21"/>
  <c r="H176" i="21"/>
  <c r="G176" i="21"/>
  <c r="F176" i="21"/>
  <c r="E176" i="21"/>
  <c r="I176" i="21" s="1"/>
  <c r="J176" i="21" s="1"/>
  <c r="D176" i="21"/>
  <c r="B176" i="21"/>
  <c r="A176" i="21"/>
  <c r="H175" i="21"/>
  <c r="G175" i="21"/>
  <c r="F175" i="21"/>
  <c r="E175" i="21"/>
  <c r="B175" i="21"/>
  <c r="A175" i="21"/>
  <c r="I174" i="21"/>
  <c r="J174" i="21" s="1"/>
  <c r="D174" i="21" s="1"/>
  <c r="H174" i="21"/>
  <c r="G174" i="21"/>
  <c r="F174" i="21"/>
  <c r="E174" i="21"/>
  <c r="B174" i="21"/>
  <c r="A174" i="21"/>
  <c r="I173" i="21"/>
  <c r="J173" i="21" s="1"/>
  <c r="D173" i="21" s="1"/>
  <c r="H173" i="21"/>
  <c r="G173" i="21"/>
  <c r="F173" i="21"/>
  <c r="E173" i="21"/>
  <c r="C173" i="21"/>
  <c r="B173" i="21"/>
  <c r="A173" i="21"/>
  <c r="H172" i="21"/>
  <c r="G172" i="21"/>
  <c r="F172" i="21"/>
  <c r="E172" i="21"/>
  <c r="I172" i="21" s="1"/>
  <c r="J172" i="21" s="1"/>
  <c r="D172" i="21" s="1"/>
  <c r="B172" i="21"/>
  <c r="A172" i="21"/>
  <c r="H171" i="21"/>
  <c r="G171" i="21"/>
  <c r="F171" i="21"/>
  <c r="E171" i="21"/>
  <c r="B171" i="21"/>
  <c r="A171" i="21"/>
  <c r="I170" i="21"/>
  <c r="J170" i="21" s="1"/>
  <c r="D170" i="21" s="1"/>
  <c r="H170" i="21"/>
  <c r="G170" i="21"/>
  <c r="F170" i="21"/>
  <c r="E170" i="21"/>
  <c r="B170" i="21"/>
  <c r="A170" i="21"/>
  <c r="I169" i="21"/>
  <c r="J169" i="21" s="1"/>
  <c r="D169" i="21" s="1"/>
  <c r="H169" i="21"/>
  <c r="G169" i="21"/>
  <c r="F169" i="21"/>
  <c r="E169" i="21"/>
  <c r="C169" i="21"/>
  <c r="B169" i="21"/>
  <c r="A169" i="21"/>
  <c r="H168" i="21"/>
  <c r="G168" i="21"/>
  <c r="F168" i="21"/>
  <c r="E168" i="21"/>
  <c r="I168" i="21" s="1"/>
  <c r="J168" i="21" s="1"/>
  <c r="D168" i="21" s="1"/>
  <c r="B168" i="21"/>
  <c r="A168" i="21"/>
  <c r="H167" i="21"/>
  <c r="G167" i="21"/>
  <c r="F167" i="21"/>
  <c r="E167" i="21"/>
  <c r="B167" i="21"/>
  <c r="A167" i="21"/>
  <c r="I166" i="21"/>
  <c r="J166" i="21" s="1"/>
  <c r="D166" i="21" s="1"/>
  <c r="H166" i="21"/>
  <c r="G166" i="21"/>
  <c r="F166" i="21"/>
  <c r="E166" i="21"/>
  <c r="B166" i="21"/>
  <c r="A166" i="21"/>
  <c r="I165" i="21"/>
  <c r="J165" i="21" s="1"/>
  <c r="D165" i="21" s="1"/>
  <c r="H165" i="21"/>
  <c r="G165" i="21"/>
  <c r="F165" i="21"/>
  <c r="E165" i="21"/>
  <c r="B165" i="21"/>
  <c r="A165" i="21"/>
  <c r="H164" i="21"/>
  <c r="G164" i="21"/>
  <c r="F164" i="21"/>
  <c r="E164" i="21"/>
  <c r="I164" i="21" s="1"/>
  <c r="J164" i="21" s="1"/>
  <c r="D164" i="21" s="1"/>
  <c r="C164" i="21"/>
  <c r="B164" i="21"/>
  <c r="A164" i="21"/>
  <c r="H163" i="21"/>
  <c r="G163" i="21"/>
  <c r="F163" i="21"/>
  <c r="E163" i="21"/>
  <c r="B163" i="21"/>
  <c r="A163" i="21"/>
  <c r="I162" i="21"/>
  <c r="J162" i="21" s="1"/>
  <c r="D162" i="21" s="1"/>
  <c r="H162" i="21"/>
  <c r="G162" i="21"/>
  <c r="F162" i="21"/>
  <c r="E162" i="21"/>
  <c r="C162" i="21" s="1"/>
  <c r="B162" i="21"/>
  <c r="A162" i="21"/>
  <c r="I161" i="21"/>
  <c r="J161" i="21" s="1"/>
  <c r="D161" i="21" s="1"/>
  <c r="H161" i="21"/>
  <c r="G161" i="21"/>
  <c r="F161" i="21"/>
  <c r="E161" i="21"/>
  <c r="C161" i="21"/>
  <c r="B161" i="21"/>
  <c r="A161" i="21"/>
  <c r="H160" i="21"/>
  <c r="G160" i="21"/>
  <c r="F160" i="21"/>
  <c r="E160" i="21"/>
  <c r="I160" i="21" s="1"/>
  <c r="J160" i="21" s="1"/>
  <c r="D160" i="21"/>
  <c r="C160" i="21"/>
  <c r="B160" i="21"/>
  <c r="A160" i="21"/>
  <c r="H159" i="21"/>
  <c r="G159" i="21"/>
  <c r="F159" i="21"/>
  <c r="E159" i="21"/>
  <c r="B159" i="21"/>
  <c r="A159" i="21"/>
  <c r="I158" i="21"/>
  <c r="J158" i="21" s="1"/>
  <c r="D158" i="21" s="1"/>
  <c r="H158" i="21"/>
  <c r="G158" i="21"/>
  <c r="F158" i="21"/>
  <c r="E158" i="21"/>
  <c r="B158" i="21"/>
  <c r="A158" i="21"/>
  <c r="I157" i="21"/>
  <c r="J157" i="21" s="1"/>
  <c r="D157" i="21" s="1"/>
  <c r="H157" i="21"/>
  <c r="G157" i="21"/>
  <c r="F157" i="21"/>
  <c r="E157" i="21"/>
  <c r="C157" i="21"/>
  <c r="B157" i="21"/>
  <c r="A157" i="21"/>
  <c r="H156" i="21"/>
  <c r="G156" i="21"/>
  <c r="F156" i="21"/>
  <c r="E156" i="21"/>
  <c r="I156" i="21" s="1"/>
  <c r="J156" i="21" s="1"/>
  <c r="D156" i="21" s="1"/>
  <c r="B156" i="21"/>
  <c r="A156" i="21"/>
  <c r="H155" i="21"/>
  <c r="G155" i="21"/>
  <c r="F155" i="21"/>
  <c r="E155" i="21"/>
  <c r="B155" i="21"/>
  <c r="A155" i="21"/>
  <c r="I154" i="21"/>
  <c r="J154" i="21" s="1"/>
  <c r="D154" i="21" s="1"/>
  <c r="H154" i="21"/>
  <c r="G154" i="21"/>
  <c r="F154" i="21"/>
  <c r="E154" i="21"/>
  <c r="C154" i="21" s="1"/>
  <c r="B154" i="21"/>
  <c r="A154" i="21"/>
  <c r="I153" i="21"/>
  <c r="J153" i="21" s="1"/>
  <c r="D153" i="21" s="1"/>
  <c r="H153" i="21"/>
  <c r="G153" i="21"/>
  <c r="F153" i="21"/>
  <c r="E153" i="21"/>
  <c r="C153" i="21"/>
  <c r="B153" i="21"/>
  <c r="A153" i="21"/>
  <c r="H152" i="21"/>
  <c r="G152" i="21"/>
  <c r="F152" i="21"/>
  <c r="E152" i="21"/>
  <c r="I152" i="21" s="1"/>
  <c r="J152" i="21" s="1"/>
  <c r="D152" i="21" s="1"/>
  <c r="C152" i="21"/>
  <c r="B152" i="21"/>
  <c r="A152" i="21"/>
  <c r="H151" i="21"/>
  <c r="G151" i="21"/>
  <c r="F151" i="21"/>
  <c r="E151" i="21"/>
  <c r="B151" i="21"/>
  <c r="A151" i="21"/>
  <c r="J150" i="21"/>
  <c r="I150" i="21"/>
  <c r="H150" i="21"/>
  <c r="G150" i="21"/>
  <c r="F150" i="21"/>
  <c r="E150" i="21"/>
  <c r="D150" i="21"/>
  <c r="C150" i="21"/>
  <c r="B150" i="21"/>
  <c r="A150" i="21"/>
  <c r="J149" i="21"/>
  <c r="I149" i="21"/>
  <c r="H149" i="21"/>
  <c r="G149" i="21"/>
  <c r="F149" i="21"/>
  <c r="E149" i="21"/>
  <c r="D149" i="21"/>
  <c r="C149" i="21"/>
  <c r="B149" i="21"/>
  <c r="A149" i="21"/>
  <c r="J148" i="21"/>
  <c r="I148" i="21"/>
  <c r="H148" i="21"/>
  <c r="G148" i="21"/>
  <c r="F148" i="21"/>
  <c r="E148" i="21"/>
  <c r="D148" i="21"/>
  <c r="C148" i="21"/>
  <c r="B148" i="21"/>
  <c r="A148" i="21"/>
  <c r="J147" i="21"/>
  <c r="I147" i="21"/>
  <c r="H147" i="21"/>
  <c r="G147" i="21"/>
  <c r="F147" i="21"/>
  <c r="E147" i="21"/>
  <c r="D147" i="21"/>
  <c r="C147" i="21"/>
  <c r="B147" i="21"/>
  <c r="A147" i="21"/>
  <c r="J146" i="21"/>
  <c r="I146" i="21"/>
  <c r="H146" i="21"/>
  <c r="G146" i="21"/>
  <c r="F146" i="21"/>
  <c r="E146" i="21"/>
  <c r="D146" i="21"/>
  <c r="C146" i="21"/>
  <c r="B146" i="21"/>
  <c r="A146" i="21"/>
  <c r="J145" i="21"/>
  <c r="I145" i="21"/>
  <c r="H145" i="21"/>
  <c r="G145" i="21"/>
  <c r="F145" i="21"/>
  <c r="E145" i="21"/>
  <c r="D145" i="21"/>
  <c r="C145" i="21"/>
  <c r="B145" i="21"/>
  <c r="A145" i="21"/>
  <c r="J144" i="21"/>
  <c r="I144" i="21"/>
  <c r="H144" i="21"/>
  <c r="G144" i="21"/>
  <c r="F144" i="21"/>
  <c r="E144" i="21"/>
  <c r="D144" i="21"/>
  <c r="C144" i="21"/>
  <c r="B144" i="21"/>
  <c r="A144" i="21"/>
  <c r="J143" i="21"/>
  <c r="I143" i="21"/>
  <c r="H143" i="21"/>
  <c r="G143" i="21"/>
  <c r="F143" i="21"/>
  <c r="E143" i="21"/>
  <c r="D143" i="21"/>
  <c r="C143" i="21"/>
  <c r="B143" i="21"/>
  <c r="A143" i="21"/>
  <c r="J142" i="21"/>
  <c r="I142" i="21"/>
  <c r="H142" i="21"/>
  <c r="G142" i="21"/>
  <c r="F142" i="21"/>
  <c r="E142" i="21"/>
  <c r="D142" i="21"/>
  <c r="C142" i="21"/>
  <c r="B142" i="21"/>
  <c r="A142" i="21"/>
  <c r="J141" i="21"/>
  <c r="I141" i="21"/>
  <c r="H141" i="21"/>
  <c r="G141" i="21"/>
  <c r="F141" i="21"/>
  <c r="E141" i="21"/>
  <c r="D141" i="21"/>
  <c r="C141" i="21"/>
  <c r="B141" i="21"/>
  <c r="A141" i="21"/>
  <c r="J140" i="21"/>
  <c r="I140" i="21"/>
  <c r="H140" i="21"/>
  <c r="G140" i="21"/>
  <c r="F140" i="21"/>
  <c r="E140" i="21"/>
  <c r="D140" i="21"/>
  <c r="C140" i="21"/>
  <c r="B140" i="21"/>
  <c r="A140" i="21"/>
  <c r="J139" i="21"/>
  <c r="I139" i="21"/>
  <c r="H139" i="21"/>
  <c r="G139" i="21"/>
  <c r="F139" i="21"/>
  <c r="E139" i="21"/>
  <c r="D139" i="21"/>
  <c r="C139" i="21"/>
  <c r="B139" i="21"/>
  <c r="A139" i="21"/>
  <c r="J138" i="21"/>
  <c r="I138" i="21"/>
  <c r="H138" i="21"/>
  <c r="G138" i="21"/>
  <c r="F138" i="21"/>
  <c r="E138" i="21"/>
  <c r="D138" i="21"/>
  <c r="C138" i="21"/>
  <c r="B138" i="21"/>
  <c r="A138" i="21"/>
  <c r="J137" i="21"/>
  <c r="I137" i="21"/>
  <c r="H137" i="21"/>
  <c r="G137" i="21"/>
  <c r="F137" i="21"/>
  <c r="E137" i="21"/>
  <c r="D137" i="21"/>
  <c r="C137" i="21"/>
  <c r="B137" i="21"/>
  <c r="A137" i="21"/>
  <c r="J136" i="21"/>
  <c r="I136" i="21"/>
  <c r="H136" i="21"/>
  <c r="G136" i="21"/>
  <c r="F136" i="21"/>
  <c r="E136" i="21"/>
  <c r="D136" i="21"/>
  <c r="C136" i="21"/>
  <c r="B136" i="21"/>
  <c r="A136" i="21"/>
  <c r="J135" i="21"/>
  <c r="I135" i="21"/>
  <c r="H135" i="21"/>
  <c r="G135" i="21"/>
  <c r="F135" i="21"/>
  <c r="E135" i="21"/>
  <c r="D135" i="21"/>
  <c r="C135" i="21"/>
  <c r="B135" i="21"/>
  <c r="A135" i="21"/>
  <c r="J134" i="21"/>
  <c r="I134" i="21"/>
  <c r="H134" i="21"/>
  <c r="G134" i="21"/>
  <c r="F134" i="21"/>
  <c r="E134" i="21"/>
  <c r="D134" i="21"/>
  <c r="C134" i="21"/>
  <c r="B134" i="21"/>
  <c r="A134" i="21"/>
  <c r="J133" i="21"/>
  <c r="I133" i="21"/>
  <c r="H133" i="21"/>
  <c r="G133" i="21"/>
  <c r="F133" i="21"/>
  <c r="E133" i="21"/>
  <c r="D133" i="21"/>
  <c r="C133" i="21"/>
  <c r="B133" i="21"/>
  <c r="A133" i="21"/>
  <c r="J132" i="21"/>
  <c r="I132" i="21"/>
  <c r="H132" i="21"/>
  <c r="G132" i="21"/>
  <c r="F132" i="21"/>
  <c r="E132" i="21"/>
  <c r="D132" i="21"/>
  <c r="C132" i="21"/>
  <c r="B132" i="21"/>
  <c r="A132" i="21"/>
  <c r="J131" i="21"/>
  <c r="I131" i="21"/>
  <c r="H131" i="21"/>
  <c r="G131" i="21"/>
  <c r="F131" i="21"/>
  <c r="E131" i="21"/>
  <c r="D131" i="21"/>
  <c r="C131" i="21"/>
  <c r="B131" i="21"/>
  <c r="A131" i="21"/>
  <c r="J130" i="21"/>
  <c r="I130" i="21"/>
  <c r="H130" i="21"/>
  <c r="G130" i="21"/>
  <c r="F130" i="21"/>
  <c r="E130" i="21"/>
  <c r="D130" i="21"/>
  <c r="C130" i="21"/>
  <c r="B130" i="21"/>
  <c r="A130" i="21"/>
  <c r="J129" i="21"/>
  <c r="I129" i="21"/>
  <c r="H129" i="21"/>
  <c r="G129" i="21"/>
  <c r="F129" i="21"/>
  <c r="E129" i="21"/>
  <c r="D129" i="21"/>
  <c r="C129" i="21"/>
  <c r="B129" i="21"/>
  <c r="A129" i="21"/>
  <c r="J128" i="21"/>
  <c r="I128" i="21"/>
  <c r="H128" i="21"/>
  <c r="G128" i="21"/>
  <c r="F128" i="21"/>
  <c r="E128" i="21"/>
  <c r="D128" i="21"/>
  <c r="C128" i="21"/>
  <c r="B128" i="21"/>
  <c r="A128" i="21"/>
  <c r="J127" i="21"/>
  <c r="I127" i="21"/>
  <c r="H127" i="21"/>
  <c r="G127" i="21"/>
  <c r="F127" i="21"/>
  <c r="E127" i="21"/>
  <c r="D127" i="21"/>
  <c r="C127" i="21"/>
  <c r="B127" i="21"/>
  <c r="A127" i="21"/>
  <c r="J126" i="21"/>
  <c r="I126" i="21"/>
  <c r="H126" i="21"/>
  <c r="G126" i="21"/>
  <c r="F126" i="21"/>
  <c r="E126" i="21"/>
  <c r="D126" i="21"/>
  <c r="C126" i="21"/>
  <c r="B126" i="21"/>
  <c r="A126" i="21"/>
  <c r="J125" i="21"/>
  <c r="I125" i="21"/>
  <c r="H125" i="21"/>
  <c r="G125" i="21"/>
  <c r="F125" i="21"/>
  <c r="E125" i="21"/>
  <c r="D125" i="21"/>
  <c r="C125" i="21"/>
  <c r="B125" i="21"/>
  <c r="A125" i="21"/>
  <c r="J124" i="21"/>
  <c r="I124" i="21"/>
  <c r="H124" i="21"/>
  <c r="G124" i="21"/>
  <c r="F124" i="21"/>
  <c r="E124" i="21"/>
  <c r="D124" i="21"/>
  <c r="C124" i="21"/>
  <c r="B124" i="21"/>
  <c r="A124" i="21"/>
  <c r="J123" i="21"/>
  <c r="I123" i="21"/>
  <c r="H123" i="21"/>
  <c r="G123" i="21"/>
  <c r="F123" i="21"/>
  <c r="E123" i="21"/>
  <c r="D123" i="21"/>
  <c r="C123" i="21"/>
  <c r="B123" i="21"/>
  <c r="A123" i="21"/>
  <c r="J122" i="21"/>
  <c r="I122" i="21"/>
  <c r="H122" i="21"/>
  <c r="G122" i="21"/>
  <c r="F122" i="21"/>
  <c r="E122" i="21"/>
  <c r="D122" i="21"/>
  <c r="C122" i="21"/>
  <c r="B122" i="21"/>
  <c r="A122" i="21"/>
  <c r="J121" i="21"/>
  <c r="I121" i="21"/>
  <c r="H121" i="21"/>
  <c r="G121" i="21"/>
  <c r="F121" i="21"/>
  <c r="E121" i="21"/>
  <c r="D121" i="21"/>
  <c r="C121" i="21"/>
  <c r="B121" i="21"/>
  <c r="A121" i="21"/>
  <c r="J120" i="21"/>
  <c r="I120" i="21"/>
  <c r="H120" i="21"/>
  <c r="G120" i="21"/>
  <c r="F120" i="21"/>
  <c r="E120" i="21"/>
  <c r="D120" i="21"/>
  <c r="C120" i="21"/>
  <c r="B120" i="21"/>
  <c r="A120" i="21"/>
  <c r="J119" i="21"/>
  <c r="I119" i="21"/>
  <c r="H119" i="21"/>
  <c r="G119" i="21"/>
  <c r="F119" i="21"/>
  <c r="E119" i="21"/>
  <c r="D119" i="21"/>
  <c r="C119" i="21"/>
  <c r="B119" i="21"/>
  <c r="A119" i="21"/>
  <c r="J118" i="21"/>
  <c r="I118" i="21"/>
  <c r="H118" i="21"/>
  <c r="G118" i="21"/>
  <c r="F118" i="21"/>
  <c r="E118" i="21"/>
  <c r="D118" i="21"/>
  <c r="C118" i="21"/>
  <c r="B118" i="21"/>
  <c r="A118" i="21"/>
  <c r="J117" i="21"/>
  <c r="I117" i="21"/>
  <c r="H117" i="21"/>
  <c r="G117" i="21"/>
  <c r="F117" i="21"/>
  <c r="E117" i="21"/>
  <c r="D117" i="21"/>
  <c r="C117" i="21"/>
  <c r="B117" i="21"/>
  <c r="A117" i="21"/>
  <c r="J116" i="21"/>
  <c r="I116" i="21"/>
  <c r="H116" i="21"/>
  <c r="G116" i="21"/>
  <c r="F116" i="21"/>
  <c r="E116" i="21"/>
  <c r="D116" i="21"/>
  <c r="C116" i="21"/>
  <c r="B116" i="21"/>
  <c r="A116" i="21"/>
  <c r="J115" i="21"/>
  <c r="I115" i="21"/>
  <c r="H115" i="21"/>
  <c r="G115" i="21"/>
  <c r="F115" i="21"/>
  <c r="E115" i="21"/>
  <c r="D115" i="21"/>
  <c r="C115" i="21"/>
  <c r="B115" i="21"/>
  <c r="A115" i="21"/>
  <c r="J114" i="21"/>
  <c r="I114" i="21"/>
  <c r="H114" i="21"/>
  <c r="G114" i="21"/>
  <c r="F114" i="21"/>
  <c r="E114" i="21"/>
  <c r="D114" i="21"/>
  <c r="C114" i="21"/>
  <c r="B114" i="21"/>
  <c r="A114" i="21"/>
  <c r="J113" i="21"/>
  <c r="I113" i="21"/>
  <c r="H113" i="21"/>
  <c r="G113" i="21"/>
  <c r="F113" i="21"/>
  <c r="E113" i="21"/>
  <c r="D113" i="21"/>
  <c r="C113" i="21"/>
  <c r="B113" i="21"/>
  <c r="A113" i="21"/>
  <c r="J112" i="21"/>
  <c r="I112" i="21"/>
  <c r="H112" i="21"/>
  <c r="G112" i="21"/>
  <c r="F112" i="21"/>
  <c r="E112" i="21"/>
  <c r="D112" i="21"/>
  <c r="C112" i="21"/>
  <c r="B112" i="21"/>
  <c r="A112" i="21"/>
  <c r="J111" i="21"/>
  <c r="I111" i="21"/>
  <c r="H111" i="21"/>
  <c r="G111" i="21"/>
  <c r="F111" i="21"/>
  <c r="E111" i="21"/>
  <c r="D111" i="21"/>
  <c r="C111" i="21"/>
  <c r="B111" i="21"/>
  <c r="A111" i="21"/>
  <c r="J110" i="21"/>
  <c r="I110" i="21"/>
  <c r="H110" i="21"/>
  <c r="G110" i="21"/>
  <c r="F110" i="21"/>
  <c r="E110" i="21"/>
  <c r="D110" i="21"/>
  <c r="C110" i="21"/>
  <c r="B110" i="21"/>
  <c r="A110" i="21"/>
  <c r="J109" i="21"/>
  <c r="I109" i="21"/>
  <c r="H109" i="21"/>
  <c r="G109" i="21"/>
  <c r="F109" i="21"/>
  <c r="E109" i="21"/>
  <c r="D109" i="21"/>
  <c r="C109" i="21"/>
  <c r="B109" i="21"/>
  <c r="A109" i="21"/>
  <c r="J108" i="21"/>
  <c r="I108" i="21"/>
  <c r="H108" i="21"/>
  <c r="G108" i="21"/>
  <c r="F108" i="21"/>
  <c r="E108" i="21"/>
  <c r="D108" i="21"/>
  <c r="C108" i="21"/>
  <c r="B108" i="21"/>
  <c r="A108" i="21"/>
  <c r="J107" i="21"/>
  <c r="I107" i="21"/>
  <c r="H107" i="21"/>
  <c r="G107" i="21"/>
  <c r="F107" i="21"/>
  <c r="E107" i="21"/>
  <c r="D107" i="21"/>
  <c r="C107" i="21"/>
  <c r="B107" i="21"/>
  <c r="A107" i="21"/>
  <c r="J106" i="21"/>
  <c r="I106" i="21"/>
  <c r="H106" i="21"/>
  <c r="G106" i="21"/>
  <c r="F106" i="21"/>
  <c r="E106" i="21"/>
  <c r="D106" i="21"/>
  <c r="C106" i="21"/>
  <c r="B106" i="21"/>
  <c r="A106" i="21"/>
  <c r="J105" i="21"/>
  <c r="I105" i="21"/>
  <c r="H105" i="21"/>
  <c r="G105" i="21"/>
  <c r="F105" i="21"/>
  <c r="E105" i="21"/>
  <c r="D105" i="21"/>
  <c r="C105" i="21"/>
  <c r="B105" i="21"/>
  <c r="A105" i="21"/>
  <c r="J104" i="21"/>
  <c r="I104" i="21"/>
  <c r="H104" i="21"/>
  <c r="G104" i="21"/>
  <c r="F104" i="21"/>
  <c r="E104" i="21"/>
  <c r="D104" i="21"/>
  <c r="C104" i="21"/>
  <c r="B104" i="21"/>
  <c r="A104" i="21"/>
  <c r="J103" i="21"/>
  <c r="I103" i="21"/>
  <c r="H103" i="21"/>
  <c r="G103" i="21"/>
  <c r="F103" i="21"/>
  <c r="E103" i="21"/>
  <c r="D103" i="21"/>
  <c r="C103" i="21"/>
  <c r="B103" i="21"/>
  <c r="A103" i="21"/>
  <c r="J102" i="21"/>
  <c r="I102" i="21"/>
  <c r="H102" i="21"/>
  <c r="G102" i="21"/>
  <c r="F102" i="21"/>
  <c r="E102" i="21"/>
  <c r="D102" i="21"/>
  <c r="C102" i="21"/>
  <c r="B102" i="21"/>
  <c r="A102" i="21"/>
  <c r="J101" i="21"/>
  <c r="I101" i="21"/>
  <c r="H101" i="21"/>
  <c r="G101" i="21"/>
  <c r="F101" i="21"/>
  <c r="E101" i="21"/>
  <c r="D101" i="21"/>
  <c r="C101" i="21"/>
  <c r="B101" i="21"/>
  <c r="A101" i="21"/>
  <c r="J100" i="21"/>
  <c r="I100" i="21"/>
  <c r="H100" i="21"/>
  <c r="G100" i="21"/>
  <c r="F100" i="21"/>
  <c r="E100" i="21"/>
  <c r="D100" i="21"/>
  <c r="C100" i="21"/>
  <c r="B100" i="21"/>
  <c r="A100" i="21"/>
  <c r="J99" i="21"/>
  <c r="I99" i="21"/>
  <c r="H99" i="21"/>
  <c r="G99" i="21"/>
  <c r="F99" i="21"/>
  <c r="E99" i="21"/>
  <c r="D99" i="21"/>
  <c r="C99" i="21"/>
  <c r="B99" i="21"/>
  <c r="A99" i="21"/>
  <c r="J98" i="21"/>
  <c r="I98" i="21"/>
  <c r="H98" i="21"/>
  <c r="G98" i="21"/>
  <c r="F98" i="21"/>
  <c r="E98" i="21"/>
  <c r="D98" i="21"/>
  <c r="C98" i="21"/>
  <c r="B98" i="21"/>
  <c r="A98" i="21"/>
  <c r="J97" i="21"/>
  <c r="I97" i="21"/>
  <c r="H97" i="21"/>
  <c r="G97" i="21"/>
  <c r="F97" i="21"/>
  <c r="E97" i="21"/>
  <c r="D97" i="21"/>
  <c r="C97" i="21"/>
  <c r="B97" i="21"/>
  <c r="A97" i="21"/>
  <c r="J96" i="21"/>
  <c r="I96" i="21"/>
  <c r="H96" i="21"/>
  <c r="G96" i="21"/>
  <c r="F96" i="21"/>
  <c r="E96" i="21"/>
  <c r="D96" i="21"/>
  <c r="C96" i="21"/>
  <c r="B96" i="21"/>
  <c r="A96" i="21"/>
  <c r="J95" i="21"/>
  <c r="I95" i="21"/>
  <c r="H95" i="21"/>
  <c r="G95" i="21"/>
  <c r="F95" i="21"/>
  <c r="E95" i="21"/>
  <c r="D95" i="21"/>
  <c r="C95" i="21"/>
  <c r="B95" i="21"/>
  <c r="A95" i="21"/>
  <c r="J94" i="21"/>
  <c r="I94" i="21"/>
  <c r="H94" i="21"/>
  <c r="G94" i="21"/>
  <c r="F94" i="21"/>
  <c r="E94" i="21"/>
  <c r="D94" i="21"/>
  <c r="C94" i="21"/>
  <c r="B94" i="21"/>
  <c r="A94" i="21"/>
  <c r="J93" i="21"/>
  <c r="I93" i="21"/>
  <c r="H93" i="21"/>
  <c r="G93" i="21"/>
  <c r="F93" i="21"/>
  <c r="E93" i="21"/>
  <c r="D93" i="21"/>
  <c r="C93" i="21"/>
  <c r="B93" i="21"/>
  <c r="A93" i="21"/>
  <c r="J92" i="21"/>
  <c r="I92" i="21"/>
  <c r="H92" i="21"/>
  <c r="G92" i="21"/>
  <c r="F92" i="21"/>
  <c r="E92" i="21"/>
  <c r="D92" i="21"/>
  <c r="C92" i="21"/>
  <c r="B92" i="21"/>
  <c r="A92" i="21"/>
  <c r="J91" i="21"/>
  <c r="I91" i="21"/>
  <c r="H91" i="21"/>
  <c r="G91" i="21"/>
  <c r="F91" i="21"/>
  <c r="E91" i="21"/>
  <c r="D91" i="21"/>
  <c r="C91" i="21"/>
  <c r="B91" i="21"/>
  <c r="A91" i="21"/>
  <c r="J90" i="21"/>
  <c r="I90" i="21"/>
  <c r="H90" i="21"/>
  <c r="G90" i="21"/>
  <c r="F90" i="21"/>
  <c r="E90" i="21"/>
  <c r="D90" i="21"/>
  <c r="C90" i="21"/>
  <c r="B90" i="21"/>
  <c r="A90" i="21"/>
  <c r="J89" i="21"/>
  <c r="I89" i="21"/>
  <c r="H89" i="21"/>
  <c r="G89" i="21"/>
  <c r="F89" i="21"/>
  <c r="E89" i="21"/>
  <c r="D89" i="21"/>
  <c r="C89" i="21"/>
  <c r="B89" i="21"/>
  <c r="A89" i="21"/>
  <c r="J88" i="21"/>
  <c r="I88" i="21"/>
  <c r="H88" i="21"/>
  <c r="G88" i="21"/>
  <c r="F88" i="21"/>
  <c r="E88" i="21"/>
  <c r="D88" i="21"/>
  <c r="C88" i="21"/>
  <c r="B88" i="21"/>
  <c r="A88" i="21"/>
  <c r="J87" i="21"/>
  <c r="I87" i="21"/>
  <c r="H87" i="21"/>
  <c r="G87" i="21"/>
  <c r="F87" i="21"/>
  <c r="E87" i="21"/>
  <c r="D87" i="21"/>
  <c r="C87" i="21"/>
  <c r="B87" i="21"/>
  <c r="A87" i="21"/>
  <c r="J86" i="21"/>
  <c r="I86" i="21"/>
  <c r="H86" i="21"/>
  <c r="G86" i="21"/>
  <c r="F86" i="21"/>
  <c r="E86" i="21"/>
  <c r="D86" i="21"/>
  <c r="C86" i="21"/>
  <c r="B86" i="21"/>
  <c r="A86" i="21"/>
  <c r="J85" i="21"/>
  <c r="I85" i="21"/>
  <c r="H85" i="21"/>
  <c r="G85" i="21"/>
  <c r="F85" i="21"/>
  <c r="E85" i="21"/>
  <c r="D85" i="21"/>
  <c r="C85" i="21"/>
  <c r="B85" i="21"/>
  <c r="A85" i="21"/>
  <c r="J84" i="21"/>
  <c r="I84" i="21"/>
  <c r="H84" i="21"/>
  <c r="G84" i="21"/>
  <c r="F84" i="21"/>
  <c r="E84" i="21"/>
  <c r="D84" i="21"/>
  <c r="C84" i="21"/>
  <c r="B84" i="21"/>
  <c r="A84" i="21"/>
  <c r="J83" i="21"/>
  <c r="I83" i="21"/>
  <c r="H83" i="21"/>
  <c r="G83" i="21"/>
  <c r="F83" i="21"/>
  <c r="E83" i="21"/>
  <c r="D83" i="21"/>
  <c r="C83" i="21"/>
  <c r="B83" i="21"/>
  <c r="A83" i="21"/>
  <c r="J82" i="21"/>
  <c r="I82" i="21"/>
  <c r="H82" i="21"/>
  <c r="G82" i="21"/>
  <c r="F82" i="21"/>
  <c r="E82" i="21"/>
  <c r="D82" i="21"/>
  <c r="C82" i="21"/>
  <c r="B82" i="21"/>
  <c r="A82" i="21"/>
  <c r="J81" i="21"/>
  <c r="I81" i="21"/>
  <c r="H81" i="21"/>
  <c r="G81" i="21"/>
  <c r="F81" i="21"/>
  <c r="E81" i="21"/>
  <c r="D81" i="21"/>
  <c r="C81" i="21"/>
  <c r="B81" i="21"/>
  <c r="A81" i="21"/>
  <c r="J80" i="21"/>
  <c r="I80" i="21"/>
  <c r="H80" i="21"/>
  <c r="G80" i="21"/>
  <c r="F80" i="21"/>
  <c r="E80" i="21"/>
  <c r="D80" i="21"/>
  <c r="C80" i="21"/>
  <c r="B80" i="21"/>
  <c r="A80" i="21"/>
  <c r="J79" i="21"/>
  <c r="I79" i="21"/>
  <c r="H79" i="21"/>
  <c r="G79" i="21"/>
  <c r="F79" i="21"/>
  <c r="E79" i="21"/>
  <c r="D79" i="21"/>
  <c r="C79" i="21"/>
  <c r="B79" i="21"/>
  <c r="A79" i="21"/>
  <c r="J78" i="21"/>
  <c r="I78" i="21"/>
  <c r="H78" i="21"/>
  <c r="G78" i="21"/>
  <c r="F78" i="21"/>
  <c r="E78" i="21"/>
  <c r="D78" i="21"/>
  <c r="C78" i="21"/>
  <c r="B78" i="21"/>
  <c r="A78" i="21"/>
  <c r="J77" i="21"/>
  <c r="I77" i="21"/>
  <c r="H77" i="21"/>
  <c r="G77" i="21"/>
  <c r="F77" i="21"/>
  <c r="E77" i="21"/>
  <c r="D77" i="21"/>
  <c r="C77" i="21"/>
  <c r="B77" i="21"/>
  <c r="A77" i="21"/>
  <c r="J76" i="21"/>
  <c r="I76" i="21"/>
  <c r="H76" i="21"/>
  <c r="G76" i="21"/>
  <c r="F76" i="21"/>
  <c r="E76" i="21"/>
  <c r="D76" i="21"/>
  <c r="C76" i="21"/>
  <c r="B76" i="21"/>
  <c r="A76" i="21"/>
  <c r="J75" i="21"/>
  <c r="I75" i="21"/>
  <c r="H75" i="21"/>
  <c r="G75" i="21"/>
  <c r="F75" i="21"/>
  <c r="E75" i="21"/>
  <c r="D75" i="21"/>
  <c r="C75" i="21"/>
  <c r="B75" i="21"/>
  <c r="A75" i="21"/>
  <c r="J74" i="21"/>
  <c r="I74" i="21"/>
  <c r="H74" i="21"/>
  <c r="G74" i="21"/>
  <c r="F74" i="21"/>
  <c r="E74" i="21"/>
  <c r="D74" i="21"/>
  <c r="C74" i="21"/>
  <c r="B74" i="21"/>
  <c r="A74" i="21"/>
  <c r="J73" i="21"/>
  <c r="I73" i="21"/>
  <c r="H73" i="21"/>
  <c r="G73" i="21"/>
  <c r="F73" i="21"/>
  <c r="E73" i="21"/>
  <c r="D73" i="21"/>
  <c r="C73" i="21"/>
  <c r="B73" i="21"/>
  <c r="A73" i="21"/>
  <c r="J72" i="21"/>
  <c r="I72" i="21"/>
  <c r="H72" i="21"/>
  <c r="G72" i="21"/>
  <c r="F72" i="21"/>
  <c r="E72" i="21"/>
  <c r="D72" i="21"/>
  <c r="C72" i="21"/>
  <c r="B72" i="21"/>
  <c r="A72" i="21"/>
  <c r="J71" i="21"/>
  <c r="I71" i="21"/>
  <c r="H71" i="21"/>
  <c r="G71" i="21"/>
  <c r="F71" i="21"/>
  <c r="E71" i="21"/>
  <c r="D71" i="21"/>
  <c r="C71" i="21"/>
  <c r="B71" i="21"/>
  <c r="A71" i="21"/>
  <c r="J70" i="21"/>
  <c r="I70" i="21"/>
  <c r="H70" i="21"/>
  <c r="G70" i="21"/>
  <c r="F70" i="21"/>
  <c r="E70" i="21"/>
  <c r="D70" i="21"/>
  <c r="C70" i="21"/>
  <c r="B70" i="21"/>
  <c r="A70" i="21"/>
  <c r="J69" i="21"/>
  <c r="I69" i="21"/>
  <c r="H69" i="21"/>
  <c r="G69" i="21"/>
  <c r="F69" i="21"/>
  <c r="E69" i="21"/>
  <c r="D69" i="21"/>
  <c r="C69" i="21"/>
  <c r="B69" i="21"/>
  <c r="A69" i="21"/>
  <c r="J68" i="21"/>
  <c r="I68" i="21"/>
  <c r="H68" i="21"/>
  <c r="G68" i="21"/>
  <c r="F68" i="21"/>
  <c r="E68" i="21"/>
  <c r="D68" i="21"/>
  <c r="C68" i="21"/>
  <c r="B68" i="21"/>
  <c r="A68" i="21"/>
  <c r="J67" i="21"/>
  <c r="I67" i="21"/>
  <c r="H67" i="21"/>
  <c r="G67" i="21"/>
  <c r="F67" i="21"/>
  <c r="E67" i="21"/>
  <c r="D67" i="21"/>
  <c r="C67" i="21"/>
  <c r="B67" i="21"/>
  <c r="A67" i="21"/>
  <c r="J66" i="21"/>
  <c r="I66" i="21"/>
  <c r="H66" i="21"/>
  <c r="G66" i="21"/>
  <c r="F66" i="21"/>
  <c r="E66" i="21"/>
  <c r="D66" i="21"/>
  <c r="C66" i="21"/>
  <c r="B66" i="21"/>
  <c r="A66" i="21"/>
  <c r="J65" i="21"/>
  <c r="I65" i="21"/>
  <c r="H65" i="21"/>
  <c r="G65" i="21"/>
  <c r="F65" i="21"/>
  <c r="E65" i="21"/>
  <c r="D65" i="21"/>
  <c r="C65" i="21"/>
  <c r="B65" i="21"/>
  <c r="A65" i="21"/>
  <c r="J64" i="21"/>
  <c r="I64" i="21"/>
  <c r="H64" i="21"/>
  <c r="G64" i="21"/>
  <c r="F64" i="21"/>
  <c r="E64" i="21"/>
  <c r="D64" i="21"/>
  <c r="C64" i="21"/>
  <c r="B64" i="21"/>
  <c r="A64" i="21"/>
  <c r="J63" i="21"/>
  <c r="I63" i="21"/>
  <c r="H63" i="21"/>
  <c r="G63" i="21"/>
  <c r="F63" i="21"/>
  <c r="E63" i="21"/>
  <c r="D63" i="21"/>
  <c r="C63" i="21"/>
  <c r="B63" i="21"/>
  <c r="A63" i="21"/>
  <c r="J62" i="21"/>
  <c r="I62" i="21"/>
  <c r="H62" i="21"/>
  <c r="G62" i="21"/>
  <c r="F62" i="21"/>
  <c r="E62" i="21"/>
  <c r="D62" i="21"/>
  <c r="C62" i="21"/>
  <c r="B62" i="21"/>
  <c r="A62" i="21"/>
  <c r="J61" i="21"/>
  <c r="I61" i="21"/>
  <c r="H61" i="21"/>
  <c r="G61" i="21"/>
  <c r="F61" i="21"/>
  <c r="E61" i="21"/>
  <c r="D61" i="21"/>
  <c r="C61" i="21"/>
  <c r="B61" i="21"/>
  <c r="A61" i="21"/>
  <c r="J60" i="21"/>
  <c r="I60" i="21"/>
  <c r="H60" i="21"/>
  <c r="G60" i="21"/>
  <c r="F60" i="21"/>
  <c r="E60" i="21"/>
  <c r="D60" i="21"/>
  <c r="C60" i="21"/>
  <c r="B60" i="21"/>
  <c r="A60" i="21"/>
  <c r="J59" i="21"/>
  <c r="I59" i="21"/>
  <c r="H59" i="21"/>
  <c r="G59" i="21"/>
  <c r="F59" i="21"/>
  <c r="E59" i="21"/>
  <c r="D59" i="21"/>
  <c r="C59" i="21"/>
  <c r="B59" i="21"/>
  <c r="A59" i="21"/>
  <c r="J58" i="21"/>
  <c r="I58" i="21"/>
  <c r="H58" i="21"/>
  <c r="G58" i="21"/>
  <c r="F58" i="21"/>
  <c r="E58" i="21"/>
  <c r="D58" i="21"/>
  <c r="C58" i="21"/>
  <c r="B58" i="21"/>
  <c r="A58" i="21"/>
  <c r="J57" i="21"/>
  <c r="I57" i="21"/>
  <c r="H57" i="21"/>
  <c r="G57" i="21"/>
  <c r="F57" i="21"/>
  <c r="E57" i="21"/>
  <c r="D57" i="21"/>
  <c r="C57" i="21"/>
  <c r="B57" i="21"/>
  <c r="A57" i="21"/>
  <c r="J56" i="21"/>
  <c r="I56" i="21"/>
  <c r="H56" i="21"/>
  <c r="G56" i="21"/>
  <c r="F56" i="21"/>
  <c r="E56" i="21"/>
  <c r="D56" i="21"/>
  <c r="C56" i="21"/>
  <c r="B56" i="21"/>
  <c r="A56" i="21"/>
  <c r="J55" i="21"/>
  <c r="I55" i="21"/>
  <c r="H55" i="21"/>
  <c r="G55" i="21"/>
  <c r="F55" i="21"/>
  <c r="E55" i="21"/>
  <c r="D55" i="21"/>
  <c r="C55" i="21"/>
  <c r="B55" i="21"/>
  <c r="A55" i="21"/>
  <c r="J54" i="21"/>
  <c r="I54" i="21"/>
  <c r="H54" i="21"/>
  <c r="G54" i="21"/>
  <c r="F54" i="21"/>
  <c r="E54" i="21"/>
  <c r="D54" i="21"/>
  <c r="C54" i="21"/>
  <c r="B54" i="21"/>
  <c r="A54" i="21"/>
  <c r="J53" i="21"/>
  <c r="I53" i="21"/>
  <c r="H53" i="21"/>
  <c r="G53" i="21"/>
  <c r="F53" i="21"/>
  <c r="E53" i="21"/>
  <c r="D53" i="21"/>
  <c r="C53" i="21"/>
  <c r="B53" i="21"/>
  <c r="A53" i="21"/>
  <c r="J52" i="21"/>
  <c r="I52" i="21"/>
  <c r="H52" i="21"/>
  <c r="G52" i="21"/>
  <c r="F52" i="21"/>
  <c r="E52" i="21"/>
  <c r="D52" i="21"/>
  <c r="C52" i="21"/>
  <c r="B52" i="21"/>
  <c r="A52" i="21"/>
  <c r="H51" i="21"/>
  <c r="G51" i="21"/>
  <c r="F51" i="21"/>
  <c r="E51" i="21"/>
  <c r="B51" i="21"/>
  <c r="A51" i="21"/>
  <c r="H50" i="21"/>
  <c r="G50" i="21"/>
  <c r="I50" i="21" s="1"/>
  <c r="F50" i="21"/>
  <c r="E50" i="21"/>
  <c r="B50" i="21"/>
  <c r="A50" i="21"/>
  <c r="I49" i="21"/>
  <c r="J49" i="21" s="1"/>
  <c r="D49" i="21" s="1"/>
  <c r="H49" i="21"/>
  <c r="G49" i="21"/>
  <c r="F49" i="21"/>
  <c r="E49" i="21"/>
  <c r="C49" i="21"/>
  <c r="B49" i="21"/>
  <c r="A49" i="21"/>
  <c r="H48" i="21"/>
  <c r="G48" i="21"/>
  <c r="F48" i="21"/>
  <c r="E48" i="21"/>
  <c r="C48" i="21" s="1"/>
  <c r="B48" i="21"/>
  <c r="A48" i="21"/>
  <c r="H47" i="21"/>
  <c r="G47" i="21"/>
  <c r="F47" i="21"/>
  <c r="E47" i="21"/>
  <c r="B47" i="21"/>
  <c r="A47" i="21"/>
  <c r="H46" i="21"/>
  <c r="G46" i="21"/>
  <c r="I46" i="21" s="1"/>
  <c r="F46" i="21"/>
  <c r="E46" i="21"/>
  <c r="B46" i="21"/>
  <c r="A46" i="21"/>
  <c r="I45" i="21"/>
  <c r="J45" i="21" s="1"/>
  <c r="D45" i="21" s="1"/>
  <c r="H45" i="21"/>
  <c r="G45" i="21"/>
  <c r="F45" i="21"/>
  <c r="E45" i="21"/>
  <c r="B45" i="21"/>
  <c r="A45" i="21"/>
  <c r="H44" i="21"/>
  <c r="G44" i="21"/>
  <c r="F44" i="21"/>
  <c r="E44" i="21"/>
  <c r="C44" i="21" s="1"/>
  <c r="B44" i="21"/>
  <c r="A44" i="21"/>
  <c r="H43" i="21"/>
  <c r="G43" i="21"/>
  <c r="F43" i="21"/>
  <c r="E43" i="21"/>
  <c r="B43" i="21"/>
  <c r="A43" i="21"/>
  <c r="H42" i="21"/>
  <c r="G42" i="21"/>
  <c r="I42" i="21" s="1"/>
  <c r="F42" i="21"/>
  <c r="E42" i="21"/>
  <c r="B42" i="21"/>
  <c r="A42" i="21"/>
  <c r="I41" i="21"/>
  <c r="J41" i="21" s="1"/>
  <c r="D41" i="21" s="1"/>
  <c r="H41" i="21"/>
  <c r="G41" i="21"/>
  <c r="F41" i="21"/>
  <c r="E41" i="21"/>
  <c r="C41" i="21"/>
  <c r="B41" i="21"/>
  <c r="A41" i="21"/>
  <c r="H40" i="21"/>
  <c r="G40" i="21"/>
  <c r="F40" i="21"/>
  <c r="E40" i="21"/>
  <c r="B40" i="21"/>
  <c r="A40" i="21"/>
  <c r="H39" i="21"/>
  <c r="G39" i="21"/>
  <c r="F39" i="21"/>
  <c r="E39" i="21"/>
  <c r="B39" i="21"/>
  <c r="A39" i="21"/>
  <c r="H38" i="21"/>
  <c r="G38" i="21"/>
  <c r="I38" i="21" s="1"/>
  <c r="F38" i="21"/>
  <c r="E38" i="21"/>
  <c r="B38" i="21"/>
  <c r="A38" i="21"/>
  <c r="I37" i="21"/>
  <c r="J37" i="21" s="1"/>
  <c r="D37" i="21" s="1"/>
  <c r="H37" i="21"/>
  <c r="G37" i="21"/>
  <c r="F37" i="21"/>
  <c r="E37" i="21"/>
  <c r="B37" i="21"/>
  <c r="A37" i="21"/>
  <c r="H36" i="21"/>
  <c r="G36" i="21"/>
  <c r="F36" i="21"/>
  <c r="E36" i="21"/>
  <c r="C36" i="21" s="1"/>
  <c r="B36" i="21"/>
  <c r="A36" i="21"/>
  <c r="H35" i="21"/>
  <c r="G35" i="21"/>
  <c r="F35" i="21"/>
  <c r="E35" i="21"/>
  <c r="B35" i="21"/>
  <c r="A35" i="21"/>
  <c r="H34" i="21"/>
  <c r="G34" i="21"/>
  <c r="I34" i="21" s="1"/>
  <c r="F34" i="21"/>
  <c r="E34" i="21"/>
  <c r="B34" i="21"/>
  <c r="A34" i="21"/>
  <c r="I33" i="21"/>
  <c r="J33" i="21" s="1"/>
  <c r="D33" i="21" s="1"/>
  <c r="H33" i="21"/>
  <c r="G33" i="21"/>
  <c r="F33" i="21"/>
  <c r="E33" i="21"/>
  <c r="C33" i="21"/>
  <c r="B33" i="21"/>
  <c r="A33" i="21"/>
  <c r="H32" i="21"/>
  <c r="G32" i="21"/>
  <c r="F32" i="21"/>
  <c r="E32" i="21"/>
  <c r="C32" i="21" s="1"/>
  <c r="B32" i="21"/>
  <c r="A32" i="21"/>
  <c r="H31" i="21"/>
  <c r="G31" i="21"/>
  <c r="F31" i="21"/>
  <c r="E31" i="21"/>
  <c r="B31" i="21"/>
  <c r="A31" i="21"/>
  <c r="H30" i="21"/>
  <c r="G30" i="21"/>
  <c r="I30" i="21" s="1"/>
  <c r="F30" i="21"/>
  <c r="E30" i="21"/>
  <c r="B30" i="21"/>
  <c r="A30" i="21"/>
  <c r="I29" i="21"/>
  <c r="J29" i="21" s="1"/>
  <c r="D29" i="21" s="1"/>
  <c r="H29" i="21"/>
  <c r="G29" i="21"/>
  <c r="F29" i="21"/>
  <c r="E29" i="21"/>
  <c r="B29" i="21"/>
  <c r="A29" i="21"/>
  <c r="H28" i="21"/>
  <c r="G28" i="21"/>
  <c r="F28" i="21"/>
  <c r="E28" i="21"/>
  <c r="B28" i="21"/>
  <c r="A28" i="21"/>
  <c r="H27" i="21"/>
  <c r="G27" i="21"/>
  <c r="F27" i="21"/>
  <c r="E27" i="21"/>
  <c r="B27" i="21"/>
  <c r="A27" i="21"/>
  <c r="H26" i="21"/>
  <c r="G26" i="21"/>
  <c r="I26" i="21" s="1"/>
  <c r="F26" i="21"/>
  <c r="E26" i="21"/>
  <c r="B26" i="21"/>
  <c r="A26" i="21"/>
  <c r="I25" i="21"/>
  <c r="J25" i="21" s="1"/>
  <c r="D25" i="21" s="1"/>
  <c r="H25" i="21"/>
  <c r="G25" i="21"/>
  <c r="F25" i="21"/>
  <c r="E25" i="21"/>
  <c r="C25" i="21"/>
  <c r="B25" i="21"/>
  <c r="A25" i="21"/>
  <c r="H24" i="21"/>
  <c r="G24" i="21"/>
  <c r="F24" i="21"/>
  <c r="E24" i="21"/>
  <c r="B24" i="21"/>
  <c r="A24" i="21"/>
  <c r="H23" i="21"/>
  <c r="G23" i="21"/>
  <c r="F23" i="21"/>
  <c r="E23" i="21"/>
  <c r="C23" i="21" s="1"/>
  <c r="B23" i="21"/>
  <c r="A23" i="21"/>
  <c r="H22" i="21"/>
  <c r="G22" i="21"/>
  <c r="I22" i="21" s="1"/>
  <c r="F22" i="21"/>
  <c r="E22" i="21"/>
  <c r="B22" i="21"/>
  <c r="A22" i="21"/>
  <c r="H21" i="21"/>
  <c r="G21" i="21"/>
  <c r="F21" i="21"/>
  <c r="E21" i="21"/>
  <c r="B21" i="21"/>
  <c r="A21" i="21"/>
  <c r="I20" i="21"/>
  <c r="J20" i="21" s="1"/>
  <c r="D20" i="21" s="1"/>
  <c r="H20" i="21"/>
  <c r="G20" i="21"/>
  <c r="F20" i="21"/>
  <c r="E20" i="21"/>
  <c r="C20" i="21"/>
  <c r="B20" i="21"/>
  <c r="A20" i="21"/>
  <c r="H19" i="21"/>
  <c r="G19" i="21"/>
  <c r="F19" i="21"/>
  <c r="E19" i="21"/>
  <c r="B19" i="21"/>
  <c r="A19" i="21"/>
  <c r="I18" i="21"/>
  <c r="J18" i="21" s="1"/>
  <c r="D18" i="21" s="1"/>
  <c r="H18" i="21"/>
  <c r="G18" i="21"/>
  <c r="F18" i="21"/>
  <c r="E18" i="21"/>
  <c r="B18" i="21"/>
  <c r="A18" i="21"/>
  <c r="I17" i="21"/>
  <c r="J17" i="21" s="1"/>
  <c r="D17" i="21" s="1"/>
  <c r="H17" i="21"/>
  <c r="G17" i="21"/>
  <c r="F17" i="21"/>
  <c r="E17" i="21"/>
  <c r="C17" i="21"/>
  <c r="B17" i="21"/>
  <c r="A17" i="21"/>
  <c r="I16" i="21"/>
  <c r="J16" i="21" s="1"/>
  <c r="D16" i="21" s="1"/>
  <c r="H16" i="21"/>
  <c r="G16" i="21"/>
  <c r="F16" i="21"/>
  <c r="E16" i="21"/>
  <c r="B16" i="21"/>
  <c r="A16" i="21"/>
  <c r="H15" i="21"/>
  <c r="G15" i="21"/>
  <c r="F15" i="21"/>
  <c r="E15" i="21"/>
  <c r="I15" i="21" s="1"/>
  <c r="C15" i="21"/>
  <c r="B15" i="21"/>
  <c r="A15" i="21"/>
  <c r="H14" i="21"/>
  <c r="G14" i="21"/>
  <c r="F14" i="21"/>
  <c r="E14" i="21"/>
  <c r="C14" i="21" s="1"/>
  <c r="B14" i="21"/>
  <c r="A14" i="21"/>
  <c r="H13" i="21"/>
  <c r="G13" i="21"/>
  <c r="I13" i="21" s="1"/>
  <c r="J13" i="21" s="1"/>
  <c r="D13" i="21" s="1"/>
  <c r="F13" i="21"/>
  <c r="E13" i="21"/>
  <c r="C13" i="21"/>
  <c r="B13" i="21"/>
  <c r="A13" i="21"/>
  <c r="H12" i="21"/>
  <c r="G12" i="21"/>
  <c r="F12" i="21"/>
  <c r="E12" i="21"/>
  <c r="C12" i="21" s="1"/>
  <c r="B12" i="21"/>
  <c r="A12" i="21"/>
  <c r="H11" i="21"/>
  <c r="G11" i="21"/>
  <c r="F11" i="21"/>
  <c r="E11" i="21"/>
  <c r="I11" i="21" s="1"/>
  <c r="B11" i="21"/>
  <c r="A11" i="21"/>
  <c r="H10" i="21"/>
  <c r="G10" i="21"/>
  <c r="F10" i="21"/>
  <c r="E10" i="21"/>
  <c r="C10" i="21" s="1"/>
  <c r="B10" i="21"/>
  <c r="A10" i="21"/>
  <c r="H9" i="21"/>
  <c r="G9" i="21"/>
  <c r="C9" i="21" s="1"/>
  <c r="F9" i="21"/>
  <c r="E9" i="21"/>
  <c r="B9" i="21"/>
  <c r="A9" i="21"/>
  <c r="H8" i="21"/>
  <c r="G8" i="21"/>
  <c r="F8" i="21"/>
  <c r="E8" i="21"/>
  <c r="B8" i="21"/>
  <c r="A8" i="21"/>
  <c r="H7" i="21"/>
  <c r="G7" i="21"/>
  <c r="F7" i="21"/>
  <c r="E7" i="21"/>
  <c r="C7" i="21" s="1"/>
  <c r="B7" i="21"/>
  <c r="A7" i="21"/>
  <c r="H6" i="21"/>
  <c r="G6" i="21"/>
  <c r="I6" i="21" s="1"/>
  <c r="F6" i="21"/>
  <c r="E6" i="21"/>
  <c r="B6" i="21"/>
  <c r="A6" i="21"/>
  <c r="H5" i="21"/>
  <c r="G5" i="21"/>
  <c r="C5" i="21" s="1"/>
  <c r="F5" i="21"/>
  <c r="E5" i="21"/>
  <c r="B5" i="21"/>
  <c r="A5" i="21"/>
  <c r="I4" i="21"/>
  <c r="J4" i="21" s="1"/>
  <c r="D4" i="21" s="1"/>
  <c r="H4" i="21"/>
  <c r="G4" i="21"/>
  <c r="F4" i="21"/>
  <c r="E4" i="21"/>
  <c r="C4" i="21"/>
  <c r="B4" i="21"/>
  <c r="A4" i="21"/>
  <c r="B64" i="17"/>
  <c r="H63" i="17"/>
  <c r="B63" i="17"/>
  <c r="I63" i="17" s="1"/>
  <c r="I62" i="17"/>
  <c r="E62" i="17"/>
  <c r="D62" i="17"/>
  <c r="B62" i="17"/>
  <c r="H62" i="17" s="1"/>
  <c r="E61" i="17"/>
  <c r="D61" i="17"/>
  <c r="B61" i="17"/>
  <c r="I60" i="17"/>
  <c r="H60" i="17"/>
  <c r="E60" i="17"/>
  <c r="D60" i="17"/>
  <c r="B60" i="17"/>
  <c r="I59" i="17"/>
  <c r="H59" i="17"/>
  <c r="D59" i="17"/>
  <c r="B59" i="17"/>
  <c r="E59" i="17" s="1"/>
  <c r="I58" i="17"/>
  <c r="H58" i="17"/>
  <c r="G58" i="17"/>
  <c r="J58" i="17" s="1"/>
  <c r="G59" i="17" s="1"/>
  <c r="E58" i="17"/>
  <c r="F58" i="17" s="1"/>
  <c r="C59" i="17" s="1"/>
  <c r="B58" i="17"/>
  <c r="H52" i="17"/>
  <c r="F52" i="17"/>
  <c r="H51" i="17"/>
  <c r="F51" i="17"/>
  <c r="D51" i="17"/>
  <c r="C51" i="17"/>
  <c r="H50" i="17"/>
  <c r="F50" i="17"/>
  <c r="D50" i="17"/>
  <c r="C50" i="17"/>
  <c r="H49" i="17"/>
  <c r="F49" i="17"/>
  <c r="D49" i="17"/>
  <c r="C49" i="17"/>
  <c r="H48" i="17"/>
  <c r="F48" i="17"/>
  <c r="D48" i="17"/>
  <c r="C48" i="17"/>
  <c r="B48" i="17"/>
  <c r="B52" i="17" s="1"/>
  <c r="B40" i="17"/>
  <c r="C40" i="17" s="1"/>
  <c r="B39" i="17"/>
  <c r="C39" i="17" s="1"/>
  <c r="AB38" i="17"/>
  <c r="Z38" i="17"/>
  <c r="X38" i="17"/>
  <c r="V38" i="17"/>
  <c r="T38" i="17"/>
  <c r="Q38" i="17"/>
  <c r="B38" i="17"/>
  <c r="C38" i="17" s="1"/>
  <c r="S37" i="17"/>
  <c r="Q37" i="17"/>
  <c r="B37" i="17"/>
  <c r="C37" i="17" s="1"/>
  <c r="S36" i="17"/>
  <c r="R36" i="17"/>
  <c r="Q36" i="17"/>
  <c r="B36" i="17"/>
  <c r="C36" i="17" s="1"/>
  <c r="R35" i="17"/>
  <c r="Q35" i="17"/>
  <c r="B35" i="17"/>
  <c r="C35" i="17" s="1"/>
  <c r="U34" i="17"/>
  <c r="R34" i="17"/>
  <c r="Q34" i="17"/>
  <c r="B34" i="17"/>
  <c r="AF33" i="17"/>
  <c r="S33" i="17"/>
  <c r="R33" i="17"/>
  <c r="Q33" i="17"/>
  <c r="B33" i="17"/>
  <c r="C33" i="17" s="1"/>
  <c r="Q30" i="17"/>
  <c r="D13" i="17"/>
  <c r="B13" i="17"/>
  <c r="U36" i="17" s="1"/>
  <c r="D12" i="17"/>
  <c r="G12" i="17" s="1"/>
  <c r="C12" i="17"/>
  <c r="F12" i="17" s="1"/>
  <c r="B12" i="17"/>
  <c r="S34" i="17" s="1"/>
  <c r="C218" i="21" l="1"/>
  <c r="J340" i="21"/>
  <c r="J466" i="21"/>
  <c r="C8" i="21"/>
  <c r="C178" i="21"/>
  <c r="J432" i="21"/>
  <c r="J495" i="21"/>
  <c r="J429" i="21"/>
  <c r="J388" i="21"/>
  <c r="C28" i="21"/>
  <c r="C158" i="21"/>
  <c r="C166" i="21"/>
  <c r="J446" i="21"/>
  <c r="C18" i="21"/>
  <c r="C206" i="21"/>
  <c r="C174" i="21"/>
  <c r="C222" i="21"/>
  <c r="J411" i="21"/>
  <c r="J438" i="21"/>
  <c r="J441" i="21"/>
  <c r="J453" i="21"/>
  <c r="J465" i="21"/>
  <c r="J488" i="21"/>
  <c r="J489" i="21"/>
  <c r="J500" i="21"/>
  <c r="J436" i="21"/>
  <c r="J444" i="21"/>
  <c r="J452" i="21"/>
  <c r="J460" i="21"/>
  <c r="J472" i="21"/>
  <c r="J479" i="21"/>
  <c r="I14" i="22"/>
  <c r="L14" i="22" s="1"/>
  <c r="J370" i="21"/>
  <c r="J379" i="21"/>
  <c r="J431" i="21"/>
  <c r="J14" i="22"/>
  <c r="I31" i="22"/>
  <c r="L31" i="22" s="1"/>
  <c r="J439" i="21"/>
  <c r="J447" i="21"/>
  <c r="J455" i="21"/>
  <c r="J482" i="21"/>
  <c r="J487" i="21"/>
  <c r="J31" i="22"/>
  <c r="J440" i="21"/>
  <c r="J448" i="21"/>
  <c r="J456" i="21"/>
  <c r="I11" i="22"/>
  <c r="L11" i="22" s="1"/>
  <c r="I17" i="22"/>
  <c r="L17" i="22" s="1"/>
  <c r="I51" i="22"/>
  <c r="L51" i="22" s="1"/>
  <c r="J59" i="17"/>
  <c r="G60" i="17" s="1"/>
  <c r="J60" i="17" s="1"/>
  <c r="G61" i="17" s="1"/>
  <c r="J491" i="21"/>
  <c r="J11" i="22"/>
  <c r="K17" i="22"/>
  <c r="C170" i="21"/>
  <c r="J51" i="22"/>
  <c r="C19" i="21"/>
  <c r="C21" i="21"/>
  <c r="C24" i="21"/>
  <c r="C40" i="21"/>
  <c r="C214" i="21"/>
  <c r="C226" i="21"/>
  <c r="J403" i="21"/>
  <c r="J412" i="21"/>
  <c r="J435" i="21"/>
  <c r="J442" i="21"/>
  <c r="J443" i="21"/>
  <c r="J450" i="21"/>
  <c r="J451" i="21"/>
  <c r="J458" i="21"/>
  <c r="J459" i="21"/>
  <c r="J471" i="21"/>
  <c r="J478" i="21"/>
  <c r="I13" i="22"/>
  <c r="L13" i="22" s="1"/>
  <c r="J13" i="22"/>
  <c r="J7" i="22"/>
  <c r="K48" i="22"/>
  <c r="C52" i="17"/>
  <c r="E49" i="17"/>
  <c r="E51" i="17"/>
  <c r="E48" i="17"/>
  <c r="G48" i="17" s="1"/>
  <c r="B49" i="17" s="1"/>
  <c r="K6" i="22"/>
  <c r="K9" i="22"/>
  <c r="K15" i="22"/>
  <c r="K26" i="22"/>
  <c r="K29" i="22"/>
  <c r="D183" i="11"/>
  <c r="F46" i="27"/>
  <c r="I7" i="22"/>
  <c r="L7" i="22" s="1"/>
  <c r="I27" i="22"/>
  <c r="L27" i="22" s="1"/>
  <c r="J48" i="22"/>
  <c r="G44" i="27"/>
  <c r="I6" i="22"/>
  <c r="L6" i="22" s="1"/>
  <c r="K12" i="22"/>
  <c r="I15" i="22"/>
  <c r="L15" i="22" s="1"/>
  <c r="I26" i="22"/>
  <c r="L26" i="22" s="1"/>
  <c r="K27" i="22"/>
  <c r="K32" i="22"/>
  <c r="E13" i="11"/>
  <c r="E50" i="17"/>
  <c r="F59" i="17"/>
  <c r="C60" i="17" s="1"/>
  <c r="F60" i="17" s="1"/>
  <c r="C61" i="17" s="1"/>
  <c r="F61" i="17" s="1"/>
  <c r="C62" i="17" s="1"/>
  <c r="F62" i="17" s="1"/>
  <c r="C63" i="17" s="1"/>
  <c r="I9" i="22"/>
  <c r="L9" i="22" s="1"/>
  <c r="I29" i="22"/>
  <c r="L29" i="22" s="1"/>
  <c r="G37" i="11"/>
  <c r="J22" i="21"/>
  <c r="D22" i="21" s="1"/>
  <c r="J38" i="21"/>
  <c r="D38" i="21" s="1"/>
  <c r="J26" i="21"/>
  <c r="D26" i="21" s="1"/>
  <c r="J42" i="21"/>
  <c r="D42" i="21" s="1"/>
  <c r="J6" i="21"/>
  <c r="D6" i="21" s="1"/>
  <c r="J34" i="21"/>
  <c r="D34" i="21" s="1"/>
  <c r="J50" i="21"/>
  <c r="D50" i="21" s="1"/>
  <c r="J30" i="21"/>
  <c r="D30" i="21" s="1"/>
  <c r="J46" i="21"/>
  <c r="D46" i="21" s="1"/>
  <c r="H64" i="17"/>
  <c r="E64" i="17"/>
  <c r="U37" i="17"/>
  <c r="I5" i="21"/>
  <c r="J5" i="21" s="1"/>
  <c r="D5" i="21" s="1"/>
  <c r="I21" i="21"/>
  <c r="J21" i="21" s="1"/>
  <c r="D21" i="21" s="1"/>
  <c r="C163" i="21"/>
  <c r="I163" i="21"/>
  <c r="J163" i="21" s="1"/>
  <c r="D163" i="21" s="1"/>
  <c r="C179" i="21"/>
  <c r="I179" i="21"/>
  <c r="J179" i="21" s="1"/>
  <c r="D179" i="21" s="1"/>
  <c r="C187" i="21"/>
  <c r="I187" i="21"/>
  <c r="C207" i="21"/>
  <c r="I207" i="21"/>
  <c r="J207" i="21" s="1"/>
  <c r="D207" i="21" s="1"/>
  <c r="G13" i="17"/>
  <c r="D64" i="17"/>
  <c r="C151" i="21"/>
  <c r="I151" i="21"/>
  <c r="J151" i="21" s="1"/>
  <c r="D151" i="21" s="1"/>
  <c r="C159" i="21"/>
  <c r="I159" i="21"/>
  <c r="J159" i="21" s="1"/>
  <c r="D159" i="21" s="1"/>
  <c r="C175" i="21"/>
  <c r="I175" i="21"/>
  <c r="J175" i="21" s="1"/>
  <c r="D175" i="21" s="1"/>
  <c r="C191" i="21"/>
  <c r="I191" i="21"/>
  <c r="J191" i="21" s="1"/>
  <c r="D191" i="21" s="1"/>
  <c r="C195" i="21"/>
  <c r="I195" i="21"/>
  <c r="C211" i="21"/>
  <c r="I211" i="21"/>
  <c r="J211" i="21" s="1"/>
  <c r="D211" i="21" s="1"/>
  <c r="C223" i="21"/>
  <c r="I223" i="21"/>
  <c r="J223" i="21" s="1"/>
  <c r="D223" i="21" s="1"/>
  <c r="C227" i="21"/>
  <c r="I227" i="21"/>
  <c r="J227" i="21" s="1"/>
  <c r="D227" i="21" s="1"/>
  <c r="H12" i="17"/>
  <c r="I9" i="21"/>
  <c r="J9" i="21" s="1"/>
  <c r="D9" i="21" s="1"/>
  <c r="I10" i="21"/>
  <c r="J10" i="21" s="1"/>
  <c r="D10" i="21" s="1"/>
  <c r="J11" i="21"/>
  <c r="D11" i="21" s="1"/>
  <c r="I8" i="21"/>
  <c r="J8" i="21" s="1"/>
  <c r="D8" i="21" s="1"/>
  <c r="C167" i="21"/>
  <c r="I167" i="21"/>
  <c r="J167" i="21" s="1"/>
  <c r="D167" i="21" s="1"/>
  <c r="C171" i="21"/>
  <c r="I171" i="21"/>
  <c r="J171" i="21" s="1"/>
  <c r="D171" i="21" s="1"/>
  <c r="C183" i="21"/>
  <c r="I183" i="21"/>
  <c r="J183" i="21" s="1"/>
  <c r="D183" i="21" s="1"/>
  <c r="C203" i="21"/>
  <c r="I203" i="21"/>
  <c r="J203" i="21" s="1"/>
  <c r="D203" i="21" s="1"/>
  <c r="C219" i="21"/>
  <c r="I219" i="21"/>
  <c r="J219" i="21" s="1"/>
  <c r="D219" i="21" s="1"/>
  <c r="B41" i="17"/>
  <c r="C34" i="17"/>
  <c r="C41" i="17" s="1"/>
  <c r="D63" i="17"/>
  <c r="I64" i="17"/>
  <c r="I12" i="21"/>
  <c r="J12" i="21" s="1"/>
  <c r="D12" i="21" s="1"/>
  <c r="I19" i="21"/>
  <c r="J19" i="21" s="1"/>
  <c r="D19" i="21" s="1"/>
  <c r="C155" i="21"/>
  <c r="I155" i="21"/>
  <c r="J155" i="21" s="1"/>
  <c r="D155" i="21" s="1"/>
  <c r="C199" i="21"/>
  <c r="I199" i="21"/>
  <c r="J199" i="21" s="1"/>
  <c r="D199" i="21" s="1"/>
  <c r="C215" i="21"/>
  <c r="I215" i="21"/>
  <c r="J215" i="21" s="1"/>
  <c r="D215" i="21" s="1"/>
  <c r="E12" i="17"/>
  <c r="U33" i="17"/>
  <c r="U38" i="17" s="1"/>
  <c r="H65" i="17"/>
  <c r="E63" i="17"/>
  <c r="E65" i="17" s="1"/>
  <c r="C6" i="21"/>
  <c r="I14" i="21"/>
  <c r="J14" i="21" s="1"/>
  <c r="D14" i="21" s="1"/>
  <c r="J15" i="21"/>
  <c r="D15" i="21" s="1"/>
  <c r="C22" i="21"/>
  <c r="J187" i="21"/>
  <c r="D187" i="21" s="1"/>
  <c r="J195" i="21"/>
  <c r="D195" i="21" s="1"/>
  <c r="I42" i="2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41" i="2"/>
  <c r="B23" i="17"/>
  <c r="C13" i="17"/>
  <c r="F13" i="17" s="1"/>
  <c r="B14" i="17"/>
  <c r="U35" i="17"/>
  <c r="S35" i="17"/>
  <c r="I61" i="17"/>
  <c r="H61" i="17"/>
  <c r="I7" i="21"/>
  <c r="J7" i="21" s="1"/>
  <c r="D7" i="21" s="1"/>
  <c r="I23" i="21"/>
  <c r="J23" i="21" s="1"/>
  <c r="D23" i="21" s="1"/>
  <c r="I24" i="21"/>
  <c r="J24" i="21" s="1"/>
  <c r="D24" i="21" s="1"/>
  <c r="C26" i="21"/>
  <c r="C27" i="21"/>
  <c r="I27" i="21"/>
  <c r="J27" i="21" s="1"/>
  <c r="D27" i="21" s="1"/>
  <c r="I28" i="21"/>
  <c r="J28" i="21" s="1"/>
  <c r="D28" i="21" s="1"/>
  <c r="C30" i="21"/>
  <c r="C31" i="21"/>
  <c r="I31" i="21"/>
  <c r="J31" i="21" s="1"/>
  <c r="D31" i="21" s="1"/>
  <c r="I32" i="21"/>
  <c r="J32" i="21" s="1"/>
  <c r="D32" i="21" s="1"/>
  <c r="C34" i="21"/>
  <c r="C35" i="21"/>
  <c r="I35" i="21"/>
  <c r="J35" i="21" s="1"/>
  <c r="D35" i="21" s="1"/>
  <c r="I36" i="21"/>
  <c r="J36" i="21" s="1"/>
  <c r="D36" i="21" s="1"/>
  <c r="C38" i="21"/>
  <c r="C39" i="21"/>
  <c r="I39" i="21"/>
  <c r="J39" i="21" s="1"/>
  <c r="D39" i="21" s="1"/>
  <c r="I40" i="21"/>
  <c r="J40" i="21" s="1"/>
  <c r="D40" i="21" s="1"/>
  <c r="C42" i="21"/>
  <c r="C43" i="21"/>
  <c r="I43" i="21"/>
  <c r="J43" i="21" s="1"/>
  <c r="D43" i="21" s="1"/>
  <c r="I44" i="21"/>
  <c r="J44" i="21" s="1"/>
  <c r="D44" i="21" s="1"/>
  <c r="C46" i="21"/>
  <c r="C47" i="21"/>
  <c r="I47" i="21"/>
  <c r="J47" i="21" s="1"/>
  <c r="D47" i="21" s="1"/>
  <c r="I48" i="21"/>
  <c r="J48" i="21" s="1"/>
  <c r="D48" i="21" s="1"/>
  <c r="C50" i="21"/>
  <c r="C51" i="21"/>
  <c r="I51" i="21"/>
  <c r="J51" i="21" s="1"/>
  <c r="D51" i="21" s="1"/>
  <c r="N112" i="26"/>
  <c r="J112" i="26"/>
  <c r="N119" i="26"/>
  <c r="J119" i="26"/>
  <c r="I10" i="27"/>
  <c r="C18" i="27"/>
  <c r="I50" i="11"/>
  <c r="J50" i="11" s="1"/>
  <c r="R37" i="17"/>
  <c r="I48" i="17"/>
  <c r="I49" i="17" s="1"/>
  <c r="I50" i="17" s="1"/>
  <c r="I51" i="17" s="1"/>
  <c r="I52" i="17" s="1"/>
  <c r="C96" i="11"/>
  <c r="C60" i="11"/>
  <c r="H60" i="11" s="1"/>
  <c r="E148" i="11"/>
  <c r="F148" i="11" s="1"/>
  <c r="E35" i="11"/>
  <c r="G35" i="11" s="1"/>
  <c r="F25" i="11"/>
  <c r="C43" i="11"/>
  <c r="H43" i="11" s="1"/>
  <c r="D47" i="11"/>
  <c r="E34" i="11"/>
  <c r="G34" i="11" s="1"/>
  <c r="C10" i="11"/>
  <c r="D10" i="11" s="1"/>
  <c r="B22" i="17"/>
  <c r="J475" i="21"/>
  <c r="I86" i="20"/>
  <c r="I38" i="20"/>
  <c r="I37" i="11"/>
  <c r="B9" i="27"/>
  <c r="H8" i="27"/>
  <c r="I106" i="20"/>
  <c r="K9" i="24"/>
  <c r="H9" i="24"/>
  <c r="H47" i="24" s="1"/>
  <c r="D54" i="24"/>
  <c r="G47" i="24"/>
  <c r="K25" i="24"/>
  <c r="H25" i="24"/>
  <c r="C27" i="11"/>
  <c r="B27" i="11"/>
  <c r="F86" i="11"/>
  <c r="K16" i="13"/>
  <c r="K32" i="13"/>
  <c r="K35" i="13"/>
  <c r="K40" i="13"/>
  <c r="K43" i="13"/>
  <c r="F71" i="11"/>
  <c r="I31" i="20"/>
  <c r="I96" i="20"/>
  <c r="D27" i="11"/>
  <c r="K12" i="13"/>
  <c r="K28" i="13"/>
  <c r="I7" i="20"/>
  <c r="I12" i="20"/>
  <c r="I17" i="20"/>
  <c r="I24" i="20"/>
  <c r="I54" i="20"/>
  <c r="I46" i="20"/>
  <c r="K5" i="22"/>
  <c r="J5" i="22"/>
  <c r="I5" i="22"/>
  <c r="L5" i="22" s="1"/>
  <c r="K25" i="22"/>
  <c r="J25" i="22"/>
  <c r="I25" i="22"/>
  <c r="L25" i="22" s="1"/>
  <c r="H182" i="11"/>
  <c r="G182" i="11"/>
  <c r="B16" i="27"/>
  <c r="B8" i="27"/>
  <c r="C8" i="27"/>
  <c r="D25" i="11"/>
  <c r="C12" i="11"/>
  <c r="D12" i="11" s="1"/>
  <c r="G25" i="11"/>
  <c r="D43" i="11"/>
  <c r="C46" i="11"/>
  <c r="H46" i="11" s="1"/>
  <c r="C52" i="11"/>
  <c r="H52" i="11" s="1"/>
  <c r="D65" i="11"/>
  <c r="D68" i="11"/>
  <c r="I10" i="22"/>
  <c r="L10" i="22" s="1"/>
  <c r="J16" i="22"/>
  <c r="I20" i="22"/>
  <c r="L20" i="22" s="1"/>
  <c r="I24" i="22"/>
  <c r="L24" i="22" s="1"/>
  <c r="I30" i="22"/>
  <c r="L30" i="22" s="1"/>
  <c r="B13" i="11"/>
  <c r="F8" i="11"/>
  <c r="C42" i="11"/>
  <c r="H42" i="11" s="1"/>
  <c r="D46" i="11"/>
  <c r="C49" i="11"/>
  <c r="H49" i="11" s="1"/>
  <c r="D52" i="11"/>
  <c r="C58" i="11"/>
  <c r="F82" i="11"/>
  <c r="H129" i="11"/>
  <c r="G129" i="11"/>
  <c r="E138" i="11"/>
  <c r="F138" i="11" s="1"/>
  <c r="H144" i="11"/>
  <c r="G144" i="11"/>
  <c r="E173" i="11"/>
  <c r="F173" i="11" s="1"/>
  <c r="H180" i="11"/>
  <c r="G180" i="11"/>
  <c r="N206" i="26"/>
  <c r="J206" i="26"/>
  <c r="B38" i="27"/>
  <c r="E38" i="27" s="1"/>
  <c r="F38" i="27" s="1"/>
  <c r="F37" i="27"/>
  <c r="J10" i="22"/>
  <c r="K16" i="22"/>
  <c r="I19" i="22"/>
  <c r="L19" i="22" s="1"/>
  <c r="J20" i="22"/>
  <c r="J24" i="22"/>
  <c r="J30" i="22"/>
  <c r="I50" i="22"/>
  <c r="L50" i="22" s="1"/>
  <c r="C7" i="11"/>
  <c r="F10" i="11"/>
  <c r="B26" i="11"/>
  <c r="D42" i="11"/>
  <c r="C45" i="11"/>
  <c r="H45" i="11" s="1"/>
  <c r="D49" i="11"/>
  <c r="C56" i="11"/>
  <c r="H56" i="11" s="1"/>
  <c r="D61" i="11"/>
  <c r="E93" i="11"/>
  <c r="F93" i="11" s="1"/>
  <c r="H124" i="11"/>
  <c r="G124" i="11"/>
  <c r="F180" i="11"/>
  <c r="H9" i="27"/>
  <c r="B18" i="27"/>
  <c r="B10" i="27"/>
  <c r="C10" i="27"/>
  <c r="F27" i="11"/>
  <c r="J19" i="22"/>
  <c r="B17" i="27"/>
  <c r="C9" i="27"/>
  <c r="E36" i="11"/>
  <c r="G36" i="11" s="1"/>
  <c r="E26" i="11"/>
  <c r="J50" i="22"/>
  <c r="C9" i="11"/>
  <c r="D9" i="11" s="1"/>
  <c r="F12" i="11"/>
  <c r="C26" i="11"/>
  <c r="E27" i="11"/>
  <c r="C40" i="11"/>
  <c r="H40" i="11" s="1"/>
  <c r="D45" i="11"/>
  <c r="C51" i="11"/>
  <c r="H51" i="11" s="1"/>
  <c r="D54" i="11"/>
  <c r="C66" i="11"/>
  <c r="F89" i="11"/>
  <c r="F124" i="11"/>
  <c r="C135" i="11"/>
  <c r="C140" i="11"/>
  <c r="F175" i="11"/>
  <c r="F56" i="24"/>
  <c r="G56" i="24" s="1"/>
  <c r="J15" i="24"/>
  <c r="E182" i="11"/>
  <c r="F182" i="11" s="1"/>
  <c r="E178" i="11"/>
  <c r="F178" i="11" s="1"/>
  <c r="E174" i="11"/>
  <c r="F174" i="11" s="1"/>
  <c r="E170" i="11"/>
  <c r="F170" i="11" s="1"/>
  <c r="E166" i="11"/>
  <c r="F166" i="11" s="1"/>
  <c r="E162" i="11"/>
  <c r="F162" i="11" s="1"/>
  <c r="E158" i="11"/>
  <c r="F158" i="11" s="1"/>
  <c r="E154" i="11"/>
  <c r="F154" i="11" s="1"/>
  <c r="E150" i="11"/>
  <c r="F150" i="11" s="1"/>
  <c r="E146" i="11"/>
  <c r="F146" i="11" s="1"/>
  <c r="E142" i="11"/>
  <c r="F142" i="11" s="1"/>
  <c r="E176" i="11"/>
  <c r="E161" i="11"/>
  <c r="F161" i="11" s="1"/>
  <c r="E159" i="11"/>
  <c r="F159" i="11" s="1"/>
  <c r="E144" i="11"/>
  <c r="F144" i="11" s="1"/>
  <c r="E172" i="11"/>
  <c r="F172" i="11" s="1"/>
  <c r="E157" i="11"/>
  <c r="E155" i="11"/>
  <c r="E140" i="11"/>
  <c r="F140" i="11" s="1"/>
  <c r="E124" i="11"/>
  <c r="C116" i="11"/>
  <c r="D111" i="11"/>
  <c r="C108" i="11"/>
  <c r="D103" i="11"/>
  <c r="E179" i="11"/>
  <c r="E177" i="11"/>
  <c r="E165" i="11"/>
  <c r="F165" i="11" s="1"/>
  <c r="E152" i="11"/>
  <c r="F152" i="11" s="1"/>
  <c r="E143" i="11"/>
  <c r="E133" i="11"/>
  <c r="F133" i="11" s="1"/>
  <c r="D113" i="11"/>
  <c r="C106" i="11"/>
  <c r="D104" i="11"/>
  <c r="C99" i="11"/>
  <c r="E94" i="11"/>
  <c r="E88" i="11"/>
  <c r="F88" i="11" s="1"/>
  <c r="E84" i="11"/>
  <c r="F84" i="11" s="1"/>
  <c r="E80" i="11"/>
  <c r="F80" i="11" s="1"/>
  <c r="E76" i="11"/>
  <c r="F76" i="11" s="1"/>
  <c r="E72" i="11"/>
  <c r="F72" i="11" s="1"/>
  <c r="C68" i="11"/>
  <c r="D62" i="11"/>
  <c r="C61" i="11"/>
  <c r="H61" i="11" s="1"/>
  <c r="E156" i="11"/>
  <c r="F156" i="11" s="1"/>
  <c r="E136" i="11"/>
  <c r="E131" i="11"/>
  <c r="E128" i="11"/>
  <c r="F128" i="11" s="1"/>
  <c r="E125" i="11"/>
  <c r="F125" i="11" s="1"/>
  <c r="C113" i="11"/>
  <c r="C111" i="11"/>
  <c r="D109" i="11"/>
  <c r="C104" i="11"/>
  <c r="D102" i="11"/>
  <c r="D97" i="11"/>
  <c r="D69" i="11"/>
  <c r="D63" i="11"/>
  <c r="C62" i="11"/>
  <c r="H62" i="11" s="1"/>
  <c r="D55" i="11"/>
  <c r="C54" i="11"/>
  <c r="H54" i="11" s="1"/>
  <c r="F9" i="11"/>
  <c r="C8" i="11"/>
  <c r="D8" i="11" s="1"/>
  <c r="E181" i="11"/>
  <c r="F181" i="11" s="1"/>
  <c r="E160" i="11"/>
  <c r="E147" i="11"/>
  <c r="E145" i="11"/>
  <c r="E141" i="11"/>
  <c r="E139" i="11"/>
  <c r="E134" i="11"/>
  <c r="F134" i="11" s="1"/>
  <c r="D116" i="11"/>
  <c r="C109" i="11"/>
  <c r="D107" i="11"/>
  <c r="C102" i="11"/>
  <c r="D100" i="11"/>
  <c r="C97" i="11"/>
  <c r="E95" i="11"/>
  <c r="E89" i="11"/>
  <c r="E85" i="11"/>
  <c r="E81" i="11"/>
  <c r="F81" i="11" s="1"/>
  <c r="E77" i="11"/>
  <c r="F77" i="11" s="1"/>
  <c r="E73" i="11"/>
  <c r="F73" i="11" s="1"/>
  <c r="C69" i="11"/>
  <c r="D64" i="11"/>
  <c r="C63" i="11"/>
  <c r="H63" i="11" s="1"/>
  <c r="D56" i="11"/>
  <c r="C55" i="11"/>
  <c r="H55" i="11" s="1"/>
  <c r="E168" i="11"/>
  <c r="F168" i="11" s="1"/>
  <c r="E164" i="11"/>
  <c r="E123" i="11"/>
  <c r="F123" i="11" s="1"/>
  <c r="D114" i="11"/>
  <c r="C107" i="11"/>
  <c r="C100" i="11"/>
  <c r="E151" i="11"/>
  <c r="E149" i="11"/>
  <c r="E137" i="11"/>
  <c r="F137" i="11" s="1"/>
  <c r="E126" i="11"/>
  <c r="F126" i="11" s="1"/>
  <c r="C114" i="11"/>
  <c r="D112" i="11"/>
  <c r="D105" i="11"/>
  <c r="D98" i="11"/>
  <c r="E90" i="11"/>
  <c r="E86" i="11"/>
  <c r="E82" i="11"/>
  <c r="E78" i="11"/>
  <c r="F78" i="11" s="1"/>
  <c r="E74" i="11"/>
  <c r="F74" i="11" s="1"/>
  <c r="E70" i="11"/>
  <c r="F70" i="11" s="1"/>
  <c r="D66" i="11"/>
  <c r="F66" i="11" s="1"/>
  <c r="C65" i="11"/>
  <c r="H65" i="11" s="1"/>
  <c r="D58" i="11"/>
  <c r="C57" i="11"/>
  <c r="H57" i="11" s="1"/>
  <c r="E180" i="11"/>
  <c r="E153" i="11"/>
  <c r="E135" i="11"/>
  <c r="F135" i="11" s="1"/>
  <c r="E132" i="11"/>
  <c r="F132" i="11" s="1"/>
  <c r="E129" i="11"/>
  <c r="F129" i="11" s="1"/>
  <c r="D117" i="11"/>
  <c r="C112" i="11"/>
  <c r="D110" i="11"/>
  <c r="C105" i="11"/>
  <c r="C103" i="11"/>
  <c r="D101" i="11"/>
  <c r="C98" i="11"/>
  <c r="E91" i="11"/>
  <c r="D67" i="11"/>
  <c r="F67" i="11" s="1"/>
  <c r="E175" i="11"/>
  <c r="E171" i="11"/>
  <c r="E167" i="11"/>
  <c r="E163" i="11"/>
  <c r="E127" i="11"/>
  <c r="F127" i="11" s="1"/>
  <c r="C117" i="11"/>
  <c r="D115" i="11"/>
  <c r="C110" i="11"/>
  <c r="D108" i="11"/>
  <c r="C101" i="11"/>
  <c r="D96" i="11"/>
  <c r="E92" i="11"/>
  <c r="F92" i="11" s="1"/>
  <c r="E87" i="11"/>
  <c r="F87" i="11" s="1"/>
  <c r="E83" i="11"/>
  <c r="F83" i="11" s="1"/>
  <c r="E79" i="11"/>
  <c r="E75" i="11"/>
  <c r="E71" i="11"/>
  <c r="C67" i="11"/>
  <c r="D60" i="11"/>
  <c r="C59" i="11"/>
  <c r="H59" i="11" s="1"/>
  <c r="C11" i="11"/>
  <c r="D11" i="11" s="1"/>
  <c r="B25" i="11"/>
  <c r="D26" i="11"/>
  <c r="G27" i="11"/>
  <c r="C39" i="11"/>
  <c r="H39" i="11" s="1"/>
  <c r="D40" i="11"/>
  <c r="C48" i="11"/>
  <c r="H48" i="11" s="1"/>
  <c r="D51" i="11"/>
  <c r="D59" i="11"/>
  <c r="C64" i="11"/>
  <c r="H64" i="11" s="1"/>
  <c r="F79" i="11"/>
  <c r="D99" i="11"/>
  <c r="E130" i="11"/>
  <c r="F130" i="11" s="1"/>
  <c r="F157" i="11"/>
  <c r="F163" i="11"/>
  <c r="E169" i="11"/>
  <c r="F169" i="11" s="1"/>
  <c r="F176" i="11"/>
  <c r="K18" i="24"/>
  <c r="J8" i="22"/>
  <c r="I12" i="22"/>
  <c r="L12" i="22" s="1"/>
  <c r="J28" i="22"/>
  <c r="I32" i="22"/>
  <c r="L32" i="22" s="1"/>
  <c r="F7" i="11"/>
  <c r="C25" i="11"/>
  <c r="C29" i="11" s="1"/>
  <c r="F26" i="11"/>
  <c r="H32" i="11"/>
  <c r="I32" i="11" s="1"/>
  <c r="C34" i="11"/>
  <c r="C35" i="11"/>
  <c r="D39" i="11"/>
  <c r="C44" i="11"/>
  <c r="H44" i="11" s="1"/>
  <c r="D48" i="11"/>
  <c r="C53" i="11"/>
  <c r="H53" i="11" s="1"/>
  <c r="F85" i="11"/>
  <c r="F136" i="11"/>
  <c r="F141" i="11"/>
  <c r="C181" i="11"/>
  <c r="C177" i="11"/>
  <c r="C173" i="11"/>
  <c r="C169" i="11"/>
  <c r="C165" i="11"/>
  <c r="C161" i="11"/>
  <c r="C157" i="11"/>
  <c r="C153" i="11"/>
  <c r="C149" i="11"/>
  <c r="C145" i="11"/>
  <c r="C141" i="11"/>
  <c r="E53" i="24"/>
  <c r="C178" i="11"/>
  <c r="C168" i="11"/>
  <c r="C151" i="11"/>
  <c r="C146" i="11"/>
  <c r="C179" i="11"/>
  <c r="C174" i="11"/>
  <c r="C164" i="11"/>
  <c r="C147" i="11"/>
  <c r="C142" i="11"/>
  <c r="C136" i="11"/>
  <c r="C123" i="11"/>
  <c r="C175" i="11"/>
  <c r="C171" i="11"/>
  <c r="C167" i="11"/>
  <c r="C163" i="11"/>
  <c r="C127" i="11"/>
  <c r="C92" i="11"/>
  <c r="C87" i="11"/>
  <c r="C83" i="11"/>
  <c r="C79" i="11"/>
  <c r="C75" i="11"/>
  <c r="C71" i="11"/>
  <c r="C150" i="11"/>
  <c r="C148" i="11"/>
  <c r="C138" i="11"/>
  <c r="C130" i="11"/>
  <c r="C93" i="11"/>
  <c r="C154" i="11"/>
  <c r="C152" i="11"/>
  <c r="C143" i="11"/>
  <c r="C133" i="11"/>
  <c r="C94" i="11"/>
  <c r="C88" i="11"/>
  <c r="C84" i="11"/>
  <c r="C80" i="11"/>
  <c r="C76" i="11"/>
  <c r="C72" i="11"/>
  <c r="C158" i="11"/>
  <c r="C156" i="11"/>
  <c r="C131" i="11"/>
  <c r="C128" i="11"/>
  <c r="C125" i="11"/>
  <c r="C172" i="11"/>
  <c r="C170" i="11"/>
  <c r="C162" i="11"/>
  <c r="C160" i="11"/>
  <c r="C139" i="11"/>
  <c r="C134" i="11"/>
  <c r="C95" i="11"/>
  <c r="F95" i="11" s="1"/>
  <c r="C89" i="11"/>
  <c r="C85" i="11"/>
  <c r="C81" i="11"/>
  <c r="C77" i="11"/>
  <c r="C73" i="11"/>
  <c r="C176" i="11"/>
  <c r="C166" i="11"/>
  <c r="C155" i="11"/>
  <c r="C137" i="11"/>
  <c r="C126" i="11"/>
  <c r="C90" i="11"/>
  <c r="C86" i="11"/>
  <c r="C82" i="11"/>
  <c r="C78" i="11"/>
  <c r="C74" i="11"/>
  <c r="C70" i="11"/>
  <c r="K8" i="22"/>
  <c r="K28" i="22"/>
  <c r="F11" i="11"/>
  <c r="E25" i="11"/>
  <c r="E29" i="11" s="1"/>
  <c r="G26" i="11"/>
  <c r="C36" i="11"/>
  <c r="C37" i="11"/>
  <c r="H37" i="11" s="1"/>
  <c r="D44" i="11"/>
  <c r="C47" i="11"/>
  <c r="H47" i="11" s="1"/>
  <c r="C50" i="11"/>
  <c r="H50" i="11" s="1"/>
  <c r="D53" i="11"/>
  <c r="D57" i="11"/>
  <c r="F75" i="11"/>
  <c r="C91" i="11"/>
  <c r="D106" i="11"/>
  <c r="C132" i="11"/>
  <c r="F153" i="11"/>
  <c r="C159" i="11"/>
  <c r="I59" i="24"/>
  <c r="N80" i="26"/>
  <c r="J80" i="26"/>
  <c r="F54" i="24"/>
  <c r="G54" i="24" s="1"/>
  <c r="J9" i="24"/>
  <c r="H39" i="24"/>
  <c r="K39" i="24" s="1"/>
  <c r="D65" i="24"/>
  <c r="E65" i="24" s="1"/>
  <c r="N85" i="26"/>
  <c r="N104" i="26"/>
  <c r="J104" i="26"/>
  <c r="N111" i="26"/>
  <c r="J111" i="26"/>
  <c r="N118" i="26"/>
  <c r="J118" i="26"/>
  <c r="N152" i="26"/>
  <c r="J152" i="26"/>
  <c r="N205" i="26"/>
  <c r="J205" i="26"/>
  <c r="G26" i="27"/>
  <c r="B27" i="27" s="1"/>
  <c r="G27" i="27" s="1"/>
  <c r="B28" i="27" s="1"/>
  <c r="G28" i="27" s="1"/>
  <c r="B29" i="27" s="1"/>
  <c r="G29" i="27" s="1"/>
  <c r="B30" i="27" s="1"/>
  <c r="G30" i="27" s="1"/>
  <c r="G31" i="27" s="1"/>
  <c r="E31" i="27"/>
  <c r="E30" i="27"/>
  <c r="C31" i="27"/>
  <c r="F149" i="11"/>
  <c r="F151" i="11"/>
  <c r="F155" i="11"/>
  <c r="K12" i="24"/>
  <c r="K28" i="24"/>
  <c r="J30" i="24"/>
  <c r="H30" i="24"/>
  <c r="K30" i="24" s="1"/>
  <c r="I58" i="24"/>
  <c r="F65" i="24"/>
  <c r="J63" i="26"/>
  <c r="O63" i="26"/>
  <c r="N82" i="26"/>
  <c r="J82" i="26"/>
  <c r="J101" i="26"/>
  <c r="J102" i="26"/>
  <c r="J103" i="26"/>
  <c r="N110" i="26"/>
  <c r="J110" i="26"/>
  <c r="N117" i="26"/>
  <c r="J117" i="26"/>
  <c r="N144" i="26"/>
  <c r="J144" i="26"/>
  <c r="N151" i="26"/>
  <c r="J151" i="26"/>
  <c r="F91" i="11"/>
  <c r="F164" i="11"/>
  <c r="K7" i="24"/>
  <c r="H12" i="24"/>
  <c r="K14" i="24"/>
  <c r="H14" i="24"/>
  <c r="H18" i="24"/>
  <c r="H20" i="24"/>
  <c r="K20" i="24" s="1"/>
  <c r="H28" i="24"/>
  <c r="I56" i="24"/>
  <c r="D58" i="24"/>
  <c r="E58" i="24" s="1"/>
  <c r="I61" i="24"/>
  <c r="N58" i="26"/>
  <c r="O58" i="26" s="1"/>
  <c r="N72" i="26"/>
  <c r="O72" i="26"/>
  <c r="O74" i="26"/>
  <c r="N74" i="26"/>
  <c r="N109" i="26"/>
  <c r="J109" i="26"/>
  <c r="N136" i="26"/>
  <c r="J136" i="26"/>
  <c r="N143" i="26"/>
  <c r="J143" i="26"/>
  <c r="N150" i="26"/>
  <c r="J150" i="26"/>
  <c r="N184" i="26"/>
  <c r="J184" i="26"/>
  <c r="F90" i="11"/>
  <c r="F139" i="11"/>
  <c r="F145" i="11"/>
  <c r="F147" i="11"/>
  <c r="F160" i="11"/>
  <c r="K31" i="24"/>
  <c r="J33" i="24"/>
  <c r="H33" i="24"/>
  <c r="K33" i="24" s="1"/>
  <c r="D63" i="24"/>
  <c r="E63" i="24" s="1"/>
  <c r="I47" i="24"/>
  <c r="I64" i="24"/>
  <c r="J58" i="26"/>
  <c r="J72" i="26"/>
  <c r="J74" i="26"/>
  <c r="N93" i="26"/>
  <c r="J133" i="26"/>
  <c r="J134" i="26"/>
  <c r="J135" i="26"/>
  <c r="N142" i="26"/>
  <c r="J142" i="26"/>
  <c r="N149" i="26"/>
  <c r="J149" i="26"/>
  <c r="N176" i="26"/>
  <c r="J176" i="26"/>
  <c r="N183" i="26"/>
  <c r="J183" i="26"/>
  <c r="I8" i="27"/>
  <c r="D11" i="27"/>
  <c r="C16" i="27"/>
  <c r="G48" i="27"/>
  <c r="D49" i="27"/>
  <c r="F48" i="27"/>
  <c r="F131" i="11"/>
  <c r="F63" i="24"/>
  <c r="N141" i="26"/>
  <c r="J141" i="26"/>
  <c r="N168" i="26"/>
  <c r="J168" i="26"/>
  <c r="N175" i="26"/>
  <c r="J175" i="26"/>
  <c r="N182" i="26"/>
  <c r="J182" i="26"/>
  <c r="B49" i="27"/>
  <c r="F44" i="27"/>
  <c r="F143" i="11"/>
  <c r="F177" i="11"/>
  <c r="F179" i="11"/>
  <c r="F53" i="24"/>
  <c r="G53" i="24" s="1"/>
  <c r="J8" i="24"/>
  <c r="D56" i="24"/>
  <c r="E56" i="24" s="1"/>
  <c r="K15" i="24"/>
  <c r="J38" i="24"/>
  <c r="H38" i="24"/>
  <c r="K38" i="24" s="1"/>
  <c r="I54" i="24"/>
  <c r="I57" i="24"/>
  <c r="E57" i="24"/>
  <c r="D62" i="24"/>
  <c r="E62" i="24" s="1"/>
  <c r="E64" i="24"/>
  <c r="J71" i="26"/>
  <c r="O71" i="26"/>
  <c r="J165" i="26"/>
  <c r="J166" i="26"/>
  <c r="J167" i="26"/>
  <c r="N174" i="26"/>
  <c r="J174" i="26"/>
  <c r="N181" i="26"/>
  <c r="J181" i="26"/>
  <c r="I30" i="27"/>
  <c r="I31" i="27" s="1"/>
  <c r="K17" i="24"/>
  <c r="H36" i="24"/>
  <c r="K36" i="24" s="1"/>
  <c r="I52" i="24"/>
  <c r="I55" i="24"/>
  <c r="D57" i="24"/>
  <c r="N64" i="26"/>
  <c r="O64" i="26"/>
  <c r="O66" i="26"/>
  <c r="N66" i="26"/>
  <c r="N120" i="26"/>
  <c r="J120" i="26"/>
  <c r="N173" i="26"/>
  <c r="J173" i="26"/>
  <c r="N200" i="26"/>
  <c r="J200" i="26"/>
  <c r="F167" i="11"/>
  <c r="F55" i="24"/>
  <c r="G55" i="24" s="1"/>
  <c r="F62" i="24"/>
  <c r="J28" i="24"/>
  <c r="K44" i="24"/>
  <c r="J46" i="24"/>
  <c r="H46" i="24"/>
  <c r="K46" i="24" s="1"/>
  <c r="I9" i="27"/>
  <c r="C17" i="27"/>
  <c r="G9" i="27"/>
  <c r="O57" i="26"/>
  <c r="N57" i="26"/>
  <c r="O65" i="26"/>
  <c r="N65" i="26"/>
  <c r="N73" i="26"/>
  <c r="O73" i="26" s="1"/>
  <c r="C49" i="27"/>
  <c r="F171" i="11"/>
  <c r="D59" i="24"/>
  <c r="E59" i="24" s="1"/>
  <c r="K41" i="24"/>
  <c r="J41" i="24"/>
  <c r="J57" i="26"/>
  <c r="O59" i="26"/>
  <c r="J65" i="26"/>
  <c r="J73" i="26"/>
  <c r="O75" i="26"/>
  <c r="J81" i="26"/>
  <c r="J94" i="26"/>
  <c r="J95" i="26"/>
  <c r="J96" i="26"/>
  <c r="N128" i="26"/>
  <c r="J128" i="26"/>
  <c r="N160" i="26"/>
  <c r="J160" i="26"/>
  <c r="N192" i="26"/>
  <c r="J192" i="26"/>
  <c r="D61" i="24"/>
  <c r="E61" i="24" s="1"/>
  <c r="E44" i="27"/>
  <c r="J47" i="27"/>
  <c r="H49" i="27"/>
  <c r="E45" i="27"/>
  <c r="J48" i="27"/>
  <c r="E46" i="27"/>
  <c r="G49" i="17" l="1"/>
  <c r="B50" i="17" s="1"/>
  <c r="G50" i="17" s="1"/>
  <c r="B51" i="17" s="1"/>
  <c r="G51" i="17" s="1"/>
  <c r="G52" i="17" s="1"/>
  <c r="D18" i="27"/>
  <c r="F63" i="17"/>
  <c r="C64" i="17" s="1"/>
  <c r="F64" i="17" s="1"/>
  <c r="E52" i="17"/>
  <c r="J61" i="17"/>
  <c r="G62" i="17" s="1"/>
  <c r="J62" i="17" s="1"/>
  <c r="G63" i="17" s="1"/>
  <c r="J63" i="17" s="1"/>
  <c r="G64" i="17" s="1"/>
  <c r="J64" i="17" s="1"/>
  <c r="I65" i="17"/>
  <c r="G77" i="11"/>
  <c r="H77" i="11" s="1"/>
  <c r="G143" i="11"/>
  <c r="H143" i="11" s="1"/>
  <c r="G145" i="11"/>
  <c r="H145" i="11" s="1"/>
  <c r="H90" i="11"/>
  <c r="G90" i="11"/>
  <c r="I90" i="11" s="1"/>
  <c r="H75" i="11"/>
  <c r="G75" i="11"/>
  <c r="H149" i="11"/>
  <c r="G149" i="11"/>
  <c r="F94" i="11"/>
  <c r="I112" i="11"/>
  <c r="F112" i="11"/>
  <c r="I114" i="11"/>
  <c r="F114" i="11"/>
  <c r="F100" i="11"/>
  <c r="I100" i="11"/>
  <c r="G68" i="11"/>
  <c r="H68" i="11"/>
  <c r="I104" i="11"/>
  <c r="F104" i="11"/>
  <c r="I61" i="11"/>
  <c r="F61" i="11"/>
  <c r="D29" i="11"/>
  <c r="B22" i="11"/>
  <c r="G19" i="11"/>
  <c r="F18" i="11"/>
  <c r="E17" i="11"/>
  <c r="E21" i="11" s="1"/>
  <c r="F20" i="11"/>
  <c r="D19" i="11"/>
  <c r="B18" i="11"/>
  <c r="B38" i="11"/>
  <c r="B37" i="11"/>
  <c r="B36" i="11"/>
  <c r="E20" i="11"/>
  <c r="C19" i="11"/>
  <c r="B35" i="11"/>
  <c r="B34" i="11"/>
  <c r="B32" i="11"/>
  <c r="J32" i="11" s="1"/>
  <c r="D20" i="11"/>
  <c r="B19" i="11"/>
  <c r="G17" i="11"/>
  <c r="G22" i="11"/>
  <c r="C20" i="11"/>
  <c r="F17" i="11"/>
  <c r="F21" i="11" s="1"/>
  <c r="F22" i="11"/>
  <c r="B20" i="11"/>
  <c r="G18" i="11"/>
  <c r="D17" i="11"/>
  <c r="E22" i="11"/>
  <c r="E18" i="11"/>
  <c r="C17" i="11"/>
  <c r="D22" i="11"/>
  <c r="F19" i="11"/>
  <c r="D18" i="11"/>
  <c r="B17" i="11"/>
  <c r="C22" i="11"/>
  <c r="G20" i="11"/>
  <c r="E19" i="11"/>
  <c r="C18" i="11"/>
  <c r="I47" i="11"/>
  <c r="J47" i="11" s="1"/>
  <c r="F47" i="11"/>
  <c r="H162" i="11"/>
  <c r="G162" i="11"/>
  <c r="G174" i="11"/>
  <c r="H174" i="11"/>
  <c r="G62" i="24"/>
  <c r="I62" i="24"/>
  <c r="H72" i="11"/>
  <c r="G72" i="11"/>
  <c r="I49" i="27"/>
  <c r="G49" i="27"/>
  <c r="H126" i="11"/>
  <c r="G126" i="11"/>
  <c r="G154" i="11"/>
  <c r="H154" i="11" s="1"/>
  <c r="H146" i="11"/>
  <c r="G146" i="11"/>
  <c r="I48" i="11"/>
  <c r="J48" i="11" s="1"/>
  <c r="F48" i="11"/>
  <c r="F101" i="11"/>
  <c r="I101" i="11"/>
  <c r="F183" i="11"/>
  <c r="F63" i="11"/>
  <c r="G63" i="11" s="1"/>
  <c r="I63" i="11" s="1"/>
  <c r="I103" i="11"/>
  <c r="F103" i="11"/>
  <c r="C13" i="11"/>
  <c r="H58" i="11"/>
  <c r="C118" i="11"/>
  <c r="F68" i="11"/>
  <c r="C11" i="27"/>
  <c r="B24" i="17"/>
  <c r="D14" i="17"/>
  <c r="B15" i="17"/>
  <c r="W35" i="17"/>
  <c r="W37" i="17"/>
  <c r="W36" i="17"/>
  <c r="C14" i="17"/>
  <c r="F14" i="17" s="1"/>
  <c r="W34" i="17"/>
  <c r="D65" i="17"/>
  <c r="G71" i="11"/>
  <c r="H71" i="11" s="1"/>
  <c r="H177" i="11"/>
  <c r="G177" i="11"/>
  <c r="H152" i="11"/>
  <c r="G152" i="11"/>
  <c r="F59" i="11"/>
  <c r="G59" i="11" s="1"/>
  <c r="I59" i="11" s="1"/>
  <c r="I51" i="11"/>
  <c r="J51" i="11" s="1"/>
  <c r="F51" i="11"/>
  <c r="H13" i="17"/>
  <c r="E13" i="17"/>
  <c r="H93" i="11"/>
  <c r="G93" i="11"/>
  <c r="I93" i="11" s="1"/>
  <c r="C183" i="11"/>
  <c r="H123" i="11"/>
  <c r="G123" i="11"/>
  <c r="H157" i="11"/>
  <c r="G157" i="11"/>
  <c r="E54" i="24"/>
  <c r="C19" i="27"/>
  <c r="H132" i="11"/>
  <c r="G132" i="11"/>
  <c r="H70" i="11"/>
  <c r="G70" i="11"/>
  <c r="G125" i="11"/>
  <c r="H125" i="11" s="1"/>
  <c r="H87" i="11"/>
  <c r="G87" i="11"/>
  <c r="H161" i="11"/>
  <c r="G161" i="11"/>
  <c r="I111" i="11"/>
  <c r="F111" i="11"/>
  <c r="G86" i="11"/>
  <c r="H86" i="11" s="1"/>
  <c r="G81" i="11"/>
  <c r="H81" i="11"/>
  <c r="G171" i="11"/>
  <c r="H171" i="11"/>
  <c r="G179" i="11"/>
  <c r="H179" i="11" s="1"/>
  <c r="H181" i="11"/>
  <c r="G181" i="11"/>
  <c r="B29" i="11"/>
  <c r="H25" i="11"/>
  <c r="H29" i="11" s="1"/>
  <c r="G85" i="11"/>
  <c r="H85" i="11" s="1"/>
  <c r="H76" i="11"/>
  <c r="G76" i="11"/>
  <c r="G175" i="11"/>
  <c r="H175" i="11"/>
  <c r="G153" i="11"/>
  <c r="H153" i="11" s="1"/>
  <c r="F13" i="11"/>
  <c r="G89" i="11"/>
  <c r="H89" i="11"/>
  <c r="I53" i="24"/>
  <c r="G80" i="11"/>
  <c r="H80" i="11" s="1"/>
  <c r="H83" i="11"/>
  <c r="G83" i="11"/>
  <c r="G151" i="11"/>
  <c r="H151" i="11"/>
  <c r="F107" i="11"/>
  <c r="I107" i="11"/>
  <c r="F69" i="11"/>
  <c r="I113" i="11"/>
  <c r="F113" i="11"/>
  <c r="D17" i="27"/>
  <c r="E118" i="11"/>
  <c r="I52" i="11"/>
  <c r="J52" i="11" s="1"/>
  <c r="F52" i="11"/>
  <c r="F65" i="11"/>
  <c r="I65" i="11"/>
  <c r="B11" i="27"/>
  <c r="F8" i="27"/>
  <c r="E8" i="27"/>
  <c r="F29" i="11"/>
  <c r="G155" i="11"/>
  <c r="H155" i="11" s="1"/>
  <c r="G84" i="11"/>
  <c r="H84" i="11" s="1"/>
  <c r="H136" i="11"/>
  <c r="G136" i="11"/>
  <c r="I39" i="11"/>
  <c r="F39" i="11"/>
  <c r="F60" i="11"/>
  <c r="G60" i="11" s="1"/>
  <c r="I60" i="11" s="1"/>
  <c r="I96" i="11"/>
  <c r="F96" i="11"/>
  <c r="I97" i="11"/>
  <c r="F97" i="11"/>
  <c r="F54" i="11"/>
  <c r="G54" i="11" s="1"/>
  <c r="I54" i="11" s="1"/>
  <c r="B19" i="27"/>
  <c r="D16" i="27"/>
  <c r="H27" i="11"/>
  <c r="F50" i="11"/>
  <c r="G23" i="17"/>
  <c r="D23" i="17"/>
  <c r="C23" i="17"/>
  <c r="E23" i="17" s="1"/>
  <c r="F23" i="17"/>
  <c r="H23" i="17" s="1"/>
  <c r="I106" i="11"/>
  <c r="F106" i="11"/>
  <c r="H74" i="11"/>
  <c r="G74" i="11"/>
  <c r="G166" i="11"/>
  <c r="H166" i="11" s="1"/>
  <c r="H134" i="11"/>
  <c r="G134" i="11"/>
  <c r="H128" i="11"/>
  <c r="G128" i="11"/>
  <c r="G88" i="11"/>
  <c r="H88" i="11" s="1"/>
  <c r="H138" i="11"/>
  <c r="G138" i="11"/>
  <c r="G92" i="11"/>
  <c r="I92" i="11" s="1"/>
  <c r="H142" i="11"/>
  <c r="G142" i="11"/>
  <c r="G178" i="11"/>
  <c r="H178" i="11" s="1"/>
  <c r="G165" i="11"/>
  <c r="H165" i="11"/>
  <c r="H35" i="11"/>
  <c r="I35" i="11" s="1"/>
  <c r="F40" i="11"/>
  <c r="I40" i="11"/>
  <c r="G67" i="11"/>
  <c r="H67" i="11" s="1"/>
  <c r="I110" i="11"/>
  <c r="F110" i="11"/>
  <c r="F116" i="11"/>
  <c r="I116" i="11"/>
  <c r="I102" i="11"/>
  <c r="F102" i="11"/>
  <c r="H140" i="11"/>
  <c r="G140" i="11"/>
  <c r="I49" i="11"/>
  <c r="J49" i="11" s="1"/>
  <c r="F49" i="11"/>
  <c r="I46" i="11"/>
  <c r="J46" i="11" s="1"/>
  <c r="F46" i="11"/>
  <c r="I53" i="11"/>
  <c r="F53" i="11"/>
  <c r="G170" i="11"/>
  <c r="H170" i="11"/>
  <c r="G65" i="24"/>
  <c r="G159" i="11"/>
  <c r="H159" i="11"/>
  <c r="H172" i="11"/>
  <c r="G172" i="11"/>
  <c r="H79" i="11"/>
  <c r="G79" i="11"/>
  <c r="H137" i="11"/>
  <c r="G137" i="11"/>
  <c r="I44" i="11"/>
  <c r="F44" i="11"/>
  <c r="H130" i="11"/>
  <c r="G130" i="11"/>
  <c r="G168" i="11"/>
  <c r="H168" i="11" s="1"/>
  <c r="W33" i="17"/>
  <c r="F49" i="27"/>
  <c r="G8" i="27"/>
  <c r="I65" i="24"/>
  <c r="H91" i="11"/>
  <c r="G91" i="11"/>
  <c r="I91" i="11" s="1"/>
  <c r="G78" i="11"/>
  <c r="H78" i="11" s="1"/>
  <c r="G176" i="11"/>
  <c r="H176" i="11" s="1"/>
  <c r="H139" i="11"/>
  <c r="G139" i="11"/>
  <c r="G131" i="11"/>
  <c r="H131" i="11"/>
  <c r="G148" i="11"/>
  <c r="H148" i="11" s="1"/>
  <c r="H127" i="11"/>
  <c r="G127" i="11"/>
  <c r="G147" i="11"/>
  <c r="H147" i="11"/>
  <c r="G169" i="11"/>
  <c r="H169" i="11" s="1"/>
  <c r="H34" i="11"/>
  <c r="I34" i="11" s="1"/>
  <c r="I108" i="11"/>
  <c r="F108" i="11"/>
  <c r="D118" i="11"/>
  <c r="F58" i="11"/>
  <c r="G58" i="11" s="1"/>
  <c r="F56" i="11"/>
  <c r="I56" i="11"/>
  <c r="G135" i="11"/>
  <c r="H135" i="11" s="1"/>
  <c r="F45" i="11"/>
  <c r="I45" i="11"/>
  <c r="J45" i="11" s="1"/>
  <c r="D7" i="11"/>
  <c r="D13" i="11" s="1"/>
  <c r="I43" i="11"/>
  <c r="F43" i="11"/>
  <c r="H11" i="27"/>
  <c r="I11" i="27" s="1"/>
  <c r="G22" i="17"/>
  <c r="F22" i="17"/>
  <c r="D22" i="17"/>
  <c r="C22" i="17"/>
  <c r="G63" i="24"/>
  <c r="I63" i="24"/>
  <c r="G82" i="11"/>
  <c r="H82" i="11" s="1"/>
  <c r="G73" i="11"/>
  <c r="H73" i="11"/>
  <c r="H160" i="11"/>
  <c r="G160" i="11"/>
  <c r="G156" i="11"/>
  <c r="H156" i="11" s="1"/>
  <c r="H133" i="11"/>
  <c r="G133" i="11"/>
  <c r="H150" i="11"/>
  <c r="G150" i="11"/>
  <c r="G163" i="11"/>
  <c r="H163" i="11" s="1"/>
  <c r="G164" i="11"/>
  <c r="H164" i="11" s="1"/>
  <c r="G141" i="11"/>
  <c r="H141" i="11"/>
  <c r="G173" i="11"/>
  <c r="H173" i="11" s="1"/>
  <c r="I99" i="11"/>
  <c r="F99" i="11"/>
  <c r="F117" i="11"/>
  <c r="I117" i="11"/>
  <c r="I98" i="11"/>
  <c r="F98" i="11"/>
  <c r="F109" i="11"/>
  <c r="I109" i="11"/>
  <c r="F10" i="27"/>
  <c r="E18" i="27" s="1"/>
  <c r="E10" i="27"/>
  <c r="I42" i="11"/>
  <c r="F42" i="11"/>
  <c r="G29" i="11"/>
  <c r="F9" i="27"/>
  <c r="E17" i="27" s="1"/>
  <c r="E9" i="27"/>
  <c r="S38" i="17"/>
  <c r="F57" i="11"/>
  <c r="I57" i="11"/>
  <c r="G158" i="11"/>
  <c r="H158" i="11" s="1"/>
  <c r="G167" i="11"/>
  <c r="H167" i="11"/>
  <c r="I115" i="11"/>
  <c r="F115" i="11"/>
  <c r="I105" i="11"/>
  <c r="F105" i="11"/>
  <c r="F64" i="11"/>
  <c r="G64" i="11" s="1"/>
  <c r="I64" i="11" s="1"/>
  <c r="F55" i="11"/>
  <c r="G55" i="11" s="1"/>
  <c r="I55" i="11" s="1"/>
  <c r="F62" i="11"/>
  <c r="G62" i="11" s="1"/>
  <c r="I62" i="11"/>
  <c r="H26" i="11"/>
  <c r="G10" i="27"/>
  <c r="I38" i="11" l="1"/>
  <c r="G11" i="27"/>
  <c r="E11" i="27"/>
  <c r="D35" i="11"/>
  <c r="J35" i="11"/>
  <c r="I23" i="17"/>
  <c r="C21" i="11"/>
  <c r="J36" i="11"/>
  <c r="D36" i="11"/>
  <c r="D21" i="11"/>
  <c r="H19" i="11"/>
  <c r="D37" i="11"/>
  <c r="J37" i="11"/>
  <c r="E22" i="17"/>
  <c r="G21" i="11"/>
  <c r="G94" i="11"/>
  <c r="I94" i="11" s="1"/>
  <c r="G183" i="11"/>
  <c r="B25" i="17"/>
  <c r="C15" i="17"/>
  <c r="F15" i="17" s="1"/>
  <c r="Y36" i="17"/>
  <c r="B16" i="17"/>
  <c r="Y37" i="17"/>
  <c r="D15" i="17"/>
  <c r="Y34" i="17"/>
  <c r="Y33" i="17"/>
  <c r="Y38" i="17" s="1"/>
  <c r="Y35" i="17"/>
  <c r="H17" i="11"/>
  <c r="B21" i="11"/>
  <c r="W38" i="17"/>
  <c r="F11" i="27"/>
  <c r="E16" i="27"/>
  <c r="D19" i="27"/>
  <c r="H20" i="11"/>
  <c r="H18" i="11"/>
  <c r="G66" i="11"/>
  <c r="H22" i="17"/>
  <c r="G14" i="17"/>
  <c r="E14" i="17"/>
  <c r="H66" i="11"/>
  <c r="I58" i="11"/>
  <c r="I66" i="11" s="1"/>
  <c r="H92" i="11"/>
  <c r="G24" i="17"/>
  <c r="F24" i="17"/>
  <c r="H24" i="17" s="1"/>
  <c r="D24" i="17"/>
  <c r="C24" i="17"/>
  <c r="E24" i="17" s="1"/>
  <c r="D34" i="11"/>
  <c r="J34" i="11"/>
  <c r="J38" i="11" l="1"/>
  <c r="I24" i="17"/>
  <c r="H118" i="11"/>
  <c r="H14" i="17"/>
  <c r="E15" i="17"/>
  <c r="G15" i="17"/>
  <c r="H15" i="17" s="1"/>
  <c r="B26" i="17"/>
  <c r="D16" i="17"/>
  <c r="C16" i="17"/>
  <c r="F16" i="17" s="1"/>
  <c r="AA37" i="17"/>
  <c r="AA34" i="17"/>
  <c r="B17" i="17"/>
  <c r="AA33" i="17"/>
  <c r="AA35" i="17"/>
  <c r="AA36" i="17"/>
  <c r="I118" i="11"/>
  <c r="G118" i="11"/>
  <c r="I22" i="17"/>
  <c r="H21" i="11"/>
  <c r="G25" i="17"/>
  <c r="F25" i="17"/>
  <c r="H25" i="17" s="1"/>
  <c r="D25" i="17"/>
  <c r="C25" i="17"/>
  <c r="E25" i="17" s="1"/>
  <c r="I25" i="17" s="1"/>
  <c r="G16" i="17" l="1"/>
  <c r="E16" i="17"/>
  <c r="G26" i="17"/>
  <c r="D26" i="17"/>
  <c r="C26" i="17"/>
  <c r="E26" i="17" s="1"/>
  <c r="F26" i="17"/>
  <c r="H26" i="17" s="1"/>
  <c r="AA38" i="17"/>
  <c r="B27" i="17"/>
  <c r="D17" i="17"/>
  <c r="D18" i="17" s="1"/>
  <c r="AC34" i="17"/>
  <c r="AE34" i="17" s="1"/>
  <c r="AC37" i="17"/>
  <c r="AE37" i="17" s="1"/>
  <c r="AC36" i="17"/>
  <c r="AE36" i="17" s="1"/>
  <c r="AC33" i="17"/>
  <c r="C17" i="17"/>
  <c r="F17" i="17" s="1"/>
  <c r="F18" i="17" s="1"/>
  <c r="AD35" i="17"/>
  <c r="AF35" i="17" s="1"/>
  <c r="AD36" i="17"/>
  <c r="AF36" i="17" s="1"/>
  <c r="AD37" i="17"/>
  <c r="AF37" i="17" s="1"/>
  <c r="AD34" i="17"/>
  <c r="AC35" i="17"/>
  <c r="AE35" i="17" s="1"/>
  <c r="C18" i="17"/>
  <c r="AC38" i="17" l="1"/>
  <c r="AF34" i="17"/>
  <c r="AD38" i="17"/>
  <c r="AF38" i="17" s="1"/>
  <c r="I26" i="17"/>
  <c r="G17" i="17"/>
  <c r="H17" i="17" s="1"/>
  <c r="E17" i="17"/>
  <c r="E18" i="17" s="1"/>
  <c r="G27" i="17"/>
  <c r="G28" i="17" s="1"/>
  <c r="F27" i="17"/>
  <c r="H27" i="17" s="1"/>
  <c r="H28" i="17" s="1"/>
  <c r="D27" i="17"/>
  <c r="D28" i="17" s="1"/>
  <c r="C27" i="17"/>
  <c r="AE33" i="17"/>
  <c r="AE38" i="17" s="1"/>
  <c r="H16" i="17"/>
  <c r="G18" i="17"/>
  <c r="H18" i="17" l="1"/>
  <c r="F28" i="17"/>
  <c r="E27" i="17"/>
  <c r="C28" i="17"/>
  <c r="I27" i="17" l="1"/>
  <c r="I28" i="17" s="1"/>
  <c r="E4" i="17" s="1"/>
  <c r="E28" i="17"/>
</calcChain>
</file>

<file path=xl/sharedStrings.xml><?xml version="1.0" encoding="utf-8"?>
<sst xmlns="http://schemas.openxmlformats.org/spreadsheetml/2006/main" count="7469" uniqueCount="925">
  <si>
    <t>Obra</t>
  </si>
  <si>
    <t>México-Toluca</t>
  </si>
  <si>
    <t>Lerma - Tres Marías</t>
  </si>
  <si>
    <t>Chamapa-Lechería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</si>
  <si>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</si>
  <si>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</si>
  <si>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</si>
  <si>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</si>
  <si>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</si>
  <si>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</si>
  <si>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</si>
  <si>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Fecha</t>
  </si>
  <si>
    <t>Tipo Movimiento</t>
  </si>
  <si>
    <t>Origen/Destino</t>
  </si>
  <si>
    <t>Entrada (L)</t>
  </si>
  <si>
    <t>Salida (L)</t>
  </si>
  <si>
    <t>Existencia Teórica</t>
  </si>
  <si>
    <t>Costo/L</t>
  </si>
  <si>
    <t>Importe</t>
  </si>
  <si>
    <t>Observaciones</t>
  </si>
  <si>
    <t>GC-COMB-002 | BITÁCORA DE SUMINISTRO DE MARIMBA M-01</t>
  </si>
  <si>
    <t>Operador:</t>
  </si>
  <si>
    <t>Marimba:</t>
  </si>
  <si>
    <t>M-01</t>
  </si>
  <si>
    <t>Costo/L base:</t>
  </si>
  <si>
    <t>Movimiento</t>
  </si>
  <si>
    <t>Origen/Obra</t>
  </si>
  <si>
    <t>Equipo</t>
  </si>
  <si>
    <t>Económico</t>
  </si>
  <si>
    <t>Firma/Validación</t>
  </si>
  <si>
    <t>GC-COMB-003 | BITÁCORA DE CONTROL DE COMBUSTIBLE DE OBRA</t>
  </si>
  <si>
    <t>Ingeniero:</t>
  </si>
  <si>
    <t>Obra:</t>
  </si>
  <si>
    <t>Fuente</t>
  </si>
  <si>
    <t>Litros Recibidos</t>
  </si>
  <si>
    <t>Actividad Ejecutada</t>
  </si>
  <si>
    <t>Incidencia</t>
  </si>
  <si>
    <t>CATÁLOGOS OFICIALES - CONTROL DE COMBUSTIBLE</t>
  </si>
  <si>
    <t>Código Obra</t>
  </si>
  <si>
    <t>Código</t>
  </si>
  <si>
    <t>Fuente / Origen</t>
  </si>
  <si>
    <t>Tipo de Equipo</t>
  </si>
  <si>
    <t>MT</t>
  </si>
  <si>
    <t>GAS</t>
  </si>
  <si>
    <t>Gasolinera Huixquilucan</t>
  </si>
  <si>
    <t>L3M</t>
  </si>
  <si>
    <t>PEG</t>
  </si>
  <si>
    <t>Tanque Pegaso</t>
  </si>
  <si>
    <t>Compactador</t>
  </si>
  <si>
    <t>CL</t>
  </si>
  <si>
    <t>M01</t>
  </si>
  <si>
    <t>Marimba M-01</t>
  </si>
  <si>
    <t>Excavadora</t>
  </si>
  <si>
    <t>DIR</t>
  </si>
  <si>
    <t>Carga directa</t>
  </si>
  <si>
    <t>RT-01</t>
  </si>
  <si>
    <t>Retroexcavadora</t>
  </si>
  <si>
    <t>Otro</t>
  </si>
  <si>
    <t>Motoconformadora</t>
  </si>
  <si>
    <t>PT-01</t>
  </si>
  <si>
    <t>Petrolizadora</t>
  </si>
  <si>
    <t>PP-01</t>
  </si>
  <si>
    <t>Pipa</t>
  </si>
  <si>
    <t>CR-01</t>
  </si>
  <si>
    <t>GC-COMB-003 | BITÁCORA DE SOLICITUDES DE COMBUSTIBLE DE OBRA</t>
  </si>
  <si>
    <t>Vogel</t>
  </si>
  <si>
    <t>VG-01</t>
  </si>
  <si>
    <t>Litros Solicitados</t>
  </si>
  <si>
    <t>PR-01</t>
  </si>
  <si>
    <t>Perfiladora</t>
  </si>
  <si>
    <t>Barredora</t>
  </si>
  <si>
    <t>BR-01</t>
  </si>
  <si>
    <t>NM-01</t>
  </si>
  <si>
    <t>OT-01</t>
  </si>
  <si>
    <t>Fecha de Trabajo</t>
  </si>
  <si>
    <t>Fecha de Solicitud</t>
  </si>
  <si>
    <t>Perfiladora Wirgent</t>
  </si>
  <si>
    <t>PR-02</t>
  </si>
  <si>
    <t>Perfiladora Cat-PM</t>
  </si>
  <si>
    <t>Barredora Broce</t>
  </si>
  <si>
    <t>BR-02</t>
  </si>
  <si>
    <t>Retroexcavadora Jonh Deere</t>
  </si>
  <si>
    <t>RT-02</t>
  </si>
  <si>
    <t>Buggy Trasnfer</t>
  </si>
  <si>
    <t>BG-01</t>
  </si>
  <si>
    <t>Neuomatico</t>
  </si>
  <si>
    <t>Vogele Guion</t>
  </si>
  <si>
    <t>VG-02</t>
  </si>
  <si>
    <t>Tandem Hamm</t>
  </si>
  <si>
    <t>TD-01</t>
  </si>
  <si>
    <t>Neuomatico Dynapac</t>
  </si>
  <si>
    <t>NM-02</t>
  </si>
  <si>
    <t>Petrolizadora Elton</t>
  </si>
  <si>
    <t>PT-02</t>
  </si>
  <si>
    <t>Camion de Impacto</t>
  </si>
  <si>
    <t>CI-01</t>
  </si>
  <si>
    <t>Maxilihgs</t>
  </si>
  <si>
    <t>MX-01</t>
  </si>
  <si>
    <t>Compresor</t>
  </si>
  <si>
    <t>CPR-01</t>
  </si>
  <si>
    <t>Rastrillador</t>
  </si>
  <si>
    <t>RS-01</t>
  </si>
  <si>
    <t>Limpieza</t>
  </si>
  <si>
    <t>LP-01</t>
  </si>
  <si>
    <t>Doble Rodillo</t>
  </si>
  <si>
    <t>DR-01</t>
  </si>
  <si>
    <t>Solicitante</t>
  </si>
  <si>
    <t>Ingeniero</t>
  </si>
  <si>
    <t>Apolinar</t>
  </si>
  <si>
    <t>Francisco Javier</t>
  </si>
  <si>
    <t>Economico</t>
  </si>
  <si>
    <t>Bacheo Toluca</t>
  </si>
  <si>
    <t>Bidones</t>
  </si>
  <si>
    <t>BD-01</t>
  </si>
  <si>
    <t>No aplica</t>
  </si>
  <si>
    <t>Planta Asfalto Pegaso</t>
  </si>
  <si>
    <t>Planta Asfaltos</t>
  </si>
  <si>
    <t>PayLoder</t>
  </si>
  <si>
    <t>PL-01</t>
  </si>
  <si>
    <t>BT</t>
  </si>
  <si>
    <t>NP</t>
  </si>
  <si>
    <t>PAP</t>
  </si>
  <si>
    <t>PAH</t>
  </si>
  <si>
    <t>Diego Carreola</t>
  </si>
  <si>
    <t>Planta Asflato Huixquilucan</t>
  </si>
  <si>
    <t>Entrada</t>
  </si>
  <si>
    <t>Cuerpo a (Pausada)</t>
  </si>
  <si>
    <t>DASHBOARD EJECUTIVO DE CONTROL DE COMBUSTIBLE | GRUPO TRUJANO</t>
  </si>
  <si>
    <t>FILTROS DEL DASHBOARD (Celdas en amarillo editables en Excel)</t>
  </si>
  <si>
    <t>Obra Seleccionada:</t>
  </si>
  <si>
    <t>Fecha Inicio (Lunes):</t>
  </si>
  <si>
    <t>Precio Diésel ($/L):</t>
  </si>
  <si>
    <t>COMPARATIVA: SOLICITADO (PETICIONES) VS ENTREGADO EN OBRA</t>
  </si>
  <si>
    <t>Día</t>
  </si>
  <si>
    <t>Lts Solicitados</t>
  </si>
  <si>
    <t>Lts Recibidos Obra</t>
  </si>
  <si>
    <t>Dif. Litros (Obra-Sol)</t>
  </si>
  <si>
    <t>Costo Solicitado</t>
  </si>
  <si>
    <t>Costo Real Obra</t>
  </si>
  <si>
    <t>Dif. Costo (Real-Sol)</t>
  </si>
  <si>
    <t>Lunes</t>
  </si>
  <si>
    <t>Martes</t>
  </si>
  <si>
    <t>Miércoles</t>
  </si>
  <si>
    <t>Jueves</t>
  </si>
  <si>
    <t>Viernes</t>
  </si>
  <si>
    <t>Sábado</t>
  </si>
  <si>
    <t>TOTAL SEMANAL</t>
  </si>
  <si>
    <t>CONCILIACIÓN FÍSICA Y DISCREPANCIAS (OBRA VS MARIMBA Y PEGASO)</t>
  </si>
  <si>
    <t>Obra Recibió (M)</t>
  </si>
  <si>
    <t>Marimba Despachó</t>
  </si>
  <si>
    <t>Dif. Marimba</t>
  </si>
  <si>
    <t>Obra Recibió (P)</t>
  </si>
  <si>
    <t>Pegaso Despachó</t>
  </si>
  <si>
    <t>Dif. Pegaso</t>
  </si>
  <si>
    <t>Dif. Total (L)</t>
  </si>
  <si>
    <t>Obras Dropdown</t>
  </si>
  <si>
    <t>Semanas Dropdown</t>
  </si>
  <si>
    <t>Todas</t>
  </si>
  <si>
    <t>MB-01</t>
  </si>
  <si>
    <t>Dragones</t>
  </si>
  <si>
    <t>Generador</t>
  </si>
  <si>
    <t>GR-01</t>
  </si>
  <si>
    <t>Criba Roja</t>
  </si>
  <si>
    <t>Tandem CAT</t>
  </si>
  <si>
    <t>TC-01</t>
  </si>
  <si>
    <t>GC-COMB-002 | BITÁCORA DE SUMINISTRO DE JALISCO</t>
  </si>
  <si>
    <t>Jalisco</t>
  </si>
  <si>
    <t>Motoconformadora Rentada</t>
  </si>
  <si>
    <t>MGR-01</t>
  </si>
  <si>
    <t>Vibro Compactador</t>
  </si>
  <si>
    <t>VC-01</t>
  </si>
  <si>
    <t>Salida</t>
  </si>
  <si>
    <t>Total Litros Suministrados</t>
  </si>
  <si>
    <t>Costo Total Acumulado</t>
  </si>
  <si>
    <t>TOTAL GENERAL</t>
  </si>
  <si>
    <t>ESTADO DE LA CONCILIACIÓN SEMANAL</t>
  </si>
  <si>
    <t>Fecha Fin (Rango):</t>
  </si>
  <si>
    <t>Período Resumen:</t>
  </si>
  <si>
    <t>Observaciones / Justificación</t>
  </si>
  <si>
    <t>TOTAL CONCILIADO</t>
  </si>
  <si>
    <t>RESUMEN ACUMULADO POR OBRA / PERÍODO SELECCIONADO</t>
  </si>
  <si>
    <t>RESUMEN DE CONSUMO SEMANAL POR OBRA (DETALLE HISTÓRICO POR SEMANA)</t>
  </si>
  <si>
    <t>Obra (Tabla Semanal):</t>
  </si>
  <si>
    <t>Semana (Lunes)</t>
  </si>
  <si>
    <t>Litros Despachados</t>
  </si>
  <si>
    <t>Costo/L ($)</t>
  </si>
  <si>
    <t>Costo Combustible ($)</t>
  </si>
  <si>
    <t>TOTAL ACUMULADO</t>
  </si>
  <si>
    <t>Semana Seleccionada</t>
  </si>
  <si>
    <t>Saldo inicial(vales)</t>
  </si>
  <si>
    <t>Saldo final(vales)</t>
  </si>
  <si>
    <t>Gasolina</t>
  </si>
  <si>
    <t>Saldo Inicial (Vales)</t>
  </si>
  <si>
    <t>Saldo Final (Vales)</t>
  </si>
  <si>
    <t>Ajuste semanal</t>
  </si>
  <si>
    <t>Litros de Disel Acumulado</t>
  </si>
  <si>
    <t>RT-03</t>
  </si>
  <si>
    <t>VG-03</t>
  </si>
  <si>
    <t>BR-03</t>
  </si>
  <si>
    <t>BR-04</t>
  </si>
  <si>
    <t>DR-02</t>
  </si>
  <si>
    <t>CPR-02</t>
  </si>
  <si>
    <t>RT-04</t>
  </si>
  <si>
    <t>BR-05</t>
  </si>
  <si>
    <t>RT-05</t>
  </si>
  <si>
    <t>BR-06</t>
  </si>
  <si>
    <t>DR-03</t>
  </si>
  <si>
    <t>CI-02</t>
  </si>
  <si>
    <t>DR-04</t>
  </si>
  <si>
    <t>RETROEXCAVADORA CASE 580 N</t>
  </si>
  <si>
    <t>RETROEXCAVADORA JHONDEREE 310 K</t>
  </si>
  <si>
    <t>PAVIMENTADORA VOGELE 1800-3 I</t>
  </si>
  <si>
    <t>PAVIMENTADORA VOGELE 1800-2 SJ</t>
  </si>
  <si>
    <t>PAVIMENTADORA VOGELE SJ 1800-3</t>
  </si>
  <si>
    <t>PERFILADORA RODATEC RX600-4-4008</t>
  </si>
  <si>
    <t>PERFILADORA RODATEC RX600E</t>
  </si>
  <si>
    <t>BARREDORA BROCE RJ350</t>
  </si>
  <si>
    <t>BARREDORA LAYMOR SM400</t>
  </si>
  <si>
    <t>BARREDORA SUPERIOR BROOM DT80J</t>
  </si>
  <si>
    <t>DOBLE RODILLO/VIBROCOMPACTADOR DE RODILLOS HAMM 120HD VV</t>
  </si>
  <si>
    <t>DOBLE RODILLO/VIBROCOMPACTADOR DE RODILLOS HAMM 140HD</t>
  </si>
  <si>
    <t>TANDEM DOBLE RODILLO / VIBROCOMPACTOR RODILLO CAT CB54</t>
  </si>
  <si>
    <t>VIBROCOMPACTADOR CATERPILLAR CB66B</t>
  </si>
  <si>
    <t>NEUMATICO / COMPACTADOR DE NEUMATICOS DINAPAC CP271</t>
  </si>
  <si>
    <t>NEUMATICO VOLVO PT-240R</t>
  </si>
  <si>
    <t>COMPRESOR SULLIVAN PALATEK D2010</t>
  </si>
  <si>
    <t>RETROEXCAVADORA CASE 420DN</t>
  </si>
  <si>
    <t>BARREDORA BROCE BROOM KR350</t>
  </si>
  <si>
    <t>RETROEXCAVADORA JHONDEREE 310SK</t>
  </si>
  <si>
    <t>DOBLE RODILLO INGERSOLL RAND DD-108HF</t>
  </si>
  <si>
    <t>TRASFER BUGGI RODATEC</t>
  </si>
  <si>
    <t>IMPACTO FORD 4300</t>
  </si>
  <si>
    <t>IMPACTO FORD F800</t>
  </si>
  <si>
    <t>PETROLIZADORA (IMPACTO 04) FORD F800</t>
  </si>
  <si>
    <t>PETROLIZADORA INTERNATIONAL</t>
  </si>
  <si>
    <t>PIPA DE AGUA (IMPACTO 01) FORD</t>
  </si>
  <si>
    <t>DOBLE RODILLO RAD ROLLER FILY-325 PRO</t>
  </si>
  <si>
    <t>BIDONES</t>
  </si>
  <si>
    <t>OTRO</t>
  </si>
  <si>
    <t>MARIMBA</t>
  </si>
  <si>
    <t>GENERADOR</t>
  </si>
  <si>
    <t>CRIBA ROJA</t>
  </si>
  <si>
    <t>TANDEM CAT</t>
  </si>
  <si>
    <t>MOTOCONFORMADORA RENTADA</t>
  </si>
  <si>
    <t>VIBRO COMPACTADOR</t>
  </si>
  <si>
    <t>PAYLODER</t>
  </si>
  <si>
    <t>LIMPIEZA</t>
  </si>
  <si>
    <t>RASTRILLADOR</t>
  </si>
  <si>
    <t>MAXILIGHT</t>
  </si>
  <si>
    <t>Luis</t>
  </si>
  <si>
    <t>HOMBRE A BORDO</t>
  </si>
  <si>
    <t>HB-01</t>
  </si>
  <si>
    <t>Janeth</t>
  </si>
  <si>
    <t>EXCAVADORA</t>
  </si>
  <si>
    <t>EX-01</t>
  </si>
  <si>
    <t xml:space="preserve">Número </t>
  </si>
  <si>
    <t>Unidad</t>
  </si>
  <si>
    <t>Dueño</t>
  </si>
  <si>
    <t>Marca</t>
  </si>
  <si>
    <t>Modelo</t>
  </si>
  <si>
    <t xml:space="preserve">Año </t>
  </si>
  <si>
    <t xml:space="preserve">No. Serie </t>
  </si>
  <si>
    <t>Rendimiento Nuevo</t>
  </si>
  <si>
    <t>Unidad de Medida</t>
  </si>
  <si>
    <t>Edad (Años)</t>
  </si>
  <si>
    <t>Rendimiento Ajustado (2026)</t>
  </si>
  <si>
    <t>RETROEXCAVADORA</t>
  </si>
  <si>
    <t>TRITURADORA ROCA DURA SAN MIGUEL S.A. DE C.V.</t>
  </si>
  <si>
    <t>CASE</t>
  </si>
  <si>
    <t>580 N</t>
  </si>
  <si>
    <t>JJGN580NABC540211</t>
  </si>
  <si>
    <t>L/h</t>
  </si>
  <si>
    <t>JHONDEREE</t>
  </si>
  <si>
    <t>310 K</t>
  </si>
  <si>
    <t>1T0231KXTEE258108</t>
  </si>
  <si>
    <t>JJGN58NHAC535026</t>
  </si>
  <si>
    <t xml:space="preserve">PAVIMENTADORA </t>
  </si>
  <si>
    <t>JDJ EQUIPO Y CONSTRUCCIONES S.A. DE C.V.</t>
  </si>
  <si>
    <t>VOGELE</t>
  </si>
  <si>
    <t>1800-3 i</t>
  </si>
  <si>
    <t>1800-2 SJ</t>
  </si>
  <si>
    <t>SJ 1800-3</t>
  </si>
  <si>
    <t>PERFILADORA</t>
  </si>
  <si>
    <t>RODATEC</t>
  </si>
  <si>
    <t>RX600-4-4008</t>
  </si>
  <si>
    <t>RX600E</t>
  </si>
  <si>
    <t>BARREDORA</t>
  </si>
  <si>
    <t>BROCE</t>
  </si>
  <si>
    <t>RJ350</t>
  </si>
  <si>
    <t>LAYMOR</t>
  </si>
  <si>
    <t>SM400</t>
  </si>
  <si>
    <t>SUPERIOR BROOM</t>
  </si>
  <si>
    <t>DT80J</t>
  </si>
  <si>
    <t>DOBLE RODILLO/VIBROCOMPACTADOR DE RODILLOS</t>
  </si>
  <si>
    <t>HAMM</t>
  </si>
  <si>
    <t>120HD VV</t>
  </si>
  <si>
    <t>H1840093</t>
  </si>
  <si>
    <t xml:space="preserve">140HD </t>
  </si>
  <si>
    <t>H1840234</t>
  </si>
  <si>
    <t>TANDEM DOBLE RODILLO / VIBROCOMPACTOR RODILLO</t>
  </si>
  <si>
    <t>CAT</t>
  </si>
  <si>
    <t>CB54</t>
  </si>
  <si>
    <t>CAT0CB54PJLM00895</t>
  </si>
  <si>
    <t>VIBROCOMPACTADOR</t>
  </si>
  <si>
    <t>CATERPILLAR</t>
  </si>
  <si>
    <t>CB66B</t>
  </si>
  <si>
    <t>CATCB66BVB6600136</t>
  </si>
  <si>
    <t>NEUMATICO / COMPACTADOR DE NEUMATICOS</t>
  </si>
  <si>
    <t>DINAPAC</t>
  </si>
  <si>
    <t>CP271</t>
  </si>
  <si>
    <t>NEUMATICO</t>
  </si>
  <si>
    <t>VOLVO</t>
  </si>
  <si>
    <t>PT-240R</t>
  </si>
  <si>
    <t>VCE0T240A0S325028</t>
  </si>
  <si>
    <t xml:space="preserve">COMPRESOR </t>
  </si>
  <si>
    <t>SULLIVAN PALATEK</t>
  </si>
  <si>
    <t>D2010</t>
  </si>
  <si>
    <t>PHD25B330551</t>
  </si>
  <si>
    <t>PHD25B330552</t>
  </si>
  <si>
    <t>420DN</t>
  </si>
  <si>
    <t>CAT0420DTFDP27091</t>
  </si>
  <si>
    <t>BROCE BROOM</t>
  </si>
  <si>
    <t>KR350</t>
  </si>
  <si>
    <t>310SK</t>
  </si>
  <si>
    <t>1T0310SKAEE262172</t>
  </si>
  <si>
    <t xml:space="preserve">DOBLE RODILLO  </t>
  </si>
  <si>
    <t>INGERSOLL RAND</t>
  </si>
  <si>
    <t>DD-108HF</t>
  </si>
  <si>
    <t>TRASFER BUGGI</t>
  </si>
  <si>
    <t>CB-2500B 538</t>
  </si>
  <si>
    <t>IMPACTO</t>
  </si>
  <si>
    <t>FORD</t>
  </si>
  <si>
    <t>1HTMMAAL2DH158631</t>
  </si>
  <si>
    <t>km/L</t>
  </si>
  <si>
    <t>F800</t>
  </si>
  <si>
    <t>1FDNF80C7WVA19892</t>
  </si>
  <si>
    <t>PETROLIZADORA (IMPACTO 04)</t>
  </si>
  <si>
    <t>1FDNF80C2WVA22179</t>
  </si>
  <si>
    <t xml:space="preserve">PETROLIZADORA   </t>
  </si>
  <si>
    <t>INTERNATIONAL</t>
  </si>
  <si>
    <t>3HTMMAAR830567</t>
  </si>
  <si>
    <t>PIPA DE AGUA (IMPACTO 01)</t>
  </si>
  <si>
    <t>1FDYR80U0GVA15942</t>
  </si>
  <si>
    <t>DOBLE RODILLO</t>
  </si>
  <si>
    <t>RAD ROLLER</t>
  </si>
  <si>
    <t>FILY-325 PRO</t>
  </si>
  <si>
    <t>LD600JN2026012501</t>
  </si>
  <si>
    <t>CALDERA TECNO</t>
  </si>
  <si>
    <t>CT-01</t>
  </si>
  <si>
    <t>CALDERA TRIASO</t>
  </si>
  <si>
    <t>CTR-01</t>
  </si>
  <si>
    <t>RENDIMIENTO POR OBRA (TODAS LAS OBRAS)</t>
  </si>
  <si>
    <t>Total Lts (Semana Dashboard)</t>
  </si>
  <si>
    <t>Solicitado</t>
  </si>
  <si>
    <t>Autorizado</t>
  </si>
  <si>
    <t>Total Semanal Solicitado</t>
  </si>
  <si>
    <t>Total Seamanal Autorizado</t>
  </si>
  <si>
    <t>m</t>
  </si>
  <si>
    <t>p</t>
  </si>
  <si>
    <t>h</t>
  </si>
  <si>
    <t>Total Lts (Conciliacion)</t>
  </si>
  <si>
    <t>ASIGNACIÓN DE MAQUINARIA A OBRAS Y OPERADORES</t>
  </si>
  <si>
    <t>No. Económico</t>
  </si>
  <si>
    <t>Obra Asignada</t>
  </si>
  <si>
    <t>Operador Asignado</t>
  </si>
  <si>
    <t>PAVIMENTADORA  VOGELE 1800-3 i</t>
  </si>
  <si>
    <t>Gerardo Ezequiel Piña Fernández</t>
  </si>
  <si>
    <t>PAVIMENTADORA  VOGELE 1800-2 SJ</t>
  </si>
  <si>
    <t>PAVIMENTADORA  VOGELE SJ 1800-3</t>
  </si>
  <si>
    <t>Jose de Jesus Eusebio Martinez</t>
  </si>
  <si>
    <t>Alan Alexis Gutierrez Flores</t>
  </si>
  <si>
    <t>Edgar Rosales Martinez</t>
  </si>
  <si>
    <t>Fernando Angeles Reyes</t>
  </si>
  <si>
    <t>POR ASIGNAR</t>
  </si>
  <si>
    <t>Julián Piña Hernández</t>
  </si>
  <si>
    <t>Jose Manuel Reyes Flores</t>
  </si>
  <si>
    <t>Marco Antonio Estrada Arellano</t>
  </si>
  <si>
    <t>Luis Fernando Mendiola Vivero</t>
  </si>
  <si>
    <t>COMPRESOR  SULLIVAN PALATEK D2010</t>
  </si>
  <si>
    <t>Eduardo Guadarrama Garcia</t>
  </si>
  <si>
    <t>Adolfo Nava Lopez</t>
  </si>
  <si>
    <t>DOBLE RODILLO   INGERSOLL RAND DD-108HF</t>
  </si>
  <si>
    <t>Marco Antonio Millan Centeno</t>
  </si>
  <si>
    <t>PETROLIZADORA    INTERNATIONAL</t>
  </si>
  <si>
    <t>Francisco Gomora Angeles / Elthon Eduardo</t>
  </si>
  <si>
    <t>S/N (WIRGENT)</t>
  </si>
  <si>
    <t>PERFILADORA WIRGENT-W200i</t>
  </si>
  <si>
    <t>Alejandro de Jesus Fuentes Tapia</t>
  </si>
  <si>
    <t>S/N (IR185)</t>
  </si>
  <si>
    <t>COMPRESOR INGERSOLL RAND IR185</t>
  </si>
  <si>
    <t>Jose Carlos Romero Tellez</t>
  </si>
  <si>
    <t>REGISTRO TRANSACCIONAL DE HORAS DE TRABAJO (MAQUINARIA)</t>
  </si>
  <si>
    <t>ID Reporte / Semana</t>
  </si>
  <si>
    <t>Fecha (DD/MM/AAAA)</t>
  </si>
  <si>
    <t>Maquinaria (Destino)</t>
  </si>
  <si>
    <t>Operador</t>
  </si>
  <si>
    <t>Horas Trabajadas</t>
  </si>
  <si>
    <t>Actividad Principal</t>
  </si>
  <si>
    <t>PETROLIZADORA NUEVA AMARRILLA NO TENIA DIESEL, EL CARGO CORRE A MAQUINARIA</t>
  </si>
  <si>
    <t>*</t>
  </si>
  <si>
    <t>Maquinaria Pegaso</t>
  </si>
  <si>
    <t>Obra (Para Folio)</t>
  </si>
  <si>
    <t>Iniciales</t>
  </si>
  <si>
    <t>LT</t>
  </si>
  <si>
    <t>NA</t>
  </si>
  <si>
    <t>DR</t>
  </si>
  <si>
    <t>JA</t>
  </si>
  <si>
    <t>MP</t>
  </si>
  <si>
    <t>Semana (Helper)</t>
  </si>
  <si>
    <t>Rendimiento Esperado (Lts)</t>
  </si>
  <si>
    <t>Folio Ticket (Auto)</t>
  </si>
  <si>
    <t>AUDITORÍA DE CONCILIACIÓN (CRUCE TRANSACCIONAL)</t>
  </si>
  <si>
    <t>Máquina / Destino</t>
  </si>
  <si>
    <t>Diferencia Lts</t>
  </si>
  <si>
    <t>Estatus</t>
  </si>
  <si>
    <t>Origen</t>
  </si>
  <si>
    <t>Folio Suministro (Pipa)</t>
  </si>
  <si>
    <t>Folio Recepción (Obra)</t>
  </si>
  <si>
    <t>Lts Entregados</t>
  </si>
  <si>
    <t>Lts Recibidos</t>
  </si>
  <si>
    <t>CONCILIACIÓN FINANCIERA - FACTURAS GASOLINERA MOBIL (CASTILLA)</t>
  </si>
  <si>
    <t>Derivados de Petróleo Castilla S.A. de C.V. | RFC: DPC180725R47 | Tel: 5552441117</t>
  </si>
  <si>
    <t>No. Factura</t>
  </si>
  <si>
    <t>Fecha Suministro</t>
  </si>
  <si>
    <t>Cliente No.</t>
  </si>
  <si>
    <t>Obra / Destino</t>
  </si>
  <si>
    <t>Lts Facturados</t>
  </si>
  <si>
    <t>Precio Unitario ($/L)</t>
  </si>
  <si>
    <t>Monto Factura ($)</t>
  </si>
  <si>
    <t>Lts Reales (Registros Obra)</t>
  </si>
  <si>
    <t>% Eficiencia</t>
  </si>
  <si>
    <t>Costo Real ($/L Obra)</t>
  </si>
  <si>
    <t>Estatus Conciliación</t>
  </si>
  <si>
    <t>Notas / Destino Factura</t>
  </si>
  <si>
    <t>A-10128</t>
  </si>
  <si>
    <t>A-10088</t>
  </si>
  <si>
    <t>A-10090</t>
  </si>
  <si>
    <t>A-10148</t>
  </si>
  <si>
    <t>SUMINISTRO DE 660 LTS MEXICO TOLUCA MARIMBA</t>
  </si>
  <si>
    <t>A-10166</t>
  </si>
  <si>
    <t>Sin nota</t>
  </si>
  <si>
    <t>A-10167</t>
  </si>
  <si>
    <t>A-10168</t>
  </si>
  <si>
    <t>A-10172</t>
  </si>
  <si>
    <t>A-10198</t>
  </si>
  <si>
    <t>SUMINISTRO DE 550 LTS MEXICO TOLUCA 24/06/2026</t>
  </si>
  <si>
    <t>A-10211</t>
  </si>
  <si>
    <t>SUMINISTRO DE 550 LTS MEXICO TOLUCA 25/06/2026</t>
  </si>
  <si>
    <t>A-10213</t>
  </si>
  <si>
    <t>SUMINISTRO 24/06/2026 MEX-TOLUCA UTILITARIO NZT266B SAMUEL ORTEGA</t>
  </si>
  <si>
    <t>A-10214</t>
  </si>
  <si>
    <t>SUMINISTRO 24/06/2026</t>
  </si>
  <si>
    <t>A-10216</t>
  </si>
  <si>
    <t>SUMINISTRO DE 400 LTS PLANTA ASFALTO HUIXQUILUCAN 25/06/2026</t>
  </si>
  <si>
    <t>A-10217</t>
  </si>
  <si>
    <t>SUMINISTRO $1500 GASOLINA PLANTA ASFALTO HUIXQUI UNIDAD PCU7482 (GASOLINA)</t>
  </si>
  <si>
    <t>A-10225</t>
  </si>
  <si>
    <t>A-10226</t>
  </si>
  <si>
    <t>SUMINISTRO DE 480 LTS MEXICO TOLUCA 26/06/2026 MARIMBA</t>
  </si>
  <si>
    <t>ESTADOS DE CUENTA - GASOLINERA MOBIL (Derivados de Petróleo Castilla)</t>
  </si>
  <si>
    <t>Semana</t>
  </si>
  <si>
    <t>Obra / Centro de Trabajo</t>
  </si>
  <si>
    <t>Monto Estado Cta ($)</t>
  </si>
  <si>
    <t>Monto en CFDI ($)</t>
  </si>
  <si>
    <t>Diferencia EDO-CFDI ($)</t>
  </si>
  <si>
    <t>Lts en CFDI</t>
  </si>
  <si>
    <t>Costo ($/L) CFDI</t>
  </si>
  <si>
    <t>A-9890</t>
  </si>
  <si>
    <t>A-9904</t>
  </si>
  <si>
    <t>A-9915</t>
  </si>
  <si>
    <t>A-9962</t>
  </si>
  <si>
    <t>A-10034</t>
  </si>
  <si>
    <t>A-10052</t>
  </si>
  <si>
    <t>A-10058</t>
  </si>
  <si>
    <t>A-10078</t>
  </si>
  <si>
    <t>A-10087</t>
  </si>
  <si>
    <t>A-10108</t>
  </si>
  <si>
    <t>A-9772</t>
  </si>
  <si>
    <t>Colegio Militar</t>
  </si>
  <si>
    <t>A-9917</t>
  </si>
  <si>
    <t>A-9965</t>
  </si>
  <si>
    <t>A-9984</t>
  </si>
  <si>
    <t>A-10016</t>
  </si>
  <si>
    <t>A-10020</t>
  </si>
  <si>
    <t>A-10053</t>
  </si>
  <si>
    <t>A-10072</t>
  </si>
  <si>
    <t>A-10091</t>
  </si>
  <si>
    <t>A-23783082</t>
  </si>
  <si>
    <t>A-9964</t>
  </si>
  <si>
    <t>A-9606</t>
  </si>
  <si>
    <t>A-9618</t>
  </si>
  <si>
    <t>A-9658</t>
  </si>
  <si>
    <t>A-9646</t>
  </si>
  <si>
    <t>A-23783037</t>
  </si>
  <si>
    <t>A-9773</t>
  </si>
  <si>
    <t>A-23873042</t>
  </si>
  <si>
    <t>A-9888</t>
  </si>
  <si>
    <t>A-9901</t>
  </si>
  <si>
    <t>A-9930</t>
  </si>
  <si>
    <t>A-9987</t>
  </si>
  <si>
    <t>$ Estado Cuenta</t>
  </si>
  <si>
    <t>$ Facturas CFDI</t>
  </si>
  <si>
    <t>Diferencia ($)</t>
  </si>
  <si>
    <t>Litros CFDI</t>
  </si>
  <si>
    <t>Costo Prom $/L</t>
  </si>
  <si>
    <t>Cruce: Estado de Cuenta → Facturas CFDI → Consumo en Obra  |  Semanas: Lunes a Domingo</t>
  </si>
  <si>
    <t>Semana (Lun-Dom)</t>
  </si>
  <si>
    <t>RESUMEN POR SEMANA (Lunes a Domingo)</t>
  </si>
  <si>
    <t>Lts Obra Reales</t>
  </si>
  <si>
    <t>Balance Financiero ($)</t>
  </si>
  <si>
    <t>GC-GAS-003 | CONTROL DE GASOLINA - VEHÍCULOS Y EQUIPOS MENORES</t>
  </si>
  <si>
    <t>#</t>
  </si>
  <si>
    <t>Responsable</t>
  </si>
  <si>
    <t>Unidad / Vehículo</t>
  </si>
  <si>
    <t>Placas</t>
  </si>
  <si>
    <t>$ Autorizado Semanal</t>
  </si>
  <si>
    <t>Gasolinera Asignada</t>
  </si>
  <si>
    <t>ING.ARMANDO COLIN</t>
  </si>
  <si>
    <t>CHEVROLET S10</t>
  </si>
  <si>
    <t>PAT-8298</t>
  </si>
  <si>
    <t>LEVET</t>
  </si>
  <si>
    <t>ING.ARMANDO COLIN -EQUIPO MENOR</t>
  </si>
  <si>
    <t>CORTADORA/PR8</t>
  </si>
  <si>
    <t>ING.ANTONIO IBAÑEZ</t>
  </si>
  <si>
    <t>RAM 1200 DODGE</t>
  </si>
  <si>
    <t>LHB-188-D</t>
  </si>
  <si>
    <t>MECANICO ALBERTO HERNANDEZ DE JESUS</t>
  </si>
  <si>
    <t>MECANICO JUAN CARLOS NAZAR</t>
  </si>
  <si>
    <t>PICK UP DODGE</t>
  </si>
  <si>
    <t>PCW-9238</t>
  </si>
  <si>
    <t>MECANICO EDGAR VELAZQUEZ ESQUIVEL</t>
  </si>
  <si>
    <t>RAM-700</t>
  </si>
  <si>
    <t>PCW-9391</t>
  </si>
  <si>
    <t>ING.DIEGO CARREOLA</t>
  </si>
  <si>
    <t>L200</t>
  </si>
  <si>
    <t>NYC-829-C</t>
  </si>
  <si>
    <t>ING.DIEGO CARREOLA -EQUIPOS MENORES</t>
  </si>
  <si>
    <t>Equipos Menores</t>
  </si>
  <si>
    <t>—</t>
  </si>
  <si>
    <t>ING JAVIER PÉREZ DÍAZ</t>
  </si>
  <si>
    <t>MHL-758-A</t>
  </si>
  <si>
    <t>MOBIL HUIXQUILUCAN</t>
  </si>
  <si>
    <t>ALEXIS RENDÓN DOMÍNGUEZ</t>
  </si>
  <si>
    <t>URBAN TOYOTA</t>
  </si>
  <si>
    <t>PBT-1230</t>
  </si>
  <si>
    <t>CRISTIAN REYES GOMORA</t>
  </si>
  <si>
    <t>DODGE RAM 3 1/2</t>
  </si>
  <si>
    <t>LH-4973</t>
  </si>
  <si>
    <t>ING.APOLINAR REYES BOLAINA</t>
  </si>
  <si>
    <t>NYZ-971-C</t>
  </si>
  <si>
    <t>LEONCIO MARTINEZ PASCACIO</t>
  </si>
  <si>
    <t>NYZ-790-C</t>
  </si>
  <si>
    <t>CARMELO ALVAREZ</t>
  </si>
  <si>
    <t>LH-4974-6</t>
  </si>
  <si>
    <t>DIEGO FERNANDEZ SANTIAGO</t>
  </si>
  <si>
    <t>CAMIONETA URBAN</t>
  </si>
  <si>
    <t>TB-T1-229</t>
  </si>
  <si>
    <t>CORTADORA DE CONCRETO</t>
  </si>
  <si>
    <t>MOTOR AUX PETROLIZADORA</t>
  </si>
  <si>
    <t>MOTOR AUX PIPA DE AGUA</t>
  </si>
  <si>
    <t>LUIS VALDEZ</t>
  </si>
  <si>
    <t>PCU-7482</t>
  </si>
  <si>
    <t>LUIS VALDEZ -EQUIPO MENOR</t>
  </si>
  <si>
    <t>GENERADOR DE LUZ LAB</t>
  </si>
  <si>
    <t>CLEMENTE SANABRIA</t>
  </si>
  <si>
    <t>RAM L200</t>
  </si>
  <si>
    <t>LHB-184-D</t>
  </si>
  <si>
    <t>Transportes Flotilla</t>
  </si>
  <si>
    <t>BRAYAN CHAVEZ</t>
  </si>
  <si>
    <t>TORNADO</t>
  </si>
  <si>
    <t>NUZ-948-C</t>
  </si>
  <si>
    <t>BRAYAN CHAVEZ -MOTORES LOWBOY</t>
  </si>
  <si>
    <t>Motor Lowboy 1</t>
  </si>
  <si>
    <t>Motor Lowboy 2</t>
  </si>
  <si>
    <t>ING.ROBERTO ORTEGA</t>
  </si>
  <si>
    <t>MNX-601-B</t>
  </si>
  <si>
    <t>San Pedro Totoltepec</t>
  </si>
  <si>
    <t>ING.ROBERTO ORTEGA EQUIPOS MENORES</t>
  </si>
  <si>
    <t>ARQ. SAMUEL ORTEGA</t>
  </si>
  <si>
    <t>NZT-266-B</t>
  </si>
  <si>
    <t>GT + Trituradora Roca Dura | Autorización Semanal vs Carga Real | Gasolineras: LEVET / MOBIL HUIXQUILUCAN / TARJETA SÍVALE</t>
  </si>
  <si>
    <t>1. CATÁLOGO DE VEHÍCULOS AUTORIZADOS (Semana Base)</t>
  </si>
  <si>
    <t>Grupo</t>
  </si>
  <si>
    <t>No. UT</t>
  </si>
  <si>
    <t>Centro de Trabajo</t>
  </si>
  <si>
    <t>Notas</t>
  </si>
  <si>
    <t>GRUPO TRUJANO (GT)</t>
  </si>
  <si>
    <t>GT</t>
  </si>
  <si>
    <t>Maquinaria (Gral)</t>
  </si>
  <si>
    <t>NXP-3814</t>
  </si>
  <si>
    <t>22/06 cargó en MOBIL HUIX (discrepancia gasolinera)</t>
  </si>
  <si>
    <t>ING.APOLINAR REYES -EQUIPO MENOR</t>
  </si>
  <si>
    <t>FORD RANGER</t>
  </si>
  <si>
    <t>Subtotal GT</t>
  </si>
  <si>
    <t>MINAS (GT LEVET)</t>
  </si>
  <si>
    <t>MINAS</t>
  </si>
  <si>
    <t>LAZARO PINAL</t>
  </si>
  <si>
    <t>Minas (General)</t>
  </si>
  <si>
    <t>CARLOS REYES</t>
  </si>
  <si>
    <t>FLOR ARANDA</t>
  </si>
  <si>
    <t>JESUS MARIN</t>
  </si>
  <si>
    <t>Subtotal MINAS</t>
  </si>
  <si>
    <t>TRITURADORA ROCA DURA SAN MIGUEL</t>
  </si>
  <si>
    <t>TRITURADORA</t>
  </si>
  <si>
    <t>S/N</t>
  </si>
  <si>
    <t>CARLOS REYES TRUJANO</t>
  </si>
  <si>
    <t>TOYOTA TACOMA</t>
  </si>
  <si>
    <t>33K-849</t>
  </si>
  <si>
    <t>Mina Tabernillas</t>
  </si>
  <si>
    <t>UT-36</t>
  </si>
  <si>
    <t>LAZARO PINAL RIOS</t>
  </si>
  <si>
    <t>MITSUBISHI L200</t>
  </si>
  <si>
    <t>MHL-757-A</t>
  </si>
  <si>
    <t>UT-29</t>
  </si>
  <si>
    <t>ARMANDO LANDIN MORENO</t>
  </si>
  <si>
    <t>MITSUBISHI L200 D/C</t>
  </si>
  <si>
    <t>LHB-180-D</t>
  </si>
  <si>
    <t>UT-13</t>
  </si>
  <si>
    <t>ABNER OSORIO BARTOLO</t>
  </si>
  <si>
    <t>NYZ-828-C</t>
  </si>
  <si>
    <t>Mina Zumpahuacan</t>
  </si>
  <si>
    <t>UT-6</t>
  </si>
  <si>
    <t>ISAAC GONZALEZ GONZALEZ</t>
  </si>
  <si>
    <t>NYZ-839-C</t>
  </si>
  <si>
    <t>UT-15</t>
  </si>
  <si>
    <t>JESUS MARIN GARCIA</t>
  </si>
  <si>
    <t>PCU-8771</t>
  </si>
  <si>
    <t>Mina Cuajomac</t>
  </si>
  <si>
    <t>2. CAPTURA DE CARGAS REALES (Una fila por carga / ticket)</t>
  </si>
  <si>
    <t>Fecha Carga</t>
  </si>
  <si>
    <t>$ Autorizado (Cat.)</t>
  </si>
  <si>
    <t>Remanente ($)</t>
  </si>
  <si>
    <t>Gasolinera Autorizada</t>
  </si>
  <si>
    <t>Diferencia Gasolinera</t>
  </si>
  <si>
    <t>Diferencia $</t>
  </si>
  <si>
    <t>Estatus / Notas</t>
  </si>
  <si>
    <t>❌ MOBIL HUIXQUILUCAN (aut: LEVET)</t>
  </si>
  <si>
    <t>⚠️ Cargó en MOBIL (autorizado: LEVET)</t>
  </si>
  <si>
    <t>✅ Correcta</t>
  </si>
  <si>
    <t>✅ OK</t>
  </si>
  <si>
    <t>⚠️ Consumo &lt; Autorizado ($4000 aut, $1500 cons)</t>
  </si>
  <si>
    <t>⚠️ Consumo &lt; Autorizado ($3000 aut, $1000 cons)</t>
  </si>
  <si>
    <t>3. TABLA AUTORIZACIÓN DIÉSEL HUIXQUILUCAN - SEMANA 26 (22/06/2026)</t>
  </si>
  <si>
    <t>No.</t>
  </si>
  <si>
    <t>Eje Suministro</t>
  </si>
  <si>
    <t>Responsable Transporte</t>
  </si>
  <si>
    <t>Lts Diarios Aut.</t>
  </si>
  <si>
    <t>Total Semanal Aut.</t>
  </si>
  <si>
    <t>Consumo Real</t>
  </si>
  <si>
    <t>Remanente</t>
  </si>
  <si>
    <t>Unidad Marimba</t>
  </si>
  <si>
    <t>Frente México-Toluca</t>
  </si>
  <si>
    <t>Brandan</t>
  </si>
  <si>
    <t>Planta Huixquilucan</t>
  </si>
  <si>
    <t>Planta Asfalto Huixquilucan</t>
  </si>
  <si>
    <t>Jack - PCU7482</t>
  </si>
  <si>
    <t>Planta Pegaso (Centro Distrib.)</t>
  </si>
  <si>
    <t>Camioneta 3½ Ton (LDG-1309)</t>
  </si>
  <si>
    <t>GRAN TOTAL AUTORIZADO</t>
  </si>
  <si>
    <t>NYZ971C</t>
  </si>
  <si>
    <t>APOLINAR REYES</t>
  </si>
  <si>
    <t>LERMA TENANGO</t>
  </si>
  <si>
    <t>NUZ948C</t>
  </si>
  <si>
    <t>BRYAN CHAVEZ</t>
  </si>
  <si>
    <t>TRANSPORTES FLOTILLA</t>
  </si>
  <si>
    <t>PCW9391</t>
  </si>
  <si>
    <t>JUAN CARLOS NAZAR MECANICO</t>
  </si>
  <si>
    <t>MAQUINARIA PEGASSO</t>
  </si>
  <si>
    <t>MNX601B</t>
  </si>
  <si>
    <t>ROBERTO ORTEGA</t>
  </si>
  <si>
    <t>REVOLUCION Y LERDO, SAN PEDRO TOTO</t>
  </si>
  <si>
    <t>PAT8298</t>
  </si>
  <si>
    <t>ARMANDO COLIN</t>
  </si>
  <si>
    <t>BACHEO TOLUCA</t>
  </si>
  <si>
    <t>PCU7482</t>
  </si>
  <si>
    <t>P. ASFALTO HUIX</t>
  </si>
  <si>
    <t>LF05470</t>
  </si>
  <si>
    <t xml:space="preserve">TOMAS </t>
  </si>
  <si>
    <t>BACHEO TOLUCA CALLE VICENTE LOMBARDO</t>
  </si>
  <si>
    <t>TBT1229</t>
  </si>
  <si>
    <t>DIEGO FERNANDEZ</t>
  </si>
  <si>
    <t>LH49746</t>
  </si>
  <si>
    <t>LHB188D</t>
  </si>
  <si>
    <t>JOSE ANTONIO IBAÑEZ</t>
  </si>
  <si>
    <t xml:space="preserve">MAQUINARIA </t>
  </si>
  <si>
    <t>MHL757A</t>
  </si>
  <si>
    <t>MINA TABERNILLAS</t>
  </si>
  <si>
    <t>NYC829C</t>
  </si>
  <si>
    <t>DIEGO CARREOLA</t>
  </si>
  <si>
    <t>33K849</t>
  </si>
  <si>
    <t>CARLOS TRUJANO</t>
  </si>
  <si>
    <t>HG6103D</t>
  </si>
  <si>
    <t>ENRIQUE COLIN</t>
  </si>
  <si>
    <t>JDJ TRANSPORTES</t>
  </si>
  <si>
    <t>MY7968B</t>
  </si>
  <si>
    <t>JORGE GARCIA</t>
  </si>
  <si>
    <t>LD57526</t>
  </si>
  <si>
    <t>ARTURO HDZ</t>
  </si>
  <si>
    <t>NB1258D</t>
  </si>
  <si>
    <t>SANTOS SOTERO</t>
  </si>
  <si>
    <t>NR0950C</t>
  </si>
  <si>
    <t>ALEJANDRO FLORES</t>
  </si>
  <si>
    <t>LH16062</t>
  </si>
  <si>
    <t>JULIO CESAR</t>
  </si>
  <si>
    <t>NYZ790C</t>
  </si>
  <si>
    <t>LEOCIO MTZ</t>
  </si>
  <si>
    <t xml:space="preserve">BIDON </t>
  </si>
  <si>
    <t>TOMAS ARANDA</t>
  </si>
  <si>
    <t>SALDO X PAGAR</t>
  </si>
  <si>
    <t>A-10113</t>
  </si>
  <si>
    <t>A-10111</t>
  </si>
  <si>
    <t>A-10056</t>
  </si>
  <si>
    <t>⚠️ Gasolina mezclada en factura Diesel (PCU7482)</t>
  </si>
  <si>
    <t>Capturado desde Estado de Cuenta - Lts pendientes de PDF</t>
  </si>
  <si>
    <t>DASHBOARD EJECUTIVO - CONTROL DE COMBUSTIBLE GRUPO TRUJANO</t>
  </si>
  <si>
    <t>Semana Analizada →</t>
  </si>
  <si>
    <t>1. CORTE SEMANAL - COBRADO POR GASOLINERÍA vs FACTURADO (CFDI)</t>
  </si>
  <si>
    <t>$ Cobrado (Estado Cta)</t>
  </si>
  <si>
    <t>$ Facturado (CFDI)</t>
  </si>
  <si>
    <t>Lts (Estado Cta)</t>
  </si>
  <si>
    <t>Lts (CFDI)</t>
  </si>
  <si>
    <t>TOTAL</t>
  </si>
  <si>
    <t>Sem 21</t>
  </si>
  <si>
    <t>Sem 22</t>
  </si>
  <si>
    <t>Sem 23</t>
  </si>
  <si>
    <t>Sem 24</t>
  </si>
  <si>
    <t>Sem 25</t>
  </si>
  <si>
    <t>Sem 26</t>
  </si>
  <si>
    <t>3. LITROS FACTURADOS (CFDI) POR OBRA Y SEMANA</t>
  </si>
  <si>
    <t>4. CORTE SEMANAL - COSTO GASOLINERA vs CONSUMO REPORTADO EN OBRA</t>
  </si>
  <si>
    <t>5. RESUMEN HISTÓRICO DE ADEUDOS A GASOLINERÍA (DIÉSEL) - POR SEMANA Y OBRA</t>
  </si>
  <si>
    <t>Lts Facturados (CFDI)</t>
  </si>
  <si>
    <t>Deuda Total ($ CFDI)</t>
  </si>
  <si>
    <t>Lts Reales Obra</t>
  </si>
  <si>
    <t>Costo Real Obra ($)</t>
  </si>
  <si>
    <t>NO DETECTADA</t>
  </si>
  <si>
    <t>6. AUDITORÍA FINANCIERA DIRECTA: COBRO EN BANCO vs CONSUMO DE MAQUINARIA EN OBRA</t>
  </si>
  <si>
    <t>$ Cobrado Gasolinera
(Estado Cta)</t>
  </si>
  <si>
    <t>Precio Dinámico CFDI
($/L)</t>
  </si>
  <si>
    <t>Costo Real Máquinas
($)</t>
  </si>
  <si>
    <t>Diferencia Cobrado vs
Consumido ($)</t>
  </si>
  <si>
    <t>ℹ️ Si la diferencia es muy alta y positiva, usualmente significa que el cobro incluye pipas almacenadas en tanque que la maquinaria aún no quema.</t>
  </si>
  <si>
    <t>Domingo</t>
  </si>
  <si>
    <t>TRACTOR</t>
  </si>
  <si>
    <t>TR-01</t>
  </si>
  <si>
    <t>BALANCE DE INVENTARIO DIARIO (KARDEX) POR ALMACÉN</t>
  </si>
  <si>
    <t>FECHAS</t>
  </si>
  <si>
    <t>TANQUE PEGASO (LTS)</t>
  </si>
  <si>
    <t>MARIMBA M-01 (LTS)</t>
  </si>
  <si>
    <t>Inv. Inicial</t>
  </si>
  <si>
    <t>Entradas (Pipas)</t>
  </si>
  <si>
    <t>Salidas (Obra)</t>
  </si>
  <si>
    <t>Inv. Final</t>
  </si>
  <si>
    <t>Entradas (Gasolinera)</t>
  </si>
  <si>
    <t>sin factura:</t>
  </si>
  <si>
    <t>2. CONSUMO DIÉSEL POR OBRA - COBRADO POR GASOLINERÍA (ESTADO DE CUENTA)</t>
  </si>
  <si>
    <t>$ Cobrado
(Estado Cta)</t>
  </si>
  <si>
    <t>$ Facturado
(CFDI)</t>
  </si>
  <si>
    <t>Diferencia EDO-
CFDI ($)</t>
  </si>
  <si>
    <t>Lts Reportados
Obra</t>
  </si>
  <si>
    <t>Diferencia
Lts</t>
  </si>
  <si>
    <t>Precio ($/L)</t>
  </si>
  <si>
    <t>Consumo
Estimado ($)</t>
  </si>
  <si>
    <t>Balance Final
($)</t>
  </si>
  <si>
    <t>Lts Consumidos
Máquinas (Obra)</t>
  </si>
  <si>
    <t>Diferencia Cobrado
vs Consumido ($)</t>
  </si>
  <si>
    <t>Precio Diésel base (sin factura) →</t>
  </si>
  <si>
    <t>← edita si no hay CFDI esa semana</t>
  </si>
  <si>
    <t>Diferencia
EDO-CFDI ($)</t>
  </si>
  <si>
    <t>ℹ️ "Planta Asfalto Pegaso" agrupa: Planta Asfalto Pegaso, Lerma - Tres Marías, Chamapa-Lechería, Bacheo Toluca, Dragones, Colegio Militar, NO DETECTADA</t>
  </si>
  <si>
    <t>RESUMEN EJECUTIVO DE COMBUSTIBLE PARA DIRECTIVOS</t>
  </si>
  <si>
    <t>Semana Seleccionada:</t>
  </si>
  <si>
    <t>Precio Diésel Manual ($/L):</t>
  </si>
  <si>
    <t>← Edita la semana o el precio para actualizar ambas tablas automáticamente</t>
  </si>
  <si>
    <t>Estatus de Control</t>
  </si>
  <si>
    <t>Transportes Pegaso</t>
  </si>
  <si>
    <t>Reclasificado: Era "Tanque Maquinaria Pegaso". Corresponde a Transportes Pegaso.</t>
  </si>
  <si>
    <t>Reclasificado: Era "Planta Asfalto Pegaso". Corresponde a Transportes Pegaso.</t>
  </si>
  <si>
    <t>Reclasificado: Planta Asfalto Pegaso → Maquinaria Pegaso</t>
  </si>
  <si>
    <t>ℹ️ "Maquinaria Pegaso" agrupa: Maquinaria Pegaso, Lerma - Tres Marías, Chamapa-Lechería, Bacheo Toluca, Dragones, Colegio Militar, NO DETECTADA</t>
  </si>
  <si>
    <t>TABLA 3: HISTÓRICO DE CONTROL DE VALES Y GASOLINA (OBRA JALISCO)</t>
  </si>
  <si>
    <t>Lts de Diésel Acum.</t>
  </si>
  <si>
    <t>TABLA 4: AUDITORÍA DE INVENTARIO Y VACIADO DEL TANQUE PEGASO</t>
  </si>
  <si>
    <t>Inventario Inicial (Lts)</t>
  </si>
  <si>
    <t>Entradas / Pipas (Lts CFDI)</t>
  </si>
  <si>
    <t>Salidas / Consumos (Lts Obra)</t>
  </si>
  <si>
    <t>Inventario Final (Lts)</t>
  </si>
  <si>
    <t>Estatus del Tanque</t>
  </si>
  <si>
    <t>Semana 25</t>
  </si>
  <si>
    <t>Semana 26</t>
  </si>
  <si>
    <t>Semana 27</t>
  </si>
  <si>
    <t>Semana 21</t>
  </si>
  <si>
    <t>Semana 22</t>
  </si>
  <si>
    <t>Semana 23</t>
  </si>
  <si>
    <t>Semana 24</t>
  </si>
  <si>
    <t>TOTAL FACTURADO</t>
  </si>
  <si>
    <t>TABLA 5: MONTO TOTAL DE FACTURAS (CFDI) POR OBRA Y SEMANA ($)</t>
  </si>
  <si>
    <t>TABLA 2: ANÁLISIS DE COSTOS FINANCIEROS Y BALANCE (CFDI VS OBRA)</t>
  </si>
  <si>
    <t>GENERADOR AMMANN</t>
  </si>
  <si>
    <t>GA-01</t>
  </si>
  <si>
    <t>AUTOTANQUE(QUEMADOR)</t>
  </si>
  <si>
    <t>ATQ-01</t>
  </si>
  <si>
    <t>TABLA 1: CONTROL DE VOLUMEN Y EFICIENCIA OPERATIVA (CON INVENTARIO INICIAL)</t>
  </si>
  <si>
    <t>Inventario Inicial
(Lts Reserva)</t>
  </si>
  <si>
    <t>Lts Facturados
(CFDI)</t>
  </si>
  <si>
    <t>Lts Consumidos
(Bitácora Obra)</t>
  </si>
  <si>
    <t>Diferencia Semanal
(Lts)</t>
  </si>
  <si>
    <t>Inventario Final
(Lts Remanente)</t>
  </si>
  <si>
    <t>Eficiencia de
Conciliación (%)</t>
  </si>
  <si>
    <t>Horas Trabajadas
(Maquinaria)</t>
  </si>
  <si>
    <t>Rendimiento Real
(Lts/Hora)</t>
  </si>
  <si>
    <t>Monto Facturado
(CFDI)</t>
  </si>
  <si>
    <t>Costo Real Consumido
(Precio Manual)</t>
  </si>
  <si>
    <t>Diferencia
(CFDI vs Obra)</t>
  </si>
  <si>
    <t>ING. DIEGO CARREOLA MONROY</t>
  </si>
  <si>
    <t>SE CONSIDERA OPCIONAL ESTA CARGA, DEPENDEMOS DE INDICACIONES DE DIRECCION PARA TRABAJOS EL DIA DOMINGO 5 DE JULIO 2026</t>
  </si>
  <si>
    <t>MOTOCONFORMADORA CAT 120H</t>
  </si>
  <si>
    <t>GENERADOR PLANTA AMMANN</t>
  </si>
  <si>
    <t>TORRE DE LUZ MAXILIGHT</t>
  </si>
  <si>
    <t>CALDERA</t>
  </si>
  <si>
    <t>CARGADOR CASE 821 F</t>
  </si>
  <si>
    <t>CRIBA RAP</t>
  </si>
  <si>
    <t>ING. FCO. JAVIER PEREZ DIAZ</t>
  </si>
  <si>
    <t>100 LITROS PARA LIMPIEZA TREN DE RIEGO</t>
  </si>
  <si>
    <t>TABLA 5: ANÁLISIS ESTADÍSTICO DE CONSUMOS (SOLICITADO VS AUTORIZADO VS REAL)</t>
  </si>
  <si>
    <t>Lts Autorizados</t>
  </si>
  <si>
    <t>Lts Reales</t>
  </si>
  <si>
    <t>Desv. Estándar (σ) Real</t>
  </si>
  <si>
    <t>Varianza % (Sol vs Real)</t>
  </si>
  <si>
    <t>Varianza % (Aut vs Real)</t>
  </si>
  <si>
    <t>Prom. Diario Solicitado (μ)</t>
  </si>
  <si>
    <t>Prom. Diario Autorizado (μ)</t>
  </si>
  <si>
    <t>Prom. Diario Real (μ)</t>
  </si>
  <si>
    <t>Providencia</t>
  </si>
  <si>
    <t>Samuel</t>
  </si>
  <si>
    <t>NEUMATICO VOLVO PT-125R</t>
  </si>
  <si>
    <t>NV-02</t>
  </si>
  <si>
    <t>CAMION DE SELLO</t>
  </si>
  <si>
    <t>CS-01</t>
  </si>
  <si>
    <t>ID_TICKET</t>
  </si>
  <si>
    <t>SEMANA</t>
  </si>
  <si>
    <t>FECHA</t>
  </si>
  <si>
    <t>OBRA</t>
  </si>
  <si>
    <t>TIPO_REGISTRO</t>
  </si>
  <si>
    <t>EQUIPO_CONCEPTO</t>
  </si>
  <si>
    <t>LITROS</t>
  </si>
  <si>
    <t>PRECIO_UNITARIO</t>
  </si>
  <si>
    <t>COSTO_TOTAL</t>
  </si>
  <si>
    <t>CATEGORIA</t>
  </si>
  <si>
    <t>OBSERVACIONES</t>
  </si>
  <si>
    <t>1. Solicitud</t>
  </si>
  <si>
    <t>DIESEL</t>
  </si>
  <si>
    <t>2. Consumo Real</t>
  </si>
  <si>
    <t>(Captura_Marimba_M01) Neuomatico</t>
  </si>
  <si>
    <t>(Captura_Marimba_M01) Compactador</t>
  </si>
  <si>
    <t>(Captura_Marimba_M01) Perfiladora</t>
  </si>
  <si>
    <t>(Captura_Marimba_M01) Retroexcavadora</t>
  </si>
  <si>
    <t>(Captura_Marimba_M01) Vogel</t>
  </si>
  <si>
    <t>(Captura_Marimba_M01) Perfiladora Wirgent</t>
  </si>
  <si>
    <t>(Captura_Marimba_M01) Maxilihgs</t>
  </si>
  <si>
    <t>(Captura_Marimba_M01) Neuomatico Dynapac</t>
  </si>
  <si>
    <t>(Captura_Marimba_M01) Compresor</t>
  </si>
  <si>
    <t>(Captura_Marimba_M01) Retroexcavadora Jonh Deere</t>
  </si>
  <si>
    <t>(Captura_Marimba_M01) Vogele Guion</t>
  </si>
  <si>
    <t>(Captura_Marimba_M01) Petrolizadora Elton</t>
  </si>
  <si>
    <t>(Captura_Marimba_M01) Barredora Broce</t>
  </si>
  <si>
    <t>(Captura_Marimba_M01) Buggy Trasnfer</t>
  </si>
  <si>
    <t>(Captura_Marimba_M01) Tandem Hamm</t>
  </si>
  <si>
    <t>(Captura_Marimba_M01) Barredora</t>
  </si>
  <si>
    <t>(Captura_Marimba_M01) PERFILADORA WIRGENT-W200i</t>
  </si>
  <si>
    <t>(Captura_Marimba_M01) RETROEXCAVADORA JHONDEREE 310SK</t>
  </si>
  <si>
    <t>(Captura_Marimba_M01) TANDEM DOBLE RODILLO / VIBROCOMPACTOR RODILLO CAT CB54</t>
  </si>
  <si>
    <t>(Captura_Marimba_M01) NEUMATICO VOLVO PT-240R</t>
  </si>
  <si>
    <t>(Captura_Marimba_M01) PAVIMENTADORA  VOGELE SJ 1800-3</t>
  </si>
  <si>
    <t>(Captura_Marimba_M01) PETROLIZADORA    INTERNATIONAL</t>
  </si>
  <si>
    <t>(Captura_Marimba_M01) BARREDORA BROCE RJ350</t>
  </si>
  <si>
    <t>(Captura_Jalisco) Motoconformadora Rentada</t>
  </si>
  <si>
    <t>(Captura_Jalisco) Motoconformadora</t>
  </si>
  <si>
    <t>(Captura_Jalisco) Retroexcavadora</t>
  </si>
  <si>
    <t>(Captura_Jalisco) Vibro Compactador</t>
  </si>
  <si>
    <t>(Captura_Jalisco) Pipa</t>
  </si>
  <si>
    <t>(Captura_Jalisco) Excavadora</t>
  </si>
  <si>
    <t>(Captura_Jalisco) EXCAVADORA</t>
  </si>
  <si>
    <t>(Captura_Jalisco) RETROEXCAVADORA CASE 580 N</t>
  </si>
  <si>
    <t>(Captura_Jalisco) TRACTOR</t>
  </si>
  <si>
    <t>(Captura_Jalisco) MOTOCONFORMADORA RENTADA</t>
  </si>
  <si>
    <t>4. Facturas</t>
  </si>
  <si>
    <t>Factura: A-10128</t>
  </si>
  <si>
    <t>Facturacion</t>
  </si>
  <si>
    <t>Factura: A-10053</t>
  </si>
  <si>
    <t>Factura: A-10056</t>
  </si>
  <si>
    <t>Factura: A-10148</t>
  </si>
  <si>
    <t>Factura: A-10166</t>
  </si>
  <si>
    <t>Factura: A-10167</t>
  </si>
  <si>
    <t>Factura: A-10168</t>
  </si>
  <si>
    <t>Factura: A-10172</t>
  </si>
  <si>
    <t>Factura: A-10198</t>
  </si>
  <si>
    <t>Factura: A-10211</t>
  </si>
  <si>
    <t>Factura: A-10213</t>
  </si>
  <si>
    <t>Factura: A-10214</t>
  </si>
  <si>
    <t>Factura: A-10216</t>
  </si>
  <si>
    <t>Factura: A-10225</t>
  </si>
  <si>
    <t>Factura: A-10226</t>
  </si>
  <si>
    <t>Factura: A-10058</t>
  </si>
  <si>
    <t>Factura: A-10072</t>
  </si>
  <si>
    <t>Factura: A-10088</t>
  </si>
  <si>
    <t>Factura: A-10087</t>
  </si>
  <si>
    <t>Factura: A-10078</t>
  </si>
  <si>
    <t>Factura: A-10108</t>
  </si>
  <si>
    <t>Factura: A-23783082</t>
  </si>
  <si>
    <t>Factura: A-10052</t>
  </si>
  <si>
    <t>Factura: A-10090</t>
  </si>
  <si>
    <t>Factura: A-10091</t>
  </si>
  <si>
    <t>Factura: A-10113</t>
  </si>
  <si>
    <t>Factura: A-10111</t>
  </si>
  <si>
    <t>TABLAS DINAMICAS DE OPERACION (VOLUMEN)</t>
  </si>
  <si>
    <t>Etiquetas de fila</t>
  </si>
  <si>
    <t>Total general</t>
  </si>
  <si>
    <t>Etiquetas de columna</t>
  </si>
  <si>
    <t>Cuenta de Lts Operativos</t>
  </si>
  <si>
    <t>TABLAS DINAMICAS DE COSTOS Y FINANZAS</t>
  </si>
  <si>
    <t>Cuenta de Costo Total</t>
  </si>
  <si>
    <t>Total Cuenta de Costo Total</t>
  </si>
  <si>
    <t>Total Cuenta de Litros</t>
  </si>
  <si>
    <t>Cuenta de 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</si>
</sst>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"/>
    <numFmt numFmtId="165" formatCode="&quot;$&quot;#,##0.00"/>
    <numFmt numFmtId="166" formatCode="yyyy\-mm\-dd"/>
    <numFmt numFmtId="167" formatCode="0.0%"/>
    <numFmt numFmtId="168" formatCode="&quot;$&quot;#,##0.0000"/>
    <numFmt numFmtId="169" formatCode="#,##0.000"/>
    <numFmt numFmtId="170" formatCode="#,##0.0"/>
    <numFmt numFmtId="171" formatCode="dd/mm/\y\y\y\y"/>
  </numFmts>
  <fonts count="18015">
    <font>
      <sz val="11"/>
      <name val="Carlito"/>
    </font>
    <font>
      <sz val="11"/>
      <color theme="1"/>
      <name val="Aptos Narrow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4"/>
      <color rgb="FFFFFFFF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4"/>
      <name val="Segoe UI"/>
      <family val="2"/>
    </font>
    <font>
      <b/>
      <sz val="9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0"/>
      <color theme="1"/>
      <name val="Segoe UI"/>
      <family val="2"/>
    </font>
    <font>
      <b/>
      <sz val="11"/>
      <color theme="1"/>
      <name val="Aptos Narrow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color rgb="FFFF66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i/>
      <sz val="11"/>
      <color rgb="FFFF6600"/>
      <name val="Carlito"/>
    </font>
    <font>
      <b/>
      <sz val="12"/>
      <color rgb="FFFFFFFF"/>
      <name val="Carlito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color rgb="FFFFFFFF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b/>
      <sz val="11"/>
      <color rgb="FFFFFFFF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sz val="11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name val="Carlito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name val="Carlito"/>
    </font>
    <font>
      <b/>
      <sz val="11"/>
      <name val="Carlito"/>
    </font>
    <font>
      <i/>
      <sz val="11"/>
      <color rgb="FFFF6600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4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i/>
      <sz val="11"/>
      <color rgb="FFFF66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i/>
      <sz val="11"/>
      <color rgb="FFFF6600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name val="Carlito"/>
    </font>
    <font>
      <b/>
      <sz val="11"/>
      <name val="Carlito"/>
    </font>
    <font>
      <b/>
      <sz val="11"/>
      <name val="Carlito"/>
    </font>
    <font>
      <i/>
      <sz val="9"/>
      <color rgb="FF595959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theme="0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color rgb="FFFFFFFF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</fonts>
  <fills count="1802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solid">
        <fgColor rgb="FF20376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none">
        <fgColor auto="1"/>
        <bgColor auto="1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497D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497D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F6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660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797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05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vertical="center" wrapText="1"/>
    </xf>
    <xf numFmtId="2" fontId="0" fillId="0" borderId="0" xfId="0" applyNumberFormat="1"/>
    <xf numFmtId="0" fontId="4" fillId="3" borderId="1" xfId="0" applyFont="1" applyFill="1" applyBorder="1"/>
    <xf numFmtId="0" fontId="5" fillId="4" borderId="2" xfId="0" applyFont="1" applyFill="1" applyBorder="1"/>
    <xf numFmtId="166" fontId="6" fillId="5" borderId="3" xfId="0" applyNumberFormat="1" applyFont="1" applyFill="1" applyBorder="1"/>
    <xf numFmtId="166" fontId="7" fillId="6" borderId="4" xfId="0" applyNumberFormat="1" applyFont="1" applyFill="1" applyBorder="1"/>
    <xf numFmtId="166" fontId="8" fillId="7" borderId="5" xfId="0" applyNumberFormat="1" applyFont="1" applyFill="1" applyBorder="1"/>
    <xf numFmtId="166" fontId="9" fillId="8" borderId="6" xfId="0" applyNumberFormat="1" applyFont="1" applyFill="1" applyBorder="1"/>
    <xf numFmtId="166" fontId="10" fillId="9" borderId="7" xfId="0" applyNumberFormat="1" applyFont="1" applyFill="1" applyBorder="1"/>
    <xf numFmtId="166" fontId="11" fillId="10" borderId="8" xfId="0" applyNumberFormat="1" applyFont="1" applyFill="1" applyBorder="1"/>
    <xf numFmtId="166" fontId="12" fillId="11" borderId="9" xfId="0" applyNumberFormat="1" applyFont="1" applyFill="1" applyBorder="1"/>
    <xf numFmtId="166" fontId="13" fillId="12" borderId="10" xfId="0" applyNumberFormat="1" applyFont="1" applyFill="1" applyBorder="1"/>
    <xf numFmtId="166" fontId="14" fillId="13" borderId="11" xfId="0" applyNumberFormat="1" applyFont="1" applyFill="1" applyBorder="1"/>
    <xf numFmtId="166" fontId="15" fillId="14" borderId="12" xfId="0" applyNumberFormat="1" applyFont="1" applyFill="1" applyBorder="1"/>
    <xf numFmtId="166" fontId="16" fillId="15" borderId="13" xfId="0" applyNumberFormat="1" applyFont="1" applyFill="1" applyBorder="1"/>
    <xf numFmtId="166" fontId="17" fillId="16" borderId="14" xfId="0" applyNumberFormat="1" applyFont="1" applyFill="1" applyBorder="1"/>
    <xf numFmtId="166" fontId="18" fillId="17" borderId="15" xfId="0" applyNumberFormat="1" applyFont="1" applyFill="1" applyBorder="1"/>
    <xf numFmtId="166" fontId="19" fillId="18" borderId="16" xfId="0" applyNumberFormat="1" applyFont="1" applyFill="1" applyBorder="1"/>
    <xf numFmtId="166" fontId="20" fillId="19" borderId="17" xfId="0" applyNumberFormat="1" applyFont="1" applyFill="1" applyBorder="1"/>
    <xf numFmtId="166" fontId="21" fillId="20" borderId="18" xfId="0" applyNumberFormat="1" applyFont="1" applyFill="1" applyBorder="1"/>
    <xf numFmtId="166" fontId="22" fillId="21" borderId="19" xfId="0" applyNumberFormat="1" applyFont="1" applyFill="1" applyBorder="1"/>
    <xf numFmtId="166" fontId="23" fillId="22" borderId="20" xfId="0" applyNumberFormat="1" applyFont="1" applyFill="1" applyBorder="1"/>
    <xf numFmtId="166" fontId="24" fillId="23" borderId="21" xfId="0" applyNumberFormat="1" applyFont="1" applyFill="1" applyBorder="1"/>
    <xf numFmtId="166" fontId="25" fillId="24" borderId="22" xfId="0" applyNumberFormat="1" applyFont="1" applyFill="1" applyBorder="1"/>
    <xf numFmtId="166" fontId="26" fillId="25" borderId="23" xfId="0" applyNumberFormat="1" applyFont="1" applyFill="1" applyBorder="1"/>
    <xf numFmtId="166" fontId="27" fillId="26" borderId="24" xfId="0" applyNumberFormat="1" applyFont="1" applyFill="1" applyBorder="1"/>
    <xf numFmtId="166" fontId="28" fillId="27" borderId="25" xfId="0" applyNumberFormat="1" applyFont="1" applyFill="1" applyBorder="1"/>
    <xf numFmtId="166" fontId="29" fillId="28" borderId="26" xfId="0" applyNumberFormat="1" applyFont="1" applyFill="1" applyBorder="1"/>
    <xf numFmtId="166" fontId="30" fillId="29" borderId="27" xfId="0" applyNumberFormat="1" applyFont="1" applyFill="1" applyBorder="1"/>
    <xf numFmtId="166" fontId="31" fillId="30" borderId="28" xfId="0" applyNumberFormat="1" applyFont="1" applyFill="1" applyBorder="1"/>
    <xf numFmtId="166" fontId="32" fillId="31" borderId="29" xfId="0" applyNumberFormat="1" applyFont="1" applyFill="1" applyBorder="1"/>
    <xf numFmtId="166" fontId="33" fillId="32" borderId="30" xfId="0" applyNumberFormat="1" applyFont="1" applyFill="1" applyBorder="1"/>
    <xf numFmtId="166" fontId="34" fillId="33" borderId="31" xfId="0" applyNumberFormat="1" applyFont="1" applyFill="1" applyBorder="1"/>
    <xf numFmtId="166" fontId="35" fillId="34" borderId="32" xfId="0" applyNumberFormat="1" applyFont="1" applyFill="1" applyBorder="1"/>
    <xf numFmtId="0" fontId="36" fillId="35" borderId="33" xfId="0" applyFont="1" applyFill="1" applyBorder="1"/>
    <xf numFmtId="0" fontId="37" fillId="36" borderId="34" xfId="0" applyFont="1" applyFill="1" applyBorder="1"/>
    <xf numFmtId="0" fontId="38" fillId="37" borderId="35" xfId="0" applyFont="1" applyFill="1" applyBorder="1"/>
    <xf numFmtId="0" fontId="39" fillId="38" borderId="36" xfId="0" applyFont="1" applyFill="1" applyBorder="1"/>
    <xf numFmtId="0" fontId="40" fillId="39" borderId="37" xfId="0" applyFont="1" applyFill="1" applyBorder="1"/>
    <xf numFmtId="0" fontId="41" fillId="40" borderId="38" xfId="0" applyFont="1" applyFill="1" applyBorder="1"/>
    <xf numFmtId="0" fontId="42" fillId="41" borderId="39" xfId="0" applyFont="1" applyFill="1" applyBorder="1"/>
    <xf numFmtId="0" fontId="43" fillId="42" borderId="40" xfId="0" applyFont="1" applyFill="1" applyBorder="1"/>
    <xf numFmtId="0" fontId="44" fillId="43" borderId="41" xfId="0" applyFont="1" applyFill="1" applyBorder="1"/>
    <xf numFmtId="0" fontId="45" fillId="44" borderId="42" xfId="0" applyFont="1" applyFill="1" applyBorder="1"/>
    <xf numFmtId="0" fontId="46" fillId="45" borderId="43" xfId="0" applyFont="1" applyFill="1" applyBorder="1"/>
    <xf numFmtId="0" fontId="47" fillId="46" borderId="44" xfId="0" applyFont="1" applyFill="1" applyBorder="1"/>
    <xf numFmtId="0" fontId="48" fillId="47" borderId="45" xfId="0" applyFont="1" applyFill="1" applyBorder="1"/>
    <xf numFmtId="0" fontId="49" fillId="48" borderId="46" xfId="0" applyFont="1" applyFill="1" applyBorder="1"/>
    <xf numFmtId="0" fontId="50" fillId="49" borderId="47" xfId="0" applyFont="1" applyFill="1" applyBorder="1"/>
    <xf numFmtId="0" fontId="51" fillId="50" borderId="48" xfId="0" applyFont="1" applyFill="1" applyBorder="1"/>
    <xf numFmtId="0" fontId="52" fillId="51" borderId="49" xfId="0" applyFont="1" applyFill="1" applyBorder="1"/>
    <xf numFmtId="0" fontId="53" fillId="52" borderId="50" xfId="0" applyFont="1" applyFill="1" applyBorder="1"/>
    <xf numFmtId="0" fontId="54" fillId="53" borderId="51" xfId="0" applyFont="1" applyFill="1" applyBorder="1"/>
    <xf numFmtId="0" fontId="55" fillId="54" borderId="52" xfId="0" applyFont="1" applyFill="1" applyBorder="1"/>
    <xf numFmtId="0" fontId="56" fillId="55" borderId="53" xfId="0" applyFont="1" applyFill="1" applyBorder="1"/>
    <xf numFmtId="0" fontId="57" fillId="56" borderId="54" xfId="0" applyFont="1" applyFill="1" applyBorder="1"/>
    <xf numFmtId="0" fontId="58" fillId="57" borderId="55" xfId="0" applyFont="1" applyFill="1" applyBorder="1"/>
    <xf numFmtId="0" fontId="59" fillId="58" borderId="56" xfId="0" applyFont="1" applyFill="1" applyBorder="1"/>
    <xf numFmtId="0" fontId="60" fillId="59" borderId="57" xfId="0" applyFont="1" applyFill="1" applyBorder="1"/>
    <xf numFmtId="0" fontId="61" fillId="60" borderId="58" xfId="0" applyFont="1" applyFill="1" applyBorder="1"/>
    <xf numFmtId="0" fontId="62" fillId="61" borderId="59" xfId="0" applyFont="1" applyFill="1" applyBorder="1"/>
    <xf numFmtId="0" fontId="63" fillId="62" borderId="60" xfId="0" applyFont="1" applyFill="1" applyBorder="1"/>
    <xf numFmtId="0" fontId="64" fillId="63" borderId="61" xfId="0" applyFont="1" applyFill="1" applyBorder="1"/>
    <xf numFmtId="0" fontId="65" fillId="64" borderId="62" xfId="0" applyFont="1" applyFill="1" applyBorder="1"/>
    <xf numFmtId="0" fontId="66" fillId="65" borderId="63" xfId="0" applyFont="1" applyFill="1" applyBorder="1"/>
    <xf numFmtId="0" fontId="67" fillId="66" borderId="64" xfId="0" applyFont="1" applyFill="1" applyBorder="1"/>
    <xf numFmtId="0" fontId="68" fillId="67" borderId="65" xfId="0" applyFont="1" applyFill="1" applyBorder="1"/>
    <xf numFmtId="0" fontId="69" fillId="68" borderId="66" xfId="0" applyFont="1" applyFill="1" applyBorder="1"/>
    <xf numFmtId="0" fontId="70" fillId="69" borderId="67" xfId="0" applyFont="1" applyFill="1" applyBorder="1"/>
    <xf numFmtId="0" fontId="71" fillId="70" borderId="68" xfId="0" applyFont="1" applyFill="1" applyBorder="1"/>
    <xf numFmtId="0" fontId="72" fillId="71" borderId="69" xfId="0" applyFont="1" applyFill="1" applyBorder="1"/>
    <xf numFmtId="0" fontId="73" fillId="72" borderId="70" xfId="0" applyFont="1" applyFill="1" applyBorder="1"/>
    <xf numFmtId="0" fontId="74" fillId="73" borderId="71" xfId="0" applyFont="1" applyFill="1" applyBorder="1"/>
    <xf numFmtId="0" fontId="75" fillId="74" borderId="72" xfId="0" applyFont="1" applyFill="1" applyBorder="1"/>
    <xf numFmtId="0" fontId="76" fillId="75" borderId="73" xfId="0" applyFont="1" applyFill="1" applyBorder="1"/>
    <xf numFmtId="0" fontId="77" fillId="76" borderId="74" xfId="0" applyFont="1" applyFill="1" applyBorder="1"/>
    <xf numFmtId="0" fontId="78" fillId="77" borderId="75" xfId="0" applyFont="1" applyFill="1" applyBorder="1"/>
    <xf numFmtId="0" fontId="79" fillId="78" borderId="76" xfId="0" applyFont="1" applyFill="1" applyBorder="1"/>
    <xf numFmtId="0" fontId="80" fillId="79" borderId="77" xfId="0" applyFont="1" applyFill="1" applyBorder="1"/>
    <xf numFmtId="0" fontId="81" fillId="80" borderId="78" xfId="0" applyFont="1" applyFill="1" applyBorder="1"/>
    <xf numFmtId="0" fontId="82" fillId="81" borderId="79" xfId="0" applyFont="1" applyFill="1" applyBorder="1"/>
    <xf numFmtId="0" fontId="83" fillId="82" borderId="80" xfId="0" applyFont="1" applyFill="1" applyBorder="1"/>
    <xf numFmtId="0" fontId="84" fillId="83" borderId="81" xfId="0" applyFont="1" applyFill="1" applyBorder="1"/>
    <xf numFmtId="0" fontId="85" fillId="84" borderId="82" xfId="0" applyFont="1" applyFill="1" applyBorder="1"/>
    <xf numFmtId="0" fontId="86" fillId="85" borderId="83" xfId="0" applyFont="1" applyFill="1" applyBorder="1"/>
    <xf numFmtId="0" fontId="87" fillId="86" borderId="84" xfId="0" applyFont="1" applyFill="1" applyBorder="1"/>
    <xf numFmtId="0" fontId="88" fillId="87" borderId="85" xfId="0" applyFont="1" applyFill="1" applyBorder="1"/>
    <xf numFmtId="0" fontId="89" fillId="88" borderId="86" xfId="0" applyFont="1" applyFill="1" applyBorder="1"/>
    <xf numFmtId="0" fontId="90" fillId="89" borderId="87" xfId="0" applyFont="1" applyFill="1" applyBorder="1"/>
    <xf numFmtId="0" fontId="91" fillId="90" borderId="88" xfId="0" applyFont="1" applyFill="1" applyBorder="1"/>
    <xf numFmtId="0" fontId="92" fillId="91" borderId="89" xfId="0" applyFont="1" applyFill="1" applyBorder="1"/>
    <xf numFmtId="0" fontId="93" fillId="92" borderId="90" xfId="0" applyFont="1" applyFill="1" applyBorder="1"/>
    <xf numFmtId="0" fontId="94" fillId="93" borderId="91" xfId="0" applyFont="1" applyFill="1" applyBorder="1"/>
    <xf numFmtId="0" fontId="95" fillId="94" borderId="92" xfId="0" applyFont="1" applyFill="1" applyBorder="1"/>
    <xf numFmtId="0" fontId="96" fillId="95" borderId="93" xfId="0" applyFont="1" applyFill="1" applyBorder="1"/>
    <xf numFmtId="0" fontId="97" fillId="96" borderId="94" xfId="0" applyFont="1" applyFill="1" applyBorder="1"/>
    <xf numFmtId="0" fontId="98" fillId="97" borderId="95" xfId="0" applyFont="1" applyFill="1" applyBorder="1"/>
    <xf numFmtId="0" fontId="99" fillId="98" borderId="96" xfId="0" applyFont="1" applyFill="1" applyBorder="1"/>
    <xf numFmtId="0" fontId="100" fillId="99" borderId="97" xfId="0" applyFont="1" applyFill="1" applyBorder="1"/>
    <xf numFmtId="0" fontId="101" fillId="100" borderId="98" xfId="0" applyFont="1" applyFill="1" applyBorder="1"/>
    <xf numFmtId="0" fontId="102" fillId="101" borderId="99" xfId="0" applyFont="1" applyFill="1" applyBorder="1"/>
    <xf numFmtId="0" fontId="103" fillId="102" borderId="100" xfId="0" applyFont="1" applyFill="1" applyBorder="1"/>
    <xf numFmtId="0" fontId="104" fillId="103" borderId="101" xfId="0" applyFont="1" applyFill="1" applyBorder="1"/>
    <xf numFmtId="0" fontId="105" fillId="104" borderId="102" xfId="0" applyFont="1" applyFill="1" applyBorder="1"/>
    <xf numFmtId="0" fontId="106" fillId="105" borderId="103" xfId="0" applyFont="1" applyFill="1" applyBorder="1"/>
    <xf numFmtId="0" fontId="107" fillId="106" borderId="104" xfId="0" applyFont="1" applyFill="1" applyBorder="1"/>
    <xf numFmtId="0" fontId="108" fillId="107" borderId="105" xfId="0" applyFont="1" applyFill="1" applyBorder="1"/>
    <xf numFmtId="0" fontId="109" fillId="108" borderId="106" xfId="0" applyFont="1" applyFill="1" applyBorder="1"/>
    <xf numFmtId="0" fontId="110" fillId="109" borderId="107" xfId="0" applyFont="1" applyFill="1" applyBorder="1"/>
    <xf numFmtId="0" fontId="111" fillId="110" borderId="108" xfId="0" applyFont="1" applyFill="1" applyBorder="1"/>
    <xf numFmtId="0" fontId="112" fillId="111" borderId="109" xfId="0" applyFont="1" applyFill="1" applyBorder="1"/>
    <xf numFmtId="0" fontId="113" fillId="112" borderId="110" xfId="0" applyFont="1" applyFill="1" applyBorder="1"/>
    <xf numFmtId="0" fontId="114" fillId="113" borderId="111" xfId="0" applyFont="1" applyFill="1" applyBorder="1"/>
    <xf numFmtId="0" fontId="115" fillId="114" borderId="112" xfId="0" applyFont="1" applyFill="1" applyBorder="1"/>
    <xf numFmtId="0" fontId="116" fillId="115" borderId="113" xfId="0" applyFont="1" applyFill="1" applyBorder="1"/>
    <xf numFmtId="0" fontId="117" fillId="116" borderId="114" xfId="0" applyFont="1" applyFill="1" applyBorder="1"/>
    <xf numFmtId="0" fontId="118" fillId="117" borderId="115" xfId="0" applyFont="1" applyFill="1" applyBorder="1"/>
    <xf numFmtId="0" fontId="119" fillId="118" borderId="116" xfId="0" applyFont="1" applyFill="1" applyBorder="1"/>
    <xf numFmtId="0" fontId="120" fillId="119" borderId="117" xfId="0" applyFont="1" applyFill="1" applyBorder="1"/>
    <xf numFmtId="0" fontId="121" fillId="120" borderId="118" xfId="0" applyFont="1" applyFill="1" applyBorder="1"/>
    <xf numFmtId="0" fontId="122" fillId="121" borderId="119" xfId="0" applyFont="1" applyFill="1" applyBorder="1"/>
    <xf numFmtId="0" fontId="123" fillId="122" borderId="120" xfId="0" applyFont="1" applyFill="1" applyBorder="1"/>
    <xf numFmtId="0" fontId="124" fillId="123" borderId="121" xfId="0" applyFont="1" applyFill="1" applyBorder="1"/>
    <xf numFmtId="0" fontId="125" fillId="124" borderId="122" xfId="0" applyFont="1" applyFill="1" applyBorder="1"/>
    <xf numFmtId="0" fontId="126" fillId="125" borderId="123" xfId="0" applyFont="1" applyFill="1" applyBorder="1"/>
    <xf numFmtId="0" fontId="127" fillId="126" borderId="124" xfId="0" applyFont="1" applyFill="1" applyBorder="1"/>
    <xf numFmtId="0" fontId="128" fillId="127" borderId="125" xfId="0" applyFont="1" applyFill="1" applyBorder="1"/>
    <xf numFmtId="0" fontId="129" fillId="128" borderId="126" xfId="0" applyFont="1" applyFill="1" applyBorder="1"/>
    <xf numFmtId="0" fontId="130" fillId="129" borderId="127" xfId="0" applyFont="1" applyFill="1" applyBorder="1"/>
    <xf numFmtId="0" fontId="131" fillId="130" borderId="128" xfId="0" applyFont="1" applyFill="1" applyBorder="1"/>
    <xf numFmtId="0" fontId="132" fillId="131" borderId="129" xfId="0" applyFont="1" applyFill="1" applyBorder="1"/>
    <xf numFmtId="0" fontId="133" fillId="132" borderId="130" xfId="0" applyFont="1" applyFill="1" applyBorder="1"/>
    <xf numFmtId="0" fontId="134" fillId="133" borderId="131" xfId="0" applyFont="1" applyFill="1" applyBorder="1"/>
    <xf numFmtId="0" fontId="135" fillId="134" borderId="132" xfId="0" applyFont="1" applyFill="1" applyBorder="1"/>
    <xf numFmtId="0" fontId="136" fillId="135" borderId="133" xfId="0" applyFont="1" applyFill="1" applyBorder="1"/>
    <xf numFmtId="0" fontId="137" fillId="136" borderId="134" xfId="0" applyFont="1" applyFill="1" applyBorder="1"/>
    <xf numFmtId="0" fontId="138" fillId="137" borderId="135" xfId="0" applyFont="1" applyFill="1" applyBorder="1"/>
    <xf numFmtId="0" fontId="139" fillId="138" borderId="136" xfId="0" applyFont="1" applyFill="1" applyBorder="1"/>
    <xf numFmtId="0" fontId="140" fillId="139" borderId="137" xfId="0" applyFont="1" applyFill="1" applyBorder="1"/>
    <xf numFmtId="0" fontId="141" fillId="140" borderId="138" xfId="0" applyFont="1" applyFill="1" applyBorder="1"/>
    <xf numFmtId="0" fontId="142" fillId="141" borderId="139" xfId="0" applyFont="1" applyFill="1" applyBorder="1"/>
    <xf numFmtId="0" fontId="143" fillId="142" borderId="140" xfId="0" applyFont="1" applyFill="1" applyBorder="1"/>
    <xf numFmtId="0" fontId="144" fillId="143" borderId="141" xfId="0" applyFont="1" applyFill="1" applyBorder="1"/>
    <xf numFmtId="0" fontId="145" fillId="144" borderId="142" xfId="0" applyFont="1" applyFill="1" applyBorder="1"/>
    <xf numFmtId="0" fontId="146" fillId="145" borderId="143" xfId="0" applyFont="1" applyFill="1" applyBorder="1"/>
    <xf numFmtId="0" fontId="147" fillId="146" borderId="144" xfId="0" applyFont="1" applyFill="1" applyBorder="1"/>
    <xf numFmtId="0" fontId="148" fillId="147" borderId="145" xfId="0" applyFont="1" applyFill="1" applyBorder="1"/>
    <xf numFmtId="0" fontId="149" fillId="148" borderId="146" xfId="0" applyFont="1" applyFill="1" applyBorder="1"/>
    <xf numFmtId="0" fontId="150" fillId="149" borderId="147" xfId="0" applyFont="1" applyFill="1" applyBorder="1"/>
    <xf numFmtId="0" fontId="151" fillId="150" borderId="148" xfId="0" applyFont="1" applyFill="1" applyBorder="1"/>
    <xf numFmtId="0" fontId="152" fillId="151" borderId="149" xfId="0" applyFont="1" applyFill="1" applyBorder="1"/>
    <xf numFmtId="0" fontId="153" fillId="152" borderId="150" xfId="0" applyFont="1" applyFill="1" applyBorder="1"/>
    <xf numFmtId="0" fontId="154" fillId="153" borderId="151" xfId="0" applyFont="1" applyFill="1" applyBorder="1"/>
    <xf numFmtId="0" fontId="155" fillId="154" borderId="152" xfId="0" applyFont="1" applyFill="1" applyBorder="1"/>
    <xf numFmtId="0" fontId="156" fillId="155" borderId="153" xfId="0" applyFont="1" applyFill="1" applyBorder="1"/>
    <xf numFmtId="0" fontId="157" fillId="156" borderId="154" xfId="0" applyFont="1" applyFill="1" applyBorder="1"/>
    <xf numFmtId="0" fontId="158" fillId="157" borderId="155" xfId="0" applyFont="1" applyFill="1" applyBorder="1"/>
    <xf numFmtId="0" fontId="159" fillId="158" borderId="156" xfId="0" applyFont="1" applyFill="1" applyBorder="1"/>
    <xf numFmtId="0" fontId="160" fillId="159" borderId="157" xfId="0" applyFont="1" applyFill="1" applyBorder="1"/>
    <xf numFmtId="0" fontId="161" fillId="160" borderId="158" xfId="0" applyFont="1" applyFill="1" applyBorder="1"/>
    <xf numFmtId="0" fontId="162" fillId="161" borderId="159" xfId="0" applyFont="1" applyFill="1" applyBorder="1"/>
    <xf numFmtId="0" fontId="163" fillId="162" borderId="160" xfId="0" applyFont="1" applyFill="1" applyBorder="1"/>
    <xf numFmtId="0" fontId="164" fillId="163" borderId="161" xfId="0" applyFont="1" applyFill="1" applyBorder="1"/>
    <xf numFmtId="0" fontId="165" fillId="164" borderId="162" xfId="0" applyFont="1" applyFill="1" applyBorder="1"/>
    <xf numFmtId="0" fontId="166" fillId="165" borderId="163" xfId="0" applyFont="1" applyFill="1" applyBorder="1"/>
    <xf numFmtId="0" fontId="167" fillId="166" borderId="164" xfId="0" applyFont="1" applyFill="1" applyBorder="1"/>
    <xf numFmtId="0" fontId="168" fillId="167" borderId="165" xfId="0" applyFont="1" applyFill="1" applyBorder="1"/>
    <xf numFmtId="0" fontId="169" fillId="168" borderId="166" xfId="0" applyFont="1" applyFill="1" applyBorder="1"/>
    <xf numFmtId="0" fontId="170" fillId="169" borderId="167" xfId="0" applyFont="1" applyFill="1" applyBorder="1"/>
    <xf numFmtId="0" fontId="171" fillId="170" borderId="168" xfId="0" applyFont="1" applyFill="1" applyBorder="1"/>
    <xf numFmtId="0" fontId="172" fillId="171" borderId="169" xfId="0" applyFont="1" applyFill="1" applyBorder="1"/>
    <xf numFmtId="0" fontId="173" fillId="172" borderId="170" xfId="0" applyFont="1" applyFill="1" applyBorder="1"/>
    <xf numFmtId="0" fontId="174" fillId="173" borderId="171" xfId="0" applyFont="1" applyFill="1" applyBorder="1"/>
    <xf numFmtId="0" fontId="175" fillId="174" borderId="172" xfId="0" applyFont="1" applyFill="1" applyBorder="1"/>
    <xf numFmtId="0" fontId="176" fillId="175" borderId="173" xfId="0" applyFont="1" applyFill="1" applyBorder="1"/>
    <xf numFmtId="0" fontId="177" fillId="176" borderId="174" xfId="0" applyFont="1" applyFill="1" applyBorder="1"/>
    <xf numFmtId="0" fontId="178" fillId="177" borderId="175" xfId="0" applyFont="1" applyFill="1" applyBorder="1"/>
    <xf numFmtId="0" fontId="179" fillId="178" borderId="176" xfId="0" applyFont="1" applyFill="1" applyBorder="1"/>
    <xf numFmtId="0" fontId="180" fillId="179" borderId="177" xfId="0" applyFont="1" applyFill="1" applyBorder="1"/>
    <xf numFmtId="0" fontId="181" fillId="180" borderId="178" xfId="0" applyFont="1" applyFill="1" applyBorder="1"/>
    <xf numFmtId="0" fontId="182" fillId="181" borderId="179" xfId="0" applyFont="1" applyFill="1" applyBorder="1"/>
    <xf numFmtId="0" fontId="183" fillId="182" borderId="180" xfId="0" applyFont="1" applyFill="1" applyBorder="1"/>
    <xf numFmtId="0" fontId="184" fillId="183" borderId="181" xfId="0" applyFont="1" applyFill="1" applyBorder="1"/>
    <xf numFmtId="0" fontId="185" fillId="184" borderId="182" xfId="0" applyFont="1" applyFill="1" applyBorder="1"/>
    <xf numFmtId="0" fontId="186" fillId="185" borderId="183" xfId="0" applyFont="1" applyFill="1" applyBorder="1"/>
    <xf numFmtId="0" fontId="187" fillId="186" borderId="184" xfId="0" applyFont="1" applyFill="1" applyBorder="1"/>
    <xf numFmtId="0" fontId="188" fillId="187" borderId="185" xfId="0" applyFont="1" applyFill="1" applyBorder="1"/>
    <xf numFmtId="0" fontId="189" fillId="188" borderId="186" xfId="0" applyFont="1" applyFill="1" applyBorder="1"/>
    <xf numFmtId="0" fontId="190" fillId="189" borderId="187" xfId="0" applyFont="1" applyFill="1" applyBorder="1"/>
    <xf numFmtId="0" fontId="191" fillId="190" borderId="188" xfId="0" applyFont="1" applyFill="1" applyBorder="1"/>
    <xf numFmtId="0" fontId="192" fillId="191" borderId="189" xfId="0" applyFont="1" applyFill="1" applyBorder="1"/>
    <xf numFmtId="0" fontId="193" fillId="192" borderId="190" xfId="0" applyFont="1" applyFill="1" applyBorder="1"/>
    <xf numFmtId="0" fontId="194" fillId="193" borderId="191" xfId="0" applyFont="1" applyFill="1" applyBorder="1"/>
    <xf numFmtId="0" fontId="195" fillId="194" borderId="192" xfId="0" applyFont="1" applyFill="1" applyBorder="1"/>
    <xf numFmtId="0" fontId="196" fillId="195" borderId="193" xfId="0" applyFont="1" applyFill="1" applyBorder="1"/>
    <xf numFmtId="0" fontId="197" fillId="196" borderId="194" xfId="0" applyFont="1" applyFill="1" applyBorder="1"/>
    <xf numFmtId="0" fontId="198" fillId="197" borderId="195" xfId="0" applyFont="1" applyFill="1" applyBorder="1"/>
    <xf numFmtId="0" fontId="199" fillId="198" borderId="196" xfId="0" applyFont="1" applyFill="1" applyBorder="1"/>
    <xf numFmtId="0" fontId="200" fillId="199" borderId="197" xfId="0" applyFont="1" applyFill="1" applyBorder="1"/>
    <xf numFmtId="0" fontId="201" fillId="200" borderId="198" xfId="0" applyFont="1" applyFill="1" applyBorder="1"/>
    <xf numFmtId="0" fontId="202" fillId="201" borderId="199" xfId="0" applyFont="1" applyFill="1" applyBorder="1"/>
    <xf numFmtId="0" fontId="203" fillId="202" borderId="200" xfId="0" applyFont="1" applyFill="1" applyBorder="1"/>
    <xf numFmtId="0" fontId="206" fillId="205" borderId="203" xfId="0" applyFont="1" applyFill="1" applyBorder="1" applyAlignment="1">
      <alignment horizontal="right"/>
    </xf>
    <xf numFmtId="0" fontId="207" fillId="206" borderId="204" xfId="0" applyFont="1" applyFill="1" applyBorder="1" applyAlignment="1">
      <alignment horizontal="right"/>
    </xf>
    <xf numFmtId="0" fontId="208" fillId="207" borderId="205" xfId="0" applyFont="1" applyFill="1" applyBorder="1" applyAlignment="1">
      <alignment horizontal="right"/>
    </xf>
    <xf numFmtId="0" fontId="209" fillId="208" borderId="206" xfId="0" applyFont="1" applyFill="1" applyBorder="1" applyAlignment="1">
      <alignment horizontal="right"/>
    </xf>
    <xf numFmtId="0" fontId="210" fillId="209" borderId="207" xfId="0" applyFont="1" applyFill="1" applyBorder="1" applyAlignment="1">
      <alignment horizontal="right"/>
    </xf>
    <xf numFmtId="0" fontId="211" fillId="210" borderId="208" xfId="0" applyFont="1" applyFill="1" applyBorder="1"/>
    <xf numFmtId="166" fontId="212" fillId="211" borderId="209" xfId="0" applyNumberFormat="1" applyFont="1" applyFill="1" applyBorder="1"/>
    <xf numFmtId="166" fontId="213" fillId="212" borderId="210" xfId="0" applyNumberFormat="1" applyFont="1" applyFill="1" applyBorder="1"/>
    <xf numFmtId="164" fontId="214" fillId="213" borderId="211" xfId="0" applyNumberFormat="1" applyFont="1" applyFill="1" applyBorder="1"/>
    <xf numFmtId="0" fontId="215" fillId="214" borderId="212" xfId="0" applyFont="1" applyFill="1" applyBorder="1"/>
    <xf numFmtId="0" fontId="219" fillId="218" borderId="216" xfId="0" applyFont="1" applyFill="1" applyBorder="1" applyAlignment="1">
      <alignment horizontal="center" vertical="center"/>
    </xf>
    <xf numFmtId="0" fontId="220" fillId="219" borderId="217" xfId="0" applyFont="1" applyFill="1" applyBorder="1" applyAlignment="1">
      <alignment horizontal="center" vertical="center"/>
    </xf>
    <xf numFmtId="0" fontId="221" fillId="220" borderId="218" xfId="0" applyFont="1" applyFill="1" applyBorder="1" applyAlignment="1">
      <alignment horizontal="center" vertical="center"/>
    </xf>
    <xf numFmtId="0" fontId="222" fillId="221" borderId="219" xfId="0" applyFont="1" applyFill="1" applyBorder="1" applyAlignment="1">
      <alignment horizontal="center" vertical="center"/>
    </xf>
    <xf numFmtId="0" fontId="223" fillId="222" borderId="220" xfId="0" applyFont="1" applyFill="1" applyBorder="1" applyAlignment="1">
      <alignment horizontal="center" vertical="center"/>
    </xf>
    <xf numFmtId="0" fontId="224" fillId="223" borderId="221" xfId="0" applyFont="1" applyFill="1" applyBorder="1" applyAlignment="1">
      <alignment horizontal="center" vertical="center"/>
    </xf>
    <xf numFmtId="0" fontId="225" fillId="224" borderId="222" xfId="0" applyFont="1" applyFill="1" applyBorder="1" applyAlignment="1">
      <alignment horizontal="center" vertical="center"/>
    </xf>
    <xf numFmtId="0" fontId="226" fillId="225" borderId="223" xfId="0" applyFont="1" applyFill="1" applyBorder="1" applyAlignment="1">
      <alignment horizontal="center" vertical="center"/>
    </xf>
    <xf numFmtId="0" fontId="227" fillId="226" borderId="224" xfId="0" applyFont="1" applyFill="1" applyBorder="1" applyAlignment="1">
      <alignment horizontal="center"/>
    </xf>
    <xf numFmtId="166" fontId="228" fillId="227" borderId="225" xfId="0" applyNumberFormat="1" applyFont="1" applyFill="1" applyBorder="1" applyAlignment="1">
      <alignment horizontal="center"/>
    </xf>
    <xf numFmtId="3" fontId="229" fillId="228" borderId="226" xfId="0" applyNumberFormat="1" applyFont="1" applyFill="1" applyBorder="1"/>
    <xf numFmtId="3" fontId="230" fillId="229" borderId="227" xfId="0" applyNumberFormat="1" applyFont="1" applyFill="1" applyBorder="1"/>
    <xf numFmtId="3" fontId="231" fillId="230" borderId="228" xfId="0" applyNumberFormat="1" applyFont="1" applyFill="1" applyBorder="1"/>
    <xf numFmtId="164" fontId="232" fillId="231" borderId="229" xfId="0" applyNumberFormat="1" applyFont="1" applyFill="1" applyBorder="1"/>
    <xf numFmtId="164" fontId="233" fillId="232" borderId="230" xfId="0" applyNumberFormat="1" applyFont="1" applyFill="1" applyBorder="1"/>
    <xf numFmtId="164" fontId="234" fillId="233" borderId="231" xfId="0" applyNumberFormat="1" applyFont="1" applyFill="1" applyBorder="1"/>
    <xf numFmtId="0" fontId="235" fillId="234" borderId="232" xfId="0" applyFont="1" applyFill="1" applyBorder="1" applyAlignment="1">
      <alignment horizontal="center"/>
    </xf>
    <xf numFmtId="166" fontId="236" fillId="235" borderId="233" xfId="0" applyNumberFormat="1" applyFont="1" applyFill="1" applyBorder="1" applyAlignment="1">
      <alignment horizontal="center"/>
    </xf>
    <xf numFmtId="3" fontId="237" fillId="236" borderId="234" xfId="0" applyNumberFormat="1" applyFont="1" applyFill="1" applyBorder="1"/>
    <xf numFmtId="3" fontId="238" fillId="237" borderId="235" xfId="0" applyNumberFormat="1" applyFont="1" applyFill="1" applyBorder="1"/>
    <xf numFmtId="3" fontId="239" fillId="238" borderId="236" xfId="0" applyNumberFormat="1" applyFont="1" applyFill="1" applyBorder="1"/>
    <xf numFmtId="164" fontId="240" fillId="239" borderId="237" xfId="0" applyNumberFormat="1" applyFont="1" applyFill="1" applyBorder="1"/>
    <xf numFmtId="164" fontId="241" fillId="240" borderId="238" xfId="0" applyNumberFormat="1" applyFont="1" applyFill="1" applyBorder="1"/>
    <xf numFmtId="164" fontId="242" fillId="241" borderId="239" xfId="0" applyNumberFormat="1" applyFont="1" applyFill="1" applyBorder="1"/>
    <xf numFmtId="0" fontId="243" fillId="242" borderId="240" xfId="0" applyFont="1" applyFill="1" applyBorder="1" applyAlignment="1">
      <alignment horizontal="center"/>
    </xf>
    <xf numFmtId="166" fontId="244" fillId="243" borderId="241" xfId="0" applyNumberFormat="1" applyFont="1" applyFill="1" applyBorder="1" applyAlignment="1">
      <alignment horizontal="center"/>
    </xf>
    <xf numFmtId="3" fontId="245" fillId="244" borderId="242" xfId="0" applyNumberFormat="1" applyFont="1" applyFill="1" applyBorder="1"/>
    <xf numFmtId="3" fontId="246" fillId="245" borderId="243" xfId="0" applyNumberFormat="1" applyFont="1" applyFill="1" applyBorder="1"/>
    <xf numFmtId="3" fontId="247" fillId="246" borderId="244" xfId="0" applyNumberFormat="1" applyFont="1" applyFill="1" applyBorder="1"/>
    <xf numFmtId="164" fontId="248" fillId="247" borderId="245" xfId="0" applyNumberFormat="1" applyFont="1" applyFill="1" applyBorder="1"/>
    <xf numFmtId="164" fontId="249" fillId="248" borderId="246" xfId="0" applyNumberFormat="1" applyFont="1" applyFill="1" applyBorder="1"/>
    <xf numFmtId="164" fontId="250" fillId="249" borderId="247" xfId="0" applyNumberFormat="1" applyFont="1" applyFill="1" applyBorder="1"/>
    <xf numFmtId="0" fontId="251" fillId="250" borderId="248" xfId="0" applyFont="1" applyFill="1" applyBorder="1" applyAlignment="1">
      <alignment horizontal="center"/>
    </xf>
    <xf numFmtId="166" fontId="252" fillId="251" borderId="249" xfId="0" applyNumberFormat="1" applyFont="1" applyFill="1" applyBorder="1" applyAlignment="1">
      <alignment horizontal="center"/>
    </xf>
    <xf numFmtId="3" fontId="253" fillId="252" borderId="250" xfId="0" applyNumberFormat="1" applyFont="1" applyFill="1" applyBorder="1"/>
    <xf numFmtId="3" fontId="254" fillId="253" borderId="251" xfId="0" applyNumberFormat="1" applyFont="1" applyFill="1" applyBorder="1"/>
    <xf numFmtId="3" fontId="255" fillId="254" borderId="252" xfId="0" applyNumberFormat="1" applyFont="1" applyFill="1" applyBorder="1"/>
    <xf numFmtId="164" fontId="256" fillId="255" borderId="253" xfId="0" applyNumberFormat="1" applyFont="1" applyFill="1" applyBorder="1"/>
    <xf numFmtId="164" fontId="257" fillId="256" borderId="254" xfId="0" applyNumberFormat="1" applyFont="1" applyFill="1" applyBorder="1"/>
    <xf numFmtId="164" fontId="258" fillId="257" borderId="255" xfId="0" applyNumberFormat="1" applyFont="1" applyFill="1" applyBorder="1"/>
    <xf numFmtId="0" fontId="259" fillId="258" borderId="256" xfId="0" applyFont="1" applyFill="1" applyBorder="1" applyAlignment="1">
      <alignment horizontal="center"/>
    </xf>
    <xf numFmtId="166" fontId="260" fillId="259" borderId="257" xfId="0" applyNumberFormat="1" applyFont="1" applyFill="1" applyBorder="1" applyAlignment="1">
      <alignment horizontal="center"/>
    </xf>
    <xf numFmtId="3" fontId="261" fillId="260" borderId="258" xfId="0" applyNumberFormat="1" applyFont="1" applyFill="1" applyBorder="1"/>
    <xf numFmtId="3" fontId="262" fillId="261" borderId="259" xfId="0" applyNumberFormat="1" applyFont="1" applyFill="1" applyBorder="1"/>
    <xf numFmtId="3" fontId="263" fillId="262" borderId="260" xfId="0" applyNumberFormat="1" applyFont="1" applyFill="1" applyBorder="1"/>
    <xf numFmtId="164" fontId="264" fillId="263" borderId="261" xfId="0" applyNumberFormat="1" applyFont="1" applyFill="1" applyBorder="1"/>
    <xf numFmtId="164" fontId="265" fillId="264" borderId="262" xfId="0" applyNumberFormat="1" applyFont="1" applyFill="1" applyBorder="1"/>
    <xf numFmtId="164" fontId="266" fillId="265" borderId="263" xfId="0" applyNumberFormat="1" applyFont="1" applyFill="1" applyBorder="1"/>
    <xf numFmtId="0" fontId="267" fillId="266" borderId="264" xfId="0" applyFont="1" applyFill="1" applyBorder="1" applyAlignment="1">
      <alignment horizontal="center"/>
    </xf>
    <xf numFmtId="166" fontId="268" fillId="267" borderId="265" xfId="0" applyNumberFormat="1" applyFont="1" applyFill="1" applyBorder="1" applyAlignment="1">
      <alignment horizontal="center"/>
    </xf>
    <xf numFmtId="3" fontId="269" fillId="268" borderId="266" xfId="0" applyNumberFormat="1" applyFont="1" applyFill="1" applyBorder="1"/>
    <xf numFmtId="3" fontId="270" fillId="269" borderId="267" xfId="0" applyNumberFormat="1" applyFont="1" applyFill="1" applyBorder="1"/>
    <xf numFmtId="3" fontId="271" fillId="270" borderId="268" xfId="0" applyNumberFormat="1" applyFont="1" applyFill="1" applyBorder="1"/>
    <xf numFmtId="164" fontId="272" fillId="271" borderId="269" xfId="0" applyNumberFormat="1" applyFont="1" applyFill="1" applyBorder="1"/>
    <xf numFmtId="164" fontId="273" fillId="272" borderId="270" xfId="0" applyNumberFormat="1" applyFont="1" applyFill="1" applyBorder="1"/>
    <xf numFmtId="164" fontId="274" fillId="273" borderId="271" xfId="0" applyNumberFormat="1" applyFont="1" applyFill="1" applyBorder="1"/>
    <xf numFmtId="0" fontId="275" fillId="274" borderId="272" xfId="0" applyFont="1" applyFill="1" applyBorder="1" applyAlignment="1">
      <alignment horizontal="center"/>
    </xf>
    <xf numFmtId="0" fontId="276" fillId="275" borderId="273" xfId="0" applyFont="1" applyFill="1" applyBorder="1"/>
    <xf numFmtId="3" fontId="277" fillId="276" borderId="274" xfId="0" applyNumberFormat="1" applyFont="1" applyFill="1" applyBorder="1"/>
    <xf numFmtId="3" fontId="278" fillId="277" borderId="275" xfId="0" applyNumberFormat="1" applyFont="1" applyFill="1" applyBorder="1"/>
    <xf numFmtId="3" fontId="279" fillId="278" borderId="276" xfId="0" applyNumberFormat="1" applyFont="1" applyFill="1" applyBorder="1"/>
    <xf numFmtId="164" fontId="280" fillId="279" borderId="277" xfId="0" applyNumberFormat="1" applyFont="1" applyFill="1" applyBorder="1"/>
    <xf numFmtId="164" fontId="281" fillId="280" borderId="278" xfId="0" applyNumberFormat="1" applyFont="1" applyFill="1" applyBorder="1"/>
    <xf numFmtId="164" fontId="282" fillId="281" borderId="279" xfId="0" applyNumberFormat="1" applyFont="1" applyFill="1" applyBorder="1"/>
    <xf numFmtId="0" fontId="284" fillId="283" borderId="281" xfId="0" applyFont="1" applyFill="1" applyBorder="1" applyAlignment="1">
      <alignment horizontal="center" vertical="center"/>
    </xf>
    <xf numFmtId="0" fontId="285" fillId="284" borderId="282" xfId="0" applyFont="1" applyFill="1" applyBorder="1" applyAlignment="1">
      <alignment horizontal="center" vertical="center"/>
    </xf>
    <xf numFmtId="0" fontId="286" fillId="285" borderId="283" xfId="0" applyFont="1" applyFill="1" applyBorder="1" applyAlignment="1">
      <alignment horizontal="center" vertical="center"/>
    </xf>
    <xf numFmtId="0" fontId="287" fillId="286" borderId="284" xfId="0" applyFont="1" applyFill="1" applyBorder="1" applyAlignment="1">
      <alignment horizontal="center" vertical="center"/>
    </xf>
    <xf numFmtId="0" fontId="288" fillId="287" borderId="285" xfId="0" applyFont="1" applyFill="1" applyBorder="1" applyAlignment="1">
      <alignment horizontal="center" vertical="center"/>
    </xf>
    <xf numFmtId="0" fontId="289" fillId="288" borderId="286" xfId="0" applyFont="1" applyFill="1" applyBorder="1" applyAlignment="1">
      <alignment horizontal="center" vertical="center"/>
    </xf>
    <xf numFmtId="0" fontId="290" fillId="289" borderId="287" xfId="0" applyFont="1" applyFill="1" applyBorder="1" applyAlignment="1">
      <alignment horizontal="center" vertical="center"/>
    </xf>
    <xf numFmtId="0" fontId="291" fillId="290" borderId="288" xfId="0" applyFont="1" applyFill="1" applyBorder="1" applyAlignment="1">
      <alignment horizontal="center" vertical="center"/>
    </xf>
    <xf numFmtId="0" fontId="292" fillId="291" borderId="289" xfId="0" applyFont="1" applyFill="1" applyBorder="1" applyAlignment="1">
      <alignment horizontal="center" vertical="center"/>
    </xf>
    <xf numFmtId="0" fontId="293" fillId="292" borderId="290" xfId="0" applyFont="1" applyFill="1" applyBorder="1" applyAlignment="1">
      <alignment horizontal="center" vertical="center"/>
    </xf>
    <xf numFmtId="0" fontId="294" fillId="293" borderId="291" xfId="0" applyFont="1" applyFill="1" applyBorder="1" applyAlignment="1">
      <alignment horizontal="center"/>
    </xf>
    <xf numFmtId="166" fontId="295" fillId="294" borderId="292" xfId="0" applyNumberFormat="1" applyFont="1" applyFill="1" applyBorder="1" applyAlignment="1">
      <alignment horizontal="center"/>
    </xf>
    <xf numFmtId="3" fontId="296" fillId="295" borderId="293" xfId="0" applyNumberFormat="1" applyFont="1" applyFill="1" applyBorder="1"/>
    <xf numFmtId="3" fontId="297" fillId="296" borderId="294" xfId="0" applyNumberFormat="1" applyFont="1" applyFill="1" applyBorder="1"/>
    <xf numFmtId="3" fontId="298" fillId="297" borderId="295" xfId="0" applyNumberFormat="1" applyFont="1" applyFill="1" applyBorder="1"/>
    <xf numFmtId="3" fontId="299" fillId="298" borderId="296" xfId="0" applyNumberFormat="1" applyFont="1" applyFill="1" applyBorder="1"/>
    <xf numFmtId="3" fontId="300" fillId="299" borderId="297" xfId="0" applyNumberFormat="1" applyFont="1" applyFill="1" applyBorder="1"/>
    <xf numFmtId="3" fontId="301" fillId="300" borderId="298" xfId="0" applyNumberFormat="1" applyFont="1" applyFill="1" applyBorder="1"/>
    <xf numFmtId="3" fontId="302" fillId="301" borderId="299" xfId="0" applyNumberFormat="1" applyFont="1" applyFill="1" applyBorder="1"/>
    <xf numFmtId="0" fontId="303" fillId="302" borderId="300" xfId="0" applyFont="1" applyFill="1" applyBorder="1"/>
    <xf numFmtId="0" fontId="304" fillId="303" borderId="301" xfId="0" applyFont="1" applyFill="1" applyBorder="1" applyAlignment="1">
      <alignment horizontal="center"/>
    </xf>
    <xf numFmtId="166" fontId="305" fillId="304" borderId="302" xfId="0" applyNumberFormat="1" applyFont="1" applyFill="1" applyBorder="1" applyAlignment="1">
      <alignment horizontal="center"/>
    </xf>
    <xf numFmtId="3" fontId="306" fillId="305" borderId="303" xfId="0" applyNumberFormat="1" applyFont="1" applyFill="1" applyBorder="1"/>
    <xf numFmtId="3" fontId="307" fillId="306" borderId="304" xfId="0" applyNumberFormat="1" applyFont="1" applyFill="1" applyBorder="1"/>
    <xf numFmtId="3" fontId="308" fillId="307" borderId="305" xfId="0" applyNumberFormat="1" applyFont="1" applyFill="1" applyBorder="1"/>
    <xf numFmtId="3" fontId="309" fillId="308" borderId="306" xfId="0" applyNumberFormat="1" applyFont="1" applyFill="1" applyBorder="1"/>
    <xf numFmtId="3" fontId="310" fillId="309" borderId="307" xfId="0" applyNumberFormat="1" applyFont="1" applyFill="1" applyBorder="1"/>
    <xf numFmtId="3" fontId="311" fillId="310" borderId="308" xfId="0" applyNumberFormat="1" applyFont="1" applyFill="1" applyBorder="1"/>
    <xf numFmtId="3" fontId="312" fillId="311" borderId="309" xfId="0" applyNumberFormat="1" applyFont="1" applyFill="1" applyBorder="1"/>
    <xf numFmtId="0" fontId="313" fillId="312" borderId="310" xfId="0" applyFont="1" applyFill="1" applyBorder="1"/>
    <xf numFmtId="0" fontId="314" fillId="313" borderId="311" xfId="0" applyFont="1" applyFill="1" applyBorder="1" applyAlignment="1">
      <alignment horizontal="center"/>
    </xf>
    <xf numFmtId="166" fontId="315" fillId="314" borderId="312" xfId="0" applyNumberFormat="1" applyFont="1" applyFill="1" applyBorder="1" applyAlignment="1">
      <alignment horizontal="center"/>
    </xf>
    <xf numFmtId="3" fontId="316" fillId="315" borderId="313" xfId="0" applyNumberFormat="1" applyFont="1" applyFill="1" applyBorder="1"/>
    <xf numFmtId="3" fontId="317" fillId="316" borderId="314" xfId="0" applyNumberFormat="1" applyFont="1" applyFill="1" applyBorder="1"/>
    <xf numFmtId="3" fontId="318" fillId="317" borderId="315" xfId="0" applyNumberFormat="1" applyFont="1" applyFill="1" applyBorder="1"/>
    <xf numFmtId="3" fontId="319" fillId="318" borderId="316" xfId="0" applyNumberFormat="1" applyFont="1" applyFill="1" applyBorder="1"/>
    <xf numFmtId="3" fontId="320" fillId="319" borderId="317" xfId="0" applyNumberFormat="1" applyFont="1" applyFill="1" applyBorder="1"/>
    <xf numFmtId="3" fontId="321" fillId="320" borderId="318" xfId="0" applyNumberFormat="1" applyFont="1" applyFill="1" applyBorder="1"/>
    <xf numFmtId="3" fontId="322" fillId="321" borderId="319" xfId="0" applyNumberFormat="1" applyFont="1" applyFill="1" applyBorder="1"/>
    <xf numFmtId="0" fontId="323" fillId="322" borderId="320" xfId="0" applyFont="1" applyFill="1" applyBorder="1"/>
    <xf numFmtId="0" fontId="324" fillId="323" borderId="321" xfId="0" applyFont="1" applyFill="1" applyBorder="1" applyAlignment="1">
      <alignment horizontal="center"/>
    </xf>
    <xf numFmtId="166" fontId="325" fillId="324" borderId="322" xfId="0" applyNumberFormat="1" applyFont="1" applyFill="1" applyBorder="1" applyAlignment="1">
      <alignment horizontal="center"/>
    </xf>
    <xf numFmtId="3" fontId="326" fillId="325" borderId="323" xfId="0" applyNumberFormat="1" applyFont="1" applyFill="1" applyBorder="1"/>
    <xf numFmtId="3" fontId="327" fillId="326" borderId="324" xfId="0" applyNumberFormat="1" applyFont="1" applyFill="1" applyBorder="1"/>
    <xf numFmtId="3" fontId="328" fillId="327" borderId="325" xfId="0" applyNumberFormat="1" applyFont="1" applyFill="1" applyBorder="1"/>
    <xf numFmtId="3" fontId="329" fillId="328" borderId="326" xfId="0" applyNumberFormat="1" applyFont="1" applyFill="1" applyBorder="1"/>
    <xf numFmtId="3" fontId="330" fillId="329" borderId="327" xfId="0" applyNumberFormat="1" applyFont="1" applyFill="1" applyBorder="1"/>
    <xf numFmtId="3" fontId="331" fillId="330" borderId="328" xfId="0" applyNumberFormat="1" applyFont="1" applyFill="1" applyBorder="1"/>
    <xf numFmtId="3" fontId="332" fillId="331" borderId="329" xfId="0" applyNumberFormat="1" applyFont="1" applyFill="1" applyBorder="1"/>
    <xf numFmtId="0" fontId="333" fillId="332" borderId="330" xfId="0" applyFont="1" applyFill="1" applyBorder="1"/>
    <xf numFmtId="0" fontId="334" fillId="333" borderId="331" xfId="0" applyFont="1" applyFill="1" applyBorder="1" applyAlignment="1">
      <alignment horizontal="center"/>
    </xf>
    <xf numFmtId="166" fontId="335" fillId="334" borderId="332" xfId="0" applyNumberFormat="1" applyFont="1" applyFill="1" applyBorder="1" applyAlignment="1">
      <alignment horizontal="center"/>
    </xf>
    <xf numFmtId="3" fontId="336" fillId="335" borderId="333" xfId="0" applyNumberFormat="1" applyFont="1" applyFill="1" applyBorder="1"/>
    <xf numFmtId="3" fontId="337" fillId="336" borderId="334" xfId="0" applyNumberFormat="1" applyFont="1" applyFill="1" applyBorder="1"/>
    <xf numFmtId="3" fontId="338" fillId="337" borderId="335" xfId="0" applyNumberFormat="1" applyFont="1" applyFill="1" applyBorder="1"/>
    <xf numFmtId="3" fontId="339" fillId="338" borderId="336" xfId="0" applyNumberFormat="1" applyFont="1" applyFill="1" applyBorder="1"/>
    <xf numFmtId="3" fontId="340" fillId="339" borderId="337" xfId="0" applyNumberFormat="1" applyFont="1" applyFill="1" applyBorder="1"/>
    <xf numFmtId="3" fontId="341" fillId="340" borderId="338" xfId="0" applyNumberFormat="1" applyFont="1" applyFill="1" applyBorder="1"/>
    <xf numFmtId="3" fontId="342" fillId="341" borderId="339" xfId="0" applyNumberFormat="1" applyFont="1" applyFill="1" applyBorder="1"/>
    <xf numFmtId="0" fontId="343" fillId="342" borderId="340" xfId="0" applyFont="1" applyFill="1" applyBorder="1"/>
    <xf numFmtId="0" fontId="344" fillId="343" borderId="341" xfId="0" applyFont="1" applyFill="1" applyBorder="1" applyAlignment="1">
      <alignment horizontal="center"/>
    </xf>
    <xf numFmtId="166" fontId="345" fillId="344" borderId="342" xfId="0" applyNumberFormat="1" applyFont="1" applyFill="1" applyBorder="1" applyAlignment="1">
      <alignment horizontal="center"/>
    </xf>
    <xf numFmtId="3" fontId="346" fillId="345" borderId="343" xfId="0" applyNumberFormat="1" applyFont="1" applyFill="1" applyBorder="1"/>
    <xf numFmtId="3" fontId="347" fillId="346" borderId="344" xfId="0" applyNumberFormat="1" applyFont="1" applyFill="1" applyBorder="1"/>
    <xf numFmtId="3" fontId="348" fillId="347" borderId="345" xfId="0" applyNumberFormat="1" applyFont="1" applyFill="1" applyBorder="1"/>
    <xf numFmtId="3" fontId="349" fillId="348" borderId="346" xfId="0" applyNumberFormat="1" applyFont="1" applyFill="1" applyBorder="1"/>
    <xf numFmtId="3" fontId="350" fillId="349" borderId="347" xfId="0" applyNumberFormat="1" applyFont="1" applyFill="1" applyBorder="1"/>
    <xf numFmtId="3" fontId="351" fillId="350" borderId="348" xfId="0" applyNumberFormat="1" applyFont="1" applyFill="1" applyBorder="1"/>
    <xf numFmtId="3" fontId="352" fillId="351" borderId="349" xfId="0" applyNumberFormat="1" applyFont="1" applyFill="1" applyBorder="1"/>
    <xf numFmtId="0" fontId="353" fillId="352" borderId="350" xfId="0" applyFont="1" applyFill="1" applyBorder="1"/>
    <xf numFmtId="0" fontId="354" fillId="353" borderId="351" xfId="0" applyFont="1" applyFill="1" applyBorder="1" applyAlignment="1">
      <alignment horizontal="center"/>
    </xf>
    <xf numFmtId="0" fontId="355" fillId="354" borderId="352" xfId="0" applyFont="1" applyFill="1" applyBorder="1"/>
    <xf numFmtId="3" fontId="356" fillId="355" borderId="353" xfId="0" applyNumberFormat="1" applyFont="1" applyFill="1" applyBorder="1"/>
    <xf numFmtId="3" fontId="357" fillId="356" borderId="354" xfId="0" applyNumberFormat="1" applyFont="1" applyFill="1" applyBorder="1"/>
    <xf numFmtId="3" fontId="358" fillId="357" borderId="355" xfId="0" applyNumberFormat="1" applyFont="1" applyFill="1" applyBorder="1"/>
    <xf numFmtId="3" fontId="359" fillId="358" borderId="356" xfId="0" applyNumberFormat="1" applyFont="1" applyFill="1" applyBorder="1"/>
    <xf numFmtId="3" fontId="360" fillId="359" borderId="357" xfId="0" applyNumberFormat="1" applyFont="1" applyFill="1" applyBorder="1"/>
    <xf numFmtId="3" fontId="361" fillId="360" borderId="358" xfId="0" applyNumberFormat="1" applyFont="1" applyFill="1" applyBorder="1"/>
    <xf numFmtId="3" fontId="362" fillId="361" borderId="359" xfId="0" applyNumberFormat="1" applyFont="1" applyFill="1" applyBorder="1"/>
    <xf numFmtId="0" fontId="363" fillId="362" borderId="360" xfId="0" applyFont="1" applyFill="1" applyBorder="1"/>
    <xf numFmtId="0" fontId="365" fillId="364" borderId="361" xfId="0" applyFont="1" applyFill="1" applyBorder="1" applyAlignment="1">
      <alignment horizontal="center" vertical="center"/>
    </xf>
    <xf numFmtId="0" fontId="366" fillId="365" borderId="362" xfId="0" applyFont="1" applyFill="1" applyBorder="1" applyAlignment="1">
      <alignment horizontal="center" vertical="center"/>
    </xf>
    <xf numFmtId="0" fontId="367" fillId="366" borderId="363" xfId="0" applyFont="1" applyFill="1" applyBorder="1" applyAlignment="1">
      <alignment horizontal="center" vertical="center"/>
    </xf>
    <xf numFmtId="0" fontId="368" fillId="367" borderId="364" xfId="0" applyFont="1" applyFill="1" applyBorder="1"/>
    <xf numFmtId="3" fontId="369" fillId="368" borderId="365" xfId="0" applyNumberFormat="1" applyFont="1" applyFill="1" applyBorder="1"/>
    <xf numFmtId="164" fontId="370" fillId="369" borderId="366" xfId="0" applyNumberFormat="1" applyFont="1" applyFill="1" applyBorder="1"/>
    <xf numFmtId="0" fontId="371" fillId="370" borderId="367" xfId="0" applyFont="1" applyFill="1" applyBorder="1"/>
    <xf numFmtId="3" fontId="372" fillId="371" borderId="368" xfId="0" applyNumberFormat="1" applyFont="1" applyFill="1" applyBorder="1"/>
    <xf numFmtId="164" fontId="373" fillId="372" borderId="369" xfId="0" applyNumberFormat="1" applyFont="1" applyFill="1" applyBorder="1"/>
    <xf numFmtId="0" fontId="374" fillId="373" borderId="370" xfId="0" applyFont="1" applyFill="1" applyBorder="1"/>
    <xf numFmtId="3" fontId="375" fillId="374" borderId="371" xfId="0" applyNumberFormat="1" applyFont="1" applyFill="1" applyBorder="1"/>
    <xf numFmtId="164" fontId="376" fillId="375" borderId="372" xfId="0" applyNumberFormat="1" applyFont="1" applyFill="1" applyBorder="1"/>
    <xf numFmtId="0" fontId="377" fillId="376" borderId="373" xfId="0" applyFont="1" applyFill="1" applyBorder="1"/>
    <xf numFmtId="3" fontId="378" fillId="377" borderId="374" xfId="0" applyNumberFormat="1" applyFont="1" applyFill="1" applyBorder="1"/>
    <xf numFmtId="164" fontId="379" fillId="378" borderId="375" xfId="0" applyNumberFormat="1" applyFont="1" applyFill="1" applyBorder="1"/>
    <xf numFmtId="0" fontId="380" fillId="379" borderId="376" xfId="0" applyFont="1" applyFill="1" applyBorder="1"/>
    <xf numFmtId="3" fontId="381" fillId="380" borderId="377" xfId="0" applyNumberFormat="1" applyFont="1" applyFill="1" applyBorder="1"/>
    <xf numFmtId="164" fontId="382" fillId="381" borderId="378" xfId="0" applyNumberFormat="1" applyFont="1" applyFill="1" applyBorder="1"/>
    <xf numFmtId="0" fontId="383" fillId="382" borderId="379" xfId="0" applyFont="1" applyFill="1" applyBorder="1"/>
    <xf numFmtId="3" fontId="384" fillId="383" borderId="380" xfId="0" applyNumberFormat="1" applyFont="1" applyFill="1" applyBorder="1"/>
    <xf numFmtId="164" fontId="385" fillId="384" borderId="381" xfId="0" applyNumberFormat="1" applyFont="1" applyFill="1" applyBorder="1"/>
    <xf numFmtId="0" fontId="386" fillId="385" borderId="382" xfId="0" applyFont="1" applyFill="1" applyBorder="1"/>
    <xf numFmtId="3" fontId="387" fillId="386" borderId="383" xfId="0" applyNumberFormat="1" applyFont="1" applyFill="1" applyBorder="1"/>
    <xf numFmtId="164" fontId="388" fillId="387" borderId="384" xfId="0" applyNumberFormat="1" applyFont="1" applyFill="1" applyBorder="1"/>
    <xf numFmtId="0" fontId="389" fillId="388" borderId="385" xfId="0" applyFont="1" applyFill="1" applyBorder="1"/>
    <xf numFmtId="3" fontId="390" fillId="389" borderId="386" xfId="0" applyNumberFormat="1" applyFont="1" applyFill="1" applyBorder="1"/>
    <xf numFmtId="164" fontId="391" fillId="390" borderId="387" xfId="0" applyNumberFormat="1" applyFont="1" applyFill="1" applyBorder="1"/>
    <xf numFmtId="0" fontId="392" fillId="391" borderId="388" xfId="0" applyFont="1" applyFill="1" applyBorder="1" applyAlignment="1">
      <alignment horizontal="center"/>
    </xf>
    <xf numFmtId="3" fontId="393" fillId="392" borderId="389" xfId="0" applyNumberFormat="1" applyFont="1" applyFill="1" applyBorder="1"/>
    <xf numFmtId="164" fontId="394" fillId="393" borderId="390" xfId="0" applyNumberFormat="1" applyFont="1" applyFill="1" applyBorder="1"/>
    <xf numFmtId="0" fontId="404" fillId="403" borderId="400" xfId="0" applyFont="1" applyFill="1" applyBorder="1"/>
    <xf numFmtId="0" fontId="405" fillId="404" borderId="401" xfId="0" applyFont="1" applyFill="1" applyBorder="1"/>
    <xf numFmtId="0" fontId="406" fillId="405" borderId="402" xfId="0" applyFont="1" applyFill="1" applyBorder="1"/>
    <xf numFmtId="0" fontId="407" fillId="406" borderId="403" xfId="0" applyFont="1" applyFill="1" applyBorder="1"/>
    <xf numFmtId="0" fontId="408" fillId="407" borderId="404" xfId="0" applyFont="1" applyFill="1" applyBorder="1"/>
    <xf numFmtId="0" fontId="409" fillId="408" borderId="405" xfId="0" applyFont="1" applyFill="1" applyBorder="1"/>
    <xf numFmtId="0" fontId="410" fillId="409" borderId="406" xfId="0" applyFont="1" applyFill="1" applyBorder="1"/>
    <xf numFmtId="0" fontId="411" fillId="410" borderId="407" xfId="0" applyFont="1" applyFill="1" applyBorder="1"/>
    <xf numFmtId="0" fontId="412" fillId="411" borderId="408" xfId="0" applyFont="1" applyFill="1" applyBorder="1"/>
    <xf numFmtId="0" fontId="413" fillId="412" borderId="409" xfId="0" applyFont="1" applyFill="1" applyBorder="1"/>
    <xf numFmtId="0" fontId="422" fillId="421" borderId="418" xfId="0" applyFont="1" applyFill="1" applyBorder="1"/>
    <xf numFmtId="0" fontId="423" fillId="422" borderId="419" xfId="0" applyFont="1" applyFill="1" applyBorder="1"/>
    <xf numFmtId="0" fontId="428" fillId="427" borderId="424" xfId="0" applyFont="1" applyFill="1" applyBorder="1"/>
    <xf numFmtId="0" fontId="429" fillId="428" borderId="425" xfId="0" applyFont="1" applyFill="1" applyBorder="1"/>
    <xf numFmtId="0" fontId="430" fillId="429" borderId="426" xfId="0" applyFont="1" applyFill="1" applyBorder="1"/>
    <xf numFmtId="0" fontId="436" fillId="435" borderId="432" xfId="0" applyFont="1" applyFill="1" applyBorder="1"/>
    <xf numFmtId="0" fontId="437" fillId="436" borderId="433" xfId="0" applyFont="1" applyFill="1" applyBorder="1"/>
    <xf numFmtId="0" fontId="438" fillId="437" borderId="434" xfId="0" applyFont="1" applyFill="1" applyBorder="1"/>
    <xf numFmtId="0" fontId="444" fillId="443" borderId="440" xfId="0" applyFont="1" applyFill="1" applyBorder="1"/>
    <xf numFmtId="0" fontId="445" fillId="444" borderId="441" xfId="0" applyFont="1" applyFill="1" applyBorder="1"/>
    <xf numFmtId="0" fontId="446" fillId="445" borderId="442" xfId="0" applyFont="1" applyFill="1" applyBorder="1"/>
    <xf numFmtId="0" fontId="452" fillId="451" borderId="448" xfId="0" applyFont="1" applyFill="1" applyBorder="1"/>
    <xf numFmtId="0" fontId="453" fillId="452" borderId="449" xfId="0" applyFont="1" applyFill="1" applyBorder="1"/>
    <xf numFmtId="0" fontId="454" fillId="453" borderId="450" xfId="0" applyFont="1" applyFill="1" applyBorder="1"/>
    <xf numFmtId="0" fontId="460" fillId="459" borderId="456" xfId="0" applyFont="1" applyFill="1" applyBorder="1"/>
    <xf numFmtId="0" fontId="461" fillId="460" borderId="457" xfId="0" applyFont="1" applyFill="1" applyBorder="1"/>
    <xf numFmtId="0" fontId="462" fillId="461" borderId="458" xfId="0" applyFont="1" applyFill="1" applyBorder="1"/>
    <xf numFmtId="0" fontId="463" fillId="462" borderId="459" xfId="0" applyFont="1" applyFill="1" applyBorder="1"/>
    <xf numFmtId="0" fontId="464" fillId="463" borderId="460" xfId="0" applyFont="1" applyFill="1" applyBorder="1"/>
    <xf numFmtId="0" fontId="465" fillId="464" borderId="461" xfId="0" applyFont="1" applyFill="1" applyBorder="1"/>
    <xf numFmtId="0" fontId="466" fillId="465" borderId="462" xfId="0" applyFont="1" applyFill="1" applyBorder="1"/>
    <xf numFmtId="0" fontId="467" fillId="466" borderId="463" xfId="0" applyFont="1" applyFill="1" applyBorder="1"/>
    <xf numFmtId="0" fontId="468" fillId="467" borderId="464" xfId="0" applyFont="1" applyFill="1" applyBorder="1"/>
    <xf numFmtId="0" fontId="469" fillId="468" borderId="465" xfId="0" applyFont="1" applyFill="1" applyBorder="1"/>
    <xf numFmtId="0" fontId="470" fillId="469" borderId="466" xfId="0" applyFont="1" applyFill="1" applyBorder="1"/>
    <xf numFmtId="0" fontId="480" fillId="479" borderId="476" xfId="0" applyFont="1" applyFill="1" applyBorder="1"/>
    <xf numFmtId="0" fontId="481" fillId="480" borderId="477" xfId="0" applyFont="1" applyFill="1" applyBorder="1"/>
    <xf numFmtId="0" fontId="482" fillId="481" borderId="478" xfId="0" applyFont="1" applyFill="1" applyBorder="1"/>
    <xf numFmtId="0" fontId="483" fillId="482" borderId="479" xfId="0" applyFont="1" applyFill="1" applyBorder="1"/>
    <xf numFmtId="0" fontId="484" fillId="483" borderId="480" xfId="0" applyFont="1" applyFill="1" applyBorder="1"/>
    <xf numFmtId="0" fontId="485" fillId="484" borderId="481" xfId="0" applyFont="1" applyFill="1" applyBorder="1"/>
    <xf numFmtId="0" fontId="486" fillId="485" borderId="482" xfId="0" applyFont="1" applyFill="1" applyBorder="1"/>
    <xf numFmtId="0" fontId="487" fillId="486" borderId="483" xfId="0" applyFont="1" applyFill="1" applyBorder="1"/>
    <xf numFmtId="0" fontId="488" fillId="487" borderId="484" xfId="0" applyFont="1" applyFill="1" applyBorder="1"/>
    <xf numFmtId="0" fontId="489" fillId="488" borderId="485" xfId="0" applyFont="1" applyFill="1" applyBorder="1"/>
    <xf numFmtId="0" fontId="490" fillId="489" borderId="486" xfId="0" applyFont="1" applyFill="1" applyBorder="1"/>
    <xf numFmtId="0" fontId="491" fillId="490" borderId="487" xfId="0" applyFont="1" applyFill="1" applyBorder="1"/>
    <xf numFmtId="0" fontId="492" fillId="491" borderId="488" xfId="0" applyFont="1" applyFill="1" applyBorder="1"/>
    <xf numFmtId="0" fontId="493" fillId="492" borderId="489" xfId="0" applyFont="1" applyFill="1" applyBorder="1"/>
    <xf numFmtId="0" fontId="494" fillId="493" borderId="490" xfId="0" applyFont="1" applyFill="1" applyBorder="1"/>
    <xf numFmtId="0" fontId="495" fillId="494" borderId="491" xfId="0" applyFont="1" applyFill="1" applyBorder="1"/>
    <xf numFmtId="0" fontId="496" fillId="495" borderId="492" xfId="0" applyFont="1" applyFill="1" applyBorder="1"/>
    <xf numFmtId="0" fontId="497" fillId="496" borderId="493" xfId="0" applyFont="1" applyFill="1" applyBorder="1"/>
    <xf numFmtId="0" fontId="498" fillId="497" borderId="494" xfId="0" applyFont="1" applyFill="1" applyBorder="1"/>
    <xf numFmtId="0" fontId="499" fillId="498" borderId="495" xfId="0" applyFont="1" applyFill="1" applyBorder="1"/>
    <xf numFmtId="0" fontId="500" fillId="499" borderId="496" xfId="0" applyFont="1" applyFill="1" applyBorder="1"/>
    <xf numFmtId="0" fontId="501" fillId="500" borderId="497" xfId="0" applyFont="1" applyFill="1" applyBorder="1"/>
    <xf numFmtId="0" fontId="502" fillId="501" borderId="498" xfId="0" applyFont="1" applyFill="1" applyBorder="1"/>
    <xf numFmtId="0" fontId="503" fillId="502" borderId="499" xfId="0" applyFont="1" applyFill="1" applyBorder="1"/>
    <xf numFmtId="0" fontId="504" fillId="503" borderId="500" xfId="0" applyFont="1" applyFill="1" applyBorder="1"/>
    <xf numFmtId="0" fontId="505" fillId="504" borderId="501" xfId="0" applyFont="1" applyFill="1" applyBorder="1"/>
    <xf numFmtId="0" fontId="515" fillId="514" borderId="511" xfId="0" applyFont="1" applyFill="1" applyBorder="1"/>
    <xf numFmtId="0" fontId="516" fillId="515" borderId="512" xfId="0" applyFont="1" applyFill="1" applyBorder="1"/>
    <xf numFmtId="0" fontId="517" fillId="516" borderId="513" xfId="0" applyFont="1" applyFill="1" applyBorder="1"/>
    <xf numFmtId="0" fontId="518" fillId="517" borderId="514" xfId="0" applyFont="1" applyFill="1" applyBorder="1"/>
    <xf numFmtId="0" fontId="519" fillId="518" borderId="515" xfId="0" applyFont="1" applyFill="1" applyBorder="1"/>
    <xf numFmtId="0" fontId="520" fillId="519" borderId="516" xfId="0" applyFont="1" applyFill="1" applyBorder="1"/>
    <xf numFmtId="0" fontId="521" fillId="520" borderId="517" xfId="0" applyFont="1" applyFill="1" applyBorder="1"/>
    <xf numFmtId="0" fontId="522" fillId="521" borderId="518" xfId="0" applyFont="1" applyFill="1" applyBorder="1"/>
    <xf numFmtId="0" fontId="523" fillId="522" borderId="519" xfId="0" applyFont="1" applyFill="1" applyBorder="1"/>
    <xf numFmtId="0" fontId="524" fillId="523" borderId="520" xfId="0" applyFont="1" applyFill="1" applyBorder="1"/>
    <xf numFmtId="0" fontId="525" fillId="524" borderId="521" xfId="0" applyFont="1" applyFill="1" applyBorder="1"/>
    <xf numFmtId="0" fontId="526" fillId="525" borderId="522" xfId="0" applyFont="1" applyFill="1" applyBorder="1"/>
    <xf numFmtId="0" fontId="527" fillId="526" borderId="523" xfId="0" applyFont="1" applyFill="1" applyBorder="1"/>
    <xf numFmtId="0" fontId="528" fillId="527" borderId="524" xfId="0" applyFont="1" applyFill="1" applyBorder="1"/>
    <xf numFmtId="0" fontId="529" fillId="528" borderId="525" xfId="0" applyFont="1" applyFill="1" applyBorder="1"/>
    <xf numFmtId="0" fontId="530" fillId="529" borderId="526" xfId="0" applyFont="1" applyFill="1" applyBorder="1"/>
    <xf numFmtId="0" fontId="531" fillId="530" borderId="527" xfId="0" applyFont="1" applyFill="1" applyBorder="1"/>
    <xf numFmtId="0" fontId="532" fillId="531" borderId="528" xfId="0" applyFont="1" applyFill="1" applyBorder="1"/>
    <xf numFmtId="0" fontId="533" fillId="532" borderId="529" xfId="0" applyFont="1" applyFill="1" applyBorder="1"/>
    <xf numFmtId="0" fontId="534" fillId="533" borderId="530" xfId="0" applyFont="1" applyFill="1" applyBorder="1"/>
    <xf numFmtId="0" fontId="536" fillId="535" borderId="532" xfId="0" applyFont="1" applyFill="1" applyBorder="1"/>
    <xf numFmtId="0" fontId="537" fillId="536" borderId="533" xfId="0" applyFont="1" applyFill="1" applyBorder="1"/>
    <xf numFmtId="0" fontId="538" fillId="537" borderId="534" xfId="0" applyFont="1" applyFill="1" applyBorder="1"/>
    <xf numFmtId="0" fontId="539" fillId="538" borderId="535" xfId="0" applyFont="1" applyFill="1" applyBorder="1"/>
    <xf numFmtId="0" fontId="540" fillId="539" borderId="536" xfId="0" applyFont="1" applyFill="1" applyBorder="1"/>
    <xf numFmtId="0" fontId="541" fillId="540" borderId="537" xfId="0" applyFont="1" applyFill="1" applyBorder="1"/>
    <xf numFmtId="0" fontId="542" fillId="541" borderId="538" xfId="0" applyFont="1" applyFill="1" applyBorder="1"/>
    <xf numFmtId="0" fontId="543" fillId="542" borderId="539" xfId="0" applyFont="1" applyFill="1" applyBorder="1"/>
    <xf numFmtId="0" fontId="544" fillId="543" borderId="540" xfId="0" applyFont="1" applyFill="1" applyBorder="1"/>
    <xf numFmtId="0" fontId="545" fillId="544" borderId="541" xfId="0" applyFont="1" applyFill="1" applyBorder="1"/>
    <xf numFmtId="0" fontId="546" fillId="545" borderId="542" xfId="0" applyFont="1" applyFill="1" applyBorder="1"/>
    <xf numFmtId="0" fontId="547" fillId="546" borderId="543" xfId="0" applyFont="1" applyFill="1" applyBorder="1"/>
    <xf numFmtId="0" fontId="548" fillId="547" borderId="544" xfId="0" applyFont="1" applyFill="1" applyBorder="1"/>
    <xf numFmtId="0" fontId="549" fillId="548" borderId="545" xfId="0" applyFont="1" applyFill="1" applyBorder="1"/>
    <xf numFmtId="0" fontId="550" fillId="549" borderId="546" xfId="0" applyFont="1" applyFill="1" applyBorder="1"/>
    <xf numFmtId="0" fontId="551" fillId="550" borderId="547" xfId="0" applyFont="1" applyFill="1" applyBorder="1"/>
    <xf numFmtId="0" fontId="552" fillId="551" borderId="548" xfId="0" applyFont="1" applyFill="1" applyBorder="1"/>
    <xf numFmtId="0" fontId="553" fillId="552" borderId="549" xfId="0" applyFont="1" applyFill="1" applyBorder="1"/>
    <xf numFmtId="0" fontId="554" fillId="553" borderId="550" xfId="0" applyFont="1" applyFill="1" applyBorder="1"/>
    <xf numFmtId="0" fontId="555" fillId="554" borderId="551" xfId="0" applyFont="1" applyFill="1" applyBorder="1"/>
    <xf numFmtId="0" fontId="557" fillId="556" borderId="553" xfId="0" applyFont="1" applyFill="1" applyBorder="1" applyAlignment="1">
      <alignment horizontal="right"/>
    </xf>
    <xf numFmtId="0" fontId="558" fillId="557" borderId="554" xfId="0" applyFont="1" applyFill="1" applyBorder="1"/>
    <xf numFmtId="0" fontId="559" fillId="558" borderId="555" xfId="0" applyFont="1" applyFill="1" applyBorder="1" applyAlignment="1">
      <alignment horizontal="right"/>
    </xf>
    <xf numFmtId="164" fontId="560" fillId="559" borderId="556" xfId="0" applyNumberFormat="1" applyFont="1" applyFill="1" applyBorder="1"/>
    <xf numFmtId="0" fontId="561" fillId="560" borderId="557" xfId="0" applyFont="1" applyFill="1" applyBorder="1" applyAlignment="1">
      <alignment horizontal="center" vertical="center"/>
    </xf>
    <xf numFmtId="0" fontId="562" fillId="561" borderId="558" xfId="0" applyFont="1" applyFill="1" applyBorder="1" applyAlignment="1">
      <alignment horizontal="center" vertical="center"/>
    </xf>
    <xf numFmtId="0" fontId="563" fillId="562" borderId="559" xfId="0" applyFont="1" applyFill="1" applyBorder="1" applyAlignment="1">
      <alignment horizontal="center" vertical="center"/>
    </xf>
    <xf numFmtId="0" fontId="564" fillId="563" borderId="560" xfId="0" applyFont="1" applyFill="1" applyBorder="1" applyAlignment="1">
      <alignment horizontal="center" vertical="center"/>
    </xf>
    <xf numFmtId="0" fontId="565" fillId="564" borderId="561" xfId="0" applyFont="1" applyFill="1" applyBorder="1" applyAlignment="1">
      <alignment horizontal="center" vertical="center"/>
    </xf>
    <xf numFmtId="0" fontId="566" fillId="565" borderId="562" xfId="0" applyFont="1" applyFill="1" applyBorder="1" applyAlignment="1">
      <alignment horizontal="center" vertical="center"/>
    </xf>
    <xf numFmtId="0" fontId="567" fillId="566" borderId="563" xfId="0" applyFont="1" applyFill="1" applyBorder="1" applyAlignment="1">
      <alignment horizontal="center" vertical="center"/>
    </xf>
    <xf numFmtId="166" fontId="568" fillId="568" borderId="565" xfId="0" applyNumberFormat="1" applyFont="1" applyFill="1" applyBorder="1" applyAlignment="1">
      <alignment horizontal="center"/>
    </xf>
    <xf numFmtId="3" fontId="569" fillId="569" borderId="566" xfId="0" applyNumberFormat="1" applyFont="1" applyFill="1" applyBorder="1"/>
    <xf numFmtId="164" fontId="570" fillId="570" borderId="567" xfId="0" applyNumberFormat="1" applyFont="1" applyFill="1" applyBorder="1"/>
    <xf numFmtId="164" fontId="571" fillId="571" borderId="568" xfId="0" applyNumberFormat="1" applyFont="1" applyFill="1" applyBorder="1"/>
    <xf numFmtId="164" fontId="572" fillId="572" borderId="569" xfId="0" applyNumberFormat="1" applyFont="1" applyFill="1" applyBorder="1" applyAlignment="1">
      <alignment horizontal="right"/>
    </xf>
    <xf numFmtId="164" fontId="573" fillId="573" borderId="570" xfId="0" applyNumberFormat="1" applyFont="1" applyFill="1" applyBorder="1"/>
    <xf numFmtId="166" fontId="575" fillId="575" borderId="571" xfId="0" applyNumberFormat="1" applyFont="1" applyFill="1" applyBorder="1" applyAlignment="1">
      <alignment horizontal="center"/>
    </xf>
    <xf numFmtId="3" fontId="576" fillId="576" borderId="572" xfId="0" applyNumberFormat="1" applyFont="1" applyFill="1" applyBorder="1"/>
    <xf numFmtId="164" fontId="577" fillId="577" borderId="573" xfId="0" applyNumberFormat="1" applyFont="1" applyFill="1" applyBorder="1"/>
    <xf numFmtId="164" fontId="578" fillId="578" borderId="574" xfId="0" applyNumberFormat="1" applyFont="1" applyFill="1" applyBorder="1"/>
    <xf numFmtId="164" fontId="579" fillId="579" borderId="575" xfId="0" applyNumberFormat="1" applyFont="1" applyFill="1" applyBorder="1" applyAlignment="1">
      <alignment horizontal="right"/>
    </xf>
    <xf numFmtId="164" fontId="580" fillId="580" borderId="576" xfId="0" applyNumberFormat="1" applyFont="1" applyFill="1" applyBorder="1"/>
    <xf numFmtId="166" fontId="582" fillId="582" borderId="577" xfId="0" applyNumberFormat="1" applyFont="1" applyFill="1" applyBorder="1" applyAlignment="1">
      <alignment horizontal="center"/>
    </xf>
    <xf numFmtId="3" fontId="583" fillId="583" borderId="578" xfId="0" applyNumberFormat="1" applyFont="1" applyFill="1" applyBorder="1"/>
    <xf numFmtId="164" fontId="584" fillId="584" borderId="579" xfId="0" applyNumberFormat="1" applyFont="1" applyFill="1" applyBorder="1"/>
    <xf numFmtId="164" fontId="585" fillId="585" borderId="580" xfId="0" applyNumberFormat="1" applyFont="1" applyFill="1" applyBorder="1"/>
    <xf numFmtId="164" fontId="586" fillId="586" borderId="581" xfId="0" applyNumberFormat="1" applyFont="1" applyFill="1" applyBorder="1" applyAlignment="1">
      <alignment horizontal="right"/>
    </xf>
    <xf numFmtId="164" fontId="587" fillId="587" borderId="582" xfId="0" applyNumberFormat="1" applyFont="1" applyFill="1" applyBorder="1"/>
    <xf numFmtId="3" fontId="588" fillId="588" borderId="583" xfId="0" applyNumberFormat="1" applyFont="1" applyFill="1" applyBorder="1"/>
    <xf numFmtId="164" fontId="589" fillId="589" borderId="584" xfId="0" applyNumberFormat="1" applyFont="1" applyFill="1" applyBorder="1"/>
    <xf numFmtId="164" fontId="590" fillId="590" borderId="585" xfId="0" applyNumberFormat="1" applyFont="1" applyFill="1" applyBorder="1"/>
    <xf numFmtId="164" fontId="591" fillId="591" borderId="586" xfId="0" applyNumberFormat="1" applyFont="1" applyFill="1" applyBorder="1" applyAlignment="1">
      <alignment horizontal="right"/>
    </xf>
    <xf numFmtId="164" fontId="592" fillId="592" borderId="587" xfId="0" applyNumberFormat="1" applyFont="1" applyFill="1" applyBorder="1"/>
    <xf numFmtId="0" fontId="593" fillId="593" borderId="588" xfId="0" applyFont="1" applyFill="1" applyBorder="1" applyAlignment="1">
      <alignment horizontal="center"/>
    </xf>
    <xf numFmtId="3" fontId="594" fillId="594" borderId="589" xfId="0" applyNumberFormat="1" applyFont="1" applyFill="1" applyBorder="1"/>
    <xf numFmtId="164" fontId="595" fillId="595" borderId="590" xfId="0" applyNumberFormat="1" applyFont="1" applyFill="1" applyBorder="1"/>
    <xf numFmtId="164" fontId="596" fillId="596" borderId="591" xfId="0" applyNumberFormat="1" applyFont="1" applyFill="1" applyBorder="1"/>
    <xf numFmtId="164" fontId="597" fillId="597" borderId="592" xfId="0" applyNumberFormat="1" applyFont="1" applyFill="1" applyBorder="1" applyAlignment="1">
      <alignment horizontal="right"/>
    </xf>
    <xf numFmtId="164" fontId="598" fillId="598" borderId="593" xfId="0" applyNumberFormat="1" applyFont="1" applyFill="1" applyBorder="1"/>
    <xf numFmtId="0" fontId="608" fillId="608" borderId="603" xfId="0" applyFont="1" applyFill="1" applyBorder="1"/>
    <xf numFmtId="0" fontId="609" fillId="609" borderId="604" xfId="0" applyFont="1" applyFill="1" applyBorder="1"/>
    <xf numFmtId="0" fontId="610" fillId="610" borderId="605" xfId="0" applyFont="1" applyFill="1" applyBorder="1"/>
    <xf numFmtId="0" fontId="611" fillId="611" borderId="606" xfId="0" applyFont="1" applyFill="1" applyBorder="1"/>
    <xf numFmtId="0" fontId="612" fillId="612" borderId="607" xfId="0" applyFont="1" applyFill="1" applyBorder="1"/>
    <xf numFmtId="0" fontId="613" fillId="613" borderId="608" xfId="0" applyFont="1" applyFill="1" applyBorder="1"/>
    <xf numFmtId="0" fontId="614" fillId="614" borderId="609" xfId="0" applyFont="1" applyFill="1" applyBorder="1"/>
    <xf numFmtId="0" fontId="615" fillId="615" borderId="610" xfId="0" applyFont="1" applyFill="1" applyBorder="1"/>
    <xf numFmtId="0" fontId="616" fillId="616" borderId="611" xfId="0" applyFont="1" applyFill="1" applyBorder="1"/>
    <xf numFmtId="0" fontId="617" fillId="617" borderId="612" xfId="0" applyFont="1" applyFill="1" applyBorder="1"/>
    <xf numFmtId="0" fontId="618" fillId="618" borderId="613" xfId="0" applyFont="1" applyFill="1" applyBorder="1"/>
    <xf numFmtId="0" fontId="619" fillId="619" borderId="614" xfId="0" applyFont="1" applyFill="1" applyBorder="1"/>
    <xf numFmtId="0" fontId="620" fillId="620" borderId="615" xfId="0" applyFont="1" applyFill="1" applyBorder="1"/>
    <xf numFmtId="0" fontId="621" fillId="621" borderId="616" xfId="0" applyFont="1" applyFill="1" applyBorder="1"/>
    <xf numFmtId="0" fontId="622" fillId="622" borderId="617" xfId="0" applyFont="1" applyFill="1" applyBorder="1"/>
    <xf numFmtId="0" fontId="623" fillId="623" borderId="618" xfId="0" applyFont="1" applyFill="1" applyBorder="1"/>
    <xf numFmtId="0" fontId="624" fillId="624" borderId="619" xfId="0" applyFont="1" applyFill="1" applyBorder="1"/>
    <xf numFmtId="0" fontId="625" fillId="625" borderId="620" xfId="0" applyFont="1" applyFill="1" applyBorder="1"/>
    <xf numFmtId="0" fontId="626" fillId="626" borderId="621" xfId="0" applyFont="1" applyFill="1" applyBorder="1"/>
    <xf numFmtId="0" fontId="627" fillId="627" borderId="622" xfId="0" applyFont="1" applyFill="1" applyBorder="1"/>
    <xf numFmtId="0" fontId="628" fillId="628" borderId="623" xfId="0" applyFont="1" applyFill="1" applyBorder="1"/>
    <xf numFmtId="0" fontId="629" fillId="629" borderId="624" xfId="0" applyFont="1" applyFill="1" applyBorder="1"/>
    <xf numFmtId="0" fontId="630" fillId="630" borderId="625" xfId="0" applyFont="1" applyFill="1" applyBorder="1"/>
    <xf numFmtId="0" fontId="631" fillId="631" borderId="626" xfId="0" applyFont="1" applyFill="1" applyBorder="1"/>
    <xf numFmtId="0" fontId="632" fillId="632" borderId="627" xfId="0" applyFont="1" applyFill="1" applyBorder="1"/>
    <xf numFmtId="0" fontId="633" fillId="633" borderId="628" xfId="0" applyFont="1" applyFill="1" applyBorder="1"/>
    <xf numFmtId="0" fontId="634" fillId="635" borderId="630" xfId="0" applyFont="1" applyFill="1" applyBorder="1"/>
    <xf numFmtId="0" fontId="635" fillId="636" borderId="631" xfId="0" applyFont="1" applyFill="1" applyBorder="1"/>
    <xf numFmtId="0" fontId="636" fillId="637" borderId="632" xfId="0" applyFont="1" applyFill="1" applyBorder="1"/>
    <xf numFmtId="0" fontId="637" fillId="638" borderId="633" xfId="0" applyFont="1" applyFill="1" applyBorder="1"/>
    <xf numFmtId="0" fontId="638" fillId="639" borderId="634" xfId="0" applyFont="1" applyFill="1" applyBorder="1"/>
    <xf numFmtId="0" fontId="639" fillId="640" borderId="635" xfId="0" applyFont="1" applyFill="1" applyBorder="1"/>
    <xf numFmtId="164" fontId="640" fillId="641" borderId="636" xfId="0" applyNumberFormat="1" applyFont="1" applyFill="1" applyBorder="1" applyAlignment="1">
      <alignment horizontal="right"/>
    </xf>
    <xf numFmtId="164" fontId="641" fillId="642" borderId="637" xfId="0" applyNumberFormat="1" applyFont="1" applyFill="1" applyBorder="1" applyAlignment="1">
      <alignment horizontal="right"/>
    </xf>
    <xf numFmtId="164" fontId="642" fillId="643" borderId="638" xfId="0" applyNumberFormat="1" applyFont="1" applyFill="1" applyBorder="1" applyAlignment="1">
      <alignment horizontal="right"/>
    </xf>
    <xf numFmtId="164" fontId="643" fillId="644" borderId="639" xfId="0" applyNumberFormat="1" applyFont="1" applyFill="1" applyBorder="1" applyAlignment="1">
      <alignment horizontal="right"/>
    </xf>
    <xf numFmtId="164" fontId="644" fillId="645" borderId="640" xfId="0" applyNumberFormat="1" applyFont="1" applyFill="1" applyBorder="1" applyAlignment="1">
      <alignment horizontal="right"/>
    </xf>
    <xf numFmtId="164" fontId="645" fillId="646" borderId="641" xfId="0" applyNumberFormat="1" applyFont="1" applyFill="1" applyBorder="1" applyAlignment="1">
      <alignment horizontal="right"/>
    </xf>
    <xf numFmtId="164" fontId="646" fillId="647" borderId="642" xfId="0" applyNumberFormat="1" applyFont="1" applyFill="1" applyBorder="1" applyAlignment="1">
      <alignment horizontal="right"/>
    </xf>
    <xf numFmtId="164" fontId="647" fillId="648" borderId="643" xfId="0" applyNumberFormat="1" applyFont="1" applyFill="1" applyBorder="1" applyAlignment="1">
      <alignment horizontal="right"/>
    </xf>
    <xf numFmtId="164" fontId="648" fillId="649" borderId="644" xfId="0" applyNumberFormat="1" applyFont="1" applyFill="1" applyBorder="1" applyAlignment="1">
      <alignment horizontal="right"/>
    </xf>
    <xf numFmtId="164" fontId="649" fillId="650" borderId="645" xfId="0" applyNumberFormat="1" applyFont="1" applyFill="1" applyBorder="1" applyAlignment="1">
      <alignment horizontal="right"/>
    </xf>
    <xf numFmtId="0" fontId="219" fillId="567" borderId="564" xfId="0" applyFont="1" applyFill="1" applyBorder="1" applyAlignment="1">
      <alignment horizontal="center" vertical="center"/>
    </xf>
    <xf numFmtId="0" fontId="219" fillId="634" borderId="629" xfId="0" applyFont="1" applyFill="1" applyBorder="1" applyAlignment="1">
      <alignment horizontal="center" vertical="center"/>
    </xf>
    <xf numFmtId="2" fontId="574" fillId="574" borderId="645" xfId="0" applyNumberFormat="1" applyFont="1" applyFill="1" applyBorder="1"/>
    <xf numFmtId="2" fontId="581" fillId="581" borderId="645" xfId="0" applyNumberFormat="1" applyFont="1" applyFill="1" applyBorder="1"/>
    <xf numFmtId="0" fontId="658" fillId="660" borderId="645" xfId="0" applyFont="1" applyFill="1" applyBorder="1" applyAlignment="1">
      <alignment horizontal="left" vertical="center"/>
    </xf>
    <xf numFmtId="0" fontId="667" fillId="669" borderId="645" xfId="0" applyFont="1" applyFill="1" applyBorder="1" applyAlignment="1">
      <alignment horizontal="left" vertical="center"/>
    </xf>
    <xf numFmtId="0" fontId="675" fillId="677" borderId="645" xfId="0" applyFont="1" applyFill="1" applyBorder="1" applyAlignment="1">
      <alignment horizontal="left" vertical="center"/>
    </xf>
    <xf numFmtId="0" fontId="683" fillId="685" borderId="645" xfId="0" applyFont="1" applyFill="1" applyBorder="1" applyAlignment="1">
      <alignment horizontal="left" vertical="center"/>
    </xf>
    <xf numFmtId="0" fontId="691" fillId="693" borderId="645" xfId="0" applyFont="1" applyFill="1" applyBorder="1" applyAlignment="1">
      <alignment horizontal="left" vertical="center"/>
    </xf>
    <xf numFmtId="0" fontId="699" fillId="701" borderId="645" xfId="0" applyFont="1" applyFill="1" applyBorder="1" applyAlignment="1">
      <alignment horizontal="center" vertical="center"/>
    </xf>
    <xf numFmtId="0" fontId="535" fillId="534" borderId="531" xfId="0" applyFont="1" applyFill="1" applyBorder="1"/>
    <xf numFmtId="0" fontId="701" fillId="703" borderId="647" xfId="0" applyFont="1" applyFill="1" applyBorder="1" applyAlignment="1">
      <alignment horizontal="center" vertical="center"/>
    </xf>
    <xf numFmtId="0" fontId="702" fillId="704" borderId="648" xfId="0" applyFont="1" applyFill="1" applyBorder="1" applyAlignment="1">
      <alignment horizontal="center" vertical="center"/>
    </xf>
    <xf numFmtId="0" fontId="703" fillId="705" borderId="649" xfId="0" applyFont="1" applyFill="1" applyBorder="1" applyAlignment="1">
      <alignment horizontal="center" vertical="center"/>
    </xf>
    <xf numFmtId="0" fontId="704" fillId="706" borderId="650" xfId="0" applyFont="1" applyFill="1" applyBorder="1" applyAlignment="1">
      <alignment horizontal="center" vertical="center"/>
    </xf>
    <xf numFmtId="0" fontId="705" fillId="707" borderId="651" xfId="0" applyFont="1" applyFill="1" applyBorder="1" applyAlignment="1">
      <alignment horizontal="center" vertical="center"/>
    </xf>
    <xf numFmtId="0" fontId="706" fillId="708" borderId="652" xfId="0" applyFont="1" applyFill="1" applyBorder="1" applyAlignment="1">
      <alignment horizontal="center" vertical="center"/>
    </xf>
    <xf numFmtId="0" fontId="707" fillId="709" borderId="653" xfId="0" applyFont="1" applyFill="1" applyBorder="1" applyAlignment="1">
      <alignment horizontal="center" vertical="center"/>
    </xf>
    <xf numFmtId="0" fontId="708" fillId="710" borderId="654" xfId="0" applyFont="1" applyFill="1" applyBorder="1" applyAlignment="1">
      <alignment horizontal="center" vertical="center"/>
    </xf>
    <xf numFmtId="0" fontId="709" fillId="711" borderId="655" xfId="0" applyFont="1" applyFill="1" applyBorder="1" applyAlignment="1">
      <alignment horizontal="center" vertical="center"/>
    </xf>
    <xf numFmtId="0" fontId="710" fillId="712" borderId="656" xfId="0" applyFont="1" applyFill="1" applyBorder="1" applyAlignment="1">
      <alignment horizontal="center" vertical="center"/>
    </xf>
    <xf numFmtId="0" fontId="711" fillId="713" borderId="657" xfId="0" applyFont="1" applyFill="1" applyBorder="1"/>
    <xf numFmtId="0" fontId="712" fillId="714" borderId="658" xfId="0" applyFont="1" applyFill="1" applyBorder="1"/>
    <xf numFmtId="0" fontId="713" fillId="715" borderId="659" xfId="0" applyFont="1" applyFill="1" applyBorder="1"/>
    <xf numFmtId="0" fontId="714" fillId="716" borderId="660" xfId="0" applyFont="1" applyFill="1" applyBorder="1" applyAlignment="1">
      <alignment horizontal="center" vertical="center"/>
    </xf>
    <xf numFmtId="0" fontId="715" fillId="717" borderId="661" xfId="0" applyFont="1" applyFill="1" applyBorder="1" applyAlignment="1">
      <alignment horizontal="center" vertical="center"/>
    </xf>
    <xf numFmtId="0" fontId="716" fillId="718" borderId="662" xfId="0" applyFont="1" applyFill="1" applyBorder="1" applyAlignment="1">
      <alignment horizontal="center" vertical="center"/>
    </xf>
    <xf numFmtId="0" fontId="717" fillId="719" borderId="663" xfId="0" applyFont="1" applyFill="1" applyBorder="1" applyAlignment="1">
      <alignment horizontal="center" vertical="center"/>
    </xf>
    <xf numFmtId="0" fontId="718" fillId="720" borderId="664" xfId="0" applyFont="1" applyFill="1" applyBorder="1" applyAlignment="1">
      <alignment horizontal="center" vertical="center"/>
    </xf>
    <xf numFmtId="0" fontId="719" fillId="721" borderId="665" xfId="0" applyFont="1" applyFill="1" applyBorder="1" applyAlignment="1">
      <alignment horizontal="center" vertical="center"/>
    </xf>
    <xf numFmtId="0" fontId="720" fillId="722" borderId="666" xfId="0" applyFont="1" applyFill="1" applyBorder="1" applyAlignment="1">
      <alignment horizontal="center" vertical="center"/>
    </xf>
    <xf numFmtId="2" fontId="721" fillId="723" borderId="667" xfId="0" applyNumberFormat="1" applyFont="1" applyFill="1" applyBorder="1" applyAlignment="1">
      <alignment horizontal="center"/>
    </xf>
    <xf numFmtId="0" fontId="722" fillId="724" borderId="668" xfId="0" applyFont="1" applyFill="1" applyBorder="1" applyAlignment="1">
      <alignment horizontal="center"/>
    </xf>
    <xf numFmtId="1" fontId="723" fillId="725" borderId="669" xfId="0" applyNumberFormat="1" applyFont="1" applyFill="1" applyBorder="1" applyAlignment="1">
      <alignment horizontal="center"/>
    </xf>
    <xf numFmtId="0" fontId="724" fillId="726" borderId="670" xfId="0" applyFont="1" applyFill="1" applyBorder="1"/>
    <xf numFmtId="0" fontId="725" fillId="727" borderId="671" xfId="0" applyFont="1" applyFill="1" applyBorder="1"/>
    <xf numFmtId="0" fontId="726" fillId="728" borderId="672" xfId="0" applyFont="1" applyFill="1" applyBorder="1"/>
    <xf numFmtId="0" fontId="727" fillId="729" borderId="673" xfId="0" applyFont="1" applyFill="1" applyBorder="1" applyAlignment="1">
      <alignment horizontal="center" vertical="center"/>
    </xf>
    <xf numFmtId="0" fontId="728" fillId="730" borderId="674" xfId="0" applyFont="1" applyFill="1" applyBorder="1" applyAlignment="1">
      <alignment horizontal="center" vertical="center"/>
    </xf>
    <xf numFmtId="0" fontId="729" fillId="731" borderId="675" xfId="0" applyFont="1" applyFill="1" applyBorder="1" applyAlignment="1">
      <alignment horizontal="center" vertical="center"/>
    </xf>
    <xf numFmtId="0" fontId="730" fillId="732" borderId="676" xfId="0" applyFont="1" applyFill="1" applyBorder="1" applyAlignment="1">
      <alignment horizontal="center" vertical="center"/>
    </xf>
    <xf numFmtId="0" fontId="731" fillId="733" borderId="677" xfId="0" applyFont="1" applyFill="1" applyBorder="1" applyAlignment="1">
      <alignment horizontal="center" vertical="center"/>
    </xf>
    <xf numFmtId="0" fontId="732" fillId="734" borderId="678" xfId="0" applyFont="1" applyFill="1" applyBorder="1" applyAlignment="1">
      <alignment horizontal="center" vertical="center"/>
    </xf>
    <xf numFmtId="0" fontId="733" fillId="735" borderId="679" xfId="0" applyFont="1" applyFill="1" applyBorder="1" applyAlignment="1">
      <alignment horizontal="center" vertical="center"/>
    </xf>
    <xf numFmtId="2" fontId="734" fillId="736" borderId="680" xfId="0" applyNumberFormat="1" applyFont="1" applyFill="1" applyBorder="1" applyAlignment="1">
      <alignment horizontal="center"/>
    </xf>
    <xf numFmtId="0" fontId="735" fillId="737" borderId="681" xfId="0" applyFont="1" applyFill="1" applyBorder="1" applyAlignment="1">
      <alignment horizontal="center"/>
    </xf>
    <xf numFmtId="1" fontId="736" fillId="738" borderId="682" xfId="0" applyNumberFormat="1" applyFont="1" applyFill="1" applyBorder="1" applyAlignment="1">
      <alignment horizontal="center"/>
    </xf>
    <xf numFmtId="0" fontId="737" fillId="739" borderId="683" xfId="0" applyFont="1" applyFill="1" applyBorder="1"/>
    <xf numFmtId="0" fontId="738" fillId="740" borderId="684" xfId="0" applyFont="1" applyFill="1" applyBorder="1"/>
    <xf numFmtId="0" fontId="739" fillId="741" borderId="685" xfId="0" applyFont="1" applyFill="1" applyBorder="1"/>
    <xf numFmtId="0" fontId="740" fillId="742" borderId="686" xfId="0" applyFont="1" applyFill="1" applyBorder="1" applyAlignment="1">
      <alignment horizontal="center" vertical="center"/>
    </xf>
    <xf numFmtId="0" fontId="741" fillId="743" borderId="687" xfId="0" applyFont="1" applyFill="1" applyBorder="1" applyAlignment="1">
      <alignment horizontal="center" vertical="center"/>
    </xf>
    <xf numFmtId="0" fontId="742" fillId="744" borderId="688" xfId="0" applyFont="1" applyFill="1" applyBorder="1" applyAlignment="1">
      <alignment horizontal="center" vertical="center"/>
    </xf>
    <xf numFmtId="0" fontId="743" fillId="745" borderId="689" xfId="0" applyFont="1" applyFill="1" applyBorder="1" applyAlignment="1">
      <alignment horizontal="center" vertical="center"/>
    </xf>
    <xf numFmtId="0" fontId="744" fillId="746" borderId="690" xfId="0" applyFont="1" applyFill="1" applyBorder="1" applyAlignment="1">
      <alignment horizontal="center" vertical="center"/>
    </xf>
    <xf numFmtId="0" fontId="745" fillId="747" borderId="691" xfId="0" applyFont="1" applyFill="1" applyBorder="1" applyAlignment="1">
      <alignment horizontal="center" vertical="center"/>
    </xf>
    <xf numFmtId="0" fontId="746" fillId="748" borderId="692" xfId="0" applyFont="1" applyFill="1" applyBorder="1" applyAlignment="1">
      <alignment horizontal="center" vertical="center"/>
    </xf>
    <xf numFmtId="2" fontId="747" fillId="749" borderId="693" xfId="0" applyNumberFormat="1" applyFont="1" applyFill="1" applyBorder="1" applyAlignment="1">
      <alignment horizontal="center"/>
    </xf>
    <xf numFmtId="0" fontId="748" fillId="750" borderId="694" xfId="0" applyFont="1" applyFill="1" applyBorder="1" applyAlignment="1">
      <alignment horizontal="center"/>
    </xf>
    <xf numFmtId="1" fontId="749" fillId="751" borderId="695" xfId="0" applyNumberFormat="1" applyFont="1" applyFill="1" applyBorder="1" applyAlignment="1">
      <alignment horizontal="center"/>
    </xf>
    <xf numFmtId="0" fontId="750" fillId="752" borderId="696" xfId="0" applyFont="1" applyFill="1" applyBorder="1"/>
    <xf numFmtId="0" fontId="751" fillId="753" borderId="697" xfId="0" applyFont="1" applyFill="1" applyBorder="1"/>
    <xf numFmtId="0" fontId="752" fillId="754" borderId="698" xfId="0" applyFont="1" applyFill="1" applyBorder="1"/>
    <xf numFmtId="0" fontId="753" fillId="755" borderId="699" xfId="0" applyFont="1" applyFill="1" applyBorder="1" applyAlignment="1">
      <alignment horizontal="center" vertical="center"/>
    </xf>
    <xf numFmtId="0" fontId="754" fillId="756" borderId="700" xfId="0" applyFont="1" applyFill="1" applyBorder="1" applyAlignment="1">
      <alignment horizontal="center" vertical="center"/>
    </xf>
    <xf numFmtId="0" fontId="755" fillId="757" borderId="701" xfId="0" applyFont="1" applyFill="1" applyBorder="1" applyAlignment="1">
      <alignment horizontal="center" vertical="center"/>
    </xf>
    <xf numFmtId="0" fontId="756" fillId="758" borderId="702" xfId="0" applyFont="1" applyFill="1" applyBorder="1" applyAlignment="1">
      <alignment horizontal="center" vertical="center"/>
    </xf>
    <xf numFmtId="0" fontId="757" fillId="759" borderId="703" xfId="0" applyFont="1" applyFill="1" applyBorder="1" applyAlignment="1">
      <alignment horizontal="center" vertical="center"/>
    </xf>
    <xf numFmtId="0" fontId="758" fillId="760" borderId="704" xfId="0" applyFont="1" applyFill="1" applyBorder="1" applyAlignment="1">
      <alignment horizontal="center" vertical="center"/>
    </xf>
    <xf numFmtId="0" fontId="759" fillId="761" borderId="705" xfId="0" applyFont="1" applyFill="1" applyBorder="1" applyAlignment="1">
      <alignment horizontal="center" vertical="center"/>
    </xf>
    <xf numFmtId="2" fontId="760" fillId="762" borderId="706" xfId="0" applyNumberFormat="1" applyFont="1" applyFill="1" applyBorder="1" applyAlignment="1">
      <alignment horizontal="center"/>
    </xf>
    <xf numFmtId="0" fontId="761" fillId="763" borderId="707" xfId="0" applyFont="1" applyFill="1" applyBorder="1" applyAlignment="1">
      <alignment horizontal="center"/>
    </xf>
    <xf numFmtId="1" fontId="762" fillId="764" borderId="708" xfId="0" applyNumberFormat="1" applyFont="1" applyFill="1" applyBorder="1" applyAlignment="1">
      <alignment horizontal="center"/>
    </xf>
    <xf numFmtId="0" fontId="763" fillId="765" borderId="709" xfId="0" applyFont="1" applyFill="1" applyBorder="1"/>
    <xf numFmtId="0" fontId="764" fillId="766" borderId="710" xfId="0" applyFont="1" applyFill="1" applyBorder="1"/>
    <xf numFmtId="0" fontId="765" fillId="767" borderId="711" xfId="0" applyFont="1" applyFill="1" applyBorder="1"/>
    <xf numFmtId="0" fontId="766" fillId="768" borderId="712" xfId="0" applyFont="1" applyFill="1" applyBorder="1" applyAlignment="1">
      <alignment horizontal="center" vertical="center"/>
    </xf>
    <xf numFmtId="0" fontId="767" fillId="769" borderId="713" xfId="0" applyFont="1" applyFill="1" applyBorder="1" applyAlignment="1">
      <alignment horizontal="center" vertical="center"/>
    </xf>
    <xf numFmtId="0" fontId="768" fillId="770" borderId="714" xfId="0" applyFont="1" applyFill="1" applyBorder="1" applyAlignment="1">
      <alignment horizontal="center" vertical="center"/>
    </xf>
    <xf numFmtId="0" fontId="769" fillId="771" borderId="715" xfId="0" applyFont="1" applyFill="1" applyBorder="1" applyAlignment="1">
      <alignment horizontal="center" vertical="center"/>
    </xf>
    <xf numFmtId="0" fontId="770" fillId="772" borderId="716" xfId="0" applyFont="1" applyFill="1" applyBorder="1" applyAlignment="1">
      <alignment horizontal="center" vertical="center"/>
    </xf>
    <xf numFmtId="0" fontId="771" fillId="773" borderId="717" xfId="0" applyFont="1" applyFill="1" applyBorder="1" applyAlignment="1">
      <alignment horizontal="center" vertical="center"/>
    </xf>
    <xf numFmtId="0" fontId="772" fillId="774" borderId="718" xfId="0" applyFont="1" applyFill="1" applyBorder="1" applyAlignment="1">
      <alignment horizontal="center" vertical="center"/>
    </xf>
    <xf numFmtId="2" fontId="773" fillId="775" borderId="719" xfId="0" applyNumberFormat="1" applyFont="1" applyFill="1" applyBorder="1" applyAlignment="1">
      <alignment horizontal="center"/>
    </xf>
    <xf numFmtId="0" fontId="774" fillId="776" borderId="720" xfId="0" applyFont="1" applyFill="1" applyBorder="1" applyAlignment="1">
      <alignment horizontal="center"/>
    </xf>
    <xf numFmtId="1" fontId="775" fillId="777" borderId="721" xfId="0" applyNumberFormat="1" applyFont="1" applyFill="1" applyBorder="1" applyAlignment="1">
      <alignment horizontal="center"/>
    </xf>
    <xf numFmtId="0" fontId="776" fillId="778" borderId="722" xfId="0" applyFont="1" applyFill="1" applyBorder="1"/>
    <xf numFmtId="0" fontId="777" fillId="779" borderId="723" xfId="0" applyFont="1" applyFill="1" applyBorder="1"/>
    <xf numFmtId="0" fontId="778" fillId="780" borderId="724" xfId="0" applyFont="1" applyFill="1" applyBorder="1"/>
    <xf numFmtId="0" fontId="779" fillId="781" borderId="725" xfId="0" applyFont="1" applyFill="1" applyBorder="1" applyAlignment="1">
      <alignment horizontal="center" vertical="center"/>
    </xf>
    <xf numFmtId="0" fontId="780" fillId="782" borderId="726" xfId="0" applyFont="1" applyFill="1" applyBorder="1" applyAlignment="1">
      <alignment horizontal="center" vertical="center"/>
    </xf>
    <xf numFmtId="0" fontId="781" fillId="783" borderId="727" xfId="0" applyFont="1" applyFill="1" applyBorder="1" applyAlignment="1">
      <alignment horizontal="center" vertical="center"/>
    </xf>
    <xf numFmtId="0" fontId="782" fillId="784" borderId="728" xfId="0" applyFont="1" applyFill="1" applyBorder="1" applyAlignment="1">
      <alignment horizontal="center" vertical="center"/>
    </xf>
    <xf numFmtId="0" fontId="783" fillId="785" borderId="729" xfId="0" applyFont="1" applyFill="1" applyBorder="1" applyAlignment="1">
      <alignment horizontal="center" vertical="center"/>
    </xf>
    <xf numFmtId="0" fontId="784" fillId="786" borderId="730" xfId="0" applyFont="1" applyFill="1" applyBorder="1" applyAlignment="1">
      <alignment horizontal="center" vertical="center"/>
    </xf>
    <xf numFmtId="0" fontId="785" fillId="787" borderId="731" xfId="0" applyFont="1" applyFill="1" applyBorder="1" applyAlignment="1">
      <alignment horizontal="center" vertical="center"/>
    </xf>
    <xf numFmtId="2" fontId="786" fillId="788" borderId="732" xfId="0" applyNumberFormat="1" applyFont="1" applyFill="1" applyBorder="1" applyAlignment="1">
      <alignment horizontal="center"/>
    </xf>
    <xf numFmtId="0" fontId="787" fillId="789" borderId="733" xfId="0" applyFont="1" applyFill="1" applyBorder="1" applyAlignment="1">
      <alignment horizontal="center"/>
    </xf>
    <xf numFmtId="1" fontId="788" fillId="790" borderId="734" xfId="0" applyNumberFormat="1" applyFont="1" applyFill="1" applyBorder="1" applyAlignment="1">
      <alignment horizontal="center"/>
    </xf>
    <xf numFmtId="0" fontId="789" fillId="791" borderId="735" xfId="0" applyFont="1" applyFill="1" applyBorder="1"/>
    <xf numFmtId="0" fontId="790" fillId="792" borderId="736" xfId="0" applyFont="1" applyFill="1" applyBorder="1"/>
    <xf numFmtId="0" fontId="791" fillId="793" borderId="737" xfId="0" applyFont="1" applyFill="1" applyBorder="1"/>
    <xf numFmtId="0" fontId="792" fillId="794" borderId="738" xfId="0" applyFont="1" applyFill="1" applyBorder="1" applyAlignment="1">
      <alignment horizontal="center" vertical="center"/>
    </xf>
    <xf numFmtId="0" fontId="793" fillId="795" borderId="739" xfId="0" applyFont="1" applyFill="1" applyBorder="1" applyAlignment="1">
      <alignment horizontal="center" vertical="center"/>
    </xf>
    <xf numFmtId="0" fontId="794" fillId="796" borderId="740" xfId="0" applyFont="1" applyFill="1" applyBorder="1" applyAlignment="1">
      <alignment horizontal="center" vertical="center"/>
    </xf>
    <xf numFmtId="0" fontId="795" fillId="797" borderId="741" xfId="0" applyFont="1" applyFill="1" applyBorder="1" applyAlignment="1">
      <alignment horizontal="center" vertical="center"/>
    </xf>
    <xf numFmtId="0" fontId="796" fillId="798" borderId="742" xfId="0" applyFont="1" applyFill="1" applyBorder="1" applyAlignment="1">
      <alignment horizontal="center" vertical="center"/>
    </xf>
    <xf numFmtId="0" fontId="797" fillId="799" borderId="743" xfId="0" applyFont="1" applyFill="1" applyBorder="1" applyAlignment="1">
      <alignment horizontal="center" vertical="center"/>
    </xf>
    <xf numFmtId="0" fontId="798" fillId="800" borderId="744" xfId="0" applyFont="1" applyFill="1" applyBorder="1" applyAlignment="1">
      <alignment horizontal="center" vertical="center"/>
    </xf>
    <xf numFmtId="2" fontId="799" fillId="801" borderId="745" xfId="0" applyNumberFormat="1" applyFont="1" applyFill="1" applyBorder="1" applyAlignment="1">
      <alignment horizontal="center"/>
    </xf>
    <xf numFmtId="0" fontId="800" fillId="802" borderId="746" xfId="0" applyFont="1" applyFill="1" applyBorder="1" applyAlignment="1">
      <alignment horizontal="center"/>
    </xf>
    <xf numFmtId="1" fontId="801" fillId="803" borderId="747" xfId="0" applyNumberFormat="1" applyFont="1" applyFill="1" applyBorder="1" applyAlignment="1">
      <alignment horizontal="center"/>
    </xf>
    <xf numFmtId="0" fontId="802" fillId="804" borderId="748" xfId="0" applyFont="1" applyFill="1" applyBorder="1"/>
    <xf numFmtId="0" fontId="803" fillId="805" borderId="749" xfId="0" applyFont="1" applyFill="1" applyBorder="1"/>
    <xf numFmtId="0" fontId="804" fillId="806" borderId="750" xfId="0" applyFont="1" applyFill="1" applyBorder="1"/>
    <xf numFmtId="0" fontId="805" fillId="807" borderId="751" xfId="0" applyFont="1" applyFill="1" applyBorder="1" applyAlignment="1">
      <alignment horizontal="center" vertical="center"/>
    </xf>
    <xf numFmtId="0" fontId="806" fillId="808" borderId="752" xfId="0" applyFont="1" applyFill="1" applyBorder="1" applyAlignment="1">
      <alignment horizontal="center" vertical="center"/>
    </xf>
    <xf numFmtId="0" fontId="807" fillId="809" borderId="753" xfId="0" applyFont="1" applyFill="1" applyBorder="1" applyAlignment="1">
      <alignment horizontal="center" vertical="center"/>
    </xf>
    <xf numFmtId="0" fontId="808" fillId="810" borderId="754" xfId="0" applyFont="1" applyFill="1" applyBorder="1" applyAlignment="1">
      <alignment horizontal="center" vertical="center"/>
    </xf>
    <xf numFmtId="0" fontId="809" fillId="811" borderId="755" xfId="0" applyFont="1" applyFill="1" applyBorder="1" applyAlignment="1">
      <alignment horizontal="center" vertical="center"/>
    </xf>
    <xf numFmtId="0" fontId="810" fillId="812" borderId="756" xfId="0" applyFont="1" applyFill="1" applyBorder="1" applyAlignment="1">
      <alignment horizontal="center" vertical="center"/>
    </xf>
    <xf numFmtId="0" fontId="811" fillId="813" borderId="757" xfId="0" applyFont="1" applyFill="1" applyBorder="1" applyAlignment="1">
      <alignment horizontal="center" vertical="center"/>
    </xf>
    <xf numFmtId="2" fontId="812" fillId="814" borderId="758" xfId="0" applyNumberFormat="1" applyFont="1" applyFill="1" applyBorder="1" applyAlignment="1">
      <alignment horizontal="center"/>
    </xf>
    <xf numFmtId="0" fontId="813" fillId="815" borderId="759" xfId="0" applyFont="1" applyFill="1" applyBorder="1" applyAlignment="1">
      <alignment horizontal="center"/>
    </xf>
    <xf numFmtId="1" fontId="814" fillId="816" borderId="760" xfId="0" applyNumberFormat="1" applyFont="1" applyFill="1" applyBorder="1" applyAlignment="1">
      <alignment horizontal="center"/>
    </xf>
    <xf numFmtId="0" fontId="815" fillId="817" borderId="761" xfId="0" applyFont="1" applyFill="1" applyBorder="1"/>
    <xf numFmtId="0" fontId="816" fillId="818" borderId="762" xfId="0" applyFont="1" applyFill="1" applyBorder="1"/>
    <xf numFmtId="0" fontId="817" fillId="819" borderId="763" xfId="0" applyFont="1" applyFill="1" applyBorder="1"/>
    <xf numFmtId="0" fontId="818" fillId="820" borderId="764" xfId="0" applyFont="1" applyFill="1" applyBorder="1" applyAlignment="1">
      <alignment horizontal="center" vertical="center"/>
    </xf>
    <xf numFmtId="0" fontId="819" fillId="821" borderId="765" xfId="0" applyFont="1" applyFill="1" applyBorder="1" applyAlignment="1">
      <alignment horizontal="center" vertical="center"/>
    </xf>
    <xf numFmtId="0" fontId="820" fillId="822" borderId="766" xfId="0" applyFont="1" applyFill="1" applyBorder="1" applyAlignment="1">
      <alignment horizontal="center" vertical="center"/>
    </xf>
    <xf numFmtId="0" fontId="821" fillId="823" borderId="767" xfId="0" applyFont="1" applyFill="1" applyBorder="1" applyAlignment="1">
      <alignment horizontal="center" vertical="center"/>
    </xf>
    <xf numFmtId="0" fontId="822" fillId="824" borderId="768" xfId="0" applyFont="1" applyFill="1" applyBorder="1" applyAlignment="1">
      <alignment horizontal="center" vertical="center"/>
    </xf>
    <xf numFmtId="0" fontId="823" fillId="825" borderId="769" xfId="0" applyFont="1" applyFill="1" applyBorder="1" applyAlignment="1">
      <alignment horizontal="center" vertical="center"/>
    </xf>
    <xf numFmtId="0" fontId="824" fillId="826" borderId="770" xfId="0" applyFont="1" applyFill="1" applyBorder="1" applyAlignment="1">
      <alignment horizontal="center" vertical="center"/>
    </xf>
    <xf numFmtId="2" fontId="825" fillId="827" borderId="771" xfId="0" applyNumberFormat="1" applyFont="1" applyFill="1" applyBorder="1" applyAlignment="1">
      <alignment horizontal="center"/>
    </xf>
    <xf numFmtId="0" fontId="826" fillId="828" borderId="772" xfId="0" applyFont="1" applyFill="1" applyBorder="1" applyAlignment="1">
      <alignment horizontal="center"/>
    </xf>
    <xf numFmtId="1" fontId="827" fillId="829" borderId="773" xfId="0" applyNumberFormat="1" applyFont="1" applyFill="1" applyBorder="1" applyAlignment="1">
      <alignment horizontal="center"/>
    </xf>
    <xf numFmtId="0" fontId="828" fillId="830" borderId="774" xfId="0" applyFont="1" applyFill="1" applyBorder="1"/>
    <xf numFmtId="0" fontId="829" fillId="831" borderId="775" xfId="0" applyFont="1" applyFill="1" applyBorder="1"/>
    <xf numFmtId="0" fontId="830" fillId="832" borderId="776" xfId="0" applyFont="1" applyFill="1" applyBorder="1"/>
    <xf numFmtId="0" fontId="831" fillId="833" borderId="777" xfId="0" applyFont="1" applyFill="1" applyBorder="1" applyAlignment="1">
      <alignment horizontal="center" vertical="center"/>
    </xf>
    <xf numFmtId="0" fontId="832" fillId="834" borderId="778" xfId="0" applyFont="1" applyFill="1" applyBorder="1" applyAlignment="1">
      <alignment horizontal="center" vertical="center"/>
    </xf>
    <xf numFmtId="0" fontId="833" fillId="835" borderId="779" xfId="0" applyFont="1" applyFill="1" applyBorder="1" applyAlignment="1">
      <alignment horizontal="center" vertical="center"/>
    </xf>
    <xf numFmtId="0" fontId="834" fillId="836" borderId="780" xfId="0" applyFont="1" applyFill="1" applyBorder="1" applyAlignment="1">
      <alignment horizontal="center" vertical="center"/>
    </xf>
    <xf numFmtId="0" fontId="835" fillId="837" borderId="781" xfId="0" applyFont="1" applyFill="1" applyBorder="1" applyAlignment="1">
      <alignment horizontal="center" vertical="center"/>
    </xf>
    <xf numFmtId="0" fontId="836" fillId="838" borderId="782" xfId="0" applyFont="1" applyFill="1" applyBorder="1" applyAlignment="1">
      <alignment horizontal="center" vertical="center"/>
    </xf>
    <xf numFmtId="0" fontId="837" fillId="839" borderId="783" xfId="0" applyFont="1" applyFill="1" applyBorder="1" applyAlignment="1">
      <alignment horizontal="center" vertical="center"/>
    </xf>
    <xf numFmtId="2" fontId="838" fillId="840" borderId="784" xfId="0" applyNumberFormat="1" applyFont="1" applyFill="1" applyBorder="1" applyAlignment="1">
      <alignment horizontal="center"/>
    </xf>
    <xf numFmtId="0" fontId="839" fillId="841" borderId="785" xfId="0" applyFont="1" applyFill="1" applyBorder="1" applyAlignment="1">
      <alignment horizontal="center"/>
    </xf>
    <xf numFmtId="1" fontId="840" fillId="842" borderId="786" xfId="0" applyNumberFormat="1" applyFont="1" applyFill="1" applyBorder="1" applyAlignment="1">
      <alignment horizontal="center"/>
    </xf>
    <xf numFmtId="0" fontId="841" fillId="843" borderId="787" xfId="0" applyFont="1" applyFill="1" applyBorder="1"/>
    <xf numFmtId="0" fontId="842" fillId="844" borderId="788" xfId="0" applyFont="1" applyFill="1" applyBorder="1"/>
    <xf numFmtId="0" fontId="843" fillId="845" borderId="789" xfId="0" applyFont="1" applyFill="1" applyBorder="1"/>
    <xf numFmtId="0" fontId="844" fillId="846" borderId="790" xfId="0" applyFont="1" applyFill="1" applyBorder="1" applyAlignment="1">
      <alignment horizontal="center" vertical="center"/>
    </xf>
    <xf numFmtId="0" fontId="845" fillId="847" borderId="791" xfId="0" applyFont="1" applyFill="1" applyBorder="1" applyAlignment="1">
      <alignment horizontal="center" vertical="center"/>
    </xf>
    <xf numFmtId="0" fontId="846" fillId="848" borderId="792" xfId="0" applyFont="1" applyFill="1" applyBorder="1" applyAlignment="1">
      <alignment horizontal="center" vertical="center"/>
    </xf>
    <xf numFmtId="0" fontId="847" fillId="849" borderId="793" xfId="0" applyFont="1" applyFill="1" applyBorder="1" applyAlignment="1">
      <alignment horizontal="center" vertical="center"/>
    </xf>
    <xf numFmtId="0" fontId="848" fillId="850" borderId="794" xfId="0" applyFont="1" applyFill="1" applyBorder="1" applyAlignment="1">
      <alignment horizontal="center" vertical="center"/>
    </xf>
    <xf numFmtId="0" fontId="849" fillId="851" borderId="795" xfId="0" applyFont="1" applyFill="1" applyBorder="1" applyAlignment="1">
      <alignment horizontal="center" vertical="center"/>
    </xf>
    <xf numFmtId="0" fontId="850" fillId="852" borderId="796" xfId="0" applyFont="1" applyFill="1" applyBorder="1" applyAlignment="1">
      <alignment horizontal="center" vertical="center"/>
    </xf>
    <xf numFmtId="2" fontId="851" fillId="853" borderId="797" xfId="0" applyNumberFormat="1" applyFont="1" applyFill="1" applyBorder="1" applyAlignment="1">
      <alignment horizontal="center"/>
    </xf>
    <xf numFmtId="0" fontId="852" fillId="854" borderId="798" xfId="0" applyFont="1" applyFill="1" applyBorder="1" applyAlignment="1">
      <alignment horizontal="center"/>
    </xf>
    <xf numFmtId="1" fontId="853" fillId="855" borderId="799" xfId="0" applyNumberFormat="1" applyFont="1" applyFill="1" applyBorder="1" applyAlignment="1">
      <alignment horizontal="center"/>
    </xf>
    <xf numFmtId="0" fontId="854" fillId="856" borderId="800" xfId="0" applyFont="1" applyFill="1" applyBorder="1"/>
    <xf numFmtId="0" fontId="855" fillId="857" borderId="801" xfId="0" applyFont="1" applyFill="1" applyBorder="1"/>
    <xf numFmtId="0" fontId="856" fillId="858" borderId="802" xfId="0" applyFont="1" applyFill="1" applyBorder="1"/>
    <xf numFmtId="0" fontId="857" fillId="859" borderId="803" xfId="0" applyFont="1" applyFill="1" applyBorder="1" applyAlignment="1">
      <alignment horizontal="center" vertical="center"/>
    </xf>
    <xf numFmtId="0" fontId="858" fillId="860" borderId="804" xfId="0" applyFont="1" applyFill="1" applyBorder="1" applyAlignment="1">
      <alignment horizontal="center" vertical="center"/>
    </xf>
    <xf numFmtId="0" fontId="859" fillId="861" borderId="805" xfId="0" applyFont="1" applyFill="1" applyBorder="1" applyAlignment="1">
      <alignment horizontal="center" vertical="center"/>
    </xf>
    <xf numFmtId="0" fontId="860" fillId="862" borderId="806" xfId="0" applyFont="1" applyFill="1" applyBorder="1" applyAlignment="1">
      <alignment horizontal="center" vertical="center"/>
    </xf>
    <xf numFmtId="0" fontId="861" fillId="863" borderId="807" xfId="0" applyFont="1" applyFill="1" applyBorder="1" applyAlignment="1">
      <alignment horizontal="center" vertical="center"/>
    </xf>
    <xf numFmtId="0" fontId="862" fillId="864" borderId="808" xfId="0" applyFont="1" applyFill="1" applyBorder="1" applyAlignment="1">
      <alignment horizontal="center" vertical="center"/>
    </xf>
    <xf numFmtId="0" fontId="863" fillId="865" borderId="809" xfId="0" applyFont="1" applyFill="1" applyBorder="1" applyAlignment="1">
      <alignment horizontal="center" vertical="center"/>
    </xf>
    <xf numFmtId="2" fontId="864" fillId="866" borderId="810" xfId="0" applyNumberFormat="1" applyFont="1" applyFill="1" applyBorder="1" applyAlignment="1">
      <alignment horizontal="center"/>
    </xf>
    <xf numFmtId="0" fontId="865" fillId="867" borderId="811" xfId="0" applyFont="1" applyFill="1" applyBorder="1" applyAlignment="1">
      <alignment horizontal="center"/>
    </xf>
    <xf numFmtId="1" fontId="866" fillId="868" borderId="812" xfId="0" applyNumberFormat="1" applyFont="1" applyFill="1" applyBorder="1" applyAlignment="1">
      <alignment horizontal="center"/>
    </xf>
    <xf numFmtId="0" fontId="867" fillId="869" borderId="813" xfId="0" applyFont="1" applyFill="1" applyBorder="1"/>
    <xf numFmtId="0" fontId="868" fillId="870" borderId="814" xfId="0" applyFont="1" applyFill="1" applyBorder="1"/>
    <xf numFmtId="0" fontId="869" fillId="871" borderId="815" xfId="0" applyFont="1" applyFill="1" applyBorder="1"/>
    <xf numFmtId="0" fontId="870" fillId="872" borderId="816" xfId="0" applyFont="1" applyFill="1" applyBorder="1" applyAlignment="1">
      <alignment horizontal="center" vertical="center"/>
    </xf>
    <xf numFmtId="0" fontId="871" fillId="873" borderId="817" xfId="0" applyFont="1" applyFill="1" applyBorder="1" applyAlignment="1">
      <alignment horizontal="center" vertical="center"/>
    </xf>
    <xf numFmtId="0" fontId="872" fillId="874" borderId="818" xfId="0" applyFont="1" applyFill="1" applyBorder="1" applyAlignment="1">
      <alignment horizontal="center" vertical="center"/>
    </xf>
    <xf numFmtId="0" fontId="873" fillId="875" borderId="819" xfId="0" applyFont="1" applyFill="1" applyBorder="1" applyAlignment="1">
      <alignment horizontal="center" vertical="center"/>
    </xf>
    <xf numFmtId="0" fontId="874" fillId="876" borderId="820" xfId="0" applyFont="1" applyFill="1" applyBorder="1" applyAlignment="1">
      <alignment horizontal="center" vertical="center"/>
    </xf>
    <xf numFmtId="0" fontId="875" fillId="877" borderId="821" xfId="0" applyFont="1" applyFill="1" applyBorder="1" applyAlignment="1">
      <alignment horizontal="center" vertical="center"/>
    </xf>
    <xf numFmtId="0" fontId="876" fillId="878" borderId="822" xfId="0" applyFont="1" applyFill="1" applyBorder="1" applyAlignment="1">
      <alignment horizontal="center" vertical="center"/>
    </xf>
    <xf numFmtId="2" fontId="877" fillId="879" borderId="823" xfId="0" applyNumberFormat="1" applyFont="1" applyFill="1" applyBorder="1" applyAlignment="1">
      <alignment horizontal="center"/>
    </xf>
    <xf numFmtId="0" fontId="878" fillId="880" borderId="824" xfId="0" applyFont="1" applyFill="1" applyBorder="1" applyAlignment="1">
      <alignment horizontal="center"/>
    </xf>
    <xf numFmtId="1" fontId="879" fillId="881" borderId="825" xfId="0" applyNumberFormat="1" applyFont="1" applyFill="1" applyBorder="1" applyAlignment="1">
      <alignment horizontal="center"/>
    </xf>
    <xf numFmtId="0" fontId="880" fillId="882" borderId="826" xfId="0" applyFont="1" applyFill="1" applyBorder="1"/>
    <xf numFmtId="0" fontId="881" fillId="883" borderId="827" xfId="0" applyFont="1" applyFill="1" applyBorder="1"/>
    <xf numFmtId="0" fontId="882" fillId="884" borderId="828" xfId="0" applyFont="1" applyFill="1" applyBorder="1"/>
    <xf numFmtId="0" fontId="883" fillId="885" borderId="829" xfId="0" applyFont="1" applyFill="1" applyBorder="1" applyAlignment="1">
      <alignment horizontal="center" vertical="center"/>
    </xf>
    <xf numFmtId="0" fontId="884" fillId="886" borderId="830" xfId="0" applyFont="1" applyFill="1" applyBorder="1" applyAlignment="1">
      <alignment horizontal="center" vertical="center"/>
    </xf>
    <xf numFmtId="0" fontId="885" fillId="887" borderId="831" xfId="0" applyFont="1" applyFill="1" applyBorder="1" applyAlignment="1">
      <alignment horizontal="center" vertical="center"/>
    </xf>
    <xf numFmtId="0" fontId="886" fillId="888" borderId="832" xfId="0" applyFont="1" applyFill="1" applyBorder="1" applyAlignment="1">
      <alignment horizontal="center" vertical="center"/>
    </xf>
    <xf numFmtId="0" fontId="887" fillId="889" borderId="833" xfId="0" applyFont="1" applyFill="1" applyBorder="1" applyAlignment="1">
      <alignment horizontal="center" vertical="center"/>
    </xf>
    <xf numFmtId="0" fontId="888" fillId="890" borderId="834" xfId="0" applyFont="1" applyFill="1" applyBorder="1" applyAlignment="1">
      <alignment horizontal="center" vertical="center"/>
    </xf>
    <xf numFmtId="0" fontId="889" fillId="891" borderId="835" xfId="0" applyFont="1" applyFill="1" applyBorder="1" applyAlignment="1">
      <alignment horizontal="center" vertical="center"/>
    </xf>
    <xf numFmtId="2" fontId="890" fillId="892" borderId="836" xfId="0" applyNumberFormat="1" applyFont="1" applyFill="1" applyBorder="1" applyAlignment="1">
      <alignment horizontal="center"/>
    </xf>
    <xf numFmtId="0" fontId="891" fillId="893" borderId="837" xfId="0" applyFont="1" applyFill="1" applyBorder="1" applyAlignment="1">
      <alignment horizontal="center"/>
    </xf>
    <xf numFmtId="1" fontId="892" fillId="894" borderId="838" xfId="0" applyNumberFormat="1" applyFont="1" applyFill="1" applyBorder="1" applyAlignment="1">
      <alignment horizontal="center"/>
    </xf>
    <xf numFmtId="0" fontId="893" fillId="895" borderId="839" xfId="0" applyFont="1" applyFill="1" applyBorder="1"/>
    <xf numFmtId="0" fontId="894" fillId="896" borderId="840" xfId="0" applyFont="1" applyFill="1" applyBorder="1"/>
    <xf numFmtId="0" fontId="895" fillId="897" borderId="841" xfId="0" applyFont="1" applyFill="1" applyBorder="1"/>
    <xf numFmtId="0" fontId="896" fillId="898" borderId="842" xfId="0" applyFont="1" applyFill="1" applyBorder="1" applyAlignment="1">
      <alignment horizontal="center" vertical="center"/>
    </xf>
    <xf numFmtId="0" fontId="897" fillId="899" borderId="843" xfId="0" applyFont="1" applyFill="1" applyBorder="1" applyAlignment="1">
      <alignment horizontal="center" vertical="center"/>
    </xf>
    <xf numFmtId="0" fontId="898" fillId="900" borderId="844" xfId="0" applyFont="1" applyFill="1" applyBorder="1" applyAlignment="1">
      <alignment horizontal="center" vertical="center"/>
    </xf>
    <xf numFmtId="0" fontId="899" fillId="901" borderId="845" xfId="0" applyFont="1" applyFill="1" applyBorder="1" applyAlignment="1">
      <alignment horizontal="center" vertical="center"/>
    </xf>
    <xf numFmtId="0" fontId="900" fillId="902" borderId="846" xfId="0" applyFont="1" applyFill="1" applyBorder="1" applyAlignment="1">
      <alignment horizontal="center" vertical="center"/>
    </xf>
    <xf numFmtId="0" fontId="901" fillId="903" borderId="847" xfId="0" applyFont="1" applyFill="1" applyBorder="1" applyAlignment="1">
      <alignment horizontal="center" vertical="center"/>
    </xf>
    <xf numFmtId="0" fontId="902" fillId="904" borderId="848" xfId="0" applyFont="1" applyFill="1" applyBorder="1" applyAlignment="1">
      <alignment horizontal="center" vertical="center"/>
    </xf>
    <xf numFmtId="2" fontId="903" fillId="905" borderId="849" xfId="0" applyNumberFormat="1" applyFont="1" applyFill="1" applyBorder="1" applyAlignment="1">
      <alignment horizontal="center"/>
    </xf>
    <xf numFmtId="0" fontId="904" fillId="906" borderId="850" xfId="0" applyFont="1" applyFill="1" applyBorder="1" applyAlignment="1">
      <alignment horizontal="center"/>
    </xf>
    <xf numFmtId="1" fontId="905" fillId="907" borderId="851" xfId="0" applyNumberFormat="1" applyFont="1" applyFill="1" applyBorder="1" applyAlignment="1">
      <alignment horizontal="center"/>
    </xf>
    <xf numFmtId="0" fontId="906" fillId="908" borderId="852" xfId="0" applyFont="1" applyFill="1" applyBorder="1"/>
    <xf numFmtId="0" fontId="907" fillId="909" borderId="853" xfId="0" applyFont="1" applyFill="1" applyBorder="1"/>
    <xf numFmtId="0" fontId="908" fillId="910" borderId="854" xfId="0" applyFont="1" applyFill="1" applyBorder="1"/>
    <xf numFmtId="0" fontId="909" fillId="911" borderId="855" xfId="0" applyFont="1" applyFill="1" applyBorder="1" applyAlignment="1">
      <alignment horizontal="center" vertical="center"/>
    </xf>
    <xf numFmtId="0" fontId="910" fillId="912" borderId="856" xfId="0" applyFont="1" applyFill="1" applyBorder="1" applyAlignment="1">
      <alignment horizontal="center" vertical="center"/>
    </xf>
    <xf numFmtId="0" fontId="911" fillId="913" borderId="857" xfId="0" applyFont="1" applyFill="1" applyBorder="1" applyAlignment="1">
      <alignment horizontal="center" vertical="center"/>
    </xf>
    <xf numFmtId="0" fontId="912" fillId="914" borderId="858" xfId="0" applyFont="1" applyFill="1" applyBorder="1" applyAlignment="1">
      <alignment horizontal="center" vertical="center"/>
    </xf>
    <xf numFmtId="0" fontId="913" fillId="915" borderId="859" xfId="0" applyFont="1" applyFill="1" applyBorder="1" applyAlignment="1">
      <alignment horizontal="center" vertical="center"/>
    </xf>
    <xf numFmtId="0" fontId="914" fillId="916" borderId="860" xfId="0" applyFont="1" applyFill="1" applyBorder="1" applyAlignment="1">
      <alignment horizontal="center" vertical="center"/>
    </xf>
    <xf numFmtId="0" fontId="915" fillId="917" borderId="861" xfId="0" applyFont="1" applyFill="1" applyBorder="1" applyAlignment="1">
      <alignment horizontal="center" vertical="center"/>
    </xf>
    <xf numFmtId="2" fontId="916" fillId="918" borderId="862" xfId="0" applyNumberFormat="1" applyFont="1" applyFill="1" applyBorder="1" applyAlignment="1">
      <alignment horizontal="center"/>
    </xf>
    <xf numFmtId="0" fontId="917" fillId="919" borderId="863" xfId="0" applyFont="1" applyFill="1" applyBorder="1" applyAlignment="1">
      <alignment horizontal="center"/>
    </xf>
    <xf numFmtId="1" fontId="918" fillId="920" borderId="864" xfId="0" applyNumberFormat="1" applyFont="1" applyFill="1" applyBorder="1" applyAlignment="1">
      <alignment horizontal="center"/>
    </xf>
    <xf numFmtId="0" fontId="919" fillId="921" borderId="865" xfId="0" applyFont="1" applyFill="1" applyBorder="1"/>
    <xf numFmtId="0" fontId="920" fillId="922" borderId="866" xfId="0" applyFont="1" applyFill="1" applyBorder="1"/>
    <xf numFmtId="0" fontId="921" fillId="923" borderId="867" xfId="0" applyFont="1" applyFill="1" applyBorder="1"/>
    <xf numFmtId="0" fontId="922" fillId="924" borderId="868" xfId="0" applyFont="1" applyFill="1" applyBorder="1" applyAlignment="1">
      <alignment horizontal="center" vertical="center"/>
    </xf>
    <xf numFmtId="0" fontId="923" fillId="925" borderId="869" xfId="0" applyFont="1" applyFill="1" applyBorder="1" applyAlignment="1">
      <alignment horizontal="center" vertical="center"/>
    </xf>
    <xf numFmtId="0" fontId="924" fillId="926" borderId="870" xfId="0" applyFont="1" applyFill="1" applyBorder="1" applyAlignment="1">
      <alignment horizontal="center" vertical="center"/>
    </xf>
    <xf numFmtId="0" fontId="925" fillId="927" borderId="871" xfId="0" applyFont="1" applyFill="1" applyBorder="1" applyAlignment="1">
      <alignment horizontal="center" vertical="center"/>
    </xf>
    <xf numFmtId="0" fontId="926" fillId="928" borderId="872" xfId="0" applyFont="1" applyFill="1" applyBorder="1" applyAlignment="1">
      <alignment horizontal="center" vertical="center"/>
    </xf>
    <xf numFmtId="0" fontId="927" fillId="929" borderId="873" xfId="0" applyFont="1" applyFill="1" applyBorder="1" applyAlignment="1">
      <alignment horizontal="center" vertical="center"/>
    </xf>
    <xf numFmtId="0" fontId="928" fillId="930" borderId="874" xfId="0" applyFont="1" applyFill="1" applyBorder="1" applyAlignment="1">
      <alignment horizontal="center" vertical="center"/>
    </xf>
    <xf numFmtId="2" fontId="929" fillId="931" borderId="875" xfId="0" applyNumberFormat="1" applyFont="1" applyFill="1" applyBorder="1" applyAlignment="1">
      <alignment horizontal="center"/>
    </xf>
    <xf numFmtId="0" fontId="930" fillId="932" borderId="876" xfId="0" applyFont="1" applyFill="1" applyBorder="1" applyAlignment="1">
      <alignment horizontal="center"/>
    </xf>
    <xf numFmtId="1" fontId="931" fillId="933" borderId="877" xfId="0" applyNumberFormat="1" applyFont="1" applyFill="1" applyBorder="1" applyAlignment="1">
      <alignment horizontal="center"/>
    </xf>
    <xf numFmtId="0" fontId="932" fillId="934" borderId="878" xfId="0" applyFont="1" applyFill="1" applyBorder="1"/>
    <xf numFmtId="0" fontId="933" fillId="935" borderId="879" xfId="0" applyFont="1" applyFill="1" applyBorder="1"/>
    <xf numFmtId="0" fontId="934" fillId="936" borderId="880" xfId="0" applyFont="1" applyFill="1" applyBorder="1"/>
    <xf numFmtId="0" fontId="935" fillId="937" borderId="881" xfId="0" applyFont="1" applyFill="1" applyBorder="1" applyAlignment="1">
      <alignment horizontal="center" vertical="center"/>
    </xf>
    <xf numFmtId="0" fontId="936" fillId="938" borderId="882" xfId="0" applyFont="1" applyFill="1" applyBorder="1" applyAlignment="1">
      <alignment horizontal="center" vertical="center"/>
    </xf>
    <xf numFmtId="0" fontId="937" fillId="939" borderId="883" xfId="0" applyFont="1" applyFill="1" applyBorder="1" applyAlignment="1">
      <alignment horizontal="center" vertical="center"/>
    </xf>
    <xf numFmtId="0" fontId="938" fillId="940" borderId="884" xfId="0" applyFont="1" applyFill="1" applyBorder="1" applyAlignment="1">
      <alignment horizontal="center" vertical="center"/>
    </xf>
    <xf numFmtId="0" fontId="939" fillId="941" borderId="885" xfId="0" applyFont="1" applyFill="1" applyBorder="1" applyAlignment="1">
      <alignment horizontal="center" vertical="center"/>
    </xf>
    <xf numFmtId="0" fontId="940" fillId="942" borderId="886" xfId="0" applyFont="1" applyFill="1" applyBorder="1" applyAlignment="1">
      <alignment horizontal="center" vertical="center"/>
    </xf>
    <xf numFmtId="0" fontId="941" fillId="943" borderId="887" xfId="0" applyFont="1" applyFill="1" applyBorder="1" applyAlignment="1">
      <alignment horizontal="center" vertical="center"/>
    </xf>
    <xf numFmtId="2" fontId="942" fillId="944" borderId="888" xfId="0" applyNumberFormat="1" applyFont="1" applyFill="1" applyBorder="1" applyAlignment="1">
      <alignment horizontal="center"/>
    </xf>
    <xf numFmtId="0" fontId="943" fillId="945" borderId="889" xfId="0" applyFont="1" applyFill="1" applyBorder="1" applyAlignment="1">
      <alignment horizontal="center"/>
    </xf>
    <xf numFmtId="1" fontId="944" fillId="946" borderId="890" xfId="0" applyNumberFormat="1" applyFont="1" applyFill="1" applyBorder="1" applyAlignment="1">
      <alignment horizontal="center"/>
    </xf>
    <xf numFmtId="0" fontId="945" fillId="947" borderId="891" xfId="0" applyFont="1" applyFill="1" applyBorder="1"/>
    <xf numFmtId="0" fontId="946" fillId="948" borderId="892" xfId="0" applyFont="1" applyFill="1" applyBorder="1"/>
    <xf numFmtId="0" fontId="947" fillId="949" borderId="893" xfId="0" applyFont="1" applyFill="1" applyBorder="1"/>
    <xf numFmtId="0" fontId="948" fillId="950" borderId="894" xfId="0" applyFont="1" applyFill="1" applyBorder="1" applyAlignment="1">
      <alignment horizontal="center" vertical="center"/>
    </xf>
    <xf numFmtId="0" fontId="949" fillId="951" borderId="895" xfId="0" applyFont="1" applyFill="1" applyBorder="1" applyAlignment="1">
      <alignment horizontal="center" vertical="center"/>
    </xf>
    <xf numFmtId="0" fontId="950" fillId="952" borderId="896" xfId="0" applyFont="1" applyFill="1" applyBorder="1" applyAlignment="1">
      <alignment horizontal="center" vertical="center"/>
    </xf>
    <xf numFmtId="0" fontId="951" fillId="953" borderId="897" xfId="0" applyFont="1" applyFill="1" applyBorder="1" applyAlignment="1">
      <alignment horizontal="center" vertical="center"/>
    </xf>
    <xf numFmtId="0" fontId="952" fillId="954" borderId="898" xfId="0" applyFont="1" applyFill="1" applyBorder="1" applyAlignment="1">
      <alignment horizontal="center" vertical="center"/>
    </xf>
    <xf numFmtId="0" fontId="953" fillId="955" borderId="899" xfId="0" applyFont="1" applyFill="1" applyBorder="1" applyAlignment="1">
      <alignment horizontal="center" vertical="center"/>
    </xf>
    <xf numFmtId="0" fontId="954" fillId="956" borderId="900" xfId="0" applyFont="1" applyFill="1" applyBorder="1" applyAlignment="1">
      <alignment horizontal="center" vertical="center"/>
    </xf>
    <xf numFmtId="2" fontId="955" fillId="957" borderId="901" xfId="0" applyNumberFormat="1" applyFont="1" applyFill="1" applyBorder="1" applyAlignment="1">
      <alignment horizontal="center"/>
    </xf>
    <xf numFmtId="0" fontId="956" fillId="958" borderId="902" xfId="0" applyFont="1" applyFill="1" applyBorder="1" applyAlignment="1">
      <alignment horizontal="center"/>
    </xf>
    <xf numFmtId="1" fontId="957" fillId="959" borderId="903" xfId="0" applyNumberFormat="1" applyFont="1" applyFill="1" applyBorder="1" applyAlignment="1">
      <alignment horizontal="center"/>
    </xf>
    <xf numFmtId="0" fontId="958" fillId="960" borderId="904" xfId="0" applyFont="1" applyFill="1" applyBorder="1"/>
    <xf numFmtId="0" fontId="959" fillId="961" borderId="905" xfId="0" applyFont="1" applyFill="1" applyBorder="1"/>
    <xf numFmtId="0" fontId="960" fillId="962" borderId="906" xfId="0" applyFont="1" applyFill="1" applyBorder="1"/>
    <xf numFmtId="0" fontId="961" fillId="963" borderId="907" xfId="0" applyFont="1" applyFill="1" applyBorder="1" applyAlignment="1">
      <alignment horizontal="center" vertical="center"/>
    </xf>
    <xf numFmtId="0" fontId="962" fillId="964" borderId="908" xfId="0" applyFont="1" applyFill="1" applyBorder="1" applyAlignment="1">
      <alignment horizontal="center" vertical="center"/>
    </xf>
    <xf numFmtId="0" fontId="963" fillId="965" borderId="909" xfId="0" applyFont="1" applyFill="1" applyBorder="1" applyAlignment="1">
      <alignment horizontal="center" vertical="center"/>
    </xf>
    <xf numFmtId="0" fontId="964" fillId="966" borderId="910" xfId="0" applyFont="1" applyFill="1" applyBorder="1" applyAlignment="1">
      <alignment horizontal="center" vertical="center"/>
    </xf>
    <xf numFmtId="0" fontId="965" fillId="967" borderId="911" xfId="0" applyFont="1" applyFill="1" applyBorder="1" applyAlignment="1">
      <alignment horizontal="center" vertical="center"/>
    </xf>
    <xf numFmtId="0" fontId="966" fillId="968" borderId="912" xfId="0" applyFont="1" applyFill="1" applyBorder="1" applyAlignment="1">
      <alignment horizontal="center" vertical="center"/>
    </xf>
    <xf numFmtId="0" fontId="967" fillId="969" borderId="913" xfId="0" applyFont="1" applyFill="1" applyBorder="1" applyAlignment="1">
      <alignment horizontal="center" vertical="center"/>
    </xf>
    <xf numFmtId="2" fontId="968" fillId="970" borderId="914" xfId="0" applyNumberFormat="1" applyFont="1" applyFill="1" applyBorder="1" applyAlignment="1">
      <alignment horizontal="center"/>
    </xf>
    <xf numFmtId="0" fontId="969" fillId="971" borderId="915" xfId="0" applyFont="1" applyFill="1" applyBorder="1" applyAlignment="1">
      <alignment horizontal="center"/>
    </xf>
    <xf numFmtId="1" fontId="970" fillId="972" borderId="916" xfId="0" applyNumberFormat="1" applyFont="1" applyFill="1" applyBorder="1" applyAlignment="1">
      <alignment horizontal="center"/>
    </xf>
    <xf numFmtId="0" fontId="971" fillId="973" borderId="917" xfId="0" applyFont="1" applyFill="1" applyBorder="1"/>
    <xf numFmtId="0" fontId="972" fillId="974" borderId="918" xfId="0" applyFont="1" applyFill="1" applyBorder="1"/>
    <xf numFmtId="0" fontId="973" fillId="975" borderId="919" xfId="0" applyFont="1" applyFill="1" applyBorder="1"/>
    <xf numFmtId="0" fontId="974" fillId="976" borderId="920" xfId="0" applyFont="1" applyFill="1" applyBorder="1" applyAlignment="1">
      <alignment horizontal="center" vertical="center"/>
    </xf>
    <xf numFmtId="0" fontId="975" fillId="977" borderId="921" xfId="0" applyFont="1" applyFill="1" applyBorder="1" applyAlignment="1">
      <alignment horizontal="center" vertical="center"/>
    </xf>
    <xf numFmtId="0" fontId="976" fillId="978" borderId="922" xfId="0" applyFont="1" applyFill="1" applyBorder="1" applyAlignment="1">
      <alignment horizontal="center" vertical="center"/>
    </xf>
    <xf numFmtId="0" fontId="977" fillId="979" borderId="923" xfId="0" applyFont="1" applyFill="1" applyBorder="1" applyAlignment="1">
      <alignment horizontal="center" vertical="center"/>
    </xf>
    <xf numFmtId="0" fontId="978" fillId="980" borderId="924" xfId="0" applyFont="1" applyFill="1" applyBorder="1" applyAlignment="1">
      <alignment horizontal="center" vertical="center"/>
    </xf>
    <xf numFmtId="0" fontId="979" fillId="981" borderId="925" xfId="0" applyFont="1" applyFill="1" applyBorder="1" applyAlignment="1">
      <alignment horizontal="center" vertical="center"/>
    </xf>
    <xf numFmtId="0" fontId="980" fillId="982" borderId="926" xfId="0" applyFont="1" applyFill="1" applyBorder="1" applyAlignment="1">
      <alignment horizontal="center" vertical="center"/>
    </xf>
    <xf numFmtId="2" fontId="981" fillId="983" borderId="927" xfId="0" applyNumberFormat="1" applyFont="1" applyFill="1" applyBorder="1" applyAlignment="1">
      <alignment horizontal="center"/>
    </xf>
    <xf numFmtId="0" fontId="982" fillId="984" borderId="928" xfId="0" applyFont="1" applyFill="1" applyBorder="1" applyAlignment="1">
      <alignment horizontal="center"/>
    </xf>
    <xf numFmtId="1" fontId="983" fillId="985" borderId="929" xfId="0" applyNumberFormat="1" applyFont="1" applyFill="1" applyBorder="1" applyAlignment="1">
      <alignment horizontal="center"/>
    </xf>
    <xf numFmtId="0" fontId="984" fillId="986" borderId="930" xfId="0" applyFont="1" applyFill="1" applyBorder="1"/>
    <xf numFmtId="0" fontId="985" fillId="987" borderId="931" xfId="0" applyFont="1" applyFill="1" applyBorder="1"/>
    <xf numFmtId="0" fontId="986" fillId="988" borderId="932" xfId="0" applyFont="1" applyFill="1" applyBorder="1"/>
    <xf numFmtId="0" fontId="987" fillId="989" borderId="933" xfId="0" applyFont="1" applyFill="1" applyBorder="1" applyAlignment="1">
      <alignment horizontal="center" vertical="center"/>
    </xf>
    <xf numFmtId="0" fontId="988" fillId="990" borderId="934" xfId="0" applyFont="1" applyFill="1" applyBorder="1" applyAlignment="1">
      <alignment horizontal="center" vertical="center"/>
    </xf>
    <xf numFmtId="0" fontId="989" fillId="991" borderId="935" xfId="0" applyFont="1" applyFill="1" applyBorder="1" applyAlignment="1">
      <alignment horizontal="center" vertical="center"/>
    </xf>
    <xf numFmtId="0" fontId="990" fillId="992" borderId="936" xfId="0" applyFont="1" applyFill="1" applyBorder="1" applyAlignment="1">
      <alignment horizontal="center" vertical="center"/>
    </xf>
    <xf numFmtId="0" fontId="991" fillId="993" borderId="937" xfId="0" applyFont="1" applyFill="1" applyBorder="1" applyAlignment="1">
      <alignment horizontal="center" vertical="center"/>
    </xf>
    <xf numFmtId="0" fontId="992" fillId="994" borderId="938" xfId="0" applyFont="1" applyFill="1" applyBorder="1" applyAlignment="1">
      <alignment horizontal="center" vertical="center"/>
    </xf>
    <xf numFmtId="0" fontId="993" fillId="995" borderId="939" xfId="0" applyFont="1" applyFill="1" applyBorder="1" applyAlignment="1">
      <alignment horizontal="center" vertical="center"/>
    </xf>
    <xf numFmtId="2" fontId="994" fillId="996" borderId="940" xfId="0" applyNumberFormat="1" applyFont="1" applyFill="1" applyBorder="1" applyAlignment="1">
      <alignment horizontal="center"/>
    </xf>
    <xf numFmtId="0" fontId="995" fillId="997" borderId="941" xfId="0" applyFont="1" applyFill="1" applyBorder="1" applyAlignment="1">
      <alignment horizontal="center"/>
    </xf>
    <xf numFmtId="1" fontId="996" fillId="998" borderId="942" xfId="0" applyNumberFormat="1" applyFont="1" applyFill="1" applyBorder="1" applyAlignment="1">
      <alignment horizontal="center"/>
    </xf>
    <xf numFmtId="0" fontId="997" fillId="999" borderId="943" xfId="0" applyFont="1" applyFill="1" applyBorder="1"/>
    <xf numFmtId="0" fontId="998" fillId="1000" borderId="944" xfId="0" applyFont="1" applyFill="1" applyBorder="1"/>
    <xf numFmtId="0" fontId="999" fillId="1001" borderId="945" xfId="0" applyFont="1" applyFill="1" applyBorder="1"/>
    <xf numFmtId="0" fontId="1000" fillId="1002" borderId="946" xfId="0" applyFont="1" applyFill="1" applyBorder="1" applyAlignment="1">
      <alignment horizontal="center" vertical="center"/>
    </xf>
    <xf numFmtId="0" fontId="1001" fillId="1003" borderId="947" xfId="0" applyFont="1" applyFill="1" applyBorder="1" applyAlignment="1">
      <alignment horizontal="center" vertical="center"/>
    </xf>
    <xf numFmtId="0" fontId="1002" fillId="1004" borderId="948" xfId="0" applyFont="1" applyFill="1" applyBorder="1" applyAlignment="1">
      <alignment horizontal="center" vertical="center"/>
    </xf>
    <xf numFmtId="0" fontId="1003" fillId="1005" borderId="949" xfId="0" applyFont="1" applyFill="1" applyBorder="1" applyAlignment="1">
      <alignment horizontal="center" vertical="center"/>
    </xf>
    <xf numFmtId="0" fontId="1004" fillId="1006" borderId="950" xfId="0" applyFont="1" applyFill="1" applyBorder="1" applyAlignment="1">
      <alignment horizontal="center" vertical="center"/>
    </xf>
    <xf numFmtId="0" fontId="1005" fillId="1007" borderId="951" xfId="0" applyFont="1" applyFill="1" applyBorder="1" applyAlignment="1">
      <alignment horizontal="center" vertical="center"/>
    </xf>
    <xf numFmtId="0" fontId="1006" fillId="1008" borderId="952" xfId="0" applyFont="1" applyFill="1" applyBorder="1" applyAlignment="1">
      <alignment horizontal="center" vertical="center"/>
    </xf>
    <xf numFmtId="2" fontId="1007" fillId="1009" borderId="953" xfId="0" applyNumberFormat="1" applyFont="1" applyFill="1" applyBorder="1" applyAlignment="1">
      <alignment horizontal="center"/>
    </xf>
    <xf numFmtId="0" fontId="1008" fillId="1010" borderId="954" xfId="0" applyFont="1" applyFill="1" applyBorder="1" applyAlignment="1">
      <alignment horizontal="center"/>
    </xf>
    <xf numFmtId="1" fontId="1009" fillId="1011" borderId="955" xfId="0" applyNumberFormat="1" applyFont="1" applyFill="1" applyBorder="1" applyAlignment="1">
      <alignment horizontal="center"/>
    </xf>
    <xf numFmtId="0" fontId="1010" fillId="1012" borderId="956" xfId="0" applyFont="1" applyFill="1" applyBorder="1"/>
    <xf numFmtId="0" fontId="1011" fillId="1013" borderId="957" xfId="0" applyFont="1" applyFill="1" applyBorder="1"/>
    <xf numFmtId="0" fontId="1012" fillId="1014" borderId="958" xfId="0" applyFont="1" applyFill="1" applyBorder="1"/>
    <xf numFmtId="0" fontId="1013" fillId="1015" borderId="959" xfId="0" applyFont="1" applyFill="1" applyBorder="1" applyAlignment="1">
      <alignment horizontal="center" vertical="center"/>
    </xf>
    <xf numFmtId="0" fontId="1014" fillId="1016" borderId="960" xfId="0" applyFont="1" applyFill="1" applyBorder="1" applyAlignment="1">
      <alignment horizontal="center" vertical="center"/>
    </xf>
    <xf numFmtId="0" fontId="1015" fillId="1017" borderId="961" xfId="0" applyFont="1" applyFill="1" applyBorder="1" applyAlignment="1">
      <alignment horizontal="center" vertical="center"/>
    </xf>
    <xf numFmtId="0" fontId="1016" fillId="1018" borderId="962" xfId="0" applyFont="1" applyFill="1" applyBorder="1" applyAlignment="1">
      <alignment horizontal="center" vertical="center"/>
    </xf>
    <xf numFmtId="0" fontId="1017" fillId="1019" borderId="963" xfId="0" applyFont="1" applyFill="1" applyBorder="1" applyAlignment="1">
      <alignment horizontal="center" vertical="center"/>
    </xf>
    <xf numFmtId="0" fontId="1018" fillId="1020" borderId="964" xfId="0" applyFont="1" applyFill="1" applyBorder="1" applyAlignment="1">
      <alignment horizontal="center" vertical="center"/>
    </xf>
    <xf numFmtId="0" fontId="1019" fillId="1021" borderId="965" xfId="0" applyFont="1" applyFill="1" applyBorder="1" applyAlignment="1">
      <alignment horizontal="center" vertical="center"/>
    </xf>
    <xf numFmtId="2" fontId="1020" fillId="1022" borderId="966" xfId="0" applyNumberFormat="1" applyFont="1" applyFill="1" applyBorder="1" applyAlignment="1">
      <alignment horizontal="center"/>
    </xf>
    <xf numFmtId="0" fontId="1021" fillId="1023" borderId="967" xfId="0" applyFont="1" applyFill="1" applyBorder="1" applyAlignment="1">
      <alignment horizontal="center"/>
    </xf>
    <xf numFmtId="1" fontId="1022" fillId="1024" borderId="968" xfId="0" applyNumberFormat="1" applyFont="1" applyFill="1" applyBorder="1" applyAlignment="1">
      <alignment horizontal="center"/>
    </xf>
    <xf numFmtId="0" fontId="1023" fillId="1025" borderId="969" xfId="0" applyFont="1" applyFill="1" applyBorder="1"/>
    <xf numFmtId="0" fontId="1024" fillId="1026" borderId="970" xfId="0" applyFont="1" applyFill="1" applyBorder="1"/>
    <xf numFmtId="0" fontId="1025" fillId="1027" borderId="971" xfId="0" applyFont="1" applyFill="1" applyBorder="1"/>
    <xf numFmtId="0" fontId="1026" fillId="1028" borderId="972" xfId="0" applyFont="1" applyFill="1" applyBorder="1" applyAlignment="1">
      <alignment horizontal="center" vertical="center"/>
    </xf>
    <xf numFmtId="0" fontId="1027" fillId="1029" borderId="973" xfId="0" applyFont="1" applyFill="1" applyBorder="1" applyAlignment="1">
      <alignment horizontal="center" vertical="center"/>
    </xf>
    <xf numFmtId="0" fontId="1028" fillId="1030" borderId="974" xfId="0" applyFont="1" applyFill="1" applyBorder="1" applyAlignment="1">
      <alignment horizontal="center" vertical="center"/>
    </xf>
    <xf numFmtId="0" fontId="1029" fillId="1031" borderId="975" xfId="0" applyFont="1" applyFill="1" applyBorder="1" applyAlignment="1">
      <alignment horizontal="center" vertical="center"/>
    </xf>
    <xf numFmtId="0" fontId="1030" fillId="1032" borderId="976" xfId="0" applyFont="1" applyFill="1" applyBorder="1" applyAlignment="1">
      <alignment horizontal="center" vertical="center"/>
    </xf>
    <xf numFmtId="0" fontId="1031" fillId="1033" borderId="977" xfId="0" applyFont="1" applyFill="1" applyBorder="1" applyAlignment="1">
      <alignment horizontal="center" vertical="center"/>
    </xf>
    <xf numFmtId="0" fontId="1032" fillId="1034" borderId="978" xfId="0" applyFont="1" applyFill="1" applyBorder="1" applyAlignment="1">
      <alignment horizontal="center" vertical="center"/>
    </xf>
    <xf numFmtId="2" fontId="1033" fillId="1035" borderId="979" xfId="0" applyNumberFormat="1" applyFont="1" applyFill="1" applyBorder="1" applyAlignment="1">
      <alignment horizontal="center"/>
    </xf>
    <xf numFmtId="0" fontId="1034" fillId="1036" borderId="980" xfId="0" applyFont="1" applyFill="1" applyBorder="1" applyAlignment="1">
      <alignment horizontal="center"/>
    </xf>
    <xf numFmtId="1" fontId="1035" fillId="1037" borderId="981" xfId="0" applyNumberFormat="1" applyFont="1" applyFill="1" applyBorder="1" applyAlignment="1">
      <alignment horizontal="center"/>
    </xf>
    <xf numFmtId="0" fontId="1036" fillId="1038" borderId="982" xfId="0" applyFont="1" applyFill="1" applyBorder="1"/>
    <xf numFmtId="0" fontId="1037" fillId="1039" borderId="983" xfId="0" applyFont="1" applyFill="1" applyBorder="1"/>
    <xf numFmtId="0" fontId="1038" fillId="1040" borderId="984" xfId="0" applyFont="1" applyFill="1" applyBorder="1"/>
    <xf numFmtId="0" fontId="1039" fillId="1041" borderId="985" xfId="0" applyFont="1" applyFill="1" applyBorder="1" applyAlignment="1">
      <alignment horizontal="center" vertical="center"/>
    </xf>
    <xf numFmtId="0" fontId="1040" fillId="1042" borderId="986" xfId="0" applyFont="1" applyFill="1" applyBorder="1" applyAlignment="1">
      <alignment horizontal="center" vertical="center"/>
    </xf>
    <xf numFmtId="0" fontId="1041" fillId="1043" borderId="987" xfId="0" applyFont="1" applyFill="1" applyBorder="1" applyAlignment="1">
      <alignment horizontal="center" vertical="center"/>
    </xf>
    <xf numFmtId="0" fontId="1042" fillId="1044" borderId="988" xfId="0" applyFont="1" applyFill="1" applyBorder="1" applyAlignment="1">
      <alignment horizontal="center" vertical="center"/>
    </xf>
    <xf numFmtId="0" fontId="1043" fillId="1045" borderId="989" xfId="0" applyFont="1" applyFill="1" applyBorder="1" applyAlignment="1">
      <alignment horizontal="center" vertical="center"/>
    </xf>
    <xf numFmtId="0" fontId="1044" fillId="1046" borderId="990" xfId="0" applyFont="1" applyFill="1" applyBorder="1" applyAlignment="1">
      <alignment horizontal="center" vertical="center"/>
    </xf>
    <xf numFmtId="0" fontId="1045" fillId="1047" borderId="991" xfId="0" applyFont="1" applyFill="1" applyBorder="1" applyAlignment="1">
      <alignment horizontal="center" vertical="center"/>
    </xf>
    <xf numFmtId="2" fontId="1046" fillId="1048" borderId="992" xfId="0" applyNumberFormat="1" applyFont="1" applyFill="1" applyBorder="1" applyAlignment="1">
      <alignment horizontal="center"/>
    </xf>
    <xf numFmtId="0" fontId="1047" fillId="1049" borderId="993" xfId="0" applyFont="1" applyFill="1" applyBorder="1" applyAlignment="1">
      <alignment horizontal="center"/>
    </xf>
    <xf numFmtId="1" fontId="1048" fillId="1050" borderId="994" xfId="0" applyNumberFormat="1" applyFont="1" applyFill="1" applyBorder="1" applyAlignment="1">
      <alignment horizontal="center"/>
    </xf>
    <xf numFmtId="0" fontId="1049" fillId="1051" borderId="995" xfId="0" applyFont="1" applyFill="1" applyBorder="1"/>
    <xf numFmtId="0" fontId="1050" fillId="1052" borderId="996" xfId="0" applyFont="1" applyFill="1" applyBorder="1"/>
    <xf numFmtId="0" fontId="1051" fillId="1053" borderId="997" xfId="0" applyFont="1" applyFill="1" applyBorder="1"/>
    <xf numFmtId="0" fontId="1052" fillId="1054" borderId="998" xfId="0" applyFont="1" applyFill="1" applyBorder="1" applyAlignment="1">
      <alignment horizontal="center" vertical="center"/>
    </xf>
    <xf numFmtId="0" fontId="1053" fillId="1055" borderId="999" xfId="0" applyFont="1" applyFill="1" applyBorder="1" applyAlignment="1">
      <alignment horizontal="center" vertical="center"/>
    </xf>
    <xf numFmtId="0" fontId="1054" fillId="1056" borderId="1000" xfId="0" applyFont="1" applyFill="1" applyBorder="1" applyAlignment="1">
      <alignment horizontal="center" vertical="center"/>
    </xf>
    <xf numFmtId="0" fontId="1055" fillId="1057" borderId="1001" xfId="0" applyFont="1" applyFill="1" applyBorder="1" applyAlignment="1">
      <alignment horizontal="center" vertical="center"/>
    </xf>
    <xf numFmtId="0" fontId="1056" fillId="1058" borderId="1002" xfId="0" applyFont="1" applyFill="1" applyBorder="1" applyAlignment="1">
      <alignment horizontal="center" vertical="center"/>
    </xf>
    <xf numFmtId="0" fontId="1057" fillId="1059" borderId="1003" xfId="0" applyFont="1" applyFill="1" applyBorder="1" applyAlignment="1">
      <alignment horizontal="center" vertical="center"/>
    </xf>
    <xf numFmtId="0" fontId="1058" fillId="1060" borderId="1004" xfId="0" applyFont="1" applyFill="1" applyBorder="1" applyAlignment="1">
      <alignment horizontal="center" vertical="center"/>
    </xf>
    <xf numFmtId="2" fontId="1059" fillId="1061" borderId="1005" xfId="0" applyNumberFormat="1" applyFont="1" applyFill="1" applyBorder="1" applyAlignment="1">
      <alignment horizontal="center"/>
    </xf>
    <xf numFmtId="0" fontId="1060" fillId="1062" borderId="1006" xfId="0" applyFont="1" applyFill="1" applyBorder="1" applyAlignment="1">
      <alignment horizontal="center"/>
    </xf>
    <xf numFmtId="1" fontId="1061" fillId="1063" borderId="1007" xfId="0" applyNumberFormat="1" applyFont="1" applyFill="1" applyBorder="1" applyAlignment="1">
      <alignment horizontal="center"/>
    </xf>
    <xf numFmtId="0" fontId="1062" fillId="1064" borderId="1008" xfId="0" applyFont="1" applyFill="1" applyBorder="1"/>
    <xf numFmtId="0" fontId="1063" fillId="1065" borderId="1009" xfId="0" applyFont="1" applyFill="1" applyBorder="1"/>
    <xf numFmtId="0" fontId="1064" fillId="1066" borderId="1010" xfId="0" applyFont="1" applyFill="1" applyBorder="1"/>
    <xf numFmtId="0" fontId="1065" fillId="1067" borderId="1011" xfId="0" applyFont="1" applyFill="1" applyBorder="1" applyAlignment="1">
      <alignment horizontal="center" vertical="center"/>
    </xf>
    <xf numFmtId="0" fontId="1066" fillId="1068" borderId="1012" xfId="0" applyFont="1" applyFill="1" applyBorder="1" applyAlignment="1">
      <alignment horizontal="center" vertical="center"/>
    </xf>
    <xf numFmtId="0" fontId="1067" fillId="1069" borderId="1013" xfId="0" applyFont="1" applyFill="1" applyBorder="1" applyAlignment="1">
      <alignment horizontal="center" vertical="center"/>
    </xf>
    <xf numFmtId="0" fontId="1068" fillId="1070" borderId="1014" xfId="0" applyFont="1" applyFill="1" applyBorder="1" applyAlignment="1">
      <alignment horizontal="center" vertical="center"/>
    </xf>
    <xf numFmtId="0" fontId="1069" fillId="1071" borderId="1015" xfId="0" applyFont="1" applyFill="1" applyBorder="1" applyAlignment="1">
      <alignment horizontal="center" vertical="center"/>
    </xf>
    <xf numFmtId="0" fontId="1070" fillId="1072" borderId="1016" xfId="0" applyFont="1" applyFill="1" applyBorder="1" applyAlignment="1">
      <alignment horizontal="center" vertical="center"/>
    </xf>
    <xf numFmtId="0" fontId="1071" fillId="1073" borderId="1017" xfId="0" applyFont="1" applyFill="1" applyBorder="1" applyAlignment="1">
      <alignment horizontal="center" vertical="center"/>
    </xf>
    <xf numFmtId="2" fontId="1072" fillId="1074" borderId="1018" xfId="0" applyNumberFormat="1" applyFont="1" applyFill="1" applyBorder="1" applyAlignment="1">
      <alignment horizontal="center"/>
    </xf>
    <xf numFmtId="0" fontId="1073" fillId="1075" borderId="1019" xfId="0" applyFont="1" applyFill="1" applyBorder="1" applyAlignment="1">
      <alignment horizontal="center"/>
    </xf>
    <xf numFmtId="1" fontId="1074" fillId="1076" borderId="1020" xfId="0" applyNumberFormat="1" applyFont="1" applyFill="1" applyBorder="1" applyAlignment="1">
      <alignment horizontal="center"/>
    </xf>
    <xf numFmtId="0" fontId="1075" fillId="1077" borderId="1021" xfId="0" applyFont="1" applyFill="1" applyBorder="1"/>
    <xf numFmtId="0" fontId="1076" fillId="1078" borderId="1022" xfId="0" applyFont="1" applyFill="1" applyBorder="1"/>
    <xf numFmtId="0" fontId="1077" fillId="1079" borderId="1023" xfId="0" applyFont="1" applyFill="1" applyBorder="1"/>
    <xf numFmtId="0" fontId="1078" fillId="1080" borderId="1024" xfId="0" applyFont="1" applyFill="1" applyBorder="1" applyAlignment="1">
      <alignment horizontal="center" vertical="center"/>
    </xf>
    <xf numFmtId="0" fontId="1079" fillId="1081" borderId="1025" xfId="0" applyFont="1" applyFill="1" applyBorder="1" applyAlignment="1">
      <alignment horizontal="center" vertical="center"/>
    </xf>
    <xf numFmtId="0" fontId="1080" fillId="1082" borderId="1026" xfId="0" applyFont="1" applyFill="1" applyBorder="1" applyAlignment="1">
      <alignment horizontal="center" vertical="center"/>
    </xf>
    <xf numFmtId="0" fontId="1081" fillId="1083" borderId="1027" xfId="0" applyFont="1" applyFill="1" applyBorder="1" applyAlignment="1">
      <alignment horizontal="center" vertical="center"/>
    </xf>
    <xf numFmtId="0" fontId="1082" fillId="1084" borderId="1028" xfId="0" applyFont="1" applyFill="1" applyBorder="1" applyAlignment="1">
      <alignment horizontal="center" vertical="center"/>
    </xf>
    <xf numFmtId="0" fontId="1083" fillId="1085" borderId="1029" xfId="0" applyFont="1" applyFill="1" applyBorder="1" applyAlignment="1">
      <alignment horizontal="center" vertical="center"/>
    </xf>
    <xf numFmtId="0" fontId="1084" fillId="1086" borderId="1030" xfId="0" applyFont="1" applyFill="1" applyBorder="1" applyAlignment="1">
      <alignment horizontal="center" vertical="center"/>
    </xf>
    <xf numFmtId="2" fontId="1085" fillId="1087" borderId="1031" xfId="0" applyNumberFormat="1" applyFont="1" applyFill="1" applyBorder="1" applyAlignment="1">
      <alignment horizontal="center"/>
    </xf>
    <xf numFmtId="0" fontId="1086" fillId="1088" borderId="1032" xfId="0" applyFont="1" applyFill="1" applyBorder="1" applyAlignment="1">
      <alignment horizontal="center"/>
    </xf>
    <xf numFmtId="1" fontId="1087" fillId="1089" borderId="1033" xfId="0" applyNumberFormat="1" applyFont="1" applyFill="1" applyBorder="1" applyAlignment="1">
      <alignment horizontal="center"/>
    </xf>
    <xf numFmtId="0" fontId="1088" fillId="1090" borderId="1034" xfId="0" applyFont="1" applyFill="1" applyBorder="1"/>
    <xf numFmtId="0" fontId="1089" fillId="1091" borderId="1035" xfId="0" applyFont="1" applyFill="1" applyBorder="1"/>
    <xf numFmtId="0" fontId="1090" fillId="1092" borderId="1036" xfId="0" applyFont="1" applyFill="1" applyBorder="1"/>
    <xf numFmtId="0" fontId="1091" fillId="1093" borderId="1037" xfId="0" applyFont="1" applyFill="1" applyBorder="1" applyAlignment="1">
      <alignment horizontal="center" vertical="center"/>
    </xf>
    <xf numFmtId="0" fontId="1092" fillId="1094" borderId="1038" xfId="0" applyFont="1" applyFill="1" applyBorder="1" applyAlignment="1">
      <alignment horizontal="center" vertical="center"/>
    </xf>
    <xf numFmtId="0" fontId="1093" fillId="1095" borderId="1039" xfId="0" applyFont="1" applyFill="1" applyBorder="1" applyAlignment="1">
      <alignment horizontal="center" vertical="center"/>
    </xf>
    <xf numFmtId="0" fontId="1094" fillId="1096" borderId="1040" xfId="0" applyFont="1" applyFill="1" applyBorder="1" applyAlignment="1">
      <alignment horizontal="center" vertical="center"/>
    </xf>
    <xf numFmtId="0" fontId="1095" fillId="1097" borderId="1041" xfId="0" applyFont="1" applyFill="1" applyBorder="1" applyAlignment="1">
      <alignment horizontal="center" vertical="center"/>
    </xf>
    <xf numFmtId="0" fontId="1096" fillId="1098" borderId="1042" xfId="0" applyFont="1" applyFill="1" applyBorder="1" applyAlignment="1">
      <alignment horizontal="center" vertical="center"/>
    </xf>
    <xf numFmtId="0" fontId="1097" fillId="1099" borderId="1043" xfId="0" applyFont="1" applyFill="1" applyBorder="1" applyAlignment="1">
      <alignment horizontal="center" vertical="center"/>
    </xf>
    <xf numFmtId="2" fontId="1098" fillId="1100" borderId="1044" xfId="0" applyNumberFormat="1" applyFont="1" applyFill="1" applyBorder="1" applyAlignment="1">
      <alignment horizontal="center"/>
    </xf>
    <xf numFmtId="0" fontId="1099" fillId="1101" borderId="1045" xfId="0" applyFont="1" applyFill="1" applyBorder="1" applyAlignment="1">
      <alignment horizontal="center"/>
    </xf>
    <xf numFmtId="1" fontId="1100" fillId="1102" borderId="1046" xfId="0" applyNumberFormat="1" applyFont="1" applyFill="1" applyBorder="1" applyAlignment="1">
      <alignment horizontal="center"/>
    </xf>
    <xf numFmtId="0" fontId="1101" fillId="1103" borderId="1047" xfId="0" applyFont="1" applyFill="1" applyBorder="1"/>
    <xf numFmtId="0" fontId="1102" fillId="1104" borderId="1048" xfId="0" applyFont="1" applyFill="1" applyBorder="1"/>
    <xf numFmtId="0" fontId="1103" fillId="1105" borderId="1049" xfId="0" applyFont="1" applyFill="1" applyBorder="1"/>
    <xf numFmtId="0" fontId="1104" fillId="1106" borderId="1050" xfId="0" applyFont="1" applyFill="1" applyBorder="1" applyAlignment="1">
      <alignment horizontal="center" vertical="center"/>
    </xf>
    <xf numFmtId="0" fontId="1105" fillId="1107" borderId="1051" xfId="0" applyFont="1" applyFill="1" applyBorder="1" applyAlignment="1">
      <alignment horizontal="center" vertical="center"/>
    </xf>
    <xf numFmtId="0" fontId="1106" fillId="1108" borderId="1052" xfId="0" applyFont="1" applyFill="1" applyBorder="1" applyAlignment="1">
      <alignment horizontal="center" vertical="center"/>
    </xf>
    <xf numFmtId="0" fontId="1107" fillId="1109" borderId="1053" xfId="0" applyFont="1" applyFill="1" applyBorder="1" applyAlignment="1">
      <alignment horizontal="center" vertical="center"/>
    </xf>
    <xf numFmtId="0" fontId="1108" fillId="1110" borderId="1054" xfId="0" applyFont="1" applyFill="1" applyBorder="1" applyAlignment="1">
      <alignment horizontal="center" vertical="center"/>
    </xf>
    <xf numFmtId="0" fontId="1109" fillId="1111" borderId="1055" xfId="0" applyFont="1" applyFill="1" applyBorder="1" applyAlignment="1">
      <alignment horizontal="center" vertical="center"/>
    </xf>
    <xf numFmtId="0" fontId="1110" fillId="1112" borderId="1056" xfId="0" applyFont="1" applyFill="1" applyBorder="1" applyAlignment="1">
      <alignment horizontal="center" vertical="center"/>
    </xf>
    <xf numFmtId="2" fontId="1111" fillId="1113" borderId="1057" xfId="0" applyNumberFormat="1" applyFont="1" applyFill="1" applyBorder="1" applyAlignment="1">
      <alignment horizontal="center"/>
    </xf>
    <xf numFmtId="0" fontId="1112" fillId="1114" borderId="1058" xfId="0" applyFont="1" applyFill="1" applyBorder="1" applyAlignment="1">
      <alignment horizontal="center"/>
    </xf>
    <xf numFmtId="1" fontId="1113" fillId="1115" borderId="1059" xfId="0" applyNumberFormat="1" applyFont="1" applyFill="1" applyBorder="1" applyAlignment="1">
      <alignment horizontal="center"/>
    </xf>
    <xf numFmtId="0" fontId="1114" fillId="1116" borderId="1060" xfId="0" applyFont="1" applyFill="1" applyBorder="1"/>
    <xf numFmtId="0" fontId="1115" fillId="1117" borderId="1061" xfId="0" applyFont="1" applyFill="1" applyBorder="1"/>
    <xf numFmtId="0" fontId="1116" fillId="1118" borderId="1062" xfId="0" applyFont="1" applyFill="1" applyBorder="1"/>
    <xf numFmtId="0" fontId="1117" fillId="1119" borderId="1063" xfId="0" applyFont="1" applyFill="1" applyBorder="1" applyAlignment="1">
      <alignment horizontal="center" vertical="center"/>
    </xf>
    <xf numFmtId="0" fontId="1118" fillId="1120" borderId="1064" xfId="0" applyFont="1" applyFill="1" applyBorder="1" applyAlignment="1">
      <alignment horizontal="center" vertical="center"/>
    </xf>
    <xf numFmtId="0" fontId="1119" fillId="1121" borderId="1065" xfId="0" applyFont="1" applyFill="1" applyBorder="1" applyAlignment="1">
      <alignment horizontal="center" vertical="center"/>
    </xf>
    <xf numFmtId="0" fontId="1120" fillId="1122" borderId="1066" xfId="0" applyFont="1" applyFill="1" applyBorder="1" applyAlignment="1">
      <alignment horizontal="center" vertical="center"/>
    </xf>
    <xf numFmtId="0" fontId="1121" fillId="1123" borderId="1067" xfId="0" applyFont="1" applyFill="1" applyBorder="1" applyAlignment="1">
      <alignment horizontal="center" vertical="center"/>
    </xf>
    <xf numFmtId="0" fontId="1122" fillId="1124" borderId="1068" xfId="0" applyFont="1" applyFill="1" applyBorder="1" applyAlignment="1">
      <alignment horizontal="center" vertical="center"/>
    </xf>
    <xf numFmtId="0" fontId="1123" fillId="1125" borderId="1069" xfId="0" applyFont="1" applyFill="1" applyBorder="1" applyAlignment="1">
      <alignment horizontal="center" vertical="center"/>
    </xf>
    <xf numFmtId="2" fontId="1124" fillId="1126" borderId="1070" xfId="0" applyNumberFormat="1" applyFont="1" applyFill="1" applyBorder="1" applyAlignment="1">
      <alignment horizontal="center"/>
    </xf>
    <xf numFmtId="0" fontId="1125" fillId="1127" borderId="1071" xfId="0" applyFont="1" applyFill="1" applyBorder="1" applyAlignment="1">
      <alignment horizontal="center"/>
    </xf>
    <xf numFmtId="1" fontId="1126" fillId="1128" borderId="1072" xfId="0" applyNumberFormat="1" applyFont="1" applyFill="1" applyBorder="1" applyAlignment="1">
      <alignment horizontal="center"/>
    </xf>
    <xf numFmtId="0" fontId="1127" fillId="1129" borderId="1073" xfId="0" applyFont="1" applyFill="1" applyBorder="1"/>
    <xf numFmtId="0" fontId="1128" fillId="1130" borderId="1074" xfId="0" applyFont="1" applyFill="1" applyBorder="1"/>
    <xf numFmtId="0" fontId="1129" fillId="1131" borderId="1075" xfId="0" applyFont="1" applyFill="1" applyBorder="1"/>
    <xf numFmtId="0" fontId="1130" fillId="1132" borderId="1076" xfId="0" applyFont="1" applyFill="1" applyBorder="1" applyAlignment="1">
      <alignment horizontal="center" vertical="center"/>
    </xf>
    <xf numFmtId="0" fontId="1131" fillId="1133" borderId="1077" xfId="0" applyFont="1" applyFill="1" applyBorder="1" applyAlignment="1">
      <alignment horizontal="center" vertical="center"/>
    </xf>
    <xf numFmtId="0" fontId="1132" fillId="1134" borderId="1078" xfId="0" applyFont="1" applyFill="1" applyBorder="1" applyAlignment="1">
      <alignment horizontal="center" vertical="center"/>
    </xf>
    <xf numFmtId="0" fontId="1133" fillId="1135" borderId="1079" xfId="0" applyFont="1" applyFill="1" applyBorder="1" applyAlignment="1">
      <alignment horizontal="center" vertical="center"/>
    </xf>
    <xf numFmtId="0" fontId="1134" fillId="1136" borderId="1080" xfId="0" applyFont="1" applyFill="1" applyBorder="1" applyAlignment="1">
      <alignment horizontal="center" vertical="center"/>
    </xf>
    <xf numFmtId="0" fontId="1135" fillId="1137" borderId="1081" xfId="0" applyFont="1" applyFill="1" applyBorder="1" applyAlignment="1">
      <alignment horizontal="center" vertical="center"/>
    </xf>
    <xf numFmtId="0" fontId="1136" fillId="1138" borderId="1082" xfId="0" applyFont="1" applyFill="1" applyBorder="1" applyAlignment="1">
      <alignment horizontal="center" vertical="center"/>
    </xf>
    <xf numFmtId="0" fontId="1137" fillId="1139" borderId="1083" xfId="0" applyFont="1" applyFill="1" applyBorder="1"/>
    <xf numFmtId="0" fontId="1138" fillId="1140" borderId="1084" xfId="0" applyFont="1" applyFill="1" applyBorder="1"/>
    <xf numFmtId="0" fontId="1139" fillId="1141" borderId="1085" xfId="0" applyFont="1" applyFill="1" applyBorder="1"/>
    <xf numFmtId="0" fontId="1140" fillId="1142" borderId="1086" xfId="0" applyFont="1" applyFill="1" applyBorder="1"/>
    <xf numFmtId="0" fontId="1141" fillId="1143" borderId="1087" xfId="0" applyFont="1" applyFill="1" applyBorder="1"/>
    <xf numFmtId="0" fontId="1142" fillId="1144" borderId="1088" xfId="0" applyFont="1" applyFill="1" applyBorder="1"/>
    <xf numFmtId="0" fontId="1143" fillId="1145" borderId="1089" xfId="0" applyFont="1" applyFill="1" applyBorder="1"/>
    <xf numFmtId="0" fontId="1144" fillId="1146" borderId="1090" xfId="0" applyFont="1" applyFill="1" applyBorder="1"/>
    <xf numFmtId="0" fontId="1145" fillId="1147" borderId="1091" xfId="0" applyFont="1" applyFill="1" applyBorder="1" applyAlignment="1">
      <alignment horizontal="center" vertical="center"/>
    </xf>
    <xf numFmtId="0" fontId="1146" fillId="1148" borderId="1092" xfId="0" applyFont="1" applyFill="1" applyBorder="1" applyAlignment="1">
      <alignment horizontal="center" vertical="center"/>
    </xf>
    <xf numFmtId="0" fontId="1147" fillId="1149" borderId="1093" xfId="0" applyFont="1" applyFill="1" applyBorder="1" applyAlignment="1">
      <alignment horizontal="center" vertical="center"/>
    </xf>
    <xf numFmtId="0" fontId="1148" fillId="1150" borderId="1094" xfId="0" applyFont="1" applyFill="1" applyBorder="1" applyAlignment="1">
      <alignment horizontal="center" vertical="center"/>
    </xf>
    <xf numFmtId="0" fontId="1149" fillId="1151" borderId="1095" xfId="0" applyFont="1" applyFill="1" applyBorder="1" applyAlignment="1">
      <alignment horizontal="center" vertical="center"/>
    </xf>
    <xf numFmtId="0" fontId="1150" fillId="1152" borderId="1096" xfId="0" applyFont="1" applyFill="1" applyBorder="1" applyAlignment="1">
      <alignment horizontal="center" vertical="center"/>
    </xf>
    <xf numFmtId="0" fontId="1151" fillId="1153" borderId="1097" xfId="0" applyFont="1" applyFill="1" applyBorder="1" applyAlignment="1">
      <alignment horizontal="center" vertical="center"/>
    </xf>
    <xf numFmtId="0" fontId="1152" fillId="1154" borderId="1098" xfId="0" applyFont="1" applyFill="1" applyBorder="1"/>
    <xf numFmtId="0" fontId="1153" fillId="1155" borderId="1099" xfId="0" applyFont="1" applyFill="1" applyBorder="1"/>
    <xf numFmtId="0" fontId="1154" fillId="1156" borderId="1100" xfId="0" applyFont="1" applyFill="1" applyBorder="1"/>
    <xf numFmtId="0" fontId="1155" fillId="1157" borderId="1101" xfId="0" applyFont="1" applyFill="1" applyBorder="1"/>
    <xf numFmtId="0" fontId="1156" fillId="1158" borderId="1102" xfId="0" applyFont="1" applyFill="1" applyBorder="1"/>
    <xf numFmtId="0" fontId="1157" fillId="1159" borderId="1103" xfId="0" applyFont="1" applyFill="1" applyBorder="1"/>
    <xf numFmtId="0" fontId="1158" fillId="1160" borderId="1104" xfId="0" applyFont="1" applyFill="1" applyBorder="1"/>
    <xf numFmtId="0" fontId="1159" fillId="1161" borderId="1105" xfId="0" applyFont="1" applyFill="1" applyBorder="1"/>
    <xf numFmtId="0" fontId="1160" fillId="1162" borderId="1106" xfId="0" applyFont="1" applyFill="1" applyBorder="1" applyAlignment="1">
      <alignment horizontal="center" vertical="center"/>
    </xf>
    <xf numFmtId="0" fontId="1161" fillId="1163" borderId="1107" xfId="0" applyFont="1" applyFill="1" applyBorder="1" applyAlignment="1">
      <alignment horizontal="center" vertical="center"/>
    </xf>
    <xf numFmtId="0" fontId="1162" fillId="1164" borderId="1108" xfId="0" applyFont="1" applyFill="1" applyBorder="1" applyAlignment="1">
      <alignment horizontal="center" vertical="center"/>
    </xf>
    <xf numFmtId="0" fontId="1163" fillId="1165" borderId="1109" xfId="0" applyFont="1" applyFill="1" applyBorder="1" applyAlignment="1">
      <alignment horizontal="center" vertical="center"/>
    </xf>
    <xf numFmtId="0" fontId="1164" fillId="1166" borderId="1110" xfId="0" applyFont="1" applyFill="1" applyBorder="1" applyAlignment="1">
      <alignment horizontal="center" vertical="center"/>
    </xf>
    <xf numFmtId="0" fontId="1165" fillId="1167" borderId="1111" xfId="0" applyFont="1" applyFill="1" applyBorder="1" applyAlignment="1">
      <alignment horizontal="center" vertical="center"/>
    </xf>
    <xf numFmtId="0" fontId="1166" fillId="1168" borderId="1112" xfId="0" applyFont="1" applyFill="1" applyBorder="1" applyAlignment="1">
      <alignment horizontal="center" vertical="center"/>
    </xf>
    <xf numFmtId="0" fontId="1167" fillId="1169" borderId="1113" xfId="0" applyFont="1" applyFill="1" applyBorder="1"/>
    <xf numFmtId="0" fontId="1168" fillId="1170" borderId="1114" xfId="0" applyFont="1" applyFill="1" applyBorder="1"/>
    <xf numFmtId="0" fontId="1169" fillId="1171" borderId="1115" xfId="0" applyFont="1" applyFill="1" applyBorder="1"/>
    <xf numFmtId="0" fontId="1170" fillId="1172" borderId="1116" xfId="0" applyFont="1" applyFill="1" applyBorder="1"/>
    <xf numFmtId="0" fontId="1171" fillId="1173" borderId="1117" xfId="0" applyFont="1" applyFill="1" applyBorder="1"/>
    <xf numFmtId="0" fontId="1172" fillId="1174" borderId="1118" xfId="0" applyFont="1" applyFill="1" applyBorder="1"/>
    <xf numFmtId="0" fontId="1173" fillId="1175" borderId="1119" xfId="0" applyFont="1" applyFill="1" applyBorder="1"/>
    <xf numFmtId="0" fontId="1174" fillId="1176" borderId="1120" xfId="0" applyFont="1" applyFill="1" applyBorder="1"/>
    <xf numFmtId="0" fontId="1175" fillId="1177" borderId="1121" xfId="0" applyFont="1" applyFill="1" applyBorder="1" applyAlignment="1">
      <alignment horizontal="center" vertical="center"/>
    </xf>
    <xf numFmtId="0" fontId="1176" fillId="1178" borderId="1122" xfId="0" applyFont="1" applyFill="1" applyBorder="1" applyAlignment="1">
      <alignment horizontal="center" vertical="center"/>
    </xf>
    <xf numFmtId="0" fontId="1177" fillId="1179" borderId="1123" xfId="0" applyFont="1" applyFill="1" applyBorder="1" applyAlignment="1">
      <alignment horizontal="center" vertical="center"/>
    </xf>
    <xf numFmtId="0" fontId="1178" fillId="1180" borderId="1124" xfId="0" applyFont="1" applyFill="1" applyBorder="1" applyAlignment="1">
      <alignment horizontal="center" vertical="center"/>
    </xf>
    <xf numFmtId="0" fontId="1179" fillId="1181" borderId="1125" xfId="0" applyFont="1" applyFill="1" applyBorder="1" applyAlignment="1">
      <alignment horizontal="center" vertical="center"/>
    </xf>
    <xf numFmtId="0" fontId="1180" fillId="1182" borderId="1126" xfId="0" applyFont="1" applyFill="1" applyBorder="1" applyAlignment="1">
      <alignment horizontal="center" vertical="center"/>
    </xf>
    <xf numFmtId="0" fontId="1181" fillId="1183" borderId="1127" xfId="0" applyFont="1" applyFill="1" applyBorder="1" applyAlignment="1">
      <alignment horizontal="center" vertical="center"/>
    </xf>
    <xf numFmtId="0" fontId="1182" fillId="1184" borderId="1128" xfId="0" applyFont="1" applyFill="1" applyBorder="1"/>
    <xf numFmtId="0" fontId="1183" fillId="1185" borderId="1129" xfId="0" applyFont="1" applyFill="1" applyBorder="1"/>
    <xf numFmtId="0" fontId="1184" fillId="1186" borderId="1130" xfId="0" applyFont="1" applyFill="1" applyBorder="1"/>
    <xf numFmtId="0" fontId="1185" fillId="1187" borderId="1131" xfId="0" applyFont="1" applyFill="1" applyBorder="1"/>
    <xf numFmtId="0" fontId="1186" fillId="1188" borderId="1132" xfId="0" applyFont="1" applyFill="1" applyBorder="1"/>
    <xf numFmtId="0" fontId="1187" fillId="1189" borderId="1133" xfId="0" applyFont="1" applyFill="1" applyBorder="1"/>
    <xf numFmtId="0" fontId="1188" fillId="1190" borderId="1134" xfId="0" applyFont="1" applyFill="1" applyBorder="1"/>
    <xf numFmtId="0" fontId="1189" fillId="1191" borderId="1135" xfId="0" applyFont="1" applyFill="1" applyBorder="1"/>
    <xf numFmtId="0" fontId="1190" fillId="1192" borderId="1136" xfId="0" applyFont="1" applyFill="1" applyBorder="1" applyAlignment="1">
      <alignment horizontal="center" vertical="center"/>
    </xf>
    <xf numFmtId="0" fontId="1191" fillId="1193" borderId="1137" xfId="0" applyFont="1" applyFill="1" applyBorder="1" applyAlignment="1">
      <alignment horizontal="center" vertical="center"/>
    </xf>
    <xf numFmtId="0" fontId="1192" fillId="1194" borderId="1138" xfId="0" applyFont="1" applyFill="1" applyBorder="1" applyAlignment="1">
      <alignment horizontal="center" vertical="center"/>
    </xf>
    <xf numFmtId="0" fontId="1193" fillId="1195" borderId="1139" xfId="0" applyFont="1" applyFill="1" applyBorder="1" applyAlignment="1">
      <alignment horizontal="center" vertical="center"/>
    </xf>
    <xf numFmtId="0" fontId="1194" fillId="1196" borderId="1140" xfId="0" applyFont="1" applyFill="1" applyBorder="1" applyAlignment="1">
      <alignment horizontal="center" vertical="center"/>
    </xf>
    <xf numFmtId="0" fontId="1195" fillId="1197" borderId="1141" xfId="0" applyFont="1" applyFill="1" applyBorder="1" applyAlignment="1">
      <alignment horizontal="center" vertical="center"/>
    </xf>
    <xf numFmtId="0" fontId="1196" fillId="1198" borderId="1142" xfId="0" applyFont="1" applyFill="1" applyBorder="1" applyAlignment="1">
      <alignment horizontal="center" vertical="center"/>
    </xf>
    <xf numFmtId="0" fontId="1197" fillId="1199" borderId="1143" xfId="0" applyFont="1" applyFill="1" applyBorder="1"/>
    <xf numFmtId="0" fontId="1198" fillId="1200" borderId="1144" xfId="0" applyFont="1" applyFill="1" applyBorder="1"/>
    <xf numFmtId="0" fontId="1199" fillId="1201" borderId="1145" xfId="0" applyFont="1" applyFill="1" applyBorder="1"/>
    <xf numFmtId="0" fontId="1200" fillId="1202" borderId="1146" xfId="0" applyFont="1" applyFill="1" applyBorder="1"/>
    <xf numFmtId="0" fontId="1201" fillId="1203" borderId="1147" xfId="0" applyFont="1" applyFill="1" applyBorder="1"/>
    <xf numFmtId="0" fontId="1202" fillId="1204" borderId="1148" xfId="0" applyFont="1" applyFill="1" applyBorder="1"/>
    <xf numFmtId="0" fontId="1203" fillId="1205" borderId="1149" xfId="0" applyFont="1" applyFill="1" applyBorder="1"/>
    <xf numFmtId="0" fontId="1204" fillId="1206" borderId="1150" xfId="0" applyFont="1" applyFill="1" applyBorder="1"/>
    <xf numFmtId="0" fontId="1205" fillId="1207" borderId="1151" xfId="0" applyFont="1" applyFill="1" applyBorder="1" applyAlignment="1">
      <alignment horizontal="center" vertical="center"/>
    </xf>
    <xf numFmtId="0" fontId="1206" fillId="1208" borderId="1152" xfId="0" applyFont="1" applyFill="1" applyBorder="1" applyAlignment="1">
      <alignment horizontal="center" vertical="center"/>
    </xf>
    <xf numFmtId="0" fontId="1207" fillId="1209" borderId="1153" xfId="0" applyFont="1" applyFill="1" applyBorder="1" applyAlignment="1">
      <alignment horizontal="center" vertical="center"/>
    </xf>
    <xf numFmtId="0" fontId="1208" fillId="1210" borderId="1154" xfId="0" applyFont="1" applyFill="1" applyBorder="1" applyAlignment="1">
      <alignment horizontal="center" vertical="center"/>
    </xf>
    <xf numFmtId="0" fontId="1209" fillId="1211" borderId="1155" xfId="0" applyFont="1" applyFill="1" applyBorder="1" applyAlignment="1">
      <alignment horizontal="center" vertical="center"/>
    </xf>
    <xf numFmtId="0" fontId="1210" fillId="1212" borderId="1156" xfId="0" applyFont="1" applyFill="1" applyBorder="1" applyAlignment="1">
      <alignment horizontal="center" vertical="center"/>
    </xf>
    <xf numFmtId="0" fontId="1211" fillId="1213" borderId="1157" xfId="0" applyFont="1" applyFill="1" applyBorder="1" applyAlignment="1">
      <alignment horizontal="center" vertical="center"/>
    </xf>
    <xf numFmtId="0" fontId="1212" fillId="1214" borderId="1158" xfId="0" applyFont="1" applyFill="1" applyBorder="1"/>
    <xf numFmtId="0" fontId="1213" fillId="1215" borderId="1159" xfId="0" applyFont="1" applyFill="1" applyBorder="1"/>
    <xf numFmtId="0" fontId="1214" fillId="1216" borderId="1160" xfId="0" applyFont="1" applyFill="1" applyBorder="1"/>
    <xf numFmtId="0" fontId="1215" fillId="1217" borderId="1161" xfId="0" applyFont="1" applyFill="1" applyBorder="1"/>
    <xf numFmtId="0" fontId="1216" fillId="1218" borderId="1162" xfId="0" applyFont="1" applyFill="1" applyBorder="1"/>
    <xf numFmtId="0" fontId="1217" fillId="1219" borderId="1163" xfId="0" applyFont="1" applyFill="1" applyBorder="1"/>
    <xf numFmtId="0" fontId="1218" fillId="1220" borderId="1164" xfId="0" applyFont="1" applyFill="1" applyBorder="1"/>
    <xf numFmtId="0" fontId="1219" fillId="1221" borderId="1165" xfId="0" applyFont="1" applyFill="1" applyBorder="1"/>
    <xf numFmtId="0" fontId="1220" fillId="1222" borderId="1166" xfId="0" applyFont="1" applyFill="1" applyBorder="1" applyAlignment="1">
      <alignment horizontal="center" vertical="center"/>
    </xf>
    <xf numFmtId="0" fontId="1221" fillId="1223" borderId="1167" xfId="0" applyFont="1" applyFill="1" applyBorder="1" applyAlignment="1">
      <alignment horizontal="center" vertical="center"/>
    </xf>
    <xf numFmtId="0" fontId="1222" fillId="1224" borderId="1168" xfId="0" applyFont="1" applyFill="1" applyBorder="1" applyAlignment="1">
      <alignment horizontal="center" vertical="center"/>
    </xf>
    <xf numFmtId="0" fontId="1223" fillId="1225" borderId="1169" xfId="0" applyFont="1" applyFill="1" applyBorder="1" applyAlignment="1">
      <alignment horizontal="center" vertical="center"/>
    </xf>
    <xf numFmtId="0" fontId="1224" fillId="1226" borderId="1170" xfId="0" applyFont="1" applyFill="1" applyBorder="1" applyAlignment="1">
      <alignment horizontal="center" vertical="center"/>
    </xf>
    <xf numFmtId="0" fontId="1225" fillId="1227" borderId="1171" xfId="0" applyFont="1" applyFill="1" applyBorder="1" applyAlignment="1">
      <alignment horizontal="center" vertical="center"/>
    </xf>
    <xf numFmtId="0" fontId="1226" fillId="1228" borderId="1172" xfId="0" applyFont="1" applyFill="1" applyBorder="1" applyAlignment="1">
      <alignment horizontal="center" vertical="center"/>
    </xf>
    <xf numFmtId="0" fontId="1227" fillId="1229" borderId="1173" xfId="0" applyFont="1" applyFill="1" applyBorder="1"/>
    <xf numFmtId="0" fontId="1228" fillId="1230" borderId="1174" xfId="0" applyFont="1" applyFill="1" applyBorder="1"/>
    <xf numFmtId="0" fontId="1229" fillId="1231" borderId="1175" xfId="0" applyFont="1" applyFill="1" applyBorder="1"/>
    <xf numFmtId="0" fontId="1230" fillId="1232" borderId="1176" xfId="0" applyFont="1" applyFill="1" applyBorder="1"/>
    <xf numFmtId="0" fontId="1231" fillId="1233" borderId="1177" xfId="0" applyFont="1" applyFill="1" applyBorder="1"/>
    <xf numFmtId="0" fontId="1232" fillId="1234" borderId="1178" xfId="0" applyFont="1" applyFill="1" applyBorder="1"/>
    <xf numFmtId="0" fontId="1233" fillId="1235" borderId="1179" xfId="0" applyFont="1" applyFill="1" applyBorder="1"/>
    <xf numFmtId="0" fontId="1234" fillId="1236" borderId="1180" xfId="0" applyFont="1" applyFill="1" applyBorder="1"/>
    <xf numFmtId="0" fontId="1235" fillId="1237" borderId="1181" xfId="0" applyFont="1" applyFill="1" applyBorder="1" applyAlignment="1">
      <alignment horizontal="center" vertical="center"/>
    </xf>
    <xf numFmtId="0" fontId="1236" fillId="1238" borderId="1182" xfId="0" applyFont="1" applyFill="1" applyBorder="1" applyAlignment="1">
      <alignment horizontal="center" vertical="center"/>
    </xf>
    <xf numFmtId="0" fontId="1237" fillId="1239" borderId="1183" xfId="0" applyFont="1" applyFill="1" applyBorder="1" applyAlignment="1">
      <alignment horizontal="center" vertical="center"/>
    </xf>
    <xf numFmtId="0" fontId="1238" fillId="1240" borderId="1184" xfId="0" applyFont="1" applyFill="1" applyBorder="1" applyAlignment="1">
      <alignment horizontal="center" vertical="center"/>
    </xf>
    <xf numFmtId="0" fontId="1239" fillId="1241" borderId="1185" xfId="0" applyFont="1" applyFill="1" applyBorder="1" applyAlignment="1">
      <alignment horizontal="center" vertical="center"/>
    </xf>
    <xf numFmtId="0" fontId="1240" fillId="1242" borderId="1186" xfId="0" applyFont="1" applyFill="1" applyBorder="1" applyAlignment="1">
      <alignment horizontal="center" vertical="center"/>
    </xf>
    <xf numFmtId="0" fontId="1241" fillId="1243" borderId="1187" xfId="0" applyFont="1" applyFill="1" applyBorder="1" applyAlignment="1">
      <alignment horizontal="center" vertical="center"/>
    </xf>
    <xf numFmtId="0" fontId="1242" fillId="1244" borderId="1188" xfId="0" applyFont="1" applyFill="1" applyBorder="1"/>
    <xf numFmtId="0" fontId="1243" fillId="1245" borderId="1189" xfId="0" applyFont="1" applyFill="1" applyBorder="1"/>
    <xf numFmtId="0" fontId="1244" fillId="1246" borderId="1190" xfId="0" applyFont="1" applyFill="1" applyBorder="1"/>
    <xf numFmtId="0" fontId="1245" fillId="1247" borderId="1191" xfId="0" applyFont="1" applyFill="1" applyBorder="1"/>
    <xf numFmtId="0" fontId="1246" fillId="1248" borderId="1192" xfId="0" applyFont="1" applyFill="1" applyBorder="1"/>
    <xf numFmtId="0" fontId="1247" fillId="1249" borderId="1193" xfId="0" applyFont="1" applyFill="1" applyBorder="1"/>
    <xf numFmtId="0" fontId="1248" fillId="1250" borderId="1194" xfId="0" applyFont="1" applyFill="1" applyBorder="1"/>
    <xf numFmtId="0" fontId="1249" fillId="1251" borderId="1195" xfId="0" applyFont="1" applyFill="1" applyBorder="1"/>
    <xf numFmtId="0" fontId="1250" fillId="1252" borderId="1196" xfId="0" applyFont="1" applyFill="1" applyBorder="1" applyAlignment="1">
      <alignment horizontal="center" vertical="center"/>
    </xf>
    <xf numFmtId="0" fontId="1251" fillId="1253" borderId="1197" xfId="0" applyFont="1" applyFill="1" applyBorder="1" applyAlignment="1">
      <alignment horizontal="center" vertical="center"/>
    </xf>
    <xf numFmtId="0" fontId="1252" fillId="1254" borderId="1198" xfId="0" applyFont="1" applyFill="1" applyBorder="1" applyAlignment="1">
      <alignment horizontal="center" vertical="center"/>
    </xf>
    <xf numFmtId="0" fontId="1253" fillId="1255" borderId="1199" xfId="0" applyFont="1" applyFill="1" applyBorder="1" applyAlignment="1">
      <alignment horizontal="center" vertical="center"/>
    </xf>
    <xf numFmtId="0" fontId="1254" fillId="1256" borderId="1200" xfId="0" applyFont="1" applyFill="1" applyBorder="1" applyAlignment="1">
      <alignment horizontal="center" vertical="center"/>
    </xf>
    <xf numFmtId="0" fontId="1255" fillId="1257" borderId="1201" xfId="0" applyFont="1" applyFill="1" applyBorder="1" applyAlignment="1">
      <alignment horizontal="center" vertical="center"/>
    </xf>
    <xf numFmtId="0" fontId="1256" fillId="1258" borderId="1202" xfId="0" applyFont="1" applyFill="1" applyBorder="1" applyAlignment="1">
      <alignment horizontal="center" vertical="center"/>
    </xf>
    <xf numFmtId="0" fontId="1257" fillId="1259" borderId="1203" xfId="0" applyFont="1" applyFill="1" applyBorder="1"/>
    <xf numFmtId="0" fontId="1258" fillId="1260" borderId="1204" xfId="0" applyFont="1" applyFill="1" applyBorder="1"/>
    <xf numFmtId="0" fontId="1259" fillId="1261" borderId="1205" xfId="0" applyFont="1" applyFill="1" applyBorder="1"/>
    <xf numFmtId="0" fontId="1260" fillId="1262" borderId="1206" xfId="0" applyFont="1" applyFill="1" applyBorder="1"/>
    <xf numFmtId="0" fontId="1261" fillId="1263" borderId="1207" xfId="0" applyFont="1" applyFill="1" applyBorder="1"/>
    <xf numFmtId="0" fontId="1262" fillId="1264" borderId="1208" xfId="0" applyFont="1" applyFill="1" applyBorder="1"/>
    <xf numFmtId="0" fontId="1263" fillId="1265" borderId="1209" xfId="0" applyFont="1" applyFill="1" applyBorder="1"/>
    <xf numFmtId="0" fontId="1264" fillId="1266" borderId="1210" xfId="0" applyFont="1" applyFill="1" applyBorder="1"/>
    <xf numFmtId="0" fontId="1265" fillId="1267" borderId="1211" xfId="0" applyFont="1" applyFill="1" applyBorder="1" applyAlignment="1">
      <alignment horizontal="center" vertical="center"/>
    </xf>
    <xf numFmtId="0" fontId="1266" fillId="1268" borderId="1212" xfId="0" applyFont="1" applyFill="1" applyBorder="1" applyAlignment="1">
      <alignment horizontal="center" vertical="center"/>
    </xf>
    <xf numFmtId="0" fontId="1267" fillId="1269" borderId="1213" xfId="0" applyFont="1" applyFill="1" applyBorder="1" applyAlignment="1">
      <alignment horizontal="center" vertical="center"/>
    </xf>
    <xf numFmtId="0" fontId="1268" fillId="1270" borderId="1214" xfId="0" applyFont="1" applyFill="1" applyBorder="1" applyAlignment="1">
      <alignment horizontal="center" vertical="center"/>
    </xf>
    <xf numFmtId="0" fontId="1269" fillId="1271" borderId="1215" xfId="0" applyFont="1" applyFill="1" applyBorder="1" applyAlignment="1">
      <alignment horizontal="center" vertical="center"/>
    </xf>
    <xf numFmtId="0" fontId="1270" fillId="1272" borderId="1216" xfId="0" applyFont="1" applyFill="1" applyBorder="1" applyAlignment="1">
      <alignment horizontal="center" vertical="center"/>
    </xf>
    <xf numFmtId="0" fontId="1271" fillId="1273" borderId="1217" xfId="0" applyFont="1" applyFill="1" applyBorder="1" applyAlignment="1">
      <alignment horizontal="center" vertical="center"/>
    </xf>
    <xf numFmtId="0" fontId="1272" fillId="1274" borderId="1218" xfId="0" applyFont="1" applyFill="1" applyBorder="1"/>
    <xf numFmtId="0" fontId="1273" fillId="1275" borderId="1219" xfId="0" applyFont="1" applyFill="1" applyBorder="1"/>
    <xf numFmtId="0" fontId="1274" fillId="1276" borderId="1220" xfId="0" applyFont="1" applyFill="1" applyBorder="1"/>
    <xf numFmtId="0" fontId="1275" fillId="1277" borderId="1221" xfId="0" applyFont="1" applyFill="1" applyBorder="1"/>
    <xf numFmtId="0" fontId="1276" fillId="1278" borderId="1222" xfId="0" applyFont="1" applyFill="1" applyBorder="1"/>
    <xf numFmtId="0" fontId="1277" fillId="1279" borderId="1223" xfId="0" applyFont="1" applyFill="1" applyBorder="1"/>
    <xf numFmtId="0" fontId="1278" fillId="1280" borderId="1224" xfId="0" applyFont="1" applyFill="1" applyBorder="1"/>
    <xf numFmtId="0" fontId="1279" fillId="1281" borderId="1225" xfId="0" applyFont="1" applyFill="1" applyBorder="1"/>
    <xf numFmtId="0" fontId="1280" fillId="1282" borderId="1226" xfId="0" applyFont="1" applyFill="1" applyBorder="1" applyAlignment="1">
      <alignment horizontal="center" vertical="center"/>
    </xf>
    <xf numFmtId="0" fontId="1281" fillId="1283" borderId="1227" xfId="0" applyFont="1" applyFill="1" applyBorder="1" applyAlignment="1">
      <alignment horizontal="center" vertical="center"/>
    </xf>
    <xf numFmtId="0" fontId="1282" fillId="1284" borderId="1228" xfId="0" applyFont="1" applyFill="1" applyBorder="1" applyAlignment="1">
      <alignment horizontal="center" vertical="center"/>
    </xf>
    <xf numFmtId="0" fontId="1283" fillId="1285" borderId="1229" xfId="0" applyFont="1" applyFill="1" applyBorder="1" applyAlignment="1">
      <alignment horizontal="center" vertical="center"/>
    </xf>
    <xf numFmtId="0" fontId="1284" fillId="1286" borderId="1230" xfId="0" applyFont="1" applyFill="1" applyBorder="1" applyAlignment="1">
      <alignment horizontal="center" vertical="center"/>
    </xf>
    <xf numFmtId="0" fontId="1285" fillId="1287" borderId="1231" xfId="0" applyFont="1" applyFill="1" applyBorder="1" applyAlignment="1">
      <alignment horizontal="center" vertical="center"/>
    </xf>
    <xf numFmtId="0" fontId="1286" fillId="1288" borderId="1232" xfId="0" applyFont="1" applyFill="1" applyBorder="1" applyAlignment="1">
      <alignment horizontal="center" vertical="center"/>
    </xf>
    <xf numFmtId="0" fontId="1287" fillId="1289" borderId="1233" xfId="0" applyFont="1" applyFill="1" applyBorder="1"/>
    <xf numFmtId="0" fontId="1288" fillId="1290" borderId="1234" xfId="0" applyFont="1" applyFill="1" applyBorder="1"/>
    <xf numFmtId="0" fontId="1289" fillId="1291" borderId="1235" xfId="0" applyFont="1" applyFill="1" applyBorder="1"/>
    <xf numFmtId="0" fontId="1290" fillId="1292" borderId="1236" xfId="0" applyFont="1" applyFill="1" applyBorder="1"/>
    <xf numFmtId="0" fontId="1291" fillId="1293" borderId="1237" xfId="0" applyFont="1" applyFill="1" applyBorder="1"/>
    <xf numFmtId="0" fontId="1292" fillId="1294" borderId="1238" xfId="0" applyFont="1" applyFill="1" applyBorder="1"/>
    <xf numFmtId="0" fontId="1293" fillId="1295" borderId="1239" xfId="0" applyFont="1" applyFill="1" applyBorder="1"/>
    <xf numFmtId="0" fontId="1294" fillId="1296" borderId="1240" xfId="0" applyFont="1" applyFill="1" applyBorder="1"/>
    <xf numFmtId="0" fontId="1295" fillId="1297" borderId="1241" xfId="0" applyFont="1" applyFill="1" applyBorder="1" applyAlignment="1">
      <alignment horizontal="center" vertical="center"/>
    </xf>
    <xf numFmtId="0" fontId="1296" fillId="1298" borderId="1242" xfId="0" applyFont="1" applyFill="1" applyBorder="1" applyAlignment="1">
      <alignment horizontal="center" vertical="center"/>
    </xf>
    <xf numFmtId="0" fontId="1297" fillId="1299" borderId="1243" xfId="0" applyFont="1" applyFill="1" applyBorder="1" applyAlignment="1">
      <alignment horizontal="center" vertical="center"/>
    </xf>
    <xf numFmtId="0" fontId="1298" fillId="1300" borderId="1244" xfId="0" applyFont="1" applyFill="1" applyBorder="1" applyAlignment="1">
      <alignment horizontal="center" vertical="center"/>
    </xf>
    <xf numFmtId="0" fontId="1299" fillId="1301" borderId="1245" xfId="0" applyFont="1" applyFill="1" applyBorder="1" applyAlignment="1">
      <alignment horizontal="center" vertical="center"/>
    </xf>
    <xf numFmtId="0" fontId="1300" fillId="1302" borderId="1246" xfId="0" applyFont="1" applyFill="1" applyBorder="1" applyAlignment="1">
      <alignment horizontal="center" vertical="center"/>
    </xf>
    <xf numFmtId="0" fontId="1301" fillId="1303" borderId="1247" xfId="0" applyFont="1" applyFill="1" applyBorder="1" applyAlignment="1">
      <alignment horizontal="center" vertical="center"/>
    </xf>
    <xf numFmtId="0" fontId="1302" fillId="1304" borderId="1248" xfId="0" applyFont="1" applyFill="1" applyBorder="1"/>
    <xf numFmtId="0" fontId="1303" fillId="1305" borderId="1249" xfId="0" applyFont="1" applyFill="1" applyBorder="1"/>
    <xf numFmtId="0" fontId="1304" fillId="1306" borderId="1250" xfId="0" applyFont="1" applyFill="1" applyBorder="1"/>
    <xf numFmtId="0" fontId="1305" fillId="1307" borderId="1251" xfId="0" applyFont="1" applyFill="1" applyBorder="1"/>
    <xf numFmtId="0" fontId="1306" fillId="1308" borderId="1252" xfId="0" applyFont="1" applyFill="1" applyBorder="1"/>
    <xf numFmtId="0" fontId="1307" fillId="1309" borderId="1253" xfId="0" applyFont="1" applyFill="1" applyBorder="1"/>
    <xf numFmtId="0" fontId="1308" fillId="1310" borderId="1254" xfId="0" applyFont="1" applyFill="1" applyBorder="1"/>
    <xf numFmtId="0" fontId="1309" fillId="1311" borderId="1255" xfId="0" applyFont="1" applyFill="1" applyBorder="1"/>
    <xf numFmtId="0" fontId="1310" fillId="1312" borderId="1256" xfId="0" applyFont="1" applyFill="1" applyBorder="1" applyAlignment="1">
      <alignment horizontal="center" vertical="center"/>
    </xf>
    <xf numFmtId="0" fontId="1311" fillId="1313" borderId="1257" xfId="0" applyFont="1" applyFill="1" applyBorder="1" applyAlignment="1">
      <alignment horizontal="center" vertical="center"/>
    </xf>
    <xf numFmtId="0" fontId="1312" fillId="1314" borderId="1258" xfId="0" applyFont="1" applyFill="1" applyBorder="1" applyAlignment="1">
      <alignment horizontal="center" vertical="center"/>
    </xf>
    <xf numFmtId="0" fontId="1313" fillId="1315" borderId="1259" xfId="0" applyFont="1" applyFill="1" applyBorder="1" applyAlignment="1">
      <alignment horizontal="center" vertical="center"/>
    </xf>
    <xf numFmtId="0" fontId="1314" fillId="1316" borderId="1260" xfId="0" applyFont="1" applyFill="1" applyBorder="1" applyAlignment="1">
      <alignment horizontal="center" vertical="center"/>
    </xf>
    <xf numFmtId="0" fontId="1315" fillId="1317" borderId="1261" xfId="0" applyFont="1" applyFill="1" applyBorder="1" applyAlignment="1">
      <alignment horizontal="center" vertical="center"/>
    </xf>
    <xf numFmtId="0" fontId="1316" fillId="1318" borderId="1262" xfId="0" applyFont="1" applyFill="1" applyBorder="1" applyAlignment="1">
      <alignment horizontal="center" vertical="center"/>
    </xf>
    <xf numFmtId="0" fontId="1317" fillId="1319" borderId="1263" xfId="0" applyFont="1" applyFill="1" applyBorder="1"/>
    <xf numFmtId="0" fontId="1318" fillId="1320" borderId="1264" xfId="0" applyFont="1" applyFill="1" applyBorder="1"/>
    <xf numFmtId="0" fontId="1319" fillId="1321" borderId="1265" xfId="0" applyFont="1" applyFill="1" applyBorder="1"/>
    <xf numFmtId="0" fontId="1320" fillId="1322" borderId="1266" xfId="0" applyFont="1" applyFill="1" applyBorder="1"/>
    <xf numFmtId="0" fontId="1321" fillId="1323" borderId="1267" xfId="0" applyFont="1" applyFill="1" applyBorder="1"/>
    <xf numFmtId="0" fontId="1322" fillId="1324" borderId="1268" xfId="0" applyFont="1" applyFill="1" applyBorder="1"/>
    <xf numFmtId="0" fontId="1323" fillId="1325" borderId="1269" xfId="0" applyFont="1" applyFill="1" applyBorder="1"/>
    <xf numFmtId="0" fontId="1324" fillId="1326" borderId="1270" xfId="0" applyFont="1" applyFill="1" applyBorder="1"/>
    <xf numFmtId="0" fontId="1325" fillId="1327" borderId="1271" xfId="0" applyFont="1" applyFill="1" applyBorder="1" applyAlignment="1">
      <alignment horizontal="center" vertical="center"/>
    </xf>
    <xf numFmtId="0" fontId="1326" fillId="1328" borderId="1272" xfId="0" applyFont="1" applyFill="1" applyBorder="1" applyAlignment="1">
      <alignment horizontal="center" vertical="center"/>
    </xf>
    <xf numFmtId="0" fontId="1327" fillId="1329" borderId="1273" xfId="0" applyFont="1" applyFill="1" applyBorder="1" applyAlignment="1">
      <alignment horizontal="center" vertical="center"/>
    </xf>
    <xf numFmtId="0" fontId="1328" fillId="1330" borderId="1274" xfId="0" applyFont="1" applyFill="1" applyBorder="1" applyAlignment="1">
      <alignment horizontal="center" vertical="center"/>
    </xf>
    <xf numFmtId="0" fontId="1329" fillId="1331" borderId="1275" xfId="0" applyFont="1" applyFill="1" applyBorder="1" applyAlignment="1">
      <alignment horizontal="center" vertical="center"/>
    </xf>
    <xf numFmtId="0" fontId="1330" fillId="1332" borderId="1276" xfId="0" applyFont="1" applyFill="1" applyBorder="1" applyAlignment="1">
      <alignment horizontal="center" vertical="center"/>
    </xf>
    <xf numFmtId="0" fontId="1331" fillId="1333" borderId="1277" xfId="0" applyFont="1" applyFill="1" applyBorder="1" applyAlignment="1">
      <alignment horizontal="center" vertical="center"/>
    </xf>
    <xf numFmtId="0" fontId="1332" fillId="1334" borderId="1278" xfId="0" applyFont="1" applyFill="1" applyBorder="1"/>
    <xf numFmtId="0" fontId="1333" fillId="1335" borderId="1279" xfId="0" applyFont="1" applyFill="1" applyBorder="1"/>
    <xf numFmtId="0" fontId="1334" fillId="1336" borderId="1280" xfId="0" applyFont="1" applyFill="1" applyBorder="1"/>
    <xf numFmtId="0" fontId="1335" fillId="1337" borderId="1281" xfId="0" applyFont="1" applyFill="1" applyBorder="1"/>
    <xf numFmtId="0" fontId="1336" fillId="1338" borderId="1282" xfId="0" applyFont="1" applyFill="1" applyBorder="1"/>
    <xf numFmtId="0" fontId="1337" fillId="1339" borderId="1283" xfId="0" applyFont="1" applyFill="1" applyBorder="1"/>
    <xf numFmtId="0" fontId="1338" fillId="1340" borderId="1284" xfId="0" applyFont="1" applyFill="1" applyBorder="1"/>
    <xf numFmtId="0" fontId="1339" fillId="1341" borderId="1285" xfId="0" applyFont="1" applyFill="1" applyBorder="1"/>
    <xf numFmtId="0" fontId="1340" fillId="1342" borderId="1286" xfId="0" applyFont="1" applyFill="1" applyBorder="1" applyAlignment="1">
      <alignment horizontal="center" vertical="center"/>
    </xf>
    <xf numFmtId="0" fontId="1341" fillId="1343" borderId="1287" xfId="0" applyFont="1" applyFill="1" applyBorder="1" applyAlignment="1">
      <alignment horizontal="center" vertical="center"/>
    </xf>
    <xf numFmtId="0" fontId="1342" fillId="1344" borderId="1288" xfId="0" applyFont="1" applyFill="1" applyBorder="1" applyAlignment="1">
      <alignment horizontal="center" vertical="center"/>
    </xf>
    <xf numFmtId="0" fontId="1343" fillId="1345" borderId="1289" xfId="0" applyFont="1" applyFill="1" applyBorder="1" applyAlignment="1">
      <alignment horizontal="center" vertical="center"/>
    </xf>
    <xf numFmtId="0" fontId="1344" fillId="1346" borderId="1290" xfId="0" applyFont="1" applyFill="1" applyBorder="1" applyAlignment="1">
      <alignment horizontal="center" vertical="center"/>
    </xf>
    <xf numFmtId="0" fontId="1345" fillId="1347" borderId="1291" xfId="0" applyFont="1" applyFill="1" applyBorder="1" applyAlignment="1">
      <alignment horizontal="center" vertical="center"/>
    </xf>
    <xf numFmtId="0" fontId="1346" fillId="1348" borderId="1292" xfId="0" applyFont="1" applyFill="1" applyBorder="1" applyAlignment="1">
      <alignment horizontal="center" vertical="center"/>
    </xf>
    <xf numFmtId="0" fontId="1347" fillId="1349" borderId="1293" xfId="0" applyFont="1" applyFill="1" applyBorder="1"/>
    <xf numFmtId="0" fontId="1348" fillId="1350" borderId="1294" xfId="0" applyFont="1" applyFill="1" applyBorder="1"/>
    <xf numFmtId="0" fontId="1349" fillId="1351" borderId="1295" xfId="0" applyFont="1" applyFill="1" applyBorder="1"/>
    <xf numFmtId="0" fontId="1350" fillId="1352" borderId="1296" xfId="0" applyFont="1" applyFill="1" applyBorder="1"/>
    <xf numFmtId="0" fontId="1351" fillId="1353" borderId="1297" xfId="0" applyFont="1" applyFill="1" applyBorder="1"/>
    <xf numFmtId="0" fontId="1352" fillId="1354" borderId="1298" xfId="0" applyFont="1" applyFill="1" applyBorder="1"/>
    <xf numFmtId="0" fontId="1353" fillId="1355" borderId="1299" xfId="0" applyFont="1" applyFill="1" applyBorder="1"/>
    <xf numFmtId="0" fontId="1354" fillId="1356" borderId="1300" xfId="0" applyFont="1" applyFill="1" applyBorder="1"/>
    <xf numFmtId="0" fontId="1355" fillId="1357" borderId="1301" xfId="0" applyFont="1" applyFill="1" applyBorder="1" applyAlignment="1">
      <alignment horizontal="center" vertical="center"/>
    </xf>
    <xf numFmtId="0" fontId="1356" fillId="1358" borderId="1302" xfId="0" applyFont="1" applyFill="1" applyBorder="1" applyAlignment="1">
      <alignment horizontal="center" vertical="center"/>
    </xf>
    <xf numFmtId="0" fontId="1357" fillId="1359" borderId="1303" xfId="0" applyFont="1" applyFill="1" applyBorder="1" applyAlignment="1">
      <alignment horizontal="center" vertical="center"/>
    </xf>
    <xf numFmtId="0" fontId="1358" fillId="1360" borderId="1304" xfId="0" applyFont="1" applyFill="1" applyBorder="1" applyAlignment="1">
      <alignment horizontal="center" vertical="center"/>
    </xf>
    <xf numFmtId="0" fontId="1359" fillId="1361" borderId="1305" xfId="0" applyFont="1" applyFill="1" applyBorder="1" applyAlignment="1">
      <alignment horizontal="center" vertical="center"/>
    </xf>
    <xf numFmtId="0" fontId="1360" fillId="1362" borderId="1306" xfId="0" applyFont="1" applyFill="1" applyBorder="1" applyAlignment="1">
      <alignment horizontal="center" vertical="center"/>
    </xf>
    <xf numFmtId="0" fontId="1361" fillId="1363" borderId="1307" xfId="0" applyFont="1" applyFill="1" applyBorder="1" applyAlignment="1">
      <alignment horizontal="center" vertical="center"/>
    </xf>
    <xf numFmtId="0" fontId="1362" fillId="1364" borderId="1308" xfId="0" applyFont="1" applyFill="1" applyBorder="1"/>
    <xf numFmtId="0" fontId="1363" fillId="1365" borderId="1309" xfId="0" applyFont="1" applyFill="1" applyBorder="1"/>
    <xf numFmtId="0" fontId="1364" fillId="1366" borderId="1310" xfId="0" applyFont="1" applyFill="1" applyBorder="1"/>
    <xf numFmtId="0" fontId="1365" fillId="1367" borderId="1311" xfId="0" applyFont="1" applyFill="1" applyBorder="1"/>
    <xf numFmtId="0" fontId="1366" fillId="1368" borderId="1312" xfId="0" applyFont="1" applyFill="1" applyBorder="1"/>
    <xf numFmtId="0" fontId="1367" fillId="1369" borderId="1313" xfId="0" applyFont="1" applyFill="1" applyBorder="1"/>
    <xf numFmtId="0" fontId="1368" fillId="1370" borderId="1314" xfId="0" applyFont="1" applyFill="1" applyBorder="1"/>
    <xf numFmtId="0" fontId="1369" fillId="1371" borderId="1315" xfId="0" applyFont="1" applyFill="1" applyBorder="1"/>
    <xf numFmtId="0" fontId="1370" fillId="1372" borderId="1316" xfId="0" applyFont="1" applyFill="1" applyBorder="1" applyAlignment="1">
      <alignment horizontal="center" vertical="center"/>
    </xf>
    <xf numFmtId="0" fontId="1371" fillId="1373" borderId="1317" xfId="0" applyFont="1" applyFill="1" applyBorder="1" applyAlignment="1">
      <alignment horizontal="center" vertical="center"/>
    </xf>
    <xf numFmtId="0" fontId="1372" fillId="1374" borderId="1318" xfId="0" applyFont="1" applyFill="1" applyBorder="1" applyAlignment="1">
      <alignment horizontal="center" vertical="center"/>
    </xf>
    <xf numFmtId="0" fontId="1373" fillId="1375" borderId="1319" xfId="0" applyFont="1" applyFill="1" applyBorder="1" applyAlignment="1">
      <alignment horizontal="center" vertical="center"/>
    </xf>
    <xf numFmtId="0" fontId="1374" fillId="1376" borderId="1320" xfId="0" applyFont="1" applyFill="1" applyBorder="1" applyAlignment="1">
      <alignment horizontal="center" vertical="center"/>
    </xf>
    <xf numFmtId="0" fontId="1375" fillId="1377" borderId="1321" xfId="0" applyFont="1" applyFill="1" applyBorder="1" applyAlignment="1">
      <alignment horizontal="center" vertical="center"/>
    </xf>
    <xf numFmtId="0" fontId="1376" fillId="1378" borderId="1322" xfId="0" applyFont="1" applyFill="1" applyBorder="1" applyAlignment="1">
      <alignment horizontal="center" vertical="center"/>
    </xf>
    <xf numFmtId="0" fontId="1377" fillId="1379" borderId="1323" xfId="0" applyFont="1" applyFill="1" applyBorder="1"/>
    <xf numFmtId="0" fontId="1378" fillId="1380" borderId="1324" xfId="0" applyFont="1" applyFill="1" applyBorder="1"/>
    <xf numFmtId="0" fontId="1379" fillId="1381" borderId="1325" xfId="0" applyFont="1" applyFill="1" applyBorder="1"/>
    <xf numFmtId="0" fontId="1380" fillId="1382" borderId="1326" xfId="0" applyFont="1" applyFill="1" applyBorder="1"/>
    <xf numFmtId="0" fontId="1381" fillId="1383" borderId="1327" xfId="0" applyFont="1" applyFill="1" applyBorder="1"/>
    <xf numFmtId="0" fontId="1382" fillId="1384" borderId="1328" xfId="0" applyFont="1" applyFill="1" applyBorder="1"/>
    <xf numFmtId="0" fontId="1383" fillId="1385" borderId="1329" xfId="0" applyFont="1" applyFill="1" applyBorder="1"/>
    <xf numFmtId="0" fontId="1384" fillId="1386" borderId="1330" xfId="0" applyFont="1" applyFill="1" applyBorder="1"/>
    <xf numFmtId="0" fontId="1385" fillId="1387" borderId="1331" xfId="0" applyFont="1" applyFill="1" applyBorder="1" applyAlignment="1">
      <alignment horizontal="center" vertical="center"/>
    </xf>
    <xf numFmtId="0" fontId="1386" fillId="1388" borderId="1332" xfId="0" applyFont="1" applyFill="1" applyBorder="1" applyAlignment="1">
      <alignment horizontal="center" vertical="center"/>
    </xf>
    <xf numFmtId="0" fontId="1387" fillId="1389" borderId="1333" xfId="0" applyFont="1" applyFill="1" applyBorder="1" applyAlignment="1">
      <alignment horizontal="center" vertical="center"/>
    </xf>
    <xf numFmtId="0" fontId="1388" fillId="1390" borderId="1334" xfId="0" applyFont="1" applyFill="1" applyBorder="1" applyAlignment="1">
      <alignment horizontal="center" vertical="center"/>
    </xf>
    <xf numFmtId="0" fontId="1389" fillId="1391" borderId="1335" xfId="0" applyFont="1" applyFill="1" applyBorder="1" applyAlignment="1">
      <alignment horizontal="center" vertical="center"/>
    </xf>
    <xf numFmtId="0" fontId="1390" fillId="1392" borderId="1336" xfId="0" applyFont="1" applyFill="1" applyBorder="1" applyAlignment="1">
      <alignment horizontal="center" vertical="center"/>
    </xf>
    <xf numFmtId="0" fontId="1391" fillId="1393" borderId="1337" xfId="0" applyFont="1" applyFill="1" applyBorder="1" applyAlignment="1">
      <alignment horizontal="center" vertical="center"/>
    </xf>
    <xf numFmtId="0" fontId="1392" fillId="1394" borderId="1338" xfId="0" applyFont="1" applyFill="1" applyBorder="1"/>
    <xf numFmtId="0" fontId="1393" fillId="1395" borderId="1339" xfId="0" applyFont="1" applyFill="1" applyBorder="1"/>
    <xf numFmtId="0" fontId="1394" fillId="1396" borderId="1340" xfId="0" applyFont="1" applyFill="1" applyBorder="1"/>
    <xf numFmtId="0" fontId="1395" fillId="1397" borderId="1341" xfId="0" applyFont="1" applyFill="1" applyBorder="1"/>
    <xf numFmtId="0" fontId="1396" fillId="1398" borderId="1342" xfId="0" applyFont="1" applyFill="1" applyBorder="1"/>
    <xf numFmtId="0" fontId="1397" fillId="1399" borderId="1343" xfId="0" applyFont="1" applyFill="1" applyBorder="1"/>
    <xf numFmtId="0" fontId="1398" fillId="1400" borderId="1344" xfId="0" applyFont="1" applyFill="1" applyBorder="1"/>
    <xf numFmtId="0" fontId="1399" fillId="1401" borderId="1345" xfId="0" applyFont="1" applyFill="1" applyBorder="1"/>
    <xf numFmtId="0" fontId="1400" fillId="1402" borderId="1346" xfId="0" applyFont="1" applyFill="1" applyBorder="1" applyAlignment="1">
      <alignment horizontal="center" vertical="center"/>
    </xf>
    <xf numFmtId="0" fontId="1401" fillId="1403" borderId="1347" xfId="0" applyFont="1" applyFill="1" applyBorder="1" applyAlignment="1">
      <alignment horizontal="center" vertical="center"/>
    </xf>
    <xf numFmtId="0" fontId="1402" fillId="1404" borderId="1348" xfId="0" applyFont="1" applyFill="1" applyBorder="1" applyAlignment="1">
      <alignment horizontal="center" vertical="center"/>
    </xf>
    <xf numFmtId="0" fontId="1403" fillId="1405" borderId="1349" xfId="0" applyFont="1" applyFill="1" applyBorder="1" applyAlignment="1">
      <alignment horizontal="center" vertical="center"/>
    </xf>
    <xf numFmtId="0" fontId="1404" fillId="1406" borderId="1350" xfId="0" applyFont="1" applyFill="1" applyBorder="1" applyAlignment="1">
      <alignment horizontal="center" vertical="center"/>
    </xf>
    <xf numFmtId="0" fontId="1405" fillId="1407" borderId="1351" xfId="0" applyFont="1" applyFill="1" applyBorder="1" applyAlignment="1">
      <alignment horizontal="center" vertical="center"/>
    </xf>
    <xf numFmtId="0" fontId="1406" fillId="1408" borderId="1352" xfId="0" applyFont="1" applyFill="1" applyBorder="1" applyAlignment="1">
      <alignment horizontal="center" vertical="center"/>
    </xf>
    <xf numFmtId="0" fontId="1407" fillId="1409" borderId="1353" xfId="0" applyFont="1" applyFill="1" applyBorder="1"/>
    <xf numFmtId="0" fontId="1408" fillId="1410" borderId="1354" xfId="0" applyFont="1" applyFill="1" applyBorder="1"/>
    <xf numFmtId="0" fontId="1409" fillId="1411" borderId="1355" xfId="0" applyFont="1" applyFill="1" applyBorder="1"/>
    <xf numFmtId="0" fontId="1410" fillId="1412" borderId="1356" xfId="0" applyFont="1" applyFill="1" applyBorder="1"/>
    <xf numFmtId="0" fontId="1411" fillId="1413" borderId="1357" xfId="0" applyFont="1" applyFill="1" applyBorder="1"/>
    <xf numFmtId="0" fontId="1412" fillId="1414" borderId="1358" xfId="0" applyFont="1" applyFill="1" applyBorder="1"/>
    <xf numFmtId="0" fontId="1413" fillId="1415" borderId="1359" xfId="0" applyFont="1" applyFill="1" applyBorder="1"/>
    <xf numFmtId="0" fontId="1414" fillId="1416" borderId="1360" xfId="0" applyFont="1" applyFill="1" applyBorder="1"/>
    <xf numFmtId="0" fontId="1415" fillId="1417" borderId="1361" xfId="0" applyFont="1" applyFill="1" applyBorder="1" applyAlignment="1">
      <alignment horizontal="center" vertical="center"/>
    </xf>
    <xf numFmtId="0" fontId="1416" fillId="1418" borderId="1362" xfId="0" applyFont="1" applyFill="1" applyBorder="1" applyAlignment="1">
      <alignment horizontal="center" vertical="center"/>
    </xf>
    <xf numFmtId="0" fontId="1417" fillId="1419" borderId="1363" xfId="0" applyFont="1" applyFill="1" applyBorder="1" applyAlignment="1">
      <alignment horizontal="center" vertical="center"/>
    </xf>
    <xf numFmtId="0" fontId="1418" fillId="1420" borderId="1364" xfId="0" applyFont="1" applyFill="1" applyBorder="1" applyAlignment="1">
      <alignment horizontal="center" vertical="center"/>
    </xf>
    <xf numFmtId="0" fontId="1419" fillId="1421" borderId="1365" xfId="0" applyFont="1" applyFill="1" applyBorder="1" applyAlignment="1">
      <alignment horizontal="center" vertical="center"/>
    </xf>
    <xf numFmtId="0" fontId="1420" fillId="1422" borderId="1366" xfId="0" applyFont="1" applyFill="1" applyBorder="1" applyAlignment="1">
      <alignment horizontal="center" vertical="center"/>
    </xf>
    <xf numFmtId="0" fontId="1421" fillId="1423" borderId="1367" xfId="0" applyFont="1" applyFill="1" applyBorder="1" applyAlignment="1">
      <alignment horizontal="center" vertical="center"/>
    </xf>
    <xf numFmtId="0" fontId="1422" fillId="1424" borderId="1368" xfId="0" applyFont="1" applyFill="1" applyBorder="1"/>
    <xf numFmtId="0" fontId="1423" fillId="1425" borderId="1369" xfId="0" applyFont="1" applyFill="1" applyBorder="1"/>
    <xf numFmtId="0" fontId="1424" fillId="1426" borderId="1370" xfId="0" applyFont="1" applyFill="1" applyBorder="1"/>
    <xf numFmtId="0" fontId="1425" fillId="1427" borderId="1371" xfId="0" applyFont="1" applyFill="1" applyBorder="1"/>
    <xf numFmtId="0" fontId="1426" fillId="1428" borderId="1372" xfId="0" applyFont="1" applyFill="1" applyBorder="1"/>
    <xf numFmtId="0" fontId="1427" fillId="1429" borderId="1373" xfId="0" applyFont="1" applyFill="1" applyBorder="1"/>
    <xf numFmtId="0" fontId="1428" fillId="1430" borderId="1374" xfId="0" applyFont="1" applyFill="1" applyBorder="1"/>
    <xf numFmtId="0" fontId="1429" fillId="1431" borderId="1375" xfId="0" applyFont="1" applyFill="1" applyBorder="1"/>
    <xf numFmtId="0" fontId="1430" fillId="1432" borderId="1376" xfId="0" applyFont="1" applyFill="1" applyBorder="1" applyAlignment="1">
      <alignment horizontal="center" vertical="center"/>
    </xf>
    <xf numFmtId="0" fontId="1431" fillId="1433" borderId="1377" xfId="0" applyFont="1" applyFill="1" applyBorder="1" applyAlignment="1">
      <alignment horizontal="center" vertical="center"/>
    </xf>
    <xf numFmtId="0" fontId="1432" fillId="1434" borderId="1378" xfId="0" applyFont="1" applyFill="1" applyBorder="1" applyAlignment="1">
      <alignment horizontal="center" vertical="center"/>
    </xf>
    <xf numFmtId="0" fontId="1433" fillId="1435" borderId="1379" xfId="0" applyFont="1" applyFill="1" applyBorder="1" applyAlignment="1">
      <alignment horizontal="center" vertical="center"/>
    </xf>
    <xf numFmtId="0" fontId="1434" fillId="1436" borderId="1380" xfId="0" applyFont="1" applyFill="1" applyBorder="1" applyAlignment="1">
      <alignment horizontal="center" vertical="center"/>
    </xf>
    <xf numFmtId="0" fontId="1435" fillId="1437" borderId="1381" xfId="0" applyFont="1" applyFill="1" applyBorder="1" applyAlignment="1">
      <alignment horizontal="center" vertical="center"/>
    </xf>
    <xf numFmtId="0" fontId="1436" fillId="1438" borderId="1382" xfId="0" applyFont="1" applyFill="1" applyBorder="1" applyAlignment="1">
      <alignment horizontal="center" vertical="center"/>
    </xf>
    <xf numFmtId="0" fontId="1437" fillId="1439" borderId="1383" xfId="0" applyFont="1" applyFill="1" applyBorder="1"/>
    <xf numFmtId="0" fontId="1438" fillId="1440" borderId="1384" xfId="0" applyFont="1" applyFill="1" applyBorder="1"/>
    <xf numFmtId="0" fontId="1439" fillId="1441" borderId="1385" xfId="0" applyFont="1" applyFill="1" applyBorder="1"/>
    <xf numFmtId="0" fontId="1440" fillId="1442" borderId="1386" xfId="0" applyFont="1" applyFill="1" applyBorder="1"/>
    <xf numFmtId="0" fontId="1441" fillId="1443" borderId="1387" xfId="0" applyFont="1" applyFill="1" applyBorder="1"/>
    <xf numFmtId="0" fontId="1442" fillId="1444" borderId="1388" xfId="0" applyFont="1" applyFill="1" applyBorder="1"/>
    <xf numFmtId="0" fontId="1443" fillId="1445" borderId="1389" xfId="0" applyFont="1" applyFill="1" applyBorder="1"/>
    <xf numFmtId="0" fontId="1444" fillId="1446" borderId="1390" xfId="0" applyFont="1" applyFill="1" applyBorder="1"/>
    <xf numFmtId="0" fontId="1445" fillId="1447" borderId="1391" xfId="0" applyFont="1" applyFill="1" applyBorder="1" applyAlignment="1">
      <alignment horizontal="center" vertical="center"/>
    </xf>
    <xf numFmtId="0" fontId="1446" fillId="1448" borderId="1392" xfId="0" applyFont="1" applyFill="1" applyBorder="1" applyAlignment="1">
      <alignment horizontal="center" vertical="center"/>
    </xf>
    <xf numFmtId="0" fontId="1447" fillId="1449" borderId="1393" xfId="0" applyFont="1" applyFill="1" applyBorder="1" applyAlignment="1">
      <alignment horizontal="center" vertical="center"/>
    </xf>
    <xf numFmtId="0" fontId="1448" fillId="1450" borderId="1394" xfId="0" applyFont="1" applyFill="1" applyBorder="1" applyAlignment="1">
      <alignment horizontal="center" vertical="center"/>
    </xf>
    <xf numFmtId="0" fontId="1449" fillId="1451" borderId="1395" xfId="0" applyFont="1" applyFill="1" applyBorder="1" applyAlignment="1">
      <alignment horizontal="center" vertical="center"/>
    </xf>
    <xf numFmtId="0" fontId="1450" fillId="1452" borderId="1396" xfId="0" applyFont="1" applyFill="1" applyBorder="1" applyAlignment="1">
      <alignment horizontal="center" vertical="center"/>
    </xf>
    <xf numFmtId="0" fontId="1451" fillId="1453" borderId="1397" xfId="0" applyFont="1" applyFill="1" applyBorder="1" applyAlignment="1">
      <alignment horizontal="center" vertical="center"/>
    </xf>
    <xf numFmtId="0" fontId="1452" fillId="1454" borderId="1398" xfId="0" applyFont="1" applyFill="1" applyBorder="1"/>
    <xf numFmtId="0" fontId="1453" fillId="1455" borderId="1399" xfId="0" applyFont="1" applyFill="1" applyBorder="1"/>
    <xf numFmtId="0" fontId="1454" fillId="1456" borderId="1400" xfId="0" applyFont="1" applyFill="1" applyBorder="1"/>
    <xf numFmtId="0" fontId="1455" fillId="1457" borderId="1401" xfId="0" applyFont="1" applyFill="1" applyBorder="1"/>
    <xf numFmtId="0" fontId="1456" fillId="1458" borderId="1402" xfId="0" applyFont="1" applyFill="1" applyBorder="1"/>
    <xf numFmtId="0" fontId="1457" fillId="1459" borderId="1403" xfId="0" applyFont="1" applyFill="1" applyBorder="1"/>
    <xf numFmtId="0" fontId="1458" fillId="1460" borderId="1404" xfId="0" applyFont="1" applyFill="1" applyBorder="1"/>
    <xf numFmtId="0" fontId="1459" fillId="1461" borderId="1405" xfId="0" applyFont="1" applyFill="1" applyBorder="1"/>
    <xf numFmtId="0" fontId="1460" fillId="1462" borderId="1406" xfId="0" applyFont="1" applyFill="1" applyBorder="1" applyAlignment="1">
      <alignment horizontal="center" vertical="center"/>
    </xf>
    <xf numFmtId="0" fontId="1461" fillId="1463" borderId="1407" xfId="0" applyFont="1" applyFill="1" applyBorder="1" applyAlignment="1">
      <alignment horizontal="center" vertical="center"/>
    </xf>
    <xf numFmtId="0" fontId="1462" fillId="1464" borderId="1408" xfId="0" applyFont="1" applyFill="1" applyBorder="1" applyAlignment="1">
      <alignment horizontal="center" vertical="center"/>
    </xf>
    <xf numFmtId="0" fontId="1463" fillId="1465" borderId="1409" xfId="0" applyFont="1" applyFill="1" applyBorder="1" applyAlignment="1">
      <alignment horizontal="center" vertical="center"/>
    </xf>
    <xf numFmtId="0" fontId="1464" fillId="1466" borderId="1410" xfId="0" applyFont="1" applyFill="1" applyBorder="1" applyAlignment="1">
      <alignment horizontal="center" vertical="center"/>
    </xf>
    <xf numFmtId="0" fontId="1465" fillId="1467" borderId="1411" xfId="0" applyFont="1" applyFill="1" applyBorder="1" applyAlignment="1">
      <alignment horizontal="center" vertical="center"/>
    </xf>
    <xf numFmtId="0" fontId="1466" fillId="1468" borderId="1412" xfId="0" applyFont="1" applyFill="1" applyBorder="1" applyAlignment="1">
      <alignment horizontal="center" vertical="center"/>
    </xf>
    <xf numFmtId="0" fontId="1467" fillId="1469" borderId="1413" xfId="0" applyFont="1" applyFill="1" applyBorder="1"/>
    <xf numFmtId="0" fontId="1468" fillId="1470" borderId="1414" xfId="0" applyFont="1" applyFill="1" applyBorder="1"/>
    <xf numFmtId="0" fontId="1469" fillId="1471" borderId="1415" xfId="0" applyFont="1" applyFill="1" applyBorder="1"/>
    <xf numFmtId="0" fontId="1470" fillId="1472" borderId="1416" xfId="0" applyFont="1" applyFill="1" applyBorder="1"/>
    <xf numFmtId="0" fontId="1471" fillId="1473" borderId="1417" xfId="0" applyFont="1" applyFill="1" applyBorder="1"/>
    <xf numFmtId="0" fontId="1472" fillId="1474" borderId="1418" xfId="0" applyFont="1" applyFill="1" applyBorder="1"/>
    <xf numFmtId="0" fontId="1473" fillId="1475" borderId="1419" xfId="0" applyFont="1" applyFill="1" applyBorder="1"/>
    <xf numFmtId="0" fontId="1474" fillId="1476" borderId="1420" xfId="0" applyFont="1" applyFill="1" applyBorder="1"/>
    <xf numFmtId="0" fontId="1475" fillId="1477" borderId="1421" xfId="0" applyFont="1" applyFill="1" applyBorder="1" applyAlignment="1">
      <alignment horizontal="center" vertical="center"/>
    </xf>
    <xf numFmtId="0" fontId="1476" fillId="1478" borderId="1422" xfId="0" applyFont="1" applyFill="1" applyBorder="1" applyAlignment="1">
      <alignment horizontal="center" vertical="center"/>
    </xf>
    <xf numFmtId="0" fontId="1477" fillId="1479" borderId="1423" xfId="0" applyFont="1" applyFill="1" applyBorder="1" applyAlignment="1">
      <alignment horizontal="center" vertical="center"/>
    </xf>
    <xf numFmtId="0" fontId="1478" fillId="1480" borderId="1424" xfId="0" applyFont="1" applyFill="1" applyBorder="1" applyAlignment="1">
      <alignment horizontal="center" vertical="center"/>
    </xf>
    <xf numFmtId="0" fontId="1479" fillId="1481" borderId="1425" xfId="0" applyFont="1" applyFill="1" applyBorder="1" applyAlignment="1">
      <alignment horizontal="center" vertical="center"/>
    </xf>
    <xf numFmtId="0" fontId="1480" fillId="1482" borderId="1426" xfId="0" applyFont="1" applyFill="1" applyBorder="1" applyAlignment="1">
      <alignment horizontal="center" vertical="center"/>
    </xf>
    <xf numFmtId="0" fontId="1481" fillId="1483" borderId="1427" xfId="0" applyFont="1" applyFill="1" applyBorder="1" applyAlignment="1">
      <alignment horizontal="center" vertical="center"/>
    </xf>
    <xf numFmtId="0" fontId="1482" fillId="1484" borderId="1428" xfId="0" applyFont="1" applyFill="1" applyBorder="1"/>
    <xf numFmtId="0" fontId="1483" fillId="1485" borderId="1429" xfId="0" applyFont="1" applyFill="1" applyBorder="1"/>
    <xf numFmtId="0" fontId="1484" fillId="1486" borderId="1430" xfId="0" applyFont="1" applyFill="1" applyBorder="1"/>
    <xf numFmtId="0" fontId="1485" fillId="1487" borderId="1431" xfId="0" applyFont="1" applyFill="1" applyBorder="1"/>
    <xf numFmtId="0" fontId="1486" fillId="1488" borderId="1432" xfId="0" applyFont="1" applyFill="1" applyBorder="1"/>
    <xf numFmtId="0" fontId="1487" fillId="1489" borderId="1433" xfId="0" applyFont="1" applyFill="1" applyBorder="1"/>
    <xf numFmtId="0" fontId="1488" fillId="1490" borderId="1434" xfId="0" applyFont="1" applyFill="1" applyBorder="1"/>
    <xf numFmtId="0" fontId="1489" fillId="1491" borderId="1435" xfId="0" applyFont="1" applyFill="1" applyBorder="1"/>
    <xf numFmtId="0" fontId="1490" fillId="1492" borderId="1436" xfId="0" applyFont="1" applyFill="1" applyBorder="1" applyAlignment="1">
      <alignment horizontal="center" vertical="center"/>
    </xf>
    <xf numFmtId="0" fontId="1491" fillId="1493" borderId="1437" xfId="0" applyFont="1" applyFill="1" applyBorder="1" applyAlignment="1">
      <alignment horizontal="center" vertical="center"/>
    </xf>
    <xf numFmtId="0" fontId="1492" fillId="1494" borderId="1438" xfId="0" applyFont="1" applyFill="1" applyBorder="1" applyAlignment="1">
      <alignment horizontal="center" vertical="center"/>
    </xf>
    <xf numFmtId="0" fontId="1493" fillId="1495" borderId="1439" xfId="0" applyFont="1" applyFill="1" applyBorder="1" applyAlignment="1">
      <alignment horizontal="center" vertical="center"/>
    </xf>
    <xf numFmtId="0" fontId="1494" fillId="1496" borderId="1440" xfId="0" applyFont="1" applyFill="1" applyBorder="1" applyAlignment="1">
      <alignment horizontal="center" vertical="center"/>
    </xf>
    <xf numFmtId="0" fontId="1495" fillId="1497" borderId="1441" xfId="0" applyFont="1" applyFill="1" applyBorder="1" applyAlignment="1">
      <alignment horizontal="center" vertical="center"/>
    </xf>
    <xf numFmtId="0" fontId="1496" fillId="1498" borderId="1442" xfId="0" applyFont="1" applyFill="1" applyBorder="1" applyAlignment="1">
      <alignment horizontal="center" vertical="center"/>
    </xf>
    <xf numFmtId="0" fontId="1497" fillId="1499" borderId="1443" xfId="0" applyFont="1" applyFill="1" applyBorder="1"/>
    <xf numFmtId="0" fontId="1498" fillId="1500" borderId="1444" xfId="0" applyFont="1" applyFill="1" applyBorder="1"/>
    <xf numFmtId="0" fontId="1499" fillId="1501" borderId="1445" xfId="0" applyFont="1" applyFill="1" applyBorder="1"/>
    <xf numFmtId="0" fontId="1500" fillId="1502" borderId="1446" xfId="0" applyFont="1" applyFill="1" applyBorder="1"/>
    <xf numFmtId="0" fontId="1501" fillId="1503" borderId="1447" xfId="0" applyFont="1" applyFill="1" applyBorder="1"/>
    <xf numFmtId="0" fontId="1502" fillId="1504" borderId="1448" xfId="0" applyFont="1" applyFill="1" applyBorder="1"/>
    <xf numFmtId="0" fontId="1503" fillId="1505" borderId="1449" xfId="0" applyFont="1" applyFill="1" applyBorder="1"/>
    <xf numFmtId="0" fontId="1504" fillId="1506" borderId="1450" xfId="0" applyFont="1" applyFill="1" applyBorder="1"/>
    <xf numFmtId="0" fontId="1505" fillId="1507" borderId="1451" xfId="0" applyFont="1" applyFill="1" applyBorder="1" applyAlignment="1">
      <alignment horizontal="center" vertical="center"/>
    </xf>
    <xf numFmtId="0" fontId="1506" fillId="1508" borderId="1452" xfId="0" applyFont="1" applyFill="1" applyBorder="1" applyAlignment="1">
      <alignment horizontal="center" vertical="center"/>
    </xf>
    <xf numFmtId="0" fontId="1507" fillId="1509" borderId="1453" xfId="0" applyFont="1" applyFill="1" applyBorder="1" applyAlignment="1">
      <alignment horizontal="center" vertical="center"/>
    </xf>
    <xf numFmtId="0" fontId="1508" fillId="1510" borderId="1454" xfId="0" applyFont="1" applyFill="1" applyBorder="1" applyAlignment="1">
      <alignment horizontal="center" vertical="center"/>
    </xf>
    <xf numFmtId="0" fontId="1509" fillId="1511" borderId="1455" xfId="0" applyFont="1" applyFill="1" applyBorder="1" applyAlignment="1">
      <alignment horizontal="center" vertical="center"/>
    </xf>
    <xf numFmtId="0" fontId="1510" fillId="1512" borderId="1456" xfId="0" applyFont="1" applyFill="1" applyBorder="1" applyAlignment="1">
      <alignment horizontal="center" vertical="center"/>
    </xf>
    <xf numFmtId="0" fontId="1511" fillId="1513" borderId="1457" xfId="0" applyFont="1" applyFill="1" applyBorder="1" applyAlignment="1">
      <alignment horizontal="center" vertical="center"/>
    </xf>
    <xf numFmtId="0" fontId="1512" fillId="1514" borderId="1458" xfId="0" applyFont="1" applyFill="1" applyBorder="1"/>
    <xf numFmtId="0" fontId="1513" fillId="1515" borderId="1459" xfId="0" applyFont="1" applyFill="1" applyBorder="1"/>
    <xf numFmtId="0" fontId="1514" fillId="1516" borderId="1460" xfId="0" applyFont="1" applyFill="1" applyBorder="1"/>
    <xf numFmtId="0" fontId="1515" fillId="1517" borderId="1461" xfId="0" applyFont="1" applyFill="1" applyBorder="1"/>
    <xf numFmtId="0" fontId="1516" fillId="1518" borderId="1462" xfId="0" applyFont="1" applyFill="1" applyBorder="1"/>
    <xf numFmtId="0" fontId="1517" fillId="1519" borderId="1463" xfId="0" applyFont="1" applyFill="1" applyBorder="1"/>
    <xf numFmtId="0" fontId="1518" fillId="1520" borderId="1464" xfId="0" applyFont="1" applyFill="1" applyBorder="1"/>
    <xf numFmtId="0" fontId="1519" fillId="1521" borderId="1465" xfId="0" applyFont="1" applyFill="1" applyBorder="1"/>
    <xf numFmtId="0" fontId="1520" fillId="1522" borderId="1466" xfId="0" applyFont="1" applyFill="1" applyBorder="1" applyAlignment="1">
      <alignment horizontal="center" vertical="center"/>
    </xf>
    <xf numFmtId="0" fontId="1521" fillId="1523" borderId="1467" xfId="0" applyFont="1" applyFill="1" applyBorder="1" applyAlignment="1">
      <alignment horizontal="center" vertical="center"/>
    </xf>
    <xf numFmtId="0" fontId="1522" fillId="1524" borderId="1468" xfId="0" applyFont="1" applyFill="1" applyBorder="1" applyAlignment="1">
      <alignment horizontal="center" vertical="center"/>
    </xf>
    <xf numFmtId="0" fontId="1523" fillId="1525" borderId="1469" xfId="0" applyFont="1" applyFill="1" applyBorder="1" applyAlignment="1">
      <alignment horizontal="center" vertical="center"/>
    </xf>
    <xf numFmtId="0" fontId="1524" fillId="1526" borderId="1470" xfId="0" applyFont="1" applyFill="1" applyBorder="1" applyAlignment="1">
      <alignment horizontal="center" vertical="center"/>
    </xf>
    <xf numFmtId="0" fontId="1525" fillId="1527" borderId="1471" xfId="0" applyFont="1" applyFill="1" applyBorder="1" applyAlignment="1">
      <alignment horizontal="center" vertical="center"/>
    </xf>
    <xf numFmtId="0" fontId="1526" fillId="1528" borderId="1472" xfId="0" applyFont="1" applyFill="1" applyBorder="1" applyAlignment="1">
      <alignment horizontal="center" vertical="center"/>
    </xf>
    <xf numFmtId="0" fontId="1527" fillId="1529" borderId="1473" xfId="0" applyFont="1" applyFill="1" applyBorder="1"/>
    <xf numFmtId="0" fontId="1528" fillId="1530" borderId="1474" xfId="0" applyFont="1" applyFill="1" applyBorder="1"/>
    <xf numFmtId="0" fontId="1529" fillId="1531" borderId="1475" xfId="0" applyFont="1" applyFill="1" applyBorder="1"/>
    <xf numFmtId="0" fontId="1530" fillId="1532" borderId="1476" xfId="0" applyFont="1" applyFill="1" applyBorder="1"/>
    <xf numFmtId="0" fontId="1531" fillId="1533" borderId="1477" xfId="0" applyFont="1" applyFill="1" applyBorder="1"/>
    <xf numFmtId="0" fontId="1532" fillId="1534" borderId="1478" xfId="0" applyFont="1" applyFill="1" applyBorder="1"/>
    <xf numFmtId="0" fontId="1533" fillId="1535" borderId="1479" xfId="0" applyFont="1" applyFill="1" applyBorder="1"/>
    <xf numFmtId="0" fontId="1534" fillId="1536" borderId="1480" xfId="0" applyFont="1" applyFill="1" applyBorder="1"/>
    <xf numFmtId="0" fontId="1535" fillId="1537" borderId="1481" xfId="0" applyFont="1" applyFill="1" applyBorder="1" applyAlignment="1">
      <alignment horizontal="center" vertical="center"/>
    </xf>
    <xf numFmtId="0" fontId="1536" fillId="1538" borderId="1482" xfId="0" applyFont="1" applyFill="1" applyBorder="1" applyAlignment="1">
      <alignment horizontal="center" vertical="center"/>
    </xf>
    <xf numFmtId="0" fontId="1537" fillId="1539" borderId="1483" xfId="0" applyFont="1" applyFill="1" applyBorder="1" applyAlignment="1">
      <alignment horizontal="center" vertical="center"/>
    </xf>
    <xf numFmtId="0" fontId="1538" fillId="1540" borderId="1484" xfId="0" applyFont="1" applyFill="1" applyBorder="1" applyAlignment="1">
      <alignment horizontal="center" vertical="center"/>
    </xf>
    <xf numFmtId="0" fontId="1539" fillId="1541" borderId="1485" xfId="0" applyFont="1" applyFill="1" applyBorder="1" applyAlignment="1">
      <alignment horizontal="center" vertical="center"/>
    </xf>
    <xf numFmtId="0" fontId="1540" fillId="1542" borderId="1486" xfId="0" applyFont="1" applyFill="1" applyBorder="1" applyAlignment="1">
      <alignment horizontal="center" vertical="center"/>
    </xf>
    <xf numFmtId="0" fontId="1541" fillId="1543" borderId="1487" xfId="0" applyFont="1" applyFill="1" applyBorder="1" applyAlignment="1">
      <alignment horizontal="center" vertical="center"/>
    </xf>
    <xf numFmtId="0" fontId="1542" fillId="1544" borderId="1488" xfId="0" applyFont="1" applyFill="1" applyBorder="1"/>
    <xf numFmtId="0" fontId="1543" fillId="1545" borderId="1489" xfId="0" applyFont="1" applyFill="1" applyBorder="1"/>
    <xf numFmtId="0" fontId="1544" fillId="1546" borderId="1490" xfId="0" applyFont="1" applyFill="1" applyBorder="1"/>
    <xf numFmtId="0" fontId="1545" fillId="1547" borderId="1491" xfId="0" applyFont="1" applyFill="1" applyBorder="1"/>
    <xf numFmtId="0" fontId="1546" fillId="1548" borderId="1492" xfId="0" applyFont="1" applyFill="1" applyBorder="1"/>
    <xf numFmtId="0" fontId="1547" fillId="1549" borderId="1493" xfId="0" applyFont="1" applyFill="1" applyBorder="1"/>
    <xf numFmtId="0" fontId="1548" fillId="1550" borderId="1494" xfId="0" applyFont="1" applyFill="1" applyBorder="1"/>
    <xf numFmtId="0" fontId="1549" fillId="1551" borderId="1495" xfId="0" applyFont="1" applyFill="1" applyBorder="1"/>
    <xf numFmtId="0" fontId="1550" fillId="1552" borderId="1496" xfId="0" applyFont="1" applyFill="1" applyBorder="1" applyAlignment="1">
      <alignment horizontal="center" vertical="center"/>
    </xf>
    <xf numFmtId="0" fontId="1551" fillId="1553" borderId="1497" xfId="0" applyFont="1" applyFill="1" applyBorder="1" applyAlignment="1">
      <alignment horizontal="center" vertical="center"/>
    </xf>
    <xf numFmtId="0" fontId="1552" fillId="1554" borderId="1498" xfId="0" applyFont="1" applyFill="1" applyBorder="1" applyAlignment="1">
      <alignment horizontal="center" vertical="center"/>
    </xf>
    <xf numFmtId="0" fontId="1553" fillId="1555" borderId="1499" xfId="0" applyFont="1" applyFill="1" applyBorder="1" applyAlignment="1">
      <alignment horizontal="center" vertical="center"/>
    </xf>
    <xf numFmtId="0" fontId="1554" fillId="1556" borderId="1500" xfId="0" applyFont="1" applyFill="1" applyBorder="1" applyAlignment="1">
      <alignment horizontal="center" vertical="center"/>
    </xf>
    <xf numFmtId="0" fontId="1555" fillId="1557" borderId="1501" xfId="0" applyFont="1" applyFill="1" applyBorder="1" applyAlignment="1">
      <alignment horizontal="center" vertical="center"/>
    </xf>
    <xf numFmtId="0" fontId="1556" fillId="1558" borderId="1502" xfId="0" applyFont="1" applyFill="1" applyBorder="1" applyAlignment="1">
      <alignment horizontal="center" vertical="center"/>
    </xf>
    <xf numFmtId="0" fontId="1557" fillId="1559" borderId="1503" xfId="0" applyFont="1" applyFill="1" applyBorder="1"/>
    <xf numFmtId="0" fontId="1558" fillId="1560" borderId="1504" xfId="0" applyFont="1" applyFill="1" applyBorder="1"/>
    <xf numFmtId="0" fontId="1559" fillId="1561" borderId="1505" xfId="0" applyFont="1" applyFill="1" applyBorder="1"/>
    <xf numFmtId="0" fontId="1560" fillId="1562" borderId="1506" xfId="0" applyFont="1" applyFill="1" applyBorder="1"/>
    <xf numFmtId="0" fontId="1561" fillId="1563" borderId="1507" xfId="0" applyFont="1" applyFill="1" applyBorder="1"/>
    <xf numFmtId="0" fontId="1562" fillId="1564" borderId="1508" xfId="0" applyFont="1" applyFill="1" applyBorder="1"/>
    <xf numFmtId="0" fontId="1563" fillId="1565" borderId="1509" xfId="0" applyFont="1" applyFill="1" applyBorder="1"/>
    <xf numFmtId="0" fontId="1564" fillId="1566" borderId="1510" xfId="0" applyFont="1" applyFill="1" applyBorder="1"/>
    <xf numFmtId="0" fontId="1565" fillId="1567" borderId="1511" xfId="0" applyFont="1" applyFill="1" applyBorder="1" applyAlignment="1">
      <alignment horizontal="center" vertical="center"/>
    </xf>
    <xf numFmtId="0" fontId="1566" fillId="1568" borderId="1512" xfId="0" applyFont="1" applyFill="1" applyBorder="1" applyAlignment="1">
      <alignment horizontal="center" vertical="center"/>
    </xf>
    <xf numFmtId="0" fontId="1567" fillId="1569" borderId="1513" xfId="0" applyFont="1" applyFill="1" applyBorder="1" applyAlignment="1">
      <alignment horizontal="center" vertical="center"/>
    </xf>
    <xf numFmtId="0" fontId="1568" fillId="1570" borderId="1514" xfId="0" applyFont="1" applyFill="1" applyBorder="1" applyAlignment="1">
      <alignment horizontal="center" vertical="center"/>
    </xf>
    <xf numFmtId="0" fontId="1569" fillId="1571" borderId="1515" xfId="0" applyFont="1" applyFill="1" applyBorder="1" applyAlignment="1">
      <alignment horizontal="center" vertical="center"/>
    </xf>
    <xf numFmtId="0" fontId="1570" fillId="1572" borderId="1516" xfId="0" applyFont="1" applyFill="1" applyBorder="1" applyAlignment="1">
      <alignment horizontal="center" vertical="center"/>
    </xf>
    <xf numFmtId="0" fontId="1571" fillId="1573" borderId="1517" xfId="0" applyFont="1" applyFill="1" applyBorder="1" applyAlignment="1">
      <alignment horizontal="center" vertical="center"/>
    </xf>
    <xf numFmtId="0" fontId="1572" fillId="1574" borderId="1518" xfId="0" applyFont="1" applyFill="1" applyBorder="1"/>
    <xf numFmtId="0" fontId="1573" fillId="1575" borderId="1519" xfId="0" applyFont="1" applyFill="1" applyBorder="1"/>
    <xf numFmtId="0" fontId="1574" fillId="1576" borderId="1520" xfId="0" applyFont="1" applyFill="1" applyBorder="1"/>
    <xf numFmtId="0" fontId="1575" fillId="1577" borderId="1521" xfId="0" applyFont="1" applyFill="1" applyBorder="1"/>
    <xf numFmtId="0" fontId="1576" fillId="1578" borderId="1522" xfId="0" applyFont="1" applyFill="1" applyBorder="1"/>
    <xf numFmtId="0" fontId="1577" fillId="1579" borderId="1523" xfId="0" applyFont="1" applyFill="1" applyBorder="1"/>
    <xf numFmtId="0" fontId="1578" fillId="1580" borderId="1524" xfId="0" applyFont="1" applyFill="1" applyBorder="1"/>
    <xf numFmtId="0" fontId="1579" fillId="1581" borderId="1525" xfId="0" applyFont="1" applyFill="1" applyBorder="1"/>
    <xf numFmtId="0" fontId="1580" fillId="1582" borderId="1526" xfId="0" applyFont="1" applyFill="1" applyBorder="1" applyAlignment="1">
      <alignment horizontal="center" vertical="center"/>
    </xf>
    <xf numFmtId="0" fontId="1581" fillId="1583" borderId="1527" xfId="0" applyFont="1" applyFill="1" applyBorder="1" applyAlignment="1">
      <alignment horizontal="center" vertical="center"/>
    </xf>
    <xf numFmtId="0" fontId="1582" fillId="1584" borderId="1528" xfId="0" applyFont="1" applyFill="1" applyBorder="1" applyAlignment="1">
      <alignment horizontal="center" vertical="center"/>
    </xf>
    <xf numFmtId="0" fontId="1583" fillId="1585" borderId="1529" xfId="0" applyFont="1" applyFill="1" applyBorder="1" applyAlignment="1">
      <alignment horizontal="center" vertical="center"/>
    </xf>
    <xf numFmtId="0" fontId="1584" fillId="1586" borderId="1530" xfId="0" applyFont="1" applyFill="1" applyBorder="1" applyAlignment="1">
      <alignment horizontal="center" vertical="center"/>
    </xf>
    <xf numFmtId="0" fontId="1585" fillId="1587" borderId="1531" xfId="0" applyFont="1" applyFill="1" applyBorder="1" applyAlignment="1">
      <alignment horizontal="center" vertical="center"/>
    </xf>
    <xf numFmtId="0" fontId="1586" fillId="1588" borderId="1532" xfId="0" applyFont="1" applyFill="1" applyBorder="1" applyAlignment="1">
      <alignment horizontal="center" vertical="center"/>
    </xf>
    <xf numFmtId="0" fontId="1587" fillId="1589" borderId="1533" xfId="0" applyFont="1" applyFill="1" applyBorder="1"/>
    <xf numFmtId="0" fontId="1588" fillId="1590" borderId="1534" xfId="0" applyFont="1" applyFill="1" applyBorder="1"/>
    <xf numFmtId="0" fontId="1589" fillId="1591" borderId="1535" xfId="0" applyFont="1" applyFill="1" applyBorder="1"/>
    <xf numFmtId="0" fontId="1590" fillId="1592" borderId="1536" xfId="0" applyFont="1" applyFill="1" applyBorder="1"/>
    <xf numFmtId="0" fontId="1591" fillId="1593" borderId="1537" xfId="0" applyFont="1" applyFill="1" applyBorder="1"/>
    <xf numFmtId="0" fontId="1592" fillId="1594" borderId="1538" xfId="0" applyFont="1" applyFill="1" applyBorder="1"/>
    <xf numFmtId="0" fontId="1593" fillId="1595" borderId="1539" xfId="0" applyFont="1" applyFill="1" applyBorder="1"/>
    <xf numFmtId="0" fontId="1594" fillId="1596" borderId="1540" xfId="0" applyFont="1" applyFill="1" applyBorder="1"/>
    <xf numFmtId="0" fontId="1595" fillId="1597" borderId="1541" xfId="0" applyFont="1" applyFill="1" applyBorder="1" applyAlignment="1">
      <alignment horizontal="center" vertical="center"/>
    </xf>
    <xf numFmtId="0" fontId="1596" fillId="1598" borderId="1542" xfId="0" applyFont="1" applyFill="1" applyBorder="1" applyAlignment="1">
      <alignment horizontal="center" vertical="center"/>
    </xf>
    <xf numFmtId="0" fontId="1597" fillId="1599" borderId="1543" xfId="0" applyFont="1" applyFill="1" applyBorder="1" applyAlignment="1">
      <alignment horizontal="center" vertical="center"/>
    </xf>
    <xf numFmtId="0" fontId="1598" fillId="1600" borderId="1544" xfId="0" applyFont="1" applyFill="1" applyBorder="1" applyAlignment="1">
      <alignment horizontal="center" vertical="center"/>
    </xf>
    <xf numFmtId="0" fontId="1599" fillId="1601" borderId="1545" xfId="0" applyFont="1" applyFill="1" applyBorder="1" applyAlignment="1">
      <alignment horizontal="center" vertical="center"/>
    </xf>
    <xf numFmtId="0" fontId="1600" fillId="1602" borderId="1546" xfId="0" applyFont="1" applyFill="1" applyBorder="1" applyAlignment="1">
      <alignment horizontal="center" vertical="center"/>
    </xf>
    <xf numFmtId="0" fontId="1601" fillId="1603" borderId="1547" xfId="0" applyFont="1" applyFill="1" applyBorder="1" applyAlignment="1">
      <alignment horizontal="center" vertical="center"/>
    </xf>
    <xf numFmtId="0" fontId="1602" fillId="1604" borderId="1548" xfId="0" applyFont="1" applyFill="1" applyBorder="1"/>
    <xf numFmtId="0" fontId="1603" fillId="1605" borderId="1549" xfId="0" applyFont="1" applyFill="1" applyBorder="1"/>
    <xf numFmtId="0" fontId="1604" fillId="1606" borderId="1550" xfId="0" applyFont="1" applyFill="1" applyBorder="1"/>
    <xf numFmtId="0" fontId="1605" fillId="1607" borderId="1551" xfId="0" applyFont="1" applyFill="1" applyBorder="1"/>
    <xf numFmtId="0" fontId="1606" fillId="1608" borderId="1552" xfId="0" applyFont="1" applyFill="1" applyBorder="1"/>
    <xf numFmtId="0" fontId="1607" fillId="1609" borderId="1553" xfId="0" applyFont="1" applyFill="1" applyBorder="1"/>
    <xf numFmtId="0" fontId="1608" fillId="1610" borderId="1554" xfId="0" applyFont="1" applyFill="1" applyBorder="1"/>
    <xf numFmtId="0" fontId="1609" fillId="1611" borderId="1555" xfId="0" applyFont="1" applyFill="1" applyBorder="1"/>
    <xf numFmtId="0" fontId="1610" fillId="1612" borderId="1556" xfId="0" applyFont="1" applyFill="1" applyBorder="1" applyAlignment="1">
      <alignment horizontal="center" vertical="center"/>
    </xf>
    <xf numFmtId="0" fontId="1611" fillId="1613" borderId="1557" xfId="0" applyFont="1" applyFill="1" applyBorder="1" applyAlignment="1">
      <alignment horizontal="center" vertical="center"/>
    </xf>
    <xf numFmtId="0" fontId="1612" fillId="1614" borderId="1558" xfId="0" applyFont="1" applyFill="1" applyBorder="1" applyAlignment="1">
      <alignment horizontal="center" vertical="center"/>
    </xf>
    <xf numFmtId="0" fontId="1613" fillId="1615" borderId="1559" xfId="0" applyFont="1" applyFill="1" applyBorder="1" applyAlignment="1">
      <alignment horizontal="center" vertical="center"/>
    </xf>
    <xf numFmtId="0" fontId="1614" fillId="1616" borderId="1560" xfId="0" applyFont="1" applyFill="1" applyBorder="1" applyAlignment="1">
      <alignment horizontal="center" vertical="center"/>
    </xf>
    <xf numFmtId="0" fontId="1615" fillId="1617" borderId="1561" xfId="0" applyFont="1" applyFill="1" applyBorder="1" applyAlignment="1">
      <alignment horizontal="center" vertical="center"/>
    </xf>
    <xf numFmtId="0" fontId="1616" fillId="1618" borderId="1562" xfId="0" applyFont="1" applyFill="1" applyBorder="1" applyAlignment="1">
      <alignment horizontal="center" vertical="center"/>
    </xf>
    <xf numFmtId="0" fontId="1617" fillId="1619" borderId="1563" xfId="0" applyFont="1" applyFill="1" applyBorder="1"/>
    <xf numFmtId="0" fontId="1618" fillId="1620" borderId="1564" xfId="0" applyFont="1" applyFill="1" applyBorder="1"/>
    <xf numFmtId="0" fontId="1619" fillId="1621" borderId="1565" xfId="0" applyFont="1" applyFill="1" applyBorder="1"/>
    <xf numFmtId="0" fontId="1620" fillId="1622" borderId="1566" xfId="0" applyFont="1" applyFill="1" applyBorder="1"/>
    <xf numFmtId="0" fontId="1621" fillId="1623" borderId="1567" xfId="0" applyFont="1" applyFill="1" applyBorder="1"/>
    <xf numFmtId="0" fontId="1622" fillId="1624" borderId="1568" xfId="0" applyFont="1" applyFill="1" applyBorder="1"/>
    <xf numFmtId="0" fontId="1623" fillId="1625" borderId="1569" xfId="0" applyFont="1" applyFill="1" applyBorder="1"/>
    <xf numFmtId="0" fontId="1624" fillId="1626" borderId="1570" xfId="0" applyFont="1" applyFill="1" applyBorder="1"/>
    <xf numFmtId="0" fontId="1625" fillId="1627" borderId="1571" xfId="0" applyFont="1" applyFill="1" applyBorder="1" applyAlignment="1">
      <alignment horizontal="center" vertical="center"/>
    </xf>
    <xf numFmtId="0" fontId="1626" fillId="1628" borderId="1572" xfId="0" applyFont="1" applyFill="1" applyBorder="1" applyAlignment="1">
      <alignment horizontal="center" vertical="center"/>
    </xf>
    <xf numFmtId="0" fontId="1627" fillId="1629" borderId="1573" xfId="0" applyFont="1" applyFill="1" applyBorder="1" applyAlignment="1">
      <alignment horizontal="center" vertical="center"/>
    </xf>
    <xf numFmtId="0" fontId="1628" fillId="1630" borderId="1574" xfId="0" applyFont="1" applyFill="1" applyBorder="1" applyAlignment="1">
      <alignment horizontal="center" vertical="center"/>
    </xf>
    <xf numFmtId="0" fontId="1629" fillId="1631" borderId="1575" xfId="0" applyFont="1" applyFill="1" applyBorder="1" applyAlignment="1">
      <alignment horizontal="center" vertical="center"/>
    </xf>
    <xf numFmtId="0" fontId="1630" fillId="1632" borderId="1576" xfId="0" applyFont="1" applyFill="1" applyBorder="1" applyAlignment="1">
      <alignment horizontal="center" vertical="center"/>
    </xf>
    <xf numFmtId="0" fontId="1631" fillId="1633" borderId="1577" xfId="0" applyFont="1" applyFill="1" applyBorder="1" applyAlignment="1">
      <alignment horizontal="center" vertical="center"/>
    </xf>
    <xf numFmtId="0" fontId="1632" fillId="1634" borderId="1578" xfId="0" applyFont="1" applyFill="1" applyBorder="1"/>
    <xf numFmtId="0" fontId="1633" fillId="1635" borderId="1579" xfId="0" applyFont="1" applyFill="1" applyBorder="1"/>
    <xf numFmtId="0" fontId="1634" fillId="1636" borderId="1580" xfId="0" applyFont="1" applyFill="1" applyBorder="1"/>
    <xf numFmtId="0" fontId="1635" fillId="1637" borderId="1581" xfId="0" applyFont="1" applyFill="1" applyBorder="1"/>
    <xf numFmtId="0" fontId="1636" fillId="1638" borderId="1582" xfId="0" applyFont="1" applyFill="1" applyBorder="1"/>
    <xf numFmtId="0" fontId="1637" fillId="1639" borderId="1583" xfId="0" applyFont="1" applyFill="1" applyBorder="1"/>
    <xf numFmtId="0" fontId="1638" fillId="1640" borderId="1584" xfId="0" applyFont="1" applyFill="1" applyBorder="1"/>
    <xf numFmtId="0" fontId="1639" fillId="1641" borderId="1585" xfId="0" applyFont="1" applyFill="1" applyBorder="1"/>
    <xf numFmtId="0" fontId="1640" fillId="1642" borderId="1586" xfId="0" applyFont="1" applyFill="1" applyBorder="1" applyAlignment="1">
      <alignment horizontal="center" vertical="center"/>
    </xf>
    <xf numFmtId="0" fontId="1641" fillId="1643" borderId="1587" xfId="0" applyFont="1" applyFill="1" applyBorder="1" applyAlignment="1">
      <alignment horizontal="center" vertical="center"/>
    </xf>
    <xf numFmtId="0" fontId="1642" fillId="1644" borderId="1588" xfId="0" applyFont="1" applyFill="1" applyBorder="1" applyAlignment="1">
      <alignment horizontal="center" vertical="center"/>
    </xf>
    <xf numFmtId="0" fontId="1643" fillId="1645" borderId="1589" xfId="0" applyFont="1" applyFill="1" applyBorder="1" applyAlignment="1">
      <alignment horizontal="center" vertical="center"/>
    </xf>
    <xf numFmtId="0" fontId="1644" fillId="1646" borderId="1590" xfId="0" applyFont="1" applyFill="1" applyBorder="1" applyAlignment="1">
      <alignment horizontal="center" vertical="center"/>
    </xf>
    <xf numFmtId="0" fontId="1645" fillId="1647" borderId="1591" xfId="0" applyFont="1" applyFill="1" applyBorder="1" applyAlignment="1">
      <alignment horizontal="center" vertical="center"/>
    </xf>
    <xf numFmtId="0" fontId="1646" fillId="1648" borderId="1592" xfId="0" applyFont="1" applyFill="1" applyBorder="1" applyAlignment="1">
      <alignment horizontal="center" vertical="center"/>
    </xf>
    <xf numFmtId="0" fontId="1647" fillId="1649" borderId="1593" xfId="0" applyFont="1" applyFill="1" applyBorder="1"/>
    <xf numFmtId="0" fontId="1648" fillId="1650" borderId="1594" xfId="0" applyFont="1" applyFill="1" applyBorder="1"/>
    <xf numFmtId="0" fontId="1649" fillId="1651" borderId="1595" xfId="0" applyFont="1" applyFill="1" applyBorder="1"/>
    <xf numFmtId="0" fontId="1650" fillId="1652" borderId="1596" xfId="0" applyFont="1" applyFill="1" applyBorder="1"/>
    <xf numFmtId="0" fontId="1651" fillId="1653" borderId="1597" xfId="0" applyFont="1" applyFill="1" applyBorder="1"/>
    <xf numFmtId="0" fontId="1652" fillId="1654" borderId="1598" xfId="0" applyFont="1" applyFill="1" applyBorder="1"/>
    <xf numFmtId="0" fontId="1653" fillId="1655" borderId="1599" xfId="0" applyFont="1" applyFill="1" applyBorder="1"/>
    <xf numFmtId="0" fontId="1654" fillId="1656" borderId="1600" xfId="0" applyFont="1" applyFill="1" applyBorder="1"/>
    <xf numFmtId="0" fontId="1655" fillId="1657" borderId="1601" xfId="0" applyFont="1" applyFill="1" applyBorder="1" applyAlignment="1">
      <alignment horizontal="center" vertical="center"/>
    </xf>
    <xf numFmtId="0" fontId="1656" fillId="1658" borderId="1602" xfId="0" applyFont="1" applyFill="1" applyBorder="1" applyAlignment="1">
      <alignment horizontal="center" vertical="center"/>
    </xf>
    <xf numFmtId="0" fontId="1657" fillId="1659" borderId="1603" xfId="0" applyFont="1" applyFill="1" applyBorder="1" applyAlignment="1">
      <alignment horizontal="center" vertical="center"/>
    </xf>
    <xf numFmtId="0" fontId="1658" fillId="1660" borderId="1604" xfId="0" applyFont="1" applyFill="1" applyBorder="1" applyAlignment="1">
      <alignment horizontal="center" vertical="center"/>
    </xf>
    <xf numFmtId="0" fontId="1659" fillId="1661" borderId="1605" xfId="0" applyFont="1" applyFill="1" applyBorder="1" applyAlignment="1">
      <alignment horizontal="center" vertical="center"/>
    </xf>
    <xf numFmtId="0" fontId="1660" fillId="1662" borderId="1606" xfId="0" applyFont="1" applyFill="1" applyBorder="1" applyAlignment="1">
      <alignment horizontal="center" vertical="center"/>
    </xf>
    <xf numFmtId="0" fontId="1661" fillId="1663" borderId="1607" xfId="0" applyFont="1" applyFill="1" applyBorder="1" applyAlignment="1">
      <alignment horizontal="center" vertical="center"/>
    </xf>
    <xf numFmtId="0" fontId="1662" fillId="1664" borderId="1608" xfId="0" applyFont="1" applyFill="1" applyBorder="1"/>
    <xf numFmtId="0" fontId="1663" fillId="1665" borderId="1609" xfId="0" applyFont="1" applyFill="1" applyBorder="1"/>
    <xf numFmtId="0" fontId="1664" fillId="1666" borderId="1610" xfId="0" applyFont="1" applyFill="1" applyBorder="1"/>
    <xf numFmtId="0" fontId="1665" fillId="1667" borderId="1611" xfId="0" applyFont="1" applyFill="1" applyBorder="1"/>
    <xf numFmtId="0" fontId="1666" fillId="1668" borderId="1612" xfId="0" applyFont="1" applyFill="1" applyBorder="1"/>
    <xf numFmtId="0" fontId="1667" fillId="1669" borderId="1613" xfId="0" applyFont="1" applyFill="1" applyBorder="1"/>
    <xf numFmtId="0" fontId="1668" fillId="1670" borderId="1614" xfId="0" applyFont="1" applyFill="1" applyBorder="1"/>
    <xf numFmtId="0" fontId="1669" fillId="1671" borderId="1615" xfId="0" applyFont="1" applyFill="1" applyBorder="1"/>
    <xf numFmtId="0" fontId="1670" fillId="1672" borderId="1616" xfId="0" applyFont="1" applyFill="1" applyBorder="1" applyAlignment="1">
      <alignment horizontal="center" vertical="center"/>
    </xf>
    <xf numFmtId="0" fontId="1671" fillId="1673" borderId="1617" xfId="0" applyFont="1" applyFill="1" applyBorder="1" applyAlignment="1">
      <alignment horizontal="center" vertical="center"/>
    </xf>
    <xf numFmtId="0" fontId="1672" fillId="1674" borderId="1618" xfId="0" applyFont="1" applyFill="1" applyBorder="1" applyAlignment="1">
      <alignment horizontal="center" vertical="center"/>
    </xf>
    <xf numFmtId="0" fontId="1673" fillId="1675" borderId="1619" xfId="0" applyFont="1" applyFill="1" applyBorder="1" applyAlignment="1">
      <alignment horizontal="center" vertical="center"/>
    </xf>
    <xf numFmtId="0" fontId="1674" fillId="1676" borderId="1620" xfId="0" applyFont="1" applyFill="1" applyBorder="1" applyAlignment="1">
      <alignment horizontal="center" vertical="center"/>
    </xf>
    <xf numFmtId="0" fontId="1675" fillId="1677" borderId="1621" xfId="0" applyFont="1" applyFill="1" applyBorder="1" applyAlignment="1">
      <alignment horizontal="center" vertical="center"/>
    </xf>
    <xf numFmtId="0" fontId="1676" fillId="1678" borderId="1622" xfId="0" applyFont="1" applyFill="1" applyBorder="1" applyAlignment="1">
      <alignment horizontal="center" vertical="center"/>
    </xf>
    <xf numFmtId="0" fontId="1677" fillId="1679" borderId="1623" xfId="0" applyFont="1" applyFill="1" applyBorder="1"/>
    <xf numFmtId="0" fontId="1678" fillId="1680" borderId="1624" xfId="0" applyFont="1" applyFill="1" applyBorder="1"/>
    <xf numFmtId="0" fontId="1679" fillId="1681" borderId="1625" xfId="0" applyFont="1" applyFill="1" applyBorder="1"/>
    <xf numFmtId="0" fontId="1680" fillId="1682" borderId="1626" xfId="0" applyFont="1" applyFill="1" applyBorder="1"/>
    <xf numFmtId="0" fontId="1681" fillId="1683" borderId="1627" xfId="0" applyFont="1" applyFill="1" applyBorder="1"/>
    <xf numFmtId="0" fontId="1682" fillId="1684" borderId="1628" xfId="0" applyFont="1" applyFill="1" applyBorder="1"/>
    <xf numFmtId="0" fontId="1683" fillId="1685" borderId="1629" xfId="0" applyFont="1" applyFill="1" applyBorder="1"/>
    <xf numFmtId="0" fontId="1684" fillId="1686" borderId="1630" xfId="0" applyFont="1" applyFill="1" applyBorder="1"/>
    <xf numFmtId="0" fontId="1685" fillId="1687" borderId="1631" xfId="0" applyFont="1" applyFill="1" applyBorder="1" applyAlignment="1">
      <alignment horizontal="center" vertical="center"/>
    </xf>
    <xf numFmtId="0" fontId="1686" fillId="1688" borderId="1632" xfId="0" applyFont="1" applyFill="1" applyBorder="1" applyAlignment="1">
      <alignment horizontal="center" vertical="center"/>
    </xf>
    <xf numFmtId="0" fontId="1687" fillId="1689" borderId="1633" xfId="0" applyFont="1" applyFill="1" applyBorder="1" applyAlignment="1">
      <alignment horizontal="center" vertical="center"/>
    </xf>
    <xf numFmtId="0" fontId="1688" fillId="1690" borderId="1634" xfId="0" applyFont="1" applyFill="1" applyBorder="1" applyAlignment="1">
      <alignment horizontal="center" vertical="center"/>
    </xf>
    <xf numFmtId="0" fontId="1689" fillId="1691" borderId="1635" xfId="0" applyFont="1" applyFill="1" applyBorder="1" applyAlignment="1">
      <alignment horizontal="center" vertical="center"/>
    </xf>
    <xf numFmtId="0" fontId="1690" fillId="1692" borderId="1636" xfId="0" applyFont="1" applyFill="1" applyBorder="1" applyAlignment="1">
      <alignment horizontal="center" vertical="center"/>
    </xf>
    <xf numFmtId="0" fontId="1691" fillId="1693" borderId="1637" xfId="0" applyFont="1" applyFill="1" applyBorder="1" applyAlignment="1">
      <alignment horizontal="center" vertical="center"/>
    </xf>
    <xf numFmtId="0" fontId="1692" fillId="1694" borderId="1638" xfId="0" applyFont="1" applyFill="1" applyBorder="1"/>
    <xf numFmtId="0" fontId="1693" fillId="1695" borderId="1639" xfId="0" applyFont="1" applyFill="1" applyBorder="1"/>
    <xf numFmtId="0" fontId="1694" fillId="1696" borderId="1640" xfId="0" applyFont="1" applyFill="1" applyBorder="1"/>
    <xf numFmtId="0" fontId="1695" fillId="1697" borderId="1641" xfId="0" applyFont="1" applyFill="1" applyBorder="1"/>
    <xf numFmtId="0" fontId="1696" fillId="1698" borderId="1642" xfId="0" applyFont="1" applyFill="1" applyBorder="1"/>
    <xf numFmtId="0" fontId="1697" fillId="1699" borderId="1643" xfId="0" applyFont="1" applyFill="1" applyBorder="1"/>
    <xf numFmtId="0" fontId="1698" fillId="1700" borderId="1644" xfId="0" applyFont="1" applyFill="1" applyBorder="1"/>
    <xf numFmtId="0" fontId="1699" fillId="1701" borderId="1645" xfId="0" applyFont="1" applyFill="1" applyBorder="1"/>
    <xf numFmtId="0" fontId="1700" fillId="1702" borderId="1646" xfId="0" applyFont="1" applyFill="1" applyBorder="1" applyAlignment="1">
      <alignment horizontal="center" vertical="center"/>
    </xf>
    <xf numFmtId="0" fontId="1701" fillId="1703" borderId="1647" xfId="0" applyFont="1" applyFill="1" applyBorder="1" applyAlignment="1">
      <alignment horizontal="center" vertical="center"/>
    </xf>
    <xf numFmtId="0" fontId="1702" fillId="1704" borderId="1648" xfId="0" applyFont="1" applyFill="1" applyBorder="1" applyAlignment="1">
      <alignment horizontal="center" vertical="center"/>
    </xf>
    <xf numFmtId="0" fontId="1703" fillId="1705" borderId="1649" xfId="0" applyFont="1" applyFill="1" applyBorder="1" applyAlignment="1">
      <alignment horizontal="center" vertical="center"/>
    </xf>
    <xf numFmtId="0" fontId="1704" fillId="1706" borderId="1650" xfId="0" applyFont="1" applyFill="1" applyBorder="1" applyAlignment="1">
      <alignment horizontal="center" vertical="center"/>
    </xf>
    <xf numFmtId="0" fontId="1705" fillId="1707" borderId="1651" xfId="0" applyFont="1" applyFill="1" applyBorder="1" applyAlignment="1">
      <alignment horizontal="center" vertical="center"/>
    </xf>
    <xf numFmtId="0" fontId="1706" fillId="1708" borderId="1652" xfId="0" applyFont="1" applyFill="1" applyBorder="1" applyAlignment="1">
      <alignment horizontal="center" vertical="center"/>
    </xf>
    <xf numFmtId="0" fontId="1707" fillId="1709" borderId="1653" xfId="0" applyFont="1" applyFill="1" applyBorder="1"/>
    <xf numFmtId="0" fontId="1708" fillId="1710" borderId="1654" xfId="0" applyFont="1" applyFill="1" applyBorder="1"/>
    <xf numFmtId="0" fontId="1709" fillId="1711" borderId="1655" xfId="0" applyFont="1" applyFill="1" applyBorder="1"/>
    <xf numFmtId="0" fontId="1710" fillId="1712" borderId="1656" xfId="0" applyFont="1" applyFill="1" applyBorder="1"/>
    <xf numFmtId="0" fontId="1711" fillId="1713" borderId="1657" xfId="0" applyFont="1" applyFill="1" applyBorder="1"/>
    <xf numFmtId="0" fontId="1712" fillId="1714" borderId="1658" xfId="0" applyFont="1" applyFill="1" applyBorder="1"/>
    <xf numFmtId="0" fontId="1713" fillId="1715" borderId="1659" xfId="0" applyFont="1" applyFill="1" applyBorder="1"/>
    <xf numFmtId="0" fontId="1714" fillId="1716" borderId="1660" xfId="0" applyFont="1" applyFill="1" applyBorder="1"/>
    <xf numFmtId="0" fontId="1715" fillId="1717" borderId="1661" xfId="0" applyFont="1" applyFill="1" applyBorder="1" applyAlignment="1">
      <alignment horizontal="center" vertical="center"/>
    </xf>
    <xf numFmtId="0" fontId="1716" fillId="1718" borderId="1662" xfId="0" applyFont="1" applyFill="1" applyBorder="1" applyAlignment="1">
      <alignment horizontal="center" vertical="center"/>
    </xf>
    <xf numFmtId="0" fontId="1717" fillId="1719" borderId="1663" xfId="0" applyFont="1" applyFill="1" applyBorder="1" applyAlignment="1">
      <alignment horizontal="center" vertical="center"/>
    </xf>
    <xf numFmtId="0" fontId="1718" fillId="1720" borderId="1664" xfId="0" applyFont="1" applyFill="1" applyBorder="1" applyAlignment="1">
      <alignment horizontal="center" vertical="center"/>
    </xf>
    <xf numFmtId="0" fontId="1719" fillId="1721" borderId="1665" xfId="0" applyFont="1" applyFill="1" applyBorder="1" applyAlignment="1">
      <alignment horizontal="center" vertical="center"/>
    </xf>
    <xf numFmtId="0" fontId="1720" fillId="1722" borderId="1666" xfId="0" applyFont="1" applyFill="1" applyBorder="1" applyAlignment="1">
      <alignment horizontal="center" vertical="center"/>
    </xf>
    <xf numFmtId="0" fontId="1721" fillId="1723" borderId="1667" xfId="0" applyFont="1" applyFill="1" applyBorder="1" applyAlignment="1">
      <alignment horizontal="center" vertical="center"/>
    </xf>
    <xf numFmtId="0" fontId="1722" fillId="1724" borderId="1668" xfId="0" applyFont="1" applyFill="1" applyBorder="1"/>
    <xf numFmtId="0" fontId="1723" fillId="1725" borderId="1669" xfId="0" applyFont="1" applyFill="1" applyBorder="1"/>
    <xf numFmtId="0" fontId="1724" fillId="1726" borderId="1670" xfId="0" applyFont="1" applyFill="1" applyBorder="1"/>
    <xf numFmtId="0" fontId="1725" fillId="1727" borderId="1671" xfId="0" applyFont="1" applyFill="1" applyBorder="1"/>
    <xf numFmtId="0" fontId="1726" fillId="1728" borderId="1672" xfId="0" applyFont="1" applyFill="1" applyBorder="1"/>
    <xf numFmtId="0" fontId="1727" fillId="1729" borderId="1673" xfId="0" applyFont="1" applyFill="1" applyBorder="1"/>
    <xf numFmtId="0" fontId="1728" fillId="1730" borderId="1674" xfId="0" applyFont="1" applyFill="1" applyBorder="1"/>
    <xf numFmtId="0" fontId="1729" fillId="1731" borderId="1675" xfId="0" applyFont="1" applyFill="1" applyBorder="1"/>
    <xf numFmtId="0" fontId="1730" fillId="1732" borderId="1676" xfId="0" applyFont="1" applyFill="1" applyBorder="1" applyAlignment="1">
      <alignment horizontal="center" vertical="center"/>
    </xf>
    <xf numFmtId="0" fontId="1731" fillId="1733" borderId="1677" xfId="0" applyFont="1" applyFill="1" applyBorder="1" applyAlignment="1">
      <alignment horizontal="center" vertical="center"/>
    </xf>
    <xf numFmtId="0" fontId="1732" fillId="1734" borderId="1678" xfId="0" applyFont="1" applyFill="1" applyBorder="1" applyAlignment="1">
      <alignment horizontal="center" vertical="center"/>
    </xf>
    <xf numFmtId="0" fontId="1733" fillId="1735" borderId="1679" xfId="0" applyFont="1" applyFill="1" applyBorder="1" applyAlignment="1">
      <alignment horizontal="center" vertical="center"/>
    </xf>
    <xf numFmtId="0" fontId="1734" fillId="1736" borderId="1680" xfId="0" applyFont="1" applyFill="1" applyBorder="1" applyAlignment="1">
      <alignment horizontal="center" vertical="center"/>
    </xf>
    <xf numFmtId="0" fontId="1735" fillId="1737" borderId="1681" xfId="0" applyFont="1" applyFill="1" applyBorder="1" applyAlignment="1">
      <alignment horizontal="center" vertical="center"/>
    </xf>
    <xf numFmtId="0" fontId="1736" fillId="1738" borderId="1682" xfId="0" applyFont="1" applyFill="1" applyBorder="1" applyAlignment="1">
      <alignment horizontal="center" vertical="center"/>
    </xf>
    <xf numFmtId="0" fontId="1737" fillId="1739" borderId="1683" xfId="0" applyFont="1" applyFill="1" applyBorder="1"/>
    <xf numFmtId="0" fontId="1738" fillId="1740" borderId="1684" xfId="0" applyFont="1" applyFill="1" applyBorder="1"/>
    <xf numFmtId="0" fontId="1739" fillId="1741" borderId="1685" xfId="0" applyFont="1" applyFill="1" applyBorder="1"/>
    <xf numFmtId="0" fontId="1740" fillId="1742" borderId="1686" xfId="0" applyFont="1" applyFill="1" applyBorder="1"/>
    <xf numFmtId="0" fontId="1741" fillId="1743" borderId="1687" xfId="0" applyFont="1" applyFill="1" applyBorder="1"/>
    <xf numFmtId="0" fontId="1742" fillId="1744" borderId="1688" xfId="0" applyFont="1" applyFill="1" applyBorder="1"/>
    <xf numFmtId="0" fontId="1743" fillId="1745" borderId="1689" xfId="0" applyFont="1" applyFill="1" applyBorder="1"/>
    <xf numFmtId="0" fontId="1744" fillId="1746" borderId="1690" xfId="0" applyFont="1" applyFill="1" applyBorder="1"/>
    <xf numFmtId="0" fontId="1745" fillId="1747" borderId="1691" xfId="0" applyFont="1" applyFill="1" applyBorder="1" applyAlignment="1">
      <alignment horizontal="center" vertical="center"/>
    </xf>
    <xf numFmtId="0" fontId="1746" fillId="1748" borderId="1692" xfId="0" applyFont="1" applyFill="1" applyBorder="1" applyAlignment="1">
      <alignment horizontal="center" vertical="center"/>
    </xf>
    <xf numFmtId="0" fontId="1747" fillId="1749" borderId="1693" xfId="0" applyFont="1" applyFill="1" applyBorder="1" applyAlignment="1">
      <alignment horizontal="center" vertical="center"/>
    </xf>
    <xf numFmtId="0" fontId="1748" fillId="1750" borderId="1694" xfId="0" applyFont="1" applyFill="1" applyBorder="1" applyAlignment="1">
      <alignment horizontal="center" vertical="center"/>
    </xf>
    <xf numFmtId="0" fontId="1749" fillId="1751" borderId="1695" xfId="0" applyFont="1" applyFill="1" applyBorder="1" applyAlignment="1">
      <alignment horizontal="center" vertical="center"/>
    </xf>
    <xf numFmtId="0" fontId="1750" fillId="1752" borderId="1696" xfId="0" applyFont="1" applyFill="1" applyBorder="1" applyAlignment="1">
      <alignment horizontal="center" vertical="center"/>
    </xf>
    <xf numFmtId="0" fontId="1751" fillId="1753" borderId="1697" xfId="0" applyFont="1" applyFill="1" applyBorder="1" applyAlignment="1">
      <alignment horizontal="center" vertical="center"/>
    </xf>
    <xf numFmtId="0" fontId="1752" fillId="1754" borderId="1698" xfId="0" applyFont="1" applyFill="1" applyBorder="1"/>
    <xf numFmtId="0" fontId="1753" fillId="1755" borderId="1699" xfId="0" applyFont="1" applyFill="1" applyBorder="1"/>
    <xf numFmtId="0" fontId="1754" fillId="1756" borderId="1700" xfId="0" applyFont="1" applyFill="1" applyBorder="1"/>
    <xf numFmtId="0" fontId="1755" fillId="1757" borderId="1701" xfId="0" applyFont="1" applyFill="1" applyBorder="1"/>
    <xf numFmtId="0" fontId="1756" fillId="1758" borderId="1702" xfId="0" applyFont="1" applyFill="1" applyBorder="1"/>
    <xf numFmtId="0" fontId="1757" fillId="1759" borderId="1703" xfId="0" applyFont="1" applyFill="1" applyBorder="1"/>
    <xf numFmtId="0" fontId="1758" fillId="1760" borderId="1704" xfId="0" applyFont="1" applyFill="1" applyBorder="1"/>
    <xf numFmtId="0" fontId="1759" fillId="1761" borderId="1705" xfId="0" applyFont="1" applyFill="1" applyBorder="1"/>
    <xf numFmtId="0" fontId="1760" fillId="1762" borderId="1706" xfId="0" applyFont="1" applyFill="1" applyBorder="1" applyAlignment="1">
      <alignment horizontal="center" vertical="center"/>
    </xf>
    <xf numFmtId="0" fontId="1761" fillId="1763" borderId="1707" xfId="0" applyFont="1" applyFill="1" applyBorder="1" applyAlignment="1">
      <alignment horizontal="center" vertical="center"/>
    </xf>
    <xf numFmtId="0" fontId="1762" fillId="1764" borderId="1708" xfId="0" applyFont="1" applyFill="1" applyBorder="1" applyAlignment="1">
      <alignment horizontal="center" vertical="center"/>
    </xf>
    <xf numFmtId="0" fontId="1763" fillId="1765" borderId="1709" xfId="0" applyFont="1" applyFill="1" applyBorder="1" applyAlignment="1">
      <alignment horizontal="center" vertical="center"/>
    </xf>
    <xf numFmtId="0" fontId="1764" fillId="1766" borderId="1710" xfId="0" applyFont="1" applyFill="1" applyBorder="1" applyAlignment="1">
      <alignment horizontal="center" vertical="center"/>
    </xf>
    <xf numFmtId="0" fontId="1765" fillId="1767" borderId="1711" xfId="0" applyFont="1" applyFill="1" applyBorder="1" applyAlignment="1">
      <alignment horizontal="center" vertical="center"/>
    </xf>
    <xf numFmtId="0" fontId="1766" fillId="1768" borderId="1712" xfId="0" applyFont="1" applyFill="1" applyBorder="1" applyAlignment="1">
      <alignment horizontal="center" vertical="center"/>
    </xf>
    <xf numFmtId="0" fontId="1767" fillId="1769" borderId="1713" xfId="0" applyFont="1" applyFill="1" applyBorder="1"/>
    <xf numFmtId="0" fontId="1768" fillId="1770" borderId="1714" xfId="0" applyFont="1" applyFill="1" applyBorder="1"/>
    <xf numFmtId="0" fontId="1769" fillId="1771" borderId="1715" xfId="0" applyFont="1" applyFill="1" applyBorder="1"/>
    <xf numFmtId="0" fontId="1770" fillId="1772" borderId="1716" xfId="0" applyFont="1" applyFill="1" applyBorder="1"/>
    <xf numFmtId="0" fontId="1771" fillId="1773" borderId="1717" xfId="0" applyFont="1" applyFill="1" applyBorder="1"/>
    <xf numFmtId="0" fontId="1772" fillId="1774" borderId="1718" xfId="0" applyFont="1" applyFill="1" applyBorder="1"/>
    <xf numFmtId="0" fontId="1773" fillId="1775" borderId="1719" xfId="0" applyFont="1" applyFill="1" applyBorder="1"/>
    <xf numFmtId="0" fontId="1774" fillId="1776" borderId="1720" xfId="0" applyFont="1" applyFill="1" applyBorder="1"/>
    <xf numFmtId="0" fontId="1775" fillId="1777" borderId="1721" xfId="0" applyFont="1" applyFill="1" applyBorder="1" applyAlignment="1">
      <alignment horizontal="center" vertical="center"/>
    </xf>
    <xf numFmtId="0" fontId="1776" fillId="1778" borderId="1722" xfId="0" applyFont="1" applyFill="1" applyBorder="1" applyAlignment="1">
      <alignment horizontal="center" vertical="center"/>
    </xf>
    <xf numFmtId="0" fontId="1777" fillId="1779" borderId="1723" xfId="0" applyFont="1" applyFill="1" applyBorder="1" applyAlignment="1">
      <alignment horizontal="center" vertical="center"/>
    </xf>
    <xf numFmtId="0" fontId="1778" fillId="1780" borderId="1724" xfId="0" applyFont="1" applyFill="1" applyBorder="1" applyAlignment="1">
      <alignment horizontal="center" vertical="center"/>
    </xf>
    <xf numFmtId="0" fontId="1779" fillId="1781" borderId="1725" xfId="0" applyFont="1" applyFill="1" applyBorder="1" applyAlignment="1">
      <alignment horizontal="center" vertical="center"/>
    </xf>
    <xf numFmtId="0" fontId="1780" fillId="1782" borderId="1726" xfId="0" applyFont="1" applyFill="1" applyBorder="1" applyAlignment="1">
      <alignment horizontal="center" vertical="center"/>
    </xf>
    <xf numFmtId="0" fontId="1781" fillId="1783" borderId="1727" xfId="0" applyFont="1" applyFill="1" applyBorder="1" applyAlignment="1">
      <alignment horizontal="center" vertical="center"/>
    </xf>
    <xf numFmtId="0" fontId="1782" fillId="1784" borderId="1728" xfId="0" applyFont="1" applyFill="1" applyBorder="1"/>
    <xf numFmtId="0" fontId="1783" fillId="1785" borderId="1729" xfId="0" applyFont="1" applyFill="1" applyBorder="1"/>
    <xf numFmtId="0" fontId="1784" fillId="1786" borderId="1730" xfId="0" applyFont="1" applyFill="1" applyBorder="1"/>
    <xf numFmtId="0" fontId="1785" fillId="1787" borderId="1731" xfId="0" applyFont="1" applyFill="1" applyBorder="1"/>
    <xf numFmtId="0" fontId="1786" fillId="1788" borderId="1732" xfId="0" applyFont="1" applyFill="1" applyBorder="1"/>
    <xf numFmtId="0" fontId="1787" fillId="1789" borderId="1733" xfId="0" applyFont="1" applyFill="1" applyBorder="1"/>
    <xf numFmtId="0" fontId="1788" fillId="1790" borderId="1734" xfId="0" applyFont="1" applyFill="1" applyBorder="1"/>
    <xf numFmtId="0" fontId="1789" fillId="1791" borderId="1735" xfId="0" applyFont="1" applyFill="1" applyBorder="1"/>
    <xf numFmtId="0" fontId="1790" fillId="1792" borderId="1736" xfId="0" applyFont="1" applyFill="1" applyBorder="1" applyAlignment="1">
      <alignment horizontal="center" vertical="center"/>
    </xf>
    <xf numFmtId="0" fontId="1791" fillId="1793" borderId="1737" xfId="0" applyFont="1" applyFill="1" applyBorder="1" applyAlignment="1">
      <alignment horizontal="center" vertical="center"/>
    </xf>
    <xf numFmtId="0" fontId="1792" fillId="1794" borderId="1738" xfId="0" applyFont="1" applyFill="1" applyBorder="1" applyAlignment="1">
      <alignment horizontal="center" vertical="center"/>
    </xf>
    <xf numFmtId="0" fontId="1793" fillId="1795" borderId="1739" xfId="0" applyFont="1" applyFill="1" applyBorder="1" applyAlignment="1">
      <alignment horizontal="center" vertical="center"/>
    </xf>
    <xf numFmtId="0" fontId="1794" fillId="1796" borderId="1740" xfId="0" applyFont="1" applyFill="1" applyBorder="1" applyAlignment="1">
      <alignment horizontal="center" vertical="center"/>
    </xf>
    <xf numFmtId="0" fontId="1795" fillId="1797" borderId="1741" xfId="0" applyFont="1" applyFill="1" applyBorder="1" applyAlignment="1">
      <alignment horizontal="center" vertical="center"/>
    </xf>
    <xf numFmtId="0" fontId="1796" fillId="1798" borderId="1742" xfId="0" applyFont="1" applyFill="1" applyBorder="1" applyAlignment="1">
      <alignment horizontal="center" vertical="center"/>
    </xf>
    <xf numFmtId="0" fontId="1797" fillId="1799" borderId="1743" xfId="0" applyFont="1" applyFill="1" applyBorder="1"/>
    <xf numFmtId="0" fontId="1798" fillId="1800" borderId="1744" xfId="0" applyFont="1" applyFill="1" applyBorder="1"/>
    <xf numFmtId="0" fontId="1799" fillId="1801" borderId="1745" xfId="0" applyFont="1" applyFill="1" applyBorder="1"/>
    <xf numFmtId="0" fontId="1800" fillId="1802" borderId="1746" xfId="0" applyFont="1" applyFill="1" applyBorder="1"/>
    <xf numFmtId="0" fontId="1801" fillId="1803" borderId="1747" xfId="0" applyFont="1" applyFill="1" applyBorder="1"/>
    <xf numFmtId="0" fontId="1802" fillId="1804" borderId="1748" xfId="0" applyFont="1" applyFill="1" applyBorder="1"/>
    <xf numFmtId="0" fontId="1803" fillId="1805" borderId="1749" xfId="0" applyFont="1" applyFill="1" applyBorder="1"/>
    <xf numFmtId="0" fontId="1804" fillId="1806" borderId="1750" xfId="0" applyFont="1" applyFill="1" applyBorder="1"/>
    <xf numFmtId="0" fontId="1805" fillId="1807" borderId="1751" xfId="0" applyFont="1" applyFill="1" applyBorder="1" applyAlignment="1">
      <alignment horizontal="center" vertical="center"/>
    </xf>
    <xf numFmtId="0" fontId="1806" fillId="1808" borderId="1752" xfId="0" applyFont="1" applyFill="1" applyBorder="1" applyAlignment="1">
      <alignment horizontal="center" vertical="center"/>
    </xf>
    <xf numFmtId="0" fontId="1807" fillId="1809" borderId="1753" xfId="0" applyFont="1" applyFill="1" applyBorder="1" applyAlignment="1">
      <alignment horizontal="center" vertical="center"/>
    </xf>
    <xf numFmtId="0" fontId="1808" fillId="1810" borderId="1754" xfId="0" applyFont="1" applyFill="1" applyBorder="1" applyAlignment="1">
      <alignment horizontal="center" vertical="center"/>
    </xf>
    <xf numFmtId="0" fontId="1809" fillId="1811" borderId="1755" xfId="0" applyFont="1" applyFill="1" applyBorder="1" applyAlignment="1">
      <alignment horizontal="center" vertical="center"/>
    </xf>
    <xf numFmtId="0" fontId="1810" fillId="1812" borderId="1756" xfId="0" applyFont="1" applyFill="1" applyBorder="1" applyAlignment="1">
      <alignment horizontal="center" vertical="center"/>
    </xf>
    <xf numFmtId="0" fontId="1811" fillId="1813" borderId="1757" xfId="0" applyFont="1" applyFill="1" applyBorder="1" applyAlignment="1">
      <alignment horizontal="center" vertical="center"/>
    </xf>
    <xf numFmtId="0" fontId="1812" fillId="1814" borderId="1758" xfId="0" applyFont="1" applyFill="1" applyBorder="1"/>
    <xf numFmtId="0" fontId="1813" fillId="1815" borderId="1759" xfId="0" applyFont="1" applyFill="1" applyBorder="1"/>
    <xf numFmtId="0" fontId="1814" fillId="1816" borderId="1760" xfId="0" applyFont="1" applyFill="1" applyBorder="1"/>
    <xf numFmtId="0" fontId="1815" fillId="1817" borderId="1761" xfId="0" applyFont="1" applyFill="1" applyBorder="1"/>
    <xf numFmtId="0" fontId="1816" fillId="1818" borderId="1762" xfId="0" applyFont="1" applyFill="1" applyBorder="1"/>
    <xf numFmtId="0" fontId="1817" fillId="1819" borderId="1763" xfId="0" applyFont="1" applyFill="1" applyBorder="1"/>
    <xf numFmtId="0" fontId="1818" fillId="1820" borderId="1764" xfId="0" applyFont="1" applyFill="1" applyBorder="1"/>
    <xf numFmtId="0" fontId="1819" fillId="1821" borderId="1765" xfId="0" applyFont="1" applyFill="1" applyBorder="1"/>
    <xf numFmtId="0" fontId="1820" fillId="1822" borderId="1766" xfId="0" applyFont="1" applyFill="1" applyBorder="1" applyAlignment="1">
      <alignment horizontal="center" vertical="center"/>
    </xf>
    <xf numFmtId="0" fontId="1821" fillId="1823" borderId="1767" xfId="0" applyFont="1" applyFill="1" applyBorder="1" applyAlignment="1">
      <alignment horizontal="center" vertical="center"/>
    </xf>
    <xf numFmtId="0" fontId="1822" fillId="1824" borderId="1768" xfId="0" applyFont="1" applyFill="1" applyBorder="1" applyAlignment="1">
      <alignment horizontal="center" vertical="center"/>
    </xf>
    <xf numFmtId="0" fontId="1823" fillId="1825" borderId="1769" xfId="0" applyFont="1" applyFill="1" applyBorder="1" applyAlignment="1">
      <alignment horizontal="center" vertical="center"/>
    </xf>
    <xf numFmtId="0" fontId="1824" fillId="1826" borderId="1770" xfId="0" applyFont="1" applyFill="1" applyBorder="1" applyAlignment="1">
      <alignment horizontal="center" vertical="center"/>
    </xf>
    <xf numFmtId="0" fontId="1825" fillId="1827" borderId="1771" xfId="0" applyFont="1" applyFill="1" applyBorder="1" applyAlignment="1">
      <alignment horizontal="center" vertical="center"/>
    </xf>
    <xf numFmtId="0" fontId="1826" fillId="1828" borderId="1772" xfId="0" applyFont="1" applyFill="1" applyBorder="1" applyAlignment="1">
      <alignment horizontal="center" vertical="center"/>
    </xf>
    <xf numFmtId="0" fontId="1827" fillId="1829" borderId="1773" xfId="0" applyFont="1" applyFill="1" applyBorder="1"/>
    <xf numFmtId="0" fontId="1828" fillId="1830" borderId="1774" xfId="0" applyFont="1" applyFill="1" applyBorder="1"/>
    <xf numFmtId="0" fontId="1829" fillId="1831" borderId="1775" xfId="0" applyFont="1" applyFill="1" applyBorder="1"/>
    <xf numFmtId="0" fontId="1830" fillId="1832" borderId="1776" xfId="0" applyFont="1" applyFill="1" applyBorder="1"/>
    <xf numFmtId="0" fontId="1831" fillId="1833" borderId="1777" xfId="0" applyFont="1" applyFill="1" applyBorder="1"/>
    <xf numFmtId="0" fontId="1832" fillId="1834" borderId="1778" xfId="0" applyFont="1" applyFill="1" applyBorder="1"/>
    <xf numFmtId="0" fontId="1833" fillId="1835" borderId="1779" xfId="0" applyFont="1" applyFill="1" applyBorder="1"/>
    <xf numFmtId="0" fontId="1834" fillId="1836" borderId="1780" xfId="0" applyFont="1" applyFill="1" applyBorder="1"/>
    <xf numFmtId="0" fontId="1835" fillId="1837" borderId="1781" xfId="0" applyFont="1" applyFill="1" applyBorder="1" applyAlignment="1">
      <alignment horizontal="center" vertical="center"/>
    </xf>
    <xf numFmtId="0" fontId="1836" fillId="1838" borderId="1782" xfId="0" applyFont="1" applyFill="1" applyBorder="1" applyAlignment="1">
      <alignment horizontal="center" vertical="center"/>
    </xf>
    <xf numFmtId="0" fontId="1837" fillId="1839" borderId="1783" xfId="0" applyFont="1" applyFill="1" applyBorder="1" applyAlignment="1">
      <alignment horizontal="center" vertical="center"/>
    </xf>
    <xf numFmtId="0" fontId="1838" fillId="1840" borderId="1784" xfId="0" applyFont="1" applyFill="1" applyBorder="1" applyAlignment="1">
      <alignment horizontal="center" vertical="center"/>
    </xf>
    <xf numFmtId="0" fontId="1839" fillId="1841" borderId="1785" xfId="0" applyFont="1" applyFill="1" applyBorder="1" applyAlignment="1">
      <alignment horizontal="center" vertical="center"/>
    </xf>
    <xf numFmtId="0" fontId="1840" fillId="1842" borderId="1786" xfId="0" applyFont="1" applyFill="1" applyBorder="1" applyAlignment="1">
      <alignment horizontal="center" vertical="center"/>
    </xf>
    <xf numFmtId="0" fontId="1841" fillId="1843" borderId="1787" xfId="0" applyFont="1" applyFill="1" applyBorder="1" applyAlignment="1">
      <alignment horizontal="center" vertical="center"/>
    </xf>
    <xf numFmtId="0" fontId="1842" fillId="1844" borderId="1788" xfId="0" applyFont="1" applyFill="1" applyBorder="1"/>
    <xf numFmtId="0" fontId="1843" fillId="1845" borderId="1789" xfId="0" applyFont="1" applyFill="1" applyBorder="1"/>
    <xf numFmtId="0" fontId="1844" fillId="1846" borderId="1790" xfId="0" applyFont="1" applyFill="1" applyBorder="1"/>
    <xf numFmtId="0" fontId="1845" fillId="1847" borderId="1791" xfId="0" applyFont="1" applyFill="1" applyBorder="1"/>
    <xf numFmtId="0" fontId="1846" fillId="1848" borderId="1792" xfId="0" applyFont="1" applyFill="1" applyBorder="1"/>
    <xf numFmtId="0" fontId="1847" fillId="1849" borderId="1793" xfId="0" applyFont="1" applyFill="1" applyBorder="1"/>
    <xf numFmtId="0" fontId="1848" fillId="1850" borderId="1794" xfId="0" applyFont="1" applyFill="1" applyBorder="1"/>
    <xf numFmtId="0" fontId="1849" fillId="1851" borderId="1795" xfId="0" applyFont="1" applyFill="1" applyBorder="1"/>
    <xf numFmtId="0" fontId="1850" fillId="1852" borderId="1796" xfId="0" applyFont="1" applyFill="1" applyBorder="1" applyAlignment="1">
      <alignment horizontal="center" vertical="center"/>
    </xf>
    <xf numFmtId="0" fontId="1851" fillId="1853" borderId="1797" xfId="0" applyFont="1" applyFill="1" applyBorder="1" applyAlignment="1">
      <alignment horizontal="center" vertical="center"/>
    </xf>
    <xf numFmtId="0" fontId="1852" fillId="1854" borderId="1798" xfId="0" applyFont="1" applyFill="1" applyBorder="1" applyAlignment="1">
      <alignment horizontal="center" vertical="center"/>
    </xf>
    <xf numFmtId="0" fontId="1853" fillId="1855" borderId="1799" xfId="0" applyFont="1" applyFill="1" applyBorder="1" applyAlignment="1">
      <alignment horizontal="center" vertical="center"/>
    </xf>
    <xf numFmtId="0" fontId="1854" fillId="1856" borderId="1800" xfId="0" applyFont="1" applyFill="1" applyBorder="1" applyAlignment="1">
      <alignment horizontal="center" vertical="center"/>
    </xf>
    <xf numFmtId="0" fontId="1855" fillId="1857" borderId="1801" xfId="0" applyFont="1" applyFill="1" applyBorder="1" applyAlignment="1">
      <alignment horizontal="center" vertical="center"/>
    </xf>
    <xf numFmtId="0" fontId="1856" fillId="1858" borderId="1802" xfId="0" applyFont="1" applyFill="1" applyBorder="1" applyAlignment="1">
      <alignment horizontal="center" vertical="center"/>
    </xf>
    <xf numFmtId="0" fontId="1857" fillId="1859" borderId="1803" xfId="0" applyFont="1" applyFill="1" applyBorder="1"/>
    <xf numFmtId="0" fontId="1858" fillId="1860" borderId="1804" xfId="0" applyFont="1" applyFill="1" applyBorder="1"/>
    <xf numFmtId="0" fontId="1859" fillId="1861" borderId="1805" xfId="0" applyFont="1" applyFill="1" applyBorder="1"/>
    <xf numFmtId="0" fontId="1860" fillId="1862" borderId="1806" xfId="0" applyFont="1" applyFill="1" applyBorder="1"/>
    <xf numFmtId="0" fontId="1861" fillId="1863" borderId="1807" xfId="0" applyFont="1" applyFill="1" applyBorder="1"/>
    <xf numFmtId="0" fontId="1862" fillId="1864" borderId="1808" xfId="0" applyFont="1" applyFill="1" applyBorder="1"/>
    <xf numFmtId="0" fontId="1863" fillId="1865" borderId="1809" xfId="0" applyFont="1" applyFill="1" applyBorder="1"/>
    <xf numFmtId="0" fontId="1864" fillId="1866" borderId="1810" xfId="0" applyFont="1" applyFill="1" applyBorder="1"/>
    <xf numFmtId="0" fontId="1865" fillId="1867" borderId="1811" xfId="0" applyFont="1" applyFill="1" applyBorder="1" applyAlignment="1">
      <alignment horizontal="center" vertical="center"/>
    </xf>
    <xf numFmtId="0" fontId="1866" fillId="1868" borderId="1812" xfId="0" applyFont="1" applyFill="1" applyBorder="1" applyAlignment="1">
      <alignment horizontal="center" vertical="center"/>
    </xf>
    <xf numFmtId="0" fontId="1867" fillId="1869" borderId="1813" xfId="0" applyFont="1" applyFill="1" applyBorder="1" applyAlignment="1">
      <alignment horizontal="center" vertical="center"/>
    </xf>
    <xf numFmtId="0" fontId="1868" fillId="1870" borderId="1814" xfId="0" applyFont="1" applyFill="1" applyBorder="1" applyAlignment="1">
      <alignment horizontal="center" vertical="center"/>
    </xf>
    <xf numFmtId="0" fontId="1869" fillId="1871" borderId="1815" xfId="0" applyFont="1" applyFill="1" applyBorder="1" applyAlignment="1">
      <alignment horizontal="center" vertical="center"/>
    </xf>
    <xf numFmtId="0" fontId="1870" fillId="1872" borderId="1816" xfId="0" applyFont="1" applyFill="1" applyBorder="1" applyAlignment="1">
      <alignment horizontal="center" vertical="center"/>
    </xf>
    <xf numFmtId="0" fontId="1871" fillId="1873" borderId="1817" xfId="0" applyFont="1" applyFill="1" applyBorder="1" applyAlignment="1">
      <alignment horizontal="center" vertical="center"/>
    </xf>
    <xf numFmtId="0" fontId="1872" fillId="1874" borderId="1818" xfId="0" applyFont="1" applyFill="1" applyBorder="1"/>
    <xf numFmtId="0" fontId="1873" fillId="1875" borderId="1819" xfId="0" applyFont="1" applyFill="1" applyBorder="1"/>
    <xf numFmtId="0" fontId="1874" fillId="1876" borderId="1820" xfId="0" applyFont="1" applyFill="1" applyBorder="1"/>
    <xf numFmtId="0" fontId="1875" fillId="1877" borderId="1821" xfId="0" applyFont="1" applyFill="1" applyBorder="1"/>
    <xf numFmtId="0" fontId="1876" fillId="1878" borderId="1822" xfId="0" applyFont="1" applyFill="1" applyBorder="1"/>
    <xf numFmtId="0" fontId="1877" fillId="1879" borderId="1823" xfId="0" applyFont="1" applyFill="1" applyBorder="1"/>
    <xf numFmtId="0" fontId="1878" fillId="1880" borderId="1824" xfId="0" applyFont="1" applyFill="1" applyBorder="1"/>
    <xf numFmtId="0" fontId="1879" fillId="1881" borderId="1825" xfId="0" applyFont="1" applyFill="1" applyBorder="1"/>
    <xf numFmtId="0" fontId="1880" fillId="1882" borderId="1826" xfId="0" applyFont="1" applyFill="1" applyBorder="1" applyAlignment="1">
      <alignment horizontal="center" vertical="center"/>
    </xf>
    <xf numFmtId="0" fontId="1881" fillId="1883" borderId="1827" xfId="0" applyFont="1" applyFill="1" applyBorder="1" applyAlignment="1">
      <alignment horizontal="center" vertical="center"/>
    </xf>
    <xf numFmtId="0" fontId="1882" fillId="1884" borderId="1828" xfId="0" applyFont="1" applyFill="1" applyBorder="1" applyAlignment="1">
      <alignment horizontal="center" vertical="center"/>
    </xf>
    <xf numFmtId="0" fontId="1883" fillId="1885" borderId="1829" xfId="0" applyFont="1" applyFill="1" applyBorder="1" applyAlignment="1">
      <alignment horizontal="center" vertical="center"/>
    </xf>
    <xf numFmtId="0" fontId="1884" fillId="1886" borderId="1830" xfId="0" applyFont="1" applyFill="1" applyBorder="1" applyAlignment="1">
      <alignment horizontal="center" vertical="center"/>
    </xf>
    <xf numFmtId="0" fontId="1885" fillId="1887" borderId="1831" xfId="0" applyFont="1" applyFill="1" applyBorder="1" applyAlignment="1">
      <alignment horizontal="center" vertical="center"/>
    </xf>
    <xf numFmtId="0" fontId="1886" fillId="1888" borderId="1832" xfId="0" applyFont="1" applyFill="1" applyBorder="1" applyAlignment="1">
      <alignment horizontal="center" vertical="center"/>
    </xf>
    <xf numFmtId="0" fontId="1887" fillId="1889" borderId="1833" xfId="0" applyFont="1" applyFill="1" applyBorder="1"/>
    <xf numFmtId="0" fontId="1888" fillId="1890" borderId="1834" xfId="0" applyFont="1" applyFill="1" applyBorder="1"/>
    <xf numFmtId="0" fontId="1889" fillId="1891" borderId="1835" xfId="0" applyFont="1" applyFill="1" applyBorder="1"/>
    <xf numFmtId="0" fontId="1890" fillId="1892" borderId="1836" xfId="0" applyFont="1" applyFill="1" applyBorder="1"/>
    <xf numFmtId="0" fontId="1891" fillId="1893" borderId="1837" xfId="0" applyFont="1" applyFill="1" applyBorder="1"/>
    <xf numFmtId="0" fontId="1892" fillId="1894" borderId="1838" xfId="0" applyFont="1" applyFill="1" applyBorder="1"/>
    <xf numFmtId="0" fontId="1893" fillId="1895" borderId="1839" xfId="0" applyFont="1" applyFill="1" applyBorder="1"/>
    <xf numFmtId="0" fontId="1894" fillId="1896" borderId="1840" xfId="0" applyFont="1" applyFill="1" applyBorder="1"/>
    <xf numFmtId="0" fontId="1895" fillId="1897" borderId="1841" xfId="0" applyFont="1" applyFill="1" applyBorder="1" applyAlignment="1">
      <alignment horizontal="center" vertical="center"/>
    </xf>
    <xf numFmtId="0" fontId="1896" fillId="1898" borderId="1842" xfId="0" applyFont="1" applyFill="1" applyBorder="1" applyAlignment="1">
      <alignment horizontal="center" vertical="center"/>
    </xf>
    <xf numFmtId="0" fontId="1897" fillId="1899" borderId="1843" xfId="0" applyFont="1" applyFill="1" applyBorder="1" applyAlignment="1">
      <alignment horizontal="center" vertical="center"/>
    </xf>
    <xf numFmtId="0" fontId="1898" fillId="1900" borderId="1844" xfId="0" applyFont="1" applyFill="1" applyBorder="1" applyAlignment="1">
      <alignment horizontal="center" vertical="center"/>
    </xf>
    <xf numFmtId="0" fontId="1899" fillId="1901" borderId="1845" xfId="0" applyFont="1" applyFill="1" applyBorder="1" applyAlignment="1">
      <alignment horizontal="center" vertical="center"/>
    </xf>
    <xf numFmtId="0" fontId="1900" fillId="1902" borderId="1846" xfId="0" applyFont="1" applyFill="1" applyBorder="1" applyAlignment="1">
      <alignment horizontal="center" vertical="center"/>
    </xf>
    <xf numFmtId="0" fontId="1901" fillId="1903" borderId="1847" xfId="0" applyFont="1" applyFill="1" applyBorder="1" applyAlignment="1">
      <alignment horizontal="center" vertical="center"/>
    </xf>
    <xf numFmtId="0" fontId="1902" fillId="1904" borderId="1848" xfId="0" applyFont="1" applyFill="1" applyBorder="1"/>
    <xf numFmtId="0" fontId="1903" fillId="1905" borderId="1849" xfId="0" applyFont="1" applyFill="1" applyBorder="1"/>
    <xf numFmtId="0" fontId="1904" fillId="1906" borderId="1850" xfId="0" applyFont="1" applyFill="1" applyBorder="1"/>
    <xf numFmtId="0" fontId="1905" fillId="1907" borderId="1851" xfId="0" applyFont="1" applyFill="1" applyBorder="1"/>
    <xf numFmtId="0" fontId="1906" fillId="1908" borderId="1852" xfId="0" applyFont="1" applyFill="1" applyBorder="1"/>
    <xf numFmtId="0" fontId="1907" fillId="1909" borderId="1853" xfId="0" applyFont="1" applyFill="1" applyBorder="1"/>
    <xf numFmtId="0" fontId="1908" fillId="1910" borderId="1854" xfId="0" applyFont="1" applyFill="1" applyBorder="1"/>
    <xf numFmtId="0" fontId="1909" fillId="1911" borderId="1855" xfId="0" applyFont="1" applyFill="1" applyBorder="1"/>
    <xf numFmtId="0" fontId="1910" fillId="1912" borderId="1856" xfId="0" applyFont="1" applyFill="1" applyBorder="1" applyAlignment="1">
      <alignment horizontal="center" vertical="center"/>
    </xf>
    <xf numFmtId="0" fontId="1911" fillId="1913" borderId="1857" xfId="0" applyFont="1" applyFill="1" applyBorder="1" applyAlignment="1">
      <alignment horizontal="center" vertical="center"/>
    </xf>
    <xf numFmtId="0" fontId="1912" fillId="1914" borderId="1858" xfId="0" applyFont="1" applyFill="1" applyBorder="1" applyAlignment="1">
      <alignment horizontal="center" vertical="center"/>
    </xf>
    <xf numFmtId="0" fontId="1913" fillId="1915" borderId="1859" xfId="0" applyFont="1" applyFill="1" applyBorder="1" applyAlignment="1">
      <alignment horizontal="center" vertical="center"/>
    </xf>
    <xf numFmtId="0" fontId="1914" fillId="1916" borderId="1860" xfId="0" applyFont="1" applyFill="1" applyBorder="1" applyAlignment="1">
      <alignment horizontal="center" vertical="center"/>
    </xf>
    <xf numFmtId="0" fontId="1915" fillId="1917" borderId="1861" xfId="0" applyFont="1" applyFill="1" applyBorder="1" applyAlignment="1">
      <alignment horizontal="center" vertical="center"/>
    </xf>
    <xf numFmtId="0" fontId="1916" fillId="1918" borderId="1862" xfId="0" applyFont="1" applyFill="1" applyBorder="1" applyAlignment="1">
      <alignment horizontal="center" vertical="center"/>
    </xf>
    <xf numFmtId="0" fontId="1917" fillId="1919" borderId="1863" xfId="0" applyFont="1" applyFill="1" applyBorder="1"/>
    <xf numFmtId="0" fontId="1918" fillId="1920" borderId="1864" xfId="0" applyFont="1" applyFill="1" applyBorder="1"/>
    <xf numFmtId="0" fontId="1919" fillId="1921" borderId="1865" xfId="0" applyFont="1" applyFill="1" applyBorder="1"/>
    <xf numFmtId="0" fontId="1920" fillId="1922" borderId="1866" xfId="0" applyFont="1" applyFill="1" applyBorder="1"/>
    <xf numFmtId="0" fontId="1921" fillId="1923" borderId="1867" xfId="0" applyFont="1" applyFill="1" applyBorder="1"/>
    <xf numFmtId="0" fontId="1922" fillId="1924" borderId="1868" xfId="0" applyFont="1" applyFill="1" applyBorder="1"/>
    <xf numFmtId="0" fontId="1923" fillId="1925" borderId="1869" xfId="0" applyFont="1" applyFill="1" applyBorder="1"/>
    <xf numFmtId="0" fontId="1924" fillId="1926" borderId="1870" xfId="0" applyFont="1" applyFill="1" applyBorder="1"/>
    <xf numFmtId="0" fontId="1925" fillId="1927" borderId="1871" xfId="0" applyFont="1" applyFill="1" applyBorder="1" applyAlignment="1">
      <alignment horizontal="center" vertical="center"/>
    </xf>
    <xf numFmtId="0" fontId="1926" fillId="1928" borderId="1872" xfId="0" applyFont="1" applyFill="1" applyBorder="1" applyAlignment="1">
      <alignment horizontal="center" vertical="center"/>
    </xf>
    <xf numFmtId="0" fontId="1927" fillId="1929" borderId="1873" xfId="0" applyFont="1" applyFill="1" applyBorder="1" applyAlignment="1">
      <alignment horizontal="center" vertical="center"/>
    </xf>
    <xf numFmtId="0" fontId="1928" fillId="1930" borderId="1874" xfId="0" applyFont="1" applyFill="1" applyBorder="1" applyAlignment="1">
      <alignment horizontal="center" vertical="center"/>
    </xf>
    <xf numFmtId="0" fontId="1929" fillId="1931" borderId="1875" xfId="0" applyFont="1" applyFill="1" applyBorder="1" applyAlignment="1">
      <alignment horizontal="center" vertical="center"/>
    </xf>
    <xf numFmtId="0" fontId="1930" fillId="1932" borderId="1876" xfId="0" applyFont="1" applyFill="1" applyBorder="1" applyAlignment="1">
      <alignment horizontal="center" vertical="center"/>
    </xf>
    <xf numFmtId="0" fontId="1931" fillId="1933" borderId="1877" xfId="0" applyFont="1" applyFill="1" applyBorder="1" applyAlignment="1">
      <alignment horizontal="center" vertical="center"/>
    </xf>
    <xf numFmtId="0" fontId="1932" fillId="1934" borderId="1878" xfId="0" applyFont="1" applyFill="1" applyBorder="1"/>
    <xf numFmtId="0" fontId="1933" fillId="1935" borderId="1879" xfId="0" applyFont="1" applyFill="1" applyBorder="1"/>
    <xf numFmtId="0" fontId="1934" fillId="1936" borderId="1880" xfId="0" applyFont="1" applyFill="1" applyBorder="1"/>
    <xf numFmtId="0" fontId="1935" fillId="1937" borderId="1881" xfId="0" applyFont="1" applyFill="1" applyBorder="1"/>
    <xf numFmtId="0" fontId="1936" fillId="1938" borderId="1882" xfId="0" applyFont="1" applyFill="1" applyBorder="1"/>
    <xf numFmtId="0" fontId="1937" fillId="1939" borderId="1883" xfId="0" applyFont="1" applyFill="1" applyBorder="1"/>
    <xf numFmtId="0" fontId="1938" fillId="1940" borderId="1884" xfId="0" applyFont="1" applyFill="1" applyBorder="1"/>
    <xf numFmtId="0" fontId="1939" fillId="1941" borderId="1885" xfId="0" applyFont="1" applyFill="1" applyBorder="1"/>
    <xf numFmtId="0" fontId="1940" fillId="1942" borderId="1886" xfId="0" applyFont="1" applyFill="1" applyBorder="1" applyAlignment="1">
      <alignment horizontal="center" vertical="center"/>
    </xf>
    <xf numFmtId="0" fontId="1941" fillId="1943" borderId="1887" xfId="0" applyFont="1" applyFill="1" applyBorder="1" applyAlignment="1">
      <alignment horizontal="center" vertical="center"/>
    </xf>
    <xf numFmtId="0" fontId="1942" fillId="1944" borderId="1888" xfId="0" applyFont="1" applyFill="1" applyBorder="1" applyAlignment="1">
      <alignment horizontal="center" vertical="center"/>
    </xf>
    <xf numFmtId="0" fontId="1943" fillId="1945" borderId="1889" xfId="0" applyFont="1" applyFill="1" applyBorder="1" applyAlignment="1">
      <alignment horizontal="center" vertical="center"/>
    </xf>
    <xf numFmtId="0" fontId="1944" fillId="1946" borderId="1890" xfId="0" applyFont="1" applyFill="1" applyBorder="1" applyAlignment="1">
      <alignment horizontal="center" vertical="center"/>
    </xf>
    <xf numFmtId="0" fontId="1945" fillId="1947" borderId="1891" xfId="0" applyFont="1" applyFill="1" applyBorder="1" applyAlignment="1">
      <alignment horizontal="center" vertical="center"/>
    </xf>
    <xf numFmtId="0" fontId="1946" fillId="1948" borderId="1892" xfId="0" applyFont="1" applyFill="1" applyBorder="1" applyAlignment="1">
      <alignment horizontal="center" vertical="center"/>
    </xf>
    <xf numFmtId="0" fontId="1947" fillId="1949" borderId="1893" xfId="0" applyFont="1" applyFill="1" applyBorder="1"/>
    <xf numFmtId="0" fontId="1948" fillId="1950" borderId="1894" xfId="0" applyFont="1" applyFill="1" applyBorder="1"/>
    <xf numFmtId="0" fontId="1949" fillId="1951" borderId="1895" xfId="0" applyFont="1" applyFill="1" applyBorder="1"/>
    <xf numFmtId="0" fontId="1950" fillId="1952" borderId="1896" xfId="0" applyFont="1" applyFill="1" applyBorder="1"/>
    <xf numFmtId="0" fontId="1951" fillId="1953" borderId="1897" xfId="0" applyFont="1" applyFill="1" applyBorder="1"/>
    <xf numFmtId="0" fontId="1952" fillId="1954" borderId="1898" xfId="0" applyFont="1" applyFill="1" applyBorder="1"/>
    <xf numFmtId="0" fontId="1953" fillId="1955" borderId="1899" xfId="0" applyFont="1" applyFill="1" applyBorder="1"/>
    <xf numFmtId="0" fontId="1954" fillId="1956" borderId="1900" xfId="0" applyFont="1" applyFill="1" applyBorder="1"/>
    <xf numFmtId="0" fontId="1955" fillId="1957" borderId="1901" xfId="0" applyFont="1" applyFill="1" applyBorder="1" applyAlignment="1">
      <alignment horizontal="center" vertical="center"/>
    </xf>
    <xf numFmtId="0" fontId="1956" fillId="1958" borderId="1902" xfId="0" applyFont="1" applyFill="1" applyBorder="1" applyAlignment="1">
      <alignment horizontal="center" vertical="center"/>
    </xf>
    <xf numFmtId="0" fontId="1957" fillId="1959" borderId="1903" xfId="0" applyFont="1" applyFill="1" applyBorder="1" applyAlignment="1">
      <alignment horizontal="center" vertical="center"/>
    </xf>
    <xf numFmtId="0" fontId="1958" fillId="1960" borderId="1904" xfId="0" applyFont="1" applyFill="1" applyBorder="1" applyAlignment="1">
      <alignment horizontal="center" vertical="center"/>
    </xf>
    <xf numFmtId="0" fontId="1959" fillId="1961" borderId="1905" xfId="0" applyFont="1" applyFill="1" applyBorder="1" applyAlignment="1">
      <alignment horizontal="center" vertical="center"/>
    </xf>
    <xf numFmtId="0" fontId="1960" fillId="1962" borderId="1906" xfId="0" applyFont="1" applyFill="1" applyBorder="1" applyAlignment="1">
      <alignment horizontal="center" vertical="center"/>
    </xf>
    <xf numFmtId="0" fontId="1961" fillId="1963" borderId="1907" xfId="0" applyFont="1" applyFill="1" applyBorder="1" applyAlignment="1">
      <alignment horizontal="center" vertical="center"/>
    </xf>
    <xf numFmtId="0" fontId="1962" fillId="1964" borderId="1908" xfId="0" applyFont="1" applyFill="1" applyBorder="1"/>
    <xf numFmtId="0" fontId="1963" fillId="1965" borderId="1909" xfId="0" applyFont="1" applyFill="1" applyBorder="1"/>
    <xf numFmtId="0" fontId="1964" fillId="1966" borderId="1910" xfId="0" applyFont="1" applyFill="1" applyBorder="1"/>
    <xf numFmtId="0" fontId="1965" fillId="1967" borderId="1911" xfId="0" applyFont="1" applyFill="1" applyBorder="1"/>
    <xf numFmtId="0" fontId="1966" fillId="1968" borderId="1912" xfId="0" applyFont="1" applyFill="1" applyBorder="1"/>
    <xf numFmtId="0" fontId="1967" fillId="1969" borderId="1913" xfId="0" applyFont="1" applyFill="1" applyBorder="1"/>
    <xf numFmtId="0" fontId="1968" fillId="1970" borderId="1914" xfId="0" applyFont="1" applyFill="1" applyBorder="1"/>
    <xf numFmtId="0" fontId="1969" fillId="1971" borderId="1915" xfId="0" applyFont="1" applyFill="1" applyBorder="1"/>
    <xf numFmtId="0" fontId="1970" fillId="1972" borderId="1916" xfId="0" applyFont="1" applyFill="1" applyBorder="1" applyAlignment="1">
      <alignment horizontal="center" vertical="center"/>
    </xf>
    <xf numFmtId="0" fontId="1971" fillId="1973" borderId="1917" xfId="0" applyFont="1" applyFill="1" applyBorder="1" applyAlignment="1">
      <alignment horizontal="center" vertical="center"/>
    </xf>
    <xf numFmtId="0" fontId="1972" fillId="1974" borderId="1918" xfId="0" applyFont="1" applyFill="1" applyBorder="1" applyAlignment="1">
      <alignment horizontal="center" vertical="center"/>
    </xf>
    <xf numFmtId="0" fontId="1973" fillId="1975" borderId="1919" xfId="0" applyFont="1" applyFill="1" applyBorder="1" applyAlignment="1">
      <alignment horizontal="center" vertical="center"/>
    </xf>
    <xf numFmtId="0" fontId="1974" fillId="1976" borderId="1920" xfId="0" applyFont="1" applyFill="1" applyBorder="1" applyAlignment="1">
      <alignment horizontal="center" vertical="center"/>
    </xf>
    <xf numFmtId="0" fontId="1975" fillId="1977" borderId="1921" xfId="0" applyFont="1" applyFill="1" applyBorder="1" applyAlignment="1">
      <alignment horizontal="center" vertical="center"/>
    </xf>
    <xf numFmtId="0" fontId="1976" fillId="1978" borderId="1922" xfId="0" applyFont="1" applyFill="1" applyBorder="1" applyAlignment="1">
      <alignment horizontal="center" vertical="center"/>
    </xf>
    <xf numFmtId="0" fontId="1977" fillId="1979" borderId="1923" xfId="0" applyFont="1" applyFill="1" applyBorder="1"/>
    <xf numFmtId="0" fontId="1978" fillId="1980" borderId="1924" xfId="0" applyFont="1" applyFill="1" applyBorder="1"/>
    <xf numFmtId="0" fontId="1979" fillId="1981" borderId="1925" xfId="0" applyFont="1" applyFill="1" applyBorder="1"/>
    <xf numFmtId="0" fontId="1980" fillId="1982" borderId="1926" xfId="0" applyFont="1" applyFill="1" applyBorder="1"/>
    <xf numFmtId="0" fontId="1981" fillId="1983" borderId="1927" xfId="0" applyFont="1" applyFill="1" applyBorder="1"/>
    <xf numFmtId="0" fontId="1982" fillId="1984" borderId="1928" xfId="0" applyFont="1" applyFill="1" applyBorder="1"/>
    <xf numFmtId="0" fontId="1983" fillId="1985" borderId="1929" xfId="0" applyFont="1" applyFill="1" applyBorder="1"/>
    <xf numFmtId="0" fontId="1984" fillId="1986" borderId="1930" xfId="0" applyFont="1" applyFill="1" applyBorder="1"/>
    <xf numFmtId="0" fontId="1985" fillId="1987" borderId="1931" xfId="0" applyFont="1" applyFill="1" applyBorder="1" applyAlignment="1">
      <alignment horizontal="center" vertical="center"/>
    </xf>
    <xf numFmtId="0" fontId="1986" fillId="1988" borderId="1932" xfId="0" applyFont="1" applyFill="1" applyBorder="1" applyAlignment="1">
      <alignment horizontal="center" vertical="center"/>
    </xf>
    <xf numFmtId="0" fontId="1987" fillId="1989" borderId="1933" xfId="0" applyFont="1" applyFill="1" applyBorder="1" applyAlignment="1">
      <alignment horizontal="center" vertical="center"/>
    </xf>
    <xf numFmtId="0" fontId="1988" fillId="1990" borderId="1934" xfId="0" applyFont="1" applyFill="1" applyBorder="1" applyAlignment="1">
      <alignment horizontal="center" vertical="center"/>
    </xf>
    <xf numFmtId="0" fontId="1989" fillId="1991" borderId="1935" xfId="0" applyFont="1" applyFill="1" applyBorder="1" applyAlignment="1">
      <alignment horizontal="center" vertical="center"/>
    </xf>
    <xf numFmtId="0" fontId="1990" fillId="1992" borderId="1936" xfId="0" applyFont="1" applyFill="1" applyBorder="1" applyAlignment="1">
      <alignment horizontal="center" vertical="center"/>
    </xf>
    <xf numFmtId="0" fontId="1991" fillId="1993" borderId="1937" xfId="0" applyFont="1" applyFill="1" applyBorder="1" applyAlignment="1">
      <alignment horizontal="center" vertical="center"/>
    </xf>
    <xf numFmtId="0" fontId="1992" fillId="1994" borderId="1938" xfId="0" applyFont="1" applyFill="1" applyBorder="1"/>
    <xf numFmtId="0" fontId="1993" fillId="1995" borderId="1939" xfId="0" applyFont="1" applyFill="1" applyBorder="1"/>
    <xf numFmtId="0" fontId="1994" fillId="1996" borderId="1940" xfId="0" applyFont="1" applyFill="1" applyBorder="1"/>
    <xf numFmtId="0" fontId="1995" fillId="1997" borderId="1941" xfId="0" applyFont="1" applyFill="1" applyBorder="1"/>
    <xf numFmtId="0" fontId="1996" fillId="1998" borderId="1942" xfId="0" applyFont="1" applyFill="1" applyBorder="1"/>
    <xf numFmtId="0" fontId="1997" fillId="1999" borderId="1943" xfId="0" applyFont="1" applyFill="1" applyBorder="1"/>
    <xf numFmtId="0" fontId="1998" fillId="2000" borderId="1944" xfId="0" applyFont="1" applyFill="1" applyBorder="1"/>
    <xf numFmtId="0" fontId="1999" fillId="2001" borderId="1945" xfId="0" applyFont="1" applyFill="1" applyBorder="1"/>
    <xf numFmtId="0" fontId="2000" fillId="2002" borderId="1946" xfId="0" applyFont="1" applyFill="1" applyBorder="1" applyAlignment="1">
      <alignment horizontal="center" vertical="center"/>
    </xf>
    <xf numFmtId="0" fontId="2001" fillId="2003" borderId="1947" xfId="0" applyFont="1" applyFill="1" applyBorder="1" applyAlignment="1">
      <alignment horizontal="center" vertical="center"/>
    </xf>
    <xf numFmtId="0" fontId="2002" fillId="2004" borderId="1948" xfId="0" applyFont="1" applyFill="1" applyBorder="1" applyAlignment="1">
      <alignment horizontal="center" vertical="center"/>
    </xf>
    <xf numFmtId="0" fontId="2003" fillId="2005" borderId="1949" xfId="0" applyFont="1" applyFill="1" applyBorder="1" applyAlignment="1">
      <alignment horizontal="center" vertical="center"/>
    </xf>
    <xf numFmtId="0" fontId="2004" fillId="2006" borderId="1950" xfId="0" applyFont="1" applyFill="1" applyBorder="1" applyAlignment="1">
      <alignment horizontal="center" vertical="center"/>
    </xf>
    <xf numFmtId="0" fontId="2005" fillId="2007" borderId="1951" xfId="0" applyFont="1" applyFill="1" applyBorder="1" applyAlignment="1">
      <alignment horizontal="center" vertical="center"/>
    </xf>
    <xf numFmtId="0" fontId="2006" fillId="2008" borderId="1952" xfId="0" applyFont="1" applyFill="1" applyBorder="1" applyAlignment="1">
      <alignment horizontal="center" vertical="center"/>
    </xf>
    <xf numFmtId="0" fontId="2007" fillId="2009" borderId="1953" xfId="0" applyFont="1" applyFill="1" applyBorder="1"/>
    <xf numFmtId="0" fontId="2008" fillId="2010" borderId="1954" xfId="0" applyFont="1" applyFill="1" applyBorder="1"/>
    <xf numFmtId="0" fontId="2009" fillId="2011" borderId="1955" xfId="0" applyFont="1" applyFill="1" applyBorder="1"/>
    <xf numFmtId="0" fontId="2010" fillId="2012" borderId="1956" xfId="0" applyFont="1" applyFill="1" applyBorder="1"/>
    <xf numFmtId="0" fontId="2011" fillId="2013" borderId="1957" xfId="0" applyFont="1" applyFill="1" applyBorder="1"/>
    <xf numFmtId="0" fontId="2012" fillId="2014" borderId="1958" xfId="0" applyFont="1" applyFill="1" applyBorder="1"/>
    <xf numFmtId="0" fontId="2013" fillId="2015" borderId="1959" xfId="0" applyFont="1" applyFill="1" applyBorder="1"/>
    <xf numFmtId="0" fontId="2014" fillId="2016" borderId="1960" xfId="0" applyFont="1" applyFill="1" applyBorder="1"/>
    <xf numFmtId="0" fontId="2015" fillId="2017" borderId="1961" xfId="0" applyFont="1" applyFill="1" applyBorder="1" applyAlignment="1">
      <alignment horizontal="center" vertical="center"/>
    </xf>
    <xf numFmtId="0" fontId="2016" fillId="2018" borderId="1962" xfId="0" applyFont="1" applyFill="1" applyBorder="1" applyAlignment="1">
      <alignment horizontal="center" vertical="center"/>
    </xf>
    <xf numFmtId="0" fontId="2017" fillId="2019" borderId="1963" xfId="0" applyFont="1" applyFill="1" applyBorder="1" applyAlignment="1">
      <alignment horizontal="center" vertical="center"/>
    </xf>
    <xf numFmtId="0" fontId="2018" fillId="2020" borderId="1964" xfId="0" applyFont="1" applyFill="1" applyBorder="1" applyAlignment="1">
      <alignment horizontal="center" vertical="center"/>
    </xf>
    <xf numFmtId="0" fontId="2019" fillId="2021" borderId="1965" xfId="0" applyFont="1" applyFill="1" applyBorder="1" applyAlignment="1">
      <alignment horizontal="center" vertical="center"/>
    </xf>
    <xf numFmtId="0" fontId="2020" fillId="2022" borderId="1966" xfId="0" applyFont="1" applyFill="1" applyBorder="1" applyAlignment="1">
      <alignment horizontal="center" vertical="center"/>
    </xf>
    <xf numFmtId="0" fontId="2021" fillId="2023" borderId="1967" xfId="0" applyFont="1" applyFill="1" applyBorder="1" applyAlignment="1">
      <alignment horizontal="center" vertical="center"/>
    </xf>
    <xf numFmtId="0" fontId="2022" fillId="2024" borderId="1968" xfId="0" applyFont="1" applyFill="1" applyBorder="1"/>
    <xf numFmtId="0" fontId="2023" fillId="2025" borderId="1969" xfId="0" applyFont="1" applyFill="1" applyBorder="1"/>
    <xf numFmtId="0" fontId="2024" fillId="2026" borderId="1970" xfId="0" applyFont="1" applyFill="1" applyBorder="1"/>
    <xf numFmtId="0" fontId="2025" fillId="2027" borderId="1971" xfId="0" applyFont="1" applyFill="1" applyBorder="1"/>
    <xf numFmtId="0" fontId="2026" fillId="2028" borderId="1972" xfId="0" applyFont="1" applyFill="1" applyBorder="1"/>
    <xf numFmtId="0" fontId="2027" fillId="2029" borderId="1973" xfId="0" applyFont="1" applyFill="1" applyBorder="1"/>
    <xf numFmtId="0" fontId="2028" fillId="2030" borderId="1974" xfId="0" applyFont="1" applyFill="1" applyBorder="1"/>
    <xf numFmtId="0" fontId="2029" fillId="2031" borderId="1975" xfId="0" applyFont="1" applyFill="1" applyBorder="1"/>
    <xf numFmtId="0" fontId="2030" fillId="2032" borderId="1976" xfId="0" applyFont="1" applyFill="1" applyBorder="1" applyAlignment="1">
      <alignment horizontal="center" vertical="center"/>
    </xf>
    <xf numFmtId="0" fontId="2031" fillId="2033" borderId="1977" xfId="0" applyFont="1" applyFill="1" applyBorder="1" applyAlignment="1">
      <alignment horizontal="center" vertical="center"/>
    </xf>
    <xf numFmtId="0" fontId="2032" fillId="2034" borderId="1978" xfId="0" applyFont="1" applyFill="1" applyBorder="1" applyAlignment="1">
      <alignment horizontal="center" vertical="center"/>
    </xf>
    <xf numFmtId="0" fontId="2033" fillId="2035" borderId="1979" xfId="0" applyFont="1" applyFill="1" applyBorder="1" applyAlignment="1">
      <alignment horizontal="center" vertical="center"/>
    </xf>
    <xf numFmtId="0" fontId="2034" fillId="2036" borderId="1980" xfId="0" applyFont="1" applyFill="1" applyBorder="1" applyAlignment="1">
      <alignment horizontal="center" vertical="center"/>
    </xf>
    <xf numFmtId="0" fontId="2035" fillId="2037" borderId="1981" xfId="0" applyFont="1" applyFill="1" applyBorder="1" applyAlignment="1">
      <alignment horizontal="center" vertical="center"/>
    </xf>
    <xf numFmtId="0" fontId="2036" fillId="2038" borderId="1982" xfId="0" applyFont="1" applyFill="1" applyBorder="1" applyAlignment="1">
      <alignment horizontal="center" vertical="center"/>
    </xf>
    <xf numFmtId="0" fontId="2037" fillId="2039" borderId="1983" xfId="0" applyFont="1" applyFill="1" applyBorder="1"/>
    <xf numFmtId="0" fontId="2038" fillId="2040" borderId="1984" xfId="0" applyFont="1" applyFill="1" applyBorder="1"/>
    <xf numFmtId="0" fontId="2039" fillId="2041" borderId="1985" xfId="0" applyFont="1" applyFill="1" applyBorder="1"/>
    <xf numFmtId="0" fontId="2040" fillId="2042" borderId="1986" xfId="0" applyFont="1" applyFill="1" applyBorder="1"/>
    <xf numFmtId="0" fontId="2041" fillId="2043" borderId="1987" xfId="0" applyFont="1" applyFill="1" applyBorder="1"/>
    <xf numFmtId="0" fontId="2042" fillId="2044" borderId="1988" xfId="0" applyFont="1" applyFill="1" applyBorder="1"/>
    <xf numFmtId="0" fontId="2043" fillId="2045" borderId="1989" xfId="0" applyFont="1" applyFill="1" applyBorder="1"/>
    <xf numFmtId="0" fontId="2044" fillId="2046" borderId="1990" xfId="0" applyFont="1" applyFill="1" applyBorder="1"/>
    <xf numFmtId="0" fontId="2045" fillId="2047" borderId="1991" xfId="0" applyFont="1" applyFill="1" applyBorder="1" applyAlignment="1">
      <alignment horizontal="center" vertical="center"/>
    </xf>
    <xf numFmtId="0" fontId="2046" fillId="2048" borderId="1992" xfId="0" applyFont="1" applyFill="1" applyBorder="1" applyAlignment="1">
      <alignment horizontal="center" vertical="center"/>
    </xf>
    <xf numFmtId="0" fontId="2047" fillId="2049" borderId="1993" xfId="0" applyFont="1" applyFill="1" applyBorder="1" applyAlignment="1">
      <alignment horizontal="center" vertical="center"/>
    </xf>
    <xf numFmtId="0" fontId="2048" fillId="2050" borderId="1994" xfId="0" applyFont="1" applyFill="1" applyBorder="1" applyAlignment="1">
      <alignment horizontal="center" vertical="center"/>
    </xf>
    <xf numFmtId="0" fontId="2049" fillId="2051" borderId="1995" xfId="0" applyFont="1" applyFill="1" applyBorder="1" applyAlignment="1">
      <alignment horizontal="center" vertical="center"/>
    </xf>
    <xf numFmtId="0" fontId="2050" fillId="2052" borderId="1996" xfId="0" applyFont="1" applyFill="1" applyBorder="1" applyAlignment="1">
      <alignment horizontal="center" vertical="center"/>
    </xf>
    <xf numFmtId="0" fontId="2051" fillId="2053" borderId="1997" xfId="0" applyFont="1" applyFill="1" applyBorder="1" applyAlignment="1">
      <alignment horizontal="center" vertical="center"/>
    </xf>
    <xf numFmtId="0" fontId="2052" fillId="2054" borderId="1998" xfId="0" applyFont="1" applyFill="1" applyBorder="1"/>
    <xf numFmtId="0" fontId="2053" fillId="2055" borderId="1999" xfId="0" applyFont="1" applyFill="1" applyBorder="1"/>
    <xf numFmtId="0" fontId="2054" fillId="2056" borderId="2000" xfId="0" applyFont="1" applyFill="1" applyBorder="1"/>
    <xf numFmtId="0" fontId="2055" fillId="2057" borderId="2001" xfId="0" applyFont="1" applyFill="1" applyBorder="1"/>
    <xf numFmtId="0" fontId="2056" fillId="2058" borderId="2002" xfId="0" applyFont="1" applyFill="1" applyBorder="1"/>
    <xf numFmtId="0" fontId="2057" fillId="2059" borderId="2003" xfId="0" applyFont="1" applyFill="1" applyBorder="1"/>
    <xf numFmtId="0" fontId="2058" fillId="2060" borderId="2004" xfId="0" applyFont="1" applyFill="1" applyBorder="1"/>
    <xf numFmtId="0" fontId="2059" fillId="2061" borderId="2005" xfId="0" applyFont="1" applyFill="1" applyBorder="1"/>
    <xf numFmtId="0" fontId="2060" fillId="2062" borderId="2006" xfId="0" applyFont="1" applyFill="1" applyBorder="1" applyAlignment="1">
      <alignment horizontal="center" vertical="center"/>
    </xf>
    <xf numFmtId="0" fontId="2061" fillId="2063" borderId="2007" xfId="0" applyFont="1" applyFill="1" applyBorder="1" applyAlignment="1">
      <alignment horizontal="center" vertical="center"/>
    </xf>
    <xf numFmtId="0" fontId="2062" fillId="2064" borderId="2008" xfId="0" applyFont="1" applyFill="1" applyBorder="1" applyAlignment="1">
      <alignment horizontal="center" vertical="center"/>
    </xf>
    <xf numFmtId="0" fontId="2063" fillId="2065" borderId="2009" xfId="0" applyFont="1" applyFill="1" applyBorder="1" applyAlignment="1">
      <alignment horizontal="center" vertical="center"/>
    </xf>
    <xf numFmtId="0" fontId="2064" fillId="2066" borderId="2010" xfId="0" applyFont="1" applyFill="1" applyBorder="1" applyAlignment="1">
      <alignment horizontal="center" vertical="center"/>
    </xf>
    <xf numFmtId="0" fontId="2065" fillId="2067" borderId="2011" xfId="0" applyFont="1" applyFill="1" applyBorder="1" applyAlignment="1">
      <alignment horizontal="center" vertical="center"/>
    </xf>
    <xf numFmtId="0" fontId="2066" fillId="2068" borderId="2012" xfId="0" applyFont="1" applyFill="1" applyBorder="1" applyAlignment="1">
      <alignment horizontal="center" vertical="center"/>
    </xf>
    <xf numFmtId="0" fontId="2067" fillId="2069" borderId="2013" xfId="0" applyFont="1" applyFill="1" applyBorder="1"/>
    <xf numFmtId="0" fontId="2068" fillId="2070" borderId="2014" xfId="0" applyFont="1" applyFill="1" applyBorder="1"/>
    <xf numFmtId="0" fontId="2069" fillId="2071" borderId="2015" xfId="0" applyFont="1" applyFill="1" applyBorder="1"/>
    <xf numFmtId="0" fontId="2070" fillId="2072" borderId="2016" xfId="0" applyFont="1" applyFill="1" applyBorder="1"/>
    <xf numFmtId="0" fontId="2071" fillId="2073" borderId="2017" xfId="0" applyFont="1" applyFill="1" applyBorder="1"/>
    <xf numFmtId="0" fontId="2072" fillId="2074" borderId="2018" xfId="0" applyFont="1" applyFill="1" applyBorder="1"/>
    <xf numFmtId="0" fontId="2073" fillId="2075" borderId="2019" xfId="0" applyFont="1" applyFill="1" applyBorder="1"/>
    <xf numFmtId="0" fontId="2074" fillId="2076" borderId="2020" xfId="0" applyFont="1" applyFill="1" applyBorder="1"/>
    <xf numFmtId="0" fontId="2075" fillId="2077" borderId="2021" xfId="0" applyFont="1" applyFill="1" applyBorder="1" applyAlignment="1">
      <alignment horizontal="center" vertical="center"/>
    </xf>
    <xf numFmtId="0" fontId="2076" fillId="2078" borderId="2022" xfId="0" applyFont="1" applyFill="1" applyBorder="1" applyAlignment="1">
      <alignment horizontal="center" vertical="center"/>
    </xf>
    <xf numFmtId="0" fontId="2077" fillId="2079" borderId="2023" xfId="0" applyFont="1" applyFill="1" applyBorder="1" applyAlignment="1">
      <alignment horizontal="center" vertical="center"/>
    </xf>
    <xf numFmtId="0" fontId="2078" fillId="2080" borderId="2024" xfId="0" applyFont="1" applyFill="1" applyBorder="1" applyAlignment="1">
      <alignment horizontal="center" vertical="center"/>
    </xf>
    <xf numFmtId="0" fontId="2079" fillId="2081" borderId="2025" xfId="0" applyFont="1" applyFill="1" applyBorder="1" applyAlignment="1">
      <alignment horizontal="center" vertical="center"/>
    </xf>
    <xf numFmtId="0" fontId="2080" fillId="2082" borderId="2026" xfId="0" applyFont="1" applyFill="1" applyBorder="1" applyAlignment="1">
      <alignment horizontal="center" vertical="center"/>
    </xf>
    <xf numFmtId="0" fontId="2081" fillId="2083" borderId="2027" xfId="0" applyFont="1" applyFill="1" applyBorder="1" applyAlignment="1">
      <alignment horizontal="center" vertical="center"/>
    </xf>
    <xf numFmtId="0" fontId="2082" fillId="2084" borderId="2028" xfId="0" applyFont="1" applyFill="1" applyBorder="1"/>
    <xf numFmtId="0" fontId="2083" fillId="2085" borderId="2029" xfId="0" applyFont="1" applyFill="1" applyBorder="1"/>
    <xf numFmtId="0" fontId="2084" fillId="2086" borderId="2030" xfId="0" applyFont="1" applyFill="1" applyBorder="1"/>
    <xf numFmtId="0" fontId="2085" fillId="2087" borderId="2031" xfId="0" applyFont="1" applyFill="1" applyBorder="1"/>
    <xf numFmtId="0" fontId="2086" fillId="2088" borderId="2032" xfId="0" applyFont="1" applyFill="1" applyBorder="1"/>
    <xf numFmtId="0" fontId="2087" fillId="2089" borderId="2033" xfId="0" applyFont="1" applyFill="1" applyBorder="1"/>
    <xf numFmtId="0" fontId="2088" fillId="2090" borderId="2034" xfId="0" applyFont="1" applyFill="1" applyBorder="1"/>
    <xf numFmtId="0" fontId="2089" fillId="2091" borderId="2035" xfId="0" applyFont="1" applyFill="1" applyBorder="1"/>
    <xf numFmtId="0" fontId="2090" fillId="2092" borderId="2036" xfId="0" applyFont="1" applyFill="1" applyBorder="1" applyAlignment="1">
      <alignment horizontal="center" vertical="center"/>
    </xf>
    <xf numFmtId="0" fontId="2091" fillId="2093" borderId="2037" xfId="0" applyFont="1" applyFill="1" applyBorder="1" applyAlignment="1">
      <alignment horizontal="center" vertical="center"/>
    </xf>
    <xf numFmtId="0" fontId="2092" fillId="2094" borderId="2038" xfId="0" applyFont="1" applyFill="1" applyBorder="1" applyAlignment="1">
      <alignment horizontal="center" vertical="center"/>
    </xf>
    <xf numFmtId="0" fontId="2093" fillId="2095" borderId="2039" xfId="0" applyFont="1" applyFill="1" applyBorder="1" applyAlignment="1">
      <alignment horizontal="center" vertical="center"/>
    </xf>
    <xf numFmtId="0" fontId="2094" fillId="2096" borderId="2040" xfId="0" applyFont="1" applyFill="1" applyBorder="1" applyAlignment="1">
      <alignment horizontal="center" vertical="center"/>
    </xf>
    <xf numFmtId="0" fontId="2095" fillId="2097" borderId="2041" xfId="0" applyFont="1" applyFill="1" applyBorder="1" applyAlignment="1">
      <alignment horizontal="center" vertical="center"/>
    </xf>
    <xf numFmtId="0" fontId="2096" fillId="2098" borderId="2042" xfId="0" applyFont="1" applyFill="1" applyBorder="1" applyAlignment="1">
      <alignment horizontal="center" vertical="center"/>
    </xf>
    <xf numFmtId="0" fontId="2097" fillId="2099" borderId="2043" xfId="0" applyFont="1" applyFill="1" applyBorder="1"/>
    <xf numFmtId="0" fontId="2098" fillId="2100" borderId="2044" xfId="0" applyFont="1" applyFill="1" applyBorder="1"/>
    <xf numFmtId="0" fontId="2099" fillId="2101" borderId="2045" xfId="0" applyFont="1" applyFill="1" applyBorder="1"/>
    <xf numFmtId="0" fontId="2100" fillId="2102" borderId="2046" xfId="0" applyFont="1" applyFill="1" applyBorder="1"/>
    <xf numFmtId="0" fontId="2101" fillId="2103" borderId="2047" xfId="0" applyFont="1" applyFill="1" applyBorder="1"/>
    <xf numFmtId="0" fontId="2102" fillId="2104" borderId="2048" xfId="0" applyFont="1" applyFill="1" applyBorder="1"/>
    <xf numFmtId="0" fontId="2103" fillId="2105" borderId="2049" xfId="0" applyFont="1" applyFill="1" applyBorder="1"/>
    <xf numFmtId="0" fontId="2104" fillId="2106" borderId="2050" xfId="0" applyFont="1" applyFill="1" applyBorder="1"/>
    <xf numFmtId="0" fontId="2105" fillId="2107" borderId="2051" xfId="0" applyFont="1" applyFill="1" applyBorder="1" applyAlignment="1">
      <alignment horizontal="center" vertical="center"/>
    </xf>
    <xf numFmtId="0" fontId="2106" fillId="2108" borderId="2052" xfId="0" applyFont="1" applyFill="1" applyBorder="1" applyAlignment="1">
      <alignment horizontal="center" vertical="center"/>
    </xf>
    <xf numFmtId="0" fontId="2107" fillId="2109" borderId="2053" xfId="0" applyFont="1" applyFill="1" applyBorder="1" applyAlignment="1">
      <alignment horizontal="center" vertical="center"/>
    </xf>
    <xf numFmtId="0" fontId="2108" fillId="2110" borderId="2054" xfId="0" applyFont="1" applyFill="1" applyBorder="1" applyAlignment="1">
      <alignment horizontal="center" vertical="center"/>
    </xf>
    <xf numFmtId="0" fontId="2109" fillId="2111" borderId="2055" xfId="0" applyFont="1" applyFill="1" applyBorder="1" applyAlignment="1">
      <alignment horizontal="center" vertical="center"/>
    </xf>
    <xf numFmtId="0" fontId="2110" fillId="2112" borderId="2056" xfId="0" applyFont="1" applyFill="1" applyBorder="1" applyAlignment="1">
      <alignment horizontal="center" vertical="center"/>
    </xf>
    <xf numFmtId="0" fontId="2111" fillId="2113" borderId="2057" xfId="0" applyFont="1" applyFill="1" applyBorder="1" applyAlignment="1">
      <alignment horizontal="center" vertical="center"/>
    </xf>
    <xf numFmtId="0" fontId="2112" fillId="2114" borderId="2058" xfId="0" applyFont="1" applyFill="1" applyBorder="1" applyAlignment="1">
      <alignment horizontal="center" vertical="center"/>
    </xf>
    <xf numFmtId="0" fontId="2113" fillId="2115" borderId="2059" xfId="0" applyFont="1" applyFill="1" applyBorder="1" applyAlignment="1">
      <alignment horizontal="center" vertical="center"/>
    </xf>
    <xf numFmtId="0" fontId="2114" fillId="2116" borderId="2060" xfId="0" applyFont="1" applyFill="1" applyBorder="1" applyAlignment="1">
      <alignment horizontal="center" vertical="center"/>
    </xf>
    <xf numFmtId="0" fontId="2115" fillId="2117" borderId="2061" xfId="0" applyFont="1" applyFill="1" applyBorder="1" applyAlignment="1">
      <alignment horizontal="center" vertical="center"/>
    </xf>
    <xf numFmtId="0" fontId="2116" fillId="2118" borderId="2062" xfId="0" applyFont="1" applyFill="1" applyBorder="1" applyAlignment="1">
      <alignment horizontal="center" vertical="center"/>
    </xf>
    <xf numFmtId="0" fontId="2117" fillId="2119" borderId="2063" xfId="0" applyFont="1" applyFill="1" applyBorder="1" applyAlignment="1">
      <alignment horizontal="center" vertical="center"/>
    </xf>
    <xf numFmtId="0" fontId="2118" fillId="2120" borderId="2064" xfId="0" applyFont="1" applyFill="1" applyBorder="1" applyAlignment="1">
      <alignment horizontal="center" vertical="center"/>
    </xf>
    <xf numFmtId="0" fontId="2119" fillId="2121" borderId="2065" xfId="0" applyFont="1" applyFill="1" applyBorder="1" applyAlignment="1">
      <alignment horizontal="center" vertical="center"/>
    </xf>
    <xf numFmtId="0" fontId="2120" fillId="2122" borderId="2066" xfId="0" applyFont="1" applyFill="1" applyBorder="1" applyAlignment="1">
      <alignment horizontal="center" vertical="center"/>
    </xf>
    <xf numFmtId="0" fontId="2121" fillId="2123" borderId="2067" xfId="0" applyFont="1" applyFill="1" applyBorder="1" applyAlignment="1">
      <alignment horizontal="center" vertical="center"/>
    </xf>
    <xf numFmtId="0" fontId="2122" fillId="2124" borderId="2068" xfId="0" applyFont="1" applyFill="1" applyBorder="1" applyAlignment="1">
      <alignment horizontal="center" vertical="center"/>
    </xf>
    <xf numFmtId="0" fontId="2123" fillId="2125" borderId="2069" xfId="0" applyFont="1" applyFill="1" applyBorder="1" applyAlignment="1">
      <alignment horizontal="center" vertical="center"/>
    </xf>
    <xf numFmtId="0" fontId="2124" fillId="2126" borderId="2070" xfId="0" applyFont="1" applyFill="1" applyBorder="1" applyAlignment="1">
      <alignment horizontal="center" vertical="center"/>
    </xf>
    <xf numFmtId="0" fontId="2125" fillId="2127" borderId="2071" xfId="0" applyFont="1" applyFill="1" applyBorder="1" applyAlignment="1">
      <alignment horizontal="center" vertical="center"/>
    </xf>
    <xf numFmtId="0" fontId="2126" fillId="2128" borderId="2072" xfId="0" applyFont="1" applyFill="1" applyBorder="1" applyAlignment="1">
      <alignment horizontal="center" vertical="center"/>
    </xf>
    <xf numFmtId="0" fontId="2127" fillId="2129" borderId="2073" xfId="0" applyFont="1" applyFill="1" applyBorder="1" applyAlignment="1">
      <alignment horizontal="center" vertical="center"/>
    </xf>
    <xf numFmtId="0" fontId="2128" fillId="2130" borderId="2074" xfId="0" applyFont="1" applyFill="1" applyBorder="1" applyAlignment="1">
      <alignment horizontal="center" vertical="center"/>
    </xf>
    <xf numFmtId="0" fontId="2129" fillId="2131" borderId="2075" xfId="0" applyFont="1" applyFill="1" applyBorder="1" applyAlignment="1">
      <alignment horizontal="center" vertical="center"/>
    </xf>
    <xf numFmtId="0" fontId="2130" fillId="2132" borderId="2076" xfId="0" applyFont="1" applyFill="1" applyBorder="1" applyAlignment="1">
      <alignment horizontal="center" vertical="center"/>
    </xf>
    <xf numFmtId="0" fontId="2131" fillId="2133" borderId="2077" xfId="0" applyFont="1" applyFill="1" applyBorder="1" applyAlignment="1">
      <alignment horizontal="center" vertical="center"/>
    </xf>
    <xf numFmtId="0" fontId="2132" fillId="2134" borderId="2078" xfId="0" applyFont="1" applyFill="1" applyBorder="1" applyAlignment="1">
      <alignment horizontal="center" vertical="center"/>
    </xf>
    <xf numFmtId="0" fontId="2133" fillId="2135" borderId="2079" xfId="0" applyFont="1" applyFill="1" applyBorder="1" applyAlignment="1">
      <alignment horizontal="center" vertical="center"/>
    </xf>
    <xf numFmtId="0" fontId="2134" fillId="2136" borderId="2080" xfId="0" applyFont="1" applyFill="1" applyBorder="1" applyAlignment="1">
      <alignment horizontal="center" vertical="center"/>
    </xf>
    <xf numFmtId="0" fontId="2135" fillId="2137" borderId="2081" xfId="0" applyFont="1" applyFill="1" applyBorder="1" applyAlignment="1">
      <alignment horizontal="center" vertical="center"/>
    </xf>
    <xf numFmtId="0" fontId="2136" fillId="2138" borderId="2082" xfId="0" applyFont="1" applyFill="1" applyBorder="1" applyAlignment="1">
      <alignment horizontal="center" vertical="center"/>
    </xf>
    <xf numFmtId="0" fontId="2137" fillId="2139" borderId="2083" xfId="0" applyFont="1" applyFill="1" applyBorder="1" applyAlignment="1">
      <alignment horizontal="center" vertical="center"/>
    </xf>
    <xf numFmtId="0" fontId="2138" fillId="2140" borderId="2084" xfId="0" applyFont="1" applyFill="1" applyBorder="1" applyAlignment="1">
      <alignment horizontal="center" vertical="center"/>
    </xf>
    <xf numFmtId="0" fontId="2140" fillId="2142" borderId="2087" xfId="0" applyFont="1" applyFill="1" applyBorder="1"/>
    <xf numFmtId="0" fontId="2141" fillId="2143" borderId="2088" xfId="0" applyFont="1" applyFill="1" applyBorder="1" applyAlignment="1">
      <alignment horizontal="center" vertical="center"/>
    </xf>
    <xf numFmtId="0" fontId="2142" fillId="2144" borderId="2089" xfId="0" applyFont="1" applyFill="1" applyBorder="1" applyAlignment="1">
      <alignment horizontal="left" vertical="center"/>
    </xf>
    <xf numFmtId="3" fontId="2143" fillId="2145" borderId="2090" xfId="0" applyNumberFormat="1" applyFont="1" applyFill="1" applyBorder="1" applyAlignment="1">
      <alignment horizontal="right" vertical="center"/>
    </xf>
    <xf numFmtId="3" fontId="2144" fillId="2146" borderId="2091" xfId="0" applyNumberFormat="1" applyFont="1" applyFill="1" applyBorder="1" applyAlignment="1">
      <alignment horizontal="right" vertical="center"/>
    </xf>
    <xf numFmtId="164" fontId="2145" fillId="2147" borderId="2092" xfId="0" applyNumberFormat="1" applyFont="1" applyFill="1" applyBorder="1" applyAlignment="1">
      <alignment horizontal="right" vertical="center"/>
    </xf>
    <xf numFmtId="164" fontId="2146" fillId="2148" borderId="2093" xfId="0" applyNumberFormat="1" applyFont="1" applyFill="1" applyBorder="1" applyAlignment="1">
      <alignment horizontal="right" vertical="center"/>
    </xf>
    <xf numFmtId="3" fontId="2147" fillId="2149" borderId="2094" xfId="0" applyNumberFormat="1" applyFont="1" applyFill="1" applyBorder="1" applyAlignment="1">
      <alignment horizontal="right" vertical="center"/>
    </xf>
    <xf numFmtId="2" fontId="2148" fillId="2150" borderId="2095" xfId="0" applyNumberFormat="1" applyFont="1" applyFill="1" applyBorder="1" applyAlignment="1">
      <alignment horizontal="right" vertical="center"/>
    </xf>
    <xf numFmtId="2" fontId="2149" fillId="2151" borderId="2096" xfId="0" applyNumberFormat="1" applyFont="1" applyFill="1" applyBorder="1" applyAlignment="1">
      <alignment horizontal="right" vertical="center"/>
    </xf>
    <xf numFmtId="0" fontId="2150" fillId="2152" borderId="2097" xfId="0" applyFont="1" applyFill="1" applyBorder="1" applyAlignment="1">
      <alignment horizontal="center" vertical="center"/>
    </xf>
    <xf numFmtId="0" fontId="2151" fillId="2153" borderId="2098" xfId="0" applyFont="1" applyFill="1" applyBorder="1"/>
    <xf numFmtId="0" fontId="2152" fillId="2154" borderId="2099" xfId="0" applyFont="1" applyFill="1" applyBorder="1" applyAlignment="1">
      <alignment horizontal="center" vertical="center"/>
    </xf>
    <xf numFmtId="0" fontId="2153" fillId="2155" borderId="2100" xfId="0" applyFont="1" applyFill="1" applyBorder="1" applyAlignment="1">
      <alignment horizontal="left" vertical="center"/>
    </xf>
    <xf numFmtId="3" fontId="2154" fillId="2156" borderId="2101" xfId="0" applyNumberFormat="1" applyFont="1" applyFill="1" applyBorder="1" applyAlignment="1">
      <alignment horizontal="right" vertical="center"/>
    </xf>
    <xf numFmtId="3" fontId="2155" fillId="2157" borderId="2102" xfId="0" applyNumberFormat="1" applyFont="1" applyFill="1" applyBorder="1" applyAlignment="1">
      <alignment horizontal="right" vertical="center"/>
    </xf>
    <xf numFmtId="164" fontId="2156" fillId="2158" borderId="2103" xfId="0" applyNumberFormat="1" applyFont="1" applyFill="1" applyBorder="1" applyAlignment="1">
      <alignment horizontal="right" vertical="center"/>
    </xf>
    <xf numFmtId="164" fontId="2157" fillId="2159" borderId="2104" xfId="0" applyNumberFormat="1" applyFont="1" applyFill="1" applyBorder="1" applyAlignment="1">
      <alignment horizontal="right" vertical="center"/>
    </xf>
    <xf numFmtId="3" fontId="2158" fillId="2160" borderId="2105" xfId="0" applyNumberFormat="1" applyFont="1" applyFill="1" applyBorder="1" applyAlignment="1">
      <alignment horizontal="right" vertical="center"/>
    </xf>
    <xf numFmtId="2" fontId="2159" fillId="2161" borderId="2106" xfId="0" applyNumberFormat="1" applyFont="1" applyFill="1" applyBorder="1" applyAlignment="1">
      <alignment horizontal="right" vertical="center"/>
    </xf>
    <xf numFmtId="2" fontId="2160" fillId="2162" borderId="2107" xfId="0" applyNumberFormat="1" applyFont="1" applyFill="1" applyBorder="1" applyAlignment="1">
      <alignment horizontal="right" vertical="center"/>
    </xf>
    <xf numFmtId="0" fontId="2161" fillId="2163" borderId="2108" xfId="0" applyFont="1" applyFill="1" applyBorder="1" applyAlignment="1">
      <alignment horizontal="center" vertical="center"/>
    </xf>
    <xf numFmtId="0" fontId="2162" fillId="2164" borderId="2109" xfId="0" applyFont="1" applyFill="1" applyBorder="1"/>
    <xf numFmtId="0" fontId="2163" fillId="2165" borderId="2110" xfId="0" applyFont="1" applyFill="1" applyBorder="1" applyAlignment="1">
      <alignment horizontal="center" vertical="center"/>
    </xf>
    <xf numFmtId="0" fontId="2164" fillId="2166" borderId="2111" xfId="0" applyFont="1" applyFill="1" applyBorder="1" applyAlignment="1">
      <alignment horizontal="left" vertical="center"/>
    </xf>
    <xf numFmtId="3" fontId="2165" fillId="2167" borderId="2112" xfId="0" applyNumberFormat="1" applyFont="1" applyFill="1" applyBorder="1" applyAlignment="1">
      <alignment horizontal="right" vertical="center"/>
    </xf>
    <xf numFmtId="3" fontId="2166" fillId="2168" borderId="2113" xfId="0" applyNumberFormat="1" applyFont="1" applyFill="1" applyBorder="1" applyAlignment="1">
      <alignment horizontal="right" vertical="center"/>
    </xf>
    <xf numFmtId="164" fontId="2167" fillId="2169" borderId="2114" xfId="0" applyNumberFormat="1" applyFont="1" applyFill="1" applyBorder="1" applyAlignment="1">
      <alignment horizontal="right" vertical="center"/>
    </xf>
    <xf numFmtId="164" fontId="2168" fillId="2170" borderId="2115" xfId="0" applyNumberFormat="1" applyFont="1" applyFill="1" applyBorder="1" applyAlignment="1">
      <alignment horizontal="right" vertical="center"/>
    </xf>
    <xf numFmtId="3" fontId="2169" fillId="2171" borderId="2116" xfId="0" applyNumberFormat="1" applyFont="1" applyFill="1" applyBorder="1" applyAlignment="1">
      <alignment horizontal="right" vertical="center"/>
    </xf>
    <xf numFmtId="2" fontId="2170" fillId="2172" borderId="2117" xfId="0" applyNumberFormat="1" applyFont="1" applyFill="1" applyBorder="1" applyAlignment="1">
      <alignment horizontal="right" vertical="center"/>
    </xf>
    <xf numFmtId="2" fontId="2171" fillId="2173" borderId="2118" xfId="0" applyNumberFormat="1" applyFont="1" applyFill="1" applyBorder="1" applyAlignment="1">
      <alignment horizontal="right" vertical="center"/>
    </xf>
    <xf numFmtId="0" fontId="2172" fillId="2174" borderId="2119" xfId="0" applyFont="1" applyFill="1" applyBorder="1" applyAlignment="1">
      <alignment horizontal="center" vertical="center"/>
    </xf>
    <xf numFmtId="0" fontId="2173" fillId="2175" borderId="2120" xfId="0" applyFont="1" applyFill="1" applyBorder="1"/>
    <xf numFmtId="0" fontId="2174" fillId="2176" borderId="2121" xfId="0" applyFont="1" applyFill="1" applyBorder="1" applyAlignment="1">
      <alignment horizontal="center" vertical="center"/>
    </xf>
    <xf numFmtId="0" fontId="2175" fillId="2177" borderId="2122" xfId="0" applyFont="1" applyFill="1" applyBorder="1" applyAlignment="1">
      <alignment horizontal="left" vertical="center"/>
    </xf>
    <xf numFmtId="3" fontId="2176" fillId="2178" borderId="2123" xfId="0" applyNumberFormat="1" applyFont="1" applyFill="1" applyBorder="1" applyAlignment="1">
      <alignment horizontal="right" vertical="center"/>
    </xf>
    <xf numFmtId="3" fontId="2177" fillId="2179" borderId="2124" xfId="0" applyNumberFormat="1" applyFont="1" applyFill="1" applyBorder="1" applyAlignment="1">
      <alignment horizontal="right" vertical="center"/>
    </xf>
    <xf numFmtId="164" fontId="2178" fillId="2180" borderId="2125" xfId="0" applyNumberFormat="1" applyFont="1" applyFill="1" applyBorder="1" applyAlignment="1">
      <alignment horizontal="right" vertical="center"/>
    </xf>
    <xf numFmtId="164" fontId="2179" fillId="2181" borderId="2126" xfId="0" applyNumberFormat="1" applyFont="1" applyFill="1" applyBorder="1" applyAlignment="1">
      <alignment horizontal="right" vertical="center"/>
    </xf>
    <xf numFmtId="3" fontId="2180" fillId="2182" borderId="2127" xfId="0" applyNumberFormat="1" applyFont="1" applyFill="1" applyBorder="1" applyAlignment="1">
      <alignment horizontal="right" vertical="center"/>
    </xf>
    <xf numFmtId="2" fontId="2181" fillId="2183" borderId="2128" xfId="0" applyNumberFormat="1" applyFont="1" applyFill="1" applyBorder="1" applyAlignment="1">
      <alignment horizontal="right" vertical="center"/>
    </xf>
    <xf numFmtId="2" fontId="2182" fillId="2184" borderId="2129" xfId="0" applyNumberFormat="1" applyFont="1" applyFill="1" applyBorder="1" applyAlignment="1">
      <alignment horizontal="right" vertical="center"/>
    </xf>
    <xf numFmtId="0" fontId="2183" fillId="2185" borderId="2130" xfId="0" applyFont="1" applyFill="1" applyBorder="1" applyAlignment="1">
      <alignment horizontal="center" vertical="center"/>
    </xf>
    <xf numFmtId="0" fontId="2184" fillId="2186" borderId="2131" xfId="0" applyFont="1" applyFill="1" applyBorder="1"/>
    <xf numFmtId="0" fontId="2185" fillId="2187" borderId="2132" xfId="0" applyFont="1" applyFill="1" applyBorder="1" applyAlignment="1">
      <alignment horizontal="center" vertical="center"/>
    </xf>
    <xf numFmtId="0" fontId="2186" fillId="2188" borderId="2133" xfId="0" applyFont="1" applyFill="1" applyBorder="1" applyAlignment="1">
      <alignment horizontal="left" vertical="center"/>
    </xf>
    <xf numFmtId="3" fontId="2187" fillId="2189" borderId="2134" xfId="0" applyNumberFormat="1" applyFont="1" applyFill="1" applyBorder="1" applyAlignment="1">
      <alignment horizontal="right" vertical="center"/>
    </xf>
    <xf numFmtId="3" fontId="2188" fillId="2190" borderId="2135" xfId="0" applyNumberFormat="1" applyFont="1" applyFill="1" applyBorder="1" applyAlignment="1">
      <alignment horizontal="right" vertical="center"/>
    </xf>
    <xf numFmtId="164" fontId="2189" fillId="2191" borderId="2136" xfId="0" applyNumberFormat="1" applyFont="1" applyFill="1" applyBorder="1" applyAlignment="1">
      <alignment horizontal="right" vertical="center"/>
    </xf>
    <xf numFmtId="164" fontId="2190" fillId="2192" borderId="2137" xfId="0" applyNumberFormat="1" applyFont="1" applyFill="1" applyBorder="1" applyAlignment="1">
      <alignment horizontal="right" vertical="center"/>
    </xf>
    <xf numFmtId="3" fontId="2191" fillId="2193" borderId="2138" xfId="0" applyNumberFormat="1" applyFont="1" applyFill="1" applyBorder="1" applyAlignment="1">
      <alignment horizontal="right" vertical="center"/>
    </xf>
    <xf numFmtId="2" fontId="2192" fillId="2194" borderId="2139" xfId="0" applyNumberFormat="1" applyFont="1" applyFill="1" applyBorder="1" applyAlignment="1">
      <alignment horizontal="right" vertical="center"/>
    </xf>
    <xf numFmtId="2" fontId="2193" fillId="2195" borderId="2140" xfId="0" applyNumberFormat="1" applyFont="1" applyFill="1" applyBorder="1" applyAlignment="1">
      <alignment horizontal="right" vertical="center"/>
    </xf>
    <xf numFmtId="0" fontId="2194" fillId="2196" borderId="2141" xfId="0" applyFont="1" applyFill="1" applyBorder="1" applyAlignment="1">
      <alignment horizontal="center" vertical="center"/>
    </xf>
    <xf numFmtId="0" fontId="2195" fillId="2197" borderId="2142" xfId="0" applyFont="1" applyFill="1" applyBorder="1"/>
    <xf numFmtId="0" fontId="2196" fillId="2198" borderId="2143" xfId="0" applyFont="1" applyFill="1" applyBorder="1" applyAlignment="1">
      <alignment horizontal="center" vertical="center"/>
    </xf>
    <xf numFmtId="0" fontId="2197" fillId="2199" borderId="2144" xfId="0" applyFont="1" applyFill="1" applyBorder="1" applyAlignment="1">
      <alignment horizontal="left" vertical="center"/>
    </xf>
    <xf numFmtId="3" fontId="2198" fillId="2200" borderId="2145" xfId="0" applyNumberFormat="1" applyFont="1" applyFill="1" applyBorder="1" applyAlignment="1">
      <alignment horizontal="right" vertical="center"/>
    </xf>
    <xf numFmtId="3" fontId="2199" fillId="2201" borderId="2146" xfId="0" applyNumberFormat="1" applyFont="1" applyFill="1" applyBorder="1" applyAlignment="1">
      <alignment horizontal="right" vertical="center"/>
    </xf>
    <xf numFmtId="164" fontId="2200" fillId="2202" borderId="2147" xfId="0" applyNumberFormat="1" applyFont="1" applyFill="1" applyBorder="1" applyAlignment="1">
      <alignment horizontal="right" vertical="center"/>
    </xf>
    <xf numFmtId="164" fontId="2201" fillId="2203" borderId="2148" xfId="0" applyNumberFormat="1" applyFont="1" applyFill="1" applyBorder="1" applyAlignment="1">
      <alignment horizontal="right" vertical="center"/>
    </xf>
    <xf numFmtId="3" fontId="2202" fillId="2204" borderId="2149" xfId="0" applyNumberFormat="1" applyFont="1" applyFill="1" applyBorder="1" applyAlignment="1">
      <alignment horizontal="right" vertical="center"/>
    </xf>
    <xf numFmtId="2" fontId="2203" fillId="2205" borderId="2150" xfId="0" applyNumberFormat="1" applyFont="1" applyFill="1" applyBorder="1" applyAlignment="1">
      <alignment horizontal="right" vertical="center"/>
    </xf>
    <xf numFmtId="2" fontId="2204" fillId="2206" borderId="2151" xfId="0" applyNumberFormat="1" applyFont="1" applyFill="1" applyBorder="1" applyAlignment="1">
      <alignment horizontal="right" vertical="center"/>
    </xf>
    <xf numFmtId="0" fontId="2205" fillId="2207" borderId="2152" xfId="0" applyFont="1" applyFill="1" applyBorder="1" applyAlignment="1">
      <alignment horizontal="center" vertical="center"/>
    </xf>
    <xf numFmtId="0" fontId="2206" fillId="2208" borderId="2153" xfId="0" applyFont="1" applyFill="1" applyBorder="1"/>
    <xf numFmtId="0" fontId="2207" fillId="2209" borderId="2154" xfId="0" applyFont="1" applyFill="1" applyBorder="1" applyAlignment="1">
      <alignment horizontal="center" vertical="center"/>
    </xf>
    <xf numFmtId="0" fontId="2208" fillId="2210" borderId="2155" xfId="0" applyFont="1" applyFill="1" applyBorder="1" applyAlignment="1">
      <alignment horizontal="left" vertical="center"/>
    </xf>
    <xf numFmtId="3" fontId="2209" fillId="2211" borderId="2156" xfId="0" applyNumberFormat="1" applyFont="1" applyFill="1" applyBorder="1" applyAlignment="1">
      <alignment horizontal="right" vertical="center"/>
    </xf>
    <xf numFmtId="3" fontId="2210" fillId="2212" borderId="2157" xfId="0" applyNumberFormat="1" applyFont="1" applyFill="1" applyBorder="1" applyAlignment="1">
      <alignment horizontal="right" vertical="center"/>
    </xf>
    <xf numFmtId="164" fontId="2211" fillId="2213" borderId="2158" xfId="0" applyNumberFormat="1" applyFont="1" applyFill="1" applyBorder="1" applyAlignment="1">
      <alignment horizontal="right" vertical="center"/>
    </xf>
    <xf numFmtId="164" fontId="2212" fillId="2214" borderId="2159" xfId="0" applyNumberFormat="1" applyFont="1" applyFill="1" applyBorder="1" applyAlignment="1">
      <alignment horizontal="right" vertical="center"/>
    </xf>
    <xf numFmtId="3" fontId="2213" fillId="2215" borderId="2160" xfId="0" applyNumberFormat="1" applyFont="1" applyFill="1" applyBorder="1" applyAlignment="1">
      <alignment horizontal="right" vertical="center"/>
    </xf>
    <xf numFmtId="2" fontId="2214" fillId="2216" borderId="2161" xfId="0" applyNumberFormat="1" applyFont="1" applyFill="1" applyBorder="1" applyAlignment="1">
      <alignment horizontal="right" vertical="center"/>
    </xf>
    <xf numFmtId="2" fontId="2215" fillId="2217" borderId="2162" xfId="0" applyNumberFormat="1" applyFont="1" applyFill="1" applyBorder="1" applyAlignment="1">
      <alignment horizontal="right" vertical="center"/>
    </xf>
    <xf numFmtId="0" fontId="2216" fillId="2218" borderId="2163" xfId="0" applyFont="1" applyFill="1" applyBorder="1" applyAlignment="1">
      <alignment horizontal="center" vertical="center"/>
    </xf>
    <xf numFmtId="0" fontId="2217" fillId="2219" borderId="2164" xfId="0" applyFont="1" applyFill="1" applyBorder="1"/>
    <xf numFmtId="0" fontId="2218" fillId="2220" borderId="2165" xfId="0" applyFont="1" applyFill="1" applyBorder="1" applyAlignment="1">
      <alignment horizontal="center" vertical="center"/>
    </xf>
    <xf numFmtId="0" fontId="2219" fillId="2221" borderId="2166" xfId="0" applyFont="1" applyFill="1" applyBorder="1" applyAlignment="1">
      <alignment horizontal="left" vertical="center"/>
    </xf>
    <xf numFmtId="3" fontId="2220" fillId="2222" borderId="2167" xfId="0" applyNumberFormat="1" applyFont="1" applyFill="1" applyBorder="1" applyAlignment="1">
      <alignment horizontal="right" vertical="center"/>
    </xf>
    <xf numFmtId="3" fontId="2221" fillId="2223" borderId="2168" xfId="0" applyNumberFormat="1" applyFont="1" applyFill="1" applyBorder="1" applyAlignment="1">
      <alignment horizontal="right" vertical="center"/>
    </xf>
    <xf numFmtId="164" fontId="2222" fillId="2224" borderId="2169" xfId="0" applyNumberFormat="1" applyFont="1" applyFill="1" applyBorder="1" applyAlignment="1">
      <alignment horizontal="right" vertical="center"/>
    </xf>
    <xf numFmtId="164" fontId="2223" fillId="2225" borderId="2170" xfId="0" applyNumberFormat="1" applyFont="1" applyFill="1" applyBorder="1" applyAlignment="1">
      <alignment horizontal="right" vertical="center"/>
    </xf>
    <xf numFmtId="3" fontId="2224" fillId="2226" borderId="2171" xfId="0" applyNumberFormat="1" applyFont="1" applyFill="1" applyBorder="1" applyAlignment="1">
      <alignment horizontal="right" vertical="center"/>
    </xf>
    <xf numFmtId="2" fontId="2225" fillId="2227" borderId="2172" xfId="0" applyNumberFormat="1" applyFont="1" applyFill="1" applyBorder="1" applyAlignment="1">
      <alignment horizontal="right" vertical="center"/>
    </xf>
    <xf numFmtId="2" fontId="2226" fillId="2228" borderId="2173" xfId="0" applyNumberFormat="1" applyFont="1" applyFill="1" applyBorder="1" applyAlignment="1">
      <alignment horizontal="right" vertical="center"/>
    </xf>
    <xf numFmtId="0" fontId="2227" fillId="2229" borderId="2174" xfId="0" applyFont="1" applyFill="1" applyBorder="1" applyAlignment="1">
      <alignment horizontal="center" vertical="center"/>
    </xf>
    <xf numFmtId="0" fontId="2228" fillId="2230" borderId="2175" xfId="0" applyFont="1" applyFill="1" applyBorder="1"/>
    <xf numFmtId="0" fontId="2229" fillId="2231" borderId="2176" xfId="0" applyFont="1" applyFill="1" applyBorder="1" applyAlignment="1">
      <alignment horizontal="center" vertical="center"/>
    </xf>
    <xf numFmtId="0" fontId="2230" fillId="2232" borderId="2177" xfId="0" applyFont="1" applyFill="1" applyBorder="1" applyAlignment="1">
      <alignment horizontal="left" vertical="center"/>
    </xf>
    <xf numFmtId="3" fontId="2231" fillId="2233" borderId="2178" xfId="0" applyNumberFormat="1" applyFont="1" applyFill="1" applyBorder="1" applyAlignment="1">
      <alignment horizontal="right" vertical="center"/>
    </xf>
    <xf numFmtId="3" fontId="2232" fillId="2234" borderId="2179" xfId="0" applyNumberFormat="1" applyFont="1" applyFill="1" applyBorder="1" applyAlignment="1">
      <alignment horizontal="right" vertical="center"/>
    </xf>
    <xf numFmtId="164" fontId="2233" fillId="2235" borderId="2180" xfId="0" applyNumberFormat="1" applyFont="1" applyFill="1" applyBorder="1" applyAlignment="1">
      <alignment horizontal="right" vertical="center"/>
    </xf>
    <xf numFmtId="164" fontId="2234" fillId="2236" borderId="2181" xfId="0" applyNumberFormat="1" applyFont="1" applyFill="1" applyBorder="1" applyAlignment="1">
      <alignment horizontal="right" vertical="center"/>
    </xf>
    <xf numFmtId="3" fontId="2235" fillId="2237" borderId="2182" xfId="0" applyNumberFormat="1" applyFont="1" applyFill="1" applyBorder="1" applyAlignment="1">
      <alignment horizontal="right" vertical="center"/>
    </xf>
    <xf numFmtId="2" fontId="2236" fillId="2238" borderId="2183" xfId="0" applyNumberFormat="1" applyFont="1" applyFill="1" applyBorder="1" applyAlignment="1">
      <alignment horizontal="right" vertical="center"/>
    </xf>
    <xf numFmtId="2" fontId="2237" fillId="2239" borderId="2184" xfId="0" applyNumberFormat="1" applyFont="1" applyFill="1" applyBorder="1" applyAlignment="1">
      <alignment horizontal="right" vertical="center"/>
    </xf>
    <xf numFmtId="0" fontId="2238" fillId="2240" borderId="2185" xfId="0" applyFont="1" applyFill="1" applyBorder="1" applyAlignment="1">
      <alignment horizontal="center" vertical="center"/>
    </xf>
    <xf numFmtId="0" fontId="2239" fillId="2241" borderId="2186" xfId="0" applyFont="1" applyFill="1" applyBorder="1"/>
    <xf numFmtId="0" fontId="2240" fillId="2242" borderId="2187" xfId="0" applyFont="1" applyFill="1" applyBorder="1" applyAlignment="1">
      <alignment horizontal="center" vertical="center"/>
    </xf>
    <xf numFmtId="0" fontId="2241" fillId="2243" borderId="2188" xfId="0" applyFont="1" applyFill="1" applyBorder="1" applyAlignment="1">
      <alignment horizontal="left" vertical="center"/>
    </xf>
    <xf numFmtId="3" fontId="2242" fillId="2244" borderId="2189" xfId="0" applyNumberFormat="1" applyFont="1" applyFill="1" applyBorder="1" applyAlignment="1">
      <alignment horizontal="right" vertical="center"/>
    </xf>
    <xf numFmtId="3" fontId="2243" fillId="2245" borderId="2190" xfId="0" applyNumberFormat="1" applyFont="1" applyFill="1" applyBorder="1" applyAlignment="1">
      <alignment horizontal="right" vertical="center"/>
    </xf>
    <xf numFmtId="164" fontId="2244" fillId="2246" borderId="2191" xfId="0" applyNumberFormat="1" applyFont="1" applyFill="1" applyBorder="1" applyAlignment="1">
      <alignment horizontal="right" vertical="center"/>
    </xf>
    <xf numFmtId="164" fontId="2245" fillId="2247" borderId="2192" xfId="0" applyNumberFormat="1" applyFont="1" applyFill="1" applyBorder="1" applyAlignment="1">
      <alignment horizontal="right" vertical="center"/>
    </xf>
    <xf numFmtId="3" fontId="2246" fillId="2248" borderId="2193" xfId="0" applyNumberFormat="1" applyFont="1" applyFill="1" applyBorder="1" applyAlignment="1">
      <alignment horizontal="right" vertical="center"/>
    </xf>
    <xf numFmtId="2" fontId="2247" fillId="2249" borderId="2194" xfId="0" applyNumberFormat="1" applyFont="1" applyFill="1" applyBorder="1" applyAlignment="1">
      <alignment horizontal="right" vertical="center"/>
    </xf>
    <xf numFmtId="2" fontId="2248" fillId="2250" borderId="2195" xfId="0" applyNumberFormat="1" applyFont="1" applyFill="1" applyBorder="1" applyAlignment="1">
      <alignment horizontal="right" vertical="center"/>
    </xf>
    <xf numFmtId="0" fontId="2249" fillId="2251" borderId="2196" xfId="0" applyFont="1" applyFill="1" applyBorder="1" applyAlignment="1">
      <alignment horizontal="center" vertical="center"/>
    </xf>
    <xf numFmtId="0" fontId="2250" fillId="2252" borderId="2197" xfId="0" applyFont="1" applyFill="1" applyBorder="1"/>
    <xf numFmtId="0" fontId="2251" fillId="2253" borderId="2198" xfId="0" applyFont="1" applyFill="1" applyBorder="1" applyAlignment="1">
      <alignment horizontal="center" vertical="center"/>
    </xf>
    <xf numFmtId="0" fontId="2252" fillId="2254" borderId="2199" xfId="0" applyFont="1" applyFill="1" applyBorder="1" applyAlignment="1">
      <alignment horizontal="left" vertical="center"/>
    </xf>
    <xf numFmtId="3" fontId="2253" fillId="2255" borderId="2200" xfId="0" applyNumberFormat="1" applyFont="1" applyFill="1" applyBorder="1" applyAlignment="1">
      <alignment horizontal="right" vertical="center"/>
    </xf>
    <xf numFmtId="3" fontId="2254" fillId="2256" borderId="2201" xfId="0" applyNumberFormat="1" applyFont="1" applyFill="1" applyBorder="1" applyAlignment="1">
      <alignment horizontal="right" vertical="center"/>
    </xf>
    <xf numFmtId="164" fontId="2255" fillId="2257" borderId="2202" xfId="0" applyNumberFormat="1" applyFont="1" applyFill="1" applyBorder="1" applyAlignment="1">
      <alignment horizontal="right" vertical="center"/>
    </xf>
    <xf numFmtId="164" fontId="2256" fillId="2258" borderId="2203" xfId="0" applyNumberFormat="1" applyFont="1" applyFill="1" applyBorder="1" applyAlignment="1">
      <alignment horizontal="right" vertical="center"/>
    </xf>
    <xf numFmtId="3" fontId="2257" fillId="2259" borderId="2204" xfId="0" applyNumberFormat="1" applyFont="1" applyFill="1" applyBorder="1" applyAlignment="1">
      <alignment horizontal="right" vertical="center"/>
    </xf>
    <xf numFmtId="2" fontId="2258" fillId="2260" borderId="2205" xfId="0" applyNumberFormat="1" applyFont="1" applyFill="1" applyBorder="1" applyAlignment="1">
      <alignment horizontal="right" vertical="center"/>
    </xf>
    <xf numFmtId="2" fontId="2259" fillId="2261" borderId="2206" xfId="0" applyNumberFormat="1" applyFont="1" applyFill="1" applyBorder="1" applyAlignment="1">
      <alignment horizontal="right" vertical="center"/>
    </xf>
    <xf numFmtId="0" fontId="2260" fillId="2262" borderId="2207" xfId="0" applyFont="1" applyFill="1" applyBorder="1" applyAlignment="1">
      <alignment horizontal="center" vertical="center"/>
    </xf>
    <xf numFmtId="0" fontId="2261" fillId="2263" borderId="2208" xfId="0" applyFont="1" applyFill="1" applyBorder="1"/>
    <xf numFmtId="0" fontId="2262" fillId="2264" borderId="2209" xfId="0" applyFont="1" applyFill="1" applyBorder="1" applyAlignment="1">
      <alignment horizontal="center" vertical="center"/>
    </xf>
    <xf numFmtId="0" fontId="2263" fillId="2265" borderId="2210" xfId="0" applyFont="1" applyFill="1" applyBorder="1" applyAlignment="1">
      <alignment horizontal="left" vertical="center"/>
    </xf>
    <xf numFmtId="3" fontId="2264" fillId="2266" borderId="2211" xfId="0" applyNumberFormat="1" applyFont="1" applyFill="1" applyBorder="1" applyAlignment="1">
      <alignment horizontal="right" vertical="center"/>
    </xf>
    <xf numFmtId="3" fontId="2265" fillId="2267" borderId="2212" xfId="0" applyNumberFormat="1" applyFont="1" applyFill="1" applyBorder="1" applyAlignment="1">
      <alignment horizontal="right" vertical="center"/>
    </xf>
    <xf numFmtId="164" fontId="2266" fillId="2268" borderId="2213" xfId="0" applyNumberFormat="1" applyFont="1" applyFill="1" applyBorder="1" applyAlignment="1">
      <alignment horizontal="right" vertical="center"/>
    </xf>
    <xf numFmtId="164" fontId="2267" fillId="2269" borderId="2214" xfId="0" applyNumberFormat="1" applyFont="1" applyFill="1" applyBorder="1" applyAlignment="1">
      <alignment horizontal="right" vertical="center"/>
    </xf>
    <xf numFmtId="3" fontId="2268" fillId="2270" borderId="2215" xfId="0" applyNumberFormat="1" applyFont="1" applyFill="1" applyBorder="1" applyAlignment="1">
      <alignment horizontal="right" vertical="center"/>
    </xf>
    <xf numFmtId="2" fontId="2269" fillId="2271" borderId="2216" xfId="0" applyNumberFormat="1" applyFont="1" applyFill="1" applyBorder="1" applyAlignment="1">
      <alignment horizontal="right" vertical="center"/>
    </xf>
    <xf numFmtId="2" fontId="2270" fillId="2272" borderId="2217" xfId="0" applyNumberFormat="1" applyFont="1" applyFill="1" applyBorder="1" applyAlignment="1">
      <alignment horizontal="right" vertical="center"/>
    </xf>
    <xf numFmtId="0" fontId="2271" fillId="2273" borderId="2218" xfId="0" applyFont="1" applyFill="1" applyBorder="1" applyAlignment="1">
      <alignment horizontal="center" vertical="center"/>
    </xf>
    <xf numFmtId="0" fontId="2272" fillId="2274" borderId="2219" xfId="0" applyFont="1" applyFill="1" applyBorder="1"/>
    <xf numFmtId="0" fontId="2273" fillId="2275" borderId="2220" xfId="0" applyFont="1" applyFill="1" applyBorder="1" applyAlignment="1">
      <alignment horizontal="center" vertical="center"/>
    </xf>
    <xf numFmtId="0" fontId="2274" fillId="2276" borderId="2221" xfId="0" applyFont="1" applyFill="1" applyBorder="1" applyAlignment="1">
      <alignment horizontal="left" vertical="center"/>
    </xf>
    <xf numFmtId="3" fontId="2275" fillId="2277" borderId="2222" xfId="0" applyNumberFormat="1" applyFont="1" applyFill="1" applyBorder="1" applyAlignment="1">
      <alignment horizontal="right" vertical="center"/>
    </xf>
    <xf numFmtId="3" fontId="2276" fillId="2278" borderId="2223" xfId="0" applyNumberFormat="1" applyFont="1" applyFill="1" applyBorder="1" applyAlignment="1">
      <alignment horizontal="right" vertical="center"/>
    </xf>
    <xf numFmtId="164" fontId="2277" fillId="2279" borderId="2224" xfId="0" applyNumberFormat="1" applyFont="1" applyFill="1" applyBorder="1" applyAlignment="1">
      <alignment horizontal="right" vertical="center"/>
    </xf>
    <xf numFmtId="164" fontId="2278" fillId="2280" borderId="2225" xfId="0" applyNumberFormat="1" applyFont="1" applyFill="1" applyBorder="1" applyAlignment="1">
      <alignment horizontal="right" vertical="center"/>
    </xf>
    <xf numFmtId="3" fontId="2279" fillId="2281" borderId="2226" xfId="0" applyNumberFormat="1" applyFont="1" applyFill="1" applyBorder="1" applyAlignment="1">
      <alignment horizontal="right" vertical="center"/>
    </xf>
    <xf numFmtId="2" fontId="2280" fillId="2282" borderId="2227" xfId="0" applyNumberFormat="1" applyFont="1" applyFill="1" applyBorder="1" applyAlignment="1">
      <alignment horizontal="right" vertical="center"/>
    </xf>
    <xf numFmtId="2" fontId="2281" fillId="2283" borderId="2228" xfId="0" applyNumberFormat="1" applyFont="1" applyFill="1" applyBorder="1" applyAlignment="1">
      <alignment horizontal="right" vertical="center"/>
    </xf>
    <xf numFmtId="0" fontId="2282" fillId="2284" borderId="2229" xfId="0" applyFont="1" applyFill="1" applyBorder="1" applyAlignment="1">
      <alignment horizontal="center" vertical="center"/>
    </xf>
    <xf numFmtId="0" fontId="2283" fillId="2285" borderId="2230" xfId="0" applyFont="1" applyFill="1" applyBorder="1"/>
    <xf numFmtId="0" fontId="2284" fillId="2286" borderId="2231" xfId="0" applyFont="1" applyFill="1" applyBorder="1" applyAlignment="1">
      <alignment horizontal="center" vertical="center"/>
    </xf>
    <xf numFmtId="0" fontId="2285" fillId="2287" borderId="2232" xfId="0" applyFont="1" applyFill="1" applyBorder="1" applyAlignment="1">
      <alignment horizontal="left" vertical="center"/>
    </xf>
    <xf numFmtId="3" fontId="2286" fillId="2288" borderId="2233" xfId="0" applyNumberFormat="1" applyFont="1" applyFill="1" applyBorder="1" applyAlignment="1">
      <alignment horizontal="right" vertical="center"/>
    </xf>
    <xf numFmtId="3" fontId="2287" fillId="2289" borderId="2234" xfId="0" applyNumberFormat="1" applyFont="1" applyFill="1" applyBorder="1" applyAlignment="1">
      <alignment horizontal="right" vertical="center"/>
    </xf>
    <xf numFmtId="164" fontId="2288" fillId="2290" borderId="2235" xfId="0" applyNumberFormat="1" applyFont="1" applyFill="1" applyBorder="1" applyAlignment="1">
      <alignment horizontal="right" vertical="center"/>
    </xf>
    <xf numFmtId="164" fontId="2289" fillId="2291" borderId="2236" xfId="0" applyNumberFormat="1" applyFont="1" applyFill="1" applyBorder="1" applyAlignment="1">
      <alignment horizontal="right" vertical="center"/>
    </xf>
    <xf numFmtId="3" fontId="2290" fillId="2292" borderId="2237" xfId="0" applyNumberFormat="1" applyFont="1" applyFill="1" applyBorder="1" applyAlignment="1">
      <alignment horizontal="right" vertical="center"/>
    </xf>
    <xf numFmtId="2" fontId="2291" fillId="2293" borderId="2238" xfId="0" applyNumberFormat="1" applyFont="1" applyFill="1" applyBorder="1" applyAlignment="1">
      <alignment horizontal="right" vertical="center"/>
    </xf>
    <xf numFmtId="2" fontId="2292" fillId="2294" borderId="2239" xfId="0" applyNumberFormat="1" applyFont="1" applyFill="1" applyBorder="1" applyAlignment="1">
      <alignment horizontal="right" vertical="center"/>
    </xf>
    <xf numFmtId="0" fontId="2293" fillId="2295" borderId="2240" xfId="0" applyFont="1" applyFill="1" applyBorder="1" applyAlignment="1">
      <alignment horizontal="center" vertical="center"/>
    </xf>
    <xf numFmtId="0" fontId="2294" fillId="2296" borderId="2241" xfId="0" applyFont="1" applyFill="1" applyBorder="1"/>
    <xf numFmtId="0" fontId="2295" fillId="2297" borderId="2242" xfId="0" applyFont="1" applyFill="1" applyBorder="1" applyAlignment="1">
      <alignment horizontal="center" vertical="center"/>
    </xf>
    <xf numFmtId="0" fontId="2296" fillId="2298" borderId="2243" xfId="0" applyFont="1" applyFill="1" applyBorder="1" applyAlignment="1">
      <alignment horizontal="left" vertical="center"/>
    </xf>
    <xf numFmtId="3" fontId="2297" fillId="2299" borderId="2244" xfId="0" applyNumberFormat="1" applyFont="1" applyFill="1" applyBorder="1" applyAlignment="1">
      <alignment horizontal="right" vertical="center"/>
    </xf>
    <xf numFmtId="3" fontId="2298" fillId="2300" borderId="2245" xfId="0" applyNumberFormat="1" applyFont="1" applyFill="1" applyBorder="1" applyAlignment="1">
      <alignment horizontal="right" vertical="center"/>
    </xf>
    <xf numFmtId="164" fontId="2299" fillId="2301" borderId="2246" xfId="0" applyNumberFormat="1" applyFont="1" applyFill="1" applyBorder="1" applyAlignment="1">
      <alignment horizontal="right" vertical="center"/>
    </xf>
    <xf numFmtId="164" fontId="2300" fillId="2302" borderId="2247" xfId="0" applyNumberFormat="1" applyFont="1" applyFill="1" applyBorder="1" applyAlignment="1">
      <alignment horizontal="right" vertical="center"/>
    </xf>
    <xf numFmtId="3" fontId="2301" fillId="2303" borderId="2248" xfId="0" applyNumberFormat="1" applyFont="1" applyFill="1" applyBorder="1" applyAlignment="1">
      <alignment horizontal="right" vertical="center"/>
    </xf>
    <xf numFmtId="2" fontId="2302" fillId="2304" borderId="2249" xfId="0" applyNumberFormat="1" applyFont="1" applyFill="1" applyBorder="1" applyAlignment="1">
      <alignment horizontal="right" vertical="center"/>
    </xf>
    <xf numFmtId="2" fontId="2303" fillId="2305" borderId="2250" xfId="0" applyNumberFormat="1" applyFont="1" applyFill="1" applyBorder="1" applyAlignment="1">
      <alignment horizontal="right" vertical="center"/>
    </xf>
    <xf numFmtId="0" fontId="2304" fillId="2306" borderId="2251" xfId="0" applyFont="1" applyFill="1" applyBorder="1" applyAlignment="1">
      <alignment horizontal="center" vertical="center"/>
    </xf>
    <xf numFmtId="0" fontId="2305" fillId="2307" borderId="2252" xfId="0" applyFont="1" applyFill="1" applyBorder="1"/>
    <xf numFmtId="0" fontId="2306" fillId="2308" borderId="2253" xfId="0" applyFont="1" applyFill="1" applyBorder="1" applyAlignment="1">
      <alignment horizontal="center" vertical="center"/>
    </xf>
    <xf numFmtId="0" fontId="2307" fillId="2309" borderId="2254" xfId="0" applyFont="1" applyFill="1" applyBorder="1" applyAlignment="1">
      <alignment horizontal="left" vertical="center"/>
    </xf>
    <xf numFmtId="3" fontId="2308" fillId="2310" borderId="2255" xfId="0" applyNumberFormat="1" applyFont="1" applyFill="1" applyBorder="1" applyAlignment="1">
      <alignment horizontal="right" vertical="center"/>
    </xf>
    <xf numFmtId="3" fontId="2309" fillId="2311" borderId="2256" xfId="0" applyNumberFormat="1" applyFont="1" applyFill="1" applyBorder="1" applyAlignment="1">
      <alignment horizontal="right" vertical="center"/>
    </xf>
    <xf numFmtId="164" fontId="2310" fillId="2312" borderId="2257" xfId="0" applyNumberFormat="1" applyFont="1" applyFill="1" applyBorder="1" applyAlignment="1">
      <alignment horizontal="right" vertical="center"/>
    </xf>
    <xf numFmtId="164" fontId="2311" fillId="2313" borderId="2258" xfId="0" applyNumberFormat="1" applyFont="1" applyFill="1" applyBorder="1" applyAlignment="1">
      <alignment horizontal="right" vertical="center"/>
    </xf>
    <xf numFmtId="3" fontId="2312" fillId="2314" borderId="2259" xfId="0" applyNumberFormat="1" applyFont="1" applyFill="1" applyBorder="1" applyAlignment="1">
      <alignment horizontal="right" vertical="center"/>
    </xf>
    <xf numFmtId="2" fontId="2313" fillId="2315" borderId="2260" xfId="0" applyNumberFormat="1" applyFont="1" applyFill="1" applyBorder="1" applyAlignment="1">
      <alignment horizontal="right" vertical="center"/>
    </xf>
    <xf numFmtId="2" fontId="2314" fillId="2316" borderId="2261" xfId="0" applyNumberFormat="1" applyFont="1" applyFill="1" applyBorder="1" applyAlignment="1">
      <alignment horizontal="right" vertical="center"/>
    </xf>
    <xf numFmtId="0" fontId="2315" fillId="2317" borderId="2262" xfId="0" applyFont="1" applyFill="1" applyBorder="1" applyAlignment="1">
      <alignment horizontal="center" vertical="center"/>
    </xf>
    <xf numFmtId="0" fontId="2316" fillId="2318" borderId="2263" xfId="0" applyFont="1" applyFill="1" applyBorder="1"/>
    <xf numFmtId="0" fontId="2317" fillId="2319" borderId="2264" xfId="0" applyFont="1" applyFill="1" applyBorder="1" applyAlignment="1">
      <alignment horizontal="center" vertical="center"/>
    </xf>
    <xf numFmtId="0" fontId="2318" fillId="2320" borderId="2265" xfId="0" applyFont="1" applyFill="1" applyBorder="1" applyAlignment="1">
      <alignment horizontal="left" vertical="center"/>
    </xf>
    <xf numFmtId="3" fontId="2319" fillId="2321" borderId="2266" xfId="0" applyNumberFormat="1" applyFont="1" applyFill="1" applyBorder="1" applyAlignment="1">
      <alignment horizontal="right" vertical="center"/>
    </xf>
    <xf numFmtId="3" fontId="2320" fillId="2322" borderId="2267" xfId="0" applyNumberFormat="1" applyFont="1" applyFill="1" applyBorder="1" applyAlignment="1">
      <alignment horizontal="right" vertical="center"/>
    </xf>
    <xf numFmtId="164" fontId="2321" fillId="2323" borderId="2268" xfId="0" applyNumberFormat="1" applyFont="1" applyFill="1" applyBorder="1" applyAlignment="1">
      <alignment horizontal="right" vertical="center"/>
    </xf>
    <xf numFmtId="164" fontId="2322" fillId="2324" borderId="2269" xfId="0" applyNumberFormat="1" applyFont="1" applyFill="1" applyBorder="1" applyAlignment="1">
      <alignment horizontal="right" vertical="center"/>
    </xf>
    <xf numFmtId="3" fontId="2323" fillId="2325" borderId="2270" xfId="0" applyNumberFormat="1" applyFont="1" applyFill="1" applyBorder="1" applyAlignment="1">
      <alignment horizontal="right" vertical="center"/>
    </xf>
    <xf numFmtId="2" fontId="2324" fillId="2326" borderId="2271" xfId="0" applyNumberFormat="1" applyFont="1" applyFill="1" applyBorder="1" applyAlignment="1">
      <alignment horizontal="right" vertical="center"/>
    </xf>
    <xf numFmtId="2" fontId="2325" fillId="2327" borderId="2272" xfId="0" applyNumberFormat="1" applyFont="1" applyFill="1" applyBorder="1" applyAlignment="1">
      <alignment horizontal="right" vertical="center"/>
    </xf>
    <xf numFmtId="0" fontId="2326" fillId="2328" borderId="2273" xfId="0" applyFont="1" applyFill="1" applyBorder="1" applyAlignment="1">
      <alignment horizontal="center" vertical="center"/>
    </xf>
    <xf numFmtId="0" fontId="2327" fillId="2329" borderId="2274" xfId="0" applyFont="1" applyFill="1" applyBorder="1"/>
    <xf numFmtId="0" fontId="2328" fillId="2330" borderId="2275" xfId="0" applyFont="1" applyFill="1" applyBorder="1" applyAlignment="1">
      <alignment horizontal="center" vertical="center"/>
    </xf>
    <xf numFmtId="0" fontId="2329" fillId="2331" borderId="2276" xfId="0" applyFont="1" applyFill="1" applyBorder="1" applyAlignment="1">
      <alignment horizontal="left" vertical="center"/>
    </xf>
    <xf numFmtId="3" fontId="2330" fillId="2332" borderId="2277" xfId="0" applyNumberFormat="1" applyFont="1" applyFill="1" applyBorder="1" applyAlignment="1">
      <alignment horizontal="right" vertical="center"/>
    </xf>
    <xf numFmtId="3" fontId="2331" fillId="2333" borderId="2278" xfId="0" applyNumberFormat="1" applyFont="1" applyFill="1" applyBorder="1" applyAlignment="1">
      <alignment horizontal="right" vertical="center"/>
    </xf>
    <xf numFmtId="164" fontId="2332" fillId="2334" borderId="2279" xfId="0" applyNumberFormat="1" applyFont="1" applyFill="1" applyBorder="1" applyAlignment="1">
      <alignment horizontal="right" vertical="center"/>
    </xf>
    <xf numFmtId="164" fontId="2333" fillId="2335" borderId="2280" xfId="0" applyNumberFormat="1" applyFont="1" applyFill="1" applyBorder="1" applyAlignment="1">
      <alignment horizontal="right" vertical="center"/>
    </xf>
    <xf numFmtId="3" fontId="2334" fillId="2336" borderId="2281" xfId="0" applyNumberFormat="1" applyFont="1" applyFill="1" applyBorder="1" applyAlignment="1">
      <alignment horizontal="right" vertical="center"/>
    </xf>
    <xf numFmtId="2" fontId="2335" fillId="2337" borderId="2282" xfId="0" applyNumberFormat="1" applyFont="1" applyFill="1" applyBorder="1" applyAlignment="1">
      <alignment horizontal="right" vertical="center"/>
    </xf>
    <xf numFmtId="2" fontId="2336" fillId="2338" borderId="2283" xfId="0" applyNumberFormat="1" applyFont="1" applyFill="1" applyBorder="1" applyAlignment="1">
      <alignment horizontal="right" vertical="center"/>
    </xf>
    <xf numFmtId="0" fontId="2337" fillId="2339" borderId="2284" xfId="0" applyFont="1" applyFill="1" applyBorder="1" applyAlignment="1">
      <alignment horizontal="center" vertical="center"/>
    </xf>
    <xf numFmtId="0" fontId="2338" fillId="2340" borderId="2285" xfId="0" applyFont="1" applyFill="1" applyBorder="1"/>
    <xf numFmtId="0" fontId="2339" fillId="2341" borderId="2286" xfId="0" applyFont="1" applyFill="1" applyBorder="1" applyAlignment="1">
      <alignment horizontal="center" vertical="center"/>
    </xf>
    <xf numFmtId="0" fontId="2340" fillId="2342" borderId="2287" xfId="0" applyFont="1" applyFill="1" applyBorder="1" applyAlignment="1">
      <alignment horizontal="left" vertical="center"/>
    </xf>
    <xf numFmtId="3" fontId="2341" fillId="2343" borderId="2288" xfId="0" applyNumberFormat="1" applyFont="1" applyFill="1" applyBorder="1" applyAlignment="1">
      <alignment horizontal="right" vertical="center"/>
    </xf>
    <xf numFmtId="3" fontId="2342" fillId="2344" borderId="2289" xfId="0" applyNumberFormat="1" applyFont="1" applyFill="1" applyBorder="1" applyAlignment="1">
      <alignment horizontal="right" vertical="center"/>
    </xf>
    <xf numFmtId="164" fontId="2343" fillId="2345" borderId="2290" xfId="0" applyNumberFormat="1" applyFont="1" applyFill="1" applyBorder="1" applyAlignment="1">
      <alignment horizontal="right" vertical="center"/>
    </xf>
    <xf numFmtId="164" fontId="2344" fillId="2346" borderId="2291" xfId="0" applyNumberFormat="1" applyFont="1" applyFill="1" applyBorder="1" applyAlignment="1">
      <alignment horizontal="right" vertical="center"/>
    </xf>
    <xf numFmtId="3" fontId="2345" fillId="2347" borderId="2292" xfId="0" applyNumberFormat="1" applyFont="1" applyFill="1" applyBorder="1" applyAlignment="1">
      <alignment horizontal="right" vertical="center"/>
    </xf>
    <xf numFmtId="2" fontId="2346" fillId="2348" borderId="2293" xfId="0" applyNumberFormat="1" applyFont="1" applyFill="1" applyBorder="1" applyAlignment="1">
      <alignment horizontal="right" vertical="center"/>
    </xf>
    <xf numFmtId="2" fontId="2347" fillId="2349" borderId="2294" xfId="0" applyNumberFormat="1" applyFont="1" applyFill="1" applyBorder="1" applyAlignment="1">
      <alignment horizontal="right" vertical="center"/>
    </xf>
    <xf numFmtId="0" fontId="2348" fillId="2350" borderId="2295" xfId="0" applyFont="1" applyFill="1" applyBorder="1" applyAlignment="1">
      <alignment horizontal="center" vertical="center"/>
    </xf>
    <xf numFmtId="0" fontId="2349" fillId="2351" borderId="2296" xfId="0" applyFont="1" applyFill="1" applyBorder="1"/>
    <xf numFmtId="0" fontId="2350" fillId="2352" borderId="2297" xfId="0" applyFont="1" applyFill="1" applyBorder="1" applyAlignment="1">
      <alignment horizontal="center" vertical="center"/>
    </xf>
    <xf numFmtId="0" fontId="2351" fillId="2353" borderId="2298" xfId="0" applyFont="1" applyFill="1" applyBorder="1" applyAlignment="1">
      <alignment horizontal="left" vertical="center"/>
    </xf>
    <xf numFmtId="3" fontId="2352" fillId="2354" borderId="2299" xfId="0" applyNumberFormat="1" applyFont="1" applyFill="1" applyBorder="1" applyAlignment="1">
      <alignment horizontal="right" vertical="center"/>
    </xf>
    <xf numFmtId="3" fontId="2353" fillId="2355" borderId="2300" xfId="0" applyNumberFormat="1" applyFont="1" applyFill="1" applyBorder="1" applyAlignment="1">
      <alignment horizontal="right" vertical="center"/>
    </xf>
    <xf numFmtId="164" fontId="2354" fillId="2356" borderId="2301" xfId="0" applyNumberFormat="1" applyFont="1" applyFill="1" applyBorder="1" applyAlignment="1">
      <alignment horizontal="right" vertical="center"/>
    </xf>
    <xf numFmtId="164" fontId="2355" fillId="2357" borderId="2302" xfId="0" applyNumberFormat="1" applyFont="1" applyFill="1" applyBorder="1" applyAlignment="1">
      <alignment horizontal="right" vertical="center"/>
    </xf>
    <xf numFmtId="3" fontId="2356" fillId="2358" borderId="2303" xfId="0" applyNumberFormat="1" applyFont="1" applyFill="1" applyBorder="1" applyAlignment="1">
      <alignment horizontal="right" vertical="center"/>
    </xf>
    <xf numFmtId="2" fontId="2357" fillId="2359" borderId="2304" xfId="0" applyNumberFormat="1" applyFont="1" applyFill="1" applyBorder="1" applyAlignment="1">
      <alignment horizontal="right" vertical="center"/>
    </xf>
    <xf numFmtId="2" fontId="2358" fillId="2360" borderId="2305" xfId="0" applyNumberFormat="1" applyFont="1" applyFill="1" applyBorder="1" applyAlignment="1">
      <alignment horizontal="right" vertical="center"/>
    </xf>
    <xf numFmtId="0" fontId="2359" fillId="2361" borderId="2306" xfId="0" applyFont="1" applyFill="1" applyBorder="1" applyAlignment="1">
      <alignment horizontal="center" vertical="center"/>
    </xf>
    <xf numFmtId="0" fontId="2360" fillId="2362" borderId="2307" xfId="0" applyFont="1" applyFill="1" applyBorder="1"/>
    <xf numFmtId="0" fontId="2361" fillId="2363" borderId="2308" xfId="0" applyFont="1" applyFill="1" applyBorder="1" applyAlignment="1">
      <alignment horizontal="center" vertical="center"/>
    </xf>
    <xf numFmtId="0" fontId="2362" fillId="2364" borderId="2309" xfId="0" applyFont="1" applyFill="1" applyBorder="1" applyAlignment="1">
      <alignment horizontal="left" vertical="center"/>
    </xf>
    <xf numFmtId="3" fontId="2363" fillId="2365" borderId="2310" xfId="0" applyNumberFormat="1" applyFont="1" applyFill="1" applyBorder="1" applyAlignment="1">
      <alignment horizontal="right" vertical="center"/>
    </xf>
    <xf numFmtId="3" fontId="2364" fillId="2366" borderId="2311" xfId="0" applyNumberFormat="1" applyFont="1" applyFill="1" applyBorder="1" applyAlignment="1">
      <alignment horizontal="right" vertical="center"/>
    </xf>
    <xf numFmtId="164" fontId="2365" fillId="2367" borderId="2312" xfId="0" applyNumberFormat="1" applyFont="1" applyFill="1" applyBorder="1" applyAlignment="1">
      <alignment horizontal="right" vertical="center"/>
    </xf>
    <xf numFmtId="164" fontId="2366" fillId="2368" borderId="2313" xfId="0" applyNumberFormat="1" applyFont="1" applyFill="1" applyBorder="1" applyAlignment="1">
      <alignment horizontal="right" vertical="center"/>
    </xf>
    <xf numFmtId="3" fontId="2367" fillId="2369" borderId="2314" xfId="0" applyNumberFormat="1" applyFont="1" applyFill="1" applyBorder="1" applyAlignment="1">
      <alignment horizontal="right" vertical="center"/>
    </xf>
    <xf numFmtId="2" fontId="2368" fillId="2370" borderId="2315" xfId="0" applyNumberFormat="1" applyFont="1" applyFill="1" applyBorder="1" applyAlignment="1">
      <alignment horizontal="right" vertical="center"/>
    </xf>
    <xf numFmtId="2" fontId="2369" fillId="2371" borderId="2316" xfId="0" applyNumberFormat="1" applyFont="1" applyFill="1" applyBorder="1" applyAlignment="1">
      <alignment horizontal="right" vertical="center"/>
    </xf>
    <xf numFmtId="0" fontId="2370" fillId="2372" borderId="2317" xfId="0" applyFont="1" applyFill="1" applyBorder="1" applyAlignment="1">
      <alignment horizontal="center" vertical="center"/>
    </xf>
    <xf numFmtId="0" fontId="2371" fillId="2373" borderId="2318" xfId="0" applyFont="1" applyFill="1" applyBorder="1"/>
    <xf numFmtId="0" fontId="2372" fillId="2374" borderId="2319" xfId="0" applyFont="1" applyFill="1" applyBorder="1" applyAlignment="1">
      <alignment horizontal="center" vertical="center"/>
    </xf>
    <xf numFmtId="0" fontId="2373" fillId="2375" borderId="2320" xfId="0" applyFont="1" applyFill="1" applyBorder="1" applyAlignment="1">
      <alignment horizontal="left" vertical="center"/>
    </xf>
    <xf numFmtId="3" fontId="2374" fillId="2376" borderId="2321" xfId="0" applyNumberFormat="1" applyFont="1" applyFill="1" applyBorder="1" applyAlignment="1">
      <alignment horizontal="right" vertical="center"/>
    </xf>
    <xf numFmtId="3" fontId="2375" fillId="2377" borderId="2322" xfId="0" applyNumberFormat="1" applyFont="1" applyFill="1" applyBorder="1" applyAlignment="1">
      <alignment horizontal="right" vertical="center"/>
    </xf>
    <xf numFmtId="164" fontId="2376" fillId="2378" borderId="2323" xfId="0" applyNumberFormat="1" applyFont="1" applyFill="1" applyBorder="1" applyAlignment="1">
      <alignment horizontal="right" vertical="center"/>
    </xf>
    <xf numFmtId="164" fontId="2377" fillId="2379" borderId="2324" xfId="0" applyNumberFormat="1" applyFont="1" applyFill="1" applyBorder="1" applyAlignment="1">
      <alignment horizontal="right" vertical="center"/>
    </xf>
    <xf numFmtId="3" fontId="2378" fillId="2380" borderId="2325" xfId="0" applyNumberFormat="1" applyFont="1" applyFill="1" applyBorder="1" applyAlignment="1">
      <alignment horizontal="right" vertical="center"/>
    </xf>
    <xf numFmtId="2" fontId="2379" fillId="2381" borderId="2326" xfId="0" applyNumberFormat="1" applyFont="1" applyFill="1" applyBorder="1" applyAlignment="1">
      <alignment horizontal="right" vertical="center"/>
    </xf>
    <xf numFmtId="2" fontId="2380" fillId="2382" borderId="2327" xfId="0" applyNumberFormat="1" applyFont="1" applyFill="1" applyBorder="1" applyAlignment="1">
      <alignment horizontal="right" vertical="center"/>
    </xf>
    <xf numFmtId="0" fontId="2381" fillId="2383" borderId="2328" xfId="0" applyFont="1" applyFill="1" applyBorder="1" applyAlignment="1">
      <alignment horizontal="center" vertical="center"/>
    </xf>
    <xf numFmtId="0" fontId="2382" fillId="2384" borderId="2329" xfId="0" applyFont="1" applyFill="1" applyBorder="1"/>
    <xf numFmtId="3" fontId="2385" fillId="2387" borderId="2332" xfId="0" applyNumberFormat="1" applyFont="1" applyFill="1" applyBorder="1" applyAlignment="1">
      <alignment horizontal="right" vertical="center"/>
    </xf>
    <xf numFmtId="3" fontId="2386" fillId="2388" borderId="2333" xfId="0" applyNumberFormat="1" applyFont="1" applyFill="1" applyBorder="1" applyAlignment="1">
      <alignment horizontal="right" vertical="center"/>
    </xf>
    <xf numFmtId="164" fontId="2387" fillId="2389" borderId="2334" xfId="0" applyNumberFormat="1" applyFont="1" applyFill="1" applyBorder="1" applyAlignment="1">
      <alignment horizontal="right" vertical="center"/>
    </xf>
    <xf numFmtId="164" fontId="2388" fillId="2390" borderId="2335" xfId="0" applyNumberFormat="1" applyFont="1" applyFill="1" applyBorder="1" applyAlignment="1">
      <alignment horizontal="right" vertical="center"/>
    </xf>
    <xf numFmtId="0" fontId="2389" fillId="2391" borderId="2336" xfId="0" applyFont="1" applyFill="1" applyBorder="1" applyAlignment="1">
      <alignment horizontal="center" vertical="center"/>
    </xf>
    <xf numFmtId="0" fontId="2390" fillId="2392" borderId="2337" xfId="0" applyFont="1" applyFill="1" applyBorder="1" applyAlignment="1">
      <alignment horizontal="center" vertical="center"/>
    </xf>
    <xf numFmtId="0" fontId="2391" fillId="2393" borderId="2338" xfId="0" applyFont="1" applyFill="1" applyBorder="1" applyAlignment="1">
      <alignment horizontal="center" vertical="center"/>
    </xf>
    <xf numFmtId="0" fontId="2392" fillId="2394" borderId="2339" xfId="0" applyFont="1" applyFill="1" applyBorder="1" applyAlignment="1">
      <alignment horizontal="center" vertical="center"/>
    </xf>
    <xf numFmtId="0" fontId="2393" fillId="2395" borderId="2340" xfId="0" applyFont="1" applyFill="1" applyBorder="1"/>
    <xf numFmtId="3" fontId="659" fillId="661" borderId="2350" xfId="0" applyNumberFormat="1" applyFont="1" applyFill="1" applyBorder="1" applyAlignment="1">
      <alignment horizontal="right" vertical="center"/>
    </xf>
    <xf numFmtId="3" fontId="700" fillId="702" borderId="2350" xfId="0" applyNumberFormat="1" applyFont="1" applyFill="1" applyBorder="1" applyAlignment="1">
      <alignment horizontal="right" vertical="center"/>
    </xf>
    <xf numFmtId="0" fontId="0" fillId="0" borderId="2085" xfId="0" applyBorder="1"/>
    <xf numFmtId="3" fontId="659" fillId="661" borderId="2085" xfId="0" applyNumberFormat="1" applyFont="1" applyFill="1" applyBorder="1" applyAlignment="1">
      <alignment horizontal="right" vertical="center"/>
    </xf>
    <xf numFmtId="3" fontId="660" fillId="662" borderId="2085" xfId="0" applyNumberFormat="1" applyFont="1" applyFill="1" applyBorder="1" applyAlignment="1">
      <alignment horizontal="right" vertical="center"/>
    </xf>
    <xf numFmtId="3" fontId="661" fillId="663" borderId="2085" xfId="0" applyNumberFormat="1" applyFont="1" applyFill="1" applyBorder="1" applyAlignment="1">
      <alignment horizontal="right" vertical="center"/>
    </xf>
    <xf numFmtId="3" fontId="662" fillId="664" borderId="2085" xfId="0" applyNumberFormat="1" applyFont="1" applyFill="1" applyBorder="1" applyAlignment="1">
      <alignment horizontal="right" vertical="center"/>
    </xf>
    <xf numFmtId="3" fontId="663" fillId="665" borderId="2085" xfId="0" applyNumberFormat="1" applyFont="1" applyFill="1" applyBorder="1" applyAlignment="1">
      <alignment horizontal="right" vertical="center"/>
    </xf>
    <xf numFmtId="3" fontId="664" fillId="666" borderId="2085" xfId="0" applyNumberFormat="1" applyFont="1" applyFill="1" applyBorder="1" applyAlignment="1">
      <alignment horizontal="right" vertical="center"/>
    </xf>
    <xf numFmtId="3" fontId="665" fillId="667" borderId="2085" xfId="0" applyNumberFormat="1" applyFont="1" applyFill="1" applyBorder="1" applyAlignment="1">
      <alignment horizontal="right" vertical="center"/>
    </xf>
    <xf numFmtId="3" fontId="666" fillId="668" borderId="2085" xfId="0" applyNumberFormat="1" applyFont="1" applyFill="1" applyBorder="1" applyAlignment="1">
      <alignment horizontal="right" vertical="center"/>
    </xf>
    <xf numFmtId="3" fontId="668" fillId="670" borderId="2085" xfId="0" applyNumberFormat="1" applyFont="1" applyFill="1" applyBorder="1" applyAlignment="1">
      <alignment horizontal="right" vertical="center"/>
    </xf>
    <xf numFmtId="3" fontId="669" fillId="671" borderId="2085" xfId="0" applyNumberFormat="1" applyFont="1" applyFill="1" applyBorder="1" applyAlignment="1">
      <alignment horizontal="right" vertical="center"/>
    </xf>
    <xf numFmtId="3" fontId="670" fillId="672" borderId="2085" xfId="0" applyNumberFormat="1" applyFont="1" applyFill="1" applyBorder="1" applyAlignment="1">
      <alignment horizontal="right" vertical="center"/>
    </xf>
    <xf numFmtId="3" fontId="671" fillId="673" borderId="2085" xfId="0" applyNumberFormat="1" applyFont="1" applyFill="1" applyBorder="1" applyAlignment="1">
      <alignment horizontal="right" vertical="center"/>
    </xf>
    <xf numFmtId="3" fontId="672" fillId="674" borderId="2085" xfId="0" applyNumberFormat="1" applyFont="1" applyFill="1" applyBorder="1" applyAlignment="1">
      <alignment horizontal="right" vertical="center"/>
    </xf>
    <xf numFmtId="3" fontId="673" fillId="675" borderId="2085" xfId="0" applyNumberFormat="1" applyFont="1" applyFill="1" applyBorder="1" applyAlignment="1">
      <alignment horizontal="right" vertical="center"/>
    </xf>
    <xf numFmtId="3" fontId="674" fillId="676" borderId="2085" xfId="0" applyNumberFormat="1" applyFont="1" applyFill="1" applyBorder="1" applyAlignment="1">
      <alignment horizontal="right" vertical="center"/>
    </xf>
    <xf numFmtId="3" fontId="676" fillId="678" borderId="2085" xfId="0" applyNumberFormat="1" applyFont="1" applyFill="1" applyBorder="1" applyAlignment="1">
      <alignment horizontal="right" vertical="center"/>
    </xf>
    <xf numFmtId="3" fontId="677" fillId="679" borderId="2085" xfId="0" applyNumberFormat="1" applyFont="1" applyFill="1" applyBorder="1" applyAlignment="1">
      <alignment horizontal="right" vertical="center"/>
    </xf>
    <xf numFmtId="3" fontId="678" fillId="680" borderId="2085" xfId="0" applyNumberFormat="1" applyFont="1" applyFill="1" applyBorder="1" applyAlignment="1">
      <alignment horizontal="right" vertical="center"/>
    </xf>
    <xf numFmtId="3" fontId="679" fillId="681" borderId="2085" xfId="0" applyNumberFormat="1" applyFont="1" applyFill="1" applyBorder="1" applyAlignment="1">
      <alignment horizontal="right" vertical="center"/>
    </xf>
    <xf numFmtId="3" fontId="680" fillId="682" borderId="2085" xfId="0" applyNumberFormat="1" applyFont="1" applyFill="1" applyBorder="1" applyAlignment="1">
      <alignment horizontal="right" vertical="center"/>
    </xf>
    <xf numFmtId="3" fontId="681" fillId="683" borderId="2085" xfId="0" applyNumberFormat="1" applyFont="1" applyFill="1" applyBorder="1" applyAlignment="1">
      <alignment horizontal="right" vertical="center"/>
    </xf>
    <xf numFmtId="3" fontId="682" fillId="684" borderId="2085" xfId="0" applyNumberFormat="1" applyFont="1" applyFill="1" applyBorder="1" applyAlignment="1">
      <alignment horizontal="right" vertical="center"/>
    </xf>
    <xf numFmtId="3" fontId="684" fillId="686" borderId="2085" xfId="0" applyNumberFormat="1" applyFont="1" applyFill="1" applyBorder="1" applyAlignment="1">
      <alignment horizontal="right" vertical="center"/>
    </xf>
    <xf numFmtId="3" fontId="685" fillId="687" borderId="2085" xfId="0" applyNumberFormat="1" applyFont="1" applyFill="1" applyBorder="1" applyAlignment="1">
      <alignment horizontal="right" vertical="center"/>
    </xf>
    <xf numFmtId="3" fontId="686" fillId="688" borderId="2085" xfId="0" applyNumberFormat="1" applyFont="1" applyFill="1" applyBorder="1" applyAlignment="1">
      <alignment horizontal="right" vertical="center"/>
    </xf>
    <xf numFmtId="3" fontId="687" fillId="689" borderId="2085" xfId="0" applyNumberFormat="1" applyFont="1" applyFill="1" applyBorder="1" applyAlignment="1">
      <alignment horizontal="right" vertical="center"/>
    </xf>
    <xf numFmtId="3" fontId="688" fillId="690" borderId="2085" xfId="0" applyNumberFormat="1" applyFont="1" applyFill="1" applyBorder="1" applyAlignment="1">
      <alignment horizontal="right" vertical="center"/>
    </xf>
    <xf numFmtId="3" fontId="689" fillId="691" borderId="2085" xfId="0" applyNumberFormat="1" applyFont="1" applyFill="1" applyBorder="1" applyAlignment="1">
      <alignment horizontal="right" vertical="center"/>
    </xf>
    <xf numFmtId="3" fontId="690" fillId="692" borderId="2085" xfId="0" applyNumberFormat="1" applyFont="1" applyFill="1" applyBorder="1" applyAlignment="1">
      <alignment horizontal="right" vertical="center"/>
    </xf>
    <xf numFmtId="3" fontId="692" fillId="694" borderId="2085" xfId="0" applyNumberFormat="1" applyFont="1" applyFill="1" applyBorder="1" applyAlignment="1">
      <alignment horizontal="right" vertical="center"/>
    </xf>
    <xf numFmtId="3" fontId="693" fillId="695" borderId="2085" xfId="0" applyNumberFormat="1" applyFont="1" applyFill="1" applyBorder="1" applyAlignment="1">
      <alignment horizontal="right" vertical="center"/>
    </xf>
    <xf numFmtId="3" fontId="694" fillId="696" borderId="2085" xfId="0" applyNumberFormat="1" applyFont="1" applyFill="1" applyBorder="1" applyAlignment="1">
      <alignment horizontal="right" vertical="center"/>
    </xf>
    <xf numFmtId="3" fontId="695" fillId="697" borderId="2085" xfId="0" applyNumberFormat="1" applyFont="1" applyFill="1" applyBorder="1" applyAlignment="1">
      <alignment horizontal="right" vertical="center"/>
    </xf>
    <xf numFmtId="3" fontId="696" fillId="698" borderId="2085" xfId="0" applyNumberFormat="1" applyFont="1" applyFill="1" applyBorder="1" applyAlignment="1">
      <alignment horizontal="right" vertical="center"/>
    </xf>
    <xf numFmtId="3" fontId="697" fillId="699" borderId="2085" xfId="0" applyNumberFormat="1" applyFont="1" applyFill="1" applyBorder="1" applyAlignment="1">
      <alignment horizontal="right" vertical="center"/>
    </xf>
    <xf numFmtId="3" fontId="698" fillId="700" borderId="2085" xfId="0" applyNumberFormat="1" applyFont="1" applyFill="1" applyBorder="1" applyAlignment="1">
      <alignment horizontal="right" vertical="center"/>
    </xf>
    <xf numFmtId="3" fontId="700" fillId="702" borderId="2085" xfId="0" applyNumberFormat="1" applyFont="1" applyFill="1" applyBorder="1" applyAlignment="1">
      <alignment horizontal="right" vertical="center"/>
    </xf>
    <xf numFmtId="0" fontId="652" fillId="653" borderId="2085" xfId="0" applyFont="1" applyFill="1" applyBorder="1" applyAlignment="1">
      <alignment vertical="center"/>
    </xf>
    <xf numFmtId="3" fontId="6" fillId="2405" borderId="2353" xfId="0" applyNumberFormat="1" applyFont="1" applyFill="1" applyBorder="1" applyAlignment="1">
      <alignment horizontal="right" vertical="center"/>
    </xf>
    <xf numFmtId="2" fontId="2403" fillId="2406" borderId="2354" xfId="0" applyNumberFormat="1" applyFont="1" applyFill="1" applyBorder="1" applyAlignment="1">
      <alignment horizontal="center"/>
    </xf>
    <xf numFmtId="2" fontId="2404" fillId="2407" borderId="2355" xfId="0" applyNumberFormat="1" applyFont="1" applyFill="1" applyBorder="1" applyAlignment="1">
      <alignment horizontal="center"/>
    </xf>
    <xf numFmtId="2" fontId="2405" fillId="2408" borderId="2356" xfId="0" applyNumberFormat="1" applyFont="1" applyFill="1" applyBorder="1" applyAlignment="1">
      <alignment horizontal="center"/>
    </xf>
    <xf numFmtId="2" fontId="2406" fillId="2409" borderId="2357" xfId="0" applyNumberFormat="1" applyFont="1" applyFill="1" applyBorder="1" applyAlignment="1">
      <alignment horizontal="center"/>
    </xf>
    <xf numFmtId="2" fontId="2407" fillId="2410" borderId="2358" xfId="0" applyNumberFormat="1" applyFont="1" applyFill="1" applyBorder="1" applyAlignment="1">
      <alignment horizontal="center"/>
    </xf>
    <xf numFmtId="2" fontId="2408" fillId="2411" borderId="2359" xfId="0" applyNumberFormat="1" applyFont="1" applyFill="1" applyBorder="1" applyAlignment="1">
      <alignment horizontal="center"/>
    </xf>
    <xf numFmtId="2" fontId="2409" fillId="2412" borderId="2360" xfId="0" applyNumberFormat="1" applyFont="1" applyFill="1" applyBorder="1" applyAlignment="1">
      <alignment horizontal="center"/>
    </xf>
    <xf numFmtId="2" fontId="2410" fillId="2413" borderId="2361" xfId="0" applyNumberFormat="1" applyFont="1" applyFill="1" applyBorder="1" applyAlignment="1">
      <alignment horizontal="center"/>
    </xf>
    <xf numFmtId="2" fontId="2411" fillId="2414" borderId="2362" xfId="0" applyNumberFormat="1" applyFont="1" applyFill="1" applyBorder="1" applyAlignment="1">
      <alignment horizontal="center"/>
    </xf>
    <xf numFmtId="2" fontId="2412" fillId="2415" borderId="2363" xfId="0" applyNumberFormat="1" applyFont="1" applyFill="1" applyBorder="1" applyAlignment="1">
      <alignment horizontal="center"/>
    </xf>
    <xf numFmtId="2" fontId="2413" fillId="2416" borderId="2364" xfId="0" applyNumberFormat="1" applyFont="1" applyFill="1" applyBorder="1" applyAlignment="1">
      <alignment horizontal="center"/>
    </xf>
    <xf numFmtId="2" fontId="2414" fillId="2417" borderId="2365" xfId="0" applyNumberFormat="1" applyFont="1" applyFill="1" applyBorder="1" applyAlignment="1">
      <alignment horizontal="center"/>
    </xf>
    <xf numFmtId="2" fontId="2415" fillId="2418" borderId="2366" xfId="0" applyNumberFormat="1" applyFont="1" applyFill="1" applyBorder="1" applyAlignment="1">
      <alignment horizontal="center"/>
    </xf>
    <xf numFmtId="2" fontId="2416" fillId="2419" borderId="2367" xfId="0" applyNumberFormat="1" applyFont="1" applyFill="1" applyBorder="1" applyAlignment="1">
      <alignment horizontal="center"/>
    </xf>
    <xf numFmtId="2" fontId="2417" fillId="2420" borderId="2368" xfId="0" applyNumberFormat="1" applyFont="1" applyFill="1" applyBorder="1" applyAlignment="1">
      <alignment horizontal="center"/>
    </xf>
    <xf numFmtId="2" fontId="2418" fillId="2421" borderId="2369" xfId="0" applyNumberFormat="1" applyFont="1" applyFill="1" applyBorder="1" applyAlignment="1">
      <alignment horizontal="center"/>
    </xf>
    <xf numFmtId="2" fontId="2419" fillId="2422" borderId="2370" xfId="0" applyNumberFormat="1" applyFont="1" applyFill="1" applyBorder="1" applyAlignment="1">
      <alignment horizontal="center"/>
    </xf>
    <xf numFmtId="2" fontId="2420" fillId="2423" borderId="2371" xfId="0" applyNumberFormat="1" applyFont="1" applyFill="1" applyBorder="1" applyAlignment="1">
      <alignment horizontal="center"/>
    </xf>
    <xf numFmtId="2" fontId="2421" fillId="2424" borderId="2372" xfId="0" applyNumberFormat="1" applyFont="1" applyFill="1" applyBorder="1" applyAlignment="1">
      <alignment horizontal="center"/>
    </xf>
    <xf numFmtId="2" fontId="2422" fillId="2425" borderId="2373" xfId="0" applyNumberFormat="1" applyFont="1" applyFill="1" applyBorder="1" applyAlignment="1">
      <alignment horizontal="center"/>
    </xf>
    <xf numFmtId="2" fontId="2423" fillId="2426" borderId="2374" xfId="0" applyNumberFormat="1" applyFont="1" applyFill="1" applyBorder="1" applyAlignment="1">
      <alignment horizontal="center"/>
    </xf>
    <xf numFmtId="2" fontId="2424" fillId="2427" borderId="2375" xfId="0" applyNumberFormat="1" applyFont="1" applyFill="1" applyBorder="1" applyAlignment="1">
      <alignment horizontal="center"/>
    </xf>
    <xf numFmtId="2" fontId="2425" fillId="2428" borderId="2376" xfId="0" applyNumberFormat="1" applyFont="1" applyFill="1" applyBorder="1" applyAlignment="1">
      <alignment horizontal="center"/>
    </xf>
    <xf numFmtId="2" fontId="2426" fillId="2429" borderId="2377" xfId="0" applyNumberFormat="1" applyFont="1" applyFill="1" applyBorder="1" applyAlignment="1">
      <alignment horizontal="center"/>
    </xf>
    <xf numFmtId="2" fontId="2427" fillId="2430" borderId="2378" xfId="0" applyNumberFormat="1" applyFont="1" applyFill="1" applyBorder="1" applyAlignment="1">
      <alignment horizontal="center"/>
    </xf>
    <xf numFmtId="2" fontId="2428" fillId="2431" borderId="2379" xfId="0" applyNumberFormat="1" applyFont="1" applyFill="1" applyBorder="1" applyAlignment="1">
      <alignment horizontal="center"/>
    </xf>
    <xf numFmtId="2" fontId="2429" fillId="2432" borderId="2380" xfId="0" applyNumberFormat="1" applyFont="1" applyFill="1" applyBorder="1" applyAlignment="1">
      <alignment horizontal="center"/>
    </xf>
    <xf numFmtId="2" fontId="2430" fillId="2433" borderId="2381" xfId="0" applyNumberFormat="1" applyFont="1" applyFill="1" applyBorder="1" applyAlignment="1">
      <alignment horizontal="center"/>
    </xf>
    <xf numFmtId="2" fontId="2431" fillId="2434" borderId="2382" xfId="0" applyNumberFormat="1" applyFont="1" applyFill="1" applyBorder="1" applyAlignment="1">
      <alignment horizontal="center"/>
    </xf>
    <xf numFmtId="2" fontId="2432" fillId="2435" borderId="2383" xfId="0" applyNumberFormat="1" applyFont="1" applyFill="1" applyBorder="1" applyAlignment="1">
      <alignment horizontal="center"/>
    </xf>
    <xf numFmtId="2" fontId="2433" fillId="2436" borderId="2384" xfId="0" applyNumberFormat="1" applyFont="1" applyFill="1" applyBorder="1" applyAlignment="1">
      <alignment horizontal="center"/>
    </xf>
    <xf numFmtId="2" fontId="2434" fillId="2437" borderId="2385" xfId="0" applyNumberFormat="1" applyFont="1" applyFill="1" applyBorder="1" applyAlignment="1">
      <alignment horizontal="center"/>
    </xf>
    <xf numFmtId="0" fontId="2439" fillId="2442" borderId="2390" xfId="0" applyFont="1" applyFill="1" applyBorder="1" applyAlignment="1">
      <alignment horizontal="center" vertical="center"/>
    </xf>
    <xf numFmtId="0" fontId="2440" fillId="2443" borderId="2391" xfId="0" applyFont="1" applyFill="1" applyBorder="1" applyAlignment="1">
      <alignment horizontal="center" vertical="center"/>
    </xf>
    <xf numFmtId="0" fontId="2441" fillId="2444" borderId="2392" xfId="0" applyFont="1" applyFill="1" applyBorder="1" applyAlignment="1">
      <alignment horizontal="center" vertical="center"/>
    </xf>
    <xf numFmtId="0" fontId="2442" fillId="2445" borderId="2393" xfId="0" applyFont="1" applyFill="1" applyBorder="1" applyAlignment="1">
      <alignment horizontal="center" vertical="center"/>
    </xf>
    <xf numFmtId="0" fontId="2443" fillId="2446" borderId="2394" xfId="0" applyFont="1" applyFill="1" applyBorder="1" applyAlignment="1">
      <alignment vertical="center"/>
    </xf>
    <xf numFmtId="0" fontId="2444" fillId="2447" borderId="2395" xfId="0" applyFont="1" applyFill="1" applyBorder="1" applyAlignment="1">
      <alignment vertical="center"/>
    </xf>
    <xf numFmtId="0" fontId="2445" fillId="2448" borderId="2396" xfId="0" applyFont="1" applyFill="1" applyBorder="1" applyAlignment="1">
      <alignment vertical="center"/>
    </xf>
    <xf numFmtId="0" fontId="2446" fillId="2449" borderId="2397" xfId="0" applyFont="1" applyFill="1" applyBorder="1" applyAlignment="1">
      <alignment vertical="center"/>
    </xf>
    <xf numFmtId="0" fontId="2447" fillId="2450" borderId="2398" xfId="0" applyFont="1" applyFill="1" applyBorder="1" applyAlignment="1">
      <alignment vertical="center"/>
    </xf>
    <xf numFmtId="0" fontId="2448" fillId="2451" borderId="2399" xfId="0" applyFont="1" applyFill="1" applyBorder="1" applyAlignment="1">
      <alignment vertical="center"/>
    </xf>
    <xf numFmtId="0" fontId="2449" fillId="2452" borderId="2400" xfId="0" applyFont="1" applyFill="1" applyBorder="1" applyAlignment="1">
      <alignment vertical="center"/>
    </xf>
    <xf numFmtId="0" fontId="2450" fillId="2453" borderId="2401" xfId="0" applyFont="1" applyFill="1" applyBorder="1" applyAlignment="1">
      <alignment vertical="center"/>
    </xf>
    <xf numFmtId="0" fontId="2451" fillId="2454" borderId="2402" xfId="0" applyFont="1" applyFill="1" applyBorder="1" applyAlignment="1">
      <alignment vertical="center"/>
    </xf>
    <xf numFmtId="0" fontId="2452" fillId="2455" borderId="2403" xfId="0" applyFont="1" applyFill="1" applyBorder="1" applyAlignment="1">
      <alignment vertical="center"/>
    </xf>
    <xf numFmtId="0" fontId="2453" fillId="2456" borderId="2404" xfId="0" applyFont="1" applyFill="1" applyBorder="1" applyAlignment="1">
      <alignment vertical="center"/>
    </xf>
    <xf numFmtId="0" fontId="2454" fillId="2457" borderId="2405" xfId="0" applyFont="1" applyFill="1" applyBorder="1" applyAlignment="1">
      <alignment vertical="center"/>
    </xf>
    <xf numFmtId="0" fontId="2455" fillId="2458" borderId="2406" xfId="0" applyFont="1" applyFill="1" applyBorder="1" applyAlignment="1">
      <alignment vertical="center"/>
    </xf>
    <xf numFmtId="0" fontId="2456" fillId="2459" borderId="2407" xfId="0" applyFont="1" applyFill="1" applyBorder="1" applyAlignment="1">
      <alignment vertical="center"/>
    </xf>
    <xf numFmtId="0" fontId="2457" fillId="2460" borderId="2408" xfId="0" applyFont="1" applyFill="1" applyBorder="1" applyAlignment="1">
      <alignment vertical="center"/>
    </xf>
    <xf numFmtId="0" fontId="2458" fillId="2461" borderId="2409" xfId="0" applyFont="1" applyFill="1" applyBorder="1" applyAlignment="1">
      <alignment vertical="center"/>
    </xf>
    <xf numFmtId="0" fontId="2459" fillId="2462" borderId="2410" xfId="0" applyFont="1" applyFill="1" applyBorder="1" applyAlignment="1">
      <alignment vertical="center"/>
    </xf>
    <xf numFmtId="0" fontId="2460" fillId="2463" borderId="2411" xfId="0" applyFont="1" applyFill="1" applyBorder="1" applyAlignment="1">
      <alignment vertical="center"/>
    </xf>
    <xf numFmtId="0" fontId="2461" fillId="2464" borderId="2412" xfId="0" applyFont="1" applyFill="1" applyBorder="1" applyAlignment="1">
      <alignment vertical="center"/>
    </xf>
    <xf numFmtId="0" fontId="2462" fillId="2465" borderId="2413" xfId="0" applyFont="1" applyFill="1" applyBorder="1" applyAlignment="1">
      <alignment vertical="center"/>
    </xf>
    <xf numFmtId="0" fontId="2463" fillId="2466" borderId="2414" xfId="0" applyFont="1" applyFill="1" applyBorder="1" applyAlignment="1">
      <alignment vertical="center"/>
    </xf>
    <xf numFmtId="0" fontId="2464" fillId="2467" borderId="2415" xfId="0" applyFont="1" applyFill="1" applyBorder="1" applyAlignment="1">
      <alignment vertical="center"/>
    </xf>
    <xf numFmtId="0" fontId="2465" fillId="2468" borderId="2416" xfId="0" applyFont="1" applyFill="1" applyBorder="1" applyAlignment="1">
      <alignment vertical="center"/>
    </xf>
    <xf numFmtId="0" fontId="2466" fillId="2469" borderId="2417" xfId="0" applyFont="1" applyFill="1" applyBorder="1" applyAlignment="1">
      <alignment vertical="center"/>
    </xf>
    <xf numFmtId="0" fontId="2467" fillId="2470" borderId="2418" xfId="0" applyFont="1" applyFill="1" applyBorder="1" applyAlignment="1">
      <alignment vertical="center"/>
    </xf>
    <xf numFmtId="0" fontId="2468" fillId="2471" borderId="2419" xfId="0" applyFont="1" applyFill="1" applyBorder="1" applyAlignment="1">
      <alignment vertical="center"/>
    </xf>
    <xf numFmtId="0" fontId="2469" fillId="2472" borderId="2420" xfId="0" applyFont="1" applyFill="1" applyBorder="1" applyAlignment="1">
      <alignment vertical="center"/>
    </xf>
    <xf numFmtId="0" fontId="2470" fillId="2473" borderId="2421" xfId="0" applyFont="1" applyFill="1" applyBorder="1" applyAlignment="1">
      <alignment vertical="center"/>
    </xf>
    <xf numFmtId="0" fontId="2471" fillId="2474" borderId="2422" xfId="0" applyFont="1" applyFill="1" applyBorder="1" applyAlignment="1">
      <alignment vertical="center"/>
    </xf>
    <xf numFmtId="0" fontId="2472" fillId="2475" borderId="2423" xfId="0" applyFont="1" applyFill="1" applyBorder="1" applyAlignment="1">
      <alignment vertical="center"/>
    </xf>
    <xf numFmtId="0" fontId="2473" fillId="2476" borderId="2424" xfId="0" applyFont="1" applyFill="1" applyBorder="1" applyAlignment="1">
      <alignment vertical="center"/>
    </xf>
    <xf numFmtId="0" fontId="2474" fillId="2477" borderId="2425" xfId="0" applyFont="1" applyFill="1" applyBorder="1" applyAlignment="1">
      <alignment vertical="center"/>
    </xf>
    <xf numFmtId="0" fontId="2475" fillId="2478" borderId="2426" xfId="0" applyFont="1" applyFill="1" applyBorder="1" applyAlignment="1">
      <alignment vertical="center"/>
    </xf>
    <xf numFmtId="0" fontId="2476" fillId="2479" borderId="2427" xfId="0" applyFont="1" applyFill="1" applyBorder="1" applyAlignment="1">
      <alignment vertical="center"/>
    </xf>
    <xf numFmtId="0" fontId="2477" fillId="2480" borderId="2428" xfId="0" applyFont="1" applyFill="1" applyBorder="1" applyAlignment="1">
      <alignment vertical="center"/>
    </xf>
    <xf numFmtId="0" fontId="2478" fillId="2481" borderId="2429" xfId="0" applyFont="1" applyFill="1" applyBorder="1" applyAlignment="1">
      <alignment vertical="center"/>
    </xf>
    <xf numFmtId="0" fontId="2479" fillId="2482" borderId="2430" xfId="0" applyFont="1" applyFill="1" applyBorder="1" applyAlignment="1">
      <alignment vertical="center"/>
    </xf>
    <xf numFmtId="0" fontId="2480" fillId="2483" borderId="2431" xfId="0" applyFont="1" applyFill="1" applyBorder="1" applyAlignment="1">
      <alignment vertical="center"/>
    </xf>
    <xf numFmtId="0" fontId="2481" fillId="2484" borderId="2432" xfId="0" applyFont="1" applyFill="1" applyBorder="1" applyAlignment="1">
      <alignment vertical="center"/>
    </xf>
    <xf numFmtId="0" fontId="2482" fillId="2485" borderId="2433" xfId="0" applyFont="1" applyFill="1" applyBorder="1" applyAlignment="1">
      <alignment vertical="center"/>
    </xf>
    <xf numFmtId="0" fontId="2483" fillId="2486" borderId="2434" xfId="0" applyFont="1" applyFill="1" applyBorder="1" applyAlignment="1">
      <alignment vertical="center"/>
    </xf>
    <xf numFmtId="0" fontId="2484" fillId="2487" borderId="2435" xfId="0" applyFont="1" applyFill="1" applyBorder="1" applyAlignment="1">
      <alignment vertical="center"/>
    </xf>
    <xf numFmtId="0" fontId="2485" fillId="2488" borderId="2436" xfId="0" applyFont="1" applyFill="1" applyBorder="1" applyAlignment="1">
      <alignment vertical="center"/>
    </xf>
    <xf numFmtId="0" fontId="2486" fillId="2489" borderId="2437" xfId="0" applyFont="1" applyFill="1" applyBorder="1" applyAlignment="1">
      <alignment vertical="center"/>
    </xf>
    <xf numFmtId="0" fontId="2487" fillId="2490" borderId="2438" xfId="0" applyFont="1" applyFill="1" applyBorder="1" applyAlignment="1">
      <alignment vertical="center"/>
    </xf>
    <xf numFmtId="0" fontId="2488" fillId="2491" borderId="2439" xfId="0" applyFont="1" applyFill="1" applyBorder="1" applyAlignment="1">
      <alignment vertical="center"/>
    </xf>
    <xf numFmtId="0" fontId="2489" fillId="2492" borderId="2440" xfId="0" applyFont="1" applyFill="1" applyBorder="1" applyAlignment="1">
      <alignment vertical="center"/>
    </xf>
    <xf numFmtId="0" fontId="2490" fillId="2493" borderId="2441" xfId="0" applyFont="1" applyFill="1" applyBorder="1" applyAlignment="1">
      <alignment vertical="center"/>
    </xf>
    <xf numFmtId="0" fontId="2491" fillId="2494" borderId="2442" xfId="0" applyFont="1" applyFill="1" applyBorder="1" applyAlignment="1">
      <alignment vertical="center"/>
    </xf>
    <xf numFmtId="0" fontId="2492" fillId="2495" borderId="2443" xfId="0" applyFont="1" applyFill="1" applyBorder="1" applyAlignment="1">
      <alignment vertical="center"/>
    </xf>
    <xf numFmtId="0" fontId="2493" fillId="2496" borderId="2444" xfId="0" applyFont="1" applyFill="1" applyBorder="1" applyAlignment="1">
      <alignment vertical="center"/>
    </xf>
    <xf numFmtId="0" fontId="2494" fillId="2497" borderId="2445" xfId="0" applyFont="1" applyFill="1" applyBorder="1" applyAlignment="1">
      <alignment vertical="center"/>
    </xf>
    <xf numFmtId="0" fontId="2495" fillId="2498" borderId="2446" xfId="0" applyFont="1" applyFill="1" applyBorder="1" applyAlignment="1">
      <alignment vertical="center"/>
    </xf>
    <xf numFmtId="0" fontId="2496" fillId="2499" borderId="2447" xfId="0" applyFont="1" applyFill="1" applyBorder="1" applyAlignment="1">
      <alignment vertical="center"/>
    </xf>
    <xf numFmtId="0" fontId="2497" fillId="2500" borderId="2448" xfId="0" applyFont="1" applyFill="1" applyBorder="1" applyAlignment="1">
      <alignment vertical="center"/>
    </xf>
    <xf numFmtId="0" fontId="2498" fillId="2501" borderId="2449" xfId="0" applyFont="1" applyFill="1" applyBorder="1" applyAlignment="1">
      <alignment vertical="center"/>
    </xf>
    <xf numFmtId="0" fontId="2499" fillId="2502" borderId="2450" xfId="0" applyFont="1" applyFill="1" applyBorder="1" applyAlignment="1">
      <alignment vertical="center"/>
    </xf>
    <xf numFmtId="0" fontId="2500" fillId="2503" borderId="2451" xfId="0" applyFont="1" applyFill="1" applyBorder="1" applyAlignment="1">
      <alignment vertical="center"/>
    </xf>
    <xf numFmtId="0" fontId="2501" fillId="2504" borderId="2452" xfId="0" applyFont="1" applyFill="1" applyBorder="1" applyAlignment="1">
      <alignment vertical="center"/>
    </xf>
    <xf numFmtId="0" fontId="2502" fillId="2505" borderId="2453" xfId="0" applyFont="1" applyFill="1" applyBorder="1" applyAlignment="1">
      <alignment vertical="center"/>
    </xf>
    <xf numFmtId="0" fontId="2503" fillId="2506" borderId="2454" xfId="0" applyFont="1" applyFill="1" applyBorder="1" applyAlignment="1">
      <alignment vertical="center"/>
    </xf>
    <xf numFmtId="0" fontId="2504" fillId="2507" borderId="2455" xfId="0" applyFont="1" applyFill="1" applyBorder="1" applyAlignment="1">
      <alignment vertical="center"/>
    </xf>
    <xf numFmtId="0" fontId="2505" fillId="2508" borderId="2456" xfId="0" applyFont="1" applyFill="1" applyBorder="1" applyAlignment="1">
      <alignment vertical="center"/>
    </xf>
    <xf numFmtId="0" fontId="2506" fillId="2509" borderId="2457" xfId="0" applyFont="1" applyFill="1" applyBorder="1" applyAlignment="1">
      <alignment vertical="center"/>
    </xf>
    <xf numFmtId="0" fontId="2507" fillId="2510" borderId="2458" xfId="0" applyFont="1" applyFill="1" applyBorder="1" applyAlignment="1">
      <alignment vertical="center"/>
    </xf>
    <xf numFmtId="0" fontId="2508" fillId="2511" borderId="2459" xfId="0" applyFont="1" applyFill="1" applyBorder="1" applyAlignment="1">
      <alignment vertical="center"/>
    </xf>
    <xf numFmtId="0" fontId="2509" fillId="2512" borderId="2460" xfId="0" applyFont="1" applyFill="1" applyBorder="1" applyAlignment="1">
      <alignment vertical="center"/>
    </xf>
    <xf numFmtId="0" fontId="2510" fillId="2513" borderId="2461" xfId="0" applyFont="1" applyFill="1" applyBorder="1" applyAlignment="1">
      <alignment vertical="center"/>
    </xf>
    <xf numFmtId="0" fontId="2511" fillId="2514" borderId="2462" xfId="0" applyFont="1" applyFill="1" applyBorder="1" applyAlignment="1">
      <alignment vertical="center"/>
    </xf>
    <xf numFmtId="0" fontId="2512" fillId="2515" borderId="2463" xfId="0" applyFont="1" applyFill="1" applyBorder="1" applyAlignment="1">
      <alignment vertical="center"/>
    </xf>
    <xf numFmtId="0" fontId="2513" fillId="2516" borderId="2464" xfId="0" applyFont="1" applyFill="1" applyBorder="1" applyAlignment="1">
      <alignment vertical="center"/>
    </xf>
    <xf numFmtId="0" fontId="2514" fillId="2517" borderId="2465" xfId="0" applyFont="1" applyFill="1" applyBorder="1" applyAlignment="1">
      <alignment vertical="center"/>
    </xf>
    <xf numFmtId="0" fontId="2515" fillId="2518" borderId="2466" xfId="0" applyFont="1" applyFill="1" applyBorder="1" applyAlignment="1">
      <alignment vertical="center"/>
    </xf>
    <xf numFmtId="0" fontId="2516" fillId="2519" borderId="2467" xfId="0" applyFont="1" applyFill="1" applyBorder="1" applyAlignment="1">
      <alignment vertical="center"/>
    </xf>
    <xf numFmtId="0" fontId="2517" fillId="2520" borderId="2468" xfId="0" applyFont="1" applyFill="1" applyBorder="1" applyAlignment="1">
      <alignment vertical="center"/>
    </xf>
    <xf numFmtId="0" fontId="2518" fillId="2521" borderId="2469" xfId="0" applyFont="1" applyFill="1" applyBorder="1" applyAlignment="1">
      <alignment vertical="center"/>
    </xf>
    <xf numFmtId="0" fontId="2519" fillId="2522" borderId="2470" xfId="0" applyFont="1" applyFill="1" applyBorder="1" applyAlignment="1">
      <alignment vertical="center"/>
    </xf>
    <xf numFmtId="0" fontId="2520" fillId="2523" borderId="2471" xfId="0" applyFont="1" applyFill="1" applyBorder="1" applyAlignment="1">
      <alignment vertical="center"/>
    </xf>
    <xf numFmtId="0" fontId="2521" fillId="2524" borderId="2472" xfId="0" applyFont="1" applyFill="1" applyBorder="1" applyAlignment="1">
      <alignment vertical="center"/>
    </xf>
    <xf numFmtId="0" fontId="2522" fillId="2525" borderId="2473" xfId="0" applyFont="1" applyFill="1" applyBorder="1" applyAlignment="1">
      <alignment vertical="center"/>
    </xf>
    <xf numFmtId="0" fontId="2523" fillId="2526" borderId="2474" xfId="0" applyFont="1" applyFill="1" applyBorder="1" applyAlignment="1">
      <alignment vertical="center"/>
    </xf>
    <xf numFmtId="0" fontId="2524" fillId="2527" borderId="2475" xfId="0" applyFont="1" applyFill="1" applyBorder="1" applyAlignment="1">
      <alignment vertical="center"/>
    </xf>
    <xf numFmtId="0" fontId="2525" fillId="2528" borderId="2476" xfId="0" applyFont="1" applyFill="1" applyBorder="1" applyAlignment="1">
      <alignment vertical="center"/>
    </xf>
    <xf numFmtId="0" fontId="2526" fillId="2529" borderId="2477" xfId="0" applyFont="1" applyFill="1" applyBorder="1" applyAlignment="1">
      <alignment vertical="center"/>
    </xf>
    <xf numFmtId="0" fontId="2527" fillId="2530" borderId="2478" xfId="0" applyFont="1" applyFill="1" applyBorder="1" applyAlignment="1">
      <alignment vertical="center"/>
    </xf>
    <xf numFmtId="0" fontId="2528" fillId="2531" borderId="2479" xfId="0" applyFont="1" applyFill="1" applyBorder="1" applyAlignment="1">
      <alignment vertical="center"/>
    </xf>
    <xf numFmtId="0" fontId="2529" fillId="2532" borderId="2480" xfId="0" applyFont="1" applyFill="1" applyBorder="1" applyAlignment="1">
      <alignment vertical="center"/>
    </xf>
    <xf numFmtId="0" fontId="2530" fillId="2533" borderId="2481" xfId="0" applyFont="1" applyFill="1" applyBorder="1" applyAlignment="1">
      <alignment vertical="center"/>
    </xf>
    <xf numFmtId="0" fontId="2531" fillId="2534" borderId="2482" xfId="0" applyFont="1" applyFill="1" applyBorder="1" applyAlignment="1">
      <alignment vertical="center"/>
    </xf>
    <xf numFmtId="0" fontId="2532" fillId="2535" borderId="2483" xfId="0" applyFont="1" applyFill="1" applyBorder="1" applyAlignment="1">
      <alignment vertical="center"/>
    </xf>
    <xf numFmtId="0" fontId="2533" fillId="2536" borderId="2484" xfId="0" applyFont="1" applyFill="1" applyBorder="1" applyAlignment="1">
      <alignment vertical="center"/>
    </xf>
    <xf numFmtId="0" fontId="2534" fillId="2537" borderId="2485" xfId="0" applyFont="1" applyFill="1" applyBorder="1" applyAlignment="1">
      <alignment vertical="center"/>
    </xf>
    <xf numFmtId="0" fontId="2535" fillId="2538" borderId="2486" xfId="0" applyFont="1" applyFill="1" applyBorder="1" applyAlignment="1">
      <alignment vertical="center"/>
    </xf>
    <xf numFmtId="0" fontId="2536" fillId="2539" borderId="2487" xfId="0" applyFont="1" applyFill="1" applyBorder="1" applyAlignment="1">
      <alignment vertical="center"/>
    </xf>
    <xf numFmtId="0" fontId="2537" fillId="2540" borderId="2488" xfId="0" applyFont="1" applyFill="1" applyBorder="1" applyAlignment="1">
      <alignment vertical="center"/>
    </xf>
    <xf numFmtId="0" fontId="2538" fillId="2541" borderId="2489" xfId="0" applyFont="1" applyFill="1" applyBorder="1" applyAlignment="1">
      <alignment vertical="center"/>
    </xf>
    <xf numFmtId="0" fontId="2539" fillId="2542" borderId="2490" xfId="0" applyFont="1" applyFill="1" applyBorder="1" applyAlignment="1">
      <alignment vertical="center"/>
    </xf>
    <xf numFmtId="0" fontId="2540" fillId="2543" borderId="2491" xfId="0" applyFont="1" applyFill="1" applyBorder="1" applyAlignment="1">
      <alignment vertical="center"/>
    </xf>
    <xf numFmtId="0" fontId="2541" fillId="2544" borderId="2492" xfId="0" applyFont="1" applyFill="1" applyBorder="1" applyAlignment="1">
      <alignment vertical="center"/>
    </xf>
    <xf numFmtId="0" fontId="2542" fillId="2545" borderId="2493" xfId="0" applyFont="1" applyFill="1" applyBorder="1" applyAlignment="1">
      <alignment vertical="center"/>
    </xf>
    <xf numFmtId="0" fontId="2543" fillId="2546" borderId="2494" xfId="0" applyFont="1" applyFill="1" applyBorder="1" applyAlignment="1">
      <alignment vertical="center"/>
    </xf>
    <xf numFmtId="0" fontId="2544" fillId="2547" borderId="2495" xfId="0" applyFont="1" applyFill="1" applyBorder="1" applyAlignment="1">
      <alignment vertical="center"/>
    </xf>
    <xf numFmtId="0" fontId="2545" fillId="2548" borderId="2496" xfId="0" applyFont="1" applyFill="1" applyBorder="1" applyAlignment="1">
      <alignment vertical="center"/>
    </xf>
    <xf numFmtId="0" fontId="2546" fillId="2549" borderId="2497" xfId="0" applyFont="1" applyFill="1" applyBorder="1" applyAlignment="1">
      <alignment vertical="center"/>
    </xf>
    <xf numFmtId="0" fontId="2547" fillId="2550" borderId="2498" xfId="0" applyFont="1" applyFill="1" applyBorder="1" applyAlignment="1">
      <alignment vertical="center"/>
    </xf>
    <xf numFmtId="0" fontId="2548" fillId="2551" borderId="2499" xfId="0" applyFont="1" applyFill="1" applyBorder="1" applyAlignment="1">
      <alignment vertical="center"/>
    </xf>
    <xf numFmtId="0" fontId="2549" fillId="2552" borderId="2500" xfId="0" applyFont="1" applyFill="1" applyBorder="1" applyAlignment="1">
      <alignment vertical="center"/>
    </xf>
    <xf numFmtId="0" fontId="2550" fillId="2553" borderId="2501" xfId="0" applyFont="1" applyFill="1" applyBorder="1" applyAlignment="1">
      <alignment vertical="center"/>
    </xf>
    <xf numFmtId="0" fontId="2551" fillId="2554" borderId="2502" xfId="0" applyFont="1" applyFill="1" applyBorder="1" applyAlignment="1">
      <alignment vertical="center"/>
    </xf>
    <xf numFmtId="0" fontId="2552" fillId="2555" borderId="2503" xfId="0" applyFont="1" applyFill="1" applyBorder="1" applyAlignment="1">
      <alignment vertical="center"/>
    </xf>
    <xf numFmtId="0" fontId="2553" fillId="2556" borderId="2504" xfId="0" applyFont="1" applyFill="1" applyBorder="1" applyAlignment="1">
      <alignment vertical="center"/>
    </xf>
    <xf numFmtId="0" fontId="2554" fillId="2557" borderId="2505" xfId="0" applyFont="1" applyFill="1" applyBorder="1" applyAlignment="1">
      <alignment vertical="center"/>
    </xf>
    <xf numFmtId="0" fontId="2555" fillId="2558" borderId="2506" xfId="0" applyFont="1" applyFill="1" applyBorder="1" applyAlignment="1">
      <alignment vertical="center"/>
    </xf>
    <xf numFmtId="0" fontId="2556" fillId="2559" borderId="2507" xfId="0" applyFont="1" applyFill="1" applyBorder="1" applyAlignment="1">
      <alignment vertical="center"/>
    </xf>
    <xf numFmtId="0" fontId="2557" fillId="2560" borderId="2508" xfId="0" applyFont="1" applyFill="1" applyBorder="1" applyAlignment="1">
      <alignment vertical="center"/>
    </xf>
    <xf numFmtId="0" fontId="2558" fillId="2561" borderId="2509" xfId="0" applyFont="1" applyFill="1" applyBorder="1" applyAlignment="1">
      <alignment vertical="center"/>
    </xf>
    <xf numFmtId="0" fontId="2559" fillId="2562" borderId="2510" xfId="0" applyFont="1" applyFill="1" applyBorder="1" applyAlignment="1">
      <alignment vertical="center"/>
    </xf>
    <xf numFmtId="0" fontId="2560" fillId="2563" borderId="2511" xfId="0" applyFont="1" applyFill="1" applyBorder="1" applyAlignment="1">
      <alignment vertical="center"/>
    </xf>
    <xf numFmtId="0" fontId="2561" fillId="2564" borderId="2512" xfId="0" applyFont="1" applyFill="1" applyBorder="1" applyAlignment="1">
      <alignment vertical="center"/>
    </xf>
    <xf numFmtId="0" fontId="2562" fillId="2565" borderId="2513" xfId="0" applyFont="1" applyFill="1" applyBorder="1" applyAlignment="1">
      <alignment vertical="center"/>
    </xf>
    <xf numFmtId="0" fontId="2563" fillId="2566" borderId="2514" xfId="0" applyFont="1" applyFill="1" applyBorder="1" applyAlignment="1">
      <alignment vertical="center"/>
    </xf>
    <xf numFmtId="0" fontId="2564" fillId="2567" borderId="2515" xfId="0" applyFont="1" applyFill="1" applyBorder="1" applyAlignment="1">
      <alignment vertical="center"/>
    </xf>
    <xf numFmtId="0" fontId="2565" fillId="2568" borderId="2516" xfId="0" applyFont="1" applyFill="1" applyBorder="1" applyAlignment="1">
      <alignment vertical="center"/>
    </xf>
    <xf numFmtId="0" fontId="2566" fillId="2569" borderId="2517" xfId="0" applyFont="1" applyFill="1" applyBorder="1" applyAlignment="1">
      <alignment vertical="center"/>
    </xf>
    <xf numFmtId="0" fontId="2567" fillId="2570" borderId="2518" xfId="0" applyFont="1" applyFill="1" applyBorder="1" applyAlignment="1">
      <alignment vertical="center"/>
    </xf>
    <xf numFmtId="0" fontId="2568" fillId="2571" borderId="2519" xfId="0" applyFont="1" applyFill="1" applyBorder="1" applyAlignment="1">
      <alignment vertical="center"/>
    </xf>
    <xf numFmtId="0" fontId="2569" fillId="2572" borderId="2520" xfId="0" applyFont="1" applyFill="1" applyBorder="1" applyAlignment="1">
      <alignment vertical="center"/>
    </xf>
    <xf numFmtId="0" fontId="2570" fillId="2573" borderId="2521" xfId="0" applyFont="1" applyFill="1" applyBorder="1" applyAlignment="1">
      <alignment vertical="center"/>
    </xf>
    <xf numFmtId="0" fontId="2579" fillId="2582" borderId="2530" xfId="0" applyFont="1" applyFill="1" applyBorder="1" applyAlignment="1">
      <alignment horizontal="center"/>
    </xf>
    <xf numFmtId="0" fontId="2580" fillId="2583" borderId="2531" xfId="0" applyFont="1" applyFill="1" applyBorder="1" applyAlignment="1">
      <alignment horizontal="center"/>
    </xf>
    <xf numFmtId="0" fontId="2581" fillId="2584" borderId="2532" xfId="0" applyFont="1" applyFill="1" applyBorder="1" applyAlignment="1">
      <alignment horizontal="center"/>
    </xf>
    <xf numFmtId="0" fontId="2582" fillId="2585" borderId="2533" xfId="0" applyFont="1" applyFill="1" applyBorder="1" applyAlignment="1">
      <alignment horizontal="center"/>
    </xf>
    <xf numFmtId="0" fontId="2583" fillId="2586" borderId="2534" xfId="0" applyFont="1" applyFill="1" applyBorder="1" applyAlignment="1">
      <alignment horizontal="center"/>
    </xf>
    <xf numFmtId="0" fontId="2584" fillId="2587" borderId="2535" xfId="0" applyFont="1" applyFill="1" applyBorder="1" applyAlignment="1">
      <alignment horizontal="center"/>
    </xf>
    <xf numFmtId="0" fontId="2585" fillId="2588" borderId="2536" xfId="0" applyFont="1" applyFill="1" applyBorder="1" applyAlignment="1">
      <alignment horizontal="center"/>
    </xf>
    <xf numFmtId="0" fontId="2586" fillId="2589" borderId="2537" xfId="0" applyFont="1" applyFill="1" applyBorder="1" applyAlignment="1">
      <alignment horizontal="center"/>
    </xf>
    <xf numFmtId="14" fontId="2587" fillId="2590" borderId="2538" xfId="0" applyNumberFormat="1" applyFont="1" applyFill="1" applyBorder="1"/>
    <xf numFmtId="0" fontId="2588" fillId="2591" borderId="2539" xfId="0" applyFont="1" applyFill="1" applyBorder="1"/>
    <xf numFmtId="0" fontId="2589" fillId="2592" borderId="2540" xfId="0" applyFont="1" applyFill="1" applyBorder="1"/>
    <xf numFmtId="0" fontId="2590" fillId="2593" borderId="2541" xfId="0" applyFont="1" applyFill="1" applyBorder="1"/>
    <xf numFmtId="0" fontId="2591" fillId="2594" borderId="2542" xfId="0" applyFont="1" applyFill="1" applyBorder="1"/>
    <xf numFmtId="0" fontId="2592" fillId="2595" borderId="2543" xfId="0" applyFont="1" applyFill="1" applyBorder="1"/>
    <xf numFmtId="0" fontId="2593" fillId="2596" borderId="2544" xfId="0" applyFont="1" applyFill="1" applyBorder="1"/>
    <xf numFmtId="0" fontId="2594" fillId="2597" borderId="2545" xfId="0" applyFont="1" applyFill="1" applyBorder="1"/>
    <xf numFmtId="14" fontId="2595" fillId="2598" borderId="2546" xfId="0" applyNumberFormat="1" applyFont="1" applyFill="1" applyBorder="1"/>
    <xf numFmtId="0" fontId="2596" fillId="2599" borderId="2547" xfId="0" applyFont="1" applyFill="1" applyBorder="1"/>
    <xf numFmtId="0" fontId="2597" fillId="2600" borderId="2548" xfId="0" applyFont="1" applyFill="1" applyBorder="1"/>
    <xf numFmtId="0" fontId="2598" fillId="2601" borderId="2549" xfId="0" applyFont="1" applyFill="1" applyBorder="1"/>
    <xf numFmtId="0" fontId="2599" fillId="2602" borderId="2550" xfId="0" applyFont="1" applyFill="1" applyBorder="1"/>
    <xf numFmtId="0" fontId="2600" fillId="2603" borderId="2551" xfId="0" applyFont="1" applyFill="1" applyBorder="1"/>
    <xf numFmtId="0" fontId="2601" fillId="2604" borderId="2552" xfId="0" applyFont="1" applyFill="1" applyBorder="1"/>
    <xf numFmtId="0" fontId="2602" fillId="2605" borderId="2553" xfId="0" applyFont="1" applyFill="1" applyBorder="1"/>
    <xf numFmtId="14" fontId="2603" fillId="2606" borderId="2554" xfId="0" applyNumberFormat="1" applyFont="1" applyFill="1" applyBorder="1"/>
    <xf numFmtId="0" fontId="2604" fillId="2607" borderId="2555" xfId="0" applyFont="1" applyFill="1" applyBorder="1"/>
    <xf numFmtId="0" fontId="2605" fillId="2608" borderId="2556" xfId="0" applyFont="1" applyFill="1" applyBorder="1"/>
    <xf numFmtId="0" fontId="2606" fillId="2609" borderId="2557" xfId="0" applyFont="1" applyFill="1" applyBorder="1"/>
    <xf numFmtId="0" fontId="2607" fillId="2610" borderId="2558" xfId="0" applyFont="1" applyFill="1" applyBorder="1"/>
    <xf numFmtId="0" fontId="2608" fillId="2611" borderId="2559" xfId="0" applyFont="1" applyFill="1" applyBorder="1"/>
    <xf numFmtId="0" fontId="2609" fillId="2612" borderId="2560" xfId="0" applyFont="1" applyFill="1" applyBorder="1"/>
    <xf numFmtId="0" fontId="2610" fillId="2613" borderId="2561" xfId="0" applyFont="1" applyFill="1" applyBorder="1"/>
    <xf numFmtId="14" fontId="2611" fillId="2614" borderId="2562" xfId="0" applyNumberFormat="1" applyFont="1" applyFill="1" applyBorder="1"/>
    <xf numFmtId="0" fontId="2612" fillId="2615" borderId="2563" xfId="0" applyFont="1" applyFill="1" applyBorder="1"/>
    <xf numFmtId="0" fontId="2613" fillId="2616" borderId="2564" xfId="0" applyFont="1" applyFill="1" applyBorder="1"/>
    <xf numFmtId="0" fontId="2614" fillId="2617" borderId="2565" xfId="0" applyFont="1" applyFill="1" applyBorder="1"/>
    <xf numFmtId="0" fontId="2615" fillId="2618" borderId="2566" xfId="0" applyFont="1" applyFill="1" applyBorder="1"/>
    <xf numFmtId="0" fontId="2616" fillId="2619" borderId="2567" xfId="0" applyFont="1" applyFill="1" applyBorder="1"/>
    <xf numFmtId="0" fontId="2617" fillId="2620" borderId="2568" xfId="0" applyFont="1" applyFill="1" applyBorder="1"/>
    <xf numFmtId="0" fontId="2618" fillId="2621" borderId="2569" xfId="0" applyFont="1" applyFill="1" applyBorder="1"/>
    <xf numFmtId="14" fontId="2619" fillId="2622" borderId="2570" xfId="0" applyNumberFormat="1" applyFont="1" applyFill="1" applyBorder="1"/>
    <xf numFmtId="0" fontId="2620" fillId="2623" borderId="2571" xfId="0" applyFont="1" applyFill="1" applyBorder="1"/>
    <xf numFmtId="0" fontId="2621" fillId="2624" borderId="2572" xfId="0" applyFont="1" applyFill="1" applyBorder="1"/>
    <xf numFmtId="0" fontId="2622" fillId="2625" borderId="2573" xfId="0" applyFont="1" applyFill="1" applyBorder="1"/>
    <xf numFmtId="0" fontId="2623" fillId="2626" borderId="2574" xfId="0" applyFont="1" applyFill="1" applyBorder="1"/>
    <xf numFmtId="0" fontId="2624" fillId="2627" borderId="2575" xfId="0" applyFont="1" applyFill="1" applyBorder="1"/>
    <xf numFmtId="0" fontId="2625" fillId="2628" borderId="2576" xfId="0" applyFont="1" applyFill="1" applyBorder="1"/>
    <xf numFmtId="0" fontId="2626" fillId="2629" borderId="2577" xfId="0" applyFont="1" applyFill="1" applyBorder="1"/>
    <xf numFmtId="14" fontId="2627" fillId="2630" borderId="2578" xfId="0" applyNumberFormat="1" applyFont="1" applyFill="1" applyBorder="1"/>
    <xf numFmtId="0" fontId="2628" fillId="2631" borderId="2579" xfId="0" applyFont="1" applyFill="1" applyBorder="1"/>
    <xf numFmtId="0" fontId="2629" fillId="2632" borderId="2580" xfId="0" applyFont="1" applyFill="1" applyBorder="1"/>
    <xf numFmtId="0" fontId="2630" fillId="2633" borderId="2581" xfId="0" applyFont="1" applyFill="1" applyBorder="1"/>
    <xf numFmtId="0" fontId="2631" fillId="2634" borderId="2582" xfId="0" applyFont="1" applyFill="1" applyBorder="1"/>
    <xf numFmtId="0" fontId="2632" fillId="2635" borderId="2583" xfId="0" applyFont="1" applyFill="1" applyBorder="1"/>
    <xf numFmtId="0" fontId="2633" fillId="2636" borderId="2584" xfId="0" applyFont="1" applyFill="1" applyBorder="1"/>
    <xf numFmtId="0" fontId="2634" fillId="2637" borderId="2585" xfId="0" applyFont="1" applyFill="1" applyBorder="1"/>
    <xf numFmtId="14" fontId="2635" fillId="2638" borderId="2586" xfId="0" applyNumberFormat="1" applyFont="1" applyFill="1" applyBorder="1"/>
    <xf numFmtId="0" fontId="2636" fillId="2639" borderId="2587" xfId="0" applyFont="1" applyFill="1" applyBorder="1"/>
    <xf numFmtId="0" fontId="2637" fillId="2640" borderId="2588" xfId="0" applyFont="1" applyFill="1" applyBorder="1"/>
    <xf numFmtId="0" fontId="2638" fillId="2641" borderId="2589" xfId="0" applyFont="1" applyFill="1" applyBorder="1"/>
    <xf numFmtId="0" fontId="2639" fillId="2642" borderId="2590" xfId="0" applyFont="1" applyFill="1" applyBorder="1"/>
    <xf numFmtId="0" fontId="2640" fillId="2643" borderId="2591" xfId="0" applyFont="1" applyFill="1" applyBorder="1"/>
    <xf numFmtId="0" fontId="2641" fillId="2644" borderId="2592" xfId="0" applyFont="1" applyFill="1" applyBorder="1"/>
    <xf numFmtId="0" fontId="2642" fillId="2645" borderId="2593" xfId="0" applyFont="1" applyFill="1" applyBorder="1"/>
    <xf numFmtId="14" fontId="2643" fillId="2646" borderId="2594" xfId="0" applyNumberFormat="1" applyFont="1" applyFill="1" applyBorder="1"/>
    <xf numFmtId="0" fontId="2644" fillId="2647" borderId="2595" xfId="0" applyFont="1" applyFill="1" applyBorder="1"/>
    <xf numFmtId="0" fontId="2645" fillId="2648" borderId="2596" xfId="0" applyFont="1" applyFill="1" applyBorder="1"/>
    <xf numFmtId="0" fontId="2646" fillId="2649" borderId="2597" xfId="0" applyFont="1" applyFill="1" applyBorder="1"/>
    <xf numFmtId="0" fontId="2647" fillId="2650" borderId="2598" xfId="0" applyFont="1" applyFill="1" applyBorder="1"/>
    <xf numFmtId="0" fontId="2648" fillId="2651" borderId="2599" xfId="0" applyFont="1" applyFill="1" applyBorder="1"/>
    <xf numFmtId="0" fontId="2649" fillId="2652" borderId="2600" xfId="0" applyFont="1" applyFill="1" applyBorder="1"/>
    <xf numFmtId="0" fontId="2650" fillId="2653" borderId="2601" xfId="0" applyFont="1" applyFill="1" applyBorder="1"/>
    <xf numFmtId="0" fontId="2651" fillId="2654" borderId="2602" xfId="0" applyFont="1" applyFill="1" applyBorder="1"/>
    <xf numFmtId="0" fontId="2652" fillId="2655" borderId="2603" xfId="0" applyFont="1" applyFill="1" applyBorder="1"/>
    <xf numFmtId="0" fontId="2653" fillId="2656" borderId="2604" xfId="0" applyFont="1" applyFill="1" applyBorder="1"/>
    <xf numFmtId="0" fontId="2654" fillId="2657" borderId="2605" xfId="0" applyFont="1" applyFill="1" applyBorder="1"/>
    <xf numFmtId="0" fontId="2655" fillId="2658" borderId="2606" xfId="0" applyFont="1" applyFill="1" applyBorder="1"/>
    <xf numFmtId="0" fontId="2656" fillId="2659" borderId="2607" xfId="0" applyFont="1" applyFill="1" applyBorder="1"/>
    <xf numFmtId="0" fontId="2657" fillId="2660" borderId="2608" xfId="0" applyFont="1" applyFill="1" applyBorder="1"/>
    <xf numFmtId="0" fontId="2658" fillId="2661" borderId="2609" xfId="0" applyFont="1" applyFill="1" applyBorder="1"/>
    <xf numFmtId="0" fontId="2659" fillId="2662" borderId="2610" xfId="0" applyFont="1" applyFill="1" applyBorder="1"/>
    <xf numFmtId="0" fontId="2660" fillId="2663" borderId="2611" xfId="0" applyFont="1" applyFill="1" applyBorder="1"/>
    <xf numFmtId="0" fontId="2661" fillId="2664" borderId="2612" xfId="0" applyFont="1" applyFill="1" applyBorder="1"/>
    <xf numFmtId="0" fontId="2662" fillId="2665" borderId="2613" xfId="0" applyFont="1" applyFill="1" applyBorder="1"/>
    <xf numFmtId="0" fontId="2663" fillId="2666" borderId="2614" xfId="0" applyFont="1" applyFill="1" applyBorder="1"/>
    <xf numFmtId="0" fontId="2664" fillId="2667" borderId="2615" xfId="0" applyFont="1" applyFill="1" applyBorder="1"/>
    <xf numFmtId="0" fontId="2665" fillId="2668" borderId="2616" xfId="0" applyFont="1" applyFill="1" applyBorder="1"/>
    <xf numFmtId="0" fontId="2666" fillId="2669" borderId="2617" xfId="0" applyFont="1" applyFill="1" applyBorder="1"/>
    <xf numFmtId="0" fontId="2667" fillId="2670" borderId="2618" xfId="0" applyFont="1" applyFill="1" applyBorder="1"/>
    <xf numFmtId="0" fontId="2668" fillId="2671" borderId="2619" xfId="0" applyFont="1" applyFill="1" applyBorder="1"/>
    <xf numFmtId="0" fontId="2669" fillId="2672" borderId="2620" xfId="0" applyFont="1" applyFill="1" applyBorder="1"/>
    <xf numFmtId="0" fontId="2670" fillId="2673" borderId="2621" xfId="0" applyFont="1" applyFill="1" applyBorder="1"/>
    <xf numFmtId="0" fontId="2671" fillId="2674" borderId="2622" xfId="0" applyFont="1" applyFill="1" applyBorder="1"/>
    <xf numFmtId="0" fontId="2672" fillId="2675" borderId="2623" xfId="0" applyFont="1" applyFill="1" applyBorder="1"/>
    <xf numFmtId="0" fontId="2673" fillId="2676" borderId="2624" xfId="0" applyFont="1" applyFill="1" applyBorder="1"/>
    <xf numFmtId="0" fontId="2674" fillId="2677" borderId="2625" xfId="0" applyFont="1" applyFill="1" applyBorder="1"/>
    <xf numFmtId="0" fontId="2675" fillId="2678" borderId="2626" xfId="0" applyFont="1" applyFill="1" applyBorder="1"/>
    <xf numFmtId="0" fontId="2676" fillId="2679" borderId="2627" xfId="0" applyFont="1" applyFill="1" applyBorder="1"/>
    <xf numFmtId="0" fontId="2677" fillId="2680" borderId="2628" xfId="0" applyFont="1" applyFill="1" applyBorder="1"/>
    <xf numFmtId="0" fontId="2678" fillId="2681" borderId="2629" xfId="0" applyFont="1" applyFill="1" applyBorder="1"/>
    <xf numFmtId="14" fontId="2679" fillId="2682" borderId="2630" xfId="0" applyNumberFormat="1" applyFont="1" applyFill="1" applyBorder="1"/>
    <xf numFmtId="0" fontId="2680" fillId="2683" borderId="2631" xfId="0" applyFont="1" applyFill="1" applyBorder="1"/>
    <xf numFmtId="0" fontId="2681" fillId="2684" borderId="2632" xfId="0" applyFont="1" applyFill="1" applyBorder="1"/>
    <xf numFmtId="0" fontId="2682" fillId="2685" borderId="2633" xfId="0" applyFont="1" applyFill="1" applyBorder="1"/>
    <xf numFmtId="0" fontId="2683" fillId="2686" borderId="2634" xfId="0" applyFont="1" applyFill="1" applyBorder="1"/>
    <xf numFmtId="0" fontId="2684" fillId="2687" borderId="2635" xfId="0" applyFont="1" applyFill="1" applyBorder="1"/>
    <xf numFmtId="0" fontId="2685" fillId="2688" borderId="2636" xfId="0" applyFont="1" applyFill="1" applyBorder="1"/>
    <xf numFmtId="0" fontId="2686" fillId="2689" borderId="2637" xfId="0" applyFont="1" applyFill="1" applyBorder="1"/>
    <xf numFmtId="0" fontId="2687" fillId="2690" borderId="2638" xfId="0" applyFont="1" applyFill="1" applyBorder="1"/>
    <xf numFmtId="0" fontId="2688" fillId="2691" borderId="2639" xfId="0" applyFont="1" applyFill="1" applyBorder="1"/>
    <xf numFmtId="0" fontId="2689" fillId="2692" borderId="2640" xfId="0" applyFont="1" applyFill="1" applyBorder="1"/>
    <xf numFmtId="0" fontId="2690" fillId="2693" borderId="2641" xfId="0" applyFont="1" applyFill="1" applyBorder="1"/>
    <xf numFmtId="0" fontId="2691" fillId="2694" borderId="2642" xfId="0" applyFont="1" applyFill="1" applyBorder="1"/>
    <xf numFmtId="0" fontId="2692" fillId="2695" borderId="2643" xfId="0" applyFont="1" applyFill="1" applyBorder="1"/>
    <xf numFmtId="0" fontId="2693" fillId="2696" borderId="2644" xfId="0" applyFont="1" applyFill="1" applyBorder="1"/>
    <xf numFmtId="0" fontId="2694" fillId="2697" borderId="2645" xfId="0" applyFont="1" applyFill="1" applyBorder="1"/>
    <xf numFmtId="0" fontId="2695" fillId="2698" borderId="2646" xfId="0" applyFont="1" applyFill="1" applyBorder="1"/>
    <xf numFmtId="0" fontId="2696" fillId="2699" borderId="2647" xfId="0" applyFont="1" applyFill="1" applyBorder="1"/>
    <xf numFmtId="0" fontId="2697" fillId="2700" borderId="2648" xfId="0" applyFont="1" applyFill="1" applyBorder="1"/>
    <xf numFmtId="0" fontId="2698" fillId="2701" borderId="2649" xfId="0" applyFont="1" applyFill="1" applyBorder="1"/>
    <xf numFmtId="0" fontId="2699" fillId="2702" borderId="2650" xfId="0" applyFont="1" applyFill="1" applyBorder="1"/>
    <xf numFmtId="0" fontId="2700" fillId="2703" borderId="2651" xfId="0" applyFont="1" applyFill="1" applyBorder="1"/>
    <xf numFmtId="0" fontId="2701" fillId="2704" borderId="2652" xfId="0" applyFont="1" applyFill="1" applyBorder="1"/>
    <xf numFmtId="0" fontId="2702" fillId="2705" borderId="2653" xfId="0" applyFont="1" applyFill="1" applyBorder="1"/>
    <xf numFmtId="0" fontId="2703" fillId="2706" borderId="2654" xfId="0" applyFont="1" applyFill="1" applyBorder="1"/>
    <xf numFmtId="0" fontId="2704" fillId="2707" borderId="2655" xfId="0" applyFont="1" applyFill="1" applyBorder="1"/>
    <xf numFmtId="0" fontId="2705" fillId="2708" borderId="2656" xfId="0" applyFont="1" applyFill="1" applyBorder="1"/>
    <xf numFmtId="0" fontId="2706" fillId="2709" borderId="2657" xfId="0" applyFont="1" applyFill="1" applyBorder="1"/>
    <xf numFmtId="0" fontId="2707" fillId="2710" borderId="2658" xfId="0" applyFont="1" applyFill="1" applyBorder="1"/>
    <xf numFmtId="0" fontId="2708" fillId="2711" borderId="2659" xfId="0" applyFont="1" applyFill="1" applyBorder="1"/>
    <xf numFmtId="0" fontId="2709" fillId="2712" borderId="2660" xfId="0" applyFont="1" applyFill="1" applyBorder="1"/>
    <xf numFmtId="0" fontId="2710" fillId="2713" borderId="2661" xfId="0" applyFont="1" applyFill="1" applyBorder="1"/>
    <xf numFmtId="0" fontId="2711" fillId="2714" borderId="2662" xfId="0" applyFont="1" applyFill="1" applyBorder="1"/>
    <xf numFmtId="0" fontId="2712" fillId="2715" borderId="2663" xfId="0" applyFont="1" applyFill="1" applyBorder="1"/>
    <xf numFmtId="0" fontId="2713" fillId="2716" borderId="2664" xfId="0" applyFont="1" applyFill="1" applyBorder="1"/>
    <xf numFmtId="0" fontId="2714" fillId="2717" borderId="2665" xfId="0" applyFont="1" applyFill="1" applyBorder="1"/>
    <xf numFmtId="14" fontId="2715" fillId="2718" borderId="2666" xfId="0" applyNumberFormat="1" applyFont="1" applyFill="1" applyBorder="1"/>
    <xf numFmtId="0" fontId="2716" fillId="2719" borderId="2667" xfId="0" applyFont="1" applyFill="1" applyBorder="1"/>
    <xf numFmtId="0" fontId="2717" fillId="2720" borderId="2668" xfId="0" applyFont="1" applyFill="1" applyBorder="1"/>
    <xf numFmtId="0" fontId="2718" fillId="2721" borderId="2669" xfId="0" applyFont="1" applyFill="1" applyBorder="1"/>
    <xf numFmtId="0" fontId="2719" fillId="2722" borderId="2670" xfId="0" applyFont="1" applyFill="1" applyBorder="1"/>
    <xf numFmtId="0" fontId="2720" fillId="2723" borderId="2671" xfId="0" applyFont="1" applyFill="1" applyBorder="1"/>
    <xf numFmtId="0" fontId="2721" fillId="2724" borderId="2672" xfId="0" applyFont="1" applyFill="1" applyBorder="1"/>
    <xf numFmtId="0" fontId="2722" fillId="2725" borderId="2673" xfId="0" applyFont="1" applyFill="1" applyBorder="1"/>
    <xf numFmtId="0" fontId="2723" fillId="2726" borderId="2674" xfId="0" applyFont="1" applyFill="1" applyBorder="1"/>
    <xf numFmtId="0" fontId="2724" fillId="2727" borderId="2675" xfId="0" applyFont="1" applyFill="1" applyBorder="1"/>
    <xf numFmtId="0" fontId="2725" fillId="2728" borderId="2676" xfId="0" applyFont="1" applyFill="1" applyBorder="1"/>
    <xf numFmtId="0" fontId="2726" fillId="2729" borderId="2677" xfId="0" applyFont="1" applyFill="1" applyBorder="1"/>
    <xf numFmtId="0" fontId="2727" fillId="2730" borderId="2678" xfId="0" applyFont="1" applyFill="1" applyBorder="1"/>
    <xf numFmtId="0" fontId="2728" fillId="2731" borderId="2679" xfId="0" applyFont="1" applyFill="1" applyBorder="1"/>
    <xf numFmtId="0" fontId="2729" fillId="2732" borderId="2680" xfId="0" applyFont="1" applyFill="1" applyBorder="1"/>
    <xf numFmtId="0" fontId="2730" fillId="2733" borderId="2681" xfId="0" applyFont="1" applyFill="1" applyBorder="1"/>
    <xf numFmtId="0" fontId="2731" fillId="2734" borderId="2682" xfId="0" applyFont="1" applyFill="1" applyBorder="1"/>
    <xf numFmtId="0" fontId="2732" fillId="2735" borderId="2683" xfId="0" applyFont="1" applyFill="1" applyBorder="1"/>
    <xf numFmtId="0" fontId="2733" fillId="2736" borderId="2684" xfId="0" applyFont="1" applyFill="1" applyBorder="1"/>
    <xf numFmtId="0" fontId="2734" fillId="2737" borderId="2685" xfId="0" applyFont="1" applyFill="1" applyBorder="1"/>
    <xf numFmtId="0" fontId="2735" fillId="2738" borderId="2686" xfId="0" applyFont="1" applyFill="1" applyBorder="1"/>
    <xf numFmtId="0" fontId="2736" fillId="2739" borderId="2687" xfId="0" applyFont="1" applyFill="1" applyBorder="1"/>
    <xf numFmtId="0" fontId="2737" fillId="2740" borderId="2688" xfId="0" applyFont="1" applyFill="1" applyBorder="1"/>
    <xf numFmtId="0" fontId="2738" fillId="2741" borderId="2689" xfId="0" applyFont="1" applyFill="1" applyBorder="1"/>
    <xf numFmtId="0" fontId="2739" fillId="2742" borderId="2690" xfId="0" applyFont="1" applyFill="1" applyBorder="1"/>
    <xf numFmtId="0" fontId="2740" fillId="2743" borderId="2691" xfId="0" applyFont="1" applyFill="1" applyBorder="1"/>
    <xf numFmtId="0" fontId="2741" fillId="2744" borderId="2692" xfId="0" applyFont="1" applyFill="1" applyBorder="1"/>
    <xf numFmtId="0" fontId="2742" fillId="2745" borderId="2693" xfId="0" applyFont="1" applyFill="1" applyBorder="1"/>
    <xf numFmtId="0" fontId="2743" fillId="2746" borderId="2694" xfId="0" applyFont="1" applyFill="1" applyBorder="1"/>
    <xf numFmtId="0" fontId="2744" fillId="2747" borderId="2695" xfId="0" applyFont="1" applyFill="1" applyBorder="1"/>
    <xf numFmtId="0" fontId="2745" fillId="2748" borderId="2696" xfId="0" applyFont="1" applyFill="1" applyBorder="1"/>
    <xf numFmtId="0" fontId="2746" fillId="2749" borderId="2697" xfId="0" applyFont="1" applyFill="1" applyBorder="1"/>
    <xf numFmtId="0" fontId="2747" fillId="2750" borderId="2698" xfId="0" applyFont="1" applyFill="1" applyBorder="1"/>
    <xf numFmtId="0" fontId="2748" fillId="2751" borderId="2699" xfId="0" applyFont="1" applyFill="1" applyBorder="1"/>
    <xf numFmtId="0" fontId="2749" fillId="2752" borderId="2700" xfId="0" applyFont="1" applyFill="1" applyBorder="1"/>
    <xf numFmtId="0" fontId="2750" fillId="2753" borderId="2701" xfId="0" applyFont="1" applyFill="1" applyBorder="1"/>
    <xf numFmtId="14" fontId="2751" fillId="2754" borderId="2702" xfId="0" applyNumberFormat="1" applyFont="1" applyFill="1" applyBorder="1"/>
    <xf numFmtId="0" fontId="2752" fillId="2755" borderId="2703" xfId="0" applyFont="1" applyFill="1" applyBorder="1"/>
    <xf numFmtId="0" fontId="2753" fillId="2756" borderId="2704" xfId="0" applyFont="1" applyFill="1" applyBorder="1"/>
    <xf numFmtId="0" fontId="2754" fillId="2757" borderId="2705" xfId="0" applyFont="1" applyFill="1" applyBorder="1"/>
    <xf numFmtId="0" fontId="2755" fillId="2758" borderId="2706" xfId="0" applyFont="1" applyFill="1" applyBorder="1"/>
    <xf numFmtId="0" fontId="2756" fillId="2759" borderId="2707" xfId="0" applyFont="1" applyFill="1" applyBorder="1"/>
    <xf numFmtId="0" fontId="2757" fillId="2760" borderId="2708" xfId="0" applyFont="1" applyFill="1" applyBorder="1"/>
    <xf numFmtId="0" fontId="2758" fillId="2761" borderId="2709" xfId="0" applyFont="1" applyFill="1" applyBorder="1"/>
    <xf numFmtId="0" fontId="2759" fillId="2762" borderId="2710" xfId="0" applyFont="1" applyFill="1" applyBorder="1"/>
    <xf numFmtId="0" fontId="2760" fillId="2763" borderId="2711" xfId="0" applyFont="1" applyFill="1" applyBorder="1"/>
    <xf numFmtId="0" fontId="2761" fillId="2764" borderId="2712" xfId="0" applyFont="1" applyFill="1" applyBorder="1"/>
    <xf numFmtId="0" fontId="2762" fillId="2765" borderId="2713" xfId="0" applyFont="1" applyFill="1" applyBorder="1"/>
    <xf numFmtId="0" fontId="2763" fillId="2766" borderId="2714" xfId="0" applyFont="1" applyFill="1" applyBorder="1"/>
    <xf numFmtId="0" fontId="2764" fillId="2767" borderId="2715" xfId="0" applyFont="1" applyFill="1" applyBorder="1"/>
    <xf numFmtId="0" fontId="2765" fillId="2768" borderId="2716" xfId="0" applyFont="1" applyFill="1" applyBorder="1"/>
    <xf numFmtId="0" fontId="2766" fillId="2769" borderId="2717" xfId="0" applyFont="1" applyFill="1" applyBorder="1"/>
    <xf numFmtId="0" fontId="2767" fillId="2770" borderId="2718" xfId="0" applyFont="1" applyFill="1" applyBorder="1"/>
    <xf numFmtId="0" fontId="2768" fillId="2771" borderId="2719" xfId="0" applyFont="1" applyFill="1" applyBorder="1"/>
    <xf numFmtId="0" fontId="2769" fillId="2772" borderId="2720" xfId="0" applyFont="1" applyFill="1" applyBorder="1"/>
    <xf numFmtId="0" fontId="2770" fillId="2773" borderId="2721" xfId="0" applyFont="1" applyFill="1" applyBorder="1"/>
    <xf numFmtId="0" fontId="2771" fillId="2774" borderId="2722" xfId="0" applyFont="1" applyFill="1" applyBorder="1"/>
    <xf numFmtId="0" fontId="2772" fillId="2775" borderId="2723" xfId="0" applyFont="1" applyFill="1" applyBorder="1"/>
    <xf numFmtId="0" fontId="2773" fillId="2776" borderId="2724" xfId="0" applyFont="1" applyFill="1" applyBorder="1"/>
    <xf numFmtId="0" fontId="2774" fillId="2777" borderId="2725" xfId="0" applyFont="1" applyFill="1" applyBorder="1"/>
    <xf numFmtId="0" fontId="2775" fillId="2778" borderId="2726" xfId="0" applyFont="1" applyFill="1" applyBorder="1"/>
    <xf numFmtId="0" fontId="2776" fillId="2779" borderId="2727" xfId="0" applyFont="1" applyFill="1" applyBorder="1"/>
    <xf numFmtId="0" fontId="2777" fillId="2780" borderId="2728" xfId="0" applyFont="1" applyFill="1" applyBorder="1"/>
    <xf numFmtId="0" fontId="2778" fillId="2781" borderId="2729" xfId="0" applyFont="1" applyFill="1" applyBorder="1"/>
    <xf numFmtId="0" fontId="2779" fillId="2782" borderId="2730" xfId="0" applyFont="1" applyFill="1" applyBorder="1"/>
    <xf numFmtId="0" fontId="2780" fillId="2783" borderId="2731" xfId="0" applyFont="1" applyFill="1" applyBorder="1"/>
    <xf numFmtId="0" fontId="2781" fillId="2784" borderId="2732" xfId="0" applyFont="1" applyFill="1" applyBorder="1"/>
    <xf numFmtId="0" fontId="2782" fillId="2785" borderId="2733" xfId="0" applyFont="1" applyFill="1" applyBorder="1"/>
    <xf numFmtId="0" fontId="2783" fillId="2786" borderId="2734" xfId="0" applyFont="1" applyFill="1" applyBorder="1"/>
    <xf numFmtId="0" fontId="2784" fillId="2787" borderId="2735" xfId="0" applyFont="1" applyFill="1" applyBorder="1"/>
    <xf numFmtId="0" fontId="2785" fillId="2788" borderId="2736" xfId="0" applyFont="1" applyFill="1" applyBorder="1"/>
    <xf numFmtId="0" fontId="2786" fillId="2789" borderId="2737" xfId="0" applyFont="1" applyFill="1" applyBorder="1"/>
    <xf numFmtId="14" fontId="2787" fillId="2790" borderId="2738" xfId="0" applyNumberFormat="1" applyFont="1" applyFill="1" applyBorder="1"/>
    <xf numFmtId="0" fontId="2788" fillId="2791" borderId="2739" xfId="0" applyFont="1" applyFill="1" applyBorder="1"/>
    <xf numFmtId="0" fontId="2789" fillId="2792" borderId="2740" xfId="0" applyFont="1" applyFill="1" applyBorder="1"/>
    <xf numFmtId="0" fontId="2790" fillId="2793" borderId="2741" xfId="0" applyFont="1" applyFill="1" applyBorder="1"/>
    <xf numFmtId="0" fontId="2791" fillId="2794" borderId="2742" xfId="0" applyFont="1" applyFill="1" applyBorder="1"/>
    <xf numFmtId="0" fontId="2792" fillId="2795" borderId="2743" xfId="0" applyFont="1" applyFill="1" applyBorder="1"/>
    <xf numFmtId="0" fontId="2793" fillId="2796" borderId="2744" xfId="0" applyFont="1" applyFill="1" applyBorder="1"/>
    <xf numFmtId="0" fontId="2794" fillId="2797" borderId="2745" xfId="0" applyFont="1" applyFill="1" applyBorder="1"/>
    <xf numFmtId="0" fontId="2795" fillId="2798" borderId="2746" xfId="0" applyFont="1" applyFill="1" applyBorder="1"/>
    <xf numFmtId="0" fontId="2796" fillId="2799" borderId="2747" xfId="0" applyFont="1" applyFill="1" applyBorder="1"/>
    <xf numFmtId="0" fontId="2797" fillId="2800" borderId="2748" xfId="0" applyFont="1" applyFill="1" applyBorder="1"/>
    <xf numFmtId="0" fontId="2798" fillId="2801" borderId="2749" xfId="0" applyFont="1" applyFill="1" applyBorder="1"/>
    <xf numFmtId="0" fontId="2799" fillId="2802" borderId="2750" xfId="0" applyFont="1" applyFill="1" applyBorder="1"/>
    <xf numFmtId="0" fontId="2800" fillId="2803" borderId="2751" xfId="0" applyFont="1" applyFill="1" applyBorder="1"/>
    <xf numFmtId="0" fontId="2801" fillId="2804" borderId="2752" xfId="0" applyFont="1" applyFill="1" applyBorder="1"/>
    <xf numFmtId="0" fontId="2802" fillId="2805" borderId="2753" xfId="0" applyFont="1" applyFill="1" applyBorder="1"/>
    <xf numFmtId="0" fontId="2803" fillId="2806" borderId="2754" xfId="0" applyFont="1" applyFill="1" applyBorder="1"/>
    <xf numFmtId="0" fontId="2804" fillId="2807" borderId="2755" xfId="0" applyFont="1" applyFill="1" applyBorder="1"/>
    <xf numFmtId="0" fontId="2805" fillId="2808" borderId="2756" xfId="0" applyFont="1" applyFill="1" applyBorder="1"/>
    <xf numFmtId="0" fontId="2806" fillId="2809" borderId="2757" xfId="0" applyFont="1" applyFill="1" applyBorder="1"/>
    <xf numFmtId="0" fontId="2807" fillId="2810" borderId="2758" xfId="0" applyFont="1" applyFill="1" applyBorder="1"/>
    <xf numFmtId="0" fontId="2808" fillId="2811" borderId="2759" xfId="0" applyFont="1" applyFill="1" applyBorder="1"/>
    <xf numFmtId="14" fontId="2809" fillId="2812" borderId="2760" xfId="0" applyNumberFormat="1" applyFont="1" applyFill="1" applyBorder="1"/>
    <xf numFmtId="0" fontId="2810" fillId="2813" borderId="2761" xfId="0" applyFont="1" applyFill="1" applyBorder="1"/>
    <xf numFmtId="0" fontId="2811" fillId="2814" borderId="2762" xfId="0" applyFont="1" applyFill="1" applyBorder="1"/>
    <xf numFmtId="0" fontId="2812" fillId="2815" borderId="2763" xfId="0" applyFont="1" applyFill="1" applyBorder="1"/>
    <xf numFmtId="0" fontId="2813" fillId="2816" borderId="2764" xfId="0" applyFont="1" applyFill="1" applyBorder="1"/>
    <xf numFmtId="0" fontId="2814" fillId="2817" borderId="2765" xfId="0" applyFont="1" applyFill="1" applyBorder="1"/>
    <xf numFmtId="0" fontId="2815" fillId="2818" borderId="2766" xfId="0" applyFont="1" applyFill="1" applyBorder="1"/>
    <xf numFmtId="0" fontId="2816" fillId="2819" borderId="2767" xfId="0" applyFont="1" applyFill="1" applyBorder="1"/>
    <xf numFmtId="0" fontId="2817" fillId="2820" borderId="2768" xfId="0" applyFont="1" applyFill="1" applyBorder="1"/>
    <xf numFmtId="0" fontId="2818" fillId="2821" borderId="2769" xfId="0" applyFont="1" applyFill="1" applyBorder="1"/>
    <xf numFmtId="0" fontId="2819" fillId="2822" borderId="2770" xfId="0" applyFont="1" applyFill="1" applyBorder="1"/>
    <xf numFmtId="0" fontId="2820" fillId="2823" borderId="2771" xfId="0" applyFont="1" applyFill="1" applyBorder="1"/>
    <xf numFmtId="0" fontId="2821" fillId="2824" borderId="2772" xfId="0" applyFont="1" applyFill="1" applyBorder="1"/>
    <xf numFmtId="0" fontId="2822" fillId="2825" borderId="2773" xfId="0" applyFont="1" applyFill="1" applyBorder="1"/>
    <xf numFmtId="0" fontId="2823" fillId="2826" borderId="2774" xfId="0" applyFont="1" applyFill="1" applyBorder="1"/>
    <xf numFmtId="0" fontId="2824" fillId="2827" borderId="2775" xfId="0" applyFont="1" applyFill="1" applyBorder="1"/>
    <xf numFmtId="0" fontId="2825" fillId="2828" borderId="2776" xfId="0" applyFont="1" applyFill="1" applyBorder="1"/>
    <xf numFmtId="0" fontId="2826" fillId="2829" borderId="2777" xfId="0" applyFont="1" applyFill="1" applyBorder="1"/>
    <xf numFmtId="0" fontId="2827" fillId="2830" borderId="2778" xfId="0" applyFont="1" applyFill="1" applyBorder="1"/>
    <xf numFmtId="0" fontId="2828" fillId="2831" borderId="2779" xfId="0" applyFont="1" applyFill="1" applyBorder="1"/>
    <xf numFmtId="0" fontId="2829" fillId="2832" borderId="2780" xfId="0" applyFont="1" applyFill="1" applyBorder="1"/>
    <xf numFmtId="0" fontId="2830" fillId="2833" borderId="2781" xfId="0" applyFont="1" applyFill="1" applyBorder="1"/>
    <xf numFmtId="0" fontId="2831" fillId="2834" borderId="2782" xfId="0" applyFont="1" applyFill="1" applyBorder="1"/>
    <xf numFmtId="0" fontId="2832" fillId="2835" borderId="2783" xfId="0" applyFont="1" applyFill="1" applyBorder="1"/>
    <xf numFmtId="0" fontId="2833" fillId="2836" borderId="2784" xfId="0" applyFont="1" applyFill="1" applyBorder="1"/>
    <xf numFmtId="0" fontId="2834" fillId="2837" borderId="2785" xfId="0" applyFont="1" applyFill="1" applyBorder="1"/>
    <xf numFmtId="0" fontId="2835" fillId="2838" borderId="2786" xfId="0" applyFont="1" applyFill="1" applyBorder="1"/>
    <xf numFmtId="0" fontId="2836" fillId="2839" borderId="2787" xfId="0" applyFont="1" applyFill="1" applyBorder="1"/>
    <xf numFmtId="0" fontId="2837" fillId="2840" borderId="2788" xfId="0" applyFont="1" applyFill="1" applyBorder="1"/>
    <xf numFmtId="0" fontId="2838" fillId="2841" borderId="2789" xfId="0" applyFont="1" applyFill="1" applyBorder="1"/>
    <xf numFmtId="0" fontId="2839" fillId="2842" borderId="2790" xfId="0" applyFont="1" applyFill="1" applyBorder="1"/>
    <xf numFmtId="0" fontId="2840" fillId="2843" borderId="2791" xfId="0" applyFont="1" applyFill="1" applyBorder="1"/>
    <xf numFmtId="0" fontId="2841" fillId="2844" borderId="2792" xfId="0" applyFont="1" applyFill="1" applyBorder="1"/>
    <xf numFmtId="0" fontId="2842" fillId="2845" borderId="2793" xfId="0" applyFont="1" applyFill="1" applyBorder="1"/>
    <xf numFmtId="0" fontId="2843" fillId="2846" borderId="2794" xfId="0" applyFont="1" applyFill="1" applyBorder="1"/>
    <xf numFmtId="0" fontId="2844" fillId="2847" borderId="2795" xfId="0" applyFont="1" applyFill="1" applyBorder="1"/>
    <xf numFmtId="14" fontId="2845" fillId="2848" borderId="2796" xfId="0" applyNumberFormat="1" applyFont="1" applyFill="1" applyBorder="1"/>
    <xf numFmtId="0" fontId="2846" fillId="2849" borderId="2797" xfId="0" applyFont="1" applyFill="1" applyBorder="1"/>
    <xf numFmtId="0" fontId="2847" fillId="2850" borderId="2798" xfId="0" applyFont="1" applyFill="1" applyBorder="1"/>
    <xf numFmtId="0" fontId="2848" fillId="2851" borderId="2799" xfId="0" applyFont="1" applyFill="1" applyBorder="1"/>
    <xf numFmtId="0" fontId="2849" fillId="2852" borderId="2800" xfId="0" applyFont="1" applyFill="1" applyBorder="1"/>
    <xf numFmtId="0" fontId="2850" fillId="2853" borderId="2801" xfId="0" applyFont="1" applyFill="1" applyBorder="1"/>
    <xf numFmtId="0" fontId="2851" fillId="2854" borderId="2802" xfId="0" applyFont="1" applyFill="1" applyBorder="1"/>
    <xf numFmtId="0" fontId="2852" fillId="2855" borderId="2803" xfId="0" applyFont="1" applyFill="1" applyBorder="1"/>
    <xf numFmtId="0" fontId="2853" fillId="2856" borderId="2804" xfId="0" applyFont="1" applyFill="1" applyBorder="1"/>
    <xf numFmtId="0" fontId="2854" fillId="2857" borderId="2805" xfId="0" applyFont="1" applyFill="1" applyBorder="1"/>
    <xf numFmtId="0" fontId="2855" fillId="2858" borderId="2806" xfId="0" applyFont="1" applyFill="1" applyBorder="1"/>
    <xf numFmtId="0" fontId="2856" fillId="2859" borderId="2807" xfId="0" applyFont="1" applyFill="1" applyBorder="1"/>
    <xf numFmtId="0" fontId="2857" fillId="2860" borderId="2808" xfId="0" applyFont="1" applyFill="1" applyBorder="1"/>
    <xf numFmtId="0" fontId="2858" fillId="2861" borderId="2809" xfId="0" applyFont="1" applyFill="1" applyBorder="1"/>
    <xf numFmtId="0" fontId="2859" fillId="2862" borderId="2810" xfId="0" applyFont="1" applyFill="1" applyBorder="1"/>
    <xf numFmtId="0" fontId="2860" fillId="2863" borderId="2811" xfId="0" applyFont="1" applyFill="1" applyBorder="1"/>
    <xf numFmtId="0" fontId="2861" fillId="2864" borderId="2812" xfId="0" applyFont="1" applyFill="1" applyBorder="1"/>
    <xf numFmtId="0" fontId="2862" fillId="2865" borderId="2813" xfId="0" applyFont="1" applyFill="1" applyBorder="1"/>
    <xf numFmtId="0" fontId="2863" fillId="2866" borderId="2814" xfId="0" applyFont="1" applyFill="1" applyBorder="1"/>
    <xf numFmtId="0" fontId="2864" fillId="2867" borderId="2815" xfId="0" applyFont="1" applyFill="1" applyBorder="1"/>
    <xf numFmtId="0" fontId="2865" fillId="2868" borderId="2816" xfId="0" applyFont="1" applyFill="1" applyBorder="1"/>
    <xf numFmtId="0" fontId="2866" fillId="2869" borderId="2817" xfId="0" applyFont="1" applyFill="1" applyBorder="1"/>
    <xf numFmtId="14" fontId="2867" fillId="2870" borderId="2818" xfId="0" applyNumberFormat="1" applyFont="1" applyFill="1" applyBorder="1"/>
    <xf numFmtId="0" fontId="2868" fillId="2871" borderId="2819" xfId="0" applyFont="1" applyFill="1" applyBorder="1"/>
    <xf numFmtId="0" fontId="2869" fillId="2872" borderId="2820" xfId="0" applyFont="1" applyFill="1" applyBorder="1"/>
    <xf numFmtId="0" fontId="2870" fillId="2873" borderId="2821" xfId="0" applyFont="1" applyFill="1" applyBorder="1"/>
    <xf numFmtId="0" fontId="2871" fillId="2874" borderId="2822" xfId="0" applyFont="1" applyFill="1" applyBorder="1"/>
    <xf numFmtId="0" fontId="2872" fillId="2875" borderId="2823" xfId="0" applyFont="1" applyFill="1" applyBorder="1"/>
    <xf numFmtId="0" fontId="2873" fillId="2876" borderId="2824" xfId="0" applyFont="1" applyFill="1" applyBorder="1"/>
    <xf numFmtId="0" fontId="2874" fillId="2877" borderId="2825" xfId="0" applyFont="1" applyFill="1" applyBorder="1"/>
    <xf numFmtId="0" fontId="2875" fillId="2878" borderId="2826" xfId="0" applyFont="1" applyFill="1" applyBorder="1"/>
    <xf numFmtId="0" fontId="2876" fillId="2879" borderId="2827" xfId="0" applyFont="1" applyFill="1" applyBorder="1"/>
    <xf numFmtId="0" fontId="2877" fillId="2880" borderId="2828" xfId="0" applyFont="1" applyFill="1" applyBorder="1"/>
    <xf numFmtId="0" fontId="2878" fillId="2881" borderId="2829" xfId="0" applyFont="1" applyFill="1" applyBorder="1"/>
    <xf numFmtId="0" fontId="2879" fillId="2883" borderId="2831" xfId="0" applyFont="1" applyFill="1" applyBorder="1"/>
    <xf numFmtId="0" fontId="2880" fillId="2884" borderId="2832" xfId="0" applyFont="1" applyFill="1" applyBorder="1"/>
    <xf numFmtId="0" fontId="2881" fillId="2885" borderId="2833" xfId="0" applyFont="1" applyFill="1" applyBorder="1"/>
    <xf numFmtId="0" fontId="2882" fillId="2886" borderId="2834" xfId="0" applyFont="1" applyFill="1" applyBorder="1"/>
    <xf numFmtId="0" fontId="2883" fillId="2887" borderId="2835" xfId="0" applyFont="1" applyFill="1" applyBorder="1"/>
    <xf numFmtId="0" fontId="2884" fillId="2888" borderId="2836" xfId="0" applyFont="1" applyFill="1" applyBorder="1"/>
    <xf numFmtId="14" fontId="2885" fillId="2889" borderId="2837" xfId="0" applyNumberFormat="1" applyFont="1" applyFill="1" applyBorder="1"/>
    <xf numFmtId="0" fontId="2886" fillId="2890" borderId="2838" xfId="0" applyFont="1" applyFill="1" applyBorder="1"/>
    <xf numFmtId="0" fontId="2887" fillId="2891" borderId="2839" xfId="0" applyFont="1" applyFill="1" applyBorder="1"/>
    <xf numFmtId="0" fontId="2888" fillId="2892" borderId="2840" xfId="0" applyFont="1" applyFill="1" applyBorder="1"/>
    <xf numFmtId="0" fontId="2889" fillId="2893" borderId="2841" xfId="0" applyFont="1" applyFill="1" applyBorder="1"/>
    <xf numFmtId="0" fontId="2890" fillId="2894" borderId="2842" xfId="0" applyFont="1" applyFill="1" applyBorder="1"/>
    <xf numFmtId="0" fontId="2891" fillId="2895" borderId="2843" xfId="0" applyFont="1" applyFill="1" applyBorder="1"/>
    <xf numFmtId="0" fontId="2892" fillId="2896" borderId="2844" xfId="0" applyFont="1" applyFill="1" applyBorder="1"/>
    <xf numFmtId="0" fontId="2893" fillId="2897" borderId="2845" xfId="0" applyFont="1" applyFill="1" applyBorder="1"/>
    <xf numFmtId="0" fontId="2894" fillId="2898" borderId="2846" xfId="0" applyFont="1" applyFill="1" applyBorder="1"/>
    <xf numFmtId="0" fontId="2895" fillId="2899" borderId="2847" xfId="0" applyFont="1" applyFill="1" applyBorder="1"/>
    <xf numFmtId="0" fontId="2896" fillId="2900" borderId="2848" xfId="0" applyFont="1" applyFill="1" applyBorder="1"/>
    <xf numFmtId="0" fontId="2897" fillId="2901" borderId="2849" xfId="0" applyFont="1" applyFill="1" applyBorder="1"/>
    <xf numFmtId="0" fontId="2898" fillId="2902" borderId="2850" xfId="0" applyFont="1" applyFill="1" applyBorder="1"/>
    <xf numFmtId="0" fontId="2899" fillId="2903" borderId="2851" xfId="0" applyFont="1" applyFill="1" applyBorder="1"/>
    <xf numFmtId="0" fontId="2900" fillId="2904" borderId="2852" xfId="0" applyFont="1" applyFill="1" applyBorder="1"/>
    <xf numFmtId="0" fontId="2901" fillId="2905" borderId="2853" xfId="0" applyFont="1" applyFill="1" applyBorder="1"/>
    <xf numFmtId="0" fontId="2902" fillId="2906" borderId="2854" xfId="0" applyFont="1" applyFill="1" applyBorder="1"/>
    <xf numFmtId="0" fontId="2903" fillId="2907" borderId="2855" xfId="0" applyFont="1" applyFill="1" applyBorder="1"/>
    <xf numFmtId="0" fontId="2904" fillId="2908" borderId="2856" xfId="0" applyFont="1" applyFill="1" applyBorder="1"/>
    <xf numFmtId="0" fontId="2905" fillId="2909" borderId="2857" xfId="0" applyFont="1" applyFill="1" applyBorder="1"/>
    <xf numFmtId="0" fontId="2906" fillId="2910" borderId="2858" xfId="0" applyFont="1" applyFill="1" applyBorder="1"/>
    <xf numFmtId="0" fontId="2907" fillId="2911" borderId="2859" xfId="0" applyFont="1" applyFill="1" applyBorder="1"/>
    <xf numFmtId="0" fontId="2908" fillId="2912" borderId="2860" xfId="0" applyFont="1" applyFill="1" applyBorder="1"/>
    <xf numFmtId="0" fontId="2909" fillId="2913" borderId="2861" xfId="0" applyFont="1" applyFill="1" applyBorder="1"/>
    <xf numFmtId="0" fontId="2910" fillId="2914" borderId="2862" xfId="0" applyFont="1" applyFill="1" applyBorder="1"/>
    <xf numFmtId="0" fontId="2911" fillId="2915" borderId="2863" xfId="0" applyFont="1" applyFill="1" applyBorder="1"/>
    <xf numFmtId="0" fontId="2912" fillId="2916" borderId="2864" xfId="0" applyFont="1" applyFill="1" applyBorder="1"/>
    <xf numFmtId="0" fontId="2913" fillId="2917" borderId="2865" xfId="0" applyFont="1" applyFill="1" applyBorder="1"/>
    <xf numFmtId="0" fontId="2914" fillId="2918" borderId="2866" xfId="0" applyFont="1" applyFill="1" applyBorder="1"/>
    <xf numFmtId="0" fontId="2915" fillId="2919" borderId="2867" xfId="0" applyFont="1" applyFill="1" applyBorder="1"/>
    <xf numFmtId="0" fontId="2916" fillId="2920" borderId="2868" xfId="0" applyFont="1" applyFill="1" applyBorder="1"/>
    <xf numFmtId="0" fontId="2917" fillId="2921" borderId="2869" xfId="0" applyFont="1" applyFill="1" applyBorder="1"/>
    <xf numFmtId="0" fontId="2918" fillId="2922" borderId="2870" xfId="0" applyFont="1" applyFill="1" applyBorder="1"/>
    <xf numFmtId="0" fontId="2919" fillId="2923" borderId="2871" xfId="0" applyFont="1" applyFill="1" applyBorder="1"/>
    <xf numFmtId="0" fontId="2920" fillId="2924" borderId="2872" xfId="0" applyFont="1" applyFill="1" applyBorder="1"/>
    <xf numFmtId="0" fontId="2921" fillId="2925" borderId="2873" xfId="0" applyFont="1" applyFill="1" applyBorder="1"/>
    <xf numFmtId="0" fontId="2922" fillId="2926" borderId="2874" xfId="0" applyFont="1" applyFill="1" applyBorder="1"/>
    <xf numFmtId="0" fontId="2923" fillId="2927" borderId="2875" xfId="0" applyFont="1" applyFill="1" applyBorder="1"/>
    <xf numFmtId="0" fontId="2924" fillId="2928" borderId="2876" xfId="0" applyFont="1" applyFill="1" applyBorder="1"/>
    <xf numFmtId="0" fontId="2925" fillId="2929" borderId="2877" xfId="0" applyFont="1" applyFill="1" applyBorder="1"/>
    <xf numFmtId="0" fontId="2926" fillId="2930" borderId="2878" xfId="0" applyFont="1" applyFill="1" applyBorder="1"/>
    <xf numFmtId="0" fontId="2927" fillId="2931" borderId="2879" xfId="0" applyFont="1" applyFill="1" applyBorder="1"/>
    <xf numFmtId="0" fontId="2928" fillId="2932" borderId="2880" xfId="0" applyFont="1" applyFill="1" applyBorder="1"/>
    <xf numFmtId="0" fontId="2929" fillId="2933" borderId="2881" xfId="0" applyFont="1" applyFill="1" applyBorder="1"/>
    <xf numFmtId="0" fontId="2930" fillId="2934" borderId="2882" xfId="0" applyFont="1" applyFill="1" applyBorder="1"/>
    <xf numFmtId="0" fontId="2931" fillId="2935" borderId="2883" xfId="0" applyFont="1" applyFill="1" applyBorder="1"/>
    <xf numFmtId="0" fontId="2932" fillId="2936" borderId="2884" xfId="0" applyFont="1" applyFill="1" applyBorder="1"/>
    <xf numFmtId="0" fontId="2933" fillId="2937" borderId="2885" xfId="0" applyFont="1" applyFill="1" applyBorder="1"/>
    <xf numFmtId="0" fontId="2934" fillId="2938" borderId="2886" xfId="0" applyFont="1" applyFill="1" applyBorder="1"/>
    <xf numFmtId="0" fontId="2935" fillId="2939" borderId="2887" xfId="0" applyFont="1" applyFill="1" applyBorder="1"/>
    <xf numFmtId="0" fontId="2936" fillId="2940" borderId="2888" xfId="0" applyFont="1" applyFill="1" applyBorder="1"/>
    <xf numFmtId="0" fontId="2937" fillId="2941" borderId="2889" xfId="0" applyFont="1" applyFill="1" applyBorder="1"/>
    <xf numFmtId="0" fontId="2938" fillId="2942" borderId="2890" xfId="0" applyFont="1" applyFill="1" applyBorder="1"/>
    <xf numFmtId="0" fontId="2939" fillId="2943" borderId="2891" xfId="0" applyFont="1" applyFill="1" applyBorder="1"/>
    <xf numFmtId="0" fontId="2940" fillId="2944" borderId="2892" xfId="0" applyFont="1" applyFill="1" applyBorder="1"/>
    <xf numFmtId="0" fontId="2941" fillId="2945" borderId="2893" xfId="0" applyFont="1" applyFill="1" applyBorder="1"/>
    <xf numFmtId="0" fontId="2942" fillId="2946" borderId="2894" xfId="0" applyFont="1" applyFill="1" applyBorder="1"/>
    <xf numFmtId="0" fontId="2943" fillId="2947" borderId="2895" xfId="0" applyFont="1" applyFill="1" applyBorder="1"/>
    <xf numFmtId="0" fontId="2944" fillId="2948" borderId="2896" xfId="0" applyFont="1" applyFill="1" applyBorder="1"/>
    <xf numFmtId="0" fontId="2945" fillId="2949" borderId="2897" xfId="0" applyFont="1" applyFill="1" applyBorder="1"/>
    <xf numFmtId="0" fontId="2946" fillId="2950" borderId="2898" xfId="0" applyFont="1" applyFill="1" applyBorder="1"/>
    <xf numFmtId="0" fontId="2947" fillId="2951" borderId="2899" xfId="0" applyFont="1" applyFill="1" applyBorder="1"/>
    <xf numFmtId="0" fontId="2948" fillId="2952" borderId="2900" xfId="0" applyFont="1" applyFill="1" applyBorder="1"/>
    <xf numFmtId="0" fontId="2949" fillId="2953" borderId="2901" xfId="0" applyFont="1" applyFill="1" applyBorder="1"/>
    <xf numFmtId="0" fontId="2950" fillId="2954" borderId="2902" xfId="0" applyFont="1" applyFill="1" applyBorder="1"/>
    <xf numFmtId="0" fontId="2951" fillId="2955" borderId="2903" xfId="0" applyFont="1" applyFill="1" applyBorder="1"/>
    <xf numFmtId="0" fontId="2952" fillId="2956" borderId="2904" xfId="0" applyFont="1" applyFill="1" applyBorder="1"/>
    <xf numFmtId="0" fontId="2953" fillId="2957" borderId="2905" xfId="0" applyFont="1" applyFill="1" applyBorder="1"/>
    <xf numFmtId="0" fontId="2954" fillId="2958" borderId="2906" xfId="0" applyFont="1" applyFill="1" applyBorder="1"/>
    <xf numFmtId="0" fontId="2955" fillId="2959" borderId="2907" xfId="0" applyFont="1" applyFill="1" applyBorder="1"/>
    <xf numFmtId="14" fontId="2956" fillId="2960" borderId="2908" xfId="0" applyNumberFormat="1" applyFont="1" applyFill="1" applyBorder="1"/>
    <xf numFmtId="0" fontId="2957" fillId="2961" borderId="2909" xfId="0" applyFont="1" applyFill="1" applyBorder="1"/>
    <xf numFmtId="0" fontId="2958" fillId="2962" borderId="2910" xfId="0" applyFont="1" applyFill="1" applyBorder="1"/>
    <xf numFmtId="0" fontId="2959" fillId="2963" borderId="2911" xfId="0" applyFont="1" applyFill="1" applyBorder="1"/>
    <xf numFmtId="0" fontId="2960" fillId="2964" borderId="2912" xfId="0" applyFont="1" applyFill="1" applyBorder="1"/>
    <xf numFmtId="0" fontId="2961" fillId="2965" borderId="2913" xfId="0" applyFont="1" applyFill="1" applyBorder="1"/>
    <xf numFmtId="0" fontId="2962" fillId="2966" borderId="2914" xfId="0" applyFont="1" applyFill="1" applyBorder="1"/>
    <xf numFmtId="0" fontId="2963" fillId="2967" borderId="2915" xfId="0" applyFont="1" applyFill="1" applyBorder="1"/>
    <xf numFmtId="0" fontId="2964" fillId="2968" borderId="2916" xfId="0" applyFont="1" applyFill="1" applyBorder="1"/>
    <xf numFmtId="0" fontId="2965" fillId="2969" borderId="2917" xfId="0" applyFont="1" applyFill="1" applyBorder="1"/>
    <xf numFmtId="0" fontId="2966" fillId="2970" borderId="2918" xfId="0" applyFont="1" applyFill="1" applyBorder="1"/>
    <xf numFmtId="0" fontId="2967" fillId="2971" borderId="2919" xfId="0" applyFont="1" applyFill="1" applyBorder="1"/>
    <xf numFmtId="0" fontId="2968" fillId="2972" borderId="2920" xfId="0" applyFont="1" applyFill="1" applyBorder="1"/>
    <xf numFmtId="0" fontId="2969" fillId="2973" borderId="2921" xfId="0" applyFont="1" applyFill="1" applyBorder="1"/>
    <xf numFmtId="0" fontId="2970" fillId="2974" borderId="2922" xfId="0" applyFont="1" applyFill="1" applyBorder="1"/>
    <xf numFmtId="0" fontId="2971" fillId="2975" borderId="2923" xfId="0" applyFont="1" applyFill="1" applyBorder="1"/>
    <xf numFmtId="0" fontId="2972" fillId="2976" borderId="2924" xfId="0" applyFont="1" applyFill="1" applyBorder="1"/>
    <xf numFmtId="0" fontId="2973" fillId="2977" borderId="2925" xfId="0" applyFont="1" applyFill="1" applyBorder="1"/>
    <xf numFmtId="0" fontId="2974" fillId="2978" borderId="2926" xfId="0" applyFont="1" applyFill="1" applyBorder="1"/>
    <xf numFmtId="0" fontId="2975" fillId="2979" borderId="2927" xfId="0" applyFont="1" applyFill="1" applyBorder="1"/>
    <xf numFmtId="0" fontId="2976" fillId="2980" borderId="2928" xfId="0" applyFont="1" applyFill="1" applyBorder="1"/>
    <xf numFmtId="0" fontId="2977" fillId="2981" borderId="2929" xfId="0" applyFont="1" applyFill="1" applyBorder="1"/>
    <xf numFmtId="0" fontId="2978" fillId="2982" borderId="2930" xfId="0" applyFont="1" applyFill="1" applyBorder="1"/>
    <xf numFmtId="0" fontId="2979" fillId="2983" borderId="2931" xfId="0" applyFont="1" applyFill="1" applyBorder="1"/>
    <xf numFmtId="0" fontId="2980" fillId="2984" borderId="2932" xfId="0" applyFont="1" applyFill="1" applyBorder="1"/>
    <xf numFmtId="0" fontId="2981" fillId="2985" borderId="2933" xfId="0" applyFont="1" applyFill="1" applyBorder="1"/>
    <xf numFmtId="0" fontId="2982" fillId="2986" borderId="2934" xfId="0" applyFont="1" applyFill="1" applyBorder="1"/>
    <xf numFmtId="0" fontId="2983" fillId="2987" borderId="2935" xfId="0" applyFont="1" applyFill="1" applyBorder="1"/>
    <xf numFmtId="0" fontId="2984" fillId="2988" borderId="2936" xfId="0" applyFont="1" applyFill="1" applyBorder="1"/>
    <xf numFmtId="0" fontId="2985" fillId="2989" borderId="2937" xfId="0" applyFont="1" applyFill="1" applyBorder="1"/>
    <xf numFmtId="0" fontId="2986" fillId="2990" borderId="2938" xfId="0" applyFont="1" applyFill="1" applyBorder="1"/>
    <xf numFmtId="0" fontId="2987" fillId="2991" borderId="2939" xfId="0" applyFont="1" applyFill="1" applyBorder="1"/>
    <xf numFmtId="0" fontId="2988" fillId="2992" borderId="2940" xfId="0" applyFont="1" applyFill="1" applyBorder="1"/>
    <xf numFmtId="0" fontId="2989" fillId="2993" borderId="2941" xfId="0" applyFont="1" applyFill="1" applyBorder="1"/>
    <xf numFmtId="0" fontId="2990" fillId="2994" borderId="2942" xfId="0" applyFont="1" applyFill="1" applyBorder="1"/>
    <xf numFmtId="0" fontId="2991" fillId="2995" borderId="2943" xfId="0" applyFont="1" applyFill="1" applyBorder="1"/>
    <xf numFmtId="0" fontId="2992" fillId="2996" borderId="2944" xfId="0" applyFont="1" applyFill="1" applyBorder="1"/>
    <xf numFmtId="0" fontId="2993" fillId="2997" borderId="2945" xfId="0" applyFont="1" applyFill="1" applyBorder="1"/>
    <xf numFmtId="0" fontId="2994" fillId="2998" borderId="2946" xfId="0" applyFont="1" applyFill="1" applyBorder="1"/>
    <xf numFmtId="0" fontId="2995" fillId="2999" borderId="2947" xfId="0" applyFont="1" applyFill="1" applyBorder="1"/>
    <xf numFmtId="0" fontId="2996" fillId="3000" borderId="2948" xfId="0" applyFont="1" applyFill="1" applyBorder="1"/>
    <xf numFmtId="0" fontId="2997" fillId="3001" borderId="2949" xfId="0" applyFont="1" applyFill="1" applyBorder="1"/>
    <xf numFmtId="0" fontId="2998" fillId="3002" borderId="2950" xfId="0" applyFont="1" applyFill="1" applyBorder="1"/>
    <xf numFmtId="0" fontId="2999" fillId="3003" borderId="2951" xfId="0" applyFont="1" applyFill="1" applyBorder="1"/>
    <xf numFmtId="0" fontId="3000" fillId="3004" borderId="2952" xfId="0" applyFont="1" applyFill="1" applyBorder="1"/>
    <xf numFmtId="0" fontId="3001" fillId="3005" borderId="2953" xfId="0" applyFont="1" applyFill="1" applyBorder="1"/>
    <xf numFmtId="0" fontId="3002" fillId="3006" borderId="2954" xfId="0" applyFont="1" applyFill="1" applyBorder="1"/>
    <xf numFmtId="0" fontId="3003" fillId="3007" borderId="2955" xfId="0" applyFont="1" applyFill="1" applyBorder="1"/>
    <xf numFmtId="0" fontId="3004" fillId="3008" borderId="2956" xfId="0" applyFont="1" applyFill="1" applyBorder="1"/>
    <xf numFmtId="0" fontId="3005" fillId="3009" borderId="2957" xfId="0" applyFont="1" applyFill="1" applyBorder="1"/>
    <xf numFmtId="0" fontId="3006" fillId="3010" borderId="2958" xfId="0" applyFont="1" applyFill="1" applyBorder="1"/>
    <xf numFmtId="14" fontId="3007" fillId="3011" borderId="2959" xfId="0" applyNumberFormat="1" applyFont="1" applyFill="1" applyBorder="1"/>
    <xf numFmtId="0" fontId="3008" fillId="3012" borderId="2960" xfId="0" applyFont="1" applyFill="1" applyBorder="1"/>
    <xf numFmtId="0" fontId="3009" fillId="3013" borderId="2961" xfId="0" applyFont="1" applyFill="1" applyBorder="1"/>
    <xf numFmtId="0" fontId="3010" fillId="3014" borderId="2962" xfId="0" applyFont="1" applyFill="1" applyBorder="1"/>
    <xf numFmtId="0" fontId="3011" fillId="3015" borderId="2963" xfId="0" applyFont="1" applyFill="1" applyBorder="1"/>
    <xf numFmtId="0" fontId="3012" fillId="3016" borderId="2964" xfId="0" applyFont="1" applyFill="1" applyBorder="1"/>
    <xf numFmtId="0" fontId="3013" fillId="3017" borderId="2965" xfId="0" applyFont="1" applyFill="1" applyBorder="1"/>
    <xf numFmtId="0" fontId="3014" fillId="3018" borderId="2966" xfId="0" applyFont="1" applyFill="1" applyBorder="1"/>
    <xf numFmtId="0" fontId="3015" fillId="3019" borderId="2967" xfId="0" applyFont="1" applyFill="1" applyBorder="1"/>
    <xf numFmtId="0" fontId="3016" fillId="3020" borderId="2968" xfId="0" applyFont="1" applyFill="1" applyBorder="1"/>
    <xf numFmtId="0" fontId="3017" fillId="3021" borderId="2969" xfId="0" applyFont="1" applyFill="1" applyBorder="1"/>
    <xf numFmtId="0" fontId="3018" fillId="3022" borderId="2970" xfId="0" applyFont="1" applyFill="1" applyBorder="1"/>
    <xf numFmtId="0" fontId="3019" fillId="3023" borderId="2971" xfId="0" applyFont="1" applyFill="1" applyBorder="1"/>
    <xf numFmtId="0" fontId="3020" fillId="3024" borderId="2972" xfId="0" applyFont="1" applyFill="1" applyBorder="1"/>
    <xf numFmtId="0" fontId="3021" fillId="3025" borderId="2973" xfId="0" applyFont="1" applyFill="1" applyBorder="1"/>
    <xf numFmtId="0" fontId="3022" fillId="3026" borderId="2974" xfId="0" applyFont="1" applyFill="1" applyBorder="1"/>
    <xf numFmtId="0" fontId="3023" fillId="3027" borderId="2975" xfId="0" applyFont="1" applyFill="1" applyBorder="1"/>
    <xf numFmtId="0" fontId="3024" fillId="3028" borderId="2976" xfId="0" applyFont="1" applyFill="1" applyBorder="1"/>
    <xf numFmtId="0" fontId="3025" fillId="3029" borderId="2977" xfId="0" applyFont="1" applyFill="1" applyBorder="1"/>
    <xf numFmtId="0" fontId="3026" fillId="3030" borderId="2978" xfId="0" applyFont="1" applyFill="1" applyBorder="1"/>
    <xf numFmtId="0" fontId="3027" fillId="3031" borderId="2979" xfId="0" applyFont="1" applyFill="1" applyBorder="1"/>
    <xf numFmtId="0" fontId="3028" fillId="3032" borderId="2980" xfId="0" applyFont="1" applyFill="1" applyBorder="1"/>
    <xf numFmtId="0" fontId="3029" fillId="3033" borderId="2981" xfId="0" applyFont="1" applyFill="1" applyBorder="1"/>
    <xf numFmtId="0" fontId="3030" fillId="3034" borderId="2982" xfId="0" applyFont="1" applyFill="1" applyBorder="1"/>
    <xf numFmtId="0" fontId="3031" fillId="3035" borderId="2983" xfId="0" applyFont="1" applyFill="1" applyBorder="1"/>
    <xf numFmtId="0" fontId="3032" fillId="3036" borderId="2984" xfId="0" applyFont="1" applyFill="1" applyBorder="1"/>
    <xf numFmtId="0" fontId="3033" fillId="3037" borderId="2985" xfId="0" applyFont="1" applyFill="1" applyBorder="1"/>
    <xf numFmtId="0" fontId="3034" fillId="3038" borderId="2986" xfId="0" applyFont="1" applyFill="1" applyBorder="1"/>
    <xf numFmtId="0" fontId="3035" fillId="3039" borderId="2987" xfId="0" applyFont="1" applyFill="1" applyBorder="1"/>
    <xf numFmtId="0" fontId="3036" fillId="3040" borderId="2988" xfId="0" applyFont="1" applyFill="1" applyBorder="1"/>
    <xf numFmtId="0" fontId="3037" fillId="3041" borderId="2989" xfId="0" applyFont="1" applyFill="1" applyBorder="1"/>
    <xf numFmtId="0" fontId="3038" fillId="3042" borderId="2990" xfId="0" applyFont="1" applyFill="1" applyBorder="1"/>
    <xf numFmtId="0" fontId="3039" fillId="3043" borderId="2991" xfId="0" applyFont="1" applyFill="1" applyBorder="1"/>
    <xf numFmtId="0" fontId="3040" fillId="3044" borderId="2992" xfId="0" applyFont="1" applyFill="1" applyBorder="1"/>
    <xf numFmtId="0" fontId="3041" fillId="3045" borderId="2993" xfId="0" applyFont="1" applyFill="1" applyBorder="1"/>
    <xf numFmtId="0" fontId="3042" fillId="3046" borderId="2994" xfId="0" applyFont="1" applyFill="1" applyBorder="1"/>
    <xf numFmtId="0" fontId="3043" fillId="3047" borderId="2995" xfId="0" applyFont="1" applyFill="1" applyBorder="1"/>
    <xf numFmtId="0" fontId="3044" fillId="3048" borderId="2996" xfId="0" applyFont="1" applyFill="1" applyBorder="1"/>
    <xf numFmtId="0" fontId="3045" fillId="3049" borderId="2997" xfId="0" applyFont="1" applyFill="1" applyBorder="1"/>
    <xf numFmtId="0" fontId="3046" fillId="3050" borderId="2998" xfId="0" applyFont="1" applyFill="1" applyBorder="1"/>
    <xf numFmtId="0" fontId="3047" fillId="3051" borderId="2999" xfId="0" applyFont="1" applyFill="1" applyBorder="1"/>
    <xf numFmtId="0" fontId="3048" fillId="3052" borderId="3000" xfId="0" applyFont="1" applyFill="1" applyBorder="1"/>
    <xf numFmtId="0" fontId="3049" fillId="3053" borderId="3001" xfId="0" applyFont="1" applyFill="1" applyBorder="1"/>
    <xf numFmtId="0" fontId="3050" fillId="3054" borderId="3002" xfId="0" applyFont="1" applyFill="1" applyBorder="1"/>
    <xf numFmtId="0" fontId="3051" fillId="3055" borderId="3003" xfId="0" applyFont="1" applyFill="1" applyBorder="1"/>
    <xf numFmtId="0" fontId="3052" fillId="3056" borderId="3004" xfId="0" applyFont="1" applyFill="1" applyBorder="1"/>
    <xf numFmtId="0" fontId="3053" fillId="3057" borderId="3005" xfId="0" applyFont="1" applyFill="1" applyBorder="1"/>
    <xf numFmtId="0" fontId="3054" fillId="3058" borderId="3006" xfId="0" applyFont="1" applyFill="1" applyBorder="1"/>
    <xf numFmtId="0" fontId="3055" fillId="3059" borderId="3007" xfId="0" applyFont="1" applyFill="1" applyBorder="1"/>
    <xf numFmtId="0" fontId="3056" fillId="3060" borderId="3008" xfId="0" applyFont="1" applyFill="1" applyBorder="1"/>
    <xf numFmtId="0" fontId="3057" fillId="3061" borderId="3009" xfId="0" applyFont="1" applyFill="1" applyBorder="1"/>
    <xf numFmtId="14" fontId="3058" fillId="3062" borderId="3010" xfId="0" applyNumberFormat="1" applyFont="1" applyFill="1" applyBorder="1"/>
    <xf numFmtId="0" fontId="3059" fillId="3063" borderId="3011" xfId="0" applyFont="1" applyFill="1" applyBorder="1"/>
    <xf numFmtId="0" fontId="3060" fillId="3064" borderId="3012" xfId="0" applyFont="1" applyFill="1" applyBorder="1"/>
    <xf numFmtId="0" fontId="3061" fillId="3065" borderId="3013" xfId="0" applyFont="1" applyFill="1" applyBorder="1"/>
    <xf numFmtId="0" fontId="3062" fillId="3066" borderId="3014" xfId="0" applyFont="1" applyFill="1" applyBorder="1"/>
    <xf numFmtId="0" fontId="3063" fillId="3067" borderId="3015" xfId="0" applyFont="1" applyFill="1" applyBorder="1"/>
    <xf numFmtId="0" fontId="3064" fillId="3068" borderId="3016" xfId="0" applyFont="1" applyFill="1" applyBorder="1"/>
    <xf numFmtId="0" fontId="3065" fillId="3069" borderId="3017" xfId="0" applyFont="1" applyFill="1" applyBorder="1"/>
    <xf numFmtId="0" fontId="3066" fillId="3070" borderId="3018" xfId="0" applyFont="1" applyFill="1" applyBorder="1"/>
    <xf numFmtId="0" fontId="3067" fillId="3071" borderId="3019" xfId="0" applyFont="1" applyFill="1" applyBorder="1"/>
    <xf numFmtId="0" fontId="3068" fillId="3072" borderId="3020" xfId="0" applyFont="1" applyFill="1" applyBorder="1"/>
    <xf numFmtId="0" fontId="3069" fillId="3073" borderId="3021" xfId="0" applyFont="1" applyFill="1" applyBorder="1"/>
    <xf numFmtId="0" fontId="3070" fillId="3074" borderId="3022" xfId="0" applyFont="1" applyFill="1" applyBorder="1"/>
    <xf numFmtId="0" fontId="3071" fillId="3075" borderId="3023" xfId="0" applyFont="1" applyFill="1" applyBorder="1"/>
    <xf numFmtId="0" fontId="3072" fillId="3076" borderId="3024" xfId="0" applyFont="1" applyFill="1" applyBorder="1"/>
    <xf numFmtId="0" fontId="3073" fillId="3077" borderId="3025" xfId="0" applyFont="1" applyFill="1" applyBorder="1"/>
    <xf numFmtId="0" fontId="3074" fillId="3078" borderId="3026" xfId="0" applyFont="1" applyFill="1" applyBorder="1"/>
    <xf numFmtId="0" fontId="3075" fillId="3079" borderId="3027" xfId="0" applyFont="1" applyFill="1" applyBorder="1"/>
    <xf numFmtId="0" fontId="3076" fillId="3080" borderId="3028" xfId="0" applyFont="1" applyFill="1" applyBorder="1"/>
    <xf numFmtId="0" fontId="3077" fillId="3081" borderId="3029" xfId="0" applyFont="1" applyFill="1" applyBorder="1"/>
    <xf numFmtId="0" fontId="3078" fillId="3082" borderId="3030" xfId="0" applyFont="1" applyFill="1" applyBorder="1"/>
    <xf numFmtId="0" fontId="3079" fillId="3083" borderId="3031" xfId="0" applyFont="1" applyFill="1" applyBorder="1"/>
    <xf numFmtId="0" fontId="3080" fillId="3084" borderId="3032" xfId="0" applyFont="1" applyFill="1" applyBorder="1"/>
    <xf numFmtId="0" fontId="3081" fillId="3085" borderId="3033" xfId="0" applyFont="1" applyFill="1" applyBorder="1"/>
    <xf numFmtId="0" fontId="3082" fillId="3086" borderId="3034" xfId="0" applyFont="1" applyFill="1" applyBorder="1"/>
    <xf numFmtId="0" fontId="3083" fillId="3087" borderId="3035" xfId="0" applyFont="1" applyFill="1" applyBorder="1"/>
    <xf numFmtId="0" fontId="3084" fillId="3088" borderId="3036" xfId="0" applyFont="1" applyFill="1" applyBorder="1"/>
    <xf numFmtId="0" fontId="3085" fillId="3089" borderId="3037" xfId="0" applyFont="1" applyFill="1" applyBorder="1"/>
    <xf numFmtId="0" fontId="3086" fillId="3090" borderId="3038" xfId="0" applyFont="1" applyFill="1" applyBorder="1"/>
    <xf numFmtId="0" fontId="3087" fillId="3091" borderId="3039" xfId="0" applyFont="1" applyFill="1" applyBorder="1"/>
    <xf numFmtId="0" fontId="3088" fillId="3092" borderId="3040" xfId="0" applyFont="1" applyFill="1" applyBorder="1"/>
    <xf numFmtId="0" fontId="3089" fillId="3093" borderId="3041" xfId="0" applyFont="1" applyFill="1" applyBorder="1"/>
    <xf numFmtId="0" fontId="3090" fillId="3094" borderId="3042" xfId="0" applyFont="1" applyFill="1" applyBorder="1"/>
    <xf numFmtId="0" fontId="3091" fillId="3095" borderId="3043" xfId="0" applyFont="1" applyFill="1" applyBorder="1"/>
    <xf numFmtId="0" fontId="3092" fillId="3096" borderId="3044" xfId="0" applyFont="1" applyFill="1" applyBorder="1"/>
    <xf numFmtId="0" fontId="3093" fillId="3097" borderId="3045" xfId="0" applyFont="1" applyFill="1" applyBorder="1"/>
    <xf numFmtId="0" fontId="3094" fillId="3098" borderId="3046" xfId="0" applyFont="1" applyFill="1" applyBorder="1"/>
    <xf numFmtId="0" fontId="3095" fillId="3099" borderId="3047" xfId="0" applyFont="1" applyFill="1" applyBorder="1"/>
    <xf numFmtId="0" fontId="3096" fillId="3100" borderId="3048" xfId="0" applyFont="1" applyFill="1" applyBorder="1"/>
    <xf numFmtId="0" fontId="3097" fillId="3101" borderId="3049" xfId="0" applyFont="1" applyFill="1" applyBorder="1"/>
    <xf numFmtId="0" fontId="3098" fillId="3102" borderId="3050" xfId="0" applyFont="1" applyFill="1" applyBorder="1"/>
    <xf numFmtId="0" fontId="3099" fillId="3103" borderId="3051" xfId="0" applyFont="1" applyFill="1" applyBorder="1"/>
    <xf numFmtId="0" fontId="3100" fillId="3104" borderId="3052" xfId="0" applyFont="1" applyFill="1" applyBorder="1"/>
    <xf numFmtId="0" fontId="3101" fillId="3105" borderId="3053" xfId="0" applyFont="1" applyFill="1" applyBorder="1"/>
    <xf numFmtId="0" fontId="3102" fillId="3106" borderId="3054" xfId="0" applyFont="1" applyFill="1" applyBorder="1"/>
    <xf numFmtId="0" fontId="3103" fillId="3107" borderId="3055" xfId="0" applyFont="1" applyFill="1" applyBorder="1"/>
    <xf numFmtId="0" fontId="3104" fillId="3108" borderId="3056" xfId="0" applyFont="1" applyFill="1" applyBorder="1"/>
    <xf numFmtId="0" fontId="3105" fillId="3109" borderId="3057" xfId="0" applyFont="1" applyFill="1" applyBorder="1"/>
    <xf numFmtId="0" fontId="3106" fillId="3110" borderId="3058" xfId="0" applyFont="1" applyFill="1" applyBorder="1"/>
    <xf numFmtId="0" fontId="3107" fillId="3111" borderId="3059" xfId="0" applyFont="1" applyFill="1" applyBorder="1"/>
    <xf numFmtId="0" fontId="3108" fillId="3112" borderId="3060" xfId="0" applyFont="1" applyFill="1" applyBorder="1"/>
    <xf numFmtId="14" fontId="3109" fillId="3113" borderId="3061" xfId="0" applyNumberFormat="1" applyFont="1" applyFill="1" applyBorder="1"/>
    <xf numFmtId="0" fontId="3110" fillId="3114" borderId="3062" xfId="0" applyFont="1" applyFill="1" applyBorder="1"/>
    <xf numFmtId="0" fontId="3111" fillId="3115" borderId="3063" xfId="0" applyFont="1" applyFill="1" applyBorder="1"/>
    <xf numFmtId="0" fontId="3112" fillId="3116" borderId="3064" xfId="0" applyFont="1" applyFill="1" applyBorder="1"/>
    <xf numFmtId="0" fontId="3113" fillId="3117" borderId="3065" xfId="0" applyFont="1" applyFill="1" applyBorder="1"/>
    <xf numFmtId="0" fontId="3114" fillId="3118" borderId="3066" xfId="0" applyFont="1" applyFill="1" applyBorder="1"/>
    <xf numFmtId="0" fontId="3115" fillId="3119" borderId="3067" xfId="0" applyFont="1" applyFill="1" applyBorder="1"/>
    <xf numFmtId="0" fontId="3116" fillId="3120" borderId="3068" xfId="0" applyFont="1" applyFill="1" applyBorder="1"/>
    <xf numFmtId="0" fontId="3117" fillId="3121" borderId="3069" xfId="0" applyFont="1" applyFill="1" applyBorder="1"/>
    <xf numFmtId="0" fontId="3118" fillId="3122" borderId="3070" xfId="0" applyFont="1" applyFill="1" applyBorder="1"/>
    <xf numFmtId="0" fontId="3119" fillId="3123" borderId="3071" xfId="0" applyFont="1" applyFill="1" applyBorder="1"/>
    <xf numFmtId="0" fontId="3120" fillId="3124" borderId="3072" xfId="0" applyFont="1" applyFill="1" applyBorder="1"/>
    <xf numFmtId="0" fontId="3121" fillId="3125" borderId="3073" xfId="0" applyFont="1" applyFill="1" applyBorder="1"/>
    <xf numFmtId="0" fontId="3122" fillId="3126" borderId="3074" xfId="0" applyFont="1" applyFill="1" applyBorder="1"/>
    <xf numFmtId="0" fontId="3123" fillId="3127" borderId="3075" xfId="0" applyFont="1" applyFill="1" applyBorder="1"/>
    <xf numFmtId="0" fontId="3124" fillId="3128" borderId="3076" xfId="0" applyFont="1" applyFill="1" applyBorder="1"/>
    <xf numFmtId="0" fontId="3125" fillId="3129" borderId="3077" xfId="0" applyFont="1" applyFill="1" applyBorder="1"/>
    <xf numFmtId="0" fontId="3126" fillId="3130" borderId="3078" xfId="0" applyFont="1" applyFill="1" applyBorder="1"/>
    <xf numFmtId="0" fontId="3127" fillId="3131" borderId="3079" xfId="0" applyFont="1" applyFill="1" applyBorder="1"/>
    <xf numFmtId="0" fontId="3128" fillId="3132" borderId="3080" xfId="0" applyFont="1" applyFill="1" applyBorder="1"/>
    <xf numFmtId="0" fontId="3129" fillId="3133" borderId="3081" xfId="0" applyFont="1" applyFill="1" applyBorder="1"/>
    <xf numFmtId="0" fontId="3130" fillId="3134" borderId="3082" xfId="0" applyFont="1" applyFill="1" applyBorder="1"/>
    <xf numFmtId="0" fontId="3131" fillId="3135" borderId="3083" xfId="0" applyFont="1" applyFill="1" applyBorder="1"/>
    <xf numFmtId="0" fontId="3132" fillId="3136" borderId="3084" xfId="0" applyFont="1" applyFill="1" applyBorder="1"/>
    <xf numFmtId="0" fontId="3133" fillId="3137" borderId="3085" xfId="0" applyFont="1" applyFill="1" applyBorder="1"/>
    <xf numFmtId="0" fontId="3134" fillId="3138" borderId="3086" xfId="0" applyFont="1" applyFill="1" applyBorder="1"/>
    <xf numFmtId="0" fontId="3135" fillId="3139" borderId="3087" xfId="0" applyFont="1" applyFill="1" applyBorder="1"/>
    <xf numFmtId="0" fontId="3136" fillId="3140" borderId="3088" xfId="0" applyFont="1" applyFill="1" applyBorder="1"/>
    <xf numFmtId="0" fontId="3137" fillId="3141" borderId="3089" xfId="0" applyFont="1" applyFill="1" applyBorder="1"/>
    <xf numFmtId="0" fontId="3138" fillId="3142" borderId="3090" xfId="0" applyFont="1" applyFill="1" applyBorder="1"/>
    <xf numFmtId="0" fontId="3139" fillId="3143" borderId="3091" xfId="0" applyFont="1" applyFill="1" applyBorder="1"/>
    <xf numFmtId="0" fontId="3140" fillId="3144" borderId="3092" xfId="0" applyFont="1" applyFill="1" applyBorder="1"/>
    <xf numFmtId="0" fontId="3141" fillId="3145" borderId="3093" xfId="0" applyFont="1" applyFill="1" applyBorder="1"/>
    <xf numFmtId="0" fontId="3142" fillId="3146" borderId="3094" xfId="0" applyFont="1" applyFill="1" applyBorder="1"/>
    <xf numFmtId="0" fontId="3143" fillId="3147" borderId="3095" xfId="0" applyFont="1" applyFill="1" applyBorder="1"/>
    <xf numFmtId="0" fontId="3144" fillId="3148" borderId="3096" xfId="0" applyFont="1" applyFill="1" applyBorder="1"/>
    <xf numFmtId="0" fontId="3145" fillId="3149" borderId="3097" xfId="0" applyFont="1" applyFill="1" applyBorder="1"/>
    <xf numFmtId="0" fontId="3146" fillId="3150" borderId="3098" xfId="0" applyFont="1" applyFill="1" applyBorder="1"/>
    <xf numFmtId="0" fontId="3147" fillId="3151" borderId="3099" xfId="0" applyFont="1" applyFill="1" applyBorder="1"/>
    <xf numFmtId="0" fontId="3148" fillId="3152" borderId="3100" xfId="0" applyFont="1" applyFill="1" applyBorder="1"/>
    <xf numFmtId="0" fontId="3149" fillId="3153" borderId="3101" xfId="0" applyFont="1" applyFill="1" applyBorder="1"/>
    <xf numFmtId="0" fontId="3150" fillId="3154" borderId="3102" xfId="0" applyFont="1" applyFill="1" applyBorder="1"/>
    <xf numFmtId="0" fontId="3151" fillId="3155" borderId="3103" xfId="0" applyFont="1" applyFill="1" applyBorder="1"/>
    <xf numFmtId="0" fontId="3152" fillId="3156" borderId="3104" xfId="0" applyFont="1" applyFill="1" applyBorder="1"/>
    <xf numFmtId="0" fontId="3153" fillId="3157" borderId="3105" xfId="0" applyFont="1" applyFill="1" applyBorder="1"/>
    <xf numFmtId="0" fontId="3154" fillId="3158" borderId="3106" xfId="0" applyFont="1" applyFill="1" applyBorder="1"/>
    <xf numFmtId="0" fontId="3155" fillId="3159" borderId="3107" xfId="0" applyFont="1" applyFill="1" applyBorder="1"/>
    <xf numFmtId="0" fontId="3156" fillId="3160" borderId="3108" xfId="0" applyFont="1" applyFill="1" applyBorder="1"/>
    <xf numFmtId="0" fontId="3157" fillId="3161" borderId="3109" xfId="0" applyFont="1" applyFill="1" applyBorder="1"/>
    <xf numFmtId="0" fontId="3158" fillId="3162" borderId="3110" xfId="0" applyFont="1" applyFill="1" applyBorder="1"/>
    <xf numFmtId="0" fontId="3159" fillId="3163" borderId="3111" xfId="0" applyFont="1" applyFill="1" applyBorder="1"/>
    <xf numFmtId="14" fontId="3160" fillId="3164" borderId="3112" xfId="0" applyNumberFormat="1" applyFont="1" applyFill="1" applyBorder="1"/>
    <xf numFmtId="0" fontId="3161" fillId="3165" borderId="3113" xfId="0" applyFont="1" applyFill="1" applyBorder="1"/>
    <xf numFmtId="0" fontId="3162" fillId="3166" borderId="3114" xfId="0" applyFont="1" applyFill="1" applyBorder="1"/>
    <xf numFmtId="0" fontId="3163" fillId="3167" borderId="3115" xfId="0" applyFont="1" applyFill="1" applyBorder="1"/>
    <xf numFmtId="0" fontId="3164" fillId="3168" borderId="3116" xfId="0" applyFont="1" applyFill="1" applyBorder="1"/>
    <xf numFmtId="0" fontId="3165" fillId="3169" borderId="3117" xfId="0" applyFont="1" applyFill="1" applyBorder="1"/>
    <xf numFmtId="0" fontId="3166" fillId="3170" borderId="3118" xfId="0" applyFont="1" applyFill="1" applyBorder="1"/>
    <xf numFmtId="0" fontId="3167" fillId="3171" borderId="3119" xfId="0" applyFont="1" applyFill="1" applyBorder="1"/>
    <xf numFmtId="14" fontId="3168" fillId="3172" borderId="3120" xfId="0" applyNumberFormat="1" applyFont="1" applyFill="1" applyBorder="1"/>
    <xf numFmtId="0" fontId="3169" fillId="3173" borderId="3121" xfId="0" applyFont="1" applyFill="1" applyBorder="1"/>
    <xf numFmtId="0" fontId="3170" fillId="3174" borderId="3122" xfId="0" applyFont="1" applyFill="1" applyBorder="1"/>
    <xf numFmtId="0" fontId="3171" fillId="3175" borderId="3123" xfId="0" applyFont="1" applyFill="1" applyBorder="1"/>
    <xf numFmtId="0" fontId="3172" fillId="3176" borderId="3124" xfId="0" applyFont="1" applyFill="1" applyBorder="1"/>
    <xf numFmtId="0" fontId="3173" fillId="3177" borderId="3125" xfId="0" applyFont="1" applyFill="1" applyBorder="1"/>
    <xf numFmtId="0" fontId="3174" fillId="3178" borderId="3126" xfId="0" applyFont="1" applyFill="1" applyBorder="1"/>
    <xf numFmtId="0" fontId="3175" fillId="3179" borderId="3127" xfId="0" applyFont="1" applyFill="1" applyBorder="1"/>
    <xf numFmtId="14" fontId="3176" fillId="3180" borderId="3128" xfId="0" applyNumberFormat="1" applyFont="1" applyFill="1" applyBorder="1"/>
    <xf numFmtId="0" fontId="3177" fillId="3181" borderId="3129" xfId="0" applyFont="1" applyFill="1" applyBorder="1"/>
    <xf numFmtId="0" fontId="3178" fillId="3182" borderId="3130" xfId="0" applyFont="1" applyFill="1" applyBorder="1"/>
    <xf numFmtId="0" fontId="3179" fillId="3183" borderId="3131" xfId="0" applyFont="1" applyFill="1" applyBorder="1"/>
    <xf numFmtId="0" fontId="3180" fillId="3184" borderId="3132" xfId="0" applyFont="1" applyFill="1" applyBorder="1"/>
    <xf numFmtId="0" fontId="3181" fillId="3185" borderId="3133" xfId="0" applyFont="1" applyFill="1" applyBorder="1"/>
    <xf numFmtId="0" fontId="3182" fillId="3186" borderId="3134" xfId="0" applyFont="1" applyFill="1" applyBorder="1"/>
    <xf numFmtId="0" fontId="3183" fillId="3187" borderId="3135" xfId="0" applyFont="1" applyFill="1" applyBorder="1"/>
    <xf numFmtId="14" fontId="3184" fillId="3188" borderId="3136" xfId="0" applyNumberFormat="1" applyFont="1" applyFill="1" applyBorder="1"/>
    <xf numFmtId="0" fontId="3185" fillId="3189" borderId="3137" xfId="0" applyFont="1" applyFill="1" applyBorder="1"/>
    <xf numFmtId="0" fontId="3186" fillId="3190" borderId="3138" xfId="0" applyFont="1" applyFill="1" applyBorder="1"/>
    <xf numFmtId="0" fontId="3187" fillId="3191" borderId="3139" xfId="0" applyFont="1" applyFill="1" applyBorder="1"/>
    <xf numFmtId="0" fontId="3188" fillId="3192" borderId="3140" xfId="0" applyFont="1" applyFill="1" applyBorder="1"/>
    <xf numFmtId="0" fontId="3189" fillId="3193" borderId="3141" xfId="0" applyFont="1" applyFill="1" applyBorder="1"/>
    <xf numFmtId="0" fontId="3190" fillId="3194" borderId="3142" xfId="0" applyFont="1" applyFill="1" applyBorder="1"/>
    <xf numFmtId="0" fontId="3191" fillId="3195" borderId="3143" xfId="0" applyFont="1" applyFill="1" applyBorder="1"/>
    <xf numFmtId="14" fontId="3192" fillId="3196" borderId="3144" xfId="0" applyNumberFormat="1" applyFont="1" applyFill="1" applyBorder="1"/>
    <xf numFmtId="0" fontId="3193" fillId="3197" borderId="3145" xfId="0" applyFont="1" applyFill="1" applyBorder="1"/>
    <xf numFmtId="0" fontId="3194" fillId="3198" borderId="3146" xfId="0" applyFont="1" applyFill="1" applyBorder="1"/>
    <xf numFmtId="0" fontId="3195" fillId="3199" borderId="3147" xfId="0" applyFont="1" applyFill="1" applyBorder="1"/>
    <xf numFmtId="0" fontId="3196" fillId="3200" borderId="3148" xfId="0" applyFont="1" applyFill="1" applyBorder="1"/>
    <xf numFmtId="0" fontId="3197" fillId="3201" borderId="3149" xfId="0" applyFont="1" applyFill="1" applyBorder="1"/>
    <xf numFmtId="0" fontId="3198" fillId="3202" borderId="3150" xfId="0" applyFont="1" applyFill="1" applyBorder="1"/>
    <xf numFmtId="0" fontId="3199" fillId="3203" borderId="3151" xfId="0" applyFont="1" applyFill="1" applyBorder="1"/>
    <xf numFmtId="14" fontId="3200" fillId="3204" borderId="3152" xfId="0" applyNumberFormat="1" applyFont="1" applyFill="1" applyBorder="1"/>
    <xf numFmtId="0" fontId="3201" fillId="3205" borderId="3153" xfId="0" applyFont="1" applyFill="1" applyBorder="1"/>
    <xf numFmtId="0" fontId="3202" fillId="3206" borderId="3154" xfId="0" applyFont="1" applyFill="1" applyBorder="1"/>
    <xf numFmtId="0" fontId="3203" fillId="3207" borderId="3155" xfId="0" applyFont="1" applyFill="1" applyBorder="1"/>
    <xf numFmtId="0" fontId="3204" fillId="3208" borderId="3156" xfId="0" applyFont="1" applyFill="1" applyBorder="1"/>
    <xf numFmtId="0" fontId="3205" fillId="3209" borderId="3157" xfId="0" applyFont="1" applyFill="1" applyBorder="1"/>
    <xf numFmtId="0" fontId="3206" fillId="3210" borderId="3158" xfId="0" applyFont="1" applyFill="1" applyBorder="1"/>
    <xf numFmtId="0" fontId="3207" fillId="3211" borderId="3159" xfId="0" applyFont="1" applyFill="1" applyBorder="1"/>
    <xf numFmtId="14" fontId="3208" fillId="3212" borderId="3160" xfId="0" applyNumberFormat="1" applyFont="1" applyFill="1" applyBorder="1"/>
    <xf numFmtId="0" fontId="3209" fillId="3213" borderId="3161" xfId="0" applyFont="1" applyFill="1" applyBorder="1"/>
    <xf numFmtId="0" fontId="3210" fillId="3214" borderId="3162" xfId="0" applyFont="1" applyFill="1" applyBorder="1"/>
    <xf numFmtId="0" fontId="3211" fillId="3215" borderId="3163" xfId="0" applyFont="1" applyFill="1" applyBorder="1"/>
    <xf numFmtId="0" fontId="3212" fillId="3216" borderId="3164" xfId="0" applyFont="1" applyFill="1" applyBorder="1"/>
    <xf numFmtId="0" fontId="3213" fillId="3217" borderId="3165" xfId="0" applyFont="1" applyFill="1" applyBorder="1"/>
    <xf numFmtId="0" fontId="3214" fillId="3218" borderId="3166" xfId="0" applyFont="1" applyFill="1" applyBorder="1"/>
    <xf numFmtId="0" fontId="3215" fillId="3219" borderId="3167" xfId="0" applyFont="1" applyFill="1" applyBorder="1"/>
    <xf numFmtId="14" fontId="3216" fillId="3220" borderId="3168" xfId="0" applyNumberFormat="1" applyFont="1" applyFill="1" applyBorder="1"/>
    <xf numFmtId="0" fontId="3217" fillId="3221" borderId="3169" xfId="0" applyFont="1" applyFill="1" applyBorder="1"/>
    <xf numFmtId="0" fontId="3218" fillId="3222" borderId="3170" xfId="0" applyFont="1" applyFill="1" applyBorder="1"/>
    <xf numFmtId="0" fontId="3219" fillId="3223" borderId="3171" xfId="0" applyFont="1" applyFill="1" applyBorder="1"/>
    <xf numFmtId="0" fontId="3220" fillId="3224" borderId="3172" xfId="0" applyFont="1" applyFill="1" applyBorder="1"/>
    <xf numFmtId="0" fontId="3221" fillId="3225" borderId="3173" xfId="0" applyFont="1" applyFill="1" applyBorder="1"/>
    <xf numFmtId="0" fontId="3222" fillId="3226" borderId="3174" xfId="0" applyFont="1" applyFill="1" applyBorder="1"/>
    <xf numFmtId="0" fontId="3223" fillId="3227" borderId="3175" xfId="0" applyFont="1" applyFill="1" applyBorder="1"/>
    <xf numFmtId="14" fontId="3224" fillId="3228" borderId="3176" xfId="0" applyNumberFormat="1" applyFont="1" applyFill="1" applyBorder="1"/>
    <xf numFmtId="0" fontId="3225" fillId="3229" borderId="3177" xfId="0" applyFont="1" applyFill="1" applyBorder="1"/>
    <xf numFmtId="0" fontId="3226" fillId="3230" borderId="3178" xfId="0" applyFont="1" applyFill="1" applyBorder="1"/>
    <xf numFmtId="0" fontId="3227" fillId="3231" borderId="3179" xfId="0" applyFont="1" applyFill="1" applyBorder="1"/>
    <xf numFmtId="0" fontId="3228" fillId="3232" borderId="3180" xfId="0" applyFont="1" applyFill="1" applyBorder="1"/>
    <xf numFmtId="0" fontId="3229" fillId="3233" borderId="3181" xfId="0" applyFont="1" applyFill="1" applyBorder="1"/>
    <xf numFmtId="0" fontId="3230" fillId="3234" borderId="3182" xfId="0" applyFont="1" applyFill="1" applyBorder="1"/>
    <xf numFmtId="0" fontId="3231" fillId="3235" borderId="3183" xfId="0" applyFont="1" applyFill="1" applyBorder="1"/>
    <xf numFmtId="14" fontId="3232" fillId="3236" borderId="3184" xfId="0" applyNumberFormat="1" applyFont="1" applyFill="1" applyBorder="1"/>
    <xf numFmtId="0" fontId="3233" fillId="3237" borderId="3185" xfId="0" applyFont="1" applyFill="1" applyBorder="1"/>
    <xf numFmtId="0" fontId="3234" fillId="3238" borderId="3186" xfId="0" applyFont="1" applyFill="1" applyBorder="1"/>
    <xf numFmtId="0" fontId="3235" fillId="3239" borderId="3187" xfId="0" applyFont="1" applyFill="1" applyBorder="1"/>
    <xf numFmtId="0" fontId="3236" fillId="3240" borderId="3188" xfId="0" applyFont="1" applyFill="1" applyBorder="1"/>
    <xf numFmtId="0" fontId="3237" fillId="3241" borderId="3189" xfId="0" applyFont="1" applyFill="1" applyBorder="1"/>
    <xf numFmtId="0" fontId="3238" fillId="3242" borderId="3190" xfId="0" applyFont="1" applyFill="1" applyBorder="1"/>
    <xf numFmtId="0" fontId="3239" fillId="3243" borderId="3191" xfId="0" applyFont="1" applyFill="1" applyBorder="1"/>
    <xf numFmtId="14" fontId="3240" fillId="3244" borderId="3192" xfId="0" applyNumberFormat="1" applyFont="1" applyFill="1" applyBorder="1"/>
    <xf numFmtId="0" fontId="3241" fillId="3245" borderId="3193" xfId="0" applyFont="1" applyFill="1" applyBorder="1"/>
    <xf numFmtId="0" fontId="3242" fillId="3246" borderId="3194" xfId="0" applyFont="1" applyFill="1" applyBorder="1"/>
    <xf numFmtId="0" fontId="3243" fillId="3247" borderId="3195" xfId="0" applyFont="1" applyFill="1" applyBorder="1"/>
    <xf numFmtId="0" fontId="3244" fillId="3248" borderId="3196" xfId="0" applyFont="1" applyFill="1" applyBorder="1"/>
    <xf numFmtId="0" fontId="3245" fillId="3249" borderId="3197" xfId="0" applyFont="1" applyFill="1" applyBorder="1"/>
    <xf numFmtId="0" fontId="3246" fillId="3250" borderId="3198" xfId="0" applyFont="1" applyFill="1" applyBorder="1"/>
    <xf numFmtId="0" fontId="3247" fillId="3251" borderId="3199" xfId="0" applyFont="1" applyFill="1" applyBorder="1"/>
    <xf numFmtId="14" fontId="3248" fillId="3252" borderId="3200" xfId="0" applyNumberFormat="1" applyFont="1" applyFill="1" applyBorder="1"/>
    <xf numFmtId="0" fontId="3249" fillId="3253" borderId="3201" xfId="0" applyFont="1" applyFill="1" applyBorder="1"/>
    <xf numFmtId="0" fontId="3250" fillId="3254" borderId="3202" xfId="0" applyFont="1" applyFill="1" applyBorder="1"/>
    <xf numFmtId="0" fontId="3251" fillId="3255" borderId="3203" xfId="0" applyFont="1" applyFill="1" applyBorder="1"/>
    <xf numFmtId="0" fontId="3252" fillId="3256" borderId="3204" xfId="0" applyFont="1" applyFill="1" applyBorder="1"/>
    <xf numFmtId="0" fontId="3253" fillId="3257" borderId="3205" xfId="0" applyFont="1" applyFill="1" applyBorder="1"/>
    <xf numFmtId="0" fontId="3254" fillId="3258" borderId="3206" xfId="0" applyFont="1" applyFill="1" applyBorder="1"/>
    <xf numFmtId="0" fontId="3255" fillId="3259" borderId="3207" xfId="0" applyFont="1" applyFill="1" applyBorder="1"/>
    <xf numFmtId="14" fontId="3256" fillId="3260" borderId="3208" xfId="0" applyNumberFormat="1" applyFont="1" applyFill="1" applyBorder="1"/>
    <xf numFmtId="0" fontId="3257" fillId="3261" borderId="3209" xfId="0" applyFont="1" applyFill="1" applyBorder="1"/>
    <xf numFmtId="0" fontId="3258" fillId="3262" borderId="3210" xfId="0" applyFont="1" applyFill="1" applyBorder="1"/>
    <xf numFmtId="0" fontId="3259" fillId="3263" borderId="3211" xfId="0" applyFont="1" applyFill="1" applyBorder="1"/>
    <xf numFmtId="0" fontId="3260" fillId="3264" borderId="3212" xfId="0" applyFont="1" applyFill="1" applyBorder="1"/>
    <xf numFmtId="0" fontId="3261" fillId="3265" borderId="3213" xfId="0" applyFont="1" applyFill="1" applyBorder="1"/>
    <xf numFmtId="0" fontId="3262" fillId="3266" borderId="3214" xfId="0" applyFont="1" applyFill="1" applyBorder="1"/>
    <xf numFmtId="0" fontId="3263" fillId="3267" borderId="3215" xfId="0" applyFont="1" applyFill="1" applyBorder="1"/>
    <xf numFmtId="14" fontId="3264" fillId="3268" borderId="3216" xfId="0" applyNumberFormat="1" applyFont="1" applyFill="1" applyBorder="1"/>
    <xf numFmtId="0" fontId="3265" fillId="3269" borderId="3217" xfId="0" applyFont="1" applyFill="1" applyBorder="1"/>
    <xf numFmtId="0" fontId="3266" fillId="3270" borderId="3218" xfId="0" applyFont="1" applyFill="1" applyBorder="1"/>
    <xf numFmtId="0" fontId="3267" fillId="3271" borderId="3219" xfId="0" applyFont="1" applyFill="1" applyBorder="1"/>
    <xf numFmtId="0" fontId="3268" fillId="3272" borderId="3220" xfId="0" applyFont="1" applyFill="1" applyBorder="1"/>
    <xf numFmtId="0" fontId="3269" fillId="3273" borderId="3221" xfId="0" applyFont="1" applyFill="1" applyBorder="1"/>
    <xf numFmtId="0" fontId="3270" fillId="3274" borderId="3222" xfId="0" applyFont="1" applyFill="1" applyBorder="1"/>
    <xf numFmtId="0" fontId="3271" fillId="3275" borderId="3223" xfId="0" applyFont="1" applyFill="1" applyBorder="1"/>
    <xf numFmtId="14" fontId="3272" fillId="3276" borderId="3224" xfId="0" applyNumberFormat="1" applyFont="1" applyFill="1" applyBorder="1"/>
    <xf numFmtId="0" fontId="3273" fillId="3277" borderId="3225" xfId="0" applyFont="1" applyFill="1" applyBorder="1"/>
    <xf numFmtId="0" fontId="3274" fillId="3278" borderId="3226" xfId="0" applyFont="1" applyFill="1" applyBorder="1"/>
    <xf numFmtId="0" fontId="3275" fillId="3279" borderId="3227" xfId="0" applyFont="1" applyFill="1" applyBorder="1"/>
    <xf numFmtId="0" fontId="3276" fillId="3280" borderId="3228" xfId="0" applyFont="1" applyFill="1" applyBorder="1"/>
    <xf numFmtId="0" fontId="3277" fillId="3281" borderId="3229" xfId="0" applyFont="1" applyFill="1" applyBorder="1"/>
    <xf numFmtId="0" fontId="3278" fillId="3282" borderId="3230" xfId="0" applyFont="1" applyFill="1" applyBorder="1"/>
    <xf numFmtId="0" fontId="3279" fillId="3283" borderId="3231" xfId="0" applyFont="1" applyFill="1" applyBorder="1"/>
    <xf numFmtId="14" fontId="3280" fillId="3284" borderId="3232" xfId="0" applyNumberFormat="1" applyFont="1" applyFill="1" applyBorder="1"/>
    <xf numFmtId="0" fontId="3281" fillId="3285" borderId="3233" xfId="0" applyFont="1" applyFill="1" applyBorder="1"/>
    <xf numFmtId="0" fontId="3282" fillId="3286" borderId="3234" xfId="0" applyFont="1" applyFill="1" applyBorder="1"/>
    <xf numFmtId="0" fontId="3283" fillId="3287" borderId="3235" xfId="0" applyFont="1" applyFill="1" applyBorder="1"/>
    <xf numFmtId="0" fontId="3284" fillId="3288" borderId="3236" xfId="0" applyFont="1" applyFill="1" applyBorder="1"/>
    <xf numFmtId="0" fontId="3285" fillId="3289" borderId="3237" xfId="0" applyFont="1" applyFill="1" applyBorder="1"/>
    <xf numFmtId="0" fontId="3286" fillId="3290" borderId="3238" xfId="0" applyFont="1" applyFill="1" applyBorder="1"/>
    <xf numFmtId="0" fontId="3287" fillId="3291" borderId="3239" xfId="0" applyFont="1" applyFill="1" applyBorder="1"/>
    <xf numFmtId="14" fontId="3288" fillId="3292" borderId="3240" xfId="0" applyNumberFormat="1" applyFont="1" applyFill="1" applyBorder="1"/>
    <xf numFmtId="0" fontId="3289" fillId="3293" borderId="3241" xfId="0" applyFont="1" applyFill="1" applyBorder="1"/>
    <xf numFmtId="0" fontId="3290" fillId="3294" borderId="3242" xfId="0" applyFont="1" applyFill="1" applyBorder="1"/>
    <xf numFmtId="0" fontId="3291" fillId="3295" borderId="3243" xfId="0" applyFont="1" applyFill="1" applyBorder="1"/>
    <xf numFmtId="0" fontId="3292" fillId="3296" borderId="3244" xfId="0" applyFont="1" applyFill="1" applyBorder="1"/>
    <xf numFmtId="0" fontId="3293" fillId="3297" borderId="3245" xfId="0" applyFont="1" applyFill="1" applyBorder="1"/>
    <xf numFmtId="0" fontId="3294" fillId="3298" borderId="3246" xfId="0" applyFont="1" applyFill="1" applyBorder="1"/>
    <xf numFmtId="0" fontId="3295" fillId="3299" borderId="3247" xfId="0" applyFont="1" applyFill="1" applyBorder="1"/>
    <xf numFmtId="14" fontId="3296" fillId="3300" borderId="3248" xfId="0" applyNumberFormat="1" applyFont="1" applyFill="1" applyBorder="1"/>
    <xf numFmtId="0" fontId="3297" fillId="3301" borderId="3249" xfId="0" applyFont="1" applyFill="1" applyBorder="1"/>
    <xf numFmtId="0" fontId="3298" fillId="3302" borderId="3250" xfId="0" applyFont="1" applyFill="1" applyBorder="1"/>
    <xf numFmtId="0" fontId="3299" fillId="3303" borderId="3251" xfId="0" applyFont="1" applyFill="1" applyBorder="1"/>
    <xf numFmtId="0" fontId="3300" fillId="3304" borderId="3252" xfId="0" applyFont="1" applyFill="1" applyBorder="1"/>
    <xf numFmtId="0" fontId="3301" fillId="3305" borderId="3253" xfId="0" applyFont="1" applyFill="1" applyBorder="1"/>
    <xf numFmtId="0" fontId="3302" fillId="3306" borderId="3254" xfId="0" applyFont="1" applyFill="1" applyBorder="1"/>
    <xf numFmtId="0" fontId="3303" fillId="3307" borderId="3255" xfId="0" applyFont="1" applyFill="1" applyBorder="1"/>
    <xf numFmtId="14" fontId="3304" fillId="3308" borderId="3256" xfId="0" applyNumberFormat="1" applyFont="1" applyFill="1" applyBorder="1"/>
    <xf numFmtId="0" fontId="3305" fillId="3309" borderId="3257" xfId="0" applyFont="1" applyFill="1" applyBorder="1"/>
    <xf numFmtId="0" fontId="3306" fillId="3310" borderId="3258" xfId="0" applyFont="1" applyFill="1" applyBorder="1"/>
    <xf numFmtId="0" fontId="3307" fillId="3311" borderId="3259" xfId="0" applyFont="1" applyFill="1" applyBorder="1"/>
    <xf numFmtId="0" fontId="3308" fillId="3312" borderId="3260" xfId="0" applyFont="1" applyFill="1" applyBorder="1"/>
    <xf numFmtId="0" fontId="3309" fillId="3313" borderId="3261" xfId="0" applyFont="1" applyFill="1" applyBorder="1"/>
    <xf numFmtId="0" fontId="3310" fillId="3314" borderId="3262" xfId="0" applyFont="1" applyFill="1" applyBorder="1"/>
    <xf numFmtId="0" fontId="3311" fillId="3315" borderId="3263" xfId="0" applyFont="1" applyFill="1" applyBorder="1"/>
    <xf numFmtId="14" fontId="3312" fillId="3316" borderId="3264" xfId="0" applyNumberFormat="1" applyFont="1" applyFill="1" applyBorder="1"/>
    <xf numFmtId="0" fontId="3313" fillId="3317" borderId="3265" xfId="0" applyFont="1" applyFill="1" applyBorder="1"/>
    <xf numFmtId="0" fontId="3314" fillId="3318" borderId="3266" xfId="0" applyFont="1" applyFill="1" applyBorder="1"/>
    <xf numFmtId="0" fontId="3315" fillId="3319" borderId="3267" xfId="0" applyFont="1" applyFill="1" applyBorder="1"/>
    <xf numFmtId="0" fontId="3316" fillId="3320" borderId="3268" xfId="0" applyFont="1" applyFill="1" applyBorder="1"/>
    <xf numFmtId="0" fontId="3317" fillId="3321" borderId="3269" xfId="0" applyFont="1" applyFill="1" applyBorder="1"/>
    <xf numFmtId="0" fontId="3318" fillId="3322" borderId="3270" xfId="0" applyFont="1" applyFill="1" applyBorder="1"/>
    <xf numFmtId="0" fontId="3319" fillId="3323" borderId="3271" xfId="0" applyFont="1" applyFill="1" applyBorder="1"/>
    <xf numFmtId="14" fontId="3320" fillId="3324" borderId="3272" xfId="0" applyNumberFormat="1" applyFont="1" applyFill="1" applyBorder="1"/>
    <xf numFmtId="0" fontId="3321" fillId="3325" borderId="3273" xfId="0" applyFont="1" applyFill="1" applyBorder="1"/>
    <xf numFmtId="0" fontId="3322" fillId="3326" borderId="3274" xfId="0" applyFont="1" applyFill="1" applyBorder="1"/>
    <xf numFmtId="0" fontId="3323" fillId="3327" borderId="3275" xfId="0" applyFont="1" applyFill="1" applyBorder="1"/>
    <xf numFmtId="0" fontId="3324" fillId="3328" borderId="3276" xfId="0" applyFont="1" applyFill="1" applyBorder="1"/>
    <xf numFmtId="0" fontId="3325" fillId="3329" borderId="3277" xfId="0" applyFont="1" applyFill="1" applyBorder="1"/>
    <xf numFmtId="0" fontId="3326" fillId="3330" borderId="3278" xfId="0" applyFont="1" applyFill="1" applyBorder="1"/>
    <xf numFmtId="0" fontId="3327" fillId="3331" borderId="3279" xfId="0" applyFont="1" applyFill="1" applyBorder="1"/>
    <xf numFmtId="14" fontId="3328" fillId="3332" borderId="3280" xfId="0" applyNumberFormat="1" applyFont="1" applyFill="1" applyBorder="1"/>
    <xf numFmtId="0" fontId="3329" fillId="3333" borderId="3281" xfId="0" applyFont="1" applyFill="1" applyBorder="1"/>
    <xf numFmtId="0" fontId="3330" fillId="3334" borderId="3282" xfId="0" applyFont="1" applyFill="1" applyBorder="1"/>
    <xf numFmtId="0" fontId="3331" fillId="3335" borderId="3283" xfId="0" applyFont="1" applyFill="1" applyBorder="1"/>
    <xf numFmtId="0" fontId="3332" fillId="3336" borderId="3284" xfId="0" applyFont="1" applyFill="1" applyBorder="1"/>
    <xf numFmtId="0" fontId="3333" fillId="3337" borderId="3285" xfId="0" applyFont="1" applyFill="1" applyBorder="1"/>
    <xf numFmtId="0" fontId="3334" fillId="3338" borderId="3286" xfId="0" applyFont="1" applyFill="1" applyBorder="1"/>
    <xf numFmtId="0" fontId="3335" fillId="3339" borderId="3287" xfId="0" applyFont="1" applyFill="1" applyBorder="1"/>
    <xf numFmtId="14" fontId="3336" fillId="3340" borderId="3288" xfId="0" applyNumberFormat="1" applyFont="1" applyFill="1" applyBorder="1"/>
    <xf numFmtId="0" fontId="3337" fillId="3341" borderId="3289" xfId="0" applyFont="1" applyFill="1" applyBorder="1"/>
    <xf numFmtId="0" fontId="3338" fillId="3342" borderId="3290" xfId="0" applyFont="1" applyFill="1" applyBorder="1"/>
    <xf numFmtId="0" fontId="3339" fillId="3343" borderId="3291" xfId="0" applyFont="1" applyFill="1" applyBorder="1"/>
    <xf numFmtId="0" fontId="3340" fillId="3344" borderId="3292" xfId="0" applyFont="1" applyFill="1" applyBorder="1"/>
    <xf numFmtId="0" fontId="3341" fillId="3345" borderId="3293" xfId="0" applyFont="1" applyFill="1" applyBorder="1"/>
    <xf numFmtId="0" fontId="3342" fillId="3346" borderId="3294" xfId="0" applyFont="1" applyFill="1" applyBorder="1"/>
    <xf numFmtId="0" fontId="3343" fillId="3347" borderId="3295" xfId="0" applyFont="1" applyFill="1" applyBorder="1"/>
    <xf numFmtId="14" fontId="3344" fillId="3348" borderId="3296" xfId="0" applyNumberFormat="1" applyFont="1" applyFill="1" applyBorder="1"/>
    <xf numFmtId="0" fontId="3345" fillId="3349" borderId="3297" xfId="0" applyFont="1" applyFill="1" applyBorder="1"/>
    <xf numFmtId="0" fontId="3346" fillId="3350" borderId="3298" xfId="0" applyFont="1" applyFill="1" applyBorder="1"/>
    <xf numFmtId="0" fontId="3347" fillId="3351" borderId="3299" xfId="0" applyFont="1" applyFill="1" applyBorder="1"/>
    <xf numFmtId="0" fontId="3348" fillId="3352" borderId="3300" xfId="0" applyFont="1" applyFill="1" applyBorder="1"/>
    <xf numFmtId="0" fontId="3349" fillId="3353" borderId="3301" xfId="0" applyFont="1" applyFill="1" applyBorder="1"/>
    <xf numFmtId="0" fontId="3350" fillId="3354" borderId="3302" xfId="0" applyFont="1" applyFill="1" applyBorder="1"/>
    <xf numFmtId="0" fontId="3351" fillId="3355" borderId="3303" xfId="0" applyFont="1" applyFill="1" applyBorder="1"/>
    <xf numFmtId="14" fontId="3352" fillId="3356" borderId="3304" xfId="0" applyNumberFormat="1" applyFont="1" applyFill="1" applyBorder="1"/>
    <xf numFmtId="0" fontId="3353" fillId="3357" borderId="3305" xfId="0" applyFont="1" applyFill="1" applyBorder="1"/>
    <xf numFmtId="0" fontId="3354" fillId="3358" borderId="3306" xfId="0" applyFont="1" applyFill="1" applyBorder="1"/>
    <xf numFmtId="0" fontId="3355" fillId="3359" borderId="3307" xfId="0" applyFont="1" applyFill="1" applyBorder="1"/>
    <xf numFmtId="0" fontId="3356" fillId="3360" borderId="3308" xfId="0" applyFont="1" applyFill="1" applyBorder="1"/>
    <xf numFmtId="0" fontId="3357" fillId="3361" borderId="3309" xfId="0" applyFont="1" applyFill="1" applyBorder="1"/>
    <xf numFmtId="0" fontId="3358" fillId="3362" borderId="3310" xfId="0" applyFont="1" applyFill="1" applyBorder="1"/>
    <xf numFmtId="0" fontId="3359" fillId="3363" borderId="3311" xfId="0" applyFont="1" applyFill="1" applyBorder="1"/>
    <xf numFmtId="14" fontId="3360" fillId="3364" borderId="3312" xfId="0" applyNumberFormat="1" applyFont="1" applyFill="1" applyBorder="1"/>
    <xf numFmtId="0" fontId="3361" fillId="3365" borderId="3313" xfId="0" applyFont="1" applyFill="1" applyBorder="1"/>
    <xf numFmtId="0" fontId="3362" fillId="3366" borderId="3314" xfId="0" applyFont="1" applyFill="1" applyBorder="1"/>
    <xf numFmtId="0" fontId="3363" fillId="3367" borderId="3315" xfId="0" applyFont="1" applyFill="1" applyBorder="1"/>
    <xf numFmtId="0" fontId="3364" fillId="3368" borderId="3316" xfId="0" applyFont="1" applyFill="1" applyBorder="1"/>
    <xf numFmtId="0" fontId="3365" fillId="3369" borderId="3317" xfId="0" applyFont="1" applyFill="1" applyBorder="1"/>
    <xf numFmtId="0" fontId="3366" fillId="3370" borderId="3318" xfId="0" applyFont="1" applyFill="1" applyBorder="1"/>
    <xf numFmtId="0" fontId="3367" fillId="3371" borderId="3319" xfId="0" applyFont="1" applyFill="1" applyBorder="1"/>
    <xf numFmtId="14" fontId="3368" fillId="3372" borderId="3320" xfId="0" applyNumberFormat="1" applyFont="1" applyFill="1" applyBorder="1"/>
    <xf numFmtId="0" fontId="3369" fillId="3373" borderId="3321" xfId="0" applyFont="1" applyFill="1" applyBorder="1"/>
    <xf numFmtId="0" fontId="3370" fillId="3374" borderId="3322" xfId="0" applyFont="1" applyFill="1" applyBorder="1"/>
    <xf numFmtId="0" fontId="3371" fillId="3375" borderId="3323" xfId="0" applyFont="1" applyFill="1" applyBorder="1"/>
    <xf numFmtId="0" fontId="3372" fillId="3376" borderId="3324" xfId="0" applyFont="1" applyFill="1" applyBorder="1"/>
    <xf numFmtId="0" fontId="3373" fillId="3377" borderId="3325" xfId="0" applyFont="1" applyFill="1" applyBorder="1"/>
    <xf numFmtId="0" fontId="3374" fillId="3378" borderId="3326" xfId="0" applyFont="1" applyFill="1" applyBorder="1"/>
    <xf numFmtId="0" fontId="3375" fillId="3379" borderId="3327" xfId="0" applyFont="1" applyFill="1" applyBorder="1"/>
    <xf numFmtId="14" fontId="3376" fillId="3380" borderId="3328" xfId="0" applyNumberFormat="1" applyFont="1" applyFill="1" applyBorder="1"/>
    <xf numFmtId="0" fontId="3377" fillId="3381" borderId="3329" xfId="0" applyFont="1" applyFill="1" applyBorder="1"/>
    <xf numFmtId="0" fontId="3378" fillId="3382" borderId="3330" xfId="0" applyFont="1" applyFill="1" applyBorder="1"/>
    <xf numFmtId="0" fontId="3379" fillId="3383" borderId="3331" xfId="0" applyFont="1" applyFill="1" applyBorder="1"/>
    <xf numFmtId="0" fontId="3380" fillId="3384" borderId="3332" xfId="0" applyFont="1" applyFill="1" applyBorder="1"/>
    <xf numFmtId="0" fontId="3381" fillId="3385" borderId="3333" xfId="0" applyFont="1" applyFill="1" applyBorder="1"/>
    <xf numFmtId="0" fontId="3382" fillId="3386" borderId="3334" xfId="0" applyFont="1" applyFill="1" applyBorder="1"/>
    <xf numFmtId="0" fontId="3383" fillId="3387" borderId="3335" xfId="0" applyFont="1" applyFill="1" applyBorder="1"/>
    <xf numFmtId="14" fontId="3384" fillId="3388" borderId="3336" xfId="0" applyNumberFormat="1" applyFont="1" applyFill="1" applyBorder="1"/>
    <xf numFmtId="0" fontId="3385" fillId="3389" borderId="3337" xfId="0" applyFont="1" applyFill="1" applyBorder="1"/>
    <xf numFmtId="0" fontId="3386" fillId="3390" borderId="3338" xfId="0" applyFont="1" applyFill="1" applyBorder="1"/>
    <xf numFmtId="0" fontId="3387" fillId="3391" borderId="3339" xfId="0" applyFont="1" applyFill="1" applyBorder="1"/>
    <xf numFmtId="0" fontId="3388" fillId="3392" borderId="3340" xfId="0" applyFont="1" applyFill="1" applyBorder="1"/>
    <xf numFmtId="0" fontId="3389" fillId="3393" borderId="3341" xfId="0" applyFont="1" applyFill="1" applyBorder="1"/>
    <xf numFmtId="0" fontId="3390" fillId="3394" borderId="3342" xfId="0" applyFont="1" applyFill="1" applyBorder="1"/>
    <xf numFmtId="0" fontId="3391" fillId="3395" borderId="3343" xfId="0" applyFont="1" applyFill="1" applyBorder="1"/>
    <xf numFmtId="14" fontId="3392" fillId="3396" borderId="3344" xfId="0" applyNumberFormat="1" applyFont="1" applyFill="1" applyBorder="1"/>
    <xf numFmtId="0" fontId="3393" fillId="3397" borderId="3345" xfId="0" applyFont="1" applyFill="1" applyBorder="1"/>
    <xf numFmtId="0" fontId="3394" fillId="3398" borderId="3346" xfId="0" applyFont="1" applyFill="1" applyBorder="1"/>
    <xf numFmtId="0" fontId="3395" fillId="3399" borderId="3347" xfId="0" applyFont="1" applyFill="1" applyBorder="1"/>
    <xf numFmtId="0" fontId="3396" fillId="3400" borderId="3348" xfId="0" applyFont="1" applyFill="1" applyBorder="1"/>
    <xf numFmtId="0" fontId="3397" fillId="3401" borderId="3349" xfId="0" applyFont="1" applyFill="1" applyBorder="1"/>
    <xf numFmtId="0" fontId="3398" fillId="3402" borderId="3350" xfId="0" applyFont="1" applyFill="1" applyBorder="1"/>
    <xf numFmtId="0" fontId="3399" fillId="3403" borderId="3351" xfId="0" applyFont="1" applyFill="1" applyBorder="1"/>
    <xf numFmtId="14" fontId="3400" fillId="3404" borderId="3352" xfId="0" applyNumberFormat="1" applyFont="1" applyFill="1" applyBorder="1"/>
    <xf numFmtId="0" fontId="3401" fillId="3405" borderId="3353" xfId="0" applyFont="1" applyFill="1" applyBorder="1"/>
    <xf numFmtId="0" fontId="3402" fillId="3406" borderId="3354" xfId="0" applyFont="1" applyFill="1" applyBorder="1"/>
    <xf numFmtId="0" fontId="3403" fillId="3407" borderId="3355" xfId="0" applyFont="1" applyFill="1" applyBorder="1"/>
    <xf numFmtId="0" fontId="3404" fillId="3408" borderId="3356" xfId="0" applyFont="1" applyFill="1" applyBorder="1"/>
    <xf numFmtId="0" fontId="3405" fillId="3409" borderId="3357" xfId="0" applyFont="1" applyFill="1" applyBorder="1"/>
    <xf numFmtId="0" fontId="3406" fillId="3410" borderId="3358" xfId="0" applyFont="1" applyFill="1" applyBorder="1"/>
    <xf numFmtId="0" fontId="3407" fillId="3411" borderId="3359" xfId="0" applyFont="1" applyFill="1" applyBorder="1"/>
    <xf numFmtId="14" fontId="3408" fillId="3412" borderId="3360" xfId="0" applyNumberFormat="1" applyFont="1" applyFill="1" applyBorder="1"/>
    <xf numFmtId="0" fontId="3409" fillId="3413" borderId="3361" xfId="0" applyFont="1" applyFill="1" applyBorder="1"/>
    <xf numFmtId="0" fontId="3410" fillId="3414" borderId="3362" xfId="0" applyFont="1" applyFill="1" applyBorder="1"/>
    <xf numFmtId="0" fontId="3411" fillId="3415" borderId="3363" xfId="0" applyFont="1" applyFill="1" applyBorder="1"/>
    <xf numFmtId="0" fontId="3412" fillId="3416" borderId="3364" xfId="0" applyFont="1" applyFill="1" applyBorder="1"/>
    <xf numFmtId="0" fontId="3413" fillId="3417" borderId="3365" xfId="0" applyFont="1" applyFill="1" applyBorder="1"/>
    <xf numFmtId="0" fontId="3414" fillId="3418" borderId="3366" xfId="0" applyFont="1" applyFill="1" applyBorder="1"/>
    <xf numFmtId="0" fontId="3415" fillId="3419" borderId="3367" xfId="0" applyFont="1" applyFill="1" applyBorder="1"/>
    <xf numFmtId="14" fontId="3416" fillId="3420" borderId="3368" xfId="0" applyNumberFormat="1" applyFont="1" applyFill="1" applyBorder="1"/>
    <xf numFmtId="0" fontId="3417" fillId="3421" borderId="3369" xfId="0" applyFont="1" applyFill="1" applyBorder="1"/>
    <xf numFmtId="0" fontId="3418" fillId="3422" borderId="3370" xfId="0" applyFont="1" applyFill="1" applyBorder="1"/>
    <xf numFmtId="0" fontId="3419" fillId="3423" borderId="3371" xfId="0" applyFont="1" applyFill="1" applyBorder="1"/>
    <xf numFmtId="0" fontId="3420" fillId="3424" borderId="3372" xfId="0" applyFont="1" applyFill="1" applyBorder="1"/>
    <xf numFmtId="0" fontId="3421" fillId="3425" borderId="3373" xfId="0" applyFont="1" applyFill="1" applyBorder="1"/>
    <xf numFmtId="0" fontId="3422" fillId="3426" borderId="3374" xfId="0" applyFont="1" applyFill="1" applyBorder="1"/>
    <xf numFmtId="0" fontId="3423" fillId="3427" borderId="3375" xfId="0" applyFont="1" applyFill="1" applyBorder="1"/>
    <xf numFmtId="14" fontId="3424" fillId="3428" borderId="3376" xfId="0" applyNumberFormat="1" applyFont="1" applyFill="1" applyBorder="1"/>
    <xf numFmtId="0" fontId="3425" fillId="3429" borderId="3377" xfId="0" applyFont="1" applyFill="1" applyBorder="1"/>
    <xf numFmtId="0" fontId="3426" fillId="3430" borderId="3378" xfId="0" applyFont="1" applyFill="1" applyBorder="1"/>
    <xf numFmtId="0" fontId="3427" fillId="3431" borderId="3379" xfId="0" applyFont="1" applyFill="1" applyBorder="1"/>
    <xf numFmtId="0" fontId="3428" fillId="3432" borderId="3380" xfId="0" applyFont="1" applyFill="1" applyBorder="1"/>
    <xf numFmtId="0" fontId="3429" fillId="3433" borderId="3381" xfId="0" applyFont="1" applyFill="1" applyBorder="1"/>
    <xf numFmtId="0" fontId="3430" fillId="3434" borderId="3382" xfId="0" applyFont="1" applyFill="1" applyBorder="1"/>
    <xf numFmtId="0" fontId="3431" fillId="3435" borderId="3383" xfId="0" applyFont="1" applyFill="1" applyBorder="1"/>
    <xf numFmtId="14" fontId="3432" fillId="3436" borderId="3384" xfId="0" applyNumberFormat="1" applyFont="1" applyFill="1" applyBorder="1"/>
    <xf numFmtId="0" fontId="3433" fillId="3437" borderId="3385" xfId="0" applyFont="1" applyFill="1" applyBorder="1"/>
    <xf numFmtId="0" fontId="3434" fillId="3438" borderId="3386" xfId="0" applyFont="1" applyFill="1" applyBorder="1"/>
    <xf numFmtId="0" fontId="3435" fillId="3439" borderId="3387" xfId="0" applyFont="1" applyFill="1" applyBorder="1"/>
    <xf numFmtId="0" fontId="3436" fillId="3440" borderId="3388" xfId="0" applyFont="1" applyFill="1" applyBorder="1"/>
    <xf numFmtId="0" fontId="3437" fillId="3441" borderId="3389" xfId="0" applyFont="1" applyFill="1" applyBorder="1"/>
    <xf numFmtId="0" fontId="3438" fillId="3442" borderId="3390" xfId="0" applyFont="1" applyFill="1" applyBorder="1"/>
    <xf numFmtId="0" fontId="3439" fillId="3443" borderId="3391" xfId="0" applyFont="1" applyFill="1" applyBorder="1"/>
    <xf numFmtId="14" fontId="3440" fillId="3444" borderId="3392" xfId="0" applyNumberFormat="1" applyFont="1" applyFill="1" applyBorder="1"/>
    <xf numFmtId="0" fontId="3441" fillId="3445" borderId="3393" xfId="0" applyFont="1" applyFill="1" applyBorder="1"/>
    <xf numFmtId="0" fontId="3442" fillId="3446" borderId="3394" xfId="0" applyFont="1" applyFill="1" applyBorder="1"/>
    <xf numFmtId="0" fontId="3443" fillId="3447" borderId="3395" xfId="0" applyFont="1" applyFill="1" applyBorder="1"/>
    <xf numFmtId="0" fontId="3444" fillId="3448" borderId="3396" xfId="0" applyFont="1" applyFill="1" applyBorder="1"/>
    <xf numFmtId="0" fontId="3445" fillId="3449" borderId="3397" xfId="0" applyFont="1" applyFill="1" applyBorder="1"/>
    <xf numFmtId="0" fontId="3446" fillId="3450" borderId="3398" xfId="0" applyFont="1" applyFill="1" applyBorder="1"/>
    <xf numFmtId="0" fontId="3447" fillId="3451" borderId="3399" xfId="0" applyFont="1" applyFill="1" applyBorder="1"/>
    <xf numFmtId="14" fontId="3448" fillId="3452" borderId="3400" xfId="0" applyNumberFormat="1" applyFont="1" applyFill="1" applyBorder="1"/>
    <xf numFmtId="0" fontId="3449" fillId="3453" borderId="3401" xfId="0" applyFont="1" applyFill="1" applyBorder="1"/>
    <xf numFmtId="0" fontId="3450" fillId="3454" borderId="3402" xfId="0" applyFont="1" applyFill="1" applyBorder="1"/>
    <xf numFmtId="0" fontId="3451" fillId="3455" borderId="3403" xfId="0" applyFont="1" applyFill="1" applyBorder="1"/>
    <xf numFmtId="0" fontId="3452" fillId="3456" borderId="3404" xfId="0" applyFont="1" applyFill="1" applyBorder="1"/>
    <xf numFmtId="0" fontId="3453" fillId="3457" borderId="3405" xfId="0" applyFont="1" applyFill="1" applyBorder="1"/>
    <xf numFmtId="0" fontId="3454" fillId="3458" borderId="3406" xfId="0" applyFont="1" applyFill="1" applyBorder="1"/>
    <xf numFmtId="0" fontId="3455" fillId="3459" borderId="3407" xfId="0" applyFont="1" applyFill="1" applyBorder="1"/>
    <xf numFmtId="14" fontId="3456" fillId="3460" borderId="3408" xfId="0" applyNumberFormat="1" applyFont="1" applyFill="1" applyBorder="1"/>
    <xf numFmtId="0" fontId="3457" fillId="3461" borderId="3409" xfId="0" applyFont="1" applyFill="1" applyBorder="1"/>
    <xf numFmtId="0" fontId="3458" fillId="3462" borderId="3410" xfId="0" applyFont="1" applyFill="1" applyBorder="1"/>
    <xf numFmtId="0" fontId="3459" fillId="3463" borderId="3411" xfId="0" applyFont="1" applyFill="1" applyBorder="1"/>
    <xf numFmtId="0" fontId="3460" fillId="3464" borderId="3412" xfId="0" applyFont="1" applyFill="1" applyBorder="1"/>
    <xf numFmtId="0" fontId="3461" fillId="3465" borderId="3413" xfId="0" applyFont="1" applyFill="1" applyBorder="1"/>
    <xf numFmtId="0" fontId="3462" fillId="3466" borderId="3414" xfId="0" applyFont="1" applyFill="1" applyBorder="1"/>
    <xf numFmtId="0" fontId="3463" fillId="3467" borderId="3415" xfId="0" applyFont="1" applyFill="1" applyBorder="1"/>
    <xf numFmtId="14" fontId="3464" fillId="3468" borderId="3416" xfId="0" applyNumberFormat="1" applyFont="1" applyFill="1" applyBorder="1"/>
    <xf numFmtId="0" fontId="3465" fillId="3469" borderId="3417" xfId="0" applyFont="1" applyFill="1" applyBorder="1"/>
    <xf numFmtId="0" fontId="3466" fillId="3470" borderId="3418" xfId="0" applyFont="1" applyFill="1" applyBorder="1"/>
    <xf numFmtId="0" fontId="3467" fillId="3471" borderId="3419" xfId="0" applyFont="1" applyFill="1" applyBorder="1"/>
    <xf numFmtId="0" fontId="3468" fillId="3472" borderId="3420" xfId="0" applyFont="1" applyFill="1" applyBorder="1"/>
    <xf numFmtId="0" fontId="3469" fillId="3473" borderId="3421" xfId="0" applyFont="1" applyFill="1" applyBorder="1"/>
    <xf numFmtId="0" fontId="3470" fillId="3474" borderId="3422" xfId="0" applyFont="1" applyFill="1" applyBorder="1"/>
    <xf numFmtId="0" fontId="3471" fillId="3475" borderId="3423" xfId="0" applyFont="1" applyFill="1" applyBorder="1"/>
    <xf numFmtId="14" fontId="3472" fillId="3476" borderId="3424" xfId="0" applyNumberFormat="1" applyFont="1" applyFill="1" applyBorder="1"/>
    <xf numFmtId="0" fontId="3473" fillId="3477" borderId="3425" xfId="0" applyFont="1" applyFill="1" applyBorder="1"/>
    <xf numFmtId="0" fontId="3474" fillId="3478" borderId="3426" xfId="0" applyFont="1" applyFill="1" applyBorder="1"/>
    <xf numFmtId="0" fontId="3475" fillId="3479" borderId="3427" xfId="0" applyFont="1" applyFill="1" applyBorder="1"/>
    <xf numFmtId="0" fontId="3476" fillId="3480" borderId="3428" xfId="0" applyFont="1" applyFill="1" applyBorder="1"/>
    <xf numFmtId="0" fontId="3477" fillId="3481" borderId="3429" xfId="0" applyFont="1" applyFill="1" applyBorder="1"/>
    <xf numFmtId="0" fontId="3478" fillId="3482" borderId="3430" xfId="0" applyFont="1" applyFill="1" applyBorder="1"/>
    <xf numFmtId="0" fontId="3479" fillId="3483" borderId="3431" xfId="0" applyFont="1" applyFill="1" applyBorder="1"/>
    <xf numFmtId="14" fontId="3480" fillId="3484" borderId="3432" xfId="0" applyNumberFormat="1" applyFont="1" applyFill="1" applyBorder="1"/>
    <xf numFmtId="0" fontId="3481" fillId="3485" borderId="3433" xfId="0" applyFont="1" applyFill="1" applyBorder="1"/>
    <xf numFmtId="0" fontId="3482" fillId="3486" borderId="3434" xfId="0" applyFont="1" applyFill="1" applyBorder="1"/>
    <xf numFmtId="0" fontId="3483" fillId="3487" borderId="3435" xfId="0" applyFont="1" applyFill="1" applyBorder="1"/>
    <xf numFmtId="0" fontId="3484" fillId="3488" borderId="3436" xfId="0" applyFont="1" applyFill="1" applyBorder="1"/>
    <xf numFmtId="0" fontId="3485" fillId="3489" borderId="3437" xfId="0" applyFont="1" applyFill="1" applyBorder="1"/>
    <xf numFmtId="0" fontId="3486" fillId="3490" borderId="3438" xfId="0" applyFont="1" applyFill="1" applyBorder="1"/>
    <xf numFmtId="0" fontId="3487" fillId="3491" borderId="3439" xfId="0" applyFont="1" applyFill="1" applyBorder="1"/>
    <xf numFmtId="14" fontId="3488" fillId="3492" borderId="3440" xfId="0" applyNumberFormat="1" applyFont="1" applyFill="1" applyBorder="1"/>
    <xf numFmtId="0" fontId="3489" fillId="3493" borderId="3441" xfId="0" applyFont="1" applyFill="1" applyBorder="1"/>
    <xf numFmtId="0" fontId="3490" fillId="3494" borderId="3442" xfId="0" applyFont="1" applyFill="1" applyBorder="1"/>
    <xf numFmtId="0" fontId="3491" fillId="3495" borderId="3443" xfId="0" applyFont="1" applyFill="1" applyBorder="1"/>
    <xf numFmtId="0" fontId="3492" fillId="3496" borderId="3444" xfId="0" applyFont="1" applyFill="1" applyBorder="1"/>
    <xf numFmtId="0" fontId="3493" fillId="3497" borderId="3445" xfId="0" applyFont="1" applyFill="1" applyBorder="1"/>
    <xf numFmtId="0" fontId="3494" fillId="3498" borderId="3446" xfId="0" applyFont="1" applyFill="1" applyBorder="1"/>
    <xf numFmtId="0" fontId="3495" fillId="3499" borderId="3447" xfId="0" applyFont="1" applyFill="1" applyBorder="1"/>
    <xf numFmtId="14" fontId="3496" fillId="3500" borderId="3448" xfId="0" applyNumberFormat="1" applyFont="1" applyFill="1" applyBorder="1"/>
    <xf numFmtId="0" fontId="3497" fillId="3501" borderId="3449" xfId="0" applyFont="1" applyFill="1" applyBorder="1"/>
    <xf numFmtId="0" fontId="3498" fillId="3502" borderId="3450" xfId="0" applyFont="1" applyFill="1" applyBorder="1"/>
    <xf numFmtId="0" fontId="3499" fillId="3503" borderId="3451" xfId="0" applyFont="1" applyFill="1" applyBorder="1"/>
    <xf numFmtId="0" fontId="3500" fillId="3504" borderId="3452" xfId="0" applyFont="1" applyFill="1" applyBorder="1"/>
    <xf numFmtId="0" fontId="3501" fillId="3505" borderId="3453" xfId="0" applyFont="1" applyFill="1" applyBorder="1"/>
    <xf numFmtId="0" fontId="3502" fillId="3506" borderId="3454" xfId="0" applyFont="1" applyFill="1" applyBorder="1"/>
    <xf numFmtId="0" fontId="3503" fillId="3507" borderId="3455" xfId="0" applyFont="1" applyFill="1" applyBorder="1"/>
    <xf numFmtId="14" fontId="3504" fillId="3508" borderId="3456" xfId="0" applyNumberFormat="1" applyFont="1" applyFill="1" applyBorder="1"/>
    <xf numFmtId="0" fontId="3505" fillId="3509" borderId="3457" xfId="0" applyFont="1" applyFill="1" applyBorder="1"/>
    <xf numFmtId="0" fontId="3506" fillId="3510" borderId="3458" xfId="0" applyFont="1" applyFill="1" applyBorder="1"/>
    <xf numFmtId="0" fontId="3507" fillId="3511" borderId="3459" xfId="0" applyFont="1" applyFill="1" applyBorder="1"/>
    <xf numFmtId="0" fontId="3508" fillId="3512" borderId="3460" xfId="0" applyFont="1" applyFill="1" applyBorder="1"/>
    <xf numFmtId="0" fontId="3509" fillId="3513" borderId="3461" xfId="0" applyFont="1" applyFill="1" applyBorder="1"/>
    <xf numFmtId="0" fontId="3510" fillId="3514" borderId="3462" xfId="0" applyFont="1" applyFill="1" applyBorder="1"/>
    <xf numFmtId="0" fontId="3511" fillId="3515" borderId="3463" xfId="0" applyFont="1" applyFill="1" applyBorder="1"/>
    <xf numFmtId="14" fontId="3512" fillId="3516" borderId="3464" xfId="0" applyNumberFormat="1" applyFont="1" applyFill="1" applyBorder="1"/>
    <xf numFmtId="0" fontId="3513" fillId="3517" borderId="3465" xfId="0" applyFont="1" applyFill="1" applyBorder="1"/>
    <xf numFmtId="0" fontId="3514" fillId="3518" borderId="3466" xfId="0" applyFont="1" applyFill="1" applyBorder="1"/>
    <xf numFmtId="0" fontId="3515" fillId="3519" borderId="3467" xfId="0" applyFont="1" applyFill="1" applyBorder="1"/>
    <xf numFmtId="0" fontId="3516" fillId="3520" borderId="3468" xfId="0" applyFont="1" applyFill="1" applyBorder="1"/>
    <xf numFmtId="0" fontId="3517" fillId="3521" borderId="3469" xfId="0" applyFont="1" applyFill="1" applyBorder="1"/>
    <xf numFmtId="0" fontId="3518" fillId="3522" borderId="3470" xfId="0" applyFont="1" applyFill="1" applyBorder="1"/>
    <xf numFmtId="0" fontId="3519" fillId="3523" borderId="3471" xfId="0" applyFont="1" applyFill="1" applyBorder="1"/>
    <xf numFmtId="14" fontId="3520" fillId="3524" borderId="3472" xfId="0" applyNumberFormat="1" applyFont="1" applyFill="1" applyBorder="1"/>
    <xf numFmtId="0" fontId="3521" fillId="3525" borderId="3473" xfId="0" applyFont="1" applyFill="1" applyBorder="1"/>
    <xf numFmtId="0" fontId="3522" fillId="3526" borderId="3474" xfId="0" applyFont="1" applyFill="1" applyBorder="1"/>
    <xf numFmtId="0" fontId="3523" fillId="3527" borderId="3475" xfId="0" applyFont="1" applyFill="1" applyBorder="1"/>
    <xf numFmtId="0" fontId="3524" fillId="3528" borderId="3476" xfId="0" applyFont="1" applyFill="1" applyBorder="1"/>
    <xf numFmtId="0" fontId="3525" fillId="3529" borderId="3477" xfId="0" applyFont="1" applyFill="1" applyBorder="1"/>
    <xf numFmtId="0" fontId="3526" fillId="3530" borderId="3478" xfId="0" applyFont="1" applyFill="1" applyBorder="1"/>
    <xf numFmtId="0" fontId="3527" fillId="3531" borderId="3479" xfId="0" applyFont="1" applyFill="1" applyBorder="1"/>
    <xf numFmtId="14" fontId="3528" fillId="3532" borderId="3480" xfId="0" applyNumberFormat="1" applyFont="1" applyFill="1" applyBorder="1"/>
    <xf numFmtId="0" fontId="3529" fillId="3533" borderId="3481" xfId="0" applyFont="1" applyFill="1" applyBorder="1"/>
    <xf numFmtId="0" fontId="3530" fillId="3534" borderId="3482" xfId="0" applyFont="1" applyFill="1" applyBorder="1"/>
    <xf numFmtId="0" fontId="3531" fillId="3535" borderId="3483" xfId="0" applyFont="1" applyFill="1" applyBorder="1"/>
    <xf numFmtId="0" fontId="3532" fillId="3536" borderId="3484" xfId="0" applyFont="1" applyFill="1" applyBorder="1"/>
    <xf numFmtId="0" fontId="3533" fillId="3537" borderId="3485" xfId="0" applyFont="1" applyFill="1" applyBorder="1"/>
    <xf numFmtId="0" fontId="3534" fillId="3538" borderId="3486" xfId="0" applyFont="1" applyFill="1" applyBorder="1"/>
    <xf numFmtId="0" fontId="3535" fillId="3539" borderId="3487" xfId="0" applyFont="1" applyFill="1" applyBorder="1"/>
    <xf numFmtId="14" fontId="3536" fillId="3540" borderId="3488" xfId="0" applyNumberFormat="1" applyFont="1" applyFill="1" applyBorder="1"/>
    <xf numFmtId="0" fontId="3537" fillId="3541" borderId="3489" xfId="0" applyFont="1" applyFill="1" applyBorder="1"/>
    <xf numFmtId="0" fontId="3538" fillId="3542" borderId="3490" xfId="0" applyFont="1" applyFill="1" applyBorder="1"/>
    <xf numFmtId="0" fontId="3539" fillId="3543" borderId="3491" xfId="0" applyFont="1" applyFill="1" applyBorder="1"/>
    <xf numFmtId="0" fontId="3540" fillId="3544" borderId="3492" xfId="0" applyFont="1" applyFill="1" applyBorder="1"/>
    <xf numFmtId="0" fontId="3541" fillId="3545" borderId="3493" xfId="0" applyFont="1" applyFill="1" applyBorder="1"/>
    <xf numFmtId="0" fontId="3542" fillId="3546" borderId="3494" xfId="0" applyFont="1" applyFill="1" applyBorder="1"/>
    <xf numFmtId="0" fontId="3543" fillId="3547" borderId="3495" xfId="0" applyFont="1" applyFill="1" applyBorder="1"/>
    <xf numFmtId="14" fontId="3544" fillId="3548" borderId="3496" xfId="0" applyNumberFormat="1" applyFont="1" applyFill="1" applyBorder="1"/>
    <xf numFmtId="0" fontId="3545" fillId="3549" borderId="3497" xfId="0" applyFont="1" applyFill="1" applyBorder="1"/>
    <xf numFmtId="0" fontId="3546" fillId="3550" borderId="3498" xfId="0" applyFont="1" applyFill="1" applyBorder="1"/>
    <xf numFmtId="0" fontId="3547" fillId="3551" borderId="3499" xfId="0" applyFont="1" applyFill="1" applyBorder="1"/>
    <xf numFmtId="0" fontId="3548" fillId="3552" borderId="3500" xfId="0" applyFont="1" applyFill="1" applyBorder="1"/>
    <xf numFmtId="0" fontId="3549" fillId="3553" borderId="3501" xfId="0" applyFont="1" applyFill="1" applyBorder="1"/>
    <xf numFmtId="0" fontId="3550" fillId="3554" borderId="3502" xfId="0" applyFont="1" applyFill="1" applyBorder="1"/>
    <xf numFmtId="0" fontId="3551" fillId="3555" borderId="3503" xfId="0" applyFont="1" applyFill="1" applyBorder="1"/>
    <xf numFmtId="14" fontId="3552" fillId="3556" borderId="3504" xfId="0" applyNumberFormat="1" applyFont="1" applyFill="1" applyBorder="1"/>
    <xf numFmtId="0" fontId="3553" fillId="3557" borderId="3505" xfId="0" applyFont="1" applyFill="1" applyBorder="1"/>
    <xf numFmtId="0" fontId="3554" fillId="3558" borderId="3506" xfId="0" applyFont="1" applyFill="1" applyBorder="1"/>
    <xf numFmtId="0" fontId="3555" fillId="3559" borderId="3507" xfId="0" applyFont="1" applyFill="1" applyBorder="1"/>
    <xf numFmtId="0" fontId="3556" fillId="3560" borderId="3508" xfId="0" applyFont="1" applyFill="1" applyBorder="1"/>
    <xf numFmtId="0" fontId="3557" fillId="3561" borderId="3509" xfId="0" applyFont="1" applyFill="1" applyBorder="1"/>
    <xf numFmtId="0" fontId="3558" fillId="3562" borderId="3510" xfId="0" applyFont="1" applyFill="1" applyBorder="1"/>
    <xf numFmtId="0" fontId="3559" fillId="3563" borderId="3511" xfId="0" applyFont="1" applyFill="1" applyBorder="1"/>
    <xf numFmtId="14" fontId="3560" fillId="3564" borderId="3512" xfId="0" applyNumberFormat="1" applyFont="1" applyFill="1" applyBorder="1"/>
    <xf numFmtId="0" fontId="3561" fillId="3565" borderId="3513" xfId="0" applyFont="1" applyFill="1" applyBorder="1"/>
    <xf numFmtId="0" fontId="3562" fillId="3566" borderId="3514" xfId="0" applyFont="1" applyFill="1" applyBorder="1"/>
    <xf numFmtId="0" fontId="3563" fillId="3567" borderId="3515" xfId="0" applyFont="1" applyFill="1" applyBorder="1"/>
    <xf numFmtId="0" fontId="3564" fillId="3568" borderId="3516" xfId="0" applyFont="1" applyFill="1" applyBorder="1"/>
    <xf numFmtId="0" fontId="3565" fillId="3569" borderId="3517" xfId="0" applyFont="1" applyFill="1" applyBorder="1"/>
    <xf numFmtId="0" fontId="3566" fillId="3570" borderId="3518" xfId="0" applyFont="1" applyFill="1" applyBorder="1"/>
    <xf numFmtId="0" fontId="3567" fillId="3571" borderId="3519" xfId="0" applyFont="1" applyFill="1" applyBorder="1"/>
    <xf numFmtId="14" fontId="3568" fillId="3572" borderId="3520" xfId="0" applyNumberFormat="1" applyFont="1" applyFill="1" applyBorder="1"/>
    <xf numFmtId="0" fontId="3569" fillId="3573" borderId="3521" xfId="0" applyFont="1" applyFill="1" applyBorder="1"/>
    <xf numFmtId="0" fontId="3570" fillId="3574" borderId="3522" xfId="0" applyFont="1" applyFill="1" applyBorder="1"/>
    <xf numFmtId="0" fontId="3571" fillId="3575" borderId="3523" xfId="0" applyFont="1" applyFill="1" applyBorder="1"/>
    <xf numFmtId="0" fontId="3572" fillId="3576" borderId="3524" xfId="0" applyFont="1" applyFill="1" applyBorder="1"/>
    <xf numFmtId="0" fontId="3573" fillId="3577" borderId="3525" xfId="0" applyFont="1" applyFill="1" applyBorder="1"/>
    <xf numFmtId="0" fontId="3574" fillId="3578" borderId="3526" xfId="0" applyFont="1" applyFill="1" applyBorder="1"/>
    <xf numFmtId="0" fontId="3575" fillId="3579" borderId="3527" xfId="0" applyFont="1" applyFill="1" applyBorder="1"/>
    <xf numFmtId="14" fontId="3576" fillId="3580" borderId="3528" xfId="0" applyNumberFormat="1" applyFont="1" applyFill="1" applyBorder="1"/>
    <xf numFmtId="0" fontId="3577" fillId="3581" borderId="3529" xfId="0" applyFont="1" applyFill="1" applyBorder="1"/>
    <xf numFmtId="0" fontId="3578" fillId="3582" borderId="3530" xfId="0" applyFont="1" applyFill="1" applyBorder="1"/>
    <xf numFmtId="0" fontId="3579" fillId="3583" borderId="3531" xfId="0" applyFont="1" applyFill="1" applyBorder="1"/>
    <xf numFmtId="0" fontId="3580" fillId="3584" borderId="3532" xfId="0" applyFont="1" applyFill="1" applyBorder="1"/>
    <xf numFmtId="0" fontId="3581" fillId="3585" borderId="3533" xfId="0" applyFont="1" applyFill="1" applyBorder="1"/>
    <xf numFmtId="0" fontId="3582" fillId="3586" borderId="3534" xfId="0" applyFont="1" applyFill="1" applyBorder="1"/>
    <xf numFmtId="0" fontId="3583" fillId="3587" borderId="3535" xfId="0" applyFont="1" applyFill="1" applyBorder="1"/>
    <xf numFmtId="14" fontId="3584" fillId="3588" borderId="3536" xfId="0" applyNumberFormat="1" applyFont="1" applyFill="1" applyBorder="1"/>
    <xf numFmtId="0" fontId="3585" fillId="3589" borderId="3537" xfId="0" applyFont="1" applyFill="1" applyBorder="1"/>
    <xf numFmtId="0" fontId="3586" fillId="3590" borderId="3538" xfId="0" applyFont="1" applyFill="1" applyBorder="1"/>
    <xf numFmtId="0" fontId="3587" fillId="3591" borderId="3539" xfId="0" applyFont="1" applyFill="1" applyBorder="1"/>
    <xf numFmtId="0" fontId="3588" fillId="3592" borderId="3540" xfId="0" applyFont="1" applyFill="1" applyBorder="1"/>
    <xf numFmtId="0" fontId="3589" fillId="3593" borderId="3541" xfId="0" applyFont="1" applyFill="1" applyBorder="1"/>
    <xf numFmtId="0" fontId="3590" fillId="3594" borderId="3542" xfId="0" applyFont="1" applyFill="1" applyBorder="1"/>
    <xf numFmtId="0" fontId="3591" fillId="3595" borderId="3543" xfId="0" applyFont="1" applyFill="1" applyBorder="1"/>
    <xf numFmtId="14" fontId="3592" fillId="3596" borderId="3544" xfId="0" applyNumberFormat="1" applyFont="1" applyFill="1" applyBorder="1"/>
    <xf numFmtId="0" fontId="3593" fillId="3597" borderId="3545" xfId="0" applyFont="1" applyFill="1" applyBorder="1"/>
    <xf numFmtId="0" fontId="3594" fillId="3598" borderId="3546" xfId="0" applyFont="1" applyFill="1" applyBorder="1"/>
    <xf numFmtId="0" fontId="3595" fillId="3599" borderId="3547" xfId="0" applyFont="1" applyFill="1" applyBorder="1"/>
    <xf numFmtId="0" fontId="3596" fillId="3600" borderId="3548" xfId="0" applyFont="1" applyFill="1" applyBorder="1"/>
    <xf numFmtId="0" fontId="3597" fillId="3601" borderId="3549" xfId="0" applyFont="1" applyFill="1" applyBorder="1"/>
    <xf numFmtId="0" fontId="3598" fillId="3602" borderId="3550" xfId="0" applyFont="1" applyFill="1" applyBorder="1"/>
    <xf numFmtId="0" fontId="3599" fillId="3603" borderId="3551" xfId="0" applyFont="1" applyFill="1" applyBorder="1"/>
    <xf numFmtId="14" fontId="3600" fillId="3604" borderId="3552" xfId="0" applyNumberFormat="1" applyFont="1" applyFill="1" applyBorder="1"/>
    <xf numFmtId="0" fontId="3601" fillId="3605" borderId="3553" xfId="0" applyFont="1" applyFill="1" applyBorder="1"/>
    <xf numFmtId="0" fontId="3602" fillId="3606" borderId="3554" xfId="0" applyFont="1" applyFill="1" applyBorder="1"/>
    <xf numFmtId="0" fontId="3603" fillId="3607" borderId="3555" xfId="0" applyFont="1" applyFill="1" applyBorder="1"/>
    <xf numFmtId="0" fontId="3604" fillId="3608" borderId="3556" xfId="0" applyFont="1" applyFill="1" applyBorder="1"/>
    <xf numFmtId="0" fontId="3605" fillId="3609" borderId="3557" xfId="0" applyFont="1" applyFill="1" applyBorder="1"/>
    <xf numFmtId="0" fontId="3606" fillId="3610" borderId="3558" xfId="0" applyFont="1" applyFill="1" applyBorder="1"/>
    <xf numFmtId="0" fontId="3607" fillId="3611" borderId="3559" xfId="0" applyFont="1" applyFill="1" applyBorder="1"/>
    <xf numFmtId="14" fontId="3608" fillId="3612" borderId="3560" xfId="0" applyNumberFormat="1" applyFont="1" applyFill="1" applyBorder="1"/>
    <xf numFmtId="0" fontId="3609" fillId="3613" borderId="3561" xfId="0" applyFont="1" applyFill="1" applyBorder="1"/>
    <xf numFmtId="0" fontId="3610" fillId="3614" borderId="3562" xfId="0" applyFont="1" applyFill="1" applyBorder="1"/>
    <xf numFmtId="0" fontId="3611" fillId="3615" borderId="3563" xfId="0" applyFont="1" applyFill="1" applyBorder="1"/>
    <xf numFmtId="0" fontId="3612" fillId="3616" borderId="3564" xfId="0" applyFont="1" applyFill="1" applyBorder="1"/>
    <xf numFmtId="0" fontId="3613" fillId="3617" borderId="3565" xfId="0" applyFont="1" applyFill="1" applyBorder="1"/>
    <xf numFmtId="0" fontId="3614" fillId="3618" borderId="3566" xfId="0" applyFont="1" applyFill="1" applyBorder="1"/>
    <xf numFmtId="0" fontId="3615" fillId="3619" borderId="3567" xfId="0" applyFont="1" applyFill="1" applyBorder="1"/>
    <xf numFmtId="14" fontId="3616" fillId="3620" borderId="3568" xfId="0" applyNumberFormat="1" applyFont="1" applyFill="1" applyBorder="1"/>
    <xf numFmtId="0" fontId="3617" fillId="3621" borderId="3569" xfId="0" applyFont="1" applyFill="1" applyBorder="1"/>
    <xf numFmtId="0" fontId="3618" fillId="3622" borderId="3570" xfId="0" applyFont="1" applyFill="1" applyBorder="1"/>
    <xf numFmtId="0" fontId="3619" fillId="3623" borderId="3571" xfId="0" applyFont="1" applyFill="1" applyBorder="1"/>
    <xf numFmtId="0" fontId="3620" fillId="3624" borderId="3572" xfId="0" applyFont="1" applyFill="1" applyBorder="1"/>
    <xf numFmtId="0" fontId="3621" fillId="3625" borderId="3573" xfId="0" applyFont="1" applyFill="1" applyBorder="1"/>
    <xf numFmtId="0" fontId="3622" fillId="3626" borderId="3574" xfId="0" applyFont="1" applyFill="1" applyBorder="1"/>
    <xf numFmtId="0" fontId="3623" fillId="3627" borderId="3575" xfId="0" applyFont="1" applyFill="1" applyBorder="1"/>
    <xf numFmtId="14" fontId="3624" fillId="3628" borderId="3576" xfId="0" applyNumberFormat="1" applyFont="1" applyFill="1" applyBorder="1"/>
    <xf numFmtId="0" fontId="3625" fillId="3629" borderId="3577" xfId="0" applyFont="1" applyFill="1" applyBorder="1"/>
    <xf numFmtId="0" fontId="3626" fillId="3630" borderId="3578" xfId="0" applyFont="1" applyFill="1" applyBorder="1"/>
    <xf numFmtId="0" fontId="3627" fillId="3631" borderId="3579" xfId="0" applyFont="1" applyFill="1" applyBorder="1"/>
    <xf numFmtId="0" fontId="3628" fillId="3632" borderId="3580" xfId="0" applyFont="1" applyFill="1" applyBorder="1"/>
    <xf numFmtId="0" fontId="3629" fillId="3633" borderId="3581" xfId="0" applyFont="1" applyFill="1" applyBorder="1"/>
    <xf numFmtId="0" fontId="3630" fillId="3634" borderId="3582" xfId="0" applyFont="1" applyFill="1" applyBorder="1"/>
    <xf numFmtId="0" fontId="3631" fillId="3635" borderId="3583" xfId="0" applyFont="1" applyFill="1" applyBorder="1"/>
    <xf numFmtId="14" fontId="3632" fillId="3636" borderId="3584" xfId="0" applyNumberFormat="1" applyFont="1" applyFill="1" applyBorder="1"/>
    <xf numFmtId="0" fontId="3633" fillId="3637" borderId="3585" xfId="0" applyFont="1" applyFill="1" applyBorder="1"/>
    <xf numFmtId="0" fontId="3634" fillId="3638" borderId="3586" xfId="0" applyFont="1" applyFill="1" applyBorder="1"/>
    <xf numFmtId="0" fontId="3635" fillId="3639" borderId="3587" xfId="0" applyFont="1" applyFill="1" applyBorder="1"/>
    <xf numFmtId="0" fontId="3636" fillId="3640" borderId="3588" xfId="0" applyFont="1" applyFill="1" applyBorder="1"/>
    <xf numFmtId="0" fontId="3637" fillId="3641" borderId="3589" xfId="0" applyFont="1" applyFill="1" applyBorder="1"/>
    <xf numFmtId="0" fontId="3638" fillId="3642" borderId="3590" xfId="0" applyFont="1" applyFill="1" applyBorder="1"/>
    <xf numFmtId="0" fontId="3639" fillId="3643" borderId="3591" xfId="0" applyFont="1" applyFill="1" applyBorder="1"/>
    <xf numFmtId="14" fontId="3640" fillId="3644" borderId="3592" xfId="0" applyNumberFormat="1" applyFont="1" applyFill="1" applyBorder="1"/>
    <xf numFmtId="0" fontId="3641" fillId="3645" borderId="3593" xfId="0" applyFont="1" applyFill="1" applyBorder="1"/>
    <xf numFmtId="0" fontId="3642" fillId="3646" borderId="3594" xfId="0" applyFont="1" applyFill="1" applyBorder="1"/>
    <xf numFmtId="0" fontId="3643" fillId="3647" borderId="3595" xfId="0" applyFont="1" applyFill="1" applyBorder="1"/>
    <xf numFmtId="0" fontId="3644" fillId="3648" borderId="3596" xfId="0" applyFont="1" applyFill="1" applyBorder="1"/>
    <xf numFmtId="0" fontId="3645" fillId="3649" borderId="3597" xfId="0" applyFont="1" applyFill="1" applyBorder="1"/>
    <xf numFmtId="0" fontId="3646" fillId="3650" borderId="3598" xfId="0" applyFont="1" applyFill="1" applyBorder="1"/>
    <xf numFmtId="0" fontId="3647" fillId="3651" borderId="3599" xfId="0" applyFont="1" applyFill="1" applyBorder="1"/>
    <xf numFmtId="14" fontId="3648" fillId="3652" borderId="3600" xfId="0" applyNumberFormat="1" applyFont="1" applyFill="1" applyBorder="1"/>
    <xf numFmtId="0" fontId="3649" fillId="3653" borderId="3601" xfId="0" applyFont="1" applyFill="1" applyBorder="1"/>
    <xf numFmtId="0" fontId="3650" fillId="3654" borderId="3602" xfId="0" applyFont="1" applyFill="1" applyBorder="1"/>
    <xf numFmtId="0" fontId="3651" fillId="3655" borderId="3603" xfId="0" applyFont="1" applyFill="1" applyBorder="1"/>
    <xf numFmtId="0" fontId="3652" fillId="3656" borderId="3604" xfId="0" applyFont="1" applyFill="1" applyBorder="1"/>
    <xf numFmtId="0" fontId="3653" fillId="3657" borderId="3605" xfId="0" applyFont="1" applyFill="1" applyBorder="1"/>
    <xf numFmtId="0" fontId="3654" fillId="3658" borderId="3606" xfId="0" applyFont="1" applyFill="1" applyBorder="1"/>
    <xf numFmtId="0" fontId="3655" fillId="3659" borderId="3607" xfId="0" applyFont="1" applyFill="1" applyBorder="1"/>
    <xf numFmtId="14" fontId="3656" fillId="3660" borderId="3608" xfId="0" applyNumberFormat="1" applyFont="1" applyFill="1" applyBorder="1"/>
    <xf numFmtId="0" fontId="3657" fillId="3661" borderId="3609" xfId="0" applyFont="1" applyFill="1" applyBorder="1"/>
    <xf numFmtId="0" fontId="3658" fillId="3662" borderId="3610" xfId="0" applyFont="1" applyFill="1" applyBorder="1"/>
    <xf numFmtId="0" fontId="3659" fillId="3663" borderId="3611" xfId="0" applyFont="1" applyFill="1" applyBorder="1"/>
    <xf numFmtId="0" fontId="3660" fillId="3664" borderId="3612" xfId="0" applyFont="1" applyFill="1" applyBorder="1"/>
    <xf numFmtId="0" fontId="3661" fillId="3665" borderId="3613" xfId="0" applyFont="1" applyFill="1" applyBorder="1"/>
    <xf numFmtId="0" fontId="3662" fillId="3666" borderId="3614" xfId="0" applyFont="1" applyFill="1" applyBorder="1"/>
    <xf numFmtId="0" fontId="3663" fillId="3667" borderId="3615" xfId="0" applyFont="1" applyFill="1" applyBorder="1"/>
    <xf numFmtId="14" fontId="3664" fillId="3668" borderId="3616" xfId="0" applyNumberFormat="1" applyFont="1" applyFill="1" applyBorder="1"/>
    <xf numFmtId="0" fontId="3665" fillId="3669" borderId="3617" xfId="0" applyFont="1" applyFill="1" applyBorder="1"/>
    <xf numFmtId="0" fontId="3666" fillId="3670" borderId="3618" xfId="0" applyFont="1" applyFill="1" applyBorder="1"/>
    <xf numFmtId="0" fontId="3667" fillId="3671" borderId="3619" xfId="0" applyFont="1" applyFill="1" applyBorder="1"/>
    <xf numFmtId="0" fontId="3668" fillId="3672" borderId="3620" xfId="0" applyFont="1" applyFill="1" applyBorder="1"/>
    <xf numFmtId="0" fontId="3669" fillId="3673" borderId="3621" xfId="0" applyFont="1" applyFill="1" applyBorder="1"/>
    <xf numFmtId="0" fontId="3670" fillId="3674" borderId="3622" xfId="0" applyFont="1" applyFill="1" applyBorder="1"/>
    <xf numFmtId="0" fontId="3671" fillId="3675" borderId="3623" xfId="0" applyFont="1" applyFill="1" applyBorder="1"/>
    <xf numFmtId="14" fontId="3672" fillId="3676" borderId="3624" xfId="0" applyNumberFormat="1" applyFont="1" applyFill="1" applyBorder="1"/>
    <xf numFmtId="0" fontId="3673" fillId="3677" borderId="3625" xfId="0" applyFont="1" applyFill="1" applyBorder="1"/>
    <xf numFmtId="0" fontId="3674" fillId="3678" borderId="3626" xfId="0" applyFont="1" applyFill="1" applyBorder="1"/>
    <xf numFmtId="0" fontId="3675" fillId="3679" borderId="3627" xfId="0" applyFont="1" applyFill="1" applyBorder="1"/>
    <xf numFmtId="0" fontId="3676" fillId="3680" borderId="3628" xfId="0" applyFont="1" applyFill="1" applyBorder="1"/>
    <xf numFmtId="0" fontId="3677" fillId="3681" borderId="3629" xfId="0" applyFont="1" applyFill="1" applyBorder="1"/>
    <xf numFmtId="0" fontId="3678" fillId="3682" borderId="3630" xfId="0" applyFont="1" applyFill="1" applyBorder="1"/>
    <xf numFmtId="0" fontId="3679" fillId="3683" borderId="3631" xfId="0" applyFont="1" applyFill="1" applyBorder="1"/>
    <xf numFmtId="14" fontId="3680" fillId="3684" borderId="3632" xfId="0" applyNumberFormat="1" applyFont="1" applyFill="1" applyBorder="1"/>
    <xf numFmtId="0" fontId="3681" fillId="3685" borderId="3633" xfId="0" applyFont="1" applyFill="1" applyBorder="1"/>
    <xf numFmtId="0" fontId="3682" fillId="3686" borderId="3634" xfId="0" applyFont="1" applyFill="1" applyBorder="1"/>
    <xf numFmtId="0" fontId="3683" fillId="3687" borderId="3635" xfId="0" applyFont="1" applyFill="1" applyBorder="1"/>
    <xf numFmtId="0" fontId="3684" fillId="3688" borderId="3636" xfId="0" applyFont="1" applyFill="1" applyBorder="1"/>
    <xf numFmtId="0" fontId="3685" fillId="3689" borderId="3637" xfId="0" applyFont="1" applyFill="1" applyBorder="1"/>
    <xf numFmtId="0" fontId="3686" fillId="3690" borderId="3638" xfId="0" applyFont="1" applyFill="1" applyBorder="1"/>
    <xf numFmtId="0" fontId="3687" fillId="3691" borderId="3639" xfId="0" applyFont="1" applyFill="1" applyBorder="1"/>
    <xf numFmtId="14" fontId="3688" fillId="3692" borderId="3640" xfId="0" applyNumberFormat="1" applyFont="1" applyFill="1" applyBorder="1"/>
    <xf numFmtId="0" fontId="3689" fillId="3693" borderId="3641" xfId="0" applyFont="1" applyFill="1" applyBorder="1"/>
    <xf numFmtId="0" fontId="3690" fillId="3694" borderId="3642" xfId="0" applyFont="1" applyFill="1" applyBorder="1"/>
    <xf numFmtId="0" fontId="3691" fillId="3695" borderId="3643" xfId="0" applyFont="1" applyFill="1" applyBorder="1"/>
    <xf numFmtId="0" fontId="3692" fillId="3696" borderId="3644" xfId="0" applyFont="1" applyFill="1" applyBorder="1"/>
    <xf numFmtId="0" fontId="3693" fillId="3697" borderId="3645" xfId="0" applyFont="1" applyFill="1" applyBorder="1"/>
    <xf numFmtId="0" fontId="3694" fillId="3698" borderId="3646" xfId="0" applyFont="1" applyFill="1" applyBorder="1"/>
    <xf numFmtId="0" fontId="3695" fillId="3699" borderId="3647" xfId="0" applyFont="1" applyFill="1" applyBorder="1"/>
    <xf numFmtId="14" fontId="3696" fillId="3700" borderId="3648" xfId="0" applyNumberFormat="1" applyFont="1" applyFill="1" applyBorder="1"/>
    <xf numFmtId="0" fontId="3697" fillId="3701" borderId="3649" xfId="0" applyFont="1" applyFill="1" applyBorder="1"/>
    <xf numFmtId="0" fontId="3698" fillId="3702" borderId="3650" xfId="0" applyFont="1" applyFill="1" applyBorder="1"/>
    <xf numFmtId="0" fontId="3699" fillId="3703" borderId="3651" xfId="0" applyFont="1" applyFill="1" applyBorder="1"/>
    <xf numFmtId="0" fontId="3700" fillId="3704" borderId="3652" xfId="0" applyFont="1" applyFill="1" applyBorder="1"/>
    <xf numFmtId="0" fontId="3701" fillId="3705" borderId="3653" xfId="0" applyFont="1" applyFill="1" applyBorder="1"/>
    <xf numFmtId="0" fontId="3702" fillId="3706" borderId="3654" xfId="0" applyFont="1" applyFill="1" applyBorder="1"/>
    <xf numFmtId="0" fontId="3703" fillId="3707" borderId="3655" xfId="0" applyFont="1" applyFill="1" applyBorder="1"/>
    <xf numFmtId="14" fontId="3704" fillId="3708" borderId="3656" xfId="0" applyNumberFormat="1" applyFont="1" applyFill="1" applyBorder="1"/>
    <xf numFmtId="0" fontId="3705" fillId="3709" borderId="3657" xfId="0" applyFont="1" applyFill="1" applyBorder="1"/>
    <xf numFmtId="0" fontId="3706" fillId="3710" borderId="3658" xfId="0" applyFont="1" applyFill="1" applyBorder="1"/>
    <xf numFmtId="0" fontId="3707" fillId="3711" borderId="3659" xfId="0" applyFont="1" applyFill="1" applyBorder="1"/>
    <xf numFmtId="0" fontId="3708" fillId="3712" borderId="3660" xfId="0" applyFont="1" applyFill="1" applyBorder="1"/>
    <xf numFmtId="0" fontId="3709" fillId="3713" borderId="3661" xfId="0" applyFont="1" applyFill="1" applyBorder="1"/>
    <xf numFmtId="0" fontId="3710" fillId="3714" borderId="3662" xfId="0" applyFont="1" applyFill="1" applyBorder="1"/>
    <xf numFmtId="0" fontId="3711" fillId="3715" borderId="3663" xfId="0" applyFont="1" applyFill="1" applyBorder="1"/>
    <xf numFmtId="14" fontId="3712" fillId="3716" borderId="3664" xfId="0" applyNumberFormat="1" applyFont="1" applyFill="1" applyBorder="1"/>
    <xf numFmtId="0" fontId="3713" fillId="3717" borderId="3665" xfId="0" applyFont="1" applyFill="1" applyBorder="1"/>
    <xf numFmtId="0" fontId="3714" fillId="3718" borderId="3666" xfId="0" applyFont="1" applyFill="1" applyBorder="1"/>
    <xf numFmtId="0" fontId="3715" fillId="3719" borderId="3667" xfId="0" applyFont="1" applyFill="1" applyBorder="1"/>
    <xf numFmtId="0" fontId="3716" fillId="3720" borderId="3668" xfId="0" applyFont="1" applyFill="1" applyBorder="1"/>
    <xf numFmtId="0" fontId="3717" fillId="3721" borderId="3669" xfId="0" applyFont="1" applyFill="1" applyBorder="1"/>
    <xf numFmtId="0" fontId="3718" fillId="3722" borderId="3670" xfId="0" applyFont="1" applyFill="1" applyBorder="1"/>
    <xf numFmtId="0" fontId="3719" fillId="3723" borderId="3671" xfId="0" applyFont="1" applyFill="1" applyBorder="1"/>
    <xf numFmtId="14" fontId="3720" fillId="3724" borderId="3672" xfId="0" applyNumberFormat="1" applyFont="1" applyFill="1" applyBorder="1"/>
    <xf numFmtId="0" fontId="3721" fillId="3725" borderId="3673" xfId="0" applyFont="1" applyFill="1" applyBorder="1"/>
    <xf numFmtId="0" fontId="3722" fillId="3726" borderId="3674" xfId="0" applyFont="1" applyFill="1" applyBorder="1"/>
    <xf numFmtId="0" fontId="3723" fillId="3727" borderId="3675" xfId="0" applyFont="1" applyFill="1" applyBorder="1"/>
    <xf numFmtId="0" fontId="3724" fillId="3728" borderId="3676" xfId="0" applyFont="1" applyFill="1" applyBorder="1"/>
    <xf numFmtId="0" fontId="3725" fillId="3729" borderId="3677" xfId="0" applyFont="1" applyFill="1" applyBorder="1"/>
    <xf numFmtId="0" fontId="3726" fillId="3730" borderId="3678" xfId="0" applyFont="1" applyFill="1" applyBorder="1"/>
    <xf numFmtId="0" fontId="3727" fillId="3731" borderId="3679" xfId="0" applyFont="1" applyFill="1" applyBorder="1"/>
    <xf numFmtId="14" fontId="3728" fillId="3732" borderId="3680" xfId="0" applyNumberFormat="1" applyFont="1" applyFill="1" applyBorder="1"/>
    <xf numFmtId="0" fontId="3729" fillId="3733" borderId="3681" xfId="0" applyFont="1" applyFill="1" applyBorder="1"/>
    <xf numFmtId="0" fontId="3730" fillId="3734" borderId="3682" xfId="0" applyFont="1" applyFill="1" applyBorder="1"/>
    <xf numFmtId="0" fontId="3731" fillId="3735" borderId="3683" xfId="0" applyFont="1" applyFill="1" applyBorder="1"/>
    <xf numFmtId="0" fontId="3732" fillId="3736" borderId="3684" xfId="0" applyFont="1" applyFill="1" applyBorder="1"/>
    <xf numFmtId="0" fontId="3733" fillId="3737" borderId="3685" xfId="0" applyFont="1" applyFill="1" applyBorder="1"/>
    <xf numFmtId="0" fontId="3734" fillId="3738" borderId="3686" xfId="0" applyFont="1" applyFill="1" applyBorder="1"/>
    <xf numFmtId="0" fontId="3735" fillId="3739" borderId="3687" xfId="0" applyFont="1" applyFill="1" applyBorder="1"/>
    <xf numFmtId="14" fontId="3736" fillId="3740" borderId="3688" xfId="0" applyNumberFormat="1" applyFont="1" applyFill="1" applyBorder="1"/>
    <xf numFmtId="0" fontId="3737" fillId="3741" borderId="3689" xfId="0" applyFont="1" applyFill="1" applyBorder="1"/>
    <xf numFmtId="0" fontId="3738" fillId="3742" borderId="3690" xfId="0" applyFont="1" applyFill="1" applyBorder="1"/>
    <xf numFmtId="0" fontId="3739" fillId="3743" borderId="3691" xfId="0" applyFont="1" applyFill="1" applyBorder="1"/>
    <xf numFmtId="0" fontId="3740" fillId="3744" borderId="3692" xfId="0" applyFont="1" applyFill="1" applyBorder="1"/>
    <xf numFmtId="0" fontId="3741" fillId="3745" borderId="3693" xfId="0" applyFont="1" applyFill="1" applyBorder="1"/>
    <xf numFmtId="0" fontId="3742" fillId="3746" borderId="3694" xfId="0" applyFont="1" applyFill="1" applyBorder="1"/>
    <xf numFmtId="0" fontId="3743" fillId="3747" borderId="3695" xfId="0" applyFont="1" applyFill="1" applyBorder="1"/>
    <xf numFmtId="14" fontId="3744" fillId="3748" borderId="3696" xfId="0" applyNumberFormat="1" applyFont="1" applyFill="1" applyBorder="1"/>
    <xf numFmtId="0" fontId="3745" fillId="3749" borderId="3697" xfId="0" applyFont="1" applyFill="1" applyBorder="1"/>
    <xf numFmtId="0" fontId="3746" fillId="3750" borderId="3698" xfId="0" applyFont="1" applyFill="1" applyBorder="1"/>
    <xf numFmtId="0" fontId="3747" fillId="3751" borderId="3699" xfId="0" applyFont="1" applyFill="1" applyBorder="1"/>
    <xf numFmtId="0" fontId="3748" fillId="3752" borderId="3700" xfId="0" applyFont="1" applyFill="1" applyBorder="1"/>
    <xf numFmtId="0" fontId="3749" fillId="3753" borderId="3701" xfId="0" applyFont="1" applyFill="1" applyBorder="1"/>
    <xf numFmtId="0" fontId="3750" fillId="3754" borderId="3702" xfId="0" applyFont="1" applyFill="1" applyBorder="1"/>
    <xf numFmtId="0" fontId="3751" fillId="3755" borderId="3703" xfId="0" applyFont="1" applyFill="1" applyBorder="1"/>
    <xf numFmtId="14" fontId="3752" fillId="3756" borderId="3704" xfId="0" applyNumberFormat="1" applyFont="1" applyFill="1" applyBorder="1"/>
    <xf numFmtId="0" fontId="3753" fillId="3757" borderId="3705" xfId="0" applyFont="1" applyFill="1" applyBorder="1"/>
    <xf numFmtId="0" fontId="3754" fillId="3758" borderId="3706" xfId="0" applyFont="1" applyFill="1" applyBorder="1"/>
    <xf numFmtId="0" fontId="3755" fillId="3759" borderId="3707" xfId="0" applyFont="1" applyFill="1" applyBorder="1"/>
    <xf numFmtId="0" fontId="3756" fillId="3760" borderId="3708" xfId="0" applyFont="1" applyFill="1" applyBorder="1"/>
    <xf numFmtId="0" fontId="3757" fillId="3761" borderId="3709" xfId="0" applyFont="1" applyFill="1" applyBorder="1"/>
    <xf numFmtId="0" fontId="3758" fillId="3762" borderId="3710" xfId="0" applyFont="1" applyFill="1" applyBorder="1"/>
    <xf numFmtId="0" fontId="3759" fillId="3763" borderId="3711" xfId="0" applyFont="1" applyFill="1" applyBorder="1"/>
    <xf numFmtId="14" fontId="3760" fillId="3764" borderId="3712" xfId="0" applyNumberFormat="1" applyFont="1" applyFill="1" applyBorder="1"/>
    <xf numFmtId="0" fontId="3761" fillId="3765" borderId="3713" xfId="0" applyFont="1" applyFill="1" applyBorder="1"/>
    <xf numFmtId="0" fontId="3762" fillId="3766" borderId="3714" xfId="0" applyFont="1" applyFill="1" applyBorder="1"/>
    <xf numFmtId="0" fontId="3763" fillId="3767" borderId="3715" xfId="0" applyFont="1" applyFill="1" applyBorder="1"/>
    <xf numFmtId="0" fontId="3764" fillId="3768" borderId="3716" xfId="0" applyFont="1" applyFill="1" applyBorder="1"/>
    <xf numFmtId="0" fontId="3765" fillId="3769" borderId="3717" xfId="0" applyFont="1" applyFill="1" applyBorder="1"/>
    <xf numFmtId="0" fontId="3766" fillId="3770" borderId="3718" xfId="0" applyFont="1" applyFill="1" applyBorder="1"/>
    <xf numFmtId="0" fontId="3767" fillId="3771" borderId="3719" xfId="0" applyFont="1" applyFill="1" applyBorder="1"/>
    <xf numFmtId="14" fontId="3768" fillId="3772" borderId="3720" xfId="0" applyNumberFormat="1" applyFont="1" applyFill="1" applyBorder="1"/>
    <xf numFmtId="0" fontId="3769" fillId="3773" borderId="3721" xfId="0" applyFont="1" applyFill="1" applyBorder="1"/>
    <xf numFmtId="0" fontId="3770" fillId="3774" borderId="3722" xfId="0" applyFont="1" applyFill="1" applyBorder="1"/>
    <xf numFmtId="0" fontId="3771" fillId="3775" borderId="3723" xfId="0" applyFont="1" applyFill="1" applyBorder="1"/>
    <xf numFmtId="0" fontId="3772" fillId="3776" borderId="3724" xfId="0" applyFont="1" applyFill="1" applyBorder="1"/>
    <xf numFmtId="0" fontId="3773" fillId="3777" borderId="3725" xfId="0" applyFont="1" applyFill="1" applyBorder="1"/>
    <xf numFmtId="0" fontId="3774" fillId="3778" borderId="3726" xfId="0" applyFont="1" applyFill="1" applyBorder="1"/>
    <xf numFmtId="0" fontId="3775" fillId="3779" borderId="3727" xfId="0" applyFont="1" applyFill="1" applyBorder="1"/>
    <xf numFmtId="14" fontId="3776" fillId="3780" borderId="3728" xfId="0" applyNumberFormat="1" applyFont="1" applyFill="1" applyBorder="1"/>
    <xf numFmtId="0" fontId="3777" fillId="3781" borderId="3729" xfId="0" applyFont="1" applyFill="1" applyBorder="1"/>
    <xf numFmtId="0" fontId="3778" fillId="3782" borderId="3730" xfId="0" applyFont="1" applyFill="1" applyBorder="1"/>
    <xf numFmtId="0" fontId="3779" fillId="3783" borderId="3731" xfId="0" applyFont="1" applyFill="1" applyBorder="1"/>
    <xf numFmtId="0" fontId="3780" fillId="3784" borderId="3732" xfId="0" applyFont="1" applyFill="1" applyBorder="1"/>
    <xf numFmtId="0" fontId="3781" fillId="3785" borderId="3733" xfId="0" applyFont="1" applyFill="1" applyBorder="1"/>
    <xf numFmtId="0" fontId="3782" fillId="3786" borderId="3734" xfId="0" applyFont="1" applyFill="1" applyBorder="1"/>
    <xf numFmtId="0" fontId="3783" fillId="3787" borderId="3735" xfId="0" applyFont="1" applyFill="1" applyBorder="1"/>
    <xf numFmtId="14" fontId="3784" fillId="3788" borderId="3736" xfId="0" applyNumberFormat="1" applyFont="1" applyFill="1" applyBorder="1"/>
    <xf numFmtId="0" fontId="3785" fillId="3789" borderId="3737" xfId="0" applyFont="1" applyFill="1" applyBorder="1"/>
    <xf numFmtId="0" fontId="3786" fillId="3790" borderId="3738" xfId="0" applyFont="1" applyFill="1" applyBorder="1"/>
    <xf numFmtId="0" fontId="3787" fillId="3791" borderId="3739" xfId="0" applyFont="1" applyFill="1" applyBorder="1"/>
    <xf numFmtId="0" fontId="3788" fillId="3792" borderId="3740" xfId="0" applyFont="1" applyFill="1" applyBorder="1"/>
    <xf numFmtId="0" fontId="3789" fillId="3793" borderId="3741" xfId="0" applyFont="1" applyFill="1" applyBorder="1"/>
    <xf numFmtId="0" fontId="3790" fillId="3794" borderId="3742" xfId="0" applyFont="1" applyFill="1" applyBorder="1"/>
    <xf numFmtId="0" fontId="3791" fillId="3795" borderId="3743" xfId="0" applyFont="1" applyFill="1" applyBorder="1"/>
    <xf numFmtId="14" fontId="3792" fillId="3796" borderId="3744" xfId="0" applyNumberFormat="1" applyFont="1" applyFill="1" applyBorder="1"/>
    <xf numFmtId="0" fontId="3793" fillId="3797" borderId="3745" xfId="0" applyFont="1" applyFill="1" applyBorder="1"/>
    <xf numFmtId="0" fontId="3794" fillId="3798" borderId="3746" xfId="0" applyFont="1" applyFill="1" applyBorder="1"/>
    <xf numFmtId="0" fontId="3795" fillId="3799" borderId="3747" xfId="0" applyFont="1" applyFill="1" applyBorder="1"/>
    <xf numFmtId="0" fontId="3796" fillId="3800" borderId="3748" xfId="0" applyFont="1" applyFill="1" applyBorder="1"/>
    <xf numFmtId="0" fontId="3797" fillId="3801" borderId="3749" xfId="0" applyFont="1" applyFill="1" applyBorder="1"/>
    <xf numFmtId="0" fontId="3798" fillId="3802" borderId="3750" xfId="0" applyFont="1" applyFill="1" applyBorder="1"/>
    <xf numFmtId="0" fontId="3799" fillId="3803" borderId="3751" xfId="0" applyFont="1" applyFill="1" applyBorder="1"/>
    <xf numFmtId="14" fontId="3800" fillId="3804" borderId="3752" xfId="0" applyNumberFormat="1" applyFont="1" applyFill="1" applyBorder="1"/>
    <xf numFmtId="0" fontId="3801" fillId="3805" borderId="3753" xfId="0" applyFont="1" applyFill="1" applyBorder="1"/>
    <xf numFmtId="0" fontId="3802" fillId="3806" borderId="3754" xfId="0" applyFont="1" applyFill="1" applyBorder="1"/>
    <xf numFmtId="0" fontId="3803" fillId="3807" borderId="3755" xfId="0" applyFont="1" applyFill="1" applyBorder="1"/>
    <xf numFmtId="0" fontId="3804" fillId="3808" borderId="3756" xfId="0" applyFont="1" applyFill="1" applyBorder="1"/>
    <xf numFmtId="0" fontId="3805" fillId="3809" borderId="3757" xfId="0" applyFont="1" applyFill="1" applyBorder="1"/>
    <xf numFmtId="0" fontId="3806" fillId="3810" borderId="3758" xfId="0" applyFont="1" applyFill="1" applyBorder="1"/>
    <xf numFmtId="0" fontId="3807" fillId="3811" borderId="3759" xfId="0" applyFont="1" applyFill="1" applyBorder="1"/>
    <xf numFmtId="14" fontId="3808" fillId="3812" borderId="3760" xfId="0" applyNumberFormat="1" applyFont="1" applyFill="1" applyBorder="1"/>
    <xf numFmtId="0" fontId="3809" fillId="3813" borderId="3761" xfId="0" applyFont="1" applyFill="1" applyBorder="1"/>
    <xf numFmtId="0" fontId="3810" fillId="3814" borderId="3762" xfId="0" applyFont="1" applyFill="1" applyBorder="1"/>
    <xf numFmtId="0" fontId="3811" fillId="3815" borderId="3763" xfId="0" applyFont="1" applyFill="1" applyBorder="1"/>
    <xf numFmtId="0" fontId="3812" fillId="3816" borderId="3764" xfId="0" applyFont="1" applyFill="1" applyBorder="1"/>
    <xf numFmtId="0" fontId="3813" fillId="3817" borderId="3765" xfId="0" applyFont="1" applyFill="1" applyBorder="1"/>
    <xf numFmtId="0" fontId="3814" fillId="3818" borderId="3766" xfId="0" applyFont="1" applyFill="1" applyBorder="1"/>
    <xf numFmtId="0" fontId="3815" fillId="3819" borderId="3767" xfId="0" applyFont="1" applyFill="1" applyBorder="1"/>
    <xf numFmtId="14" fontId="3816" fillId="3820" borderId="3768" xfId="0" applyNumberFormat="1" applyFont="1" applyFill="1" applyBorder="1"/>
    <xf numFmtId="0" fontId="3817" fillId="3821" borderId="3769" xfId="0" applyFont="1" applyFill="1" applyBorder="1"/>
    <xf numFmtId="0" fontId="3818" fillId="3822" borderId="3770" xfId="0" applyFont="1" applyFill="1" applyBorder="1"/>
    <xf numFmtId="0" fontId="3819" fillId="3823" borderId="3771" xfId="0" applyFont="1" applyFill="1" applyBorder="1"/>
    <xf numFmtId="0" fontId="3820" fillId="3824" borderId="3772" xfId="0" applyFont="1" applyFill="1" applyBorder="1"/>
    <xf numFmtId="0" fontId="3821" fillId="3825" borderId="3773" xfId="0" applyFont="1" applyFill="1" applyBorder="1"/>
    <xf numFmtId="0" fontId="3822" fillId="3826" borderId="3774" xfId="0" applyFont="1" applyFill="1" applyBorder="1"/>
    <xf numFmtId="0" fontId="3823" fillId="3827" borderId="3775" xfId="0" applyFont="1" applyFill="1" applyBorder="1"/>
    <xf numFmtId="14" fontId="3824" fillId="3828" borderId="3776" xfId="0" applyNumberFormat="1" applyFont="1" applyFill="1" applyBorder="1"/>
    <xf numFmtId="0" fontId="3825" fillId="3829" borderId="3777" xfId="0" applyFont="1" applyFill="1" applyBorder="1"/>
    <xf numFmtId="0" fontId="3826" fillId="3830" borderId="3778" xfId="0" applyFont="1" applyFill="1" applyBorder="1"/>
    <xf numFmtId="0" fontId="3827" fillId="3831" borderId="3779" xfId="0" applyFont="1" applyFill="1" applyBorder="1"/>
    <xf numFmtId="0" fontId="3828" fillId="3832" borderId="3780" xfId="0" applyFont="1" applyFill="1" applyBorder="1"/>
    <xf numFmtId="0" fontId="3829" fillId="3833" borderId="3781" xfId="0" applyFont="1" applyFill="1" applyBorder="1"/>
    <xf numFmtId="0" fontId="3830" fillId="3834" borderId="3782" xfId="0" applyFont="1" applyFill="1" applyBorder="1"/>
    <xf numFmtId="0" fontId="3831" fillId="3835" borderId="3783" xfId="0" applyFont="1" applyFill="1" applyBorder="1"/>
    <xf numFmtId="14" fontId="3832" fillId="3836" borderId="3784" xfId="0" applyNumberFormat="1" applyFont="1" applyFill="1" applyBorder="1"/>
    <xf numFmtId="0" fontId="3833" fillId="3837" borderId="3785" xfId="0" applyFont="1" applyFill="1" applyBorder="1"/>
    <xf numFmtId="0" fontId="3834" fillId="3838" borderId="3786" xfId="0" applyFont="1" applyFill="1" applyBorder="1"/>
    <xf numFmtId="0" fontId="3835" fillId="3839" borderId="3787" xfId="0" applyFont="1" applyFill="1" applyBorder="1"/>
    <xf numFmtId="0" fontId="3836" fillId="3840" borderId="3788" xfId="0" applyFont="1" applyFill="1" applyBorder="1"/>
    <xf numFmtId="0" fontId="3837" fillId="3841" borderId="3789" xfId="0" applyFont="1" applyFill="1" applyBorder="1"/>
    <xf numFmtId="0" fontId="3838" fillId="3842" borderId="3790" xfId="0" applyFont="1" applyFill="1" applyBorder="1"/>
    <xf numFmtId="0" fontId="3839" fillId="3843" borderId="3791" xfId="0" applyFont="1" applyFill="1" applyBorder="1"/>
    <xf numFmtId="14" fontId="3840" fillId="3844" borderId="3792" xfId="0" applyNumberFormat="1" applyFont="1" applyFill="1" applyBorder="1"/>
    <xf numFmtId="0" fontId="3841" fillId="3845" borderId="3793" xfId="0" applyFont="1" applyFill="1" applyBorder="1"/>
    <xf numFmtId="0" fontId="3842" fillId="3846" borderId="3794" xfId="0" applyFont="1" applyFill="1" applyBorder="1"/>
    <xf numFmtId="0" fontId="3843" fillId="3847" borderId="3795" xfId="0" applyFont="1" applyFill="1" applyBorder="1"/>
    <xf numFmtId="0" fontId="3844" fillId="3848" borderId="3796" xfId="0" applyFont="1" applyFill="1" applyBorder="1"/>
    <xf numFmtId="0" fontId="3845" fillId="3849" borderId="3797" xfId="0" applyFont="1" applyFill="1" applyBorder="1"/>
    <xf numFmtId="0" fontId="3846" fillId="3850" borderId="3798" xfId="0" applyFont="1" applyFill="1" applyBorder="1"/>
    <xf numFmtId="0" fontId="3847" fillId="3851" borderId="3799" xfId="0" applyFont="1" applyFill="1" applyBorder="1"/>
    <xf numFmtId="14" fontId="3848" fillId="3852" borderId="3800" xfId="0" applyNumberFormat="1" applyFont="1" applyFill="1" applyBorder="1"/>
    <xf numFmtId="0" fontId="3849" fillId="3853" borderId="3801" xfId="0" applyFont="1" applyFill="1" applyBorder="1"/>
    <xf numFmtId="0" fontId="3850" fillId="3854" borderId="3802" xfId="0" applyFont="1" applyFill="1" applyBorder="1"/>
    <xf numFmtId="0" fontId="3851" fillId="3855" borderId="3803" xfId="0" applyFont="1" applyFill="1" applyBorder="1"/>
    <xf numFmtId="0" fontId="3852" fillId="3856" borderId="3804" xfId="0" applyFont="1" applyFill="1" applyBorder="1"/>
    <xf numFmtId="0" fontId="3853" fillId="3857" borderId="3805" xfId="0" applyFont="1" applyFill="1" applyBorder="1"/>
    <xf numFmtId="0" fontId="3854" fillId="3858" borderId="3806" xfId="0" applyFont="1" applyFill="1" applyBorder="1"/>
    <xf numFmtId="0" fontId="3855" fillId="3859" borderId="3807" xfId="0" applyFont="1" applyFill="1" applyBorder="1"/>
    <xf numFmtId="14" fontId="3856" fillId="3860" borderId="3808" xfId="0" applyNumberFormat="1" applyFont="1" applyFill="1" applyBorder="1"/>
    <xf numFmtId="0" fontId="3857" fillId="3861" borderId="3809" xfId="0" applyFont="1" applyFill="1" applyBorder="1"/>
    <xf numFmtId="0" fontId="3858" fillId="3862" borderId="3810" xfId="0" applyFont="1" applyFill="1" applyBorder="1"/>
    <xf numFmtId="0" fontId="3859" fillId="3863" borderId="3811" xfId="0" applyFont="1" applyFill="1" applyBorder="1"/>
    <xf numFmtId="0" fontId="3860" fillId="3864" borderId="3812" xfId="0" applyFont="1" applyFill="1" applyBorder="1"/>
    <xf numFmtId="0" fontId="3861" fillId="3865" borderId="3813" xfId="0" applyFont="1" applyFill="1" applyBorder="1"/>
    <xf numFmtId="0" fontId="3862" fillId="3866" borderId="3814" xfId="0" applyFont="1" applyFill="1" applyBorder="1"/>
    <xf numFmtId="0" fontId="3863" fillId="3867" borderId="3815" xfId="0" applyFont="1" applyFill="1" applyBorder="1"/>
    <xf numFmtId="14" fontId="3864" fillId="3868" borderId="3816" xfId="0" applyNumberFormat="1" applyFont="1" applyFill="1" applyBorder="1"/>
    <xf numFmtId="0" fontId="3865" fillId="3869" borderId="3817" xfId="0" applyFont="1" applyFill="1" applyBorder="1"/>
    <xf numFmtId="0" fontId="3866" fillId="3870" borderId="3818" xfId="0" applyFont="1" applyFill="1" applyBorder="1"/>
    <xf numFmtId="0" fontId="3867" fillId="3871" borderId="3819" xfId="0" applyFont="1" applyFill="1" applyBorder="1"/>
    <xf numFmtId="0" fontId="3868" fillId="3872" borderId="3820" xfId="0" applyFont="1" applyFill="1" applyBorder="1"/>
    <xf numFmtId="0" fontId="3869" fillId="3873" borderId="3821" xfId="0" applyFont="1" applyFill="1" applyBorder="1"/>
    <xf numFmtId="0" fontId="3870" fillId="3874" borderId="3822" xfId="0" applyFont="1" applyFill="1" applyBorder="1"/>
    <xf numFmtId="0" fontId="3871" fillId="3875" borderId="3823" xfId="0" applyFont="1" applyFill="1" applyBorder="1"/>
    <xf numFmtId="14" fontId="3872" fillId="3876" borderId="3824" xfId="0" applyNumberFormat="1" applyFont="1" applyFill="1" applyBorder="1"/>
    <xf numFmtId="0" fontId="3873" fillId="3877" borderId="3825" xfId="0" applyFont="1" applyFill="1" applyBorder="1"/>
    <xf numFmtId="0" fontId="3874" fillId="3878" borderId="3826" xfId="0" applyFont="1" applyFill="1" applyBorder="1"/>
    <xf numFmtId="0" fontId="3875" fillId="3879" borderId="3827" xfId="0" applyFont="1" applyFill="1" applyBorder="1"/>
    <xf numFmtId="0" fontId="3876" fillId="3880" borderId="3828" xfId="0" applyFont="1" applyFill="1" applyBorder="1"/>
    <xf numFmtId="0" fontId="3877" fillId="3881" borderId="3829" xfId="0" applyFont="1" applyFill="1" applyBorder="1"/>
    <xf numFmtId="0" fontId="3878" fillId="3882" borderId="3830" xfId="0" applyFont="1" applyFill="1" applyBorder="1"/>
    <xf numFmtId="0" fontId="3879" fillId="3883" borderId="3831" xfId="0" applyFont="1" applyFill="1" applyBorder="1"/>
    <xf numFmtId="14" fontId="3880" fillId="3884" borderId="3832" xfId="0" applyNumberFormat="1" applyFont="1" applyFill="1" applyBorder="1"/>
    <xf numFmtId="0" fontId="3881" fillId="3885" borderId="3833" xfId="0" applyFont="1" applyFill="1" applyBorder="1"/>
    <xf numFmtId="0" fontId="3882" fillId="3886" borderId="3834" xfId="0" applyFont="1" applyFill="1" applyBorder="1"/>
    <xf numFmtId="0" fontId="3883" fillId="3887" borderId="3835" xfId="0" applyFont="1" applyFill="1" applyBorder="1"/>
    <xf numFmtId="0" fontId="3884" fillId="3888" borderId="3836" xfId="0" applyFont="1" applyFill="1" applyBorder="1"/>
    <xf numFmtId="0" fontId="3885" fillId="3889" borderId="3837" xfId="0" applyFont="1" applyFill="1" applyBorder="1"/>
    <xf numFmtId="0" fontId="3886" fillId="3890" borderId="3838" xfId="0" applyFont="1" applyFill="1" applyBorder="1"/>
    <xf numFmtId="0" fontId="3887" fillId="3891" borderId="3839" xfId="0" applyFont="1" applyFill="1" applyBorder="1"/>
    <xf numFmtId="14" fontId="3888" fillId="3892" borderId="3840" xfId="0" applyNumberFormat="1" applyFont="1" applyFill="1" applyBorder="1"/>
    <xf numFmtId="0" fontId="3889" fillId="3893" borderId="3841" xfId="0" applyFont="1" applyFill="1" applyBorder="1"/>
    <xf numFmtId="0" fontId="3890" fillId="3894" borderId="3842" xfId="0" applyFont="1" applyFill="1" applyBorder="1"/>
    <xf numFmtId="0" fontId="3891" fillId="3895" borderId="3843" xfId="0" applyFont="1" applyFill="1" applyBorder="1"/>
    <xf numFmtId="0" fontId="3892" fillId="3896" borderId="3844" xfId="0" applyFont="1" applyFill="1" applyBorder="1"/>
    <xf numFmtId="0" fontId="3893" fillId="3897" borderId="3845" xfId="0" applyFont="1" applyFill="1" applyBorder="1"/>
    <xf numFmtId="0" fontId="3894" fillId="3898" borderId="3846" xfId="0" applyFont="1" applyFill="1" applyBorder="1"/>
    <xf numFmtId="0" fontId="3895" fillId="3899" borderId="3847" xfId="0" applyFont="1" applyFill="1" applyBorder="1"/>
    <xf numFmtId="14" fontId="3896" fillId="3900" borderId="3848" xfId="0" applyNumberFormat="1" applyFont="1" applyFill="1" applyBorder="1"/>
    <xf numFmtId="0" fontId="3897" fillId="3901" borderId="3849" xfId="0" applyFont="1" applyFill="1" applyBorder="1"/>
    <xf numFmtId="0" fontId="3898" fillId="3902" borderId="3850" xfId="0" applyFont="1" applyFill="1" applyBorder="1"/>
    <xf numFmtId="0" fontId="3899" fillId="3903" borderId="3851" xfId="0" applyFont="1" applyFill="1" applyBorder="1"/>
    <xf numFmtId="0" fontId="3900" fillId="3904" borderId="3852" xfId="0" applyFont="1" applyFill="1" applyBorder="1"/>
    <xf numFmtId="0" fontId="3901" fillId="3905" borderId="3853" xfId="0" applyFont="1" applyFill="1" applyBorder="1"/>
    <xf numFmtId="0" fontId="3902" fillId="3906" borderId="3854" xfId="0" applyFont="1" applyFill="1" applyBorder="1"/>
    <xf numFmtId="0" fontId="3903" fillId="3907" borderId="3855" xfId="0" applyFont="1" applyFill="1" applyBorder="1"/>
    <xf numFmtId="14" fontId="0" fillId="2882" borderId="2830" xfId="0" applyNumberFormat="1" applyFill="1" applyBorder="1"/>
    <xf numFmtId="14" fontId="0" fillId="3909" borderId="0" xfId="0" applyNumberFormat="1" applyFill="1"/>
    <xf numFmtId="0" fontId="0" fillId="3909" borderId="0" xfId="0" applyFill="1"/>
    <xf numFmtId="4" fontId="0" fillId="3909" borderId="0" xfId="0" applyNumberFormat="1" applyFill="1"/>
    <xf numFmtId="2" fontId="0" fillId="3909" borderId="0" xfId="0" applyNumberFormat="1" applyFill="1"/>
    <xf numFmtId="164" fontId="0" fillId="3909" borderId="0" xfId="0" applyNumberFormat="1" applyFill="1"/>
    <xf numFmtId="0" fontId="3905" fillId="3910" borderId="3857" xfId="0" applyFont="1" applyFill="1" applyBorder="1" applyAlignment="1">
      <alignment horizontal="center" wrapText="1"/>
    </xf>
    <xf numFmtId="0" fontId="3906" fillId="3911" borderId="3858" xfId="0" applyFont="1" applyFill="1" applyBorder="1"/>
    <xf numFmtId="0" fontId="3907" fillId="3912" borderId="3859" xfId="0" applyFont="1" applyFill="1" applyBorder="1"/>
    <xf numFmtId="0" fontId="3908" fillId="3913" borderId="3860" xfId="0" applyFont="1" applyFill="1" applyBorder="1"/>
    <xf numFmtId="0" fontId="3909" fillId="3914" borderId="3861" xfId="0" applyFont="1" applyFill="1" applyBorder="1"/>
    <xf numFmtId="0" fontId="3910" fillId="3915" borderId="3862" xfId="0" applyFont="1" applyFill="1" applyBorder="1"/>
    <xf numFmtId="0" fontId="3911" fillId="3916" borderId="3863" xfId="0" applyFont="1" applyFill="1" applyBorder="1"/>
    <xf numFmtId="0" fontId="3912" fillId="3917" borderId="3864" xfId="0" applyFont="1" applyFill="1" applyBorder="1"/>
    <xf numFmtId="0" fontId="3913" fillId="3918" borderId="3865" xfId="0" applyFont="1" applyFill="1" applyBorder="1"/>
    <xf numFmtId="0" fontId="3914" fillId="3919" borderId="3866" xfId="0" applyFont="1" applyFill="1" applyBorder="1"/>
    <xf numFmtId="0" fontId="3915" fillId="3920" borderId="3867" xfId="0" applyFont="1" applyFill="1" applyBorder="1"/>
    <xf numFmtId="0" fontId="3916" fillId="3921" borderId="3868" xfId="0" applyFont="1" applyFill="1" applyBorder="1"/>
    <xf numFmtId="0" fontId="3917" fillId="3922" borderId="3869" xfId="0" applyFont="1" applyFill="1" applyBorder="1"/>
    <xf numFmtId="0" fontId="3918" fillId="3923" borderId="3870" xfId="0" applyFont="1" applyFill="1" applyBorder="1"/>
    <xf numFmtId="0" fontId="3919" fillId="3924" borderId="3871" xfId="0" applyFont="1" applyFill="1" applyBorder="1"/>
    <xf numFmtId="0" fontId="3920" fillId="3925" borderId="3872" xfId="0" applyFont="1" applyFill="1" applyBorder="1"/>
    <xf numFmtId="0" fontId="3921" fillId="3926" borderId="3873" xfId="0" applyFont="1" applyFill="1" applyBorder="1"/>
    <xf numFmtId="0" fontId="3922" fillId="3927" borderId="3874" xfId="0" applyFont="1" applyFill="1" applyBorder="1"/>
    <xf numFmtId="0" fontId="3923" fillId="3928" borderId="3875" xfId="0" applyFont="1" applyFill="1" applyBorder="1"/>
    <xf numFmtId="0" fontId="3924" fillId="3929" borderId="3876" xfId="0" applyFont="1" applyFill="1" applyBorder="1"/>
    <xf numFmtId="0" fontId="3925" fillId="3930" borderId="3877" xfId="0" applyFont="1" applyFill="1" applyBorder="1"/>
    <xf numFmtId="0" fontId="3926" fillId="3931" borderId="3878" xfId="0" applyFont="1" applyFill="1" applyBorder="1"/>
    <xf numFmtId="0" fontId="3927" fillId="3932" borderId="3879" xfId="0" applyFont="1" applyFill="1" applyBorder="1"/>
    <xf numFmtId="0" fontId="3928" fillId="3933" borderId="3880" xfId="0" applyFont="1" applyFill="1" applyBorder="1"/>
    <xf numFmtId="0" fontId="3929" fillId="3934" borderId="3881" xfId="0" applyFont="1" applyFill="1" applyBorder="1"/>
    <xf numFmtId="0" fontId="3930" fillId="3935" borderId="3882" xfId="0" applyFont="1" applyFill="1" applyBorder="1"/>
    <xf numFmtId="0" fontId="3931" fillId="3936" borderId="3883" xfId="0" applyFont="1" applyFill="1" applyBorder="1"/>
    <xf numFmtId="0" fontId="3932" fillId="3937" borderId="3884" xfId="0" applyFont="1" applyFill="1" applyBorder="1"/>
    <xf numFmtId="0" fontId="3933" fillId="3938" borderId="3885" xfId="0" applyFont="1" applyFill="1" applyBorder="1"/>
    <xf numFmtId="0" fontId="3934" fillId="3939" borderId="3886" xfId="0" applyFont="1" applyFill="1" applyBorder="1"/>
    <xf numFmtId="0" fontId="3935" fillId="3940" borderId="3887" xfId="0" applyFont="1" applyFill="1" applyBorder="1"/>
    <xf numFmtId="0" fontId="3936" fillId="3941" borderId="3888" xfId="0" applyFont="1" applyFill="1" applyBorder="1"/>
    <xf numFmtId="0" fontId="3937" fillId="3942" borderId="3889" xfId="0" applyFont="1" applyFill="1" applyBorder="1"/>
    <xf numFmtId="0" fontId="3938" fillId="3943" borderId="3890" xfId="0" applyFont="1" applyFill="1" applyBorder="1"/>
    <xf numFmtId="0" fontId="3939" fillId="3944" borderId="3891" xfId="0" applyFont="1" applyFill="1" applyBorder="1"/>
    <xf numFmtId="0" fontId="3940" fillId="3945" borderId="3892" xfId="0" applyFont="1" applyFill="1" applyBorder="1"/>
    <xf numFmtId="0" fontId="3941" fillId="3946" borderId="3893" xfId="0" applyFont="1" applyFill="1" applyBorder="1"/>
    <xf numFmtId="0" fontId="3942" fillId="3947" borderId="3894" xfId="0" applyFont="1" applyFill="1" applyBorder="1"/>
    <xf numFmtId="0" fontId="3943" fillId="3948" borderId="3895" xfId="0" applyFont="1" applyFill="1" applyBorder="1"/>
    <xf numFmtId="0" fontId="3944" fillId="3949" borderId="3896" xfId="0" applyFont="1" applyFill="1" applyBorder="1"/>
    <xf numFmtId="0" fontId="3945" fillId="3950" borderId="3897" xfId="0" applyFont="1" applyFill="1" applyBorder="1"/>
    <xf numFmtId="0" fontId="3946" fillId="3951" borderId="3898" xfId="0" applyFont="1" applyFill="1" applyBorder="1"/>
    <xf numFmtId="0" fontId="3947" fillId="3952" borderId="3899" xfId="0" applyFont="1" applyFill="1" applyBorder="1"/>
    <xf numFmtId="0" fontId="3948" fillId="3953" borderId="3900" xfId="0" applyFont="1" applyFill="1" applyBorder="1"/>
    <xf numFmtId="0" fontId="3949" fillId="3954" borderId="3901" xfId="0" applyFont="1" applyFill="1" applyBorder="1"/>
    <xf numFmtId="0" fontId="3950" fillId="3955" borderId="3902" xfId="0" applyFont="1" applyFill="1" applyBorder="1"/>
    <xf numFmtId="0" fontId="3951" fillId="3956" borderId="3903" xfId="0" applyFont="1" applyFill="1" applyBorder="1"/>
    <xf numFmtId="0" fontId="3952" fillId="3957" borderId="3904" xfId="0" applyFont="1" applyFill="1" applyBorder="1"/>
    <xf numFmtId="0" fontId="3953" fillId="3958" borderId="3905" xfId="0" applyFont="1" applyFill="1" applyBorder="1"/>
    <xf numFmtId="0" fontId="3954" fillId="3959" borderId="3906" xfId="0" applyFont="1" applyFill="1" applyBorder="1"/>
    <xf numFmtId="0" fontId="3955" fillId="3960" borderId="3907" xfId="0" applyFont="1" applyFill="1" applyBorder="1"/>
    <xf numFmtId="0" fontId="3956" fillId="3961" borderId="3908" xfId="0" applyFont="1" applyFill="1" applyBorder="1"/>
    <xf numFmtId="0" fontId="3957" fillId="3962" borderId="3909" xfId="0" applyFont="1" applyFill="1" applyBorder="1"/>
    <xf numFmtId="0" fontId="3958" fillId="3963" borderId="3910" xfId="0" applyFont="1" applyFill="1" applyBorder="1"/>
    <xf numFmtId="0" fontId="3959" fillId="3964" borderId="3911" xfId="0" applyFont="1" applyFill="1" applyBorder="1"/>
    <xf numFmtId="0" fontId="3960" fillId="3965" borderId="3912" xfId="0" applyFont="1" applyFill="1" applyBorder="1"/>
    <xf numFmtId="0" fontId="3961" fillId="3966" borderId="3913" xfId="0" applyFont="1" applyFill="1" applyBorder="1"/>
    <xf numFmtId="0" fontId="3962" fillId="3967" borderId="3914" xfId="0" applyFont="1" applyFill="1" applyBorder="1"/>
    <xf numFmtId="0" fontId="3963" fillId="3968" borderId="3915" xfId="0" applyFont="1" applyFill="1" applyBorder="1"/>
    <xf numFmtId="0" fontId="3964" fillId="3969" borderId="3916" xfId="0" applyFont="1" applyFill="1" applyBorder="1"/>
    <xf numFmtId="0" fontId="3965" fillId="3970" borderId="3917" xfId="0" applyFont="1" applyFill="1" applyBorder="1"/>
    <xf numFmtId="0" fontId="3966" fillId="3971" borderId="3918" xfId="0" applyFont="1" applyFill="1" applyBorder="1"/>
    <xf numFmtId="0" fontId="3967" fillId="3972" borderId="3919" xfId="0" applyFont="1" applyFill="1" applyBorder="1"/>
    <xf numFmtId="0" fontId="3968" fillId="3973" borderId="3920" xfId="0" applyFont="1" applyFill="1" applyBorder="1"/>
    <xf numFmtId="0" fontId="3969" fillId="3974" borderId="3921" xfId="0" applyFont="1" applyFill="1" applyBorder="1"/>
    <xf numFmtId="0" fontId="3970" fillId="3975" borderId="3922" xfId="0" applyFont="1" applyFill="1" applyBorder="1"/>
    <xf numFmtId="0" fontId="3971" fillId="3976" borderId="3923" xfId="0" applyFont="1" applyFill="1" applyBorder="1"/>
    <xf numFmtId="0" fontId="3972" fillId="3977" borderId="3924" xfId="0" applyFont="1" applyFill="1" applyBorder="1"/>
    <xf numFmtId="0" fontId="3973" fillId="3978" borderId="3925" xfId="0" applyFont="1" applyFill="1" applyBorder="1"/>
    <xf numFmtId="0" fontId="3974" fillId="3979" borderId="3926" xfId="0" applyFont="1" applyFill="1" applyBorder="1"/>
    <xf numFmtId="0" fontId="3975" fillId="3980" borderId="3927" xfId="0" applyFont="1" applyFill="1" applyBorder="1"/>
    <xf numFmtId="0" fontId="3976" fillId="3981" borderId="3928" xfId="0" applyFont="1" applyFill="1" applyBorder="1"/>
    <xf numFmtId="0" fontId="3977" fillId="3982" borderId="3929" xfId="0" applyFont="1" applyFill="1" applyBorder="1"/>
    <xf numFmtId="0" fontId="3978" fillId="3983" borderId="3930" xfId="0" applyFont="1" applyFill="1" applyBorder="1"/>
    <xf numFmtId="0" fontId="3979" fillId="3984" borderId="3931" xfId="0" applyFont="1" applyFill="1" applyBorder="1"/>
    <xf numFmtId="0" fontId="3980" fillId="3985" borderId="3932" xfId="0" applyFont="1" applyFill="1" applyBorder="1"/>
    <xf numFmtId="0" fontId="3981" fillId="3986" borderId="3933" xfId="0" applyFont="1" applyFill="1" applyBorder="1"/>
    <xf numFmtId="0" fontId="3982" fillId="3987" borderId="3934" xfId="0" applyFont="1" applyFill="1" applyBorder="1"/>
    <xf numFmtId="0" fontId="3983" fillId="3988" borderId="3935" xfId="0" applyFont="1" applyFill="1" applyBorder="1"/>
    <xf numFmtId="0" fontId="3984" fillId="3989" borderId="3936" xfId="0" applyFont="1" applyFill="1" applyBorder="1"/>
    <xf numFmtId="0" fontId="3985" fillId="3990" borderId="3937" xfId="0" applyFont="1" applyFill="1" applyBorder="1"/>
    <xf numFmtId="0" fontId="3986" fillId="3991" borderId="3938" xfId="0" applyFont="1" applyFill="1" applyBorder="1"/>
    <xf numFmtId="0" fontId="3987" fillId="3992" borderId="3939" xfId="0" applyFont="1" applyFill="1" applyBorder="1"/>
    <xf numFmtId="0" fontId="3988" fillId="3993" borderId="3940" xfId="0" applyFont="1" applyFill="1" applyBorder="1"/>
    <xf numFmtId="0" fontId="3989" fillId="3994" borderId="3941" xfId="0" applyFont="1" applyFill="1" applyBorder="1"/>
    <xf numFmtId="0" fontId="3990" fillId="3995" borderId="3942" xfId="0" applyFont="1" applyFill="1" applyBorder="1"/>
    <xf numFmtId="0" fontId="3991" fillId="3996" borderId="3943" xfId="0" applyFont="1" applyFill="1" applyBorder="1"/>
    <xf numFmtId="0" fontId="3992" fillId="3997" borderId="3944" xfId="0" applyFont="1" applyFill="1" applyBorder="1"/>
    <xf numFmtId="0" fontId="3993" fillId="3998" borderId="3945" xfId="0" applyFont="1" applyFill="1" applyBorder="1"/>
    <xf numFmtId="0" fontId="3994" fillId="3999" borderId="3946" xfId="0" applyFont="1" applyFill="1" applyBorder="1"/>
    <xf numFmtId="0" fontId="3995" fillId="4000" borderId="3947" xfId="0" applyFont="1" applyFill="1" applyBorder="1"/>
    <xf numFmtId="0" fontId="3996" fillId="4001" borderId="3948" xfId="0" applyFont="1" applyFill="1" applyBorder="1"/>
    <xf numFmtId="0" fontId="3997" fillId="4002" borderId="3949" xfId="0" applyFont="1" applyFill="1" applyBorder="1"/>
    <xf numFmtId="0" fontId="3998" fillId="4003" borderId="3950" xfId="0" applyFont="1" applyFill="1" applyBorder="1"/>
    <xf numFmtId="0" fontId="3999" fillId="4004" borderId="3951" xfId="0" applyFont="1" applyFill="1" applyBorder="1"/>
    <xf numFmtId="0" fontId="4000" fillId="4005" borderId="3952" xfId="0" applyFont="1" applyFill="1" applyBorder="1"/>
    <xf numFmtId="0" fontId="4001" fillId="4006" borderId="3953" xfId="0" applyFont="1" applyFill="1" applyBorder="1"/>
    <xf numFmtId="0" fontId="4002" fillId="4007" borderId="3954" xfId="0" applyFont="1" applyFill="1" applyBorder="1"/>
    <xf numFmtId="0" fontId="4003" fillId="4008" borderId="3955" xfId="0" applyFont="1" applyFill="1" applyBorder="1"/>
    <xf numFmtId="0" fontId="4004" fillId="4009" borderId="3956" xfId="0" applyFont="1" applyFill="1" applyBorder="1"/>
    <xf numFmtId="0" fontId="4005" fillId="4010" borderId="3957" xfId="0" applyFont="1" applyFill="1" applyBorder="1"/>
    <xf numFmtId="0" fontId="4006" fillId="4011" borderId="3958" xfId="0" applyFont="1" applyFill="1" applyBorder="1"/>
    <xf numFmtId="0" fontId="4007" fillId="4012" borderId="3959" xfId="0" applyFont="1" applyFill="1" applyBorder="1"/>
    <xf numFmtId="0" fontId="4008" fillId="4013" borderId="3960" xfId="0" applyFont="1" applyFill="1" applyBorder="1"/>
    <xf numFmtId="0" fontId="4009" fillId="4014" borderId="3961" xfId="0" applyFont="1" applyFill="1" applyBorder="1"/>
    <xf numFmtId="0" fontId="4010" fillId="4015" borderId="3962" xfId="0" applyFont="1" applyFill="1" applyBorder="1"/>
    <xf numFmtId="0" fontId="4011" fillId="4016" borderId="3963" xfId="0" applyFont="1" applyFill="1" applyBorder="1"/>
    <xf numFmtId="0" fontId="4012" fillId="4017" borderId="3964" xfId="0" applyFont="1" applyFill="1" applyBorder="1"/>
    <xf numFmtId="0" fontId="4013" fillId="4018" borderId="3965" xfId="0" applyFont="1" applyFill="1" applyBorder="1"/>
    <xf numFmtId="0" fontId="4014" fillId="4019" borderId="3966" xfId="0" applyFont="1" applyFill="1" applyBorder="1"/>
    <xf numFmtId="0" fontId="4015" fillId="4020" borderId="3967" xfId="0" applyFont="1" applyFill="1" applyBorder="1"/>
    <xf numFmtId="0" fontId="4016" fillId="4021" borderId="3968" xfId="0" applyFont="1" applyFill="1" applyBorder="1"/>
    <xf numFmtId="0" fontId="4017" fillId="4022" borderId="3969" xfId="0" applyFont="1" applyFill="1" applyBorder="1"/>
    <xf numFmtId="0" fontId="4018" fillId="4023" borderId="3970" xfId="0" applyFont="1" applyFill="1" applyBorder="1"/>
    <xf numFmtId="0" fontId="4019" fillId="4024" borderId="3971" xfId="0" applyFont="1" applyFill="1" applyBorder="1"/>
    <xf numFmtId="0" fontId="4020" fillId="4025" borderId="3972" xfId="0" applyFont="1" applyFill="1" applyBorder="1"/>
    <xf numFmtId="0" fontId="4021" fillId="4026" borderId="3973" xfId="0" applyFont="1" applyFill="1" applyBorder="1"/>
    <xf numFmtId="0" fontId="4022" fillId="4027" borderId="3974" xfId="0" applyFont="1" applyFill="1" applyBorder="1"/>
    <xf numFmtId="0" fontId="4023" fillId="4028" borderId="3975" xfId="0" applyFont="1" applyFill="1" applyBorder="1"/>
    <xf numFmtId="0" fontId="4024" fillId="4029" borderId="3976" xfId="0" applyFont="1" applyFill="1" applyBorder="1"/>
    <xf numFmtId="0" fontId="4025" fillId="4030" borderId="3977" xfId="0" applyFont="1" applyFill="1" applyBorder="1"/>
    <xf numFmtId="0" fontId="4026" fillId="4031" borderId="3978" xfId="0" applyFont="1" applyFill="1" applyBorder="1"/>
    <xf numFmtId="0" fontId="4027" fillId="4032" borderId="3979" xfId="0" applyFont="1" applyFill="1" applyBorder="1"/>
    <xf numFmtId="0" fontId="4028" fillId="4033" borderId="3980" xfId="0" applyFont="1" applyFill="1" applyBorder="1"/>
    <xf numFmtId="0" fontId="4029" fillId="4034" borderId="3981" xfId="0" applyFont="1" applyFill="1" applyBorder="1"/>
    <xf numFmtId="0" fontId="4030" fillId="4035" borderId="3982" xfId="0" applyFont="1" applyFill="1" applyBorder="1"/>
    <xf numFmtId="0" fontId="4031" fillId="4036" borderId="3983" xfId="0" applyFont="1" applyFill="1" applyBorder="1"/>
    <xf numFmtId="0" fontId="4032" fillId="4037" borderId="3984" xfId="0" applyFont="1" applyFill="1" applyBorder="1"/>
    <xf numFmtId="0" fontId="4033" fillId="4038" borderId="3985" xfId="0" applyFont="1" applyFill="1" applyBorder="1"/>
    <xf numFmtId="0" fontId="4034" fillId="4039" borderId="3986" xfId="0" applyFont="1" applyFill="1" applyBorder="1"/>
    <xf numFmtId="0" fontId="4035" fillId="4040" borderId="3987" xfId="0" applyFont="1" applyFill="1" applyBorder="1"/>
    <xf numFmtId="0" fontId="4036" fillId="4041" borderId="3988" xfId="0" applyFont="1" applyFill="1" applyBorder="1"/>
    <xf numFmtId="0" fontId="4037" fillId="4042" borderId="3989" xfId="0" applyFont="1" applyFill="1" applyBorder="1"/>
    <xf numFmtId="0" fontId="4038" fillId="4043" borderId="3990" xfId="0" applyFont="1" applyFill="1" applyBorder="1"/>
    <xf numFmtId="0" fontId="4039" fillId="4044" borderId="3991" xfId="0" applyFont="1" applyFill="1" applyBorder="1"/>
    <xf numFmtId="0" fontId="4040" fillId="4045" borderId="3992" xfId="0" applyFont="1" applyFill="1" applyBorder="1"/>
    <xf numFmtId="0" fontId="4041" fillId="4046" borderId="3993" xfId="0" applyFont="1" applyFill="1" applyBorder="1"/>
    <xf numFmtId="0" fontId="4042" fillId="4047" borderId="3994" xfId="0" applyFont="1" applyFill="1" applyBorder="1"/>
    <xf numFmtId="0" fontId="4043" fillId="4048" borderId="3995" xfId="0" applyFont="1" applyFill="1" applyBorder="1"/>
    <xf numFmtId="0" fontId="4044" fillId="4049" borderId="3996" xfId="0" applyFont="1" applyFill="1" applyBorder="1"/>
    <xf numFmtId="0" fontId="4045" fillId="4050" borderId="3997" xfId="0" applyFont="1" applyFill="1" applyBorder="1"/>
    <xf numFmtId="0" fontId="4046" fillId="4051" borderId="3998" xfId="0" applyFont="1" applyFill="1" applyBorder="1"/>
    <xf numFmtId="0" fontId="4047" fillId="4052" borderId="3999" xfId="0" applyFont="1" applyFill="1" applyBorder="1"/>
    <xf numFmtId="0" fontId="4048" fillId="4053" borderId="4000" xfId="0" applyFont="1" applyFill="1" applyBorder="1"/>
    <xf numFmtId="0" fontId="4049" fillId="4054" borderId="4001" xfId="0" applyFont="1" applyFill="1" applyBorder="1"/>
    <xf numFmtId="0" fontId="4050" fillId="4055" borderId="4002" xfId="0" applyFont="1" applyFill="1" applyBorder="1"/>
    <xf numFmtId="0" fontId="4051" fillId="4056" borderId="4003" xfId="0" applyFont="1" applyFill="1" applyBorder="1"/>
    <xf numFmtId="0" fontId="4052" fillId="4057" borderId="4004" xfId="0" applyFont="1" applyFill="1" applyBorder="1"/>
    <xf numFmtId="0" fontId="4053" fillId="4058" borderId="4005" xfId="0" applyFont="1" applyFill="1" applyBorder="1"/>
    <xf numFmtId="0" fontId="4054" fillId="4059" borderId="4006" xfId="0" applyFont="1" applyFill="1" applyBorder="1"/>
    <xf numFmtId="0" fontId="4055" fillId="4060" borderId="4007" xfId="0" applyFont="1" applyFill="1" applyBorder="1"/>
    <xf numFmtId="0" fontId="4056" fillId="4061" borderId="4008" xfId="0" applyFont="1" applyFill="1" applyBorder="1"/>
    <xf numFmtId="0" fontId="4057" fillId="4062" borderId="4009" xfId="0" applyFont="1" applyFill="1" applyBorder="1"/>
    <xf numFmtId="0" fontId="4058" fillId="4063" borderId="4010" xfId="0" applyFont="1" applyFill="1" applyBorder="1"/>
    <xf numFmtId="0" fontId="4059" fillId="4064" borderId="4011" xfId="0" applyFont="1" applyFill="1" applyBorder="1"/>
    <xf numFmtId="0" fontId="4060" fillId="4065" borderId="4012" xfId="0" applyFont="1" applyFill="1" applyBorder="1"/>
    <xf numFmtId="0" fontId="4061" fillId="4066" borderId="4013" xfId="0" applyFont="1" applyFill="1" applyBorder="1"/>
    <xf numFmtId="0" fontId="4062" fillId="4067" borderId="4014" xfId="0" applyFont="1" applyFill="1" applyBorder="1"/>
    <xf numFmtId="0" fontId="4063" fillId="4068" borderId="4015" xfId="0" applyFont="1" applyFill="1" applyBorder="1"/>
    <xf numFmtId="0" fontId="4064" fillId="4069" borderId="4016" xfId="0" applyFont="1" applyFill="1" applyBorder="1"/>
    <xf numFmtId="0" fontId="4065" fillId="4070" borderId="4017" xfId="0" applyFont="1" applyFill="1" applyBorder="1"/>
    <xf numFmtId="0" fontId="4066" fillId="4071" borderId="4018" xfId="0" applyFont="1" applyFill="1" applyBorder="1"/>
    <xf numFmtId="0" fontId="4067" fillId="4072" borderId="4019" xfId="0" applyFont="1" applyFill="1" applyBorder="1"/>
    <xf numFmtId="0" fontId="4068" fillId="4073" borderId="4020" xfId="0" applyFont="1" applyFill="1" applyBorder="1"/>
    <xf numFmtId="0" fontId="4069" fillId="4074" borderId="4021" xfId="0" applyFont="1" applyFill="1" applyBorder="1"/>
    <xf numFmtId="0" fontId="4070" fillId="4075" borderId="4022" xfId="0" applyFont="1" applyFill="1" applyBorder="1"/>
    <xf numFmtId="0" fontId="4071" fillId="4076" borderId="4023" xfId="0" applyFont="1" applyFill="1" applyBorder="1"/>
    <xf numFmtId="0" fontId="4072" fillId="4077" borderId="4024" xfId="0" applyFont="1" applyFill="1" applyBorder="1"/>
    <xf numFmtId="0" fontId="4073" fillId="4078" borderId="4025" xfId="0" applyFont="1" applyFill="1" applyBorder="1"/>
    <xf numFmtId="0" fontId="4074" fillId="4079" borderId="4026" xfId="0" applyFont="1" applyFill="1" applyBorder="1"/>
    <xf numFmtId="0" fontId="4075" fillId="4080" borderId="4027" xfId="0" applyFont="1" applyFill="1" applyBorder="1"/>
    <xf numFmtId="0" fontId="4076" fillId="4081" borderId="4028" xfId="0" applyFont="1" applyFill="1" applyBorder="1"/>
    <xf numFmtId="0" fontId="4077" fillId="4082" borderId="4029" xfId="0" applyFont="1" applyFill="1" applyBorder="1"/>
    <xf numFmtId="0" fontId="4078" fillId="4083" borderId="4030" xfId="0" applyFont="1" applyFill="1" applyBorder="1"/>
    <xf numFmtId="0" fontId="4079" fillId="4084" borderId="4031" xfId="0" applyFont="1" applyFill="1" applyBorder="1"/>
    <xf numFmtId="0" fontId="4080" fillId="4085" borderId="4032" xfId="0" applyFont="1" applyFill="1" applyBorder="1"/>
    <xf numFmtId="0" fontId="4081" fillId="4086" borderId="4033" xfId="0" applyFont="1" applyFill="1" applyBorder="1"/>
    <xf numFmtId="0" fontId="4082" fillId="4087" borderId="4034" xfId="0" applyFont="1" applyFill="1" applyBorder="1"/>
    <xf numFmtId="0" fontId="4083" fillId="4088" borderId="4035" xfId="0" applyFont="1" applyFill="1" applyBorder="1"/>
    <xf numFmtId="0" fontId="4084" fillId="4089" borderId="4036" xfId="0" applyFont="1" applyFill="1" applyBorder="1"/>
    <xf numFmtId="0" fontId="4085" fillId="4090" borderId="4037" xfId="0" applyFont="1" applyFill="1" applyBorder="1"/>
    <xf numFmtId="0" fontId="4086" fillId="4091" borderId="4038" xfId="0" applyFont="1" applyFill="1" applyBorder="1"/>
    <xf numFmtId="0" fontId="4087" fillId="4092" borderId="4039" xfId="0" applyFont="1" applyFill="1" applyBorder="1"/>
    <xf numFmtId="0" fontId="4088" fillId="4093" borderId="4040" xfId="0" applyFont="1" applyFill="1" applyBorder="1"/>
    <xf numFmtId="0" fontId="4089" fillId="4094" borderId="4041" xfId="0" applyFont="1" applyFill="1" applyBorder="1"/>
    <xf numFmtId="0" fontId="4090" fillId="4095" borderId="4042" xfId="0" applyFont="1" applyFill="1" applyBorder="1"/>
    <xf numFmtId="0" fontId="4091" fillId="4096" borderId="4043" xfId="0" applyFont="1" applyFill="1" applyBorder="1"/>
    <xf numFmtId="0" fontId="4092" fillId="4097" borderId="4044" xfId="0" applyFont="1" applyFill="1" applyBorder="1"/>
    <xf numFmtId="0" fontId="4093" fillId="4098" borderId="4045" xfId="0" applyFont="1" applyFill="1" applyBorder="1"/>
    <xf numFmtId="0" fontId="4094" fillId="4099" borderId="4046" xfId="0" applyFont="1" applyFill="1" applyBorder="1"/>
    <xf numFmtId="0" fontId="4095" fillId="4100" borderId="4047" xfId="0" applyFont="1" applyFill="1" applyBorder="1"/>
    <xf numFmtId="0" fontId="4096" fillId="4101" borderId="4048" xfId="0" applyFont="1" applyFill="1" applyBorder="1"/>
    <xf numFmtId="0" fontId="4097" fillId="4102" borderId="4049" xfId="0" applyFont="1" applyFill="1" applyBorder="1"/>
    <xf numFmtId="0" fontId="4098" fillId="4103" borderId="4050" xfId="0" applyFont="1" applyFill="1" applyBorder="1"/>
    <xf numFmtId="0" fontId="4099" fillId="4104" borderId="4051" xfId="0" applyFont="1" applyFill="1" applyBorder="1"/>
    <xf numFmtId="0" fontId="4100" fillId="4105" borderId="4052" xfId="0" applyFont="1" applyFill="1" applyBorder="1"/>
    <xf numFmtId="0" fontId="4101" fillId="4106" borderId="4053" xfId="0" applyFont="1" applyFill="1" applyBorder="1"/>
    <xf numFmtId="0" fontId="4102" fillId="4107" borderId="4054" xfId="0" applyFont="1" applyFill="1" applyBorder="1"/>
    <xf numFmtId="0" fontId="4103" fillId="4108" borderId="4055" xfId="0" applyFont="1" applyFill="1" applyBorder="1"/>
    <xf numFmtId="0" fontId="4104" fillId="4109" borderId="4056" xfId="0" applyFont="1" applyFill="1" applyBorder="1"/>
    <xf numFmtId="0" fontId="4105" fillId="4110" borderId="4057" xfId="0" applyFont="1" applyFill="1" applyBorder="1"/>
    <xf numFmtId="0" fontId="4106" fillId="4111" borderId="4058" xfId="0" applyFont="1" applyFill="1" applyBorder="1"/>
    <xf numFmtId="0" fontId="4107" fillId="4112" borderId="4059" xfId="0" applyFont="1" applyFill="1" applyBorder="1"/>
    <xf numFmtId="0" fontId="4108" fillId="4113" borderId="4060" xfId="0" applyFont="1" applyFill="1" applyBorder="1"/>
    <xf numFmtId="0" fontId="4109" fillId="4114" borderId="4061" xfId="0" applyFont="1" applyFill="1" applyBorder="1"/>
    <xf numFmtId="0" fontId="4110" fillId="4115" borderId="4062" xfId="0" applyFont="1" applyFill="1" applyBorder="1"/>
    <xf numFmtId="0" fontId="4111" fillId="4116" borderId="4063" xfId="0" applyFont="1" applyFill="1" applyBorder="1"/>
    <xf numFmtId="0" fontId="4112" fillId="4117" borderId="4064" xfId="0" applyFont="1" applyFill="1" applyBorder="1"/>
    <xf numFmtId="0" fontId="4113" fillId="4118" borderId="4065" xfId="0" applyFont="1" applyFill="1" applyBorder="1"/>
    <xf numFmtId="0" fontId="4114" fillId="4119" borderId="4066" xfId="0" applyFont="1" applyFill="1" applyBorder="1"/>
    <xf numFmtId="0" fontId="4115" fillId="4120" borderId="4067" xfId="0" applyFont="1" applyFill="1" applyBorder="1"/>
    <xf numFmtId="0" fontId="4116" fillId="4121" borderId="4068" xfId="0" applyFont="1" applyFill="1" applyBorder="1"/>
    <xf numFmtId="0" fontId="4117" fillId="4122" borderId="4069" xfId="0" applyFont="1" applyFill="1" applyBorder="1"/>
    <xf numFmtId="0" fontId="4118" fillId="4123" borderId="4070" xfId="0" applyFont="1" applyFill="1" applyBorder="1"/>
    <xf numFmtId="0" fontId="4119" fillId="4124" borderId="4071" xfId="0" applyFont="1" applyFill="1" applyBorder="1"/>
    <xf numFmtId="0" fontId="4120" fillId="4125" borderId="4072" xfId="0" applyFont="1" applyFill="1" applyBorder="1"/>
    <xf numFmtId="0" fontId="4121" fillId="4126" borderId="4073" xfId="0" applyFont="1" applyFill="1" applyBorder="1"/>
    <xf numFmtId="0" fontId="4122" fillId="4127" borderId="4074" xfId="0" applyFont="1" applyFill="1" applyBorder="1"/>
    <xf numFmtId="0" fontId="4123" fillId="4128" borderId="4075" xfId="0" applyFont="1" applyFill="1" applyBorder="1"/>
    <xf numFmtId="0" fontId="4124" fillId="4129" borderId="4076" xfId="0" applyFont="1" applyFill="1" applyBorder="1"/>
    <xf numFmtId="0" fontId="4125" fillId="4130" borderId="4077" xfId="0" applyFont="1" applyFill="1" applyBorder="1"/>
    <xf numFmtId="0" fontId="4126" fillId="4131" borderId="4078" xfId="0" applyFont="1" applyFill="1" applyBorder="1"/>
    <xf numFmtId="0" fontId="4127" fillId="4132" borderId="4079" xfId="0" applyFont="1" applyFill="1" applyBorder="1"/>
    <xf numFmtId="0" fontId="4128" fillId="4133" borderId="4080" xfId="0" applyFont="1" applyFill="1" applyBorder="1"/>
    <xf numFmtId="0" fontId="4129" fillId="4134" borderId="4081" xfId="0" applyFont="1" applyFill="1" applyBorder="1"/>
    <xf numFmtId="0" fontId="4130" fillId="4135" borderId="4082" xfId="0" applyFont="1" applyFill="1" applyBorder="1"/>
    <xf numFmtId="0" fontId="4131" fillId="4136" borderId="4083" xfId="0" applyFont="1" applyFill="1" applyBorder="1"/>
    <xf numFmtId="0" fontId="4132" fillId="4137" borderId="4084" xfId="0" applyFont="1" applyFill="1" applyBorder="1"/>
    <xf numFmtId="0" fontId="4133" fillId="4138" borderId="4085" xfId="0" applyFont="1" applyFill="1" applyBorder="1"/>
    <xf numFmtId="0" fontId="4134" fillId="4139" borderId="4086" xfId="0" applyFont="1" applyFill="1" applyBorder="1"/>
    <xf numFmtId="0" fontId="4135" fillId="4140" borderId="4087" xfId="0" applyFont="1" applyFill="1" applyBorder="1"/>
    <xf numFmtId="0" fontId="4136" fillId="4141" borderId="4088" xfId="0" applyFont="1" applyFill="1" applyBorder="1"/>
    <xf numFmtId="0" fontId="4137" fillId="4142" borderId="4089" xfId="0" applyFont="1" applyFill="1" applyBorder="1"/>
    <xf numFmtId="0" fontId="4138" fillId="4143" borderId="4090" xfId="0" applyFont="1" applyFill="1" applyBorder="1"/>
    <xf numFmtId="0" fontId="4139" fillId="4144" borderId="4091" xfId="0" applyFont="1" applyFill="1" applyBorder="1"/>
    <xf numFmtId="0" fontId="4140" fillId="4145" borderId="4092" xfId="0" applyFont="1" applyFill="1" applyBorder="1"/>
    <xf numFmtId="0" fontId="4141" fillId="4146" borderId="4093" xfId="0" applyFont="1" applyFill="1" applyBorder="1"/>
    <xf numFmtId="0" fontId="4142" fillId="4147" borderId="4094" xfId="0" applyFont="1" applyFill="1" applyBorder="1"/>
    <xf numFmtId="0" fontId="4143" fillId="4148" borderId="4095" xfId="0" applyFont="1" applyFill="1" applyBorder="1"/>
    <xf numFmtId="0" fontId="4144" fillId="4149" borderId="4096" xfId="0" applyFont="1" applyFill="1" applyBorder="1"/>
    <xf numFmtId="0" fontId="4145" fillId="4150" borderId="4097" xfId="0" applyFont="1" applyFill="1" applyBorder="1"/>
    <xf numFmtId="0" fontId="4146" fillId="4151" borderId="4098" xfId="0" applyFont="1" applyFill="1" applyBorder="1"/>
    <xf numFmtId="0" fontId="4147" fillId="4152" borderId="4099" xfId="0" applyFont="1" applyFill="1" applyBorder="1"/>
    <xf numFmtId="0" fontId="4148" fillId="4153" borderId="4100" xfId="0" applyFont="1" applyFill="1" applyBorder="1"/>
    <xf numFmtId="0" fontId="4149" fillId="4154" borderId="4101" xfId="0" applyFont="1" applyFill="1" applyBorder="1"/>
    <xf numFmtId="0" fontId="4150" fillId="4155" borderId="4102" xfId="0" applyFont="1" applyFill="1" applyBorder="1"/>
    <xf numFmtId="0" fontId="4151" fillId="4156" borderId="4103" xfId="0" applyFont="1" applyFill="1" applyBorder="1"/>
    <xf numFmtId="0" fontId="4152" fillId="4157" borderId="4104" xfId="0" applyFont="1" applyFill="1" applyBorder="1"/>
    <xf numFmtId="0" fontId="4153" fillId="4158" borderId="4105" xfId="0" applyFont="1" applyFill="1" applyBorder="1"/>
    <xf numFmtId="0" fontId="4154" fillId="4159" borderId="4106" xfId="0" applyFont="1" applyFill="1" applyBorder="1"/>
    <xf numFmtId="0" fontId="4155" fillId="4160" borderId="4107" xfId="0" applyFont="1" applyFill="1" applyBorder="1"/>
    <xf numFmtId="0" fontId="4156" fillId="4161" borderId="4108" xfId="0" applyFont="1" applyFill="1" applyBorder="1"/>
    <xf numFmtId="0" fontId="4157" fillId="4162" borderId="4109" xfId="0" applyFont="1" applyFill="1" applyBorder="1"/>
    <xf numFmtId="0" fontId="4158" fillId="4163" borderId="4110" xfId="0" applyFont="1" applyFill="1" applyBorder="1"/>
    <xf numFmtId="0" fontId="4159" fillId="4164" borderId="4111" xfId="0" applyFont="1" applyFill="1" applyBorder="1"/>
    <xf numFmtId="0" fontId="4160" fillId="4165" borderId="4112" xfId="0" applyFont="1" applyFill="1" applyBorder="1"/>
    <xf numFmtId="0" fontId="4161" fillId="4166" borderId="4113" xfId="0" applyFont="1" applyFill="1" applyBorder="1"/>
    <xf numFmtId="0" fontId="4162" fillId="4167" borderId="4114" xfId="0" applyFont="1" applyFill="1" applyBorder="1"/>
    <xf numFmtId="0" fontId="4163" fillId="4168" borderId="4115" xfId="0" applyFont="1" applyFill="1" applyBorder="1"/>
    <xf numFmtId="0" fontId="4164" fillId="4169" borderId="4116" xfId="0" applyFont="1" applyFill="1" applyBorder="1"/>
    <xf numFmtId="0" fontId="4165" fillId="4170" borderId="4117" xfId="0" applyFont="1" applyFill="1" applyBorder="1"/>
    <xf numFmtId="0" fontId="4166" fillId="4171" borderId="4118" xfId="0" applyFont="1" applyFill="1" applyBorder="1"/>
    <xf numFmtId="0" fontId="4167" fillId="4172" borderId="4119" xfId="0" applyFont="1" applyFill="1" applyBorder="1"/>
    <xf numFmtId="0" fontId="4168" fillId="4173" borderId="4120" xfId="0" applyFont="1" applyFill="1" applyBorder="1"/>
    <xf numFmtId="0" fontId="4169" fillId="4174" borderId="4121" xfId="0" applyFont="1" applyFill="1" applyBorder="1"/>
    <xf numFmtId="0" fontId="4170" fillId="4175" borderId="4122" xfId="0" applyFont="1" applyFill="1" applyBorder="1"/>
    <xf numFmtId="0" fontId="4171" fillId="4176" borderId="4123" xfId="0" applyFont="1" applyFill="1" applyBorder="1"/>
    <xf numFmtId="0" fontId="4172" fillId="4177" borderId="4124" xfId="0" applyFont="1" applyFill="1" applyBorder="1"/>
    <xf numFmtId="0" fontId="4173" fillId="4178" borderId="4125" xfId="0" applyFont="1" applyFill="1" applyBorder="1"/>
    <xf numFmtId="0" fontId="4174" fillId="4179" borderId="4126" xfId="0" applyFont="1" applyFill="1" applyBorder="1"/>
    <xf numFmtId="0" fontId="4175" fillId="4180" borderId="4127" xfId="0" applyFont="1" applyFill="1" applyBorder="1"/>
    <xf numFmtId="0" fontId="4176" fillId="4181" borderId="4128" xfId="0" applyFont="1" applyFill="1" applyBorder="1"/>
    <xf numFmtId="0" fontId="4177" fillId="4182" borderId="4129" xfId="0" applyFont="1" applyFill="1" applyBorder="1"/>
    <xf numFmtId="0" fontId="4178" fillId="4183" borderId="4130" xfId="0" applyFont="1" applyFill="1" applyBorder="1"/>
    <xf numFmtId="0" fontId="4179" fillId="4184" borderId="4131" xfId="0" applyFont="1" applyFill="1" applyBorder="1"/>
    <xf numFmtId="0" fontId="4180" fillId="4185" borderId="4132" xfId="0" applyFont="1" applyFill="1" applyBorder="1"/>
    <xf numFmtId="0" fontId="4181" fillId="4186" borderId="4133" xfId="0" applyFont="1" applyFill="1" applyBorder="1"/>
    <xf numFmtId="0" fontId="4182" fillId="4187" borderId="4134" xfId="0" applyFont="1" applyFill="1" applyBorder="1"/>
    <xf numFmtId="0" fontId="4183" fillId="4188" borderId="4135" xfId="0" applyFont="1" applyFill="1" applyBorder="1"/>
    <xf numFmtId="0" fontId="4184" fillId="4189" borderId="4136" xfId="0" applyFont="1" applyFill="1" applyBorder="1"/>
    <xf numFmtId="0" fontId="4185" fillId="4190" borderId="4137" xfId="0" applyFont="1" applyFill="1" applyBorder="1"/>
    <xf numFmtId="0" fontId="4186" fillId="4191" borderId="4138" xfId="0" applyFont="1" applyFill="1" applyBorder="1"/>
    <xf numFmtId="0" fontId="4187" fillId="4192" borderId="4139" xfId="0" applyFont="1" applyFill="1" applyBorder="1"/>
    <xf numFmtId="0" fontId="4188" fillId="4193" borderId="4140" xfId="0" applyFont="1" applyFill="1" applyBorder="1"/>
    <xf numFmtId="0" fontId="4189" fillId="4194" borderId="4141" xfId="0" applyFont="1" applyFill="1" applyBorder="1"/>
    <xf numFmtId="0" fontId="4190" fillId="4195" borderId="4142" xfId="0" applyFont="1" applyFill="1" applyBorder="1"/>
    <xf numFmtId="0" fontId="4191" fillId="4196" borderId="4143" xfId="0" applyFont="1" applyFill="1" applyBorder="1"/>
    <xf numFmtId="0" fontId="4192" fillId="4197" borderId="4144" xfId="0" applyFont="1" applyFill="1" applyBorder="1"/>
    <xf numFmtId="0" fontId="4193" fillId="4198" borderId="4145" xfId="0" applyFont="1" applyFill="1" applyBorder="1"/>
    <xf numFmtId="0" fontId="4194" fillId="4199" borderId="4146" xfId="0" applyFont="1" applyFill="1" applyBorder="1"/>
    <xf numFmtId="0" fontId="4195" fillId="4200" borderId="4147" xfId="0" applyFont="1" applyFill="1" applyBorder="1"/>
    <xf numFmtId="0" fontId="4196" fillId="4201" borderId="4148" xfId="0" applyFont="1" applyFill="1" applyBorder="1"/>
    <xf numFmtId="0" fontId="4197" fillId="4202" borderId="4149" xfId="0" applyFont="1" applyFill="1" applyBorder="1"/>
    <xf numFmtId="0" fontId="4198" fillId="4203" borderId="4150" xfId="0" applyFont="1" applyFill="1" applyBorder="1"/>
    <xf numFmtId="0" fontId="4199" fillId="4204" borderId="4151" xfId="0" applyFont="1" applyFill="1" applyBorder="1"/>
    <xf numFmtId="0" fontId="4200" fillId="4205" borderId="4152" xfId="0" applyFont="1" applyFill="1" applyBorder="1"/>
    <xf numFmtId="0" fontId="4201" fillId="4206" borderId="4153" xfId="0" applyFont="1" applyFill="1" applyBorder="1"/>
    <xf numFmtId="0" fontId="4202" fillId="4207" borderId="4154" xfId="0" applyFont="1" applyFill="1" applyBorder="1"/>
    <xf numFmtId="0" fontId="4203" fillId="4208" borderId="4155" xfId="0" applyFont="1" applyFill="1" applyBorder="1"/>
    <xf numFmtId="0" fontId="4204" fillId="4209" borderId="4156" xfId="0" applyFont="1" applyFill="1" applyBorder="1"/>
    <xf numFmtId="0" fontId="4205" fillId="4210" borderId="4157" xfId="0" applyFont="1" applyFill="1" applyBorder="1"/>
    <xf numFmtId="0" fontId="4206" fillId="4211" borderId="4158" xfId="0" applyFont="1" applyFill="1" applyBorder="1"/>
    <xf numFmtId="0" fontId="4207" fillId="4212" borderId="4159" xfId="0" applyFont="1" applyFill="1" applyBorder="1"/>
    <xf numFmtId="0" fontId="4208" fillId="4213" borderId="4160" xfId="0" applyFont="1" applyFill="1" applyBorder="1"/>
    <xf numFmtId="0" fontId="4209" fillId="4214" borderId="4161" xfId="0" applyFont="1" applyFill="1" applyBorder="1"/>
    <xf numFmtId="0" fontId="4210" fillId="4215" borderId="4162" xfId="0" applyFont="1" applyFill="1" applyBorder="1"/>
    <xf numFmtId="0" fontId="4211" fillId="4216" borderId="4163" xfId="0" applyFont="1" applyFill="1" applyBorder="1"/>
    <xf numFmtId="0" fontId="4212" fillId="4217" borderId="4164" xfId="0" applyFont="1" applyFill="1" applyBorder="1"/>
    <xf numFmtId="0" fontId="4213" fillId="4218" borderId="4165" xfId="0" applyFont="1" applyFill="1" applyBorder="1"/>
    <xf numFmtId="0" fontId="4214" fillId="4219" borderId="4166" xfId="0" applyFont="1" applyFill="1" applyBorder="1"/>
    <xf numFmtId="0" fontId="4215" fillId="4220" borderId="4167" xfId="0" applyFont="1" applyFill="1" applyBorder="1"/>
    <xf numFmtId="0" fontId="4216" fillId="4221" borderId="4168" xfId="0" applyFont="1" applyFill="1" applyBorder="1"/>
    <xf numFmtId="0" fontId="4217" fillId="4222" borderId="4169" xfId="0" applyFont="1" applyFill="1" applyBorder="1"/>
    <xf numFmtId="0" fontId="4218" fillId="4223" borderId="4170" xfId="0" applyFont="1" applyFill="1" applyBorder="1"/>
    <xf numFmtId="0" fontId="4219" fillId="4224" borderId="4171" xfId="0" applyFont="1" applyFill="1" applyBorder="1"/>
    <xf numFmtId="0" fontId="4220" fillId="4225" borderId="4172" xfId="0" applyFont="1" applyFill="1" applyBorder="1"/>
    <xf numFmtId="0" fontId="4221" fillId="4226" borderId="4173" xfId="0" applyFont="1" applyFill="1" applyBorder="1"/>
    <xf numFmtId="0" fontId="4222" fillId="4227" borderId="4174" xfId="0" applyFont="1" applyFill="1" applyBorder="1"/>
    <xf numFmtId="0" fontId="4223" fillId="4228" borderId="4175" xfId="0" applyFont="1" applyFill="1" applyBorder="1"/>
    <xf numFmtId="0" fontId="4224" fillId="4229" borderId="4176" xfId="0" applyFont="1" applyFill="1" applyBorder="1"/>
    <xf numFmtId="0" fontId="4225" fillId="4230" borderId="4177" xfId="0" applyFont="1" applyFill="1" applyBorder="1"/>
    <xf numFmtId="0" fontId="4226" fillId="4231" borderId="4178" xfId="0" applyFont="1" applyFill="1" applyBorder="1"/>
    <xf numFmtId="0" fontId="4227" fillId="4232" borderId="4179" xfId="0" applyFont="1" applyFill="1" applyBorder="1"/>
    <xf numFmtId="0" fontId="4228" fillId="4233" borderId="4180" xfId="0" applyFont="1" applyFill="1" applyBorder="1"/>
    <xf numFmtId="0" fontId="4229" fillId="4234" borderId="4181" xfId="0" applyFont="1" applyFill="1" applyBorder="1"/>
    <xf numFmtId="0" fontId="4230" fillId="4235" borderId="4182" xfId="0" applyFont="1" applyFill="1" applyBorder="1"/>
    <xf numFmtId="0" fontId="4231" fillId="4236" borderId="4183" xfId="0" applyFont="1" applyFill="1" applyBorder="1"/>
    <xf numFmtId="0" fontId="4232" fillId="4237" borderId="4184" xfId="0" applyFont="1" applyFill="1" applyBorder="1"/>
    <xf numFmtId="0" fontId="4233" fillId="4238" borderId="4185" xfId="0" applyFont="1" applyFill="1" applyBorder="1"/>
    <xf numFmtId="0" fontId="4234" fillId="4239" borderId="4186" xfId="0" applyFont="1" applyFill="1" applyBorder="1"/>
    <xf numFmtId="0" fontId="4235" fillId="4240" borderId="4187" xfId="0" applyFont="1" applyFill="1" applyBorder="1"/>
    <xf numFmtId="0" fontId="4236" fillId="4241" borderId="4188" xfId="0" applyFont="1" applyFill="1" applyBorder="1"/>
    <xf numFmtId="0" fontId="4237" fillId="4242" borderId="4189" xfId="0" applyFont="1" applyFill="1" applyBorder="1"/>
    <xf numFmtId="0" fontId="4238" fillId="4243" borderId="4190" xfId="0" applyFont="1" applyFill="1" applyBorder="1"/>
    <xf numFmtId="0" fontId="4239" fillId="4244" borderId="4191" xfId="0" applyFont="1" applyFill="1" applyBorder="1"/>
    <xf numFmtId="0" fontId="4240" fillId="4245" borderId="4192" xfId="0" applyFont="1" applyFill="1" applyBorder="1"/>
    <xf numFmtId="0" fontId="4241" fillId="4246" borderId="4193" xfId="0" applyFont="1" applyFill="1" applyBorder="1"/>
    <xf numFmtId="0" fontId="4242" fillId="4247" borderId="4194" xfId="0" applyFont="1" applyFill="1" applyBorder="1"/>
    <xf numFmtId="0" fontId="4243" fillId="4248" borderId="4195" xfId="0" applyFont="1" applyFill="1" applyBorder="1"/>
    <xf numFmtId="0" fontId="4244" fillId="4249" borderId="4196" xfId="0" applyFont="1" applyFill="1" applyBorder="1"/>
    <xf numFmtId="0" fontId="4245" fillId="4250" borderId="4197" xfId="0" applyFont="1" applyFill="1" applyBorder="1"/>
    <xf numFmtId="0" fontId="4246" fillId="4251" borderId="4198" xfId="0" applyFont="1" applyFill="1" applyBorder="1"/>
    <xf numFmtId="0" fontId="4247" fillId="4252" borderId="4199" xfId="0" applyFont="1" applyFill="1" applyBorder="1"/>
    <xf numFmtId="0" fontId="4248" fillId="4253" borderId="4200" xfId="0" applyFont="1" applyFill="1" applyBorder="1"/>
    <xf numFmtId="0" fontId="4249" fillId="4254" borderId="4201" xfId="0" applyFont="1" applyFill="1" applyBorder="1"/>
    <xf numFmtId="0" fontId="4250" fillId="4255" borderId="4202" xfId="0" applyFont="1" applyFill="1" applyBorder="1"/>
    <xf numFmtId="0" fontId="4251" fillId="4256" borderId="4203" xfId="0" applyFont="1" applyFill="1" applyBorder="1"/>
    <xf numFmtId="0" fontId="4252" fillId="4257" borderId="4204" xfId="0" applyFont="1" applyFill="1" applyBorder="1"/>
    <xf numFmtId="0" fontId="4253" fillId="4258" borderId="4205" xfId="0" applyFont="1" applyFill="1" applyBorder="1"/>
    <xf numFmtId="0" fontId="4254" fillId="4259" borderId="4206" xfId="0" applyFont="1" applyFill="1" applyBorder="1"/>
    <xf numFmtId="0" fontId="4255" fillId="4260" borderId="4207" xfId="0" applyFont="1" applyFill="1" applyBorder="1"/>
    <xf numFmtId="0" fontId="4256" fillId="4261" borderId="4208" xfId="0" applyFont="1" applyFill="1" applyBorder="1"/>
    <xf numFmtId="0" fontId="4257" fillId="4262" borderId="4209" xfId="0" applyFont="1" applyFill="1" applyBorder="1"/>
    <xf numFmtId="0" fontId="4258" fillId="4263" borderId="4210" xfId="0" applyFont="1" applyFill="1" applyBorder="1"/>
    <xf numFmtId="0" fontId="4259" fillId="4264" borderId="4211" xfId="0" applyFont="1" applyFill="1" applyBorder="1"/>
    <xf numFmtId="0" fontId="4260" fillId="4265" borderId="4212" xfId="0" applyFont="1" applyFill="1" applyBorder="1"/>
    <xf numFmtId="0" fontId="4261" fillId="4266" borderId="4213" xfId="0" applyFont="1" applyFill="1" applyBorder="1"/>
    <xf numFmtId="0" fontId="4262" fillId="4267" borderId="4214" xfId="0" applyFont="1" applyFill="1" applyBorder="1"/>
    <xf numFmtId="0" fontId="4263" fillId="4268" borderId="4215" xfId="0" applyFont="1" applyFill="1" applyBorder="1"/>
    <xf numFmtId="0" fontId="4264" fillId="4269" borderId="4216" xfId="0" applyFont="1" applyFill="1" applyBorder="1"/>
    <xf numFmtId="0" fontId="4265" fillId="4270" borderId="4217" xfId="0" applyFont="1" applyFill="1" applyBorder="1"/>
    <xf numFmtId="0" fontId="4266" fillId="4271" borderId="4218" xfId="0" applyFont="1" applyFill="1" applyBorder="1"/>
    <xf numFmtId="0" fontId="4267" fillId="4272" borderId="4219" xfId="0" applyFont="1" applyFill="1" applyBorder="1"/>
    <xf numFmtId="0" fontId="4268" fillId="4273" borderId="4220" xfId="0" applyFont="1" applyFill="1" applyBorder="1"/>
    <xf numFmtId="0" fontId="4269" fillId="4274" borderId="4221" xfId="0" applyFont="1" applyFill="1" applyBorder="1"/>
    <xf numFmtId="0" fontId="4270" fillId="4275" borderId="4222" xfId="0" applyFont="1" applyFill="1" applyBorder="1"/>
    <xf numFmtId="0" fontId="4271" fillId="4276" borderId="4223" xfId="0" applyFont="1" applyFill="1" applyBorder="1"/>
    <xf numFmtId="0" fontId="4272" fillId="4277" borderId="4224" xfId="0" applyFont="1" applyFill="1" applyBorder="1"/>
    <xf numFmtId="0" fontId="4273" fillId="4278" borderId="4225" xfId="0" applyFont="1" applyFill="1" applyBorder="1"/>
    <xf numFmtId="0" fontId="4274" fillId="4279" borderId="4226" xfId="0" applyFont="1" applyFill="1" applyBorder="1"/>
    <xf numFmtId="0" fontId="4275" fillId="4280" borderId="4227" xfId="0" applyFont="1" applyFill="1" applyBorder="1"/>
    <xf numFmtId="0" fontId="4276" fillId="4281" borderId="4228" xfId="0" applyFont="1" applyFill="1" applyBorder="1"/>
    <xf numFmtId="0" fontId="4277" fillId="4282" borderId="4229" xfId="0" applyFont="1" applyFill="1" applyBorder="1"/>
    <xf numFmtId="0" fontId="4278" fillId="4283" borderId="4230" xfId="0" applyFont="1" applyFill="1" applyBorder="1"/>
    <xf numFmtId="0" fontId="4279" fillId="4284" borderId="4231" xfId="0" applyFont="1" applyFill="1" applyBorder="1"/>
    <xf numFmtId="0" fontId="4280" fillId="4285" borderId="4232" xfId="0" applyFont="1" applyFill="1" applyBorder="1"/>
    <xf numFmtId="0" fontId="4281" fillId="4286" borderId="4233" xfId="0" applyFont="1" applyFill="1" applyBorder="1"/>
    <xf numFmtId="0" fontId="4282" fillId="4287" borderId="4234" xfId="0" applyFont="1" applyFill="1" applyBorder="1"/>
    <xf numFmtId="0" fontId="4283" fillId="4288" borderId="4235" xfId="0" applyFont="1" applyFill="1" applyBorder="1"/>
    <xf numFmtId="0" fontId="4284" fillId="4289" borderId="4236" xfId="0" applyFont="1" applyFill="1" applyBorder="1"/>
    <xf numFmtId="0" fontId="4285" fillId="4290" borderId="4237" xfId="0" applyFont="1" applyFill="1" applyBorder="1"/>
    <xf numFmtId="0" fontId="4286" fillId="4291" borderId="4238" xfId="0" applyFont="1" applyFill="1" applyBorder="1"/>
    <xf numFmtId="0" fontId="4287" fillId="4292" borderId="4239" xfId="0" applyFont="1" applyFill="1" applyBorder="1"/>
    <xf numFmtId="0" fontId="4288" fillId="4293" borderId="4240" xfId="0" applyFont="1" applyFill="1" applyBorder="1"/>
    <xf numFmtId="0" fontId="4289" fillId="4294" borderId="4241" xfId="0" applyFont="1" applyFill="1" applyBorder="1"/>
    <xf numFmtId="0" fontId="4290" fillId="4295" borderId="4242" xfId="0" applyFont="1" applyFill="1" applyBorder="1"/>
    <xf numFmtId="0" fontId="4291" fillId="4296" borderId="4243" xfId="0" applyFont="1" applyFill="1" applyBorder="1"/>
    <xf numFmtId="0" fontId="4292" fillId="4297" borderId="4244" xfId="0" applyFont="1" applyFill="1" applyBorder="1"/>
    <xf numFmtId="0" fontId="4293" fillId="4298" borderId="4245" xfId="0" applyFont="1" applyFill="1" applyBorder="1"/>
    <xf numFmtId="0" fontId="4294" fillId="4299" borderId="4246" xfId="0" applyFont="1" applyFill="1" applyBorder="1"/>
    <xf numFmtId="0" fontId="4295" fillId="4300" borderId="4247" xfId="0" applyFont="1" applyFill="1" applyBorder="1"/>
    <xf numFmtId="0" fontId="4296" fillId="4301" borderId="4248" xfId="0" applyFont="1" applyFill="1" applyBorder="1"/>
    <xf numFmtId="0" fontId="4297" fillId="4302" borderId="4249" xfId="0" applyFont="1" applyFill="1" applyBorder="1"/>
    <xf numFmtId="0" fontId="4298" fillId="4303" borderId="4250" xfId="0" applyFont="1" applyFill="1" applyBorder="1"/>
    <xf numFmtId="0" fontId="4299" fillId="4304" borderId="4251" xfId="0" applyFont="1" applyFill="1" applyBorder="1"/>
    <xf numFmtId="0" fontId="4300" fillId="4305" borderId="4252" xfId="0" applyFont="1" applyFill="1" applyBorder="1"/>
    <xf numFmtId="0" fontId="4301" fillId="4306" borderId="4253" xfId="0" applyFont="1" applyFill="1" applyBorder="1"/>
    <xf numFmtId="0" fontId="4302" fillId="4307" borderId="4254" xfId="0" applyFont="1" applyFill="1" applyBorder="1"/>
    <xf numFmtId="0" fontId="4303" fillId="4308" borderId="4255" xfId="0" applyFont="1" applyFill="1" applyBorder="1"/>
    <xf numFmtId="0" fontId="4304" fillId="4309" borderId="4256" xfId="0" applyFont="1" applyFill="1" applyBorder="1"/>
    <xf numFmtId="0" fontId="4305" fillId="4310" borderId="4257" xfId="0" applyFont="1" applyFill="1" applyBorder="1"/>
    <xf numFmtId="0" fontId="4306" fillId="4311" borderId="4258" xfId="0" applyFont="1" applyFill="1" applyBorder="1"/>
    <xf numFmtId="0" fontId="4307" fillId="4312" borderId="4259" xfId="0" applyFont="1" applyFill="1" applyBorder="1"/>
    <xf numFmtId="0" fontId="4308" fillId="4313" borderId="4260" xfId="0" applyFont="1" applyFill="1" applyBorder="1"/>
    <xf numFmtId="0" fontId="4309" fillId="4314" borderId="4261" xfId="0" applyFont="1" applyFill="1" applyBorder="1"/>
    <xf numFmtId="0" fontId="4310" fillId="4315" borderId="4262" xfId="0" applyFont="1" applyFill="1" applyBorder="1"/>
    <xf numFmtId="0" fontId="4311" fillId="4316" borderId="4263" xfId="0" applyFont="1" applyFill="1" applyBorder="1"/>
    <xf numFmtId="0" fontId="4312" fillId="4317" borderId="4264" xfId="0" applyFont="1" applyFill="1" applyBorder="1"/>
    <xf numFmtId="0" fontId="4313" fillId="4318" borderId="4265" xfId="0" applyFont="1" applyFill="1" applyBorder="1"/>
    <xf numFmtId="0" fontId="4314" fillId="4319" borderId="4266" xfId="0" applyFont="1" applyFill="1" applyBorder="1"/>
    <xf numFmtId="0" fontId="4315" fillId="4320" borderId="4267" xfId="0" applyFont="1" applyFill="1" applyBorder="1"/>
    <xf numFmtId="0" fontId="4316" fillId="4321" borderId="4268" xfId="0" applyFont="1" applyFill="1" applyBorder="1"/>
    <xf numFmtId="0" fontId="4317" fillId="4322" borderId="4269" xfId="0" applyFont="1" applyFill="1" applyBorder="1"/>
    <xf numFmtId="0" fontId="4318" fillId="4323" borderId="4270" xfId="0" applyFont="1" applyFill="1" applyBorder="1"/>
    <xf numFmtId="0" fontId="4319" fillId="4324" borderId="4271" xfId="0" applyFont="1" applyFill="1" applyBorder="1"/>
    <xf numFmtId="0" fontId="4320" fillId="4325" borderId="4272" xfId="0" applyFont="1" applyFill="1" applyBorder="1"/>
    <xf numFmtId="0" fontId="4321" fillId="4326" borderId="4273" xfId="0" applyFont="1" applyFill="1" applyBorder="1"/>
    <xf numFmtId="0" fontId="4322" fillId="4327" borderId="4274" xfId="0" applyFont="1" applyFill="1" applyBorder="1"/>
    <xf numFmtId="0" fontId="4323" fillId="4328" borderId="4275" xfId="0" applyFont="1" applyFill="1" applyBorder="1"/>
    <xf numFmtId="0" fontId="4324" fillId="4329" borderId="4276" xfId="0" applyFont="1" applyFill="1" applyBorder="1"/>
    <xf numFmtId="0" fontId="4325" fillId="4330" borderId="4277" xfId="0" applyFont="1" applyFill="1" applyBorder="1"/>
    <xf numFmtId="0" fontId="4326" fillId="4331" borderId="4278" xfId="0" applyFont="1" applyFill="1" applyBorder="1"/>
    <xf numFmtId="0" fontId="4327" fillId="4332" borderId="4279" xfId="0" applyFont="1" applyFill="1" applyBorder="1"/>
    <xf numFmtId="0" fontId="4328" fillId="4333" borderId="4280" xfId="0" applyFont="1" applyFill="1" applyBorder="1"/>
    <xf numFmtId="0" fontId="4329" fillId="4334" borderId="4281" xfId="0" applyFont="1" applyFill="1" applyBorder="1"/>
    <xf numFmtId="0" fontId="4330" fillId="4335" borderId="4282" xfId="0" applyFont="1" applyFill="1" applyBorder="1"/>
    <xf numFmtId="0" fontId="4331" fillId="4336" borderId="4283" xfId="0" applyFont="1" applyFill="1" applyBorder="1"/>
    <xf numFmtId="0" fontId="4332" fillId="4337" borderId="4284" xfId="0" applyFont="1" applyFill="1" applyBorder="1"/>
    <xf numFmtId="0" fontId="4333" fillId="4338" borderId="4285" xfId="0" applyFont="1" applyFill="1" applyBorder="1"/>
    <xf numFmtId="0" fontId="4334" fillId="4339" borderId="4286" xfId="0" applyFont="1" applyFill="1" applyBorder="1"/>
    <xf numFmtId="0" fontId="4335" fillId="4340" borderId="4287" xfId="0" applyFont="1" applyFill="1" applyBorder="1"/>
    <xf numFmtId="0" fontId="4336" fillId="4341" borderId="4288" xfId="0" applyFont="1" applyFill="1" applyBorder="1"/>
    <xf numFmtId="0" fontId="4337" fillId="4342" borderId="4289" xfId="0" applyFont="1" applyFill="1" applyBorder="1"/>
    <xf numFmtId="0" fontId="4338" fillId="4343" borderId="4290" xfId="0" applyFont="1" applyFill="1" applyBorder="1"/>
    <xf numFmtId="0" fontId="4339" fillId="4344" borderId="4291" xfId="0" applyFont="1" applyFill="1" applyBorder="1"/>
    <xf numFmtId="0" fontId="4340" fillId="4345" borderId="4292" xfId="0" applyFont="1" applyFill="1" applyBorder="1"/>
    <xf numFmtId="0" fontId="4341" fillId="4346" borderId="4293" xfId="0" applyFont="1" applyFill="1" applyBorder="1"/>
    <xf numFmtId="0" fontId="4342" fillId="4347" borderId="4294" xfId="0" applyFont="1" applyFill="1" applyBorder="1"/>
    <xf numFmtId="0" fontId="4343" fillId="4348" borderId="4295" xfId="0" applyFont="1" applyFill="1" applyBorder="1"/>
    <xf numFmtId="0" fontId="4344" fillId="4349" borderId="4296" xfId="0" applyFont="1" applyFill="1" applyBorder="1"/>
    <xf numFmtId="0" fontId="4345" fillId="4350" borderId="4297" xfId="0" applyFont="1" applyFill="1" applyBorder="1"/>
    <xf numFmtId="0" fontId="4346" fillId="4351" borderId="4298" xfId="0" applyFont="1" applyFill="1" applyBorder="1"/>
    <xf numFmtId="0" fontId="4347" fillId="4352" borderId="4299" xfId="0" applyFont="1" applyFill="1" applyBorder="1"/>
    <xf numFmtId="0" fontId="4348" fillId="4353" borderId="4300" xfId="0" applyFont="1" applyFill="1" applyBorder="1"/>
    <xf numFmtId="0" fontId="4349" fillId="4354" borderId="4301" xfId="0" applyFont="1" applyFill="1" applyBorder="1"/>
    <xf numFmtId="0" fontId="4350" fillId="4355" borderId="4302" xfId="0" applyFont="1" applyFill="1" applyBorder="1"/>
    <xf numFmtId="0" fontId="4351" fillId="4356" borderId="4303" xfId="0" applyFont="1" applyFill="1" applyBorder="1"/>
    <xf numFmtId="0" fontId="4352" fillId="4357" borderId="4304" xfId="0" applyFont="1" applyFill="1" applyBorder="1"/>
    <xf numFmtId="0" fontId="4353" fillId="4358" borderId="4305" xfId="0" applyFont="1" applyFill="1" applyBorder="1"/>
    <xf numFmtId="0" fontId="4354" fillId="4359" borderId="4306" xfId="0" applyFont="1" applyFill="1" applyBorder="1"/>
    <xf numFmtId="0" fontId="4355" fillId="4360" borderId="4307" xfId="0" applyFont="1" applyFill="1" applyBorder="1"/>
    <xf numFmtId="0" fontId="4356" fillId="4361" borderId="4308" xfId="0" applyFont="1" applyFill="1" applyBorder="1"/>
    <xf numFmtId="0" fontId="4357" fillId="4362" borderId="4309" xfId="0" applyFont="1" applyFill="1" applyBorder="1"/>
    <xf numFmtId="0" fontId="4358" fillId="4363" borderId="4310" xfId="0" applyFont="1" applyFill="1" applyBorder="1"/>
    <xf numFmtId="0" fontId="4359" fillId="4364" borderId="4311" xfId="0" applyFont="1" applyFill="1" applyBorder="1"/>
    <xf numFmtId="0" fontId="4360" fillId="4365" borderId="4312" xfId="0" applyFont="1" applyFill="1" applyBorder="1"/>
    <xf numFmtId="0" fontId="4361" fillId="4366" borderId="4313" xfId="0" applyFont="1" applyFill="1" applyBorder="1"/>
    <xf numFmtId="0" fontId="4362" fillId="4367" borderId="4314" xfId="0" applyFont="1" applyFill="1" applyBorder="1"/>
    <xf numFmtId="0" fontId="4363" fillId="4368" borderId="4315" xfId="0" applyFont="1" applyFill="1" applyBorder="1"/>
    <xf numFmtId="0" fontId="4364" fillId="4369" borderId="4316" xfId="0" applyFont="1" applyFill="1" applyBorder="1"/>
    <xf numFmtId="0" fontId="4365" fillId="4370" borderId="4317" xfId="0" applyFont="1" applyFill="1" applyBorder="1"/>
    <xf numFmtId="0" fontId="4366" fillId="4371" borderId="4318" xfId="0" applyFont="1" applyFill="1" applyBorder="1"/>
    <xf numFmtId="0" fontId="4367" fillId="4372" borderId="4319" xfId="0" applyFont="1" applyFill="1" applyBorder="1"/>
    <xf numFmtId="0" fontId="4368" fillId="4373" borderId="4320" xfId="0" applyFont="1" applyFill="1" applyBorder="1"/>
    <xf numFmtId="0" fontId="4369" fillId="4374" borderId="4321" xfId="0" applyFont="1" applyFill="1" applyBorder="1"/>
    <xf numFmtId="0" fontId="4370" fillId="4375" borderId="4322" xfId="0" applyFont="1" applyFill="1" applyBorder="1"/>
    <xf numFmtId="0" fontId="4371" fillId="4376" borderId="4323" xfId="0" applyFont="1" applyFill="1" applyBorder="1"/>
    <xf numFmtId="0" fontId="4372" fillId="4377" borderId="4324" xfId="0" applyFont="1" applyFill="1" applyBorder="1"/>
    <xf numFmtId="0" fontId="4373" fillId="4378" borderId="4325" xfId="0" applyFont="1" applyFill="1" applyBorder="1"/>
    <xf numFmtId="0" fontId="4374" fillId="4379" borderId="4326" xfId="0" applyFont="1" applyFill="1" applyBorder="1"/>
    <xf numFmtId="0" fontId="4375" fillId="4380" borderId="4327" xfId="0" applyFont="1" applyFill="1" applyBorder="1"/>
    <xf numFmtId="0" fontId="4376" fillId="4381" borderId="4328" xfId="0" applyFont="1" applyFill="1" applyBorder="1"/>
    <xf numFmtId="0" fontId="4377" fillId="4382" borderId="4329" xfId="0" applyFont="1" applyFill="1" applyBorder="1"/>
    <xf numFmtId="0" fontId="4378" fillId="4383" borderId="4330" xfId="0" applyFont="1" applyFill="1" applyBorder="1"/>
    <xf numFmtId="0" fontId="4379" fillId="4384" borderId="4331" xfId="0" applyFont="1" applyFill="1" applyBorder="1"/>
    <xf numFmtId="0" fontId="4380" fillId="4385" borderId="4332" xfId="0" applyFont="1" applyFill="1" applyBorder="1"/>
    <xf numFmtId="0" fontId="4381" fillId="4386" borderId="4333" xfId="0" applyFont="1" applyFill="1" applyBorder="1"/>
    <xf numFmtId="0" fontId="4382" fillId="4387" borderId="4334" xfId="0" applyFont="1" applyFill="1" applyBorder="1"/>
    <xf numFmtId="0" fontId="4383" fillId="4388" borderId="4335" xfId="0" applyFont="1" applyFill="1" applyBorder="1"/>
    <xf numFmtId="0" fontId="4384" fillId="4389" borderId="4336" xfId="0" applyFont="1" applyFill="1" applyBorder="1"/>
    <xf numFmtId="0" fontId="4385" fillId="4390" borderId="4337" xfId="0" applyFont="1" applyFill="1" applyBorder="1"/>
    <xf numFmtId="0" fontId="4386" fillId="4391" borderId="4338" xfId="0" applyFont="1" applyFill="1" applyBorder="1"/>
    <xf numFmtId="0" fontId="4387" fillId="4392" borderId="4339" xfId="0" applyFont="1" applyFill="1" applyBorder="1"/>
    <xf numFmtId="0" fontId="4388" fillId="4393" borderId="4340" xfId="0" applyFont="1" applyFill="1" applyBorder="1"/>
    <xf numFmtId="0" fontId="4389" fillId="4394" borderId="4341" xfId="0" applyFont="1" applyFill="1" applyBorder="1"/>
    <xf numFmtId="0" fontId="4390" fillId="4395" borderId="4342" xfId="0" applyFont="1" applyFill="1" applyBorder="1"/>
    <xf numFmtId="0" fontId="4391" fillId="4396" borderId="4343" xfId="0" applyFont="1" applyFill="1" applyBorder="1"/>
    <xf numFmtId="0" fontId="4392" fillId="4397" borderId="4344" xfId="0" applyFont="1" applyFill="1" applyBorder="1"/>
    <xf numFmtId="0" fontId="4393" fillId="4398" borderId="4345" xfId="0" applyFont="1" applyFill="1" applyBorder="1"/>
    <xf numFmtId="0" fontId="4394" fillId="4399" borderId="4346" xfId="0" applyFont="1" applyFill="1" applyBorder="1"/>
    <xf numFmtId="0" fontId="4395" fillId="4400" borderId="4347" xfId="0" applyFont="1" applyFill="1" applyBorder="1"/>
    <xf numFmtId="0" fontId="4396" fillId="4401" borderId="4348" xfId="0" applyFont="1" applyFill="1" applyBorder="1"/>
    <xf numFmtId="0" fontId="4397" fillId="4402" borderId="4349" xfId="0" applyFont="1" applyFill="1" applyBorder="1"/>
    <xf numFmtId="0" fontId="4398" fillId="4403" borderId="4350" xfId="0" applyFont="1" applyFill="1" applyBorder="1"/>
    <xf numFmtId="0" fontId="4399" fillId="4404" borderId="4351" xfId="0" applyFont="1" applyFill="1" applyBorder="1"/>
    <xf numFmtId="0" fontId="4400" fillId="4405" borderId="4352" xfId="0" applyFont="1" applyFill="1" applyBorder="1"/>
    <xf numFmtId="0" fontId="4401" fillId="4406" borderId="4353" xfId="0" applyFont="1" applyFill="1" applyBorder="1"/>
    <xf numFmtId="0" fontId="4402" fillId="4407" borderId="4354" xfId="0" applyFont="1" applyFill="1" applyBorder="1"/>
    <xf numFmtId="0" fontId="4403" fillId="4408" borderId="4355" xfId="0" applyFont="1" applyFill="1" applyBorder="1"/>
    <xf numFmtId="0" fontId="4404" fillId="4409" borderId="4356" xfId="0" applyFont="1" applyFill="1" applyBorder="1"/>
    <xf numFmtId="14" fontId="4405" fillId="4410" borderId="4357" xfId="0" applyNumberFormat="1" applyFont="1" applyFill="1" applyBorder="1"/>
    <xf numFmtId="0" fontId="4406" fillId="4411" borderId="4358" xfId="0" applyFont="1" applyFill="1" applyBorder="1"/>
    <xf numFmtId="0" fontId="4407" fillId="4412" borderId="4359" xfId="0" applyFont="1" applyFill="1" applyBorder="1"/>
    <xf numFmtId="0" fontId="4408" fillId="4413" borderId="4360" xfId="0" applyFont="1" applyFill="1" applyBorder="1"/>
    <xf numFmtId="0" fontId="4409" fillId="4414" borderId="4361" xfId="0" applyFont="1" applyFill="1" applyBorder="1"/>
    <xf numFmtId="0" fontId="4410" fillId="4415" borderId="4362" xfId="0" applyFont="1" applyFill="1" applyBorder="1"/>
    <xf numFmtId="0" fontId="4411" fillId="4416" borderId="4363" xfId="0" applyFont="1" applyFill="1" applyBorder="1"/>
    <xf numFmtId="0" fontId="4412" fillId="4417" borderId="4364" xfId="0" applyFont="1" applyFill="1" applyBorder="1"/>
    <xf numFmtId="0" fontId="4413" fillId="4418" borderId="4365" xfId="0" applyFont="1" applyFill="1" applyBorder="1"/>
    <xf numFmtId="0" fontId="4414" fillId="4419" borderId="4366" xfId="0" applyFont="1" applyFill="1" applyBorder="1"/>
    <xf numFmtId="0" fontId="4415" fillId="4420" borderId="4367" xfId="0" applyFont="1" applyFill="1" applyBorder="1"/>
    <xf numFmtId="14" fontId="4416" fillId="4421" borderId="4368" xfId="0" applyNumberFormat="1" applyFont="1" applyFill="1" applyBorder="1"/>
    <xf numFmtId="0" fontId="4417" fillId="4422" borderId="4369" xfId="0" applyFont="1" applyFill="1" applyBorder="1"/>
    <xf numFmtId="0" fontId="4418" fillId="4423" borderId="4370" xfId="0" applyFont="1" applyFill="1" applyBorder="1"/>
    <xf numFmtId="0" fontId="4419" fillId="4424" borderId="4371" xfId="0" applyFont="1" applyFill="1" applyBorder="1"/>
    <xf numFmtId="0" fontId="4420" fillId="4425" borderId="4372" xfId="0" applyFont="1" applyFill="1" applyBorder="1"/>
    <xf numFmtId="0" fontId="4421" fillId="4426" borderId="4373" xfId="0" applyFont="1" applyFill="1" applyBorder="1"/>
    <xf numFmtId="0" fontId="4422" fillId="4427" borderId="4374" xfId="0" applyFont="1" applyFill="1" applyBorder="1"/>
    <xf numFmtId="0" fontId="4423" fillId="4428" borderId="4375" xfId="0" applyFont="1" applyFill="1" applyBorder="1"/>
    <xf numFmtId="0" fontId="4424" fillId="4429" borderId="4376" xfId="0" applyFont="1" applyFill="1" applyBorder="1"/>
    <xf numFmtId="0" fontId="4425" fillId="4430" borderId="4377" xfId="0" applyFont="1" applyFill="1" applyBorder="1"/>
    <xf numFmtId="0" fontId="4426" fillId="4431" borderId="4378" xfId="0" applyFont="1" applyFill="1" applyBorder="1"/>
    <xf numFmtId="14" fontId="4427" fillId="4432" borderId="4379" xfId="0" applyNumberFormat="1" applyFont="1" applyFill="1" applyBorder="1"/>
    <xf numFmtId="0" fontId="4428" fillId="4433" borderId="4380" xfId="0" applyFont="1" applyFill="1" applyBorder="1"/>
    <xf numFmtId="0" fontId="4429" fillId="4434" borderId="4381" xfId="0" applyFont="1" applyFill="1" applyBorder="1"/>
    <xf numFmtId="0" fontId="4430" fillId="4435" borderId="4382" xfId="0" applyFont="1" applyFill="1" applyBorder="1"/>
    <xf numFmtId="0" fontId="4431" fillId="4436" borderId="4383" xfId="0" applyFont="1" applyFill="1" applyBorder="1"/>
    <xf numFmtId="0" fontId="4432" fillId="4437" borderId="4384" xfId="0" applyFont="1" applyFill="1" applyBorder="1"/>
    <xf numFmtId="0" fontId="4433" fillId="4438" borderId="4385" xfId="0" applyFont="1" applyFill="1" applyBorder="1"/>
    <xf numFmtId="0" fontId="4434" fillId="4439" borderId="4386" xfId="0" applyFont="1" applyFill="1" applyBorder="1"/>
    <xf numFmtId="0" fontId="4435" fillId="4440" borderId="4387" xfId="0" applyFont="1" applyFill="1" applyBorder="1"/>
    <xf numFmtId="0" fontId="4436" fillId="4441" borderId="4388" xfId="0" applyFont="1" applyFill="1" applyBorder="1"/>
    <xf numFmtId="0" fontId="4437" fillId="4442" borderId="4389" xfId="0" applyFont="1" applyFill="1" applyBorder="1"/>
    <xf numFmtId="14" fontId="4438" fillId="4443" borderId="4390" xfId="0" applyNumberFormat="1" applyFont="1" applyFill="1" applyBorder="1"/>
    <xf numFmtId="0" fontId="4439" fillId="4444" borderId="4391" xfId="0" applyFont="1" applyFill="1" applyBorder="1"/>
    <xf numFmtId="0" fontId="4440" fillId="4445" borderId="4392" xfId="0" applyFont="1" applyFill="1" applyBorder="1"/>
    <xf numFmtId="0" fontId="4441" fillId="4446" borderId="4393" xfId="0" applyFont="1" applyFill="1" applyBorder="1"/>
    <xf numFmtId="0" fontId="4442" fillId="4447" borderId="4394" xfId="0" applyFont="1" applyFill="1" applyBorder="1"/>
    <xf numFmtId="0" fontId="4443" fillId="4448" borderId="4395" xfId="0" applyFont="1" applyFill="1" applyBorder="1"/>
    <xf numFmtId="0" fontId="4444" fillId="4449" borderId="4396" xfId="0" applyFont="1" applyFill="1" applyBorder="1"/>
    <xf numFmtId="0" fontId="4445" fillId="4450" borderId="4397" xfId="0" applyFont="1" applyFill="1" applyBorder="1"/>
    <xf numFmtId="0" fontId="4446" fillId="4451" borderId="4398" xfId="0" applyFont="1" applyFill="1" applyBorder="1"/>
    <xf numFmtId="0" fontId="4447" fillId="4452" borderId="4399" xfId="0" applyFont="1" applyFill="1" applyBorder="1"/>
    <xf numFmtId="0" fontId="4448" fillId="4453" borderId="4400" xfId="0" applyFont="1" applyFill="1" applyBorder="1"/>
    <xf numFmtId="14" fontId="4449" fillId="4454" borderId="4401" xfId="0" applyNumberFormat="1" applyFont="1" applyFill="1" applyBorder="1"/>
    <xf numFmtId="0" fontId="4450" fillId="4455" borderId="4402" xfId="0" applyFont="1" applyFill="1" applyBorder="1"/>
    <xf numFmtId="0" fontId="4451" fillId="4456" borderId="4403" xfId="0" applyFont="1" applyFill="1" applyBorder="1"/>
    <xf numFmtId="0" fontId="4452" fillId="4457" borderId="4404" xfId="0" applyFont="1" applyFill="1" applyBorder="1"/>
    <xf numFmtId="0" fontId="4453" fillId="4458" borderId="4405" xfId="0" applyFont="1" applyFill="1" applyBorder="1"/>
    <xf numFmtId="0" fontId="4454" fillId="4459" borderId="4406" xfId="0" applyFont="1" applyFill="1" applyBorder="1"/>
    <xf numFmtId="0" fontId="4455" fillId="4460" borderId="4407" xfId="0" applyFont="1" applyFill="1" applyBorder="1"/>
    <xf numFmtId="0" fontId="4456" fillId="4461" borderId="4408" xfId="0" applyFont="1" applyFill="1" applyBorder="1"/>
    <xf numFmtId="0" fontId="4457" fillId="4462" borderId="4409" xfId="0" applyFont="1" applyFill="1" applyBorder="1"/>
    <xf numFmtId="0" fontId="4458" fillId="4463" borderId="4410" xfId="0" applyFont="1" applyFill="1" applyBorder="1"/>
    <xf numFmtId="0" fontId="4459" fillId="4464" borderId="4411" xfId="0" applyFont="1" applyFill="1" applyBorder="1"/>
    <xf numFmtId="14" fontId="4460" fillId="4465" borderId="4412" xfId="0" applyNumberFormat="1" applyFont="1" applyFill="1" applyBorder="1"/>
    <xf numFmtId="0" fontId="4461" fillId="4466" borderId="4413" xfId="0" applyFont="1" applyFill="1" applyBorder="1"/>
    <xf numFmtId="0" fontId="4462" fillId="4467" borderId="4414" xfId="0" applyFont="1" applyFill="1" applyBorder="1"/>
    <xf numFmtId="0" fontId="4463" fillId="4468" borderId="4415" xfId="0" applyFont="1" applyFill="1" applyBorder="1"/>
    <xf numFmtId="0" fontId="4464" fillId="4469" borderId="4416" xfId="0" applyFont="1" applyFill="1" applyBorder="1"/>
    <xf numFmtId="0" fontId="4465" fillId="4470" borderId="4417" xfId="0" applyFont="1" applyFill="1" applyBorder="1"/>
    <xf numFmtId="0" fontId="4466" fillId="4471" borderId="4418" xfId="0" applyFont="1" applyFill="1" applyBorder="1"/>
    <xf numFmtId="0" fontId="4467" fillId="4472" borderId="4419" xfId="0" applyFont="1" applyFill="1" applyBorder="1"/>
    <xf numFmtId="0" fontId="4468" fillId="4473" borderId="4420" xfId="0" applyFont="1" applyFill="1" applyBorder="1"/>
    <xf numFmtId="0" fontId="4469" fillId="4474" borderId="4421" xfId="0" applyFont="1" applyFill="1" applyBorder="1"/>
    <xf numFmtId="0" fontId="4470" fillId="4475" borderId="4422" xfId="0" applyFont="1" applyFill="1" applyBorder="1"/>
    <xf numFmtId="14" fontId="4471" fillId="4476" borderId="4423" xfId="0" applyNumberFormat="1" applyFont="1" applyFill="1" applyBorder="1"/>
    <xf numFmtId="0" fontId="4472" fillId="4477" borderId="4424" xfId="0" applyFont="1" applyFill="1" applyBorder="1"/>
    <xf numFmtId="0" fontId="4473" fillId="4478" borderId="4425" xfId="0" applyFont="1" applyFill="1" applyBorder="1"/>
    <xf numFmtId="0" fontId="4474" fillId="4479" borderId="4426" xfId="0" applyFont="1" applyFill="1" applyBorder="1"/>
    <xf numFmtId="0" fontId="4475" fillId="4480" borderId="4427" xfId="0" applyFont="1" applyFill="1" applyBorder="1"/>
    <xf numFmtId="0" fontId="4476" fillId="4481" borderId="4428" xfId="0" applyFont="1" applyFill="1" applyBorder="1"/>
    <xf numFmtId="0" fontId="4477" fillId="4482" borderId="4429" xfId="0" applyFont="1" applyFill="1" applyBorder="1"/>
    <xf numFmtId="0" fontId="4478" fillId="4483" borderId="4430" xfId="0" applyFont="1" applyFill="1" applyBorder="1"/>
    <xf numFmtId="0" fontId="4479" fillId="4484" borderId="4431" xfId="0" applyFont="1" applyFill="1" applyBorder="1"/>
    <xf numFmtId="0" fontId="4480" fillId="4485" borderId="4432" xfId="0" applyFont="1" applyFill="1" applyBorder="1"/>
    <xf numFmtId="0" fontId="4481" fillId="4486" borderId="4433" xfId="0" applyFont="1" applyFill="1" applyBorder="1"/>
    <xf numFmtId="14" fontId="4482" fillId="4487" borderId="4434" xfId="0" applyNumberFormat="1" applyFont="1" applyFill="1" applyBorder="1"/>
    <xf numFmtId="0" fontId="4483" fillId="4488" borderId="4435" xfId="0" applyFont="1" applyFill="1" applyBorder="1"/>
    <xf numFmtId="0" fontId="4484" fillId="4489" borderId="4436" xfId="0" applyFont="1" applyFill="1" applyBorder="1"/>
    <xf numFmtId="0" fontId="4485" fillId="4490" borderId="4437" xfId="0" applyFont="1" applyFill="1" applyBorder="1"/>
    <xf numFmtId="0" fontId="4486" fillId="4491" borderId="4438" xfId="0" applyFont="1" applyFill="1" applyBorder="1"/>
    <xf numFmtId="0" fontId="4487" fillId="4492" borderId="4439" xfId="0" applyFont="1" applyFill="1" applyBorder="1"/>
    <xf numFmtId="0" fontId="4488" fillId="4493" borderId="4440" xfId="0" applyFont="1" applyFill="1" applyBorder="1"/>
    <xf numFmtId="0" fontId="4489" fillId="4494" borderId="4441" xfId="0" applyFont="1" applyFill="1" applyBorder="1"/>
    <xf numFmtId="0" fontId="4490" fillId="4495" borderId="4442" xfId="0" applyFont="1" applyFill="1" applyBorder="1"/>
    <xf numFmtId="0" fontId="4491" fillId="4496" borderId="4443" xfId="0" applyFont="1" applyFill="1" applyBorder="1"/>
    <xf numFmtId="0" fontId="4492" fillId="4497" borderId="4444" xfId="0" applyFont="1" applyFill="1" applyBorder="1"/>
    <xf numFmtId="14" fontId="4493" fillId="4498" borderId="4445" xfId="0" applyNumberFormat="1" applyFont="1" applyFill="1" applyBorder="1"/>
    <xf numFmtId="0" fontId="4494" fillId="4499" borderId="4446" xfId="0" applyFont="1" applyFill="1" applyBorder="1"/>
    <xf numFmtId="0" fontId="4495" fillId="4500" borderId="4447" xfId="0" applyFont="1" applyFill="1" applyBorder="1"/>
    <xf numFmtId="0" fontId="4496" fillId="4501" borderId="4448" xfId="0" applyFont="1" applyFill="1" applyBorder="1"/>
    <xf numFmtId="0" fontId="4497" fillId="4502" borderId="4449" xfId="0" applyFont="1" applyFill="1" applyBorder="1"/>
    <xf numFmtId="0" fontId="4498" fillId="4503" borderId="4450" xfId="0" applyFont="1" applyFill="1" applyBorder="1"/>
    <xf numFmtId="0" fontId="4499" fillId="4504" borderId="4451" xfId="0" applyFont="1" applyFill="1" applyBorder="1"/>
    <xf numFmtId="0" fontId="4500" fillId="4505" borderId="4452" xfId="0" applyFont="1" applyFill="1" applyBorder="1"/>
    <xf numFmtId="0" fontId="4501" fillId="4506" borderId="4453" xfId="0" applyFont="1" applyFill="1" applyBorder="1"/>
    <xf numFmtId="0" fontId="4502" fillId="4507" borderId="4454" xfId="0" applyFont="1" applyFill="1" applyBorder="1"/>
    <xf numFmtId="0" fontId="4503" fillId="4508" borderId="4455" xfId="0" applyFont="1" applyFill="1" applyBorder="1"/>
    <xf numFmtId="14" fontId="4504" fillId="4509" borderId="4456" xfId="0" applyNumberFormat="1" applyFont="1" applyFill="1" applyBorder="1"/>
    <xf numFmtId="0" fontId="4505" fillId="4510" borderId="4457" xfId="0" applyFont="1" applyFill="1" applyBorder="1"/>
    <xf numFmtId="0" fontId="4506" fillId="4511" borderId="4458" xfId="0" applyFont="1" applyFill="1" applyBorder="1"/>
    <xf numFmtId="0" fontId="4507" fillId="4512" borderId="4459" xfId="0" applyFont="1" applyFill="1" applyBorder="1"/>
    <xf numFmtId="0" fontId="4508" fillId="4513" borderId="4460" xfId="0" applyFont="1" applyFill="1" applyBorder="1"/>
    <xf numFmtId="0" fontId="4509" fillId="4514" borderId="4461" xfId="0" applyFont="1" applyFill="1" applyBorder="1"/>
    <xf numFmtId="0" fontId="4510" fillId="4515" borderId="4462" xfId="0" applyFont="1" applyFill="1" applyBorder="1"/>
    <xf numFmtId="0" fontId="4511" fillId="4516" borderId="4463" xfId="0" applyFont="1" applyFill="1" applyBorder="1"/>
    <xf numFmtId="0" fontId="4512" fillId="4517" borderId="4464" xfId="0" applyFont="1" applyFill="1" applyBorder="1"/>
    <xf numFmtId="0" fontId="4513" fillId="4518" borderId="4465" xfId="0" applyFont="1" applyFill="1" applyBorder="1"/>
    <xf numFmtId="0" fontId="4514" fillId="4519" borderId="4466" xfId="0" applyFont="1" applyFill="1" applyBorder="1"/>
    <xf numFmtId="14" fontId="4515" fillId="4520" borderId="4467" xfId="0" applyNumberFormat="1" applyFont="1" applyFill="1" applyBorder="1"/>
    <xf numFmtId="0" fontId="4516" fillId="4521" borderId="4468" xfId="0" applyFont="1" applyFill="1" applyBorder="1"/>
    <xf numFmtId="0" fontId="4517" fillId="4522" borderId="4469" xfId="0" applyFont="1" applyFill="1" applyBorder="1"/>
    <xf numFmtId="0" fontId="4518" fillId="4523" borderId="4470" xfId="0" applyFont="1" applyFill="1" applyBorder="1"/>
    <xf numFmtId="0" fontId="4519" fillId="4524" borderId="4471" xfId="0" applyFont="1" applyFill="1" applyBorder="1"/>
    <xf numFmtId="0" fontId="4520" fillId="4525" borderId="4472" xfId="0" applyFont="1" applyFill="1" applyBorder="1"/>
    <xf numFmtId="0" fontId="4521" fillId="4526" borderId="4473" xfId="0" applyFont="1" applyFill="1" applyBorder="1"/>
    <xf numFmtId="0" fontId="4522" fillId="4527" borderId="4474" xfId="0" applyFont="1" applyFill="1" applyBorder="1"/>
    <xf numFmtId="0" fontId="4523" fillId="4528" borderId="4475" xfId="0" applyFont="1" applyFill="1" applyBorder="1"/>
    <xf numFmtId="0" fontId="4524" fillId="4529" borderId="4476" xfId="0" applyFont="1" applyFill="1" applyBorder="1"/>
    <xf numFmtId="0" fontId="4525" fillId="4530" borderId="4477" xfId="0" applyFont="1" applyFill="1" applyBorder="1"/>
    <xf numFmtId="14" fontId="4526" fillId="4531" borderId="4478" xfId="0" applyNumberFormat="1" applyFont="1" applyFill="1" applyBorder="1"/>
    <xf numFmtId="0" fontId="4527" fillId="4532" borderId="4479" xfId="0" applyFont="1" applyFill="1" applyBorder="1"/>
    <xf numFmtId="0" fontId="4528" fillId="4533" borderId="4480" xfId="0" applyFont="1" applyFill="1" applyBorder="1"/>
    <xf numFmtId="0" fontId="4529" fillId="4534" borderId="4481" xfId="0" applyFont="1" applyFill="1" applyBorder="1"/>
    <xf numFmtId="0" fontId="4530" fillId="4535" borderId="4482" xfId="0" applyFont="1" applyFill="1" applyBorder="1"/>
    <xf numFmtId="0" fontId="4531" fillId="4536" borderId="4483" xfId="0" applyFont="1" applyFill="1" applyBorder="1"/>
    <xf numFmtId="0" fontId="4532" fillId="4537" borderId="4484" xfId="0" applyFont="1" applyFill="1" applyBorder="1"/>
    <xf numFmtId="0" fontId="4533" fillId="4538" borderId="4485" xfId="0" applyFont="1" applyFill="1" applyBorder="1"/>
    <xf numFmtId="0" fontId="4534" fillId="4539" borderId="4486" xfId="0" applyFont="1" applyFill="1" applyBorder="1"/>
    <xf numFmtId="0" fontId="4535" fillId="4540" borderId="4487" xfId="0" applyFont="1" applyFill="1" applyBorder="1"/>
    <xf numFmtId="0" fontId="4536" fillId="4541" borderId="4488" xfId="0" applyFont="1" applyFill="1" applyBorder="1"/>
    <xf numFmtId="14" fontId="4537" fillId="4542" borderId="4489" xfId="0" applyNumberFormat="1" applyFont="1" applyFill="1" applyBorder="1"/>
    <xf numFmtId="0" fontId="4538" fillId="4543" borderId="4490" xfId="0" applyFont="1" applyFill="1" applyBorder="1"/>
    <xf numFmtId="0" fontId="4539" fillId="4544" borderId="4491" xfId="0" applyFont="1" applyFill="1" applyBorder="1"/>
    <xf numFmtId="0" fontId="4540" fillId="4545" borderId="4492" xfId="0" applyFont="1" applyFill="1" applyBorder="1"/>
    <xf numFmtId="0" fontId="4541" fillId="4546" borderId="4493" xfId="0" applyFont="1" applyFill="1" applyBorder="1"/>
    <xf numFmtId="0" fontId="4542" fillId="4547" borderId="4494" xfId="0" applyFont="1" applyFill="1" applyBorder="1"/>
    <xf numFmtId="0" fontId="4543" fillId="4548" borderId="4495" xfId="0" applyFont="1" applyFill="1" applyBorder="1"/>
    <xf numFmtId="0" fontId="4544" fillId="4549" borderId="4496" xfId="0" applyFont="1" applyFill="1" applyBorder="1"/>
    <xf numFmtId="0" fontId="4545" fillId="4550" borderId="4497" xfId="0" applyFont="1" applyFill="1" applyBorder="1"/>
    <xf numFmtId="0" fontId="4546" fillId="4551" borderId="4498" xfId="0" applyFont="1" applyFill="1" applyBorder="1"/>
    <xf numFmtId="0" fontId="4547" fillId="4552" borderId="4499" xfId="0" applyFont="1" applyFill="1" applyBorder="1"/>
    <xf numFmtId="14" fontId="4548" fillId="4553" borderId="4500" xfId="0" applyNumberFormat="1" applyFont="1" applyFill="1" applyBorder="1"/>
    <xf numFmtId="0" fontId="4549" fillId="4554" borderId="4501" xfId="0" applyFont="1" applyFill="1" applyBorder="1"/>
    <xf numFmtId="0" fontId="4550" fillId="4555" borderId="4502" xfId="0" applyFont="1" applyFill="1" applyBorder="1"/>
    <xf numFmtId="0" fontId="4551" fillId="4556" borderId="4503" xfId="0" applyFont="1" applyFill="1" applyBorder="1"/>
    <xf numFmtId="0" fontId="4552" fillId="4557" borderId="4504" xfId="0" applyFont="1" applyFill="1" applyBorder="1"/>
    <xf numFmtId="0" fontId="4553" fillId="4558" borderId="4505" xfId="0" applyFont="1" applyFill="1" applyBorder="1"/>
    <xf numFmtId="0" fontId="4554" fillId="4559" borderId="4506" xfId="0" applyFont="1" applyFill="1" applyBorder="1"/>
    <xf numFmtId="0" fontId="4555" fillId="4560" borderId="4507" xfId="0" applyFont="1" applyFill="1" applyBorder="1"/>
    <xf numFmtId="0" fontId="4556" fillId="4561" borderId="4508" xfId="0" applyFont="1" applyFill="1" applyBorder="1"/>
    <xf numFmtId="0" fontId="4557" fillId="4562" borderId="4509" xfId="0" applyFont="1" applyFill="1" applyBorder="1"/>
    <xf numFmtId="0" fontId="4558" fillId="4563" borderId="4510" xfId="0" applyFont="1" applyFill="1" applyBorder="1"/>
    <xf numFmtId="14" fontId="4559" fillId="4564" borderId="4511" xfId="0" applyNumberFormat="1" applyFont="1" applyFill="1" applyBorder="1"/>
    <xf numFmtId="0" fontId="4560" fillId="4565" borderId="4512" xfId="0" applyFont="1" applyFill="1" applyBorder="1"/>
    <xf numFmtId="0" fontId="4561" fillId="4566" borderId="4513" xfId="0" applyFont="1" applyFill="1" applyBorder="1"/>
    <xf numFmtId="0" fontId="4562" fillId="4567" borderId="4514" xfId="0" applyFont="1" applyFill="1" applyBorder="1"/>
    <xf numFmtId="0" fontId="4563" fillId="4568" borderId="4515" xfId="0" applyFont="1" applyFill="1" applyBorder="1"/>
    <xf numFmtId="0" fontId="4564" fillId="4569" borderId="4516" xfId="0" applyFont="1" applyFill="1" applyBorder="1"/>
    <xf numFmtId="0" fontId="4565" fillId="4570" borderId="4517" xfId="0" applyFont="1" applyFill="1" applyBorder="1"/>
    <xf numFmtId="0" fontId="4566" fillId="4571" borderId="4518" xfId="0" applyFont="1" applyFill="1" applyBorder="1"/>
    <xf numFmtId="0" fontId="4567" fillId="4572" borderId="4519" xfId="0" applyFont="1" applyFill="1" applyBorder="1"/>
    <xf numFmtId="0" fontId="4568" fillId="4573" borderId="4520" xfId="0" applyFont="1" applyFill="1" applyBorder="1"/>
    <xf numFmtId="0" fontId="4569" fillId="4574" borderId="4521" xfId="0" applyFont="1" applyFill="1" applyBorder="1"/>
    <xf numFmtId="14" fontId="4570" fillId="4575" borderId="4522" xfId="0" applyNumberFormat="1" applyFont="1" applyFill="1" applyBorder="1"/>
    <xf numFmtId="0" fontId="4571" fillId="4576" borderId="4523" xfId="0" applyFont="1" applyFill="1" applyBorder="1"/>
    <xf numFmtId="0" fontId="4572" fillId="4577" borderId="4524" xfId="0" applyFont="1" applyFill="1" applyBorder="1"/>
    <xf numFmtId="0" fontId="4573" fillId="4578" borderId="4525" xfId="0" applyFont="1" applyFill="1" applyBorder="1"/>
    <xf numFmtId="0" fontId="4574" fillId="4579" borderId="4526" xfId="0" applyFont="1" applyFill="1" applyBorder="1"/>
    <xf numFmtId="0" fontId="4575" fillId="4580" borderId="4527" xfId="0" applyFont="1" applyFill="1" applyBorder="1"/>
    <xf numFmtId="0" fontId="4576" fillId="4581" borderId="4528" xfId="0" applyFont="1" applyFill="1" applyBorder="1"/>
    <xf numFmtId="0" fontId="4577" fillId="4582" borderId="4529" xfId="0" applyFont="1" applyFill="1" applyBorder="1"/>
    <xf numFmtId="0" fontId="4578" fillId="4583" borderId="4530" xfId="0" applyFont="1" applyFill="1" applyBorder="1"/>
    <xf numFmtId="0" fontId="4579" fillId="4584" borderId="4531" xfId="0" applyFont="1" applyFill="1" applyBorder="1"/>
    <xf numFmtId="0" fontId="4580" fillId="4585" borderId="4532" xfId="0" applyFont="1" applyFill="1" applyBorder="1"/>
    <xf numFmtId="14" fontId="4581" fillId="4586" borderId="4533" xfId="0" applyNumberFormat="1" applyFont="1" applyFill="1" applyBorder="1"/>
    <xf numFmtId="0" fontId="4582" fillId="4587" borderId="4534" xfId="0" applyFont="1" applyFill="1" applyBorder="1"/>
    <xf numFmtId="0" fontId="4583" fillId="4588" borderId="4535" xfId="0" applyFont="1" applyFill="1" applyBorder="1"/>
    <xf numFmtId="0" fontId="4584" fillId="4589" borderId="4536" xfId="0" applyFont="1" applyFill="1" applyBorder="1"/>
    <xf numFmtId="0" fontId="4585" fillId="4590" borderId="4537" xfId="0" applyFont="1" applyFill="1" applyBorder="1"/>
    <xf numFmtId="0" fontId="4586" fillId="4591" borderId="4538" xfId="0" applyFont="1" applyFill="1" applyBorder="1"/>
    <xf numFmtId="0" fontId="4587" fillId="4592" borderId="4539" xfId="0" applyFont="1" applyFill="1" applyBorder="1"/>
    <xf numFmtId="0" fontId="4588" fillId="4593" borderId="4540" xfId="0" applyFont="1" applyFill="1" applyBorder="1"/>
    <xf numFmtId="0" fontId="4589" fillId="4594" borderId="4541" xfId="0" applyFont="1" applyFill="1" applyBorder="1"/>
    <xf numFmtId="0" fontId="4590" fillId="4595" borderId="4542" xfId="0" applyFont="1" applyFill="1" applyBorder="1"/>
    <xf numFmtId="0" fontId="4591" fillId="4596" borderId="4543" xfId="0" applyFont="1" applyFill="1" applyBorder="1"/>
    <xf numFmtId="14" fontId="4592" fillId="4597" borderId="4544" xfId="0" applyNumberFormat="1" applyFont="1" applyFill="1" applyBorder="1"/>
    <xf numFmtId="0" fontId="4593" fillId="4598" borderId="4545" xfId="0" applyFont="1" applyFill="1" applyBorder="1"/>
    <xf numFmtId="0" fontId="4594" fillId="4599" borderId="4546" xfId="0" applyFont="1" applyFill="1" applyBorder="1"/>
    <xf numFmtId="0" fontId="4595" fillId="4600" borderId="4547" xfId="0" applyFont="1" applyFill="1" applyBorder="1"/>
    <xf numFmtId="0" fontId="4596" fillId="4601" borderId="4548" xfId="0" applyFont="1" applyFill="1" applyBorder="1"/>
    <xf numFmtId="0" fontId="4597" fillId="4602" borderId="4549" xfId="0" applyFont="1" applyFill="1" applyBorder="1"/>
    <xf numFmtId="0" fontId="4598" fillId="4603" borderId="4550" xfId="0" applyFont="1" applyFill="1" applyBorder="1"/>
    <xf numFmtId="0" fontId="4599" fillId="4604" borderId="4551" xfId="0" applyFont="1" applyFill="1" applyBorder="1"/>
    <xf numFmtId="0" fontId="4600" fillId="4605" borderId="4552" xfId="0" applyFont="1" applyFill="1" applyBorder="1"/>
    <xf numFmtId="0" fontId="4601" fillId="4606" borderId="4553" xfId="0" applyFont="1" applyFill="1" applyBorder="1"/>
    <xf numFmtId="0" fontId="4602" fillId="4607" borderId="4554" xfId="0" applyFont="1" applyFill="1" applyBorder="1"/>
    <xf numFmtId="14" fontId="4603" fillId="4608" borderId="4555" xfId="0" applyNumberFormat="1" applyFont="1" applyFill="1" applyBorder="1"/>
    <xf numFmtId="0" fontId="4604" fillId="4609" borderId="4556" xfId="0" applyFont="1" applyFill="1" applyBorder="1"/>
    <xf numFmtId="0" fontId="4605" fillId="4610" borderId="4557" xfId="0" applyFont="1" applyFill="1" applyBorder="1"/>
    <xf numFmtId="0" fontId="4606" fillId="4611" borderId="4558" xfId="0" applyFont="1" applyFill="1" applyBorder="1"/>
    <xf numFmtId="0" fontId="4607" fillId="4612" borderId="4559" xfId="0" applyFont="1" applyFill="1" applyBorder="1"/>
    <xf numFmtId="0" fontId="4608" fillId="4613" borderId="4560" xfId="0" applyFont="1" applyFill="1" applyBorder="1"/>
    <xf numFmtId="0" fontId="4609" fillId="4614" borderId="4561" xfId="0" applyFont="1" applyFill="1" applyBorder="1"/>
    <xf numFmtId="0" fontId="4610" fillId="4615" borderId="4562" xfId="0" applyFont="1" applyFill="1" applyBorder="1"/>
    <xf numFmtId="0" fontId="4611" fillId="4616" borderId="4563" xfId="0" applyFont="1" applyFill="1" applyBorder="1"/>
    <xf numFmtId="0" fontId="4612" fillId="4617" borderId="4564" xfId="0" applyFont="1" applyFill="1" applyBorder="1"/>
    <xf numFmtId="0" fontId="4613" fillId="4618" borderId="4565" xfId="0" applyFont="1" applyFill="1" applyBorder="1"/>
    <xf numFmtId="14" fontId="4614" fillId="4619" borderId="4566" xfId="0" applyNumberFormat="1" applyFont="1" applyFill="1" applyBorder="1"/>
    <xf numFmtId="0" fontId="4615" fillId="4620" borderId="4567" xfId="0" applyFont="1" applyFill="1" applyBorder="1"/>
    <xf numFmtId="0" fontId="4616" fillId="4621" borderId="4568" xfId="0" applyFont="1" applyFill="1" applyBorder="1"/>
    <xf numFmtId="0" fontId="4617" fillId="4622" borderId="4569" xfId="0" applyFont="1" applyFill="1" applyBorder="1"/>
    <xf numFmtId="0" fontId="4618" fillId="4623" borderId="4570" xfId="0" applyFont="1" applyFill="1" applyBorder="1"/>
    <xf numFmtId="0" fontId="4619" fillId="4624" borderId="4571" xfId="0" applyFont="1" applyFill="1" applyBorder="1"/>
    <xf numFmtId="0" fontId="4620" fillId="4625" borderId="4572" xfId="0" applyFont="1" applyFill="1" applyBorder="1"/>
    <xf numFmtId="0" fontId="4621" fillId="4626" borderId="4573" xfId="0" applyFont="1" applyFill="1" applyBorder="1"/>
    <xf numFmtId="0" fontId="4622" fillId="4627" borderId="4574" xfId="0" applyFont="1" applyFill="1" applyBorder="1"/>
    <xf numFmtId="0" fontId="4623" fillId="4628" borderId="4575" xfId="0" applyFont="1" applyFill="1" applyBorder="1"/>
    <xf numFmtId="0" fontId="4624" fillId="4629" borderId="4576" xfId="0" applyFont="1" applyFill="1" applyBorder="1"/>
    <xf numFmtId="14" fontId="4625" fillId="4630" borderId="4577" xfId="0" applyNumberFormat="1" applyFont="1" applyFill="1" applyBorder="1"/>
    <xf numFmtId="0" fontId="4626" fillId="4631" borderId="4578" xfId="0" applyFont="1" applyFill="1" applyBorder="1"/>
    <xf numFmtId="0" fontId="4627" fillId="4632" borderId="4579" xfId="0" applyFont="1" applyFill="1" applyBorder="1"/>
    <xf numFmtId="0" fontId="4628" fillId="4633" borderId="4580" xfId="0" applyFont="1" applyFill="1" applyBorder="1"/>
    <xf numFmtId="0" fontId="4629" fillId="4634" borderId="4581" xfId="0" applyFont="1" applyFill="1" applyBorder="1"/>
    <xf numFmtId="0" fontId="4630" fillId="4635" borderId="4582" xfId="0" applyFont="1" applyFill="1" applyBorder="1"/>
    <xf numFmtId="0" fontId="4631" fillId="4636" borderId="4583" xfId="0" applyFont="1" applyFill="1" applyBorder="1"/>
    <xf numFmtId="0" fontId="4632" fillId="4637" borderId="4584" xfId="0" applyFont="1" applyFill="1" applyBorder="1"/>
    <xf numFmtId="0" fontId="4633" fillId="4638" borderId="4585" xfId="0" applyFont="1" applyFill="1" applyBorder="1"/>
    <xf numFmtId="0" fontId="4634" fillId="4639" borderId="4586" xfId="0" applyFont="1" applyFill="1" applyBorder="1"/>
    <xf numFmtId="0" fontId="4635" fillId="4640" borderId="4587" xfId="0" applyFont="1" applyFill="1" applyBorder="1"/>
    <xf numFmtId="14" fontId="4636" fillId="4641" borderId="4588" xfId="0" applyNumberFormat="1" applyFont="1" applyFill="1" applyBorder="1"/>
    <xf numFmtId="0" fontId="4637" fillId="4642" borderId="4589" xfId="0" applyFont="1" applyFill="1" applyBorder="1"/>
    <xf numFmtId="0" fontId="4638" fillId="4643" borderId="4590" xfId="0" applyFont="1" applyFill="1" applyBorder="1"/>
    <xf numFmtId="0" fontId="4639" fillId="4644" borderId="4591" xfId="0" applyFont="1" applyFill="1" applyBorder="1"/>
    <xf numFmtId="0" fontId="4640" fillId="4645" borderId="4592" xfId="0" applyFont="1" applyFill="1" applyBorder="1"/>
    <xf numFmtId="0" fontId="4641" fillId="4646" borderId="4593" xfId="0" applyFont="1" applyFill="1" applyBorder="1"/>
    <xf numFmtId="0" fontId="4642" fillId="4647" borderId="4594" xfId="0" applyFont="1" applyFill="1" applyBorder="1"/>
    <xf numFmtId="0" fontId="4643" fillId="4648" borderId="4595" xfId="0" applyFont="1" applyFill="1" applyBorder="1"/>
    <xf numFmtId="0" fontId="4644" fillId="4649" borderId="4596" xfId="0" applyFont="1" applyFill="1" applyBorder="1"/>
    <xf numFmtId="0" fontId="4645" fillId="4650" borderId="4597" xfId="0" applyFont="1" applyFill="1" applyBorder="1"/>
    <xf numFmtId="0" fontId="4646" fillId="4651" borderId="4598" xfId="0" applyFont="1" applyFill="1" applyBorder="1"/>
    <xf numFmtId="14" fontId="4647" fillId="4652" borderId="4599" xfId="0" applyNumberFormat="1" applyFont="1" applyFill="1" applyBorder="1"/>
    <xf numFmtId="0" fontId="4648" fillId="4653" borderId="4600" xfId="0" applyFont="1" applyFill="1" applyBorder="1"/>
    <xf numFmtId="0" fontId="4649" fillId="4654" borderId="4601" xfId="0" applyFont="1" applyFill="1" applyBorder="1"/>
    <xf numFmtId="0" fontId="4650" fillId="4655" borderId="4602" xfId="0" applyFont="1" applyFill="1" applyBorder="1"/>
    <xf numFmtId="0" fontId="4651" fillId="4656" borderId="4603" xfId="0" applyFont="1" applyFill="1" applyBorder="1"/>
    <xf numFmtId="0" fontId="4652" fillId="4657" borderId="4604" xfId="0" applyFont="1" applyFill="1" applyBorder="1"/>
    <xf numFmtId="0" fontId="4653" fillId="4658" borderId="4605" xfId="0" applyFont="1" applyFill="1" applyBorder="1"/>
    <xf numFmtId="0" fontId="4654" fillId="4659" borderId="4606" xfId="0" applyFont="1" applyFill="1" applyBorder="1"/>
    <xf numFmtId="0" fontId="4655" fillId="4660" borderId="4607" xfId="0" applyFont="1" applyFill="1" applyBorder="1"/>
    <xf numFmtId="0" fontId="4656" fillId="4661" borderId="4608" xfId="0" applyFont="1" applyFill="1" applyBorder="1"/>
    <xf numFmtId="0" fontId="4657" fillId="4662" borderId="4609" xfId="0" applyFont="1" applyFill="1" applyBorder="1"/>
    <xf numFmtId="14" fontId="4658" fillId="4663" borderId="4610" xfId="0" applyNumberFormat="1" applyFont="1" applyFill="1" applyBorder="1"/>
    <xf numFmtId="0" fontId="4659" fillId="4664" borderId="4611" xfId="0" applyFont="1" applyFill="1" applyBorder="1"/>
    <xf numFmtId="0" fontId="4660" fillId="4665" borderId="4612" xfId="0" applyFont="1" applyFill="1" applyBorder="1"/>
    <xf numFmtId="0" fontId="4661" fillId="4666" borderId="4613" xfId="0" applyFont="1" applyFill="1" applyBorder="1"/>
    <xf numFmtId="0" fontId="4662" fillId="4667" borderId="4614" xfId="0" applyFont="1" applyFill="1" applyBorder="1"/>
    <xf numFmtId="0" fontId="4663" fillId="4668" borderId="4615" xfId="0" applyFont="1" applyFill="1" applyBorder="1"/>
    <xf numFmtId="0" fontId="4664" fillId="4669" borderId="4616" xfId="0" applyFont="1" applyFill="1" applyBorder="1"/>
    <xf numFmtId="0" fontId="4665" fillId="4670" borderId="4617" xfId="0" applyFont="1" applyFill="1" applyBorder="1"/>
    <xf numFmtId="0" fontId="4666" fillId="4671" borderId="4618" xfId="0" applyFont="1" applyFill="1" applyBorder="1"/>
    <xf numFmtId="0" fontId="4667" fillId="4672" borderId="4619" xfId="0" applyFont="1" applyFill="1" applyBorder="1"/>
    <xf numFmtId="0" fontId="4668" fillId="4673" borderId="4620" xfId="0" applyFont="1" applyFill="1" applyBorder="1"/>
    <xf numFmtId="14" fontId="4669" fillId="4674" borderId="4621" xfId="0" applyNumberFormat="1" applyFont="1" applyFill="1" applyBorder="1"/>
    <xf numFmtId="0" fontId="4670" fillId="4675" borderId="4622" xfId="0" applyFont="1" applyFill="1" applyBorder="1"/>
    <xf numFmtId="0" fontId="4671" fillId="4676" borderId="4623" xfId="0" applyFont="1" applyFill="1" applyBorder="1"/>
    <xf numFmtId="0" fontId="4672" fillId="4677" borderId="4624" xfId="0" applyFont="1" applyFill="1" applyBorder="1"/>
    <xf numFmtId="0" fontId="4673" fillId="4678" borderId="4625" xfId="0" applyFont="1" applyFill="1" applyBorder="1"/>
    <xf numFmtId="0" fontId="4674" fillId="4679" borderId="4626" xfId="0" applyFont="1" applyFill="1" applyBorder="1"/>
    <xf numFmtId="0" fontId="4675" fillId="4680" borderId="4627" xfId="0" applyFont="1" applyFill="1" applyBorder="1"/>
    <xf numFmtId="0" fontId="4676" fillId="4681" borderId="4628" xfId="0" applyFont="1" applyFill="1" applyBorder="1"/>
    <xf numFmtId="0" fontId="4677" fillId="4682" borderId="4629" xfId="0" applyFont="1" applyFill="1" applyBorder="1"/>
    <xf numFmtId="0" fontId="4678" fillId="4683" borderId="4630" xfId="0" applyFont="1" applyFill="1" applyBorder="1"/>
    <xf numFmtId="0" fontId="4679" fillId="4684" borderId="4631" xfId="0" applyFont="1" applyFill="1" applyBorder="1"/>
    <xf numFmtId="14" fontId="4680" fillId="4685" borderId="4632" xfId="0" applyNumberFormat="1" applyFont="1" applyFill="1" applyBorder="1"/>
    <xf numFmtId="0" fontId="4681" fillId="4686" borderId="4633" xfId="0" applyFont="1" applyFill="1" applyBorder="1"/>
    <xf numFmtId="0" fontId="4682" fillId="4687" borderId="4634" xfId="0" applyFont="1" applyFill="1" applyBorder="1"/>
    <xf numFmtId="0" fontId="4683" fillId="4688" borderId="4635" xfId="0" applyFont="1" applyFill="1" applyBorder="1"/>
    <xf numFmtId="0" fontId="4684" fillId="4689" borderId="4636" xfId="0" applyFont="1" applyFill="1" applyBorder="1"/>
    <xf numFmtId="0" fontId="4685" fillId="4690" borderId="4637" xfId="0" applyFont="1" applyFill="1" applyBorder="1"/>
    <xf numFmtId="0" fontId="4686" fillId="4691" borderId="4638" xfId="0" applyFont="1" applyFill="1" applyBorder="1"/>
    <xf numFmtId="0" fontId="4687" fillId="4692" borderId="4639" xfId="0" applyFont="1" applyFill="1" applyBorder="1"/>
    <xf numFmtId="0" fontId="4688" fillId="4693" borderId="4640" xfId="0" applyFont="1" applyFill="1" applyBorder="1"/>
    <xf numFmtId="0" fontId="4689" fillId="4694" borderId="4641" xfId="0" applyFont="1" applyFill="1" applyBorder="1"/>
    <xf numFmtId="0" fontId="4690" fillId="4695" borderId="4642" xfId="0" applyFont="1" applyFill="1" applyBorder="1"/>
    <xf numFmtId="14" fontId="4691" fillId="4696" borderId="4643" xfId="0" applyNumberFormat="1" applyFont="1" applyFill="1" applyBorder="1"/>
    <xf numFmtId="0" fontId="4692" fillId="4697" borderId="4644" xfId="0" applyFont="1" applyFill="1" applyBorder="1"/>
    <xf numFmtId="0" fontId="4693" fillId="4698" borderId="4645" xfId="0" applyFont="1" applyFill="1" applyBorder="1"/>
    <xf numFmtId="0" fontId="4694" fillId="4699" borderId="4646" xfId="0" applyFont="1" applyFill="1" applyBorder="1"/>
    <xf numFmtId="0" fontId="4695" fillId="4700" borderId="4647" xfId="0" applyFont="1" applyFill="1" applyBorder="1"/>
    <xf numFmtId="0" fontId="4696" fillId="4701" borderId="4648" xfId="0" applyFont="1" applyFill="1" applyBorder="1"/>
    <xf numFmtId="0" fontId="4697" fillId="4702" borderId="4649" xfId="0" applyFont="1" applyFill="1" applyBorder="1"/>
    <xf numFmtId="0" fontId="4698" fillId="4703" borderId="4650" xfId="0" applyFont="1" applyFill="1" applyBorder="1"/>
    <xf numFmtId="0" fontId="4699" fillId="4704" borderId="4651" xfId="0" applyFont="1" applyFill="1" applyBorder="1"/>
    <xf numFmtId="0" fontId="4700" fillId="4705" borderId="4652" xfId="0" applyFont="1" applyFill="1" applyBorder="1"/>
    <xf numFmtId="0" fontId="4701" fillId="4706" borderId="4653" xfId="0" applyFont="1" applyFill="1" applyBorder="1"/>
    <xf numFmtId="14" fontId="4702" fillId="4707" borderId="4654" xfId="0" applyNumberFormat="1" applyFont="1" applyFill="1" applyBorder="1"/>
    <xf numFmtId="0" fontId="4703" fillId="4708" borderId="4655" xfId="0" applyFont="1" applyFill="1" applyBorder="1"/>
    <xf numFmtId="0" fontId="4704" fillId="4709" borderId="4656" xfId="0" applyFont="1" applyFill="1" applyBorder="1"/>
    <xf numFmtId="0" fontId="4705" fillId="4710" borderId="4657" xfId="0" applyFont="1" applyFill="1" applyBorder="1"/>
    <xf numFmtId="0" fontId="4706" fillId="4711" borderId="4658" xfId="0" applyFont="1" applyFill="1" applyBorder="1"/>
    <xf numFmtId="0" fontId="4707" fillId="4712" borderId="4659" xfId="0" applyFont="1" applyFill="1" applyBorder="1"/>
    <xf numFmtId="0" fontId="4708" fillId="4713" borderId="4660" xfId="0" applyFont="1" applyFill="1" applyBorder="1"/>
    <xf numFmtId="0" fontId="4709" fillId="4714" borderId="4661" xfId="0" applyFont="1" applyFill="1" applyBorder="1"/>
    <xf numFmtId="0" fontId="4710" fillId="4715" borderId="4662" xfId="0" applyFont="1" applyFill="1" applyBorder="1"/>
    <xf numFmtId="0" fontId="4711" fillId="4716" borderId="4663" xfId="0" applyFont="1" applyFill="1" applyBorder="1"/>
    <xf numFmtId="0" fontId="4712" fillId="4717" borderId="4664" xfId="0" applyFont="1" applyFill="1" applyBorder="1"/>
    <xf numFmtId="14" fontId="4713" fillId="4718" borderId="4665" xfId="0" applyNumberFormat="1" applyFont="1" applyFill="1" applyBorder="1"/>
    <xf numFmtId="0" fontId="4714" fillId="4719" borderId="4666" xfId="0" applyFont="1" applyFill="1" applyBorder="1"/>
    <xf numFmtId="0" fontId="4715" fillId="4720" borderId="4667" xfId="0" applyFont="1" applyFill="1" applyBorder="1"/>
    <xf numFmtId="0" fontId="4716" fillId="4721" borderId="4668" xfId="0" applyFont="1" applyFill="1" applyBorder="1"/>
    <xf numFmtId="0" fontId="4717" fillId="4722" borderId="4669" xfId="0" applyFont="1" applyFill="1" applyBorder="1"/>
    <xf numFmtId="0" fontId="4718" fillId="4723" borderId="4670" xfId="0" applyFont="1" applyFill="1" applyBorder="1"/>
    <xf numFmtId="0" fontId="4719" fillId="4724" borderId="4671" xfId="0" applyFont="1" applyFill="1" applyBorder="1"/>
    <xf numFmtId="0" fontId="4720" fillId="4725" borderId="4672" xfId="0" applyFont="1" applyFill="1" applyBorder="1"/>
    <xf numFmtId="0" fontId="4721" fillId="4726" borderId="4673" xfId="0" applyFont="1" applyFill="1" applyBorder="1"/>
    <xf numFmtId="0" fontId="4722" fillId="4727" borderId="4674" xfId="0" applyFont="1" applyFill="1" applyBorder="1"/>
    <xf numFmtId="0" fontId="4723" fillId="4728" borderId="4675" xfId="0" applyFont="1" applyFill="1" applyBorder="1"/>
    <xf numFmtId="14" fontId="4724" fillId="4729" borderId="4676" xfId="0" applyNumberFormat="1" applyFont="1" applyFill="1" applyBorder="1"/>
    <xf numFmtId="0" fontId="4725" fillId="4730" borderId="4677" xfId="0" applyFont="1" applyFill="1" applyBorder="1"/>
    <xf numFmtId="0" fontId="4726" fillId="4731" borderId="4678" xfId="0" applyFont="1" applyFill="1" applyBorder="1"/>
    <xf numFmtId="0" fontId="4727" fillId="4732" borderId="4679" xfId="0" applyFont="1" applyFill="1" applyBorder="1"/>
    <xf numFmtId="0" fontId="4728" fillId="4733" borderId="4680" xfId="0" applyFont="1" applyFill="1" applyBorder="1"/>
    <xf numFmtId="0" fontId="4729" fillId="4734" borderId="4681" xfId="0" applyFont="1" applyFill="1" applyBorder="1"/>
    <xf numFmtId="0" fontId="4730" fillId="4735" borderId="4682" xfId="0" applyFont="1" applyFill="1" applyBorder="1"/>
    <xf numFmtId="0" fontId="4731" fillId="4736" borderId="4683" xfId="0" applyFont="1" applyFill="1" applyBorder="1"/>
    <xf numFmtId="0" fontId="4732" fillId="4737" borderId="4684" xfId="0" applyFont="1" applyFill="1" applyBorder="1"/>
    <xf numFmtId="0" fontId="4733" fillId="4738" borderId="4685" xfId="0" applyFont="1" applyFill="1" applyBorder="1"/>
    <xf numFmtId="0" fontId="4734" fillId="4739" borderId="4686" xfId="0" applyFont="1" applyFill="1" applyBorder="1"/>
    <xf numFmtId="14" fontId="4735" fillId="4740" borderId="4687" xfId="0" applyNumberFormat="1" applyFont="1" applyFill="1" applyBorder="1"/>
    <xf numFmtId="0" fontId="4736" fillId="4741" borderId="4688" xfId="0" applyFont="1" applyFill="1" applyBorder="1"/>
    <xf numFmtId="0" fontId="4737" fillId="4742" borderId="4689" xfId="0" applyFont="1" applyFill="1" applyBorder="1"/>
    <xf numFmtId="0" fontId="4738" fillId="4743" borderId="4690" xfId="0" applyFont="1" applyFill="1" applyBorder="1"/>
    <xf numFmtId="0" fontId="4739" fillId="4744" borderId="4691" xfId="0" applyFont="1" applyFill="1" applyBorder="1"/>
    <xf numFmtId="0" fontId="4740" fillId="4745" borderId="4692" xfId="0" applyFont="1" applyFill="1" applyBorder="1"/>
    <xf numFmtId="0" fontId="4741" fillId="4746" borderId="4693" xfId="0" applyFont="1" applyFill="1" applyBorder="1"/>
    <xf numFmtId="0" fontId="4742" fillId="4747" borderId="4694" xfId="0" applyFont="1" applyFill="1" applyBorder="1"/>
    <xf numFmtId="0" fontId="4743" fillId="4748" borderId="4695" xfId="0" applyFont="1" applyFill="1" applyBorder="1"/>
    <xf numFmtId="0" fontId="4744" fillId="4749" borderId="4696" xfId="0" applyFont="1" applyFill="1" applyBorder="1"/>
    <xf numFmtId="0" fontId="4745" fillId="4750" borderId="4697" xfId="0" applyFont="1" applyFill="1" applyBorder="1"/>
    <xf numFmtId="14" fontId="4746" fillId="4751" borderId="4698" xfId="0" applyNumberFormat="1" applyFont="1" applyFill="1" applyBorder="1"/>
    <xf numFmtId="0" fontId="4747" fillId="4752" borderId="4699" xfId="0" applyFont="1" applyFill="1" applyBorder="1"/>
    <xf numFmtId="0" fontId="4748" fillId="4753" borderId="4700" xfId="0" applyFont="1" applyFill="1" applyBorder="1"/>
    <xf numFmtId="0" fontId="4749" fillId="4754" borderId="4701" xfId="0" applyFont="1" applyFill="1" applyBorder="1"/>
    <xf numFmtId="0" fontId="4750" fillId="4755" borderId="4702" xfId="0" applyFont="1" applyFill="1" applyBorder="1"/>
    <xf numFmtId="0" fontId="4751" fillId="4756" borderId="4703" xfId="0" applyFont="1" applyFill="1" applyBorder="1"/>
    <xf numFmtId="0" fontId="4752" fillId="4757" borderId="4704" xfId="0" applyFont="1" applyFill="1" applyBorder="1"/>
    <xf numFmtId="0" fontId="4753" fillId="4758" borderId="4705" xfId="0" applyFont="1" applyFill="1" applyBorder="1"/>
    <xf numFmtId="0" fontId="4754" fillId="4759" borderId="4706" xfId="0" applyFont="1" applyFill="1" applyBorder="1"/>
    <xf numFmtId="0" fontId="4755" fillId="4760" borderId="4707" xfId="0" applyFont="1" applyFill="1" applyBorder="1"/>
    <xf numFmtId="0" fontId="4756" fillId="4761" borderId="4708" xfId="0" applyFont="1" applyFill="1" applyBorder="1"/>
    <xf numFmtId="14" fontId="4757" fillId="4762" borderId="4709" xfId="0" applyNumberFormat="1" applyFont="1" applyFill="1" applyBorder="1"/>
    <xf numFmtId="0" fontId="4758" fillId="4763" borderId="4710" xfId="0" applyFont="1" applyFill="1" applyBorder="1"/>
    <xf numFmtId="0" fontId="4759" fillId="4764" borderId="4711" xfId="0" applyFont="1" applyFill="1" applyBorder="1"/>
    <xf numFmtId="0" fontId="4760" fillId="4765" borderId="4712" xfId="0" applyFont="1" applyFill="1" applyBorder="1"/>
    <xf numFmtId="0" fontId="4761" fillId="4766" borderId="4713" xfId="0" applyFont="1" applyFill="1" applyBorder="1"/>
    <xf numFmtId="0" fontId="4762" fillId="4767" borderId="4714" xfId="0" applyFont="1" applyFill="1" applyBorder="1"/>
    <xf numFmtId="0" fontId="4763" fillId="4768" borderId="4715" xfId="0" applyFont="1" applyFill="1" applyBorder="1"/>
    <xf numFmtId="0" fontId="4764" fillId="4769" borderId="4716" xfId="0" applyFont="1" applyFill="1" applyBorder="1"/>
    <xf numFmtId="0" fontId="4765" fillId="4770" borderId="4717" xfId="0" applyFont="1" applyFill="1" applyBorder="1"/>
    <xf numFmtId="0" fontId="4766" fillId="4771" borderId="4718" xfId="0" applyFont="1" applyFill="1" applyBorder="1"/>
    <xf numFmtId="0" fontId="4767" fillId="4772" borderId="4719" xfId="0" applyFont="1" applyFill="1" applyBorder="1"/>
    <xf numFmtId="14" fontId="4768" fillId="4773" borderId="4720" xfId="0" applyNumberFormat="1" applyFont="1" applyFill="1" applyBorder="1"/>
    <xf numFmtId="0" fontId="4769" fillId="4774" borderId="4721" xfId="0" applyFont="1" applyFill="1" applyBorder="1"/>
    <xf numFmtId="0" fontId="4770" fillId="4775" borderId="4722" xfId="0" applyFont="1" applyFill="1" applyBorder="1"/>
    <xf numFmtId="0" fontId="4771" fillId="4776" borderId="4723" xfId="0" applyFont="1" applyFill="1" applyBorder="1"/>
    <xf numFmtId="0" fontId="4772" fillId="4777" borderId="4724" xfId="0" applyFont="1" applyFill="1" applyBorder="1"/>
    <xf numFmtId="0" fontId="4773" fillId="4778" borderId="4725" xfId="0" applyFont="1" applyFill="1" applyBorder="1"/>
    <xf numFmtId="0" fontId="4774" fillId="4779" borderId="4726" xfId="0" applyFont="1" applyFill="1" applyBorder="1"/>
    <xf numFmtId="0" fontId="4775" fillId="4780" borderId="4727" xfId="0" applyFont="1" applyFill="1" applyBorder="1"/>
    <xf numFmtId="0" fontId="4776" fillId="4781" borderId="4728" xfId="0" applyFont="1" applyFill="1" applyBorder="1"/>
    <xf numFmtId="0" fontId="4777" fillId="4782" borderId="4729" xfId="0" applyFont="1" applyFill="1" applyBorder="1"/>
    <xf numFmtId="0" fontId="4778" fillId="4783" borderId="4730" xfId="0" applyFont="1" applyFill="1" applyBorder="1"/>
    <xf numFmtId="14" fontId="4779" fillId="4784" borderId="4731" xfId="0" applyNumberFormat="1" applyFont="1" applyFill="1" applyBorder="1"/>
    <xf numFmtId="0" fontId="4780" fillId="4785" borderId="4732" xfId="0" applyFont="1" applyFill="1" applyBorder="1"/>
    <xf numFmtId="0" fontId="4781" fillId="4786" borderId="4733" xfId="0" applyFont="1" applyFill="1" applyBorder="1"/>
    <xf numFmtId="0" fontId="4782" fillId="4787" borderId="4734" xfId="0" applyFont="1" applyFill="1" applyBorder="1"/>
    <xf numFmtId="0" fontId="4783" fillId="4788" borderId="4735" xfId="0" applyFont="1" applyFill="1" applyBorder="1"/>
    <xf numFmtId="0" fontId="4784" fillId="4789" borderId="4736" xfId="0" applyFont="1" applyFill="1" applyBorder="1"/>
    <xf numFmtId="0" fontId="4785" fillId="4790" borderId="4737" xfId="0" applyFont="1" applyFill="1" applyBorder="1"/>
    <xf numFmtId="0" fontId="4786" fillId="4791" borderId="4738" xfId="0" applyFont="1" applyFill="1" applyBorder="1"/>
    <xf numFmtId="0" fontId="4787" fillId="4792" borderId="4739" xfId="0" applyFont="1" applyFill="1" applyBorder="1"/>
    <xf numFmtId="0" fontId="4788" fillId="4793" borderId="4740" xfId="0" applyFont="1" applyFill="1" applyBorder="1"/>
    <xf numFmtId="0" fontId="4789" fillId="4794" borderId="4741" xfId="0" applyFont="1" applyFill="1" applyBorder="1"/>
    <xf numFmtId="14" fontId="4790" fillId="4795" borderId="4742" xfId="0" applyNumberFormat="1" applyFont="1" applyFill="1" applyBorder="1"/>
    <xf numFmtId="0" fontId="4791" fillId="4796" borderId="4743" xfId="0" applyFont="1" applyFill="1" applyBorder="1"/>
    <xf numFmtId="0" fontId="4792" fillId="4797" borderId="4744" xfId="0" applyFont="1" applyFill="1" applyBorder="1"/>
    <xf numFmtId="0" fontId="4793" fillId="4798" borderId="4745" xfId="0" applyFont="1" applyFill="1" applyBorder="1"/>
    <xf numFmtId="0" fontId="4794" fillId="4799" borderId="4746" xfId="0" applyFont="1" applyFill="1" applyBorder="1"/>
    <xf numFmtId="0" fontId="4795" fillId="4800" borderId="4747" xfId="0" applyFont="1" applyFill="1" applyBorder="1"/>
    <xf numFmtId="0" fontId="4796" fillId="4801" borderId="4748" xfId="0" applyFont="1" applyFill="1" applyBorder="1"/>
    <xf numFmtId="0" fontId="4797" fillId="4802" borderId="4749" xfId="0" applyFont="1" applyFill="1" applyBorder="1"/>
    <xf numFmtId="0" fontId="4798" fillId="4803" borderId="4750" xfId="0" applyFont="1" applyFill="1" applyBorder="1"/>
    <xf numFmtId="0" fontId="4799" fillId="4804" borderId="4751" xfId="0" applyFont="1" applyFill="1" applyBorder="1"/>
    <xf numFmtId="0" fontId="4800" fillId="4805" borderId="4752" xfId="0" applyFont="1" applyFill="1" applyBorder="1"/>
    <xf numFmtId="14" fontId="4801" fillId="4806" borderId="4753" xfId="0" applyNumberFormat="1" applyFont="1" applyFill="1" applyBorder="1"/>
    <xf numFmtId="0" fontId="4802" fillId="4807" borderId="4754" xfId="0" applyFont="1" applyFill="1" applyBorder="1"/>
    <xf numFmtId="0" fontId="4803" fillId="4808" borderId="4755" xfId="0" applyFont="1" applyFill="1" applyBorder="1"/>
    <xf numFmtId="0" fontId="4804" fillId="4809" borderId="4756" xfId="0" applyFont="1" applyFill="1" applyBorder="1"/>
    <xf numFmtId="0" fontId="4805" fillId="4810" borderId="4757" xfId="0" applyFont="1" applyFill="1" applyBorder="1"/>
    <xf numFmtId="0" fontId="4806" fillId="4811" borderId="4758" xfId="0" applyFont="1" applyFill="1" applyBorder="1"/>
    <xf numFmtId="0" fontId="4807" fillId="4812" borderId="4759" xfId="0" applyFont="1" applyFill="1" applyBorder="1"/>
    <xf numFmtId="0" fontId="4808" fillId="4813" borderId="4760" xfId="0" applyFont="1" applyFill="1" applyBorder="1"/>
    <xf numFmtId="0" fontId="4809" fillId="4814" borderId="4761" xfId="0" applyFont="1" applyFill="1" applyBorder="1"/>
    <xf numFmtId="0" fontId="4810" fillId="4815" borderId="4762" xfId="0" applyFont="1" applyFill="1" applyBorder="1"/>
    <xf numFmtId="0" fontId="4811" fillId="4816" borderId="4763" xfId="0" applyFont="1" applyFill="1" applyBorder="1"/>
    <xf numFmtId="14" fontId="4812" fillId="4817" borderId="4764" xfId="0" applyNumberFormat="1" applyFont="1" applyFill="1" applyBorder="1"/>
    <xf numFmtId="0" fontId="4813" fillId="4818" borderId="4765" xfId="0" applyFont="1" applyFill="1" applyBorder="1"/>
    <xf numFmtId="0" fontId="4814" fillId="4819" borderId="4766" xfId="0" applyFont="1" applyFill="1" applyBorder="1"/>
    <xf numFmtId="0" fontId="4815" fillId="4820" borderId="4767" xfId="0" applyFont="1" applyFill="1" applyBorder="1"/>
    <xf numFmtId="0" fontId="4816" fillId="4821" borderId="4768" xfId="0" applyFont="1" applyFill="1" applyBorder="1"/>
    <xf numFmtId="0" fontId="4817" fillId="4822" borderId="4769" xfId="0" applyFont="1" applyFill="1" applyBorder="1"/>
    <xf numFmtId="0" fontId="4818" fillId="4823" borderId="4770" xfId="0" applyFont="1" applyFill="1" applyBorder="1"/>
    <xf numFmtId="0" fontId="4819" fillId="4824" borderId="4771" xfId="0" applyFont="1" applyFill="1" applyBorder="1"/>
    <xf numFmtId="0" fontId="4820" fillId="4825" borderId="4772" xfId="0" applyFont="1" applyFill="1" applyBorder="1"/>
    <xf numFmtId="0" fontId="4821" fillId="4826" borderId="4773" xfId="0" applyFont="1" applyFill="1" applyBorder="1"/>
    <xf numFmtId="0" fontId="4822" fillId="4827" borderId="4774" xfId="0" applyFont="1" applyFill="1" applyBorder="1"/>
    <xf numFmtId="14" fontId="4823" fillId="4828" borderId="4775" xfId="0" applyNumberFormat="1" applyFont="1" applyFill="1" applyBorder="1"/>
    <xf numFmtId="0" fontId="4824" fillId="4829" borderId="4776" xfId="0" applyFont="1" applyFill="1" applyBorder="1"/>
    <xf numFmtId="0" fontId="4825" fillId="4830" borderId="4777" xfId="0" applyFont="1" applyFill="1" applyBorder="1"/>
    <xf numFmtId="0" fontId="4826" fillId="4831" borderId="4778" xfId="0" applyFont="1" applyFill="1" applyBorder="1"/>
    <xf numFmtId="0" fontId="4827" fillId="4832" borderId="4779" xfId="0" applyFont="1" applyFill="1" applyBorder="1"/>
    <xf numFmtId="0" fontId="4828" fillId="4833" borderId="4780" xfId="0" applyFont="1" applyFill="1" applyBorder="1"/>
    <xf numFmtId="0" fontId="4829" fillId="4834" borderId="4781" xfId="0" applyFont="1" applyFill="1" applyBorder="1"/>
    <xf numFmtId="0" fontId="4830" fillId="4835" borderId="4782" xfId="0" applyFont="1" applyFill="1" applyBorder="1"/>
    <xf numFmtId="0" fontId="4831" fillId="4836" borderId="4783" xfId="0" applyFont="1" applyFill="1" applyBorder="1"/>
    <xf numFmtId="0" fontId="4832" fillId="4837" borderId="4784" xfId="0" applyFont="1" applyFill="1" applyBorder="1"/>
    <xf numFmtId="0" fontId="4833" fillId="4838" borderId="4785" xfId="0" applyFont="1" applyFill="1" applyBorder="1"/>
    <xf numFmtId="14" fontId="4834" fillId="4839" borderId="4786" xfId="0" applyNumberFormat="1" applyFont="1" applyFill="1" applyBorder="1"/>
    <xf numFmtId="0" fontId="4835" fillId="4840" borderId="4787" xfId="0" applyFont="1" applyFill="1" applyBorder="1"/>
    <xf numFmtId="0" fontId="4836" fillId="4841" borderId="4788" xfId="0" applyFont="1" applyFill="1" applyBorder="1"/>
    <xf numFmtId="0" fontId="4837" fillId="4842" borderId="4789" xfId="0" applyFont="1" applyFill="1" applyBorder="1"/>
    <xf numFmtId="0" fontId="4838" fillId="4843" borderId="4790" xfId="0" applyFont="1" applyFill="1" applyBorder="1"/>
    <xf numFmtId="0" fontId="4839" fillId="4844" borderId="4791" xfId="0" applyFont="1" applyFill="1" applyBorder="1"/>
    <xf numFmtId="0" fontId="4840" fillId="4845" borderId="4792" xfId="0" applyFont="1" applyFill="1" applyBorder="1"/>
    <xf numFmtId="0" fontId="4841" fillId="4846" borderId="4793" xfId="0" applyFont="1" applyFill="1" applyBorder="1"/>
    <xf numFmtId="0" fontId="4842" fillId="4847" borderId="4794" xfId="0" applyFont="1" applyFill="1" applyBorder="1"/>
    <xf numFmtId="0" fontId="4843" fillId="4848" borderId="4795" xfId="0" applyFont="1" applyFill="1" applyBorder="1"/>
    <xf numFmtId="0" fontId="4844" fillId="4849" borderId="4796" xfId="0" applyFont="1" applyFill="1" applyBorder="1"/>
    <xf numFmtId="14" fontId="4845" fillId="4850" borderId="4797" xfId="0" applyNumberFormat="1" applyFont="1" applyFill="1" applyBorder="1"/>
    <xf numFmtId="0" fontId="4846" fillId="4851" borderId="4798" xfId="0" applyFont="1" applyFill="1" applyBorder="1"/>
    <xf numFmtId="0" fontId="4847" fillId="4852" borderId="4799" xfId="0" applyFont="1" applyFill="1" applyBorder="1"/>
    <xf numFmtId="0" fontId="4848" fillId="4853" borderId="4800" xfId="0" applyFont="1" applyFill="1" applyBorder="1"/>
    <xf numFmtId="0" fontId="4849" fillId="4854" borderId="4801" xfId="0" applyFont="1" applyFill="1" applyBorder="1"/>
    <xf numFmtId="0" fontId="4850" fillId="4855" borderId="4802" xfId="0" applyFont="1" applyFill="1" applyBorder="1"/>
    <xf numFmtId="0" fontId="4851" fillId="4856" borderId="4803" xfId="0" applyFont="1" applyFill="1" applyBorder="1"/>
    <xf numFmtId="0" fontId="4852" fillId="4857" borderId="4804" xfId="0" applyFont="1" applyFill="1" applyBorder="1"/>
    <xf numFmtId="0" fontId="4853" fillId="4858" borderId="4805" xfId="0" applyFont="1" applyFill="1" applyBorder="1"/>
    <xf numFmtId="0" fontId="4854" fillId="4859" borderId="4806" xfId="0" applyFont="1" applyFill="1" applyBorder="1"/>
    <xf numFmtId="0" fontId="4855" fillId="4860" borderId="4807" xfId="0" applyFont="1" applyFill="1" applyBorder="1"/>
    <xf numFmtId="14" fontId="4856" fillId="4861" borderId="4808" xfId="0" applyNumberFormat="1" applyFont="1" applyFill="1" applyBorder="1"/>
    <xf numFmtId="0" fontId="4857" fillId="4862" borderId="4809" xfId="0" applyFont="1" applyFill="1" applyBorder="1"/>
    <xf numFmtId="0" fontId="4858" fillId="4863" borderId="4810" xfId="0" applyFont="1" applyFill="1" applyBorder="1"/>
    <xf numFmtId="0" fontId="4859" fillId="4864" borderId="4811" xfId="0" applyFont="1" applyFill="1" applyBorder="1"/>
    <xf numFmtId="0" fontId="4860" fillId="4865" borderId="4812" xfId="0" applyFont="1" applyFill="1" applyBorder="1"/>
    <xf numFmtId="0" fontId="4861" fillId="4866" borderId="4813" xfId="0" applyFont="1" applyFill="1" applyBorder="1"/>
    <xf numFmtId="0" fontId="4862" fillId="4867" borderId="4814" xfId="0" applyFont="1" applyFill="1" applyBorder="1"/>
    <xf numFmtId="0" fontId="4863" fillId="4868" borderId="4815" xfId="0" applyFont="1" applyFill="1" applyBorder="1"/>
    <xf numFmtId="0" fontId="4864" fillId="4869" borderId="4816" xfId="0" applyFont="1" applyFill="1" applyBorder="1"/>
    <xf numFmtId="0" fontId="4865" fillId="4870" borderId="4817" xfId="0" applyFont="1" applyFill="1" applyBorder="1"/>
    <xf numFmtId="0" fontId="4866" fillId="4871" borderId="4818" xfId="0" applyFont="1" applyFill="1" applyBorder="1"/>
    <xf numFmtId="14" fontId="4867" fillId="4872" borderId="4819" xfId="0" applyNumberFormat="1" applyFont="1" applyFill="1" applyBorder="1"/>
    <xf numFmtId="0" fontId="4868" fillId="4873" borderId="4820" xfId="0" applyFont="1" applyFill="1" applyBorder="1"/>
    <xf numFmtId="0" fontId="4869" fillId="4874" borderId="4821" xfId="0" applyFont="1" applyFill="1" applyBorder="1"/>
    <xf numFmtId="0" fontId="4870" fillId="4875" borderId="4822" xfId="0" applyFont="1" applyFill="1" applyBorder="1"/>
    <xf numFmtId="0" fontId="4871" fillId="4876" borderId="4823" xfId="0" applyFont="1" applyFill="1" applyBorder="1"/>
    <xf numFmtId="0" fontId="4872" fillId="4877" borderId="4824" xfId="0" applyFont="1" applyFill="1" applyBorder="1"/>
    <xf numFmtId="0" fontId="4873" fillId="4878" borderId="4825" xfId="0" applyFont="1" applyFill="1" applyBorder="1"/>
    <xf numFmtId="0" fontId="4874" fillId="4879" borderId="4826" xfId="0" applyFont="1" applyFill="1" applyBorder="1"/>
    <xf numFmtId="0" fontId="4875" fillId="4880" borderId="4827" xfId="0" applyFont="1" applyFill="1" applyBorder="1"/>
    <xf numFmtId="0" fontId="4876" fillId="4881" borderId="4828" xfId="0" applyFont="1" applyFill="1" applyBorder="1"/>
    <xf numFmtId="0" fontId="4877" fillId="4882" borderId="4829" xfId="0" applyFont="1" applyFill="1" applyBorder="1"/>
    <xf numFmtId="14" fontId="4878" fillId="4883" borderId="4830" xfId="0" applyNumberFormat="1" applyFont="1" applyFill="1" applyBorder="1"/>
    <xf numFmtId="0" fontId="4879" fillId="4884" borderId="4831" xfId="0" applyFont="1" applyFill="1" applyBorder="1"/>
    <xf numFmtId="0" fontId="4880" fillId="4885" borderId="4832" xfId="0" applyFont="1" applyFill="1" applyBorder="1"/>
    <xf numFmtId="0" fontId="4881" fillId="4886" borderId="4833" xfId="0" applyFont="1" applyFill="1" applyBorder="1"/>
    <xf numFmtId="0" fontId="4882" fillId="4887" borderId="4834" xfId="0" applyFont="1" applyFill="1" applyBorder="1"/>
    <xf numFmtId="0" fontId="4883" fillId="4888" borderId="4835" xfId="0" applyFont="1" applyFill="1" applyBorder="1"/>
    <xf numFmtId="0" fontId="4884" fillId="4889" borderId="4836" xfId="0" applyFont="1" applyFill="1" applyBorder="1"/>
    <xf numFmtId="0" fontId="4885" fillId="4890" borderId="4837" xfId="0" applyFont="1" applyFill="1" applyBorder="1"/>
    <xf numFmtId="0" fontId="4886" fillId="4891" borderId="4838" xfId="0" applyFont="1" applyFill="1" applyBorder="1"/>
    <xf numFmtId="0" fontId="4887" fillId="4892" borderId="4839" xfId="0" applyFont="1" applyFill="1" applyBorder="1"/>
    <xf numFmtId="0" fontId="4888" fillId="4893" borderId="4840" xfId="0" applyFont="1" applyFill="1" applyBorder="1"/>
    <xf numFmtId="14" fontId="4889" fillId="4894" borderId="4841" xfId="0" applyNumberFormat="1" applyFont="1" applyFill="1" applyBorder="1"/>
    <xf numFmtId="0" fontId="4890" fillId="4895" borderId="4842" xfId="0" applyFont="1" applyFill="1" applyBorder="1"/>
    <xf numFmtId="0" fontId="4891" fillId="4896" borderId="4843" xfId="0" applyFont="1" applyFill="1" applyBorder="1"/>
    <xf numFmtId="0" fontId="4892" fillId="4897" borderId="4844" xfId="0" applyFont="1" applyFill="1" applyBorder="1"/>
    <xf numFmtId="0" fontId="4893" fillId="4898" borderId="4845" xfId="0" applyFont="1" applyFill="1" applyBorder="1"/>
    <xf numFmtId="0" fontId="4894" fillId="4899" borderId="4846" xfId="0" applyFont="1" applyFill="1" applyBorder="1"/>
    <xf numFmtId="0" fontId="4895" fillId="4900" borderId="4847" xfId="0" applyFont="1" applyFill="1" applyBorder="1"/>
    <xf numFmtId="0" fontId="4896" fillId="4901" borderId="4848" xfId="0" applyFont="1" applyFill="1" applyBorder="1"/>
    <xf numFmtId="0" fontId="4897" fillId="4902" borderId="4849" xfId="0" applyFont="1" applyFill="1" applyBorder="1"/>
    <xf numFmtId="0" fontId="4898" fillId="4903" borderId="4850" xfId="0" applyFont="1" applyFill="1" applyBorder="1"/>
    <xf numFmtId="0" fontId="4899" fillId="4904" borderId="4851" xfId="0" applyFont="1" applyFill="1" applyBorder="1"/>
    <xf numFmtId="14" fontId="4900" fillId="4905" borderId="4852" xfId="0" applyNumberFormat="1" applyFont="1" applyFill="1" applyBorder="1"/>
    <xf numFmtId="0" fontId="4901" fillId="4906" borderId="4853" xfId="0" applyFont="1" applyFill="1" applyBorder="1"/>
    <xf numFmtId="0" fontId="4902" fillId="4907" borderId="4854" xfId="0" applyFont="1" applyFill="1" applyBorder="1"/>
    <xf numFmtId="0" fontId="4903" fillId="4908" borderId="4855" xfId="0" applyFont="1" applyFill="1" applyBorder="1"/>
    <xf numFmtId="0" fontId="4904" fillId="4909" borderId="4856" xfId="0" applyFont="1" applyFill="1" applyBorder="1"/>
    <xf numFmtId="0" fontId="4905" fillId="4910" borderId="4857" xfId="0" applyFont="1" applyFill="1" applyBorder="1"/>
    <xf numFmtId="0" fontId="4906" fillId="4911" borderId="4858" xfId="0" applyFont="1" applyFill="1" applyBorder="1"/>
    <xf numFmtId="0" fontId="4907" fillId="4912" borderId="4859" xfId="0" applyFont="1" applyFill="1" applyBorder="1"/>
    <xf numFmtId="0" fontId="4908" fillId="4913" borderId="4860" xfId="0" applyFont="1" applyFill="1" applyBorder="1"/>
    <xf numFmtId="0" fontId="4909" fillId="4914" borderId="4861" xfId="0" applyFont="1" applyFill="1" applyBorder="1"/>
    <xf numFmtId="0" fontId="4910" fillId="4915" borderId="4862" xfId="0" applyFont="1" applyFill="1" applyBorder="1"/>
    <xf numFmtId="14" fontId="4911" fillId="4916" borderId="4863" xfId="0" applyNumberFormat="1" applyFont="1" applyFill="1" applyBorder="1"/>
    <xf numFmtId="0" fontId="4912" fillId="4917" borderId="4864" xfId="0" applyFont="1" applyFill="1" applyBorder="1"/>
    <xf numFmtId="0" fontId="4913" fillId="4918" borderId="4865" xfId="0" applyFont="1" applyFill="1" applyBorder="1"/>
    <xf numFmtId="0" fontId="4914" fillId="4919" borderId="4866" xfId="0" applyFont="1" applyFill="1" applyBorder="1"/>
    <xf numFmtId="0" fontId="4915" fillId="4920" borderId="4867" xfId="0" applyFont="1" applyFill="1" applyBorder="1"/>
    <xf numFmtId="0" fontId="4916" fillId="4921" borderId="4868" xfId="0" applyFont="1" applyFill="1" applyBorder="1"/>
    <xf numFmtId="0" fontId="4917" fillId="4922" borderId="4869" xfId="0" applyFont="1" applyFill="1" applyBorder="1"/>
    <xf numFmtId="0" fontId="4918" fillId="4923" borderId="4870" xfId="0" applyFont="1" applyFill="1" applyBorder="1"/>
    <xf numFmtId="0" fontId="4919" fillId="4924" borderId="4871" xfId="0" applyFont="1" applyFill="1" applyBorder="1"/>
    <xf numFmtId="0" fontId="4920" fillId="4925" borderId="4872" xfId="0" applyFont="1" applyFill="1" applyBorder="1"/>
    <xf numFmtId="0" fontId="4921" fillId="4926" borderId="4873" xfId="0" applyFont="1" applyFill="1" applyBorder="1"/>
    <xf numFmtId="14" fontId="4922" fillId="4927" borderId="4874" xfId="0" applyNumberFormat="1" applyFont="1" applyFill="1" applyBorder="1"/>
    <xf numFmtId="0" fontId="4923" fillId="4928" borderId="4875" xfId="0" applyFont="1" applyFill="1" applyBorder="1"/>
    <xf numFmtId="0" fontId="4924" fillId="4929" borderId="4876" xfId="0" applyFont="1" applyFill="1" applyBorder="1"/>
    <xf numFmtId="0" fontId="4925" fillId="4930" borderId="4877" xfId="0" applyFont="1" applyFill="1" applyBorder="1"/>
    <xf numFmtId="0" fontId="4926" fillId="4931" borderId="4878" xfId="0" applyFont="1" applyFill="1" applyBorder="1"/>
    <xf numFmtId="0" fontId="4927" fillId="4932" borderId="4879" xfId="0" applyFont="1" applyFill="1" applyBorder="1"/>
    <xf numFmtId="0" fontId="4928" fillId="4933" borderId="4880" xfId="0" applyFont="1" applyFill="1" applyBorder="1"/>
    <xf numFmtId="0" fontId="4929" fillId="4934" borderId="4881" xfId="0" applyFont="1" applyFill="1" applyBorder="1"/>
    <xf numFmtId="0" fontId="4930" fillId="4935" borderId="4882" xfId="0" applyFont="1" applyFill="1" applyBorder="1"/>
    <xf numFmtId="0" fontId="4931" fillId="4936" borderId="4883" xfId="0" applyFont="1" applyFill="1" applyBorder="1"/>
    <xf numFmtId="0" fontId="4932" fillId="4937" borderId="4884" xfId="0" applyFont="1" applyFill="1" applyBorder="1"/>
    <xf numFmtId="14" fontId="4933" fillId="4938" borderId="4885" xfId="0" applyNumberFormat="1" applyFont="1" applyFill="1" applyBorder="1"/>
    <xf numFmtId="0" fontId="4934" fillId="4939" borderId="4886" xfId="0" applyFont="1" applyFill="1" applyBorder="1"/>
    <xf numFmtId="0" fontId="4935" fillId="4940" borderId="4887" xfId="0" applyFont="1" applyFill="1" applyBorder="1"/>
    <xf numFmtId="0" fontId="4936" fillId="4941" borderId="4888" xfId="0" applyFont="1" applyFill="1" applyBorder="1"/>
    <xf numFmtId="0" fontId="4937" fillId="4942" borderId="4889" xfId="0" applyFont="1" applyFill="1" applyBorder="1"/>
    <xf numFmtId="0" fontId="4938" fillId="4943" borderId="4890" xfId="0" applyFont="1" applyFill="1" applyBorder="1"/>
    <xf numFmtId="0" fontId="4939" fillId="4944" borderId="4891" xfId="0" applyFont="1" applyFill="1" applyBorder="1"/>
    <xf numFmtId="0" fontId="4940" fillId="4945" borderId="4892" xfId="0" applyFont="1" applyFill="1" applyBorder="1"/>
    <xf numFmtId="0" fontId="4941" fillId="4946" borderId="4893" xfId="0" applyFont="1" applyFill="1" applyBorder="1"/>
    <xf numFmtId="0" fontId="4942" fillId="4947" borderId="4894" xfId="0" applyFont="1" applyFill="1" applyBorder="1"/>
    <xf numFmtId="0" fontId="4943" fillId="4948" borderId="4895" xfId="0" applyFont="1" applyFill="1" applyBorder="1"/>
    <xf numFmtId="14" fontId="4944" fillId="4949" borderId="4896" xfId="0" applyNumberFormat="1" applyFont="1" applyFill="1" applyBorder="1"/>
    <xf numFmtId="0" fontId="4945" fillId="4950" borderId="4897" xfId="0" applyFont="1" applyFill="1" applyBorder="1"/>
    <xf numFmtId="0" fontId="4946" fillId="4951" borderId="4898" xfId="0" applyFont="1" applyFill="1" applyBorder="1"/>
    <xf numFmtId="0" fontId="4947" fillId="4952" borderId="4899" xfId="0" applyFont="1" applyFill="1" applyBorder="1"/>
    <xf numFmtId="0" fontId="4948" fillId="4953" borderId="4900" xfId="0" applyFont="1" applyFill="1" applyBorder="1"/>
    <xf numFmtId="0" fontId="4949" fillId="4954" borderId="4901" xfId="0" applyFont="1" applyFill="1" applyBorder="1"/>
    <xf numFmtId="0" fontId="4950" fillId="4955" borderId="4902" xfId="0" applyFont="1" applyFill="1" applyBorder="1"/>
    <xf numFmtId="0" fontId="4951" fillId="4956" borderId="4903" xfId="0" applyFont="1" applyFill="1" applyBorder="1"/>
    <xf numFmtId="0" fontId="4952" fillId="4957" borderId="4904" xfId="0" applyFont="1" applyFill="1" applyBorder="1"/>
    <xf numFmtId="0" fontId="4953" fillId="4958" borderId="4905" xfId="0" applyFont="1" applyFill="1" applyBorder="1"/>
    <xf numFmtId="0" fontId="4954" fillId="4959" borderId="4906" xfId="0" applyFont="1" applyFill="1" applyBorder="1"/>
    <xf numFmtId="14" fontId="4955" fillId="4960" borderId="4907" xfId="0" applyNumberFormat="1" applyFont="1" applyFill="1" applyBorder="1"/>
    <xf numFmtId="0" fontId="4956" fillId="4961" borderId="4908" xfId="0" applyFont="1" applyFill="1" applyBorder="1"/>
    <xf numFmtId="0" fontId="4957" fillId="4962" borderId="4909" xfId="0" applyFont="1" applyFill="1" applyBorder="1"/>
    <xf numFmtId="0" fontId="4958" fillId="4963" borderId="4910" xfId="0" applyFont="1" applyFill="1" applyBorder="1"/>
    <xf numFmtId="0" fontId="4959" fillId="4964" borderId="4911" xfId="0" applyFont="1" applyFill="1" applyBorder="1"/>
    <xf numFmtId="0" fontId="4960" fillId="4965" borderId="4912" xfId="0" applyFont="1" applyFill="1" applyBorder="1"/>
    <xf numFmtId="0" fontId="4961" fillId="4966" borderId="4913" xfId="0" applyFont="1" applyFill="1" applyBorder="1"/>
    <xf numFmtId="0" fontId="4962" fillId="4967" borderId="4914" xfId="0" applyFont="1" applyFill="1" applyBorder="1"/>
    <xf numFmtId="0" fontId="4963" fillId="4968" borderId="4915" xfId="0" applyFont="1" applyFill="1" applyBorder="1"/>
    <xf numFmtId="0" fontId="4964" fillId="4969" borderId="4916" xfId="0" applyFont="1" applyFill="1" applyBorder="1"/>
    <xf numFmtId="0" fontId="4965" fillId="4970" borderId="4917" xfId="0" applyFont="1" applyFill="1" applyBorder="1"/>
    <xf numFmtId="14" fontId="4966" fillId="4971" borderId="4918" xfId="0" applyNumberFormat="1" applyFont="1" applyFill="1" applyBorder="1"/>
    <xf numFmtId="0" fontId="4967" fillId="4972" borderId="4919" xfId="0" applyFont="1" applyFill="1" applyBorder="1"/>
    <xf numFmtId="0" fontId="4968" fillId="4973" borderId="4920" xfId="0" applyFont="1" applyFill="1" applyBorder="1"/>
    <xf numFmtId="0" fontId="4969" fillId="4974" borderId="4921" xfId="0" applyFont="1" applyFill="1" applyBorder="1"/>
    <xf numFmtId="0" fontId="4970" fillId="4975" borderId="4922" xfId="0" applyFont="1" applyFill="1" applyBorder="1"/>
    <xf numFmtId="0" fontId="4971" fillId="4976" borderId="4923" xfId="0" applyFont="1" applyFill="1" applyBorder="1"/>
    <xf numFmtId="0" fontId="4972" fillId="4977" borderId="4924" xfId="0" applyFont="1" applyFill="1" applyBorder="1"/>
    <xf numFmtId="0" fontId="4973" fillId="4978" borderId="4925" xfId="0" applyFont="1" applyFill="1" applyBorder="1"/>
    <xf numFmtId="0" fontId="4974" fillId="4979" borderId="4926" xfId="0" applyFont="1" applyFill="1" applyBorder="1"/>
    <xf numFmtId="0" fontId="4975" fillId="4980" borderId="4927" xfId="0" applyFont="1" applyFill="1" applyBorder="1"/>
    <xf numFmtId="0" fontId="4976" fillId="4981" borderId="4928" xfId="0" applyFont="1" applyFill="1" applyBorder="1"/>
    <xf numFmtId="14" fontId="4977" fillId="4982" borderId="4929" xfId="0" applyNumberFormat="1" applyFont="1" applyFill="1" applyBorder="1"/>
    <xf numFmtId="0" fontId="4978" fillId="4983" borderId="4930" xfId="0" applyFont="1" applyFill="1" applyBorder="1"/>
    <xf numFmtId="0" fontId="4979" fillId="4984" borderId="4931" xfId="0" applyFont="1" applyFill="1" applyBorder="1"/>
    <xf numFmtId="0" fontId="4980" fillId="4985" borderId="4932" xfId="0" applyFont="1" applyFill="1" applyBorder="1"/>
    <xf numFmtId="0" fontId="4981" fillId="4986" borderId="4933" xfId="0" applyFont="1" applyFill="1" applyBorder="1"/>
    <xf numFmtId="0" fontId="4982" fillId="4987" borderId="4934" xfId="0" applyFont="1" applyFill="1" applyBorder="1"/>
    <xf numFmtId="0" fontId="4983" fillId="4988" borderId="4935" xfId="0" applyFont="1" applyFill="1" applyBorder="1"/>
    <xf numFmtId="0" fontId="4984" fillId="4989" borderId="4936" xfId="0" applyFont="1" applyFill="1" applyBorder="1"/>
    <xf numFmtId="0" fontId="4985" fillId="4990" borderId="4937" xfId="0" applyFont="1" applyFill="1" applyBorder="1"/>
    <xf numFmtId="0" fontId="4986" fillId="4991" borderId="4938" xfId="0" applyFont="1" applyFill="1" applyBorder="1"/>
    <xf numFmtId="0" fontId="4987" fillId="4992" borderId="4939" xfId="0" applyFont="1" applyFill="1" applyBorder="1"/>
    <xf numFmtId="14" fontId="4988" fillId="4993" borderId="4940" xfId="0" applyNumberFormat="1" applyFont="1" applyFill="1" applyBorder="1"/>
    <xf numFmtId="0" fontId="4989" fillId="4994" borderId="4941" xfId="0" applyFont="1" applyFill="1" applyBorder="1"/>
    <xf numFmtId="0" fontId="4990" fillId="4995" borderId="4942" xfId="0" applyFont="1" applyFill="1" applyBorder="1"/>
    <xf numFmtId="0" fontId="4991" fillId="4996" borderId="4943" xfId="0" applyFont="1" applyFill="1" applyBorder="1"/>
    <xf numFmtId="0" fontId="4992" fillId="4997" borderId="4944" xfId="0" applyFont="1" applyFill="1" applyBorder="1"/>
    <xf numFmtId="0" fontId="4993" fillId="4998" borderId="4945" xfId="0" applyFont="1" applyFill="1" applyBorder="1"/>
    <xf numFmtId="0" fontId="4994" fillId="4999" borderId="4946" xfId="0" applyFont="1" applyFill="1" applyBorder="1"/>
    <xf numFmtId="0" fontId="4995" fillId="5000" borderId="4947" xfId="0" applyFont="1" applyFill="1" applyBorder="1"/>
    <xf numFmtId="0" fontId="4996" fillId="5001" borderId="4948" xfId="0" applyFont="1" applyFill="1" applyBorder="1"/>
    <xf numFmtId="0" fontId="4997" fillId="5002" borderId="4949" xfId="0" applyFont="1" applyFill="1" applyBorder="1"/>
    <xf numFmtId="0" fontId="4998" fillId="5003" borderId="4950" xfId="0" applyFont="1" applyFill="1" applyBorder="1"/>
    <xf numFmtId="14" fontId="4999" fillId="5004" borderId="4951" xfId="0" applyNumberFormat="1" applyFont="1" applyFill="1" applyBorder="1"/>
    <xf numFmtId="0" fontId="5000" fillId="5005" borderId="4952" xfId="0" applyFont="1" applyFill="1" applyBorder="1"/>
    <xf numFmtId="0" fontId="5001" fillId="5006" borderId="4953" xfId="0" applyFont="1" applyFill="1" applyBorder="1"/>
    <xf numFmtId="0" fontId="5002" fillId="5007" borderId="4954" xfId="0" applyFont="1" applyFill="1" applyBorder="1"/>
    <xf numFmtId="0" fontId="5003" fillId="5008" borderId="4955" xfId="0" applyFont="1" applyFill="1" applyBorder="1"/>
    <xf numFmtId="0" fontId="5004" fillId="5009" borderId="4956" xfId="0" applyFont="1" applyFill="1" applyBorder="1"/>
    <xf numFmtId="0" fontId="5005" fillId="5010" borderId="4957" xfId="0" applyFont="1" applyFill="1" applyBorder="1"/>
    <xf numFmtId="0" fontId="5006" fillId="5011" borderId="4958" xfId="0" applyFont="1" applyFill="1" applyBorder="1"/>
    <xf numFmtId="0" fontId="5007" fillId="5012" borderId="4959" xfId="0" applyFont="1" applyFill="1" applyBorder="1"/>
    <xf numFmtId="0" fontId="5008" fillId="5013" borderId="4960" xfId="0" applyFont="1" applyFill="1" applyBorder="1"/>
    <xf numFmtId="0" fontId="5009" fillId="5014" borderId="4961" xfId="0" applyFont="1" applyFill="1" applyBorder="1"/>
    <xf numFmtId="14" fontId="5010" fillId="5015" borderId="4962" xfId="0" applyNumberFormat="1" applyFont="1" applyFill="1" applyBorder="1"/>
    <xf numFmtId="0" fontId="5011" fillId="5016" borderId="4963" xfId="0" applyFont="1" applyFill="1" applyBorder="1"/>
    <xf numFmtId="0" fontId="5012" fillId="5017" borderId="4964" xfId="0" applyFont="1" applyFill="1" applyBorder="1"/>
    <xf numFmtId="0" fontId="5013" fillId="5018" borderId="4965" xfId="0" applyFont="1" applyFill="1" applyBorder="1"/>
    <xf numFmtId="0" fontId="5014" fillId="5019" borderId="4966" xfId="0" applyFont="1" applyFill="1" applyBorder="1"/>
    <xf numFmtId="0" fontId="5015" fillId="5020" borderId="4967" xfId="0" applyFont="1" applyFill="1" applyBorder="1"/>
    <xf numFmtId="0" fontId="5016" fillId="5021" borderId="4968" xfId="0" applyFont="1" applyFill="1" applyBorder="1"/>
    <xf numFmtId="0" fontId="5017" fillId="5022" borderId="4969" xfId="0" applyFont="1" applyFill="1" applyBorder="1"/>
    <xf numFmtId="0" fontId="5018" fillId="5023" borderId="4970" xfId="0" applyFont="1" applyFill="1" applyBorder="1"/>
    <xf numFmtId="0" fontId="5019" fillId="5024" borderId="4971" xfId="0" applyFont="1" applyFill="1" applyBorder="1"/>
    <xf numFmtId="0" fontId="5020" fillId="5025" borderId="4972" xfId="0" applyFont="1" applyFill="1" applyBorder="1"/>
    <xf numFmtId="14" fontId="5021" fillId="5026" borderId="4973" xfId="0" applyNumberFormat="1" applyFont="1" applyFill="1" applyBorder="1"/>
    <xf numFmtId="0" fontId="5022" fillId="5027" borderId="4974" xfId="0" applyFont="1" applyFill="1" applyBorder="1"/>
    <xf numFmtId="0" fontId="5023" fillId="5028" borderId="4975" xfId="0" applyFont="1" applyFill="1" applyBorder="1"/>
    <xf numFmtId="0" fontId="5024" fillId="5029" borderId="4976" xfId="0" applyFont="1" applyFill="1" applyBorder="1"/>
    <xf numFmtId="0" fontId="5025" fillId="5030" borderId="4977" xfId="0" applyFont="1" applyFill="1" applyBorder="1"/>
    <xf numFmtId="0" fontId="5026" fillId="5031" borderId="4978" xfId="0" applyFont="1" applyFill="1" applyBorder="1"/>
    <xf numFmtId="0" fontId="5027" fillId="5032" borderId="4979" xfId="0" applyFont="1" applyFill="1" applyBorder="1"/>
    <xf numFmtId="0" fontId="5028" fillId="5033" borderId="4980" xfId="0" applyFont="1" applyFill="1" applyBorder="1"/>
    <xf numFmtId="0" fontId="5029" fillId="5034" borderId="4981" xfId="0" applyFont="1" applyFill="1" applyBorder="1"/>
    <xf numFmtId="0" fontId="5030" fillId="5035" borderId="4982" xfId="0" applyFont="1" applyFill="1" applyBorder="1"/>
    <xf numFmtId="0" fontId="5031" fillId="5036" borderId="4983" xfId="0" applyFont="1" applyFill="1" applyBorder="1"/>
    <xf numFmtId="14" fontId="5032" fillId="5037" borderId="4984" xfId="0" applyNumberFormat="1" applyFont="1" applyFill="1" applyBorder="1"/>
    <xf numFmtId="0" fontId="5033" fillId="5038" borderId="4985" xfId="0" applyFont="1" applyFill="1" applyBorder="1"/>
    <xf numFmtId="0" fontId="5034" fillId="5039" borderId="4986" xfId="0" applyFont="1" applyFill="1" applyBorder="1"/>
    <xf numFmtId="0" fontId="5035" fillId="5040" borderId="4987" xfId="0" applyFont="1" applyFill="1" applyBorder="1"/>
    <xf numFmtId="0" fontId="5036" fillId="5041" borderId="4988" xfId="0" applyFont="1" applyFill="1" applyBorder="1"/>
    <xf numFmtId="0" fontId="5037" fillId="5042" borderId="4989" xfId="0" applyFont="1" applyFill="1" applyBorder="1"/>
    <xf numFmtId="0" fontId="5038" fillId="5043" borderId="4990" xfId="0" applyFont="1" applyFill="1" applyBorder="1"/>
    <xf numFmtId="0" fontId="5039" fillId="5044" borderId="4991" xfId="0" applyFont="1" applyFill="1" applyBorder="1"/>
    <xf numFmtId="0" fontId="5040" fillId="5045" borderId="4992" xfId="0" applyFont="1" applyFill="1" applyBorder="1"/>
    <xf numFmtId="0" fontId="5041" fillId="5046" borderId="4993" xfId="0" applyFont="1" applyFill="1" applyBorder="1"/>
    <xf numFmtId="0" fontId="5042" fillId="5047" borderId="4994" xfId="0" applyFont="1" applyFill="1" applyBorder="1"/>
    <xf numFmtId="14" fontId="5043" fillId="5048" borderId="4995" xfId="0" applyNumberFormat="1" applyFont="1" applyFill="1" applyBorder="1"/>
    <xf numFmtId="0" fontId="5044" fillId="5049" borderId="4996" xfId="0" applyFont="1" applyFill="1" applyBorder="1"/>
    <xf numFmtId="0" fontId="5045" fillId="5050" borderId="4997" xfId="0" applyFont="1" applyFill="1" applyBorder="1"/>
    <xf numFmtId="0" fontId="5046" fillId="5051" borderId="4998" xfId="0" applyFont="1" applyFill="1" applyBorder="1"/>
    <xf numFmtId="0" fontId="5047" fillId="5052" borderId="4999" xfId="0" applyFont="1" applyFill="1" applyBorder="1"/>
    <xf numFmtId="0" fontId="5048" fillId="5053" borderId="5000" xfId="0" applyFont="1" applyFill="1" applyBorder="1"/>
    <xf numFmtId="0" fontId="5049" fillId="5054" borderId="5001" xfId="0" applyFont="1" applyFill="1" applyBorder="1"/>
    <xf numFmtId="0" fontId="5050" fillId="5055" borderId="5002" xfId="0" applyFont="1" applyFill="1" applyBorder="1"/>
    <xf numFmtId="0" fontId="5051" fillId="5056" borderId="5003" xfId="0" applyFont="1" applyFill="1" applyBorder="1"/>
    <xf numFmtId="0" fontId="5052" fillId="5057" borderId="5004" xfId="0" applyFont="1" applyFill="1" applyBorder="1"/>
    <xf numFmtId="0" fontId="5053" fillId="5058" borderId="5005" xfId="0" applyFont="1" applyFill="1" applyBorder="1"/>
    <xf numFmtId="14" fontId="5054" fillId="5059" borderId="5006" xfId="0" applyNumberFormat="1" applyFont="1" applyFill="1" applyBorder="1"/>
    <xf numFmtId="0" fontId="5055" fillId="5060" borderId="5007" xfId="0" applyFont="1" applyFill="1" applyBorder="1"/>
    <xf numFmtId="0" fontId="5056" fillId="5061" borderId="5008" xfId="0" applyFont="1" applyFill="1" applyBorder="1"/>
    <xf numFmtId="0" fontId="5057" fillId="5062" borderId="5009" xfId="0" applyFont="1" applyFill="1" applyBorder="1"/>
    <xf numFmtId="0" fontId="5058" fillId="5063" borderId="5010" xfId="0" applyFont="1" applyFill="1" applyBorder="1"/>
    <xf numFmtId="0" fontId="5059" fillId="5064" borderId="5011" xfId="0" applyFont="1" applyFill="1" applyBorder="1"/>
    <xf numFmtId="0" fontId="5060" fillId="5065" borderId="5012" xfId="0" applyFont="1" applyFill="1" applyBorder="1"/>
    <xf numFmtId="0" fontId="5061" fillId="5066" borderId="5013" xfId="0" applyFont="1" applyFill="1" applyBorder="1"/>
    <xf numFmtId="0" fontId="5062" fillId="5067" borderId="5014" xfId="0" applyFont="1" applyFill="1" applyBorder="1"/>
    <xf numFmtId="0" fontId="5063" fillId="5068" borderId="5015" xfId="0" applyFont="1" applyFill="1" applyBorder="1"/>
    <xf numFmtId="0" fontId="5064" fillId="5069" borderId="5016" xfId="0" applyFont="1" applyFill="1" applyBorder="1"/>
    <xf numFmtId="14" fontId="5065" fillId="5070" borderId="5017" xfId="0" applyNumberFormat="1" applyFont="1" applyFill="1" applyBorder="1"/>
    <xf numFmtId="0" fontId="5066" fillId="5071" borderId="5018" xfId="0" applyFont="1" applyFill="1" applyBorder="1"/>
    <xf numFmtId="0" fontId="5067" fillId="5072" borderId="5019" xfId="0" applyFont="1" applyFill="1" applyBorder="1"/>
    <xf numFmtId="0" fontId="5068" fillId="5073" borderId="5020" xfId="0" applyFont="1" applyFill="1" applyBorder="1"/>
    <xf numFmtId="0" fontId="5069" fillId="5074" borderId="5021" xfId="0" applyFont="1" applyFill="1" applyBorder="1"/>
    <xf numFmtId="0" fontId="5070" fillId="5075" borderId="5022" xfId="0" applyFont="1" applyFill="1" applyBorder="1"/>
    <xf numFmtId="0" fontId="5071" fillId="5076" borderId="5023" xfId="0" applyFont="1" applyFill="1" applyBorder="1"/>
    <xf numFmtId="0" fontId="5072" fillId="5077" borderId="5024" xfId="0" applyFont="1" applyFill="1" applyBorder="1"/>
    <xf numFmtId="0" fontId="5073" fillId="5078" borderId="5025" xfId="0" applyFont="1" applyFill="1" applyBorder="1"/>
    <xf numFmtId="0" fontId="5074" fillId="5079" borderId="5026" xfId="0" applyFont="1" applyFill="1" applyBorder="1"/>
    <xf numFmtId="0" fontId="5075" fillId="5080" borderId="5027" xfId="0" applyFont="1" applyFill="1" applyBorder="1"/>
    <xf numFmtId="14" fontId="5076" fillId="5081" borderId="5028" xfId="0" applyNumberFormat="1" applyFont="1" applyFill="1" applyBorder="1"/>
    <xf numFmtId="0" fontId="5077" fillId="5082" borderId="5029" xfId="0" applyFont="1" applyFill="1" applyBorder="1"/>
    <xf numFmtId="0" fontId="5078" fillId="5083" borderId="5030" xfId="0" applyFont="1" applyFill="1" applyBorder="1"/>
    <xf numFmtId="0" fontId="5079" fillId="5084" borderId="5031" xfId="0" applyFont="1" applyFill="1" applyBorder="1"/>
    <xf numFmtId="0" fontId="5080" fillId="5085" borderId="5032" xfId="0" applyFont="1" applyFill="1" applyBorder="1"/>
    <xf numFmtId="0" fontId="5081" fillId="5086" borderId="5033" xfId="0" applyFont="1" applyFill="1" applyBorder="1"/>
    <xf numFmtId="0" fontId="5082" fillId="5087" borderId="5034" xfId="0" applyFont="1" applyFill="1" applyBorder="1"/>
    <xf numFmtId="0" fontId="5083" fillId="5088" borderId="5035" xfId="0" applyFont="1" applyFill="1" applyBorder="1"/>
    <xf numFmtId="0" fontId="5084" fillId="5089" borderId="5036" xfId="0" applyFont="1" applyFill="1" applyBorder="1"/>
    <xf numFmtId="0" fontId="5085" fillId="5090" borderId="5037" xfId="0" applyFont="1" applyFill="1" applyBorder="1"/>
    <xf numFmtId="0" fontId="5086" fillId="5091" borderId="5038" xfId="0" applyFont="1" applyFill="1" applyBorder="1"/>
    <xf numFmtId="14" fontId="5087" fillId="5092" borderId="5039" xfId="0" applyNumberFormat="1" applyFont="1" applyFill="1" applyBorder="1"/>
    <xf numFmtId="0" fontId="5088" fillId="5093" borderId="5040" xfId="0" applyFont="1" applyFill="1" applyBorder="1"/>
    <xf numFmtId="0" fontId="5089" fillId="5094" borderId="5041" xfId="0" applyFont="1" applyFill="1" applyBorder="1"/>
    <xf numFmtId="0" fontId="5090" fillId="5095" borderId="5042" xfId="0" applyFont="1" applyFill="1" applyBorder="1"/>
    <xf numFmtId="0" fontId="5091" fillId="5096" borderId="5043" xfId="0" applyFont="1" applyFill="1" applyBorder="1"/>
    <xf numFmtId="0" fontId="5092" fillId="5097" borderId="5044" xfId="0" applyFont="1" applyFill="1" applyBorder="1"/>
    <xf numFmtId="0" fontId="5093" fillId="5098" borderId="5045" xfId="0" applyFont="1" applyFill="1" applyBorder="1"/>
    <xf numFmtId="0" fontId="5094" fillId="5099" borderId="5046" xfId="0" applyFont="1" applyFill="1" applyBorder="1"/>
    <xf numFmtId="0" fontId="5095" fillId="5100" borderId="5047" xfId="0" applyFont="1" applyFill="1" applyBorder="1"/>
    <xf numFmtId="0" fontId="5096" fillId="5101" borderId="5048" xfId="0" applyFont="1" applyFill="1" applyBorder="1"/>
    <xf numFmtId="0" fontId="5097" fillId="5102" borderId="5049" xfId="0" applyFont="1" applyFill="1" applyBorder="1"/>
    <xf numFmtId="14" fontId="5098" fillId="5103" borderId="5050" xfId="0" applyNumberFormat="1" applyFont="1" applyFill="1" applyBorder="1"/>
    <xf numFmtId="0" fontId="5099" fillId="5104" borderId="5051" xfId="0" applyFont="1" applyFill="1" applyBorder="1"/>
    <xf numFmtId="0" fontId="5100" fillId="5105" borderId="5052" xfId="0" applyFont="1" applyFill="1" applyBorder="1"/>
    <xf numFmtId="0" fontId="5101" fillId="5106" borderId="5053" xfId="0" applyFont="1" applyFill="1" applyBorder="1"/>
    <xf numFmtId="0" fontId="5102" fillId="5107" borderId="5054" xfId="0" applyFont="1" applyFill="1" applyBorder="1"/>
    <xf numFmtId="0" fontId="5103" fillId="5108" borderId="5055" xfId="0" applyFont="1" applyFill="1" applyBorder="1"/>
    <xf numFmtId="0" fontId="5104" fillId="5109" borderId="5056" xfId="0" applyFont="1" applyFill="1" applyBorder="1"/>
    <xf numFmtId="0" fontId="5105" fillId="5110" borderId="5057" xfId="0" applyFont="1" applyFill="1" applyBorder="1"/>
    <xf numFmtId="0" fontId="5106" fillId="5111" borderId="5058" xfId="0" applyFont="1" applyFill="1" applyBorder="1"/>
    <xf numFmtId="0" fontId="5107" fillId="5112" borderId="5059" xfId="0" applyFont="1" applyFill="1" applyBorder="1"/>
    <xf numFmtId="0" fontId="5108" fillId="5113" borderId="5060" xfId="0" applyFont="1" applyFill="1" applyBorder="1"/>
    <xf numFmtId="14" fontId="5109" fillId="5114" borderId="5061" xfId="0" applyNumberFormat="1" applyFont="1" applyFill="1" applyBorder="1"/>
    <xf numFmtId="0" fontId="5110" fillId="5115" borderId="5062" xfId="0" applyFont="1" applyFill="1" applyBorder="1"/>
    <xf numFmtId="0" fontId="5111" fillId="5116" borderId="5063" xfId="0" applyFont="1" applyFill="1" applyBorder="1"/>
    <xf numFmtId="0" fontId="5112" fillId="5117" borderId="5064" xfId="0" applyFont="1" applyFill="1" applyBorder="1"/>
    <xf numFmtId="0" fontId="5113" fillId="5118" borderId="5065" xfId="0" applyFont="1" applyFill="1" applyBorder="1"/>
    <xf numFmtId="0" fontId="5114" fillId="5119" borderId="5066" xfId="0" applyFont="1" applyFill="1" applyBorder="1"/>
    <xf numFmtId="0" fontId="5115" fillId="5120" borderId="5067" xfId="0" applyFont="1" applyFill="1" applyBorder="1"/>
    <xf numFmtId="0" fontId="5116" fillId="5121" borderId="5068" xfId="0" applyFont="1" applyFill="1" applyBorder="1"/>
    <xf numFmtId="0" fontId="5117" fillId="5122" borderId="5069" xfId="0" applyFont="1" applyFill="1" applyBorder="1"/>
    <xf numFmtId="0" fontId="5118" fillId="5123" borderId="5070" xfId="0" applyFont="1" applyFill="1" applyBorder="1"/>
    <xf numFmtId="0" fontId="5119" fillId="5124" borderId="5071" xfId="0" applyFont="1" applyFill="1" applyBorder="1"/>
    <xf numFmtId="14" fontId="5120" fillId="5125" borderId="5072" xfId="0" applyNumberFormat="1" applyFont="1" applyFill="1" applyBorder="1"/>
    <xf numFmtId="0" fontId="5121" fillId="5126" borderId="5073" xfId="0" applyFont="1" applyFill="1" applyBorder="1"/>
    <xf numFmtId="0" fontId="5122" fillId="5127" borderId="5074" xfId="0" applyFont="1" applyFill="1" applyBorder="1"/>
    <xf numFmtId="0" fontId="5123" fillId="5128" borderId="5075" xfId="0" applyFont="1" applyFill="1" applyBorder="1"/>
    <xf numFmtId="0" fontId="5124" fillId="5129" borderId="5076" xfId="0" applyFont="1" applyFill="1" applyBorder="1"/>
    <xf numFmtId="0" fontId="5125" fillId="5130" borderId="5077" xfId="0" applyFont="1" applyFill="1" applyBorder="1"/>
    <xf numFmtId="0" fontId="5126" fillId="5131" borderId="5078" xfId="0" applyFont="1" applyFill="1" applyBorder="1"/>
    <xf numFmtId="0" fontId="5127" fillId="5132" borderId="5079" xfId="0" applyFont="1" applyFill="1" applyBorder="1"/>
    <xf numFmtId="0" fontId="5128" fillId="5133" borderId="5080" xfId="0" applyFont="1" applyFill="1" applyBorder="1"/>
    <xf numFmtId="0" fontId="5129" fillId="5134" borderId="5081" xfId="0" applyFont="1" applyFill="1" applyBorder="1"/>
    <xf numFmtId="0" fontId="5130" fillId="5135" borderId="5082" xfId="0" applyFont="1" applyFill="1" applyBorder="1"/>
    <xf numFmtId="14" fontId="5131" fillId="5136" borderId="5083" xfId="0" applyNumberFormat="1" applyFont="1" applyFill="1" applyBorder="1"/>
    <xf numFmtId="0" fontId="5132" fillId="5137" borderId="5084" xfId="0" applyFont="1" applyFill="1" applyBorder="1"/>
    <xf numFmtId="0" fontId="5133" fillId="5138" borderId="5085" xfId="0" applyFont="1" applyFill="1" applyBorder="1"/>
    <xf numFmtId="0" fontId="5134" fillId="5139" borderId="5086" xfId="0" applyFont="1" applyFill="1" applyBorder="1"/>
    <xf numFmtId="0" fontId="5135" fillId="5140" borderId="5087" xfId="0" applyFont="1" applyFill="1" applyBorder="1"/>
    <xf numFmtId="0" fontId="5136" fillId="5141" borderId="5088" xfId="0" applyFont="1" applyFill="1" applyBorder="1"/>
    <xf numFmtId="0" fontId="5137" fillId="5142" borderId="5089" xfId="0" applyFont="1" applyFill="1" applyBorder="1"/>
    <xf numFmtId="0" fontId="5138" fillId="5143" borderId="5090" xfId="0" applyFont="1" applyFill="1" applyBorder="1"/>
    <xf numFmtId="0" fontId="5139" fillId="5144" borderId="5091" xfId="0" applyFont="1" applyFill="1" applyBorder="1"/>
    <xf numFmtId="0" fontId="5140" fillId="5145" borderId="5092" xfId="0" applyFont="1" applyFill="1" applyBorder="1"/>
    <xf numFmtId="0" fontId="5141" fillId="5146" borderId="5093" xfId="0" applyFont="1" applyFill="1" applyBorder="1"/>
    <xf numFmtId="14" fontId="5142" fillId="5147" borderId="5094" xfId="0" applyNumberFormat="1" applyFont="1" applyFill="1" applyBorder="1"/>
    <xf numFmtId="0" fontId="5143" fillId="5148" borderId="5095" xfId="0" applyFont="1" applyFill="1" applyBorder="1"/>
    <xf numFmtId="0" fontId="5144" fillId="5149" borderId="5096" xfId="0" applyFont="1" applyFill="1" applyBorder="1"/>
    <xf numFmtId="0" fontId="5145" fillId="5150" borderId="5097" xfId="0" applyFont="1" applyFill="1" applyBorder="1"/>
    <xf numFmtId="0" fontId="5146" fillId="5151" borderId="5098" xfId="0" applyFont="1" applyFill="1" applyBorder="1"/>
    <xf numFmtId="0" fontId="5147" fillId="5152" borderId="5099" xfId="0" applyFont="1" applyFill="1" applyBorder="1"/>
    <xf numFmtId="0" fontId="5148" fillId="5153" borderId="5100" xfId="0" applyFont="1" applyFill="1" applyBorder="1"/>
    <xf numFmtId="0" fontId="5149" fillId="5154" borderId="5101" xfId="0" applyFont="1" applyFill="1" applyBorder="1"/>
    <xf numFmtId="0" fontId="5150" fillId="5155" borderId="5102" xfId="0" applyFont="1" applyFill="1" applyBorder="1"/>
    <xf numFmtId="0" fontId="5151" fillId="5156" borderId="5103" xfId="0" applyFont="1" applyFill="1" applyBorder="1"/>
    <xf numFmtId="0" fontId="5152" fillId="5157" borderId="5104" xfId="0" applyFont="1" applyFill="1" applyBorder="1"/>
    <xf numFmtId="14" fontId="5153" fillId="5158" borderId="5105" xfId="0" applyNumberFormat="1" applyFont="1" applyFill="1" applyBorder="1"/>
    <xf numFmtId="0" fontId="5154" fillId="5159" borderId="5106" xfId="0" applyFont="1" applyFill="1" applyBorder="1"/>
    <xf numFmtId="0" fontId="5155" fillId="5160" borderId="5107" xfId="0" applyFont="1" applyFill="1" applyBorder="1"/>
    <xf numFmtId="0" fontId="5156" fillId="5161" borderId="5108" xfId="0" applyFont="1" applyFill="1" applyBorder="1"/>
    <xf numFmtId="0" fontId="5157" fillId="5162" borderId="5109" xfId="0" applyFont="1" applyFill="1" applyBorder="1"/>
    <xf numFmtId="0" fontId="5158" fillId="5163" borderId="5110" xfId="0" applyFont="1" applyFill="1" applyBorder="1"/>
    <xf numFmtId="0" fontId="5159" fillId="5164" borderId="5111" xfId="0" applyFont="1" applyFill="1" applyBorder="1"/>
    <xf numFmtId="0" fontId="5160" fillId="5165" borderId="5112" xfId="0" applyFont="1" applyFill="1" applyBorder="1"/>
    <xf numFmtId="0" fontId="5161" fillId="5166" borderId="5113" xfId="0" applyFont="1" applyFill="1" applyBorder="1"/>
    <xf numFmtId="0" fontId="5162" fillId="5167" borderId="5114" xfId="0" applyFont="1" applyFill="1" applyBorder="1"/>
    <xf numFmtId="0" fontId="5163" fillId="5168" borderId="5115" xfId="0" applyFont="1" applyFill="1" applyBorder="1"/>
    <xf numFmtId="14" fontId="5164" fillId="5169" borderId="5116" xfId="0" applyNumberFormat="1" applyFont="1" applyFill="1" applyBorder="1"/>
    <xf numFmtId="0" fontId="5165" fillId="5170" borderId="5117" xfId="0" applyFont="1" applyFill="1" applyBorder="1"/>
    <xf numFmtId="0" fontId="5166" fillId="5171" borderId="5118" xfId="0" applyFont="1" applyFill="1" applyBorder="1"/>
    <xf numFmtId="0" fontId="5167" fillId="5172" borderId="5119" xfId="0" applyFont="1" applyFill="1" applyBorder="1"/>
    <xf numFmtId="0" fontId="5168" fillId="5173" borderId="5120" xfId="0" applyFont="1" applyFill="1" applyBorder="1"/>
    <xf numFmtId="0" fontId="5169" fillId="5174" borderId="5121" xfId="0" applyFont="1" applyFill="1" applyBorder="1"/>
    <xf numFmtId="0" fontId="5170" fillId="5175" borderId="5122" xfId="0" applyFont="1" applyFill="1" applyBorder="1"/>
    <xf numFmtId="0" fontId="5171" fillId="5176" borderId="5123" xfId="0" applyFont="1" applyFill="1" applyBorder="1"/>
    <xf numFmtId="0" fontId="5172" fillId="5177" borderId="5124" xfId="0" applyFont="1" applyFill="1" applyBorder="1"/>
    <xf numFmtId="0" fontId="5173" fillId="5178" borderId="5125" xfId="0" applyFont="1" applyFill="1" applyBorder="1"/>
    <xf numFmtId="0" fontId="5174" fillId="5179" borderId="5126" xfId="0" applyFont="1" applyFill="1" applyBorder="1"/>
    <xf numFmtId="14" fontId="5175" fillId="5180" borderId="5127" xfId="0" applyNumberFormat="1" applyFont="1" applyFill="1" applyBorder="1"/>
    <xf numFmtId="0" fontId="5176" fillId="5181" borderId="5128" xfId="0" applyFont="1" applyFill="1" applyBorder="1"/>
    <xf numFmtId="0" fontId="5177" fillId="5182" borderId="5129" xfId="0" applyFont="1" applyFill="1" applyBorder="1"/>
    <xf numFmtId="0" fontId="5178" fillId="5183" borderId="5130" xfId="0" applyFont="1" applyFill="1" applyBorder="1"/>
    <xf numFmtId="0" fontId="5179" fillId="5184" borderId="5131" xfId="0" applyFont="1" applyFill="1" applyBorder="1"/>
    <xf numFmtId="0" fontId="5180" fillId="5185" borderId="5132" xfId="0" applyFont="1" applyFill="1" applyBorder="1"/>
    <xf numFmtId="0" fontId="5181" fillId="5186" borderId="5133" xfId="0" applyFont="1" applyFill="1" applyBorder="1"/>
    <xf numFmtId="0" fontId="5182" fillId="5187" borderId="5134" xfId="0" applyFont="1" applyFill="1" applyBorder="1"/>
    <xf numFmtId="0" fontId="5183" fillId="5188" borderId="5135" xfId="0" applyFont="1" applyFill="1" applyBorder="1"/>
    <xf numFmtId="0" fontId="5184" fillId="5189" borderId="5136" xfId="0" applyFont="1" applyFill="1" applyBorder="1"/>
    <xf numFmtId="0" fontId="5185" fillId="5190" borderId="5137" xfId="0" applyFont="1" applyFill="1" applyBorder="1"/>
    <xf numFmtId="14" fontId="5186" fillId="5191" borderId="5138" xfId="0" applyNumberFormat="1" applyFont="1" applyFill="1" applyBorder="1"/>
    <xf numFmtId="0" fontId="5187" fillId="5192" borderId="5139" xfId="0" applyFont="1" applyFill="1" applyBorder="1"/>
    <xf numFmtId="0" fontId="5188" fillId="5193" borderId="5140" xfId="0" applyFont="1" applyFill="1" applyBorder="1"/>
    <xf numFmtId="0" fontId="5189" fillId="5194" borderId="5141" xfId="0" applyFont="1" applyFill="1" applyBorder="1"/>
    <xf numFmtId="0" fontId="5190" fillId="5195" borderId="5142" xfId="0" applyFont="1" applyFill="1" applyBorder="1"/>
    <xf numFmtId="0" fontId="5191" fillId="5196" borderId="5143" xfId="0" applyFont="1" applyFill="1" applyBorder="1"/>
    <xf numFmtId="0" fontId="5192" fillId="5197" borderId="5144" xfId="0" applyFont="1" applyFill="1" applyBorder="1"/>
    <xf numFmtId="0" fontId="5193" fillId="5198" borderId="5145" xfId="0" applyFont="1" applyFill="1" applyBorder="1"/>
    <xf numFmtId="0" fontId="5194" fillId="5199" borderId="5146" xfId="0" applyFont="1" applyFill="1" applyBorder="1"/>
    <xf numFmtId="0" fontId="5195" fillId="5200" borderId="5147" xfId="0" applyFont="1" applyFill="1" applyBorder="1"/>
    <xf numFmtId="0" fontId="5196" fillId="5201" borderId="5148" xfId="0" applyFont="1" applyFill="1" applyBorder="1"/>
    <xf numFmtId="14" fontId="5197" fillId="5202" borderId="5149" xfId="0" applyNumberFormat="1" applyFont="1" applyFill="1" applyBorder="1"/>
    <xf numFmtId="0" fontId="5198" fillId="5203" borderId="5150" xfId="0" applyFont="1" applyFill="1" applyBorder="1"/>
    <xf numFmtId="0" fontId="5199" fillId="5204" borderId="5151" xfId="0" applyFont="1" applyFill="1" applyBorder="1"/>
    <xf numFmtId="0" fontId="5200" fillId="5205" borderId="5152" xfId="0" applyFont="1" applyFill="1" applyBorder="1"/>
    <xf numFmtId="0" fontId="5201" fillId="5206" borderId="5153" xfId="0" applyFont="1" applyFill="1" applyBorder="1"/>
    <xf numFmtId="0" fontId="5202" fillId="5207" borderId="5154" xfId="0" applyFont="1" applyFill="1" applyBorder="1"/>
    <xf numFmtId="0" fontId="5203" fillId="5208" borderId="5155" xfId="0" applyFont="1" applyFill="1" applyBorder="1"/>
    <xf numFmtId="0" fontId="5204" fillId="5209" borderId="5156" xfId="0" applyFont="1" applyFill="1" applyBorder="1"/>
    <xf numFmtId="0" fontId="5205" fillId="5210" borderId="5157" xfId="0" applyFont="1" applyFill="1" applyBorder="1"/>
    <xf numFmtId="0" fontId="5206" fillId="5211" borderId="5158" xfId="0" applyFont="1" applyFill="1" applyBorder="1"/>
    <xf numFmtId="0" fontId="5207" fillId="5212" borderId="5159" xfId="0" applyFont="1" applyFill="1" applyBorder="1"/>
    <xf numFmtId="14" fontId="5208" fillId="5213" borderId="5160" xfId="0" applyNumberFormat="1" applyFont="1" applyFill="1" applyBorder="1"/>
    <xf numFmtId="0" fontId="5209" fillId="5214" borderId="5161" xfId="0" applyFont="1" applyFill="1" applyBorder="1"/>
    <xf numFmtId="0" fontId="5210" fillId="5215" borderId="5162" xfId="0" applyFont="1" applyFill="1" applyBorder="1"/>
    <xf numFmtId="0" fontId="5211" fillId="5216" borderId="5163" xfId="0" applyFont="1" applyFill="1" applyBorder="1"/>
    <xf numFmtId="0" fontId="5212" fillId="5217" borderId="5164" xfId="0" applyFont="1" applyFill="1" applyBorder="1"/>
    <xf numFmtId="0" fontId="5213" fillId="5218" borderId="5165" xfId="0" applyFont="1" applyFill="1" applyBorder="1"/>
    <xf numFmtId="0" fontId="5214" fillId="5219" borderId="5166" xfId="0" applyFont="1" applyFill="1" applyBorder="1"/>
    <xf numFmtId="0" fontId="5215" fillId="5220" borderId="5167" xfId="0" applyFont="1" applyFill="1" applyBorder="1"/>
    <xf numFmtId="0" fontId="5216" fillId="5221" borderId="5168" xfId="0" applyFont="1" applyFill="1" applyBorder="1"/>
    <xf numFmtId="0" fontId="5217" fillId="5222" borderId="5169" xfId="0" applyFont="1" applyFill="1" applyBorder="1"/>
    <xf numFmtId="0" fontId="5218" fillId="5223" borderId="5170" xfId="0" applyFont="1" applyFill="1" applyBorder="1"/>
    <xf numFmtId="14" fontId="5219" fillId="5224" borderId="5171" xfId="0" applyNumberFormat="1" applyFont="1" applyFill="1" applyBorder="1"/>
    <xf numFmtId="0" fontId="5220" fillId="5225" borderId="5172" xfId="0" applyFont="1" applyFill="1" applyBorder="1"/>
    <xf numFmtId="0" fontId="5221" fillId="5226" borderId="5173" xfId="0" applyFont="1" applyFill="1" applyBorder="1"/>
    <xf numFmtId="0" fontId="5222" fillId="5227" borderId="5174" xfId="0" applyFont="1" applyFill="1" applyBorder="1"/>
    <xf numFmtId="0" fontId="5223" fillId="5228" borderId="5175" xfId="0" applyFont="1" applyFill="1" applyBorder="1"/>
    <xf numFmtId="0" fontId="5224" fillId="5229" borderId="5176" xfId="0" applyFont="1" applyFill="1" applyBorder="1"/>
    <xf numFmtId="0" fontId="5225" fillId="5230" borderId="5177" xfId="0" applyFont="1" applyFill="1" applyBorder="1"/>
    <xf numFmtId="0" fontId="5226" fillId="5231" borderId="5178" xfId="0" applyFont="1" applyFill="1" applyBorder="1"/>
    <xf numFmtId="0" fontId="5227" fillId="5232" borderId="5179" xfId="0" applyFont="1" applyFill="1" applyBorder="1"/>
    <xf numFmtId="0" fontId="5228" fillId="5233" borderId="5180" xfId="0" applyFont="1" applyFill="1" applyBorder="1"/>
    <xf numFmtId="0" fontId="5229" fillId="5234" borderId="5181" xfId="0" applyFont="1" applyFill="1" applyBorder="1"/>
    <xf numFmtId="14" fontId="5230" fillId="5235" borderId="5182" xfId="0" applyNumberFormat="1" applyFont="1" applyFill="1" applyBorder="1"/>
    <xf numFmtId="0" fontId="5231" fillId="5236" borderId="5183" xfId="0" applyFont="1" applyFill="1" applyBorder="1"/>
    <xf numFmtId="0" fontId="5232" fillId="5237" borderId="5184" xfId="0" applyFont="1" applyFill="1" applyBorder="1"/>
    <xf numFmtId="0" fontId="5233" fillId="5238" borderId="5185" xfId="0" applyFont="1" applyFill="1" applyBorder="1"/>
    <xf numFmtId="0" fontId="5234" fillId="5239" borderId="5186" xfId="0" applyFont="1" applyFill="1" applyBorder="1"/>
    <xf numFmtId="0" fontId="5235" fillId="5240" borderId="5187" xfId="0" applyFont="1" applyFill="1" applyBorder="1"/>
    <xf numFmtId="0" fontId="5236" fillId="5241" borderId="5188" xfId="0" applyFont="1" applyFill="1" applyBorder="1"/>
    <xf numFmtId="0" fontId="5237" fillId="5242" borderId="5189" xfId="0" applyFont="1" applyFill="1" applyBorder="1"/>
    <xf numFmtId="0" fontId="5238" fillId="5243" borderId="5190" xfId="0" applyFont="1" applyFill="1" applyBorder="1"/>
    <xf numFmtId="0" fontId="5239" fillId="5244" borderId="5191" xfId="0" applyFont="1" applyFill="1" applyBorder="1"/>
    <xf numFmtId="0" fontId="5240" fillId="5245" borderId="5192" xfId="0" applyFont="1" applyFill="1" applyBorder="1"/>
    <xf numFmtId="14" fontId="5241" fillId="5246" borderId="5193" xfId="0" applyNumberFormat="1" applyFont="1" applyFill="1" applyBorder="1"/>
    <xf numFmtId="0" fontId="5242" fillId="5247" borderId="5194" xfId="0" applyFont="1" applyFill="1" applyBorder="1"/>
    <xf numFmtId="0" fontId="5243" fillId="5248" borderId="5195" xfId="0" applyFont="1" applyFill="1" applyBorder="1"/>
    <xf numFmtId="0" fontId="5244" fillId="5249" borderId="5196" xfId="0" applyFont="1" applyFill="1" applyBorder="1"/>
    <xf numFmtId="0" fontId="5245" fillId="5250" borderId="5197" xfId="0" applyFont="1" applyFill="1" applyBorder="1"/>
    <xf numFmtId="0" fontId="5246" fillId="5251" borderId="5198" xfId="0" applyFont="1" applyFill="1" applyBorder="1"/>
    <xf numFmtId="0" fontId="5247" fillId="5252" borderId="5199" xfId="0" applyFont="1" applyFill="1" applyBorder="1"/>
    <xf numFmtId="0" fontId="5248" fillId="5253" borderId="5200" xfId="0" applyFont="1" applyFill="1" applyBorder="1"/>
    <xf numFmtId="0" fontId="5249" fillId="5254" borderId="5201" xfId="0" applyFont="1" applyFill="1" applyBorder="1"/>
    <xf numFmtId="0" fontId="5250" fillId="5255" borderId="5202" xfId="0" applyFont="1" applyFill="1" applyBorder="1"/>
    <xf numFmtId="0" fontId="5251" fillId="5256" borderId="5203" xfId="0" applyFont="1" applyFill="1" applyBorder="1"/>
    <xf numFmtId="14" fontId="5252" fillId="5257" borderId="5204" xfId="0" applyNumberFormat="1" applyFont="1" applyFill="1" applyBorder="1"/>
    <xf numFmtId="0" fontId="5253" fillId="5258" borderId="5205" xfId="0" applyFont="1" applyFill="1" applyBorder="1"/>
    <xf numFmtId="0" fontId="5254" fillId="5259" borderId="5206" xfId="0" applyFont="1" applyFill="1" applyBorder="1"/>
    <xf numFmtId="0" fontId="5255" fillId="5260" borderId="5207" xfId="0" applyFont="1" applyFill="1" applyBorder="1"/>
    <xf numFmtId="0" fontId="5256" fillId="5261" borderId="5208" xfId="0" applyFont="1" applyFill="1" applyBorder="1"/>
    <xf numFmtId="0" fontId="5257" fillId="5262" borderId="5209" xfId="0" applyFont="1" applyFill="1" applyBorder="1"/>
    <xf numFmtId="0" fontId="5258" fillId="5263" borderId="5210" xfId="0" applyFont="1" applyFill="1" applyBorder="1"/>
    <xf numFmtId="0" fontId="5259" fillId="5264" borderId="5211" xfId="0" applyFont="1" applyFill="1" applyBorder="1"/>
    <xf numFmtId="0" fontId="5260" fillId="5265" borderId="5212" xfId="0" applyFont="1" applyFill="1" applyBorder="1"/>
    <xf numFmtId="0" fontId="5261" fillId="5266" borderId="5213" xfId="0" applyFont="1" applyFill="1" applyBorder="1"/>
    <xf numFmtId="0" fontId="5262" fillId="5267" borderId="5214" xfId="0" applyFont="1" applyFill="1" applyBorder="1"/>
    <xf numFmtId="14" fontId="5263" fillId="5268" borderId="5215" xfId="0" applyNumberFormat="1" applyFont="1" applyFill="1" applyBorder="1"/>
    <xf numFmtId="0" fontId="5264" fillId="5269" borderId="5216" xfId="0" applyFont="1" applyFill="1" applyBorder="1"/>
    <xf numFmtId="0" fontId="5265" fillId="5270" borderId="5217" xfId="0" applyFont="1" applyFill="1" applyBorder="1"/>
    <xf numFmtId="0" fontId="5266" fillId="5271" borderId="5218" xfId="0" applyFont="1" applyFill="1" applyBorder="1"/>
    <xf numFmtId="0" fontId="5267" fillId="5272" borderId="5219" xfId="0" applyFont="1" applyFill="1" applyBorder="1"/>
    <xf numFmtId="0" fontId="5268" fillId="5273" borderId="5220" xfId="0" applyFont="1" applyFill="1" applyBorder="1"/>
    <xf numFmtId="0" fontId="5269" fillId="5274" borderId="5221" xfId="0" applyFont="1" applyFill="1" applyBorder="1"/>
    <xf numFmtId="0" fontId="5270" fillId="5275" borderId="5222" xfId="0" applyFont="1" applyFill="1" applyBorder="1"/>
    <xf numFmtId="0" fontId="5271" fillId="5276" borderId="5223" xfId="0" applyFont="1" applyFill="1" applyBorder="1"/>
    <xf numFmtId="0" fontId="5272" fillId="5277" borderId="5224" xfId="0" applyFont="1" applyFill="1" applyBorder="1"/>
    <xf numFmtId="0" fontId="5273" fillId="5278" borderId="5225" xfId="0" applyFont="1" applyFill="1" applyBorder="1"/>
    <xf numFmtId="14" fontId="5274" fillId="5279" borderId="5226" xfId="0" applyNumberFormat="1" applyFont="1" applyFill="1" applyBorder="1"/>
    <xf numFmtId="0" fontId="5275" fillId="5280" borderId="5227" xfId="0" applyFont="1" applyFill="1" applyBorder="1"/>
    <xf numFmtId="0" fontId="5276" fillId="5281" borderId="5228" xfId="0" applyFont="1" applyFill="1" applyBorder="1"/>
    <xf numFmtId="0" fontId="5277" fillId="5282" borderId="5229" xfId="0" applyFont="1" applyFill="1" applyBorder="1"/>
    <xf numFmtId="0" fontId="5278" fillId="5283" borderId="5230" xfId="0" applyFont="1" applyFill="1" applyBorder="1"/>
    <xf numFmtId="0" fontId="5279" fillId="5284" borderId="5231" xfId="0" applyFont="1" applyFill="1" applyBorder="1"/>
    <xf numFmtId="0" fontId="5280" fillId="5285" borderId="5232" xfId="0" applyFont="1" applyFill="1" applyBorder="1"/>
    <xf numFmtId="0" fontId="5281" fillId="5286" borderId="5233" xfId="0" applyFont="1" applyFill="1" applyBorder="1"/>
    <xf numFmtId="0" fontId="5282" fillId="5287" borderId="5234" xfId="0" applyFont="1" applyFill="1" applyBorder="1"/>
    <xf numFmtId="0" fontId="5283" fillId="5288" borderId="5235" xfId="0" applyFont="1" applyFill="1" applyBorder="1"/>
    <xf numFmtId="0" fontId="5284" fillId="5289" borderId="5236" xfId="0" applyFont="1" applyFill="1" applyBorder="1"/>
    <xf numFmtId="14" fontId="5285" fillId="5290" borderId="5237" xfId="0" applyNumberFormat="1" applyFont="1" applyFill="1" applyBorder="1"/>
    <xf numFmtId="0" fontId="5286" fillId="5291" borderId="5238" xfId="0" applyFont="1" applyFill="1" applyBorder="1"/>
    <xf numFmtId="0" fontId="5287" fillId="5292" borderId="5239" xfId="0" applyFont="1" applyFill="1" applyBorder="1"/>
    <xf numFmtId="0" fontId="5288" fillId="5293" borderId="5240" xfId="0" applyFont="1" applyFill="1" applyBorder="1"/>
    <xf numFmtId="0" fontId="5289" fillId="5294" borderId="5241" xfId="0" applyFont="1" applyFill="1" applyBorder="1"/>
    <xf numFmtId="0" fontId="5290" fillId="5295" borderId="5242" xfId="0" applyFont="1" applyFill="1" applyBorder="1"/>
    <xf numFmtId="0" fontId="5291" fillId="5296" borderId="5243" xfId="0" applyFont="1" applyFill="1" applyBorder="1"/>
    <xf numFmtId="0" fontId="5292" fillId="5297" borderId="5244" xfId="0" applyFont="1" applyFill="1" applyBorder="1"/>
    <xf numFmtId="0" fontId="5293" fillId="5298" borderId="5245" xfId="0" applyFont="1" applyFill="1" applyBorder="1"/>
    <xf numFmtId="0" fontId="5294" fillId="5299" borderId="5246" xfId="0" applyFont="1" applyFill="1" applyBorder="1"/>
    <xf numFmtId="0" fontId="5295" fillId="5300" borderId="5247" xfId="0" applyFont="1" applyFill="1" applyBorder="1"/>
    <xf numFmtId="14" fontId="5296" fillId="5301" borderId="5248" xfId="0" applyNumberFormat="1" applyFont="1" applyFill="1" applyBorder="1"/>
    <xf numFmtId="0" fontId="5297" fillId="5302" borderId="5249" xfId="0" applyFont="1" applyFill="1" applyBorder="1"/>
    <xf numFmtId="0" fontId="5298" fillId="5303" borderId="5250" xfId="0" applyFont="1" applyFill="1" applyBorder="1"/>
    <xf numFmtId="0" fontId="5299" fillId="5304" borderId="5251" xfId="0" applyFont="1" applyFill="1" applyBorder="1"/>
    <xf numFmtId="0" fontId="5300" fillId="5305" borderId="5252" xfId="0" applyFont="1" applyFill="1" applyBorder="1"/>
    <xf numFmtId="0" fontId="5301" fillId="5306" borderId="5253" xfId="0" applyFont="1" applyFill="1" applyBorder="1"/>
    <xf numFmtId="0" fontId="5302" fillId="5307" borderId="5254" xfId="0" applyFont="1" applyFill="1" applyBorder="1"/>
    <xf numFmtId="0" fontId="5303" fillId="5308" borderId="5255" xfId="0" applyFont="1" applyFill="1" applyBorder="1"/>
    <xf numFmtId="0" fontId="5304" fillId="5309" borderId="5256" xfId="0" applyFont="1" applyFill="1" applyBorder="1"/>
    <xf numFmtId="0" fontId="5305" fillId="5310" borderId="5257" xfId="0" applyFont="1" applyFill="1" applyBorder="1"/>
    <xf numFmtId="0" fontId="5306" fillId="5311" borderId="5258" xfId="0" applyFont="1" applyFill="1" applyBorder="1"/>
    <xf numFmtId="14" fontId="5307" fillId="5312" borderId="5259" xfId="0" applyNumberFormat="1" applyFont="1" applyFill="1" applyBorder="1"/>
    <xf numFmtId="0" fontId="5308" fillId="5313" borderId="5260" xfId="0" applyFont="1" applyFill="1" applyBorder="1"/>
    <xf numFmtId="0" fontId="5309" fillId="5314" borderId="5261" xfId="0" applyFont="1" applyFill="1" applyBorder="1"/>
    <xf numFmtId="0" fontId="5310" fillId="5315" borderId="5262" xfId="0" applyFont="1" applyFill="1" applyBorder="1"/>
    <xf numFmtId="0" fontId="5311" fillId="5316" borderId="5263" xfId="0" applyFont="1" applyFill="1" applyBorder="1"/>
    <xf numFmtId="0" fontId="5312" fillId="5317" borderId="5264" xfId="0" applyFont="1" applyFill="1" applyBorder="1"/>
    <xf numFmtId="0" fontId="5313" fillId="5318" borderId="5265" xfId="0" applyFont="1" applyFill="1" applyBorder="1"/>
    <xf numFmtId="0" fontId="5314" fillId="5319" borderId="5266" xfId="0" applyFont="1" applyFill="1" applyBorder="1"/>
    <xf numFmtId="0" fontId="5315" fillId="5320" borderId="5267" xfId="0" applyFont="1" applyFill="1" applyBorder="1"/>
    <xf numFmtId="0" fontId="5316" fillId="5321" borderId="5268" xfId="0" applyFont="1" applyFill="1" applyBorder="1"/>
    <xf numFmtId="0" fontId="5317" fillId="5322" borderId="5269" xfId="0" applyFont="1" applyFill="1" applyBorder="1"/>
    <xf numFmtId="14" fontId="5318" fillId="5323" borderId="5270" xfId="0" applyNumberFormat="1" applyFont="1" applyFill="1" applyBorder="1"/>
    <xf numFmtId="0" fontId="5319" fillId="5324" borderId="5271" xfId="0" applyFont="1" applyFill="1" applyBorder="1"/>
    <xf numFmtId="0" fontId="5320" fillId="5325" borderId="5272" xfId="0" applyFont="1" applyFill="1" applyBorder="1"/>
    <xf numFmtId="0" fontId="5321" fillId="5326" borderId="5273" xfId="0" applyFont="1" applyFill="1" applyBorder="1"/>
    <xf numFmtId="0" fontId="5322" fillId="5327" borderId="5274" xfId="0" applyFont="1" applyFill="1" applyBorder="1"/>
    <xf numFmtId="0" fontId="5323" fillId="5328" borderId="5275" xfId="0" applyFont="1" applyFill="1" applyBorder="1"/>
    <xf numFmtId="0" fontId="5324" fillId="5329" borderId="5276" xfId="0" applyFont="1" applyFill="1" applyBorder="1"/>
    <xf numFmtId="0" fontId="5325" fillId="5330" borderId="5277" xfId="0" applyFont="1" applyFill="1" applyBorder="1"/>
    <xf numFmtId="0" fontId="5326" fillId="5331" borderId="5278" xfId="0" applyFont="1" applyFill="1" applyBorder="1"/>
    <xf numFmtId="0" fontId="5327" fillId="5332" borderId="5279" xfId="0" applyFont="1" applyFill="1" applyBorder="1"/>
    <xf numFmtId="0" fontId="5328" fillId="5333" borderId="5280" xfId="0" applyFont="1" applyFill="1" applyBorder="1"/>
    <xf numFmtId="14" fontId="5329" fillId="5334" borderId="5281" xfId="0" applyNumberFormat="1" applyFont="1" applyFill="1" applyBorder="1"/>
    <xf numFmtId="0" fontId="5330" fillId="5335" borderId="5282" xfId="0" applyFont="1" applyFill="1" applyBorder="1"/>
    <xf numFmtId="0" fontId="5331" fillId="5336" borderId="5283" xfId="0" applyFont="1" applyFill="1" applyBorder="1"/>
    <xf numFmtId="0" fontId="5332" fillId="5337" borderId="5284" xfId="0" applyFont="1" applyFill="1" applyBorder="1"/>
    <xf numFmtId="0" fontId="5333" fillId="5338" borderId="5285" xfId="0" applyFont="1" applyFill="1" applyBorder="1"/>
    <xf numFmtId="0" fontId="5334" fillId="5339" borderId="5286" xfId="0" applyFont="1" applyFill="1" applyBorder="1"/>
    <xf numFmtId="0" fontId="5335" fillId="5340" borderId="5287" xfId="0" applyFont="1" applyFill="1" applyBorder="1"/>
    <xf numFmtId="0" fontId="5336" fillId="5341" borderId="5288" xfId="0" applyFont="1" applyFill="1" applyBorder="1"/>
    <xf numFmtId="0" fontId="5337" fillId="5342" borderId="5289" xfId="0" applyFont="1" applyFill="1" applyBorder="1"/>
    <xf numFmtId="0" fontId="5338" fillId="5343" borderId="5290" xfId="0" applyFont="1" applyFill="1" applyBorder="1"/>
    <xf numFmtId="0" fontId="5339" fillId="5344" borderId="5291" xfId="0" applyFont="1" applyFill="1" applyBorder="1"/>
    <xf numFmtId="14" fontId="5340" fillId="5345" borderId="5292" xfId="0" applyNumberFormat="1" applyFont="1" applyFill="1" applyBorder="1"/>
    <xf numFmtId="0" fontId="5341" fillId="5346" borderId="5293" xfId="0" applyFont="1" applyFill="1" applyBorder="1"/>
    <xf numFmtId="0" fontId="5342" fillId="5347" borderId="5294" xfId="0" applyFont="1" applyFill="1" applyBorder="1"/>
    <xf numFmtId="0" fontId="5343" fillId="5348" borderId="5295" xfId="0" applyFont="1" applyFill="1" applyBorder="1"/>
    <xf numFmtId="0" fontId="5344" fillId="5349" borderId="5296" xfId="0" applyFont="1" applyFill="1" applyBorder="1"/>
    <xf numFmtId="0" fontId="5345" fillId="5350" borderId="5297" xfId="0" applyFont="1" applyFill="1" applyBorder="1"/>
    <xf numFmtId="0" fontId="5346" fillId="5351" borderId="5298" xfId="0" applyFont="1" applyFill="1" applyBorder="1"/>
    <xf numFmtId="0" fontId="5347" fillId="5352" borderId="5299" xfId="0" applyFont="1" applyFill="1" applyBorder="1"/>
    <xf numFmtId="0" fontId="5348" fillId="5353" borderId="5300" xfId="0" applyFont="1" applyFill="1" applyBorder="1"/>
    <xf numFmtId="0" fontId="5349" fillId="5354" borderId="5301" xfId="0" applyFont="1" applyFill="1" applyBorder="1"/>
    <xf numFmtId="0" fontId="5350" fillId="5355" borderId="5302" xfId="0" applyFont="1" applyFill="1" applyBorder="1"/>
    <xf numFmtId="14" fontId="5351" fillId="5356" borderId="5303" xfId="0" applyNumberFormat="1" applyFont="1" applyFill="1" applyBorder="1"/>
    <xf numFmtId="0" fontId="5352" fillId="5357" borderId="5304" xfId="0" applyFont="1" applyFill="1" applyBorder="1"/>
    <xf numFmtId="0" fontId="5353" fillId="5358" borderId="5305" xfId="0" applyFont="1" applyFill="1" applyBorder="1"/>
    <xf numFmtId="0" fontId="5354" fillId="5359" borderId="5306" xfId="0" applyFont="1" applyFill="1" applyBorder="1"/>
    <xf numFmtId="0" fontId="5355" fillId="5360" borderId="5307" xfId="0" applyFont="1" applyFill="1" applyBorder="1"/>
    <xf numFmtId="0" fontId="5356" fillId="5361" borderId="5308" xfId="0" applyFont="1" applyFill="1" applyBorder="1"/>
    <xf numFmtId="0" fontId="5357" fillId="5362" borderId="5309" xfId="0" applyFont="1" applyFill="1" applyBorder="1"/>
    <xf numFmtId="0" fontId="5358" fillId="5363" borderId="5310" xfId="0" applyFont="1" applyFill="1" applyBorder="1"/>
    <xf numFmtId="0" fontId="5359" fillId="5364" borderId="5311" xfId="0" applyFont="1" applyFill="1" applyBorder="1"/>
    <xf numFmtId="0" fontId="5360" fillId="5365" borderId="5312" xfId="0" applyFont="1" applyFill="1" applyBorder="1"/>
    <xf numFmtId="0" fontId="5361" fillId="5366" borderId="5313" xfId="0" applyFont="1" applyFill="1" applyBorder="1"/>
    <xf numFmtId="14" fontId="5362" fillId="5367" borderId="5314" xfId="0" applyNumberFormat="1" applyFont="1" applyFill="1" applyBorder="1"/>
    <xf numFmtId="0" fontId="5363" fillId="5368" borderId="5315" xfId="0" applyFont="1" applyFill="1" applyBorder="1"/>
    <xf numFmtId="0" fontId="5364" fillId="5369" borderId="5316" xfId="0" applyFont="1" applyFill="1" applyBorder="1"/>
    <xf numFmtId="0" fontId="5365" fillId="5370" borderId="5317" xfId="0" applyFont="1" applyFill="1" applyBorder="1"/>
    <xf numFmtId="0" fontId="5366" fillId="5371" borderId="5318" xfId="0" applyFont="1" applyFill="1" applyBorder="1"/>
    <xf numFmtId="0" fontId="5367" fillId="5372" borderId="5319" xfId="0" applyFont="1" applyFill="1" applyBorder="1"/>
    <xf numFmtId="0" fontId="5368" fillId="5373" borderId="5320" xfId="0" applyFont="1" applyFill="1" applyBorder="1"/>
    <xf numFmtId="0" fontId="5369" fillId="5374" borderId="5321" xfId="0" applyFont="1" applyFill="1" applyBorder="1"/>
    <xf numFmtId="0" fontId="5370" fillId="5375" borderId="5322" xfId="0" applyFont="1" applyFill="1" applyBorder="1"/>
    <xf numFmtId="0" fontId="5371" fillId="5376" borderId="5323" xfId="0" applyFont="1" applyFill="1" applyBorder="1"/>
    <xf numFmtId="0" fontId="5372" fillId="5377" borderId="5324" xfId="0" applyFont="1" applyFill="1" applyBorder="1"/>
    <xf numFmtId="14" fontId="5373" fillId="5378" borderId="5325" xfId="0" applyNumberFormat="1" applyFont="1" applyFill="1" applyBorder="1"/>
    <xf numFmtId="0" fontId="5374" fillId="5379" borderId="5326" xfId="0" applyFont="1" applyFill="1" applyBorder="1"/>
    <xf numFmtId="0" fontId="5375" fillId="5380" borderId="5327" xfId="0" applyFont="1" applyFill="1" applyBorder="1"/>
    <xf numFmtId="0" fontId="5376" fillId="5381" borderId="5328" xfId="0" applyFont="1" applyFill="1" applyBorder="1"/>
    <xf numFmtId="0" fontId="5377" fillId="5382" borderId="5329" xfId="0" applyFont="1" applyFill="1" applyBorder="1"/>
    <xf numFmtId="0" fontId="5378" fillId="5383" borderId="5330" xfId="0" applyFont="1" applyFill="1" applyBorder="1"/>
    <xf numFmtId="0" fontId="5379" fillId="5384" borderId="5331" xfId="0" applyFont="1" applyFill="1" applyBorder="1"/>
    <xf numFmtId="0" fontId="5380" fillId="5385" borderId="5332" xfId="0" applyFont="1" applyFill="1" applyBorder="1"/>
    <xf numFmtId="0" fontId="5381" fillId="5386" borderId="5333" xfId="0" applyFont="1" applyFill="1" applyBorder="1"/>
    <xf numFmtId="0" fontId="5382" fillId="5387" borderId="5334" xfId="0" applyFont="1" applyFill="1" applyBorder="1"/>
    <xf numFmtId="0" fontId="5383" fillId="5388" borderId="5335" xfId="0" applyFont="1" applyFill="1" applyBorder="1"/>
    <xf numFmtId="14" fontId="5384" fillId="5389" borderId="5336" xfId="0" applyNumberFormat="1" applyFont="1" applyFill="1" applyBorder="1"/>
    <xf numFmtId="0" fontId="5385" fillId="5390" borderId="5337" xfId="0" applyFont="1" applyFill="1" applyBorder="1"/>
    <xf numFmtId="0" fontId="5386" fillId="5391" borderId="5338" xfId="0" applyFont="1" applyFill="1" applyBorder="1"/>
    <xf numFmtId="0" fontId="5387" fillId="5392" borderId="5339" xfId="0" applyFont="1" applyFill="1" applyBorder="1"/>
    <xf numFmtId="0" fontId="5388" fillId="5393" borderId="5340" xfId="0" applyFont="1" applyFill="1" applyBorder="1"/>
    <xf numFmtId="0" fontId="5389" fillId="5394" borderId="5341" xfId="0" applyFont="1" applyFill="1" applyBorder="1"/>
    <xf numFmtId="0" fontId="5390" fillId="5395" borderId="5342" xfId="0" applyFont="1" applyFill="1" applyBorder="1"/>
    <xf numFmtId="0" fontId="5391" fillId="5396" borderId="5343" xfId="0" applyFont="1" applyFill="1" applyBorder="1"/>
    <xf numFmtId="0" fontId="5392" fillId="5397" borderId="5344" xfId="0" applyFont="1" applyFill="1" applyBorder="1"/>
    <xf numFmtId="0" fontId="5393" fillId="5398" borderId="5345" xfId="0" applyFont="1" applyFill="1" applyBorder="1"/>
    <xf numFmtId="0" fontId="5394" fillId="5399" borderId="5346" xfId="0" applyFont="1" applyFill="1" applyBorder="1"/>
    <xf numFmtId="14" fontId="5395" fillId="5400" borderId="5347" xfId="0" applyNumberFormat="1" applyFont="1" applyFill="1" applyBorder="1"/>
    <xf numFmtId="0" fontId="5396" fillId="5401" borderId="5348" xfId="0" applyFont="1" applyFill="1" applyBorder="1"/>
    <xf numFmtId="0" fontId="5397" fillId="5402" borderId="5349" xfId="0" applyFont="1" applyFill="1" applyBorder="1"/>
    <xf numFmtId="0" fontId="5398" fillId="5403" borderId="5350" xfId="0" applyFont="1" applyFill="1" applyBorder="1"/>
    <xf numFmtId="0" fontId="5399" fillId="5404" borderId="5351" xfId="0" applyFont="1" applyFill="1" applyBorder="1"/>
    <xf numFmtId="0" fontId="5400" fillId="5405" borderId="5352" xfId="0" applyFont="1" applyFill="1" applyBorder="1"/>
    <xf numFmtId="0" fontId="5401" fillId="5406" borderId="5353" xfId="0" applyFont="1" applyFill="1" applyBorder="1"/>
    <xf numFmtId="0" fontId="5402" fillId="5407" borderId="5354" xfId="0" applyFont="1" applyFill="1" applyBorder="1"/>
    <xf numFmtId="0" fontId="5403" fillId="5408" borderId="5355" xfId="0" applyFont="1" applyFill="1" applyBorder="1"/>
    <xf numFmtId="0" fontId="5404" fillId="5409" borderId="5356" xfId="0" applyFont="1" applyFill="1" applyBorder="1"/>
    <xf numFmtId="0" fontId="5405" fillId="5410" borderId="5357" xfId="0" applyFont="1" applyFill="1" applyBorder="1"/>
    <xf numFmtId="14" fontId="5406" fillId="5411" borderId="5358" xfId="0" applyNumberFormat="1" applyFont="1" applyFill="1" applyBorder="1"/>
    <xf numFmtId="0" fontId="5407" fillId="5412" borderId="5359" xfId="0" applyFont="1" applyFill="1" applyBorder="1"/>
    <xf numFmtId="0" fontId="5408" fillId="5413" borderId="5360" xfId="0" applyFont="1" applyFill="1" applyBorder="1"/>
    <xf numFmtId="0" fontId="5409" fillId="5414" borderId="5361" xfId="0" applyFont="1" applyFill="1" applyBorder="1"/>
    <xf numFmtId="0" fontId="5410" fillId="5415" borderId="5362" xfId="0" applyFont="1" applyFill="1" applyBorder="1"/>
    <xf numFmtId="0" fontId="5411" fillId="5416" borderId="5363" xfId="0" applyFont="1" applyFill="1" applyBorder="1"/>
    <xf numFmtId="0" fontId="5412" fillId="5417" borderId="5364" xfId="0" applyFont="1" applyFill="1" applyBorder="1"/>
    <xf numFmtId="0" fontId="5413" fillId="5418" borderId="5365" xfId="0" applyFont="1" applyFill="1" applyBorder="1"/>
    <xf numFmtId="0" fontId="5414" fillId="5419" borderId="5366" xfId="0" applyFont="1" applyFill="1" applyBorder="1"/>
    <xf numFmtId="0" fontId="5415" fillId="5420" borderId="5367" xfId="0" applyFont="1" applyFill="1" applyBorder="1"/>
    <xf numFmtId="0" fontId="5416" fillId="5421" borderId="5368" xfId="0" applyFont="1" applyFill="1" applyBorder="1"/>
    <xf numFmtId="14" fontId="5417" fillId="5422" borderId="5369" xfId="0" applyNumberFormat="1" applyFont="1" applyFill="1" applyBorder="1"/>
    <xf numFmtId="0" fontId="5418" fillId="5423" borderId="5370" xfId="0" applyFont="1" applyFill="1" applyBorder="1"/>
    <xf numFmtId="0" fontId="5419" fillId="5424" borderId="5371" xfId="0" applyFont="1" applyFill="1" applyBorder="1"/>
    <xf numFmtId="0" fontId="5420" fillId="5425" borderId="5372" xfId="0" applyFont="1" applyFill="1" applyBorder="1"/>
    <xf numFmtId="0" fontId="5421" fillId="5426" borderId="5373" xfId="0" applyFont="1" applyFill="1" applyBorder="1"/>
    <xf numFmtId="0" fontId="5422" fillId="5427" borderId="5374" xfId="0" applyFont="1" applyFill="1" applyBorder="1"/>
    <xf numFmtId="0" fontId="5423" fillId="5428" borderId="5375" xfId="0" applyFont="1" applyFill="1" applyBorder="1"/>
    <xf numFmtId="0" fontId="5424" fillId="5429" borderId="5376" xfId="0" applyFont="1" applyFill="1" applyBorder="1"/>
    <xf numFmtId="0" fontId="5425" fillId="5430" borderId="5377" xfId="0" applyFont="1" applyFill="1" applyBorder="1"/>
    <xf numFmtId="0" fontId="5426" fillId="5431" borderId="5378" xfId="0" applyFont="1" applyFill="1" applyBorder="1"/>
    <xf numFmtId="0" fontId="5427" fillId="5432" borderId="5379" xfId="0" applyFont="1" applyFill="1" applyBorder="1"/>
    <xf numFmtId="14" fontId="5428" fillId="5433" borderId="5380" xfId="0" applyNumberFormat="1" applyFont="1" applyFill="1" applyBorder="1"/>
    <xf numFmtId="0" fontId="5429" fillId="5434" borderId="5381" xfId="0" applyFont="1" applyFill="1" applyBorder="1"/>
    <xf numFmtId="0" fontId="5430" fillId="5435" borderId="5382" xfId="0" applyFont="1" applyFill="1" applyBorder="1"/>
    <xf numFmtId="0" fontId="5431" fillId="5436" borderId="5383" xfId="0" applyFont="1" applyFill="1" applyBorder="1"/>
    <xf numFmtId="0" fontId="5432" fillId="5437" borderId="5384" xfId="0" applyFont="1" applyFill="1" applyBorder="1"/>
    <xf numFmtId="0" fontId="5433" fillId="5438" borderId="5385" xfId="0" applyFont="1" applyFill="1" applyBorder="1"/>
    <xf numFmtId="0" fontId="5434" fillId="5439" borderId="5386" xfId="0" applyFont="1" applyFill="1" applyBorder="1"/>
    <xf numFmtId="0" fontId="5435" fillId="5440" borderId="5387" xfId="0" applyFont="1" applyFill="1" applyBorder="1"/>
    <xf numFmtId="0" fontId="5436" fillId="5441" borderId="5388" xfId="0" applyFont="1" applyFill="1" applyBorder="1"/>
    <xf numFmtId="0" fontId="5437" fillId="5442" borderId="5389" xfId="0" applyFont="1" applyFill="1" applyBorder="1"/>
    <xf numFmtId="0" fontId="5438" fillId="5443" borderId="5390" xfId="0" applyFont="1" applyFill="1" applyBorder="1"/>
    <xf numFmtId="14" fontId="5439" fillId="5444" borderId="5391" xfId="0" applyNumberFormat="1" applyFont="1" applyFill="1" applyBorder="1"/>
    <xf numFmtId="0" fontId="5440" fillId="5445" borderId="5392" xfId="0" applyFont="1" applyFill="1" applyBorder="1"/>
    <xf numFmtId="0" fontId="5441" fillId="5446" borderId="5393" xfId="0" applyFont="1" applyFill="1" applyBorder="1"/>
    <xf numFmtId="0" fontId="5442" fillId="5447" borderId="5394" xfId="0" applyFont="1" applyFill="1" applyBorder="1"/>
    <xf numFmtId="0" fontId="5443" fillId="5448" borderId="5395" xfId="0" applyFont="1" applyFill="1" applyBorder="1"/>
    <xf numFmtId="0" fontId="5444" fillId="5449" borderId="5396" xfId="0" applyFont="1" applyFill="1" applyBorder="1"/>
    <xf numFmtId="0" fontId="5445" fillId="5450" borderId="5397" xfId="0" applyFont="1" applyFill="1" applyBorder="1"/>
    <xf numFmtId="0" fontId="5446" fillId="5451" borderId="5398" xfId="0" applyFont="1" applyFill="1" applyBorder="1"/>
    <xf numFmtId="0" fontId="5447" fillId="5452" borderId="5399" xfId="0" applyFont="1" applyFill="1" applyBorder="1"/>
    <xf numFmtId="0" fontId="5448" fillId="5453" borderId="5400" xfId="0" applyFont="1" applyFill="1" applyBorder="1"/>
    <xf numFmtId="0" fontId="5449" fillId="5454" borderId="5401" xfId="0" applyFont="1" applyFill="1" applyBorder="1"/>
    <xf numFmtId="14" fontId="5450" fillId="5455" borderId="5402" xfId="0" applyNumberFormat="1" applyFont="1" applyFill="1" applyBorder="1"/>
    <xf numFmtId="0" fontId="5451" fillId="5456" borderId="5403" xfId="0" applyFont="1" applyFill="1" applyBorder="1"/>
    <xf numFmtId="0" fontId="5452" fillId="5457" borderId="5404" xfId="0" applyFont="1" applyFill="1" applyBorder="1"/>
    <xf numFmtId="0" fontId="5453" fillId="5458" borderId="5405" xfId="0" applyFont="1" applyFill="1" applyBorder="1"/>
    <xf numFmtId="0" fontId="5454" fillId="5459" borderId="5406" xfId="0" applyFont="1" applyFill="1" applyBorder="1"/>
    <xf numFmtId="0" fontId="5455" fillId="5460" borderId="5407" xfId="0" applyFont="1" applyFill="1" applyBorder="1"/>
    <xf numFmtId="0" fontId="5456" fillId="5461" borderId="5408" xfId="0" applyFont="1" applyFill="1" applyBorder="1"/>
    <xf numFmtId="0" fontId="5457" fillId="5462" borderId="5409" xfId="0" applyFont="1" applyFill="1" applyBorder="1"/>
    <xf numFmtId="0" fontId="5458" fillId="5463" borderId="5410" xfId="0" applyFont="1" applyFill="1" applyBorder="1"/>
    <xf numFmtId="0" fontId="5459" fillId="5464" borderId="5411" xfId="0" applyFont="1" applyFill="1" applyBorder="1"/>
    <xf numFmtId="0" fontId="5460" fillId="5465" borderId="5412" xfId="0" applyFont="1" applyFill="1" applyBorder="1"/>
    <xf numFmtId="14" fontId="5461" fillId="5466" borderId="5413" xfId="0" applyNumberFormat="1" applyFont="1" applyFill="1" applyBorder="1"/>
    <xf numFmtId="0" fontId="5462" fillId="5467" borderId="5414" xfId="0" applyFont="1" applyFill="1" applyBorder="1"/>
    <xf numFmtId="0" fontId="5463" fillId="5468" borderId="5415" xfId="0" applyFont="1" applyFill="1" applyBorder="1"/>
    <xf numFmtId="0" fontId="5464" fillId="5469" borderId="5416" xfId="0" applyFont="1" applyFill="1" applyBorder="1"/>
    <xf numFmtId="0" fontId="5465" fillId="5470" borderId="5417" xfId="0" applyFont="1" applyFill="1" applyBorder="1"/>
    <xf numFmtId="0" fontId="5466" fillId="5471" borderId="5418" xfId="0" applyFont="1" applyFill="1" applyBorder="1"/>
    <xf numFmtId="0" fontId="5467" fillId="5472" borderId="5419" xfId="0" applyFont="1" applyFill="1" applyBorder="1"/>
    <xf numFmtId="0" fontId="5468" fillId="5473" borderId="5420" xfId="0" applyFont="1" applyFill="1" applyBorder="1"/>
    <xf numFmtId="0" fontId="5469" fillId="5474" borderId="5421" xfId="0" applyFont="1" applyFill="1" applyBorder="1"/>
    <xf numFmtId="0" fontId="5470" fillId="5475" borderId="5422" xfId="0" applyFont="1" applyFill="1" applyBorder="1"/>
    <xf numFmtId="0" fontId="5471" fillId="5476" borderId="5423" xfId="0" applyFont="1" applyFill="1" applyBorder="1"/>
    <xf numFmtId="14" fontId="5472" fillId="5477" borderId="5424" xfId="0" applyNumberFormat="1" applyFont="1" applyFill="1" applyBorder="1"/>
    <xf numFmtId="0" fontId="5473" fillId="5478" borderId="5425" xfId="0" applyFont="1" applyFill="1" applyBorder="1"/>
    <xf numFmtId="0" fontId="5474" fillId="5479" borderId="5426" xfId="0" applyFont="1" applyFill="1" applyBorder="1"/>
    <xf numFmtId="0" fontId="5475" fillId="5480" borderId="5427" xfId="0" applyFont="1" applyFill="1" applyBorder="1"/>
    <xf numFmtId="0" fontId="5476" fillId="5481" borderId="5428" xfId="0" applyFont="1" applyFill="1" applyBorder="1"/>
    <xf numFmtId="0" fontId="5477" fillId="5482" borderId="5429" xfId="0" applyFont="1" applyFill="1" applyBorder="1"/>
    <xf numFmtId="0" fontId="5478" fillId="5483" borderId="5430" xfId="0" applyFont="1" applyFill="1" applyBorder="1"/>
    <xf numFmtId="0" fontId="5479" fillId="5484" borderId="5431" xfId="0" applyFont="1" applyFill="1" applyBorder="1"/>
    <xf numFmtId="0" fontId="5480" fillId="5485" borderId="5432" xfId="0" applyFont="1" applyFill="1" applyBorder="1"/>
    <xf numFmtId="0" fontId="5481" fillId="5486" borderId="5433" xfId="0" applyFont="1" applyFill="1" applyBorder="1"/>
    <xf numFmtId="0" fontId="5482" fillId="5487" borderId="5434" xfId="0" applyFont="1" applyFill="1" applyBorder="1"/>
    <xf numFmtId="14" fontId="5483" fillId="5488" borderId="5435" xfId="0" applyNumberFormat="1" applyFont="1" applyFill="1" applyBorder="1"/>
    <xf numFmtId="0" fontId="5484" fillId="5489" borderId="5436" xfId="0" applyFont="1" applyFill="1" applyBorder="1"/>
    <xf numFmtId="0" fontId="5485" fillId="5490" borderId="5437" xfId="0" applyFont="1" applyFill="1" applyBorder="1"/>
    <xf numFmtId="0" fontId="5486" fillId="5491" borderId="5438" xfId="0" applyFont="1" applyFill="1" applyBorder="1"/>
    <xf numFmtId="0" fontId="5487" fillId="5492" borderId="5439" xfId="0" applyFont="1" applyFill="1" applyBorder="1"/>
    <xf numFmtId="0" fontId="5488" fillId="5493" borderId="5440" xfId="0" applyFont="1" applyFill="1" applyBorder="1"/>
    <xf numFmtId="0" fontId="5489" fillId="5494" borderId="5441" xfId="0" applyFont="1" applyFill="1" applyBorder="1"/>
    <xf numFmtId="0" fontId="5490" fillId="5495" borderId="5442" xfId="0" applyFont="1" applyFill="1" applyBorder="1"/>
    <xf numFmtId="0" fontId="5491" fillId="5496" borderId="5443" xfId="0" applyFont="1" applyFill="1" applyBorder="1"/>
    <xf numFmtId="0" fontId="5492" fillId="5497" borderId="5444" xfId="0" applyFont="1" applyFill="1" applyBorder="1"/>
    <xf numFmtId="0" fontId="5493" fillId="5498" borderId="5445" xfId="0" applyFont="1" applyFill="1" applyBorder="1"/>
    <xf numFmtId="14" fontId="5494" fillId="5499" borderId="5446" xfId="0" applyNumberFormat="1" applyFont="1" applyFill="1" applyBorder="1"/>
    <xf numFmtId="0" fontId="5495" fillId="5500" borderId="5447" xfId="0" applyFont="1" applyFill="1" applyBorder="1"/>
    <xf numFmtId="0" fontId="5496" fillId="5501" borderId="5448" xfId="0" applyFont="1" applyFill="1" applyBorder="1"/>
    <xf numFmtId="0" fontId="5497" fillId="5502" borderId="5449" xfId="0" applyFont="1" applyFill="1" applyBorder="1"/>
    <xf numFmtId="0" fontId="5498" fillId="5503" borderId="5450" xfId="0" applyFont="1" applyFill="1" applyBorder="1"/>
    <xf numFmtId="0" fontId="5499" fillId="5504" borderId="5451" xfId="0" applyFont="1" applyFill="1" applyBorder="1"/>
    <xf numFmtId="0" fontId="5500" fillId="5505" borderId="5452" xfId="0" applyFont="1" applyFill="1" applyBorder="1"/>
    <xf numFmtId="0" fontId="5501" fillId="5506" borderId="5453" xfId="0" applyFont="1" applyFill="1" applyBorder="1"/>
    <xf numFmtId="0" fontId="5502" fillId="5507" borderId="5454" xfId="0" applyFont="1" applyFill="1" applyBorder="1"/>
    <xf numFmtId="0" fontId="5503" fillId="5508" borderId="5455" xfId="0" applyFont="1" applyFill="1" applyBorder="1"/>
    <xf numFmtId="0" fontId="5504" fillId="5509" borderId="5456" xfId="0" applyFont="1" applyFill="1" applyBorder="1"/>
    <xf numFmtId="14" fontId="5505" fillId="5510" borderId="5457" xfId="0" applyNumberFormat="1" applyFont="1" applyFill="1" applyBorder="1"/>
    <xf numFmtId="0" fontId="5506" fillId="5511" borderId="5458" xfId="0" applyFont="1" applyFill="1" applyBorder="1"/>
    <xf numFmtId="0" fontId="5507" fillId="5512" borderId="5459" xfId="0" applyFont="1" applyFill="1" applyBorder="1"/>
    <xf numFmtId="0" fontId="5508" fillId="5513" borderId="5460" xfId="0" applyFont="1" applyFill="1" applyBorder="1"/>
    <xf numFmtId="0" fontId="5509" fillId="5514" borderId="5461" xfId="0" applyFont="1" applyFill="1" applyBorder="1"/>
    <xf numFmtId="0" fontId="5510" fillId="5515" borderId="5462" xfId="0" applyFont="1" applyFill="1" applyBorder="1"/>
    <xf numFmtId="0" fontId="5511" fillId="5516" borderId="5463" xfId="0" applyFont="1" applyFill="1" applyBorder="1"/>
    <xf numFmtId="0" fontId="5512" fillId="5517" borderId="5464" xfId="0" applyFont="1" applyFill="1" applyBorder="1"/>
    <xf numFmtId="0" fontId="5513" fillId="5518" borderId="5465" xfId="0" applyFont="1" applyFill="1" applyBorder="1"/>
    <xf numFmtId="0" fontId="5514" fillId="5519" borderId="5466" xfId="0" applyFont="1" applyFill="1" applyBorder="1"/>
    <xf numFmtId="0" fontId="5515" fillId="5520" borderId="5467" xfId="0" applyFont="1" applyFill="1" applyBorder="1"/>
    <xf numFmtId="14" fontId="5516" fillId="5521" borderId="5468" xfId="0" applyNumberFormat="1" applyFont="1" applyFill="1" applyBorder="1"/>
    <xf numFmtId="0" fontId="5517" fillId="5522" borderId="5469" xfId="0" applyFont="1" applyFill="1" applyBorder="1"/>
    <xf numFmtId="0" fontId="5518" fillId="5523" borderId="5470" xfId="0" applyFont="1" applyFill="1" applyBorder="1"/>
    <xf numFmtId="0" fontId="5519" fillId="5524" borderId="5471" xfId="0" applyFont="1" applyFill="1" applyBorder="1"/>
    <xf numFmtId="0" fontId="5520" fillId="5525" borderId="5472" xfId="0" applyFont="1" applyFill="1" applyBorder="1"/>
    <xf numFmtId="0" fontId="5521" fillId="5526" borderId="5473" xfId="0" applyFont="1" applyFill="1" applyBorder="1"/>
    <xf numFmtId="0" fontId="5522" fillId="5527" borderId="5474" xfId="0" applyFont="1" applyFill="1" applyBorder="1"/>
    <xf numFmtId="0" fontId="5523" fillId="5528" borderId="5475" xfId="0" applyFont="1" applyFill="1" applyBorder="1"/>
    <xf numFmtId="0" fontId="5524" fillId="5529" borderId="5476" xfId="0" applyFont="1" applyFill="1" applyBorder="1"/>
    <xf numFmtId="0" fontId="5525" fillId="5530" borderId="5477" xfId="0" applyFont="1" applyFill="1" applyBorder="1"/>
    <xf numFmtId="0" fontId="5526" fillId="5531" borderId="5478" xfId="0" applyFont="1" applyFill="1" applyBorder="1"/>
    <xf numFmtId="14" fontId="5527" fillId="5532" borderId="5479" xfId="0" applyNumberFormat="1" applyFont="1" applyFill="1" applyBorder="1"/>
    <xf numFmtId="0" fontId="5528" fillId="5533" borderId="5480" xfId="0" applyFont="1" applyFill="1" applyBorder="1"/>
    <xf numFmtId="0" fontId="5529" fillId="5534" borderId="5481" xfId="0" applyFont="1" applyFill="1" applyBorder="1"/>
    <xf numFmtId="0" fontId="5530" fillId="5535" borderId="5482" xfId="0" applyFont="1" applyFill="1" applyBorder="1"/>
    <xf numFmtId="0" fontId="5531" fillId="5536" borderId="5483" xfId="0" applyFont="1" applyFill="1" applyBorder="1"/>
    <xf numFmtId="0" fontId="5532" fillId="5537" borderId="5484" xfId="0" applyFont="1" applyFill="1" applyBorder="1"/>
    <xf numFmtId="0" fontId="5533" fillId="5538" borderId="5485" xfId="0" applyFont="1" applyFill="1" applyBorder="1"/>
    <xf numFmtId="0" fontId="5534" fillId="5539" borderId="5486" xfId="0" applyFont="1" applyFill="1" applyBorder="1"/>
    <xf numFmtId="0" fontId="5535" fillId="5540" borderId="5487" xfId="0" applyFont="1" applyFill="1" applyBorder="1"/>
    <xf numFmtId="0" fontId="5536" fillId="5541" borderId="5488" xfId="0" applyFont="1" applyFill="1" applyBorder="1"/>
    <xf numFmtId="0" fontId="5537" fillId="5542" borderId="5489" xfId="0" applyFont="1" applyFill="1" applyBorder="1"/>
    <xf numFmtId="14" fontId="5538" fillId="5543" borderId="5490" xfId="0" applyNumberFormat="1" applyFont="1" applyFill="1" applyBorder="1"/>
    <xf numFmtId="0" fontId="5539" fillId="5544" borderId="5491" xfId="0" applyFont="1" applyFill="1" applyBorder="1"/>
    <xf numFmtId="0" fontId="5540" fillId="5545" borderId="5492" xfId="0" applyFont="1" applyFill="1" applyBorder="1"/>
    <xf numFmtId="0" fontId="5541" fillId="5546" borderId="5493" xfId="0" applyFont="1" applyFill="1" applyBorder="1"/>
    <xf numFmtId="0" fontId="5542" fillId="5547" borderId="5494" xfId="0" applyFont="1" applyFill="1" applyBorder="1"/>
    <xf numFmtId="0" fontId="5543" fillId="5548" borderId="5495" xfId="0" applyFont="1" applyFill="1" applyBorder="1"/>
    <xf numFmtId="0" fontId="5544" fillId="5549" borderId="5496" xfId="0" applyFont="1" applyFill="1" applyBorder="1"/>
    <xf numFmtId="0" fontId="5545" fillId="5550" borderId="5497" xfId="0" applyFont="1" applyFill="1" applyBorder="1"/>
    <xf numFmtId="0" fontId="5546" fillId="5551" borderId="5498" xfId="0" applyFont="1" applyFill="1" applyBorder="1"/>
    <xf numFmtId="0" fontId="5547" fillId="5552" borderId="5499" xfId="0" applyFont="1" applyFill="1" applyBorder="1"/>
    <xf numFmtId="0" fontId="5548" fillId="5553" borderId="5500" xfId="0" applyFont="1" applyFill="1" applyBorder="1"/>
    <xf numFmtId="14" fontId="5549" fillId="5554" borderId="5501" xfId="0" applyNumberFormat="1" applyFont="1" applyFill="1" applyBorder="1"/>
    <xf numFmtId="0" fontId="5550" fillId="5555" borderId="5502" xfId="0" applyFont="1" applyFill="1" applyBorder="1"/>
    <xf numFmtId="0" fontId="5551" fillId="5556" borderId="5503" xfId="0" applyFont="1" applyFill="1" applyBorder="1"/>
    <xf numFmtId="0" fontId="5552" fillId="5557" borderId="5504" xfId="0" applyFont="1" applyFill="1" applyBorder="1"/>
    <xf numFmtId="0" fontId="5553" fillId="5558" borderId="5505" xfId="0" applyFont="1" applyFill="1" applyBorder="1"/>
    <xf numFmtId="0" fontId="5554" fillId="5559" borderId="5506" xfId="0" applyFont="1" applyFill="1" applyBorder="1"/>
    <xf numFmtId="0" fontId="5555" fillId="5560" borderId="5507" xfId="0" applyFont="1" applyFill="1" applyBorder="1"/>
    <xf numFmtId="0" fontId="5556" fillId="5561" borderId="5508" xfId="0" applyFont="1" applyFill="1" applyBorder="1"/>
    <xf numFmtId="0" fontId="5557" fillId="5562" borderId="5509" xfId="0" applyFont="1" applyFill="1" applyBorder="1"/>
    <xf numFmtId="0" fontId="5558" fillId="5563" borderId="5510" xfId="0" applyFont="1" applyFill="1" applyBorder="1"/>
    <xf numFmtId="0" fontId="5559" fillId="5564" borderId="5511" xfId="0" applyFont="1" applyFill="1" applyBorder="1"/>
    <xf numFmtId="14" fontId="5560" fillId="5565" borderId="5512" xfId="0" applyNumberFormat="1" applyFont="1" applyFill="1" applyBorder="1"/>
    <xf numFmtId="0" fontId="5561" fillId="5566" borderId="5513" xfId="0" applyFont="1" applyFill="1" applyBorder="1"/>
    <xf numFmtId="0" fontId="5562" fillId="5567" borderId="5514" xfId="0" applyFont="1" applyFill="1" applyBorder="1"/>
    <xf numFmtId="0" fontId="5563" fillId="5568" borderId="5515" xfId="0" applyFont="1" applyFill="1" applyBorder="1"/>
    <xf numFmtId="0" fontId="5564" fillId="5569" borderId="5516" xfId="0" applyFont="1" applyFill="1" applyBorder="1"/>
    <xf numFmtId="0" fontId="5565" fillId="5570" borderId="5517" xfId="0" applyFont="1" applyFill="1" applyBorder="1"/>
    <xf numFmtId="0" fontId="5566" fillId="5571" borderId="5518" xfId="0" applyFont="1" applyFill="1" applyBorder="1"/>
    <xf numFmtId="0" fontId="5567" fillId="5572" borderId="5519" xfId="0" applyFont="1" applyFill="1" applyBorder="1"/>
    <xf numFmtId="0" fontId="5568" fillId="5573" borderId="5520" xfId="0" applyFont="1" applyFill="1" applyBorder="1"/>
    <xf numFmtId="0" fontId="5569" fillId="5574" borderId="5521" xfId="0" applyFont="1" applyFill="1" applyBorder="1"/>
    <xf numFmtId="0" fontId="5570" fillId="5575" borderId="5522" xfId="0" applyFont="1" applyFill="1" applyBorder="1"/>
    <xf numFmtId="14" fontId="5571" fillId="5576" borderId="5523" xfId="0" applyNumberFormat="1" applyFont="1" applyFill="1" applyBorder="1"/>
    <xf numFmtId="0" fontId="5572" fillId="5577" borderId="5524" xfId="0" applyFont="1" applyFill="1" applyBorder="1"/>
    <xf numFmtId="0" fontId="5573" fillId="5578" borderId="5525" xfId="0" applyFont="1" applyFill="1" applyBorder="1"/>
    <xf numFmtId="0" fontId="5574" fillId="5579" borderId="5526" xfId="0" applyFont="1" applyFill="1" applyBorder="1"/>
    <xf numFmtId="0" fontId="5575" fillId="5580" borderId="5527" xfId="0" applyFont="1" applyFill="1" applyBorder="1"/>
    <xf numFmtId="0" fontId="5576" fillId="5581" borderId="5528" xfId="0" applyFont="1" applyFill="1" applyBorder="1"/>
    <xf numFmtId="0" fontId="5577" fillId="5582" borderId="5529" xfId="0" applyFont="1" applyFill="1" applyBorder="1"/>
    <xf numFmtId="0" fontId="5578" fillId="5583" borderId="5530" xfId="0" applyFont="1" applyFill="1" applyBorder="1"/>
    <xf numFmtId="0" fontId="5579" fillId="5584" borderId="5531" xfId="0" applyFont="1" applyFill="1" applyBorder="1"/>
    <xf numFmtId="0" fontId="5580" fillId="5585" borderId="5532" xfId="0" applyFont="1" applyFill="1" applyBorder="1"/>
    <xf numFmtId="0" fontId="5581" fillId="5586" borderId="5533" xfId="0" applyFont="1" applyFill="1" applyBorder="1"/>
    <xf numFmtId="14" fontId="5582" fillId="5587" borderId="5534" xfId="0" applyNumberFormat="1" applyFont="1" applyFill="1" applyBorder="1"/>
    <xf numFmtId="0" fontId="5583" fillId="5588" borderId="5535" xfId="0" applyFont="1" applyFill="1" applyBorder="1"/>
    <xf numFmtId="0" fontId="5584" fillId="5589" borderId="5536" xfId="0" applyFont="1" applyFill="1" applyBorder="1"/>
    <xf numFmtId="0" fontId="5585" fillId="5590" borderId="5537" xfId="0" applyFont="1" applyFill="1" applyBorder="1"/>
    <xf numFmtId="0" fontId="5586" fillId="5591" borderId="5538" xfId="0" applyFont="1" applyFill="1" applyBorder="1"/>
    <xf numFmtId="0" fontId="5587" fillId="5592" borderId="5539" xfId="0" applyFont="1" applyFill="1" applyBorder="1"/>
    <xf numFmtId="0" fontId="5588" fillId="5593" borderId="5540" xfId="0" applyFont="1" applyFill="1" applyBorder="1"/>
    <xf numFmtId="0" fontId="5589" fillId="5594" borderId="5541" xfId="0" applyFont="1" applyFill="1" applyBorder="1"/>
    <xf numFmtId="0" fontId="5590" fillId="5595" borderId="5542" xfId="0" applyFont="1" applyFill="1" applyBorder="1"/>
    <xf numFmtId="0" fontId="5591" fillId="5596" borderId="5543" xfId="0" applyFont="1" applyFill="1" applyBorder="1"/>
    <xf numFmtId="0" fontId="5592" fillId="5597" borderId="5544" xfId="0" applyFont="1" applyFill="1" applyBorder="1"/>
    <xf numFmtId="14" fontId="5593" fillId="5598" borderId="5545" xfId="0" applyNumberFormat="1" applyFont="1" applyFill="1" applyBorder="1"/>
    <xf numFmtId="0" fontId="5594" fillId="5599" borderId="5546" xfId="0" applyFont="1" applyFill="1" applyBorder="1"/>
    <xf numFmtId="0" fontId="5595" fillId="5600" borderId="5547" xfId="0" applyFont="1" applyFill="1" applyBorder="1"/>
    <xf numFmtId="0" fontId="5596" fillId="5601" borderId="5548" xfId="0" applyFont="1" applyFill="1" applyBorder="1"/>
    <xf numFmtId="0" fontId="5597" fillId="5602" borderId="5549" xfId="0" applyFont="1" applyFill="1" applyBorder="1"/>
    <xf numFmtId="0" fontId="5598" fillId="5603" borderId="5550" xfId="0" applyFont="1" applyFill="1" applyBorder="1"/>
    <xf numFmtId="0" fontId="5599" fillId="5604" borderId="5551" xfId="0" applyFont="1" applyFill="1" applyBorder="1"/>
    <xf numFmtId="0" fontId="5600" fillId="5605" borderId="5552" xfId="0" applyFont="1" applyFill="1" applyBorder="1"/>
    <xf numFmtId="0" fontId="5601" fillId="5606" borderId="5553" xfId="0" applyFont="1" applyFill="1" applyBorder="1"/>
    <xf numFmtId="0" fontId="5602" fillId="5607" borderId="5554" xfId="0" applyFont="1" applyFill="1" applyBorder="1"/>
    <xf numFmtId="0" fontId="5603" fillId="5608" borderId="5555" xfId="0" applyFont="1" applyFill="1" applyBorder="1"/>
    <xf numFmtId="14" fontId="5604" fillId="5609" borderId="5556" xfId="0" applyNumberFormat="1" applyFont="1" applyFill="1" applyBorder="1"/>
    <xf numFmtId="0" fontId="5605" fillId="5610" borderId="5557" xfId="0" applyFont="1" applyFill="1" applyBorder="1"/>
    <xf numFmtId="0" fontId="5606" fillId="5611" borderId="5558" xfId="0" applyFont="1" applyFill="1" applyBorder="1"/>
    <xf numFmtId="0" fontId="5607" fillId="5612" borderId="5559" xfId="0" applyFont="1" applyFill="1" applyBorder="1"/>
    <xf numFmtId="0" fontId="5608" fillId="5613" borderId="5560" xfId="0" applyFont="1" applyFill="1" applyBorder="1"/>
    <xf numFmtId="0" fontId="5609" fillId="5614" borderId="5561" xfId="0" applyFont="1" applyFill="1" applyBorder="1"/>
    <xf numFmtId="0" fontId="5610" fillId="5615" borderId="5562" xfId="0" applyFont="1" applyFill="1" applyBorder="1"/>
    <xf numFmtId="0" fontId="5611" fillId="5616" borderId="5563" xfId="0" applyFont="1" applyFill="1" applyBorder="1"/>
    <xf numFmtId="0" fontId="5612" fillId="5617" borderId="5564" xfId="0" applyFont="1" applyFill="1" applyBorder="1"/>
    <xf numFmtId="0" fontId="5613" fillId="5618" borderId="5565" xfId="0" applyFont="1" applyFill="1" applyBorder="1"/>
    <xf numFmtId="0" fontId="5614" fillId="5619" borderId="5566" xfId="0" applyFont="1" applyFill="1" applyBorder="1"/>
    <xf numFmtId="14" fontId="5615" fillId="5620" borderId="5567" xfId="0" applyNumberFormat="1" applyFont="1" applyFill="1" applyBorder="1"/>
    <xf numFmtId="0" fontId="5616" fillId="5621" borderId="5568" xfId="0" applyFont="1" applyFill="1" applyBorder="1"/>
    <xf numFmtId="0" fontId="5617" fillId="5622" borderId="5569" xfId="0" applyFont="1" applyFill="1" applyBorder="1"/>
    <xf numFmtId="0" fontId="5618" fillId="5623" borderId="5570" xfId="0" applyFont="1" applyFill="1" applyBorder="1"/>
    <xf numFmtId="0" fontId="5619" fillId="5624" borderId="5571" xfId="0" applyFont="1" applyFill="1" applyBorder="1"/>
    <xf numFmtId="0" fontId="5620" fillId="5625" borderId="5572" xfId="0" applyFont="1" applyFill="1" applyBorder="1"/>
    <xf numFmtId="0" fontId="5621" fillId="5626" borderId="5573" xfId="0" applyFont="1" applyFill="1" applyBorder="1"/>
    <xf numFmtId="0" fontId="5622" fillId="5627" borderId="5574" xfId="0" applyFont="1" applyFill="1" applyBorder="1"/>
    <xf numFmtId="0" fontId="5623" fillId="5628" borderId="5575" xfId="0" applyFont="1" applyFill="1" applyBorder="1"/>
    <xf numFmtId="0" fontId="5624" fillId="5629" borderId="5576" xfId="0" applyFont="1" applyFill="1" applyBorder="1"/>
    <xf numFmtId="0" fontId="5625" fillId="5630" borderId="5577" xfId="0" applyFont="1" applyFill="1" applyBorder="1"/>
    <xf numFmtId="14" fontId="5626" fillId="5631" borderId="5578" xfId="0" applyNumberFormat="1" applyFont="1" applyFill="1" applyBorder="1"/>
    <xf numFmtId="0" fontId="5627" fillId="5632" borderId="5579" xfId="0" applyFont="1" applyFill="1" applyBorder="1"/>
    <xf numFmtId="0" fontId="5628" fillId="5633" borderId="5580" xfId="0" applyFont="1" applyFill="1" applyBorder="1"/>
    <xf numFmtId="0" fontId="5629" fillId="5634" borderId="5581" xfId="0" applyFont="1" applyFill="1" applyBorder="1"/>
    <xf numFmtId="0" fontId="5630" fillId="5635" borderId="5582" xfId="0" applyFont="1" applyFill="1" applyBorder="1"/>
    <xf numFmtId="0" fontId="5631" fillId="5636" borderId="5583" xfId="0" applyFont="1" applyFill="1" applyBorder="1"/>
    <xf numFmtId="0" fontId="5632" fillId="5637" borderId="5584" xfId="0" applyFont="1" applyFill="1" applyBorder="1"/>
    <xf numFmtId="0" fontId="5633" fillId="5638" borderId="5585" xfId="0" applyFont="1" applyFill="1" applyBorder="1"/>
    <xf numFmtId="0" fontId="5634" fillId="5639" borderId="5586" xfId="0" applyFont="1" applyFill="1" applyBorder="1"/>
    <xf numFmtId="0" fontId="5635" fillId="5640" borderId="5587" xfId="0" applyFont="1" applyFill="1" applyBorder="1"/>
    <xf numFmtId="0" fontId="5636" fillId="5641" borderId="5588" xfId="0" applyFont="1" applyFill="1" applyBorder="1"/>
    <xf numFmtId="14" fontId="5637" fillId="5642" borderId="5589" xfId="0" applyNumberFormat="1" applyFont="1" applyFill="1" applyBorder="1"/>
    <xf numFmtId="0" fontId="5638" fillId="5643" borderId="5590" xfId="0" applyFont="1" applyFill="1" applyBorder="1"/>
    <xf numFmtId="0" fontId="5639" fillId="5644" borderId="5591" xfId="0" applyFont="1" applyFill="1" applyBorder="1"/>
    <xf numFmtId="0" fontId="5640" fillId="5645" borderId="5592" xfId="0" applyFont="1" applyFill="1" applyBorder="1"/>
    <xf numFmtId="0" fontId="5641" fillId="5646" borderId="5593" xfId="0" applyFont="1" applyFill="1" applyBorder="1"/>
    <xf numFmtId="0" fontId="5642" fillId="5647" borderId="5594" xfId="0" applyFont="1" applyFill="1" applyBorder="1"/>
    <xf numFmtId="0" fontId="5643" fillId="5648" borderId="5595" xfId="0" applyFont="1" applyFill="1" applyBorder="1"/>
    <xf numFmtId="0" fontId="5644" fillId="5649" borderId="5596" xfId="0" applyFont="1" applyFill="1" applyBorder="1"/>
    <xf numFmtId="0" fontId="5645" fillId="5650" borderId="5597" xfId="0" applyFont="1" applyFill="1" applyBorder="1"/>
    <xf numFmtId="0" fontId="5646" fillId="5651" borderId="5598" xfId="0" applyFont="1" applyFill="1" applyBorder="1"/>
    <xf numFmtId="0" fontId="5647" fillId="5652" borderId="5599" xfId="0" applyFont="1" applyFill="1" applyBorder="1"/>
    <xf numFmtId="14" fontId="5648" fillId="5653" borderId="5600" xfId="0" applyNumberFormat="1" applyFont="1" applyFill="1" applyBorder="1"/>
    <xf numFmtId="0" fontId="5649" fillId="5654" borderId="5601" xfId="0" applyFont="1" applyFill="1" applyBorder="1"/>
    <xf numFmtId="0" fontId="5650" fillId="5655" borderId="5602" xfId="0" applyFont="1" applyFill="1" applyBorder="1"/>
    <xf numFmtId="0" fontId="5651" fillId="5656" borderId="5603" xfId="0" applyFont="1" applyFill="1" applyBorder="1"/>
    <xf numFmtId="0" fontId="5652" fillId="5657" borderId="5604" xfId="0" applyFont="1" applyFill="1" applyBorder="1"/>
    <xf numFmtId="0" fontId="5653" fillId="5658" borderId="5605" xfId="0" applyFont="1" applyFill="1" applyBorder="1"/>
    <xf numFmtId="0" fontId="5654" fillId="5659" borderId="5606" xfId="0" applyFont="1" applyFill="1" applyBorder="1"/>
    <xf numFmtId="0" fontId="5655" fillId="5660" borderId="5607" xfId="0" applyFont="1" applyFill="1" applyBorder="1"/>
    <xf numFmtId="0" fontId="5656" fillId="5661" borderId="5608" xfId="0" applyFont="1" applyFill="1" applyBorder="1"/>
    <xf numFmtId="0" fontId="5657" fillId="5662" borderId="5609" xfId="0" applyFont="1" applyFill="1" applyBorder="1"/>
    <xf numFmtId="0" fontId="5658" fillId="5663" borderId="5610" xfId="0" applyFont="1" applyFill="1" applyBorder="1"/>
    <xf numFmtId="14" fontId="5659" fillId="5664" borderId="5611" xfId="0" applyNumberFormat="1" applyFont="1" applyFill="1" applyBorder="1"/>
    <xf numFmtId="0" fontId="5660" fillId="5665" borderId="5612" xfId="0" applyFont="1" applyFill="1" applyBorder="1"/>
    <xf numFmtId="0" fontId="5661" fillId="5666" borderId="5613" xfId="0" applyFont="1" applyFill="1" applyBorder="1"/>
    <xf numFmtId="0" fontId="5662" fillId="5667" borderId="5614" xfId="0" applyFont="1" applyFill="1" applyBorder="1"/>
    <xf numFmtId="0" fontId="5663" fillId="5668" borderId="5615" xfId="0" applyFont="1" applyFill="1" applyBorder="1"/>
    <xf numFmtId="0" fontId="5664" fillId="5669" borderId="5616" xfId="0" applyFont="1" applyFill="1" applyBorder="1"/>
    <xf numFmtId="0" fontId="5665" fillId="5670" borderId="5617" xfId="0" applyFont="1" applyFill="1" applyBorder="1"/>
    <xf numFmtId="0" fontId="5666" fillId="5671" borderId="5618" xfId="0" applyFont="1" applyFill="1" applyBorder="1"/>
    <xf numFmtId="0" fontId="5667" fillId="5672" borderId="5619" xfId="0" applyFont="1" applyFill="1" applyBorder="1"/>
    <xf numFmtId="0" fontId="5668" fillId="5673" borderId="5620" xfId="0" applyFont="1" applyFill="1" applyBorder="1"/>
    <xf numFmtId="0" fontId="5669" fillId="5674" borderId="5621" xfId="0" applyFont="1" applyFill="1" applyBorder="1"/>
    <xf numFmtId="14" fontId="5670" fillId="5675" borderId="5622" xfId="0" applyNumberFormat="1" applyFont="1" applyFill="1" applyBorder="1"/>
    <xf numFmtId="0" fontId="5671" fillId="5676" borderId="5623" xfId="0" applyFont="1" applyFill="1" applyBorder="1"/>
    <xf numFmtId="0" fontId="5672" fillId="5677" borderId="5624" xfId="0" applyFont="1" applyFill="1" applyBorder="1"/>
    <xf numFmtId="0" fontId="5673" fillId="5678" borderId="5625" xfId="0" applyFont="1" applyFill="1" applyBorder="1"/>
    <xf numFmtId="0" fontId="5674" fillId="5679" borderId="5626" xfId="0" applyFont="1" applyFill="1" applyBorder="1"/>
    <xf numFmtId="0" fontId="5675" fillId="5680" borderId="5627" xfId="0" applyFont="1" applyFill="1" applyBorder="1"/>
    <xf numFmtId="0" fontId="5676" fillId="5681" borderId="5628" xfId="0" applyFont="1" applyFill="1" applyBorder="1"/>
    <xf numFmtId="0" fontId="5677" fillId="5682" borderId="5629" xfId="0" applyFont="1" applyFill="1" applyBorder="1"/>
    <xf numFmtId="0" fontId="5678" fillId="5683" borderId="5630" xfId="0" applyFont="1" applyFill="1" applyBorder="1"/>
    <xf numFmtId="0" fontId="5679" fillId="5684" borderId="5631" xfId="0" applyFont="1" applyFill="1" applyBorder="1"/>
    <xf numFmtId="0" fontId="5680" fillId="5685" borderId="5632" xfId="0" applyFont="1" applyFill="1" applyBorder="1"/>
    <xf numFmtId="14" fontId="5681" fillId="5686" borderId="5633" xfId="0" applyNumberFormat="1" applyFont="1" applyFill="1" applyBorder="1"/>
    <xf numFmtId="0" fontId="5682" fillId="5687" borderId="5634" xfId="0" applyFont="1" applyFill="1" applyBorder="1"/>
    <xf numFmtId="0" fontId="5683" fillId="5688" borderId="5635" xfId="0" applyFont="1" applyFill="1" applyBorder="1"/>
    <xf numFmtId="0" fontId="5684" fillId="5689" borderId="5636" xfId="0" applyFont="1" applyFill="1" applyBorder="1"/>
    <xf numFmtId="0" fontId="5685" fillId="5690" borderId="5637" xfId="0" applyFont="1" applyFill="1" applyBorder="1"/>
    <xf numFmtId="0" fontId="5686" fillId="5691" borderId="5638" xfId="0" applyFont="1" applyFill="1" applyBorder="1"/>
    <xf numFmtId="0" fontId="5687" fillId="5692" borderId="5639" xfId="0" applyFont="1" applyFill="1" applyBorder="1"/>
    <xf numFmtId="0" fontId="5688" fillId="5693" borderId="5640" xfId="0" applyFont="1" applyFill="1" applyBorder="1"/>
    <xf numFmtId="0" fontId="5689" fillId="5694" borderId="5641" xfId="0" applyFont="1" applyFill="1" applyBorder="1"/>
    <xf numFmtId="0" fontId="5690" fillId="5695" borderId="5642" xfId="0" applyFont="1" applyFill="1" applyBorder="1"/>
    <xf numFmtId="0" fontId="5691" fillId="5696" borderId="5643" xfId="0" applyFont="1" applyFill="1" applyBorder="1"/>
    <xf numFmtId="14" fontId="5692" fillId="5697" borderId="5644" xfId="0" applyNumberFormat="1" applyFont="1" applyFill="1" applyBorder="1"/>
    <xf numFmtId="0" fontId="5693" fillId="5698" borderId="5645" xfId="0" applyFont="1" applyFill="1" applyBorder="1"/>
    <xf numFmtId="0" fontId="5694" fillId="5699" borderId="5646" xfId="0" applyFont="1" applyFill="1" applyBorder="1"/>
    <xf numFmtId="0" fontId="5695" fillId="5700" borderId="5647" xfId="0" applyFont="1" applyFill="1" applyBorder="1"/>
    <xf numFmtId="0" fontId="5696" fillId="5701" borderId="5648" xfId="0" applyFont="1" applyFill="1" applyBorder="1"/>
    <xf numFmtId="0" fontId="5697" fillId="5702" borderId="5649" xfId="0" applyFont="1" applyFill="1" applyBorder="1"/>
    <xf numFmtId="0" fontId="5698" fillId="5703" borderId="5650" xfId="0" applyFont="1" applyFill="1" applyBorder="1"/>
    <xf numFmtId="0" fontId="5699" fillId="5704" borderId="5651" xfId="0" applyFont="1" applyFill="1" applyBorder="1"/>
    <xf numFmtId="0" fontId="5700" fillId="5705" borderId="5652" xfId="0" applyFont="1" applyFill="1" applyBorder="1"/>
    <xf numFmtId="0" fontId="5701" fillId="5706" borderId="5653" xfId="0" applyFont="1" applyFill="1" applyBorder="1"/>
    <xf numFmtId="0" fontId="5702" fillId="5707" borderId="5654" xfId="0" applyFont="1" applyFill="1" applyBorder="1"/>
    <xf numFmtId="14" fontId="5703" fillId="5708" borderId="5655" xfId="0" applyNumberFormat="1" applyFont="1" applyFill="1" applyBorder="1"/>
    <xf numFmtId="0" fontId="5704" fillId="5709" borderId="5656" xfId="0" applyFont="1" applyFill="1" applyBorder="1"/>
    <xf numFmtId="0" fontId="5705" fillId="5710" borderId="5657" xfId="0" applyFont="1" applyFill="1" applyBorder="1"/>
    <xf numFmtId="0" fontId="5706" fillId="5711" borderId="5658" xfId="0" applyFont="1" applyFill="1" applyBorder="1"/>
    <xf numFmtId="0" fontId="5707" fillId="5712" borderId="5659" xfId="0" applyFont="1" applyFill="1" applyBorder="1"/>
    <xf numFmtId="0" fontId="5708" fillId="5713" borderId="5660" xfId="0" applyFont="1" applyFill="1" applyBorder="1"/>
    <xf numFmtId="0" fontId="5709" fillId="5714" borderId="5661" xfId="0" applyFont="1" applyFill="1" applyBorder="1"/>
    <xf numFmtId="0" fontId="5710" fillId="5715" borderId="5662" xfId="0" applyFont="1" applyFill="1" applyBorder="1"/>
    <xf numFmtId="0" fontId="5711" fillId="5716" borderId="5663" xfId="0" applyFont="1" applyFill="1" applyBorder="1"/>
    <xf numFmtId="0" fontId="5712" fillId="5717" borderId="5664" xfId="0" applyFont="1" applyFill="1" applyBorder="1"/>
    <xf numFmtId="0" fontId="5713" fillId="5718" borderId="5665" xfId="0" applyFont="1" applyFill="1" applyBorder="1"/>
    <xf numFmtId="14" fontId="5714" fillId="5719" borderId="5666" xfId="0" applyNumberFormat="1" applyFont="1" applyFill="1" applyBorder="1"/>
    <xf numFmtId="0" fontId="5715" fillId="5720" borderId="5667" xfId="0" applyFont="1" applyFill="1" applyBorder="1"/>
    <xf numFmtId="0" fontId="5716" fillId="5721" borderId="5668" xfId="0" applyFont="1" applyFill="1" applyBorder="1"/>
    <xf numFmtId="0" fontId="5717" fillId="5722" borderId="5669" xfId="0" applyFont="1" applyFill="1" applyBorder="1"/>
    <xf numFmtId="0" fontId="5718" fillId="5723" borderId="5670" xfId="0" applyFont="1" applyFill="1" applyBorder="1"/>
    <xf numFmtId="0" fontId="5719" fillId="5724" borderId="5671" xfId="0" applyFont="1" applyFill="1" applyBorder="1"/>
    <xf numFmtId="0" fontId="5720" fillId="5725" borderId="5672" xfId="0" applyFont="1" applyFill="1" applyBorder="1"/>
    <xf numFmtId="0" fontId="5721" fillId="5726" borderId="5673" xfId="0" applyFont="1" applyFill="1" applyBorder="1"/>
    <xf numFmtId="0" fontId="5722" fillId="5727" borderId="5674" xfId="0" applyFont="1" applyFill="1" applyBorder="1"/>
    <xf numFmtId="0" fontId="5723" fillId="5728" borderId="5675" xfId="0" applyFont="1" applyFill="1" applyBorder="1"/>
    <xf numFmtId="0" fontId="5724" fillId="5729" borderId="5676" xfId="0" applyFont="1" applyFill="1" applyBorder="1"/>
    <xf numFmtId="14" fontId="5725" fillId="5730" borderId="5677" xfId="0" applyNumberFormat="1" applyFont="1" applyFill="1" applyBorder="1"/>
    <xf numFmtId="0" fontId="5726" fillId="5731" borderId="5678" xfId="0" applyFont="1" applyFill="1" applyBorder="1"/>
    <xf numFmtId="0" fontId="5727" fillId="5732" borderId="5679" xfId="0" applyFont="1" applyFill="1" applyBorder="1"/>
    <xf numFmtId="0" fontId="5728" fillId="5733" borderId="5680" xfId="0" applyFont="1" applyFill="1" applyBorder="1"/>
    <xf numFmtId="0" fontId="5729" fillId="5734" borderId="5681" xfId="0" applyFont="1" applyFill="1" applyBorder="1"/>
    <xf numFmtId="0" fontId="5730" fillId="5735" borderId="5682" xfId="0" applyFont="1" applyFill="1" applyBorder="1"/>
    <xf numFmtId="0" fontId="5731" fillId="5736" borderId="5683" xfId="0" applyFont="1" applyFill="1" applyBorder="1"/>
    <xf numFmtId="0" fontId="5732" fillId="5737" borderId="5684" xfId="0" applyFont="1" applyFill="1" applyBorder="1"/>
    <xf numFmtId="0" fontId="5733" fillId="5738" borderId="5685" xfId="0" applyFont="1" applyFill="1" applyBorder="1"/>
    <xf numFmtId="0" fontId="5734" fillId="5739" borderId="5686" xfId="0" applyFont="1" applyFill="1" applyBorder="1"/>
    <xf numFmtId="0" fontId="5735" fillId="5740" borderId="5687" xfId="0" applyFont="1" applyFill="1" applyBorder="1"/>
    <xf numFmtId="14" fontId="5736" fillId="5741" borderId="5688" xfId="0" applyNumberFormat="1" applyFont="1" applyFill="1" applyBorder="1"/>
    <xf numFmtId="0" fontId="5737" fillId="5742" borderId="5689" xfId="0" applyFont="1" applyFill="1" applyBorder="1"/>
    <xf numFmtId="0" fontId="5738" fillId="5743" borderId="5690" xfId="0" applyFont="1" applyFill="1" applyBorder="1"/>
    <xf numFmtId="0" fontId="5739" fillId="5744" borderId="5691" xfId="0" applyFont="1" applyFill="1" applyBorder="1"/>
    <xf numFmtId="0" fontId="5740" fillId="5745" borderId="5692" xfId="0" applyFont="1" applyFill="1" applyBorder="1"/>
    <xf numFmtId="0" fontId="5741" fillId="5746" borderId="5693" xfId="0" applyFont="1" applyFill="1" applyBorder="1"/>
    <xf numFmtId="0" fontId="5742" fillId="5747" borderId="5694" xfId="0" applyFont="1" applyFill="1" applyBorder="1"/>
    <xf numFmtId="0" fontId="5743" fillId="5748" borderId="5695" xfId="0" applyFont="1" applyFill="1" applyBorder="1"/>
    <xf numFmtId="0" fontId="5744" fillId="5749" borderId="5696" xfId="0" applyFont="1" applyFill="1" applyBorder="1"/>
    <xf numFmtId="0" fontId="5745" fillId="5750" borderId="5697" xfId="0" applyFont="1" applyFill="1" applyBorder="1"/>
    <xf numFmtId="0" fontId="5746" fillId="5751" borderId="5698" xfId="0" applyFont="1" applyFill="1" applyBorder="1"/>
    <xf numFmtId="14" fontId="5747" fillId="5752" borderId="5699" xfId="0" applyNumberFormat="1" applyFont="1" applyFill="1" applyBorder="1"/>
    <xf numFmtId="0" fontId="5748" fillId="5753" borderId="5700" xfId="0" applyFont="1" applyFill="1" applyBorder="1"/>
    <xf numFmtId="0" fontId="5749" fillId="5754" borderId="5701" xfId="0" applyFont="1" applyFill="1" applyBorder="1"/>
    <xf numFmtId="0" fontId="5750" fillId="5755" borderId="5702" xfId="0" applyFont="1" applyFill="1" applyBorder="1"/>
    <xf numFmtId="0" fontId="5751" fillId="5756" borderId="5703" xfId="0" applyFont="1" applyFill="1" applyBorder="1"/>
    <xf numFmtId="0" fontId="5752" fillId="5757" borderId="5704" xfId="0" applyFont="1" applyFill="1" applyBorder="1"/>
    <xf numFmtId="0" fontId="5753" fillId="5758" borderId="5705" xfId="0" applyFont="1" applyFill="1" applyBorder="1"/>
    <xf numFmtId="0" fontId="5754" fillId="5759" borderId="5706" xfId="0" applyFont="1" applyFill="1" applyBorder="1"/>
    <xf numFmtId="0" fontId="5755" fillId="5760" borderId="5707" xfId="0" applyFont="1" applyFill="1" applyBorder="1"/>
    <xf numFmtId="0" fontId="5756" fillId="5761" borderId="5708" xfId="0" applyFont="1" applyFill="1" applyBorder="1"/>
    <xf numFmtId="0" fontId="5757" fillId="5762" borderId="5709" xfId="0" applyFont="1" applyFill="1" applyBorder="1"/>
    <xf numFmtId="14" fontId="5758" fillId="5763" borderId="5710" xfId="0" applyNumberFormat="1" applyFont="1" applyFill="1" applyBorder="1"/>
    <xf numFmtId="0" fontId="5759" fillId="5764" borderId="5711" xfId="0" applyFont="1" applyFill="1" applyBorder="1"/>
    <xf numFmtId="0" fontId="5760" fillId="5765" borderId="5712" xfId="0" applyFont="1" applyFill="1" applyBorder="1"/>
    <xf numFmtId="0" fontId="5761" fillId="5766" borderId="5713" xfId="0" applyFont="1" applyFill="1" applyBorder="1"/>
    <xf numFmtId="0" fontId="5762" fillId="5767" borderId="5714" xfId="0" applyFont="1" applyFill="1" applyBorder="1"/>
    <xf numFmtId="0" fontId="5763" fillId="5768" borderId="5715" xfId="0" applyFont="1" applyFill="1" applyBorder="1"/>
    <xf numFmtId="0" fontId="5764" fillId="5769" borderId="5716" xfId="0" applyFont="1" applyFill="1" applyBorder="1"/>
    <xf numFmtId="0" fontId="5765" fillId="5770" borderId="5717" xfId="0" applyFont="1" applyFill="1" applyBorder="1"/>
    <xf numFmtId="0" fontId="5766" fillId="5771" borderId="5718" xfId="0" applyFont="1" applyFill="1" applyBorder="1"/>
    <xf numFmtId="0" fontId="5767" fillId="5772" borderId="5719" xfId="0" applyFont="1" applyFill="1" applyBorder="1"/>
    <xf numFmtId="0" fontId="5768" fillId="5773" borderId="5720" xfId="0" applyFont="1" applyFill="1" applyBorder="1"/>
    <xf numFmtId="14" fontId="5769" fillId="5774" borderId="5721" xfId="0" applyNumberFormat="1" applyFont="1" applyFill="1" applyBorder="1"/>
    <xf numFmtId="0" fontId="5770" fillId="5775" borderId="5722" xfId="0" applyFont="1" applyFill="1" applyBorder="1"/>
    <xf numFmtId="0" fontId="5771" fillId="5776" borderId="5723" xfId="0" applyFont="1" applyFill="1" applyBorder="1"/>
    <xf numFmtId="0" fontId="5772" fillId="5777" borderId="5724" xfId="0" applyFont="1" applyFill="1" applyBorder="1"/>
    <xf numFmtId="0" fontId="5773" fillId="5778" borderId="5725" xfId="0" applyFont="1" applyFill="1" applyBorder="1"/>
    <xf numFmtId="0" fontId="5774" fillId="5779" borderId="5726" xfId="0" applyFont="1" applyFill="1" applyBorder="1"/>
    <xf numFmtId="0" fontId="5775" fillId="5780" borderId="5727" xfId="0" applyFont="1" applyFill="1" applyBorder="1"/>
    <xf numFmtId="0" fontId="5776" fillId="5781" borderId="5728" xfId="0" applyFont="1" applyFill="1" applyBorder="1"/>
    <xf numFmtId="0" fontId="5777" fillId="5782" borderId="5729" xfId="0" applyFont="1" applyFill="1" applyBorder="1"/>
    <xf numFmtId="0" fontId="5778" fillId="5783" borderId="5730" xfId="0" applyFont="1" applyFill="1" applyBorder="1"/>
    <xf numFmtId="0" fontId="5779" fillId="5784" borderId="5731" xfId="0" applyFont="1" applyFill="1" applyBorder="1"/>
    <xf numFmtId="14" fontId="5780" fillId="5785" borderId="5732" xfId="0" applyNumberFormat="1" applyFont="1" applyFill="1" applyBorder="1"/>
    <xf numFmtId="0" fontId="5781" fillId="5786" borderId="5733" xfId="0" applyFont="1" applyFill="1" applyBorder="1"/>
    <xf numFmtId="0" fontId="5782" fillId="5787" borderId="5734" xfId="0" applyFont="1" applyFill="1" applyBorder="1"/>
    <xf numFmtId="0" fontId="5783" fillId="5788" borderId="5735" xfId="0" applyFont="1" applyFill="1" applyBorder="1"/>
    <xf numFmtId="0" fontId="5784" fillId="5789" borderId="5736" xfId="0" applyFont="1" applyFill="1" applyBorder="1"/>
    <xf numFmtId="0" fontId="5785" fillId="5790" borderId="5737" xfId="0" applyFont="1" applyFill="1" applyBorder="1"/>
    <xf numFmtId="0" fontId="5786" fillId="5791" borderId="5738" xfId="0" applyFont="1" applyFill="1" applyBorder="1"/>
    <xf numFmtId="0" fontId="5787" fillId="5792" borderId="5739" xfId="0" applyFont="1" applyFill="1" applyBorder="1"/>
    <xf numFmtId="0" fontId="5788" fillId="5793" borderId="5740" xfId="0" applyFont="1" applyFill="1" applyBorder="1"/>
    <xf numFmtId="0" fontId="5789" fillId="5794" borderId="5741" xfId="0" applyFont="1" applyFill="1" applyBorder="1"/>
    <xf numFmtId="0" fontId="5790" fillId="5795" borderId="5742" xfId="0" applyFont="1" applyFill="1" applyBorder="1"/>
    <xf numFmtId="14" fontId="5791" fillId="5796" borderId="5743" xfId="0" applyNumberFormat="1" applyFont="1" applyFill="1" applyBorder="1"/>
    <xf numFmtId="0" fontId="5792" fillId="5797" borderId="5744" xfId="0" applyFont="1" applyFill="1" applyBorder="1"/>
    <xf numFmtId="0" fontId="5793" fillId="5798" borderId="5745" xfId="0" applyFont="1" applyFill="1" applyBorder="1"/>
    <xf numFmtId="0" fontId="5794" fillId="5799" borderId="5746" xfId="0" applyFont="1" applyFill="1" applyBorder="1"/>
    <xf numFmtId="0" fontId="5795" fillId="5800" borderId="5747" xfId="0" applyFont="1" applyFill="1" applyBorder="1"/>
    <xf numFmtId="0" fontId="5796" fillId="5801" borderId="5748" xfId="0" applyFont="1" applyFill="1" applyBorder="1"/>
    <xf numFmtId="0" fontId="5797" fillId="5802" borderId="5749" xfId="0" applyFont="1" applyFill="1" applyBorder="1"/>
    <xf numFmtId="0" fontId="5798" fillId="5803" borderId="5750" xfId="0" applyFont="1" applyFill="1" applyBorder="1"/>
    <xf numFmtId="0" fontId="5799" fillId="5804" borderId="5751" xfId="0" applyFont="1" applyFill="1" applyBorder="1"/>
    <xf numFmtId="0" fontId="5800" fillId="5805" borderId="5752" xfId="0" applyFont="1" applyFill="1" applyBorder="1"/>
    <xf numFmtId="0" fontId="5801" fillId="5806" borderId="5753" xfId="0" applyFont="1" applyFill="1" applyBorder="1"/>
    <xf numFmtId="14" fontId="5802" fillId="5807" borderId="5754" xfId="0" applyNumberFormat="1" applyFont="1" applyFill="1" applyBorder="1"/>
    <xf numFmtId="0" fontId="5803" fillId="5808" borderId="5755" xfId="0" applyFont="1" applyFill="1" applyBorder="1"/>
    <xf numFmtId="0" fontId="5804" fillId="5809" borderId="5756" xfId="0" applyFont="1" applyFill="1" applyBorder="1"/>
    <xf numFmtId="0" fontId="5805" fillId="5810" borderId="5757" xfId="0" applyFont="1" applyFill="1" applyBorder="1"/>
    <xf numFmtId="0" fontId="5806" fillId="5811" borderId="5758" xfId="0" applyFont="1" applyFill="1" applyBorder="1"/>
    <xf numFmtId="0" fontId="5807" fillId="5812" borderId="5759" xfId="0" applyFont="1" applyFill="1" applyBorder="1"/>
    <xf numFmtId="0" fontId="5808" fillId="5813" borderId="5760" xfId="0" applyFont="1" applyFill="1" applyBorder="1"/>
    <xf numFmtId="0" fontId="5809" fillId="5814" borderId="5761" xfId="0" applyFont="1" applyFill="1" applyBorder="1"/>
    <xf numFmtId="0" fontId="5810" fillId="5815" borderId="5762" xfId="0" applyFont="1" applyFill="1" applyBorder="1"/>
    <xf numFmtId="0" fontId="5811" fillId="5816" borderId="5763" xfId="0" applyFont="1" applyFill="1" applyBorder="1"/>
    <xf numFmtId="0" fontId="5812" fillId="5817" borderId="5764" xfId="0" applyFont="1" applyFill="1" applyBorder="1"/>
    <xf numFmtId="14" fontId="5813" fillId="5818" borderId="5765" xfId="0" applyNumberFormat="1" applyFont="1" applyFill="1" applyBorder="1"/>
    <xf numFmtId="0" fontId="5814" fillId="5819" borderId="5766" xfId="0" applyFont="1" applyFill="1" applyBorder="1"/>
    <xf numFmtId="0" fontId="5815" fillId="5820" borderId="5767" xfId="0" applyFont="1" applyFill="1" applyBorder="1"/>
    <xf numFmtId="0" fontId="5816" fillId="5821" borderId="5768" xfId="0" applyFont="1" applyFill="1" applyBorder="1"/>
    <xf numFmtId="0" fontId="5817" fillId="5822" borderId="5769" xfId="0" applyFont="1" applyFill="1" applyBorder="1"/>
    <xf numFmtId="0" fontId="5818" fillId="5823" borderId="5770" xfId="0" applyFont="1" applyFill="1" applyBorder="1"/>
    <xf numFmtId="0" fontId="5819" fillId="5824" borderId="5771" xfId="0" applyFont="1" applyFill="1" applyBorder="1"/>
    <xf numFmtId="0" fontId="5820" fillId="5825" borderId="5772" xfId="0" applyFont="1" applyFill="1" applyBorder="1"/>
    <xf numFmtId="0" fontId="5821" fillId="5826" borderId="5773" xfId="0" applyFont="1" applyFill="1" applyBorder="1"/>
    <xf numFmtId="0" fontId="5822" fillId="5827" borderId="5774" xfId="0" applyFont="1" applyFill="1" applyBorder="1"/>
    <xf numFmtId="0" fontId="5823" fillId="5828" borderId="5775" xfId="0" applyFont="1" applyFill="1" applyBorder="1"/>
    <xf numFmtId="14" fontId="5824" fillId="5829" borderId="5776" xfId="0" applyNumberFormat="1" applyFont="1" applyFill="1" applyBorder="1"/>
    <xf numFmtId="0" fontId="5825" fillId="5830" borderId="5777" xfId="0" applyFont="1" applyFill="1" applyBorder="1"/>
    <xf numFmtId="0" fontId="5826" fillId="5831" borderId="5778" xfId="0" applyFont="1" applyFill="1" applyBorder="1"/>
    <xf numFmtId="0" fontId="5827" fillId="5832" borderId="5779" xfId="0" applyFont="1" applyFill="1" applyBorder="1"/>
    <xf numFmtId="0" fontId="5828" fillId="5833" borderId="5780" xfId="0" applyFont="1" applyFill="1" applyBorder="1"/>
    <xf numFmtId="0" fontId="5829" fillId="5834" borderId="5781" xfId="0" applyFont="1" applyFill="1" applyBorder="1"/>
    <xf numFmtId="0" fontId="5830" fillId="5835" borderId="5782" xfId="0" applyFont="1" applyFill="1" applyBorder="1"/>
    <xf numFmtId="0" fontId="5831" fillId="5836" borderId="5783" xfId="0" applyFont="1" applyFill="1" applyBorder="1"/>
    <xf numFmtId="0" fontId="5832" fillId="5837" borderId="5784" xfId="0" applyFont="1" applyFill="1" applyBorder="1"/>
    <xf numFmtId="0" fontId="5833" fillId="5838" borderId="5785" xfId="0" applyFont="1" applyFill="1" applyBorder="1"/>
    <xf numFmtId="0" fontId="5834" fillId="5839" borderId="5786" xfId="0" applyFont="1" applyFill="1" applyBorder="1"/>
    <xf numFmtId="14" fontId="5835" fillId="5840" borderId="5787" xfId="0" applyNumberFormat="1" applyFont="1" applyFill="1" applyBorder="1"/>
    <xf numFmtId="0" fontId="5836" fillId="5841" borderId="5788" xfId="0" applyFont="1" applyFill="1" applyBorder="1"/>
    <xf numFmtId="0" fontId="5837" fillId="5842" borderId="5789" xfId="0" applyFont="1" applyFill="1" applyBorder="1"/>
    <xf numFmtId="0" fontId="5838" fillId="5843" borderId="5790" xfId="0" applyFont="1" applyFill="1" applyBorder="1"/>
    <xf numFmtId="0" fontId="5839" fillId="5844" borderId="5791" xfId="0" applyFont="1" applyFill="1" applyBorder="1"/>
    <xf numFmtId="0" fontId="5840" fillId="5845" borderId="5792" xfId="0" applyFont="1" applyFill="1" applyBorder="1"/>
    <xf numFmtId="0" fontId="5841" fillId="5846" borderId="5793" xfId="0" applyFont="1" applyFill="1" applyBorder="1"/>
    <xf numFmtId="0" fontId="5842" fillId="5847" borderId="5794" xfId="0" applyFont="1" applyFill="1" applyBorder="1"/>
    <xf numFmtId="0" fontId="5843" fillId="5848" borderId="5795" xfId="0" applyFont="1" applyFill="1" applyBorder="1"/>
    <xf numFmtId="0" fontId="5844" fillId="5849" borderId="5796" xfId="0" applyFont="1" applyFill="1" applyBorder="1"/>
    <xf numFmtId="0" fontId="5845" fillId="5850" borderId="5797" xfId="0" applyFont="1" applyFill="1" applyBorder="1"/>
    <xf numFmtId="14" fontId="5846" fillId="5851" borderId="5798" xfId="0" applyNumberFormat="1" applyFont="1" applyFill="1" applyBorder="1"/>
    <xf numFmtId="0" fontId="5847" fillId="5852" borderId="5799" xfId="0" applyFont="1" applyFill="1" applyBorder="1"/>
    <xf numFmtId="0" fontId="5848" fillId="5853" borderId="5800" xfId="0" applyFont="1" applyFill="1" applyBorder="1"/>
    <xf numFmtId="0" fontId="5849" fillId="5854" borderId="5801" xfId="0" applyFont="1" applyFill="1" applyBorder="1"/>
    <xf numFmtId="0" fontId="5850" fillId="5855" borderId="5802" xfId="0" applyFont="1" applyFill="1" applyBorder="1"/>
    <xf numFmtId="0" fontId="5851" fillId="5856" borderId="5803" xfId="0" applyFont="1" applyFill="1" applyBorder="1"/>
    <xf numFmtId="0" fontId="5852" fillId="5857" borderId="5804" xfId="0" applyFont="1" applyFill="1" applyBorder="1"/>
    <xf numFmtId="0" fontId="5853" fillId="5858" borderId="5805" xfId="0" applyFont="1" applyFill="1" applyBorder="1"/>
    <xf numFmtId="0" fontId="5854" fillId="5859" borderId="5806" xfId="0" applyFont="1" applyFill="1" applyBorder="1"/>
    <xf numFmtId="0" fontId="5855" fillId="5860" borderId="5807" xfId="0" applyFont="1" applyFill="1" applyBorder="1"/>
    <xf numFmtId="0" fontId="5856" fillId="5861" borderId="5808" xfId="0" applyFont="1" applyFill="1" applyBorder="1"/>
    <xf numFmtId="14" fontId="5857" fillId="5862" borderId="5809" xfId="0" applyNumberFormat="1" applyFont="1" applyFill="1" applyBorder="1"/>
    <xf numFmtId="0" fontId="5858" fillId="5863" borderId="5810" xfId="0" applyFont="1" applyFill="1" applyBorder="1"/>
    <xf numFmtId="0" fontId="5859" fillId="5864" borderId="5811" xfId="0" applyFont="1" applyFill="1" applyBorder="1"/>
    <xf numFmtId="0" fontId="5860" fillId="5865" borderId="5812" xfId="0" applyFont="1" applyFill="1" applyBorder="1"/>
    <xf numFmtId="0" fontId="5861" fillId="5866" borderId="5813" xfId="0" applyFont="1" applyFill="1" applyBorder="1"/>
    <xf numFmtId="0" fontId="5862" fillId="5867" borderId="5814" xfId="0" applyFont="1" applyFill="1" applyBorder="1"/>
    <xf numFmtId="0" fontId="5863" fillId="5868" borderId="5815" xfId="0" applyFont="1" applyFill="1" applyBorder="1"/>
    <xf numFmtId="0" fontId="5864" fillId="5869" borderId="5816" xfId="0" applyFont="1" applyFill="1" applyBorder="1"/>
    <xf numFmtId="0" fontId="5865" fillId="5870" borderId="5817" xfId="0" applyFont="1" applyFill="1" applyBorder="1"/>
    <xf numFmtId="0" fontId="5866" fillId="5871" borderId="5818" xfId="0" applyFont="1" applyFill="1" applyBorder="1"/>
    <xf numFmtId="0" fontId="5867" fillId="5872" borderId="5819" xfId="0" applyFont="1" applyFill="1" applyBorder="1"/>
    <xf numFmtId="14" fontId="5868" fillId="5873" borderId="5820" xfId="0" applyNumberFormat="1" applyFont="1" applyFill="1" applyBorder="1"/>
    <xf numFmtId="0" fontId="5869" fillId="5874" borderId="5821" xfId="0" applyFont="1" applyFill="1" applyBorder="1"/>
    <xf numFmtId="0" fontId="5870" fillId="5875" borderId="5822" xfId="0" applyFont="1" applyFill="1" applyBorder="1"/>
    <xf numFmtId="0" fontId="5871" fillId="5876" borderId="5823" xfId="0" applyFont="1" applyFill="1" applyBorder="1"/>
    <xf numFmtId="0" fontId="5872" fillId="5877" borderId="5824" xfId="0" applyFont="1" applyFill="1" applyBorder="1"/>
    <xf numFmtId="0" fontId="5873" fillId="5878" borderId="5825" xfId="0" applyFont="1" applyFill="1" applyBorder="1"/>
    <xf numFmtId="0" fontId="5874" fillId="5879" borderId="5826" xfId="0" applyFont="1" applyFill="1" applyBorder="1"/>
    <xf numFmtId="0" fontId="5875" fillId="5880" borderId="5827" xfId="0" applyFont="1" applyFill="1" applyBorder="1"/>
    <xf numFmtId="0" fontId="5876" fillId="5881" borderId="5828" xfId="0" applyFont="1" applyFill="1" applyBorder="1"/>
    <xf numFmtId="0" fontId="5877" fillId="5882" borderId="5829" xfId="0" applyFont="1" applyFill="1" applyBorder="1"/>
    <xf numFmtId="0" fontId="5878" fillId="5883" borderId="5830" xfId="0" applyFont="1" applyFill="1" applyBorder="1"/>
    <xf numFmtId="14" fontId="5879" fillId="5884" borderId="5831" xfId="0" applyNumberFormat="1" applyFont="1" applyFill="1" applyBorder="1"/>
    <xf numFmtId="0" fontId="5880" fillId="5885" borderId="5832" xfId="0" applyFont="1" applyFill="1" applyBorder="1"/>
    <xf numFmtId="0" fontId="5881" fillId="5886" borderId="5833" xfId="0" applyFont="1" applyFill="1" applyBorder="1"/>
    <xf numFmtId="0" fontId="5882" fillId="5887" borderId="5834" xfId="0" applyFont="1" applyFill="1" applyBorder="1"/>
    <xf numFmtId="0" fontId="5883" fillId="5888" borderId="5835" xfId="0" applyFont="1" applyFill="1" applyBorder="1"/>
    <xf numFmtId="0" fontId="5884" fillId="5889" borderId="5836" xfId="0" applyFont="1" applyFill="1" applyBorder="1"/>
    <xf numFmtId="0" fontId="5885" fillId="5890" borderId="5837" xfId="0" applyFont="1" applyFill="1" applyBorder="1"/>
    <xf numFmtId="0" fontId="5886" fillId="5891" borderId="5838" xfId="0" applyFont="1" applyFill="1" applyBorder="1"/>
    <xf numFmtId="0" fontId="5887" fillId="5892" borderId="5839" xfId="0" applyFont="1" applyFill="1" applyBorder="1"/>
    <xf numFmtId="0" fontId="5888" fillId="5893" borderId="5840" xfId="0" applyFont="1" applyFill="1" applyBorder="1"/>
    <xf numFmtId="0" fontId="5889" fillId="5894" borderId="5841" xfId="0" applyFont="1" applyFill="1" applyBorder="1"/>
    <xf numFmtId="14" fontId="5890" fillId="5895" borderId="5842" xfId="0" applyNumberFormat="1" applyFont="1" applyFill="1" applyBorder="1"/>
    <xf numFmtId="0" fontId="5891" fillId="5896" borderId="5843" xfId="0" applyFont="1" applyFill="1" applyBorder="1"/>
    <xf numFmtId="0" fontId="5892" fillId="5897" borderId="5844" xfId="0" applyFont="1" applyFill="1" applyBorder="1"/>
    <xf numFmtId="0" fontId="5893" fillId="5898" borderId="5845" xfId="0" applyFont="1" applyFill="1" applyBorder="1"/>
    <xf numFmtId="0" fontId="5894" fillId="5899" borderId="5846" xfId="0" applyFont="1" applyFill="1" applyBorder="1"/>
    <xf numFmtId="0" fontId="5895" fillId="5900" borderId="5847" xfId="0" applyFont="1" applyFill="1" applyBorder="1"/>
    <xf numFmtId="0" fontId="5896" fillId="5901" borderId="5848" xfId="0" applyFont="1" applyFill="1" applyBorder="1"/>
    <xf numFmtId="0" fontId="5897" fillId="5902" borderId="5849" xfId="0" applyFont="1" applyFill="1" applyBorder="1"/>
    <xf numFmtId="0" fontId="5898" fillId="5903" borderId="5850" xfId="0" applyFont="1" applyFill="1" applyBorder="1"/>
    <xf numFmtId="0" fontId="5899" fillId="5904" borderId="5851" xfId="0" applyFont="1" applyFill="1" applyBorder="1"/>
    <xf numFmtId="0" fontId="5900" fillId="5905" borderId="5852" xfId="0" applyFont="1" applyFill="1" applyBorder="1"/>
    <xf numFmtId="14" fontId="5901" fillId="5906" borderId="5853" xfId="0" applyNumberFormat="1" applyFont="1" applyFill="1" applyBorder="1"/>
    <xf numFmtId="0" fontId="5902" fillId="5907" borderId="5854" xfId="0" applyFont="1" applyFill="1" applyBorder="1"/>
    <xf numFmtId="0" fontId="5903" fillId="5908" borderId="5855" xfId="0" applyFont="1" applyFill="1" applyBorder="1"/>
    <xf numFmtId="0" fontId="5904" fillId="5909" borderId="5856" xfId="0" applyFont="1" applyFill="1" applyBorder="1"/>
    <xf numFmtId="0" fontId="5905" fillId="5910" borderId="5857" xfId="0" applyFont="1" applyFill="1" applyBorder="1"/>
    <xf numFmtId="0" fontId="5906" fillId="5911" borderId="5858" xfId="0" applyFont="1" applyFill="1" applyBorder="1"/>
    <xf numFmtId="0" fontId="5907" fillId="5912" borderId="5859" xfId="0" applyFont="1" applyFill="1" applyBorder="1"/>
    <xf numFmtId="0" fontId="5908" fillId="5913" borderId="5860" xfId="0" applyFont="1" applyFill="1" applyBorder="1"/>
    <xf numFmtId="0" fontId="5909" fillId="5914" borderId="5861" xfId="0" applyFont="1" applyFill="1" applyBorder="1"/>
    <xf numFmtId="0" fontId="5910" fillId="5915" borderId="5862" xfId="0" applyFont="1" applyFill="1" applyBorder="1"/>
    <xf numFmtId="0" fontId="5911" fillId="5916" borderId="5863" xfId="0" applyFont="1" applyFill="1" applyBorder="1"/>
    <xf numFmtId="14" fontId="5912" fillId="5917" borderId="5864" xfId="0" applyNumberFormat="1" applyFont="1" applyFill="1" applyBorder="1"/>
    <xf numFmtId="0" fontId="5913" fillId="5918" borderId="5865" xfId="0" applyFont="1" applyFill="1" applyBorder="1"/>
    <xf numFmtId="0" fontId="5914" fillId="5919" borderId="5866" xfId="0" applyFont="1" applyFill="1" applyBorder="1"/>
    <xf numFmtId="0" fontId="5915" fillId="5920" borderId="5867" xfId="0" applyFont="1" applyFill="1" applyBorder="1"/>
    <xf numFmtId="0" fontId="5916" fillId="5921" borderId="5868" xfId="0" applyFont="1" applyFill="1" applyBorder="1"/>
    <xf numFmtId="0" fontId="5917" fillId="5922" borderId="5869" xfId="0" applyFont="1" applyFill="1" applyBorder="1"/>
    <xf numFmtId="0" fontId="5918" fillId="5923" borderId="5870" xfId="0" applyFont="1" applyFill="1" applyBorder="1"/>
    <xf numFmtId="0" fontId="5919" fillId="5924" borderId="5871" xfId="0" applyFont="1" applyFill="1" applyBorder="1"/>
    <xf numFmtId="0" fontId="5920" fillId="5925" borderId="5872" xfId="0" applyFont="1" applyFill="1" applyBorder="1"/>
    <xf numFmtId="0" fontId="5921" fillId="5926" borderId="5873" xfId="0" applyFont="1" applyFill="1" applyBorder="1"/>
    <xf numFmtId="0" fontId="5922" fillId="5927" borderId="5874" xfId="0" applyFont="1" applyFill="1" applyBorder="1"/>
    <xf numFmtId="14" fontId="5923" fillId="5928" borderId="5875" xfId="0" applyNumberFormat="1" applyFont="1" applyFill="1" applyBorder="1"/>
    <xf numFmtId="0" fontId="5924" fillId="5929" borderId="5876" xfId="0" applyFont="1" applyFill="1" applyBorder="1"/>
    <xf numFmtId="0" fontId="5925" fillId="5930" borderId="5877" xfId="0" applyFont="1" applyFill="1" applyBorder="1"/>
    <xf numFmtId="0" fontId="5926" fillId="5931" borderId="5878" xfId="0" applyFont="1" applyFill="1" applyBorder="1"/>
    <xf numFmtId="0" fontId="5927" fillId="5932" borderId="5879" xfId="0" applyFont="1" applyFill="1" applyBorder="1"/>
    <xf numFmtId="0" fontId="5928" fillId="5933" borderId="5880" xfId="0" applyFont="1" applyFill="1" applyBorder="1"/>
    <xf numFmtId="0" fontId="5929" fillId="5934" borderId="5881" xfId="0" applyFont="1" applyFill="1" applyBorder="1"/>
    <xf numFmtId="0" fontId="5930" fillId="5935" borderId="5882" xfId="0" applyFont="1" applyFill="1" applyBorder="1"/>
    <xf numFmtId="0" fontId="5931" fillId="5936" borderId="5883" xfId="0" applyFont="1" applyFill="1" applyBorder="1"/>
    <xf numFmtId="0" fontId="5932" fillId="5937" borderId="5884" xfId="0" applyFont="1" applyFill="1" applyBorder="1"/>
    <xf numFmtId="0" fontId="5933" fillId="5938" borderId="5885" xfId="0" applyFont="1" applyFill="1" applyBorder="1"/>
    <xf numFmtId="14" fontId="5934" fillId="5939" borderId="5886" xfId="0" applyNumberFormat="1" applyFont="1" applyFill="1" applyBorder="1"/>
    <xf numFmtId="0" fontId="5935" fillId="5940" borderId="5887" xfId="0" applyFont="1" applyFill="1" applyBorder="1"/>
    <xf numFmtId="0" fontId="5936" fillId="5941" borderId="5888" xfId="0" applyFont="1" applyFill="1" applyBorder="1"/>
    <xf numFmtId="0" fontId="5937" fillId="5942" borderId="5889" xfId="0" applyFont="1" applyFill="1" applyBorder="1"/>
    <xf numFmtId="0" fontId="5938" fillId="5943" borderId="5890" xfId="0" applyFont="1" applyFill="1" applyBorder="1"/>
    <xf numFmtId="0" fontId="5939" fillId="5944" borderId="5891" xfId="0" applyFont="1" applyFill="1" applyBorder="1"/>
    <xf numFmtId="0" fontId="5940" fillId="5945" borderId="5892" xfId="0" applyFont="1" applyFill="1" applyBorder="1"/>
    <xf numFmtId="0" fontId="5941" fillId="5946" borderId="5893" xfId="0" applyFont="1" applyFill="1" applyBorder="1"/>
    <xf numFmtId="0" fontId="5942" fillId="5947" borderId="5894" xfId="0" applyFont="1" applyFill="1" applyBorder="1"/>
    <xf numFmtId="0" fontId="5943" fillId="5948" borderId="5895" xfId="0" applyFont="1" applyFill="1" applyBorder="1"/>
    <xf numFmtId="0" fontId="5944" fillId="5949" borderId="5896" xfId="0" applyFont="1" applyFill="1" applyBorder="1"/>
    <xf numFmtId="14" fontId="5945" fillId="5950" borderId="5897" xfId="0" applyNumberFormat="1" applyFont="1" applyFill="1" applyBorder="1"/>
    <xf numFmtId="0" fontId="5946" fillId="5951" borderId="5898" xfId="0" applyFont="1" applyFill="1" applyBorder="1"/>
    <xf numFmtId="0" fontId="5947" fillId="5952" borderId="5899" xfId="0" applyFont="1" applyFill="1" applyBorder="1"/>
    <xf numFmtId="0" fontId="5948" fillId="5953" borderId="5900" xfId="0" applyFont="1" applyFill="1" applyBorder="1"/>
    <xf numFmtId="0" fontId="5949" fillId="5954" borderId="5901" xfId="0" applyFont="1" applyFill="1" applyBorder="1"/>
    <xf numFmtId="0" fontId="5950" fillId="5955" borderId="5902" xfId="0" applyFont="1" applyFill="1" applyBorder="1"/>
    <xf numFmtId="0" fontId="5951" fillId="5956" borderId="5903" xfId="0" applyFont="1" applyFill="1" applyBorder="1"/>
    <xf numFmtId="0" fontId="5952" fillId="5957" borderId="5904" xfId="0" applyFont="1" applyFill="1" applyBorder="1"/>
    <xf numFmtId="0" fontId="5953" fillId="5958" borderId="5905" xfId="0" applyFont="1" applyFill="1" applyBorder="1"/>
    <xf numFmtId="0" fontId="5954" fillId="5959" borderId="5906" xfId="0" applyFont="1" applyFill="1" applyBorder="1"/>
    <xf numFmtId="0" fontId="5955" fillId="5960" borderId="5907" xfId="0" applyFont="1" applyFill="1" applyBorder="1"/>
    <xf numFmtId="14" fontId="5956" fillId="5961" borderId="5908" xfId="0" applyNumberFormat="1" applyFont="1" applyFill="1" applyBorder="1"/>
    <xf numFmtId="0" fontId="5957" fillId="5962" borderId="5909" xfId="0" applyFont="1" applyFill="1" applyBorder="1"/>
    <xf numFmtId="0" fontId="5958" fillId="5963" borderId="5910" xfId="0" applyFont="1" applyFill="1" applyBorder="1"/>
    <xf numFmtId="0" fontId="5959" fillId="5964" borderId="5911" xfId="0" applyFont="1" applyFill="1" applyBorder="1"/>
    <xf numFmtId="0" fontId="5960" fillId="5965" borderId="5912" xfId="0" applyFont="1" applyFill="1" applyBorder="1"/>
    <xf numFmtId="0" fontId="5961" fillId="5966" borderId="5913" xfId="0" applyFont="1" applyFill="1" applyBorder="1"/>
    <xf numFmtId="0" fontId="5962" fillId="5967" borderId="5914" xfId="0" applyFont="1" applyFill="1" applyBorder="1"/>
    <xf numFmtId="0" fontId="5963" fillId="5968" borderId="5915" xfId="0" applyFont="1" applyFill="1" applyBorder="1"/>
    <xf numFmtId="0" fontId="5964" fillId="5969" borderId="5916" xfId="0" applyFont="1" applyFill="1" applyBorder="1"/>
    <xf numFmtId="0" fontId="5965" fillId="5970" borderId="5917" xfId="0" applyFont="1" applyFill="1" applyBorder="1"/>
    <xf numFmtId="0" fontId="5966" fillId="5971" borderId="5918" xfId="0" applyFont="1" applyFill="1" applyBorder="1"/>
    <xf numFmtId="14" fontId="5967" fillId="5972" borderId="5919" xfId="0" applyNumberFormat="1" applyFont="1" applyFill="1" applyBorder="1"/>
    <xf numFmtId="0" fontId="5968" fillId="5973" borderId="5920" xfId="0" applyFont="1" applyFill="1" applyBorder="1"/>
    <xf numFmtId="0" fontId="5969" fillId="5974" borderId="5921" xfId="0" applyFont="1" applyFill="1" applyBorder="1"/>
    <xf numFmtId="0" fontId="5970" fillId="5975" borderId="5922" xfId="0" applyFont="1" applyFill="1" applyBorder="1"/>
    <xf numFmtId="0" fontId="5971" fillId="5976" borderId="5923" xfId="0" applyFont="1" applyFill="1" applyBorder="1"/>
    <xf numFmtId="0" fontId="5972" fillId="5977" borderId="5924" xfId="0" applyFont="1" applyFill="1" applyBorder="1"/>
    <xf numFmtId="0" fontId="5973" fillId="5978" borderId="5925" xfId="0" applyFont="1" applyFill="1" applyBorder="1"/>
    <xf numFmtId="0" fontId="5974" fillId="5979" borderId="5926" xfId="0" applyFont="1" applyFill="1" applyBorder="1"/>
    <xf numFmtId="0" fontId="5975" fillId="5980" borderId="5927" xfId="0" applyFont="1" applyFill="1" applyBorder="1"/>
    <xf numFmtId="0" fontId="5976" fillId="5981" borderId="5928" xfId="0" applyFont="1" applyFill="1" applyBorder="1"/>
    <xf numFmtId="0" fontId="5977" fillId="5982" borderId="5929" xfId="0" applyFont="1" applyFill="1" applyBorder="1"/>
    <xf numFmtId="14" fontId="5978" fillId="5983" borderId="5930" xfId="0" applyNumberFormat="1" applyFont="1" applyFill="1" applyBorder="1"/>
    <xf numFmtId="0" fontId="5979" fillId="5984" borderId="5931" xfId="0" applyFont="1" applyFill="1" applyBorder="1"/>
    <xf numFmtId="0" fontId="5980" fillId="5985" borderId="5932" xfId="0" applyFont="1" applyFill="1" applyBorder="1"/>
    <xf numFmtId="0" fontId="5981" fillId="5986" borderId="5933" xfId="0" applyFont="1" applyFill="1" applyBorder="1"/>
    <xf numFmtId="0" fontId="5982" fillId="5987" borderId="5934" xfId="0" applyFont="1" applyFill="1" applyBorder="1"/>
    <xf numFmtId="0" fontId="5983" fillId="5988" borderId="5935" xfId="0" applyFont="1" applyFill="1" applyBorder="1"/>
    <xf numFmtId="0" fontId="5984" fillId="5989" borderId="5936" xfId="0" applyFont="1" applyFill="1" applyBorder="1"/>
    <xf numFmtId="0" fontId="5985" fillId="5990" borderId="5937" xfId="0" applyFont="1" applyFill="1" applyBorder="1"/>
    <xf numFmtId="0" fontId="5986" fillId="5991" borderId="5938" xfId="0" applyFont="1" applyFill="1" applyBorder="1"/>
    <xf numFmtId="0" fontId="5987" fillId="5992" borderId="5939" xfId="0" applyFont="1" applyFill="1" applyBorder="1"/>
    <xf numFmtId="0" fontId="5988" fillId="5993" borderId="5940" xfId="0" applyFont="1" applyFill="1" applyBorder="1"/>
    <xf numFmtId="14" fontId="5989" fillId="5994" borderId="5941" xfId="0" applyNumberFormat="1" applyFont="1" applyFill="1" applyBorder="1"/>
    <xf numFmtId="0" fontId="5990" fillId="5995" borderId="5942" xfId="0" applyFont="1" applyFill="1" applyBorder="1"/>
    <xf numFmtId="0" fontId="5991" fillId="5996" borderId="5943" xfId="0" applyFont="1" applyFill="1" applyBorder="1"/>
    <xf numFmtId="0" fontId="5992" fillId="5997" borderId="5944" xfId="0" applyFont="1" applyFill="1" applyBorder="1"/>
    <xf numFmtId="0" fontId="5993" fillId="5998" borderId="5945" xfId="0" applyFont="1" applyFill="1" applyBorder="1"/>
    <xf numFmtId="0" fontId="5994" fillId="5999" borderId="5946" xfId="0" applyFont="1" applyFill="1" applyBorder="1"/>
    <xf numFmtId="0" fontId="5995" fillId="6000" borderId="5947" xfId="0" applyFont="1" applyFill="1" applyBorder="1"/>
    <xf numFmtId="0" fontId="5996" fillId="6001" borderId="5948" xfId="0" applyFont="1" applyFill="1" applyBorder="1"/>
    <xf numFmtId="0" fontId="5997" fillId="6002" borderId="5949" xfId="0" applyFont="1" applyFill="1" applyBorder="1"/>
    <xf numFmtId="0" fontId="5998" fillId="6003" borderId="5950" xfId="0" applyFont="1" applyFill="1" applyBorder="1"/>
    <xf numFmtId="0" fontId="5999" fillId="6004" borderId="5951" xfId="0" applyFont="1" applyFill="1" applyBorder="1"/>
    <xf numFmtId="14" fontId="6000" fillId="6005" borderId="5952" xfId="0" applyNumberFormat="1" applyFont="1" applyFill="1" applyBorder="1"/>
    <xf numFmtId="0" fontId="6001" fillId="6006" borderId="5953" xfId="0" applyFont="1" applyFill="1" applyBorder="1"/>
    <xf numFmtId="0" fontId="6002" fillId="6007" borderId="5954" xfId="0" applyFont="1" applyFill="1" applyBorder="1"/>
    <xf numFmtId="0" fontId="6003" fillId="6008" borderId="5955" xfId="0" applyFont="1" applyFill="1" applyBorder="1"/>
    <xf numFmtId="0" fontId="6004" fillId="6009" borderId="5956" xfId="0" applyFont="1" applyFill="1" applyBorder="1"/>
    <xf numFmtId="0" fontId="6005" fillId="6010" borderId="5957" xfId="0" applyFont="1" applyFill="1" applyBorder="1"/>
    <xf numFmtId="0" fontId="6006" fillId="6011" borderId="5958" xfId="0" applyFont="1" applyFill="1" applyBorder="1"/>
    <xf numFmtId="0" fontId="6007" fillId="6012" borderId="5959" xfId="0" applyFont="1" applyFill="1" applyBorder="1"/>
    <xf numFmtId="0" fontId="6008" fillId="6013" borderId="5960" xfId="0" applyFont="1" applyFill="1" applyBorder="1"/>
    <xf numFmtId="0" fontId="6009" fillId="6014" borderId="5961" xfId="0" applyFont="1" applyFill="1" applyBorder="1"/>
    <xf numFmtId="0" fontId="6010" fillId="6015" borderId="5962" xfId="0" applyFont="1" applyFill="1" applyBorder="1"/>
    <xf numFmtId="14" fontId="6011" fillId="6016" borderId="5963" xfId="0" applyNumberFormat="1" applyFont="1" applyFill="1" applyBorder="1"/>
    <xf numFmtId="0" fontId="6012" fillId="6017" borderId="5964" xfId="0" applyFont="1" applyFill="1" applyBorder="1"/>
    <xf numFmtId="0" fontId="6013" fillId="6018" borderId="5965" xfId="0" applyFont="1" applyFill="1" applyBorder="1"/>
    <xf numFmtId="0" fontId="6014" fillId="6019" borderId="5966" xfId="0" applyFont="1" applyFill="1" applyBorder="1"/>
    <xf numFmtId="0" fontId="6015" fillId="6020" borderId="5967" xfId="0" applyFont="1" applyFill="1" applyBorder="1"/>
    <xf numFmtId="0" fontId="6016" fillId="6021" borderId="5968" xfId="0" applyFont="1" applyFill="1" applyBorder="1"/>
    <xf numFmtId="0" fontId="6017" fillId="6022" borderId="5969" xfId="0" applyFont="1" applyFill="1" applyBorder="1"/>
    <xf numFmtId="0" fontId="6018" fillId="6023" borderId="5970" xfId="0" applyFont="1" applyFill="1" applyBorder="1"/>
    <xf numFmtId="0" fontId="6019" fillId="6024" borderId="5971" xfId="0" applyFont="1" applyFill="1" applyBorder="1"/>
    <xf numFmtId="0" fontId="6020" fillId="6025" borderId="5972" xfId="0" applyFont="1" applyFill="1" applyBorder="1"/>
    <xf numFmtId="0" fontId="6021" fillId="6026" borderId="5973" xfId="0" applyFont="1" applyFill="1" applyBorder="1"/>
    <xf numFmtId="14" fontId="6022" fillId="6027" borderId="5974" xfId="0" applyNumberFormat="1" applyFont="1" applyFill="1" applyBorder="1"/>
    <xf numFmtId="0" fontId="6023" fillId="6028" borderId="5975" xfId="0" applyFont="1" applyFill="1" applyBorder="1"/>
    <xf numFmtId="0" fontId="6024" fillId="6029" borderId="5976" xfId="0" applyFont="1" applyFill="1" applyBorder="1"/>
    <xf numFmtId="0" fontId="6025" fillId="6030" borderId="5977" xfId="0" applyFont="1" applyFill="1" applyBorder="1"/>
    <xf numFmtId="0" fontId="6026" fillId="6031" borderId="5978" xfId="0" applyFont="1" applyFill="1" applyBorder="1"/>
    <xf numFmtId="0" fontId="6027" fillId="6032" borderId="5979" xfId="0" applyFont="1" applyFill="1" applyBorder="1"/>
    <xf numFmtId="0" fontId="6028" fillId="6033" borderId="5980" xfId="0" applyFont="1" applyFill="1" applyBorder="1"/>
    <xf numFmtId="0" fontId="6029" fillId="6034" borderId="5981" xfId="0" applyFont="1" applyFill="1" applyBorder="1"/>
    <xf numFmtId="0" fontId="6030" fillId="6035" borderId="5982" xfId="0" applyFont="1" applyFill="1" applyBorder="1"/>
    <xf numFmtId="0" fontId="6031" fillId="6036" borderId="5983" xfId="0" applyFont="1" applyFill="1" applyBorder="1"/>
    <xf numFmtId="0" fontId="6032" fillId="6037" borderId="5984" xfId="0" applyFont="1" applyFill="1" applyBorder="1"/>
    <xf numFmtId="14" fontId="6033" fillId="6038" borderId="5985" xfId="0" applyNumberFormat="1" applyFont="1" applyFill="1" applyBorder="1"/>
    <xf numFmtId="0" fontId="6034" fillId="6039" borderId="5986" xfId="0" applyFont="1" applyFill="1" applyBorder="1"/>
    <xf numFmtId="0" fontId="6035" fillId="6040" borderId="5987" xfId="0" applyFont="1" applyFill="1" applyBorder="1"/>
    <xf numFmtId="0" fontId="6036" fillId="6041" borderId="5988" xfId="0" applyFont="1" applyFill="1" applyBorder="1"/>
    <xf numFmtId="0" fontId="6037" fillId="6042" borderId="5989" xfId="0" applyFont="1" applyFill="1" applyBorder="1"/>
    <xf numFmtId="0" fontId="6038" fillId="6043" borderId="5990" xfId="0" applyFont="1" applyFill="1" applyBorder="1"/>
    <xf numFmtId="0" fontId="6039" fillId="6044" borderId="5991" xfId="0" applyFont="1" applyFill="1" applyBorder="1"/>
    <xf numFmtId="0" fontId="6040" fillId="6045" borderId="5992" xfId="0" applyFont="1" applyFill="1" applyBorder="1"/>
    <xf numFmtId="0" fontId="6041" fillId="6046" borderId="5993" xfId="0" applyFont="1" applyFill="1" applyBorder="1"/>
    <xf numFmtId="0" fontId="6042" fillId="6047" borderId="5994" xfId="0" applyFont="1" applyFill="1" applyBorder="1"/>
    <xf numFmtId="0" fontId="6043" fillId="6048" borderId="5995" xfId="0" applyFont="1" applyFill="1" applyBorder="1"/>
    <xf numFmtId="14" fontId="6044" fillId="6049" borderId="5996" xfId="0" applyNumberFormat="1" applyFont="1" applyFill="1" applyBorder="1"/>
    <xf numFmtId="0" fontId="6045" fillId="6050" borderId="5997" xfId="0" applyFont="1" applyFill="1" applyBorder="1"/>
    <xf numFmtId="0" fontId="6046" fillId="6051" borderId="5998" xfId="0" applyFont="1" applyFill="1" applyBorder="1"/>
    <xf numFmtId="0" fontId="6047" fillId="6052" borderId="5999" xfId="0" applyFont="1" applyFill="1" applyBorder="1"/>
    <xf numFmtId="0" fontId="6048" fillId="6053" borderId="6000" xfId="0" applyFont="1" applyFill="1" applyBorder="1"/>
    <xf numFmtId="0" fontId="6049" fillId="6054" borderId="6001" xfId="0" applyFont="1" applyFill="1" applyBorder="1"/>
    <xf numFmtId="0" fontId="6050" fillId="6055" borderId="6002" xfId="0" applyFont="1" applyFill="1" applyBorder="1"/>
    <xf numFmtId="0" fontId="6051" fillId="6056" borderId="6003" xfId="0" applyFont="1" applyFill="1" applyBorder="1"/>
    <xf numFmtId="0" fontId="6052" fillId="6057" borderId="6004" xfId="0" applyFont="1" applyFill="1" applyBorder="1"/>
    <xf numFmtId="0" fontId="6053" fillId="6058" borderId="6005" xfId="0" applyFont="1" applyFill="1" applyBorder="1"/>
    <xf numFmtId="0" fontId="6054" fillId="6059" borderId="6006" xfId="0" applyFont="1" applyFill="1" applyBorder="1"/>
    <xf numFmtId="14" fontId="6055" fillId="6060" borderId="6007" xfId="0" applyNumberFormat="1" applyFont="1" applyFill="1" applyBorder="1"/>
    <xf numFmtId="0" fontId="6056" fillId="6061" borderId="6008" xfId="0" applyFont="1" applyFill="1" applyBorder="1"/>
    <xf numFmtId="0" fontId="6057" fillId="6062" borderId="6009" xfId="0" applyFont="1" applyFill="1" applyBorder="1"/>
    <xf numFmtId="0" fontId="6058" fillId="6063" borderId="6010" xfId="0" applyFont="1" applyFill="1" applyBorder="1"/>
    <xf numFmtId="0" fontId="6059" fillId="6064" borderId="6011" xfId="0" applyFont="1" applyFill="1" applyBorder="1"/>
    <xf numFmtId="0" fontId="6060" fillId="6065" borderId="6012" xfId="0" applyFont="1" applyFill="1" applyBorder="1"/>
    <xf numFmtId="0" fontId="6061" fillId="6066" borderId="6013" xfId="0" applyFont="1" applyFill="1" applyBorder="1"/>
    <xf numFmtId="0" fontId="6062" fillId="6067" borderId="6014" xfId="0" applyFont="1" applyFill="1" applyBorder="1"/>
    <xf numFmtId="0" fontId="6063" fillId="6068" borderId="6015" xfId="0" applyFont="1" applyFill="1" applyBorder="1"/>
    <xf numFmtId="0" fontId="6064" fillId="6069" borderId="6016" xfId="0" applyFont="1" applyFill="1" applyBorder="1"/>
    <xf numFmtId="0" fontId="6065" fillId="6070" borderId="6017" xfId="0" applyFont="1" applyFill="1" applyBorder="1"/>
    <xf numFmtId="14" fontId="6066" fillId="6071" borderId="6018" xfId="0" applyNumberFormat="1" applyFont="1" applyFill="1" applyBorder="1"/>
    <xf numFmtId="0" fontId="6067" fillId="6072" borderId="6019" xfId="0" applyFont="1" applyFill="1" applyBorder="1"/>
    <xf numFmtId="0" fontId="6068" fillId="6073" borderId="6020" xfId="0" applyFont="1" applyFill="1" applyBorder="1"/>
    <xf numFmtId="0" fontId="6069" fillId="6074" borderId="6021" xfId="0" applyFont="1" applyFill="1" applyBorder="1"/>
    <xf numFmtId="0" fontId="6070" fillId="6075" borderId="6022" xfId="0" applyFont="1" applyFill="1" applyBorder="1"/>
    <xf numFmtId="0" fontId="6071" fillId="6076" borderId="6023" xfId="0" applyFont="1" applyFill="1" applyBorder="1"/>
    <xf numFmtId="0" fontId="6072" fillId="6077" borderId="6024" xfId="0" applyFont="1" applyFill="1" applyBorder="1"/>
    <xf numFmtId="0" fontId="6073" fillId="6078" borderId="6025" xfId="0" applyFont="1" applyFill="1" applyBorder="1"/>
    <xf numFmtId="0" fontId="6074" fillId="6079" borderId="6026" xfId="0" applyFont="1" applyFill="1" applyBorder="1"/>
    <xf numFmtId="0" fontId="6075" fillId="6080" borderId="6027" xfId="0" applyFont="1" applyFill="1" applyBorder="1"/>
    <xf numFmtId="0" fontId="6076" fillId="6081" borderId="6028" xfId="0" applyFont="1" applyFill="1" applyBorder="1"/>
    <xf numFmtId="14" fontId="6077" fillId="6082" borderId="6029" xfId="0" applyNumberFormat="1" applyFont="1" applyFill="1" applyBorder="1"/>
    <xf numFmtId="0" fontId="6078" fillId="6083" borderId="6030" xfId="0" applyFont="1" applyFill="1" applyBorder="1"/>
    <xf numFmtId="0" fontId="6079" fillId="6084" borderId="6031" xfId="0" applyFont="1" applyFill="1" applyBorder="1"/>
    <xf numFmtId="0" fontId="6080" fillId="6085" borderId="6032" xfId="0" applyFont="1" applyFill="1" applyBorder="1"/>
    <xf numFmtId="0" fontId="6081" fillId="6086" borderId="6033" xfId="0" applyFont="1" applyFill="1" applyBorder="1"/>
    <xf numFmtId="0" fontId="6082" fillId="6087" borderId="6034" xfId="0" applyFont="1" applyFill="1" applyBorder="1"/>
    <xf numFmtId="0" fontId="6083" fillId="6088" borderId="6035" xfId="0" applyFont="1" applyFill="1" applyBorder="1"/>
    <xf numFmtId="0" fontId="6084" fillId="6089" borderId="6036" xfId="0" applyFont="1" applyFill="1" applyBorder="1"/>
    <xf numFmtId="0" fontId="6085" fillId="6090" borderId="6037" xfId="0" applyFont="1" applyFill="1" applyBorder="1"/>
    <xf numFmtId="0" fontId="6086" fillId="6091" borderId="6038" xfId="0" applyFont="1" applyFill="1" applyBorder="1"/>
    <xf numFmtId="0" fontId="6087" fillId="6092" borderId="6039" xfId="0" applyFont="1" applyFill="1" applyBorder="1"/>
    <xf numFmtId="14" fontId="6088" fillId="6093" borderId="6040" xfId="0" applyNumberFormat="1" applyFont="1" applyFill="1" applyBorder="1"/>
    <xf numFmtId="0" fontId="6089" fillId="6094" borderId="6041" xfId="0" applyFont="1" applyFill="1" applyBorder="1"/>
    <xf numFmtId="0" fontId="6090" fillId="6095" borderId="6042" xfId="0" applyFont="1" applyFill="1" applyBorder="1"/>
    <xf numFmtId="0" fontId="6091" fillId="6096" borderId="6043" xfId="0" applyFont="1" applyFill="1" applyBorder="1"/>
    <xf numFmtId="0" fontId="6092" fillId="6097" borderId="6044" xfId="0" applyFont="1" applyFill="1" applyBorder="1"/>
    <xf numFmtId="0" fontId="6093" fillId="6098" borderId="6045" xfId="0" applyFont="1" applyFill="1" applyBorder="1"/>
    <xf numFmtId="0" fontId="6094" fillId="6099" borderId="6046" xfId="0" applyFont="1" applyFill="1" applyBorder="1"/>
    <xf numFmtId="0" fontId="6095" fillId="6100" borderId="6047" xfId="0" applyFont="1" applyFill="1" applyBorder="1"/>
    <xf numFmtId="0" fontId="6096" fillId="6101" borderId="6048" xfId="0" applyFont="1" applyFill="1" applyBorder="1"/>
    <xf numFmtId="0" fontId="6097" fillId="6102" borderId="6049" xfId="0" applyFont="1" applyFill="1" applyBorder="1"/>
    <xf numFmtId="0" fontId="6098" fillId="6103" borderId="6050" xfId="0" applyFont="1" applyFill="1" applyBorder="1"/>
    <xf numFmtId="14" fontId="6099" fillId="6104" borderId="6051" xfId="0" applyNumberFormat="1" applyFont="1" applyFill="1" applyBorder="1"/>
    <xf numFmtId="0" fontId="6100" fillId="6105" borderId="6052" xfId="0" applyFont="1" applyFill="1" applyBorder="1"/>
    <xf numFmtId="0" fontId="6101" fillId="6106" borderId="6053" xfId="0" applyFont="1" applyFill="1" applyBorder="1"/>
    <xf numFmtId="0" fontId="6102" fillId="6107" borderId="6054" xfId="0" applyFont="1" applyFill="1" applyBorder="1"/>
    <xf numFmtId="0" fontId="6103" fillId="6108" borderId="6055" xfId="0" applyFont="1" applyFill="1" applyBorder="1"/>
    <xf numFmtId="0" fontId="6104" fillId="6109" borderId="6056" xfId="0" applyFont="1" applyFill="1" applyBorder="1"/>
    <xf numFmtId="0" fontId="6105" fillId="6110" borderId="6057" xfId="0" applyFont="1" applyFill="1" applyBorder="1"/>
    <xf numFmtId="0" fontId="6106" fillId="6111" borderId="6058" xfId="0" applyFont="1" applyFill="1" applyBorder="1"/>
    <xf numFmtId="0" fontId="6107" fillId="6112" borderId="6059" xfId="0" applyFont="1" applyFill="1" applyBorder="1"/>
    <xf numFmtId="0" fontId="6108" fillId="6113" borderId="6060" xfId="0" applyFont="1" applyFill="1" applyBorder="1"/>
    <xf numFmtId="0" fontId="6109" fillId="6114" borderId="6061" xfId="0" applyFont="1" applyFill="1" applyBorder="1"/>
    <xf numFmtId="14" fontId="6110" fillId="6115" borderId="6062" xfId="0" applyNumberFormat="1" applyFont="1" applyFill="1" applyBorder="1"/>
    <xf numFmtId="0" fontId="6111" fillId="6116" borderId="6063" xfId="0" applyFont="1" applyFill="1" applyBorder="1"/>
    <xf numFmtId="0" fontId="6112" fillId="6117" borderId="6064" xfId="0" applyFont="1" applyFill="1" applyBorder="1"/>
    <xf numFmtId="0" fontId="6113" fillId="6118" borderId="6065" xfId="0" applyFont="1" applyFill="1" applyBorder="1"/>
    <xf numFmtId="0" fontId="6114" fillId="6119" borderId="6066" xfId="0" applyFont="1" applyFill="1" applyBorder="1"/>
    <xf numFmtId="0" fontId="6115" fillId="6120" borderId="6067" xfId="0" applyFont="1" applyFill="1" applyBorder="1"/>
    <xf numFmtId="0" fontId="6116" fillId="6121" borderId="6068" xfId="0" applyFont="1" applyFill="1" applyBorder="1"/>
    <xf numFmtId="0" fontId="6117" fillId="6122" borderId="6069" xfId="0" applyFont="1" applyFill="1" applyBorder="1"/>
    <xf numFmtId="0" fontId="6118" fillId="6123" borderId="6070" xfId="0" applyFont="1" applyFill="1" applyBorder="1"/>
    <xf numFmtId="0" fontId="6119" fillId="6124" borderId="6071" xfId="0" applyFont="1" applyFill="1" applyBorder="1"/>
    <xf numFmtId="0" fontId="6120" fillId="6125" borderId="6072" xfId="0" applyFont="1" applyFill="1" applyBorder="1"/>
    <xf numFmtId="14" fontId="6121" fillId="6126" borderId="6073" xfId="0" applyNumberFormat="1" applyFont="1" applyFill="1" applyBorder="1"/>
    <xf numFmtId="0" fontId="6122" fillId="6127" borderId="6074" xfId="0" applyFont="1" applyFill="1" applyBorder="1"/>
    <xf numFmtId="0" fontId="6123" fillId="6128" borderId="6075" xfId="0" applyFont="1" applyFill="1" applyBorder="1"/>
    <xf numFmtId="0" fontId="6124" fillId="6129" borderId="6076" xfId="0" applyFont="1" applyFill="1" applyBorder="1"/>
    <xf numFmtId="0" fontId="6125" fillId="6130" borderId="6077" xfId="0" applyFont="1" applyFill="1" applyBorder="1"/>
    <xf numFmtId="0" fontId="6126" fillId="6131" borderId="6078" xfId="0" applyFont="1" applyFill="1" applyBorder="1"/>
    <xf numFmtId="0" fontId="6127" fillId="6132" borderId="6079" xfId="0" applyFont="1" applyFill="1" applyBorder="1"/>
    <xf numFmtId="0" fontId="6128" fillId="6133" borderId="6080" xfId="0" applyFont="1" applyFill="1" applyBorder="1"/>
    <xf numFmtId="0" fontId="6129" fillId="6134" borderId="6081" xfId="0" applyFont="1" applyFill="1" applyBorder="1"/>
    <xf numFmtId="0" fontId="6130" fillId="6135" borderId="6082" xfId="0" applyFont="1" applyFill="1" applyBorder="1"/>
    <xf numFmtId="0" fontId="6131" fillId="6136" borderId="6083" xfId="0" applyFont="1" applyFill="1" applyBorder="1"/>
    <xf numFmtId="14" fontId="6132" fillId="6137" borderId="6084" xfId="0" applyNumberFormat="1" applyFont="1" applyFill="1" applyBorder="1"/>
    <xf numFmtId="0" fontId="6133" fillId="6138" borderId="6085" xfId="0" applyFont="1" applyFill="1" applyBorder="1"/>
    <xf numFmtId="0" fontId="6134" fillId="6139" borderId="6086" xfId="0" applyFont="1" applyFill="1" applyBorder="1"/>
    <xf numFmtId="0" fontId="6135" fillId="6140" borderId="6087" xfId="0" applyFont="1" applyFill="1" applyBorder="1"/>
    <xf numFmtId="0" fontId="6136" fillId="6141" borderId="6088" xfId="0" applyFont="1" applyFill="1" applyBorder="1"/>
    <xf numFmtId="0" fontId="6137" fillId="6142" borderId="6089" xfId="0" applyFont="1" applyFill="1" applyBorder="1"/>
    <xf numFmtId="0" fontId="6138" fillId="6143" borderId="6090" xfId="0" applyFont="1" applyFill="1" applyBorder="1"/>
    <xf numFmtId="0" fontId="6139" fillId="6144" borderId="6091" xfId="0" applyFont="1" applyFill="1" applyBorder="1"/>
    <xf numFmtId="0" fontId="6140" fillId="6145" borderId="6092" xfId="0" applyFont="1" applyFill="1" applyBorder="1"/>
    <xf numFmtId="0" fontId="6141" fillId="6146" borderId="6093" xfId="0" applyFont="1" applyFill="1" applyBorder="1"/>
    <xf numFmtId="0" fontId="6142" fillId="6147" borderId="6094" xfId="0" applyFont="1" applyFill="1" applyBorder="1"/>
    <xf numFmtId="14" fontId="6143" fillId="6148" borderId="6095" xfId="0" applyNumberFormat="1" applyFont="1" applyFill="1" applyBorder="1"/>
    <xf numFmtId="0" fontId="6144" fillId="6149" borderId="6096" xfId="0" applyFont="1" applyFill="1" applyBorder="1"/>
    <xf numFmtId="0" fontId="6145" fillId="6150" borderId="6097" xfId="0" applyFont="1" applyFill="1" applyBorder="1"/>
    <xf numFmtId="0" fontId="6146" fillId="6151" borderId="6098" xfId="0" applyFont="1" applyFill="1" applyBorder="1"/>
    <xf numFmtId="0" fontId="6147" fillId="6152" borderId="6099" xfId="0" applyFont="1" applyFill="1" applyBorder="1"/>
    <xf numFmtId="0" fontId="6148" fillId="6153" borderId="6100" xfId="0" applyFont="1" applyFill="1" applyBorder="1"/>
    <xf numFmtId="0" fontId="6149" fillId="6154" borderId="6101" xfId="0" applyFont="1" applyFill="1" applyBorder="1"/>
    <xf numFmtId="0" fontId="6150" fillId="6155" borderId="6102" xfId="0" applyFont="1" applyFill="1" applyBorder="1"/>
    <xf numFmtId="0" fontId="6151" fillId="6156" borderId="6103" xfId="0" applyFont="1" applyFill="1" applyBorder="1"/>
    <xf numFmtId="0" fontId="6152" fillId="6157" borderId="6104" xfId="0" applyFont="1" applyFill="1" applyBorder="1"/>
    <xf numFmtId="0" fontId="6153" fillId="6158" borderId="6105" xfId="0" applyFont="1" applyFill="1" applyBorder="1"/>
    <xf numFmtId="14" fontId="6154" fillId="6159" borderId="6106" xfId="0" applyNumberFormat="1" applyFont="1" applyFill="1" applyBorder="1"/>
    <xf numFmtId="0" fontId="6155" fillId="6160" borderId="6107" xfId="0" applyFont="1" applyFill="1" applyBorder="1"/>
    <xf numFmtId="0" fontId="6156" fillId="6161" borderId="6108" xfId="0" applyFont="1" applyFill="1" applyBorder="1"/>
    <xf numFmtId="0" fontId="6157" fillId="6162" borderId="6109" xfId="0" applyFont="1" applyFill="1" applyBorder="1"/>
    <xf numFmtId="0" fontId="6158" fillId="6163" borderId="6110" xfId="0" applyFont="1" applyFill="1" applyBorder="1"/>
    <xf numFmtId="0" fontId="6159" fillId="6164" borderId="6111" xfId="0" applyFont="1" applyFill="1" applyBorder="1"/>
    <xf numFmtId="0" fontId="6160" fillId="6165" borderId="6112" xfId="0" applyFont="1" applyFill="1" applyBorder="1"/>
    <xf numFmtId="0" fontId="6161" fillId="6166" borderId="6113" xfId="0" applyFont="1" applyFill="1" applyBorder="1"/>
    <xf numFmtId="0" fontId="6162" fillId="6167" borderId="6114" xfId="0" applyFont="1" applyFill="1" applyBorder="1"/>
    <xf numFmtId="0" fontId="6163" fillId="6168" borderId="6115" xfId="0" applyFont="1" applyFill="1" applyBorder="1"/>
    <xf numFmtId="0" fontId="6164" fillId="6169" borderId="6116" xfId="0" applyFont="1" applyFill="1" applyBorder="1"/>
    <xf numFmtId="14" fontId="6165" fillId="6170" borderId="6117" xfId="0" applyNumberFormat="1" applyFont="1" applyFill="1" applyBorder="1"/>
    <xf numFmtId="0" fontId="6166" fillId="6171" borderId="6118" xfId="0" applyFont="1" applyFill="1" applyBorder="1"/>
    <xf numFmtId="0" fontId="6167" fillId="6172" borderId="6119" xfId="0" applyFont="1" applyFill="1" applyBorder="1"/>
    <xf numFmtId="0" fontId="6168" fillId="6173" borderId="6120" xfId="0" applyFont="1" applyFill="1" applyBorder="1"/>
    <xf numFmtId="0" fontId="6169" fillId="6174" borderId="6121" xfId="0" applyFont="1" applyFill="1" applyBorder="1"/>
    <xf numFmtId="0" fontId="6170" fillId="6175" borderId="6122" xfId="0" applyFont="1" applyFill="1" applyBorder="1"/>
    <xf numFmtId="0" fontId="6171" fillId="6176" borderId="6123" xfId="0" applyFont="1" applyFill="1" applyBorder="1"/>
    <xf numFmtId="0" fontId="6172" fillId="6177" borderId="6124" xfId="0" applyFont="1" applyFill="1" applyBorder="1"/>
    <xf numFmtId="0" fontId="6173" fillId="6178" borderId="6125" xfId="0" applyFont="1" applyFill="1" applyBorder="1"/>
    <xf numFmtId="0" fontId="6174" fillId="6179" borderId="6126" xfId="0" applyFont="1" applyFill="1" applyBorder="1"/>
    <xf numFmtId="0" fontId="6175" fillId="6180" borderId="6127" xfId="0" applyFont="1" applyFill="1" applyBorder="1"/>
    <xf numFmtId="14" fontId="6176" fillId="6181" borderId="6128" xfId="0" applyNumberFormat="1" applyFont="1" applyFill="1" applyBorder="1"/>
    <xf numFmtId="0" fontId="6177" fillId="6182" borderId="6129" xfId="0" applyFont="1" applyFill="1" applyBorder="1"/>
    <xf numFmtId="0" fontId="6178" fillId="6183" borderId="6130" xfId="0" applyFont="1" applyFill="1" applyBorder="1"/>
    <xf numFmtId="0" fontId="6179" fillId="6184" borderId="6131" xfId="0" applyFont="1" applyFill="1" applyBorder="1"/>
    <xf numFmtId="0" fontId="6180" fillId="6185" borderId="6132" xfId="0" applyFont="1" applyFill="1" applyBorder="1"/>
    <xf numFmtId="0" fontId="6181" fillId="6186" borderId="6133" xfId="0" applyFont="1" applyFill="1" applyBorder="1"/>
    <xf numFmtId="0" fontId="6182" fillId="6187" borderId="6134" xfId="0" applyFont="1" applyFill="1" applyBorder="1"/>
    <xf numFmtId="0" fontId="6183" fillId="6188" borderId="6135" xfId="0" applyFont="1" applyFill="1" applyBorder="1"/>
    <xf numFmtId="0" fontId="6184" fillId="6189" borderId="6136" xfId="0" applyFont="1" applyFill="1" applyBorder="1"/>
    <xf numFmtId="0" fontId="6185" fillId="6190" borderId="6137" xfId="0" applyFont="1" applyFill="1" applyBorder="1"/>
    <xf numFmtId="0" fontId="6186" fillId="6191" borderId="6138" xfId="0" applyFont="1" applyFill="1" applyBorder="1"/>
    <xf numFmtId="14" fontId="6187" fillId="6192" borderId="6139" xfId="0" applyNumberFormat="1" applyFont="1" applyFill="1" applyBorder="1"/>
    <xf numFmtId="0" fontId="6188" fillId="6193" borderId="6140" xfId="0" applyFont="1" applyFill="1" applyBorder="1"/>
    <xf numFmtId="0" fontId="6189" fillId="6194" borderId="6141" xfId="0" applyFont="1" applyFill="1" applyBorder="1"/>
    <xf numFmtId="0" fontId="6190" fillId="6195" borderId="6142" xfId="0" applyFont="1" applyFill="1" applyBorder="1"/>
    <xf numFmtId="0" fontId="6191" fillId="6196" borderId="6143" xfId="0" applyFont="1" applyFill="1" applyBorder="1"/>
    <xf numFmtId="0" fontId="6192" fillId="6197" borderId="6144" xfId="0" applyFont="1" applyFill="1" applyBorder="1"/>
    <xf numFmtId="0" fontId="6193" fillId="6198" borderId="6145" xfId="0" applyFont="1" applyFill="1" applyBorder="1"/>
    <xf numFmtId="0" fontId="6194" fillId="6199" borderId="6146" xfId="0" applyFont="1" applyFill="1" applyBorder="1"/>
    <xf numFmtId="0" fontId="6195" fillId="6200" borderId="6147" xfId="0" applyFont="1" applyFill="1" applyBorder="1"/>
    <xf numFmtId="0" fontId="6196" fillId="6201" borderId="6148" xfId="0" applyFont="1" applyFill="1" applyBorder="1"/>
    <xf numFmtId="0" fontId="6197" fillId="6202" borderId="6149" xfId="0" applyFont="1" applyFill="1" applyBorder="1"/>
    <xf numFmtId="14" fontId="6198" fillId="6203" borderId="6150" xfId="0" applyNumberFormat="1" applyFont="1" applyFill="1" applyBorder="1"/>
    <xf numFmtId="0" fontId="6199" fillId="6204" borderId="6151" xfId="0" applyFont="1" applyFill="1" applyBorder="1"/>
    <xf numFmtId="0" fontId="6200" fillId="6205" borderId="6152" xfId="0" applyFont="1" applyFill="1" applyBorder="1"/>
    <xf numFmtId="0" fontId="6201" fillId="6206" borderId="6153" xfId="0" applyFont="1" applyFill="1" applyBorder="1"/>
    <xf numFmtId="0" fontId="6202" fillId="6207" borderId="6154" xfId="0" applyFont="1" applyFill="1" applyBorder="1"/>
    <xf numFmtId="0" fontId="6203" fillId="6208" borderId="6155" xfId="0" applyFont="1" applyFill="1" applyBorder="1"/>
    <xf numFmtId="0" fontId="6204" fillId="6209" borderId="6156" xfId="0" applyFont="1" applyFill="1" applyBorder="1"/>
    <xf numFmtId="0" fontId="6205" fillId="6210" borderId="6157" xfId="0" applyFont="1" applyFill="1" applyBorder="1"/>
    <xf numFmtId="0" fontId="6206" fillId="6211" borderId="6158" xfId="0" applyFont="1" applyFill="1" applyBorder="1"/>
    <xf numFmtId="0" fontId="6207" fillId="6212" borderId="6159" xfId="0" applyFont="1" applyFill="1" applyBorder="1"/>
    <xf numFmtId="0" fontId="6208" fillId="6213" borderId="6160" xfId="0" applyFont="1" applyFill="1" applyBorder="1"/>
    <xf numFmtId="14" fontId="6209" fillId="6214" borderId="6161" xfId="0" applyNumberFormat="1" applyFont="1" applyFill="1" applyBorder="1"/>
    <xf numFmtId="0" fontId="6210" fillId="6215" borderId="6162" xfId="0" applyFont="1" applyFill="1" applyBorder="1"/>
    <xf numFmtId="0" fontId="6211" fillId="6216" borderId="6163" xfId="0" applyFont="1" applyFill="1" applyBorder="1"/>
    <xf numFmtId="0" fontId="6212" fillId="6217" borderId="6164" xfId="0" applyFont="1" applyFill="1" applyBorder="1"/>
    <xf numFmtId="0" fontId="6213" fillId="6218" borderId="6165" xfId="0" applyFont="1" applyFill="1" applyBorder="1"/>
    <xf numFmtId="0" fontId="6214" fillId="6219" borderId="6166" xfId="0" applyFont="1" applyFill="1" applyBorder="1"/>
    <xf numFmtId="0" fontId="6215" fillId="6220" borderId="6167" xfId="0" applyFont="1" applyFill="1" applyBorder="1"/>
    <xf numFmtId="0" fontId="6216" fillId="6221" borderId="6168" xfId="0" applyFont="1" applyFill="1" applyBorder="1"/>
    <xf numFmtId="0" fontId="6217" fillId="6222" borderId="6169" xfId="0" applyFont="1" applyFill="1" applyBorder="1"/>
    <xf numFmtId="0" fontId="6218" fillId="6223" borderId="6170" xfId="0" applyFont="1" applyFill="1" applyBorder="1"/>
    <xf numFmtId="0" fontId="6219" fillId="6224" borderId="6171" xfId="0" applyFont="1" applyFill="1" applyBorder="1"/>
    <xf numFmtId="14" fontId="6220" fillId="6225" borderId="6172" xfId="0" applyNumberFormat="1" applyFont="1" applyFill="1" applyBorder="1"/>
    <xf numFmtId="0" fontId="6221" fillId="6226" borderId="6173" xfId="0" applyFont="1" applyFill="1" applyBorder="1"/>
    <xf numFmtId="0" fontId="6222" fillId="6227" borderId="6174" xfId="0" applyFont="1" applyFill="1" applyBorder="1"/>
    <xf numFmtId="0" fontId="6223" fillId="6228" borderId="6175" xfId="0" applyFont="1" applyFill="1" applyBorder="1"/>
    <xf numFmtId="0" fontId="6224" fillId="6229" borderId="6176" xfId="0" applyFont="1" applyFill="1" applyBorder="1"/>
    <xf numFmtId="0" fontId="6225" fillId="6230" borderId="6177" xfId="0" applyFont="1" applyFill="1" applyBorder="1"/>
    <xf numFmtId="0" fontId="6226" fillId="6231" borderId="6178" xfId="0" applyFont="1" applyFill="1" applyBorder="1"/>
    <xf numFmtId="0" fontId="6227" fillId="6232" borderId="6179" xfId="0" applyFont="1" applyFill="1" applyBorder="1"/>
    <xf numFmtId="0" fontId="6228" fillId="6233" borderId="6180" xfId="0" applyFont="1" applyFill="1" applyBorder="1"/>
    <xf numFmtId="0" fontId="6229" fillId="6234" borderId="6181" xfId="0" applyFont="1" applyFill="1" applyBorder="1"/>
    <xf numFmtId="0" fontId="6230" fillId="6235" borderId="6182" xfId="0" applyFont="1" applyFill="1" applyBorder="1"/>
    <xf numFmtId="14" fontId="6231" fillId="6236" borderId="6183" xfId="0" applyNumberFormat="1" applyFont="1" applyFill="1" applyBorder="1"/>
    <xf numFmtId="0" fontId="6232" fillId="6237" borderId="6184" xfId="0" applyFont="1" applyFill="1" applyBorder="1"/>
    <xf numFmtId="0" fontId="6233" fillId="6238" borderId="6185" xfId="0" applyFont="1" applyFill="1" applyBorder="1"/>
    <xf numFmtId="0" fontId="6234" fillId="6239" borderId="6186" xfId="0" applyFont="1" applyFill="1" applyBorder="1"/>
    <xf numFmtId="0" fontId="6235" fillId="6240" borderId="6187" xfId="0" applyFont="1" applyFill="1" applyBorder="1"/>
    <xf numFmtId="0" fontId="6236" fillId="6241" borderId="6188" xfId="0" applyFont="1" applyFill="1" applyBorder="1"/>
    <xf numFmtId="0" fontId="6237" fillId="6242" borderId="6189" xfId="0" applyFont="1" applyFill="1" applyBorder="1"/>
    <xf numFmtId="0" fontId="6238" fillId="6243" borderId="6190" xfId="0" applyFont="1" applyFill="1" applyBorder="1"/>
    <xf numFmtId="0" fontId="6239" fillId="6244" borderId="6191" xfId="0" applyFont="1" applyFill="1" applyBorder="1"/>
    <xf numFmtId="0" fontId="6240" fillId="6245" borderId="6192" xfId="0" applyFont="1" applyFill="1" applyBorder="1"/>
    <xf numFmtId="0" fontId="6241" fillId="6246" borderId="6193" xfId="0" applyFont="1" applyFill="1" applyBorder="1"/>
    <xf numFmtId="14" fontId="6242" fillId="6247" borderId="6194" xfId="0" applyNumberFormat="1" applyFont="1" applyFill="1" applyBorder="1"/>
    <xf numFmtId="0" fontId="6243" fillId="6248" borderId="6195" xfId="0" applyFont="1" applyFill="1" applyBorder="1"/>
    <xf numFmtId="0" fontId="6244" fillId="6249" borderId="6196" xfId="0" applyFont="1" applyFill="1" applyBorder="1"/>
    <xf numFmtId="0" fontId="6245" fillId="6250" borderId="6197" xfId="0" applyFont="1" applyFill="1" applyBorder="1"/>
    <xf numFmtId="0" fontId="6246" fillId="6251" borderId="6198" xfId="0" applyFont="1" applyFill="1" applyBorder="1"/>
    <xf numFmtId="0" fontId="6247" fillId="6252" borderId="6199" xfId="0" applyFont="1" applyFill="1" applyBorder="1"/>
    <xf numFmtId="0" fontId="6248" fillId="6253" borderId="6200" xfId="0" applyFont="1" applyFill="1" applyBorder="1"/>
    <xf numFmtId="0" fontId="6249" fillId="6254" borderId="6201" xfId="0" applyFont="1" applyFill="1" applyBorder="1"/>
    <xf numFmtId="0" fontId="6250" fillId="6255" borderId="6202" xfId="0" applyFont="1" applyFill="1" applyBorder="1"/>
    <xf numFmtId="0" fontId="6251" fillId="6256" borderId="6203" xfId="0" applyFont="1" applyFill="1" applyBorder="1"/>
    <xf numFmtId="0" fontId="6252" fillId="6257" borderId="6204" xfId="0" applyFont="1" applyFill="1" applyBorder="1"/>
    <xf numFmtId="14" fontId="6253" fillId="6258" borderId="6205" xfId="0" applyNumberFormat="1" applyFont="1" applyFill="1" applyBorder="1"/>
    <xf numFmtId="0" fontId="6254" fillId="6259" borderId="6206" xfId="0" applyFont="1" applyFill="1" applyBorder="1"/>
    <xf numFmtId="0" fontId="6255" fillId="6260" borderId="6207" xfId="0" applyFont="1" applyFill="1" applyBorder="1"/>
    <xf numFmtId="0" fontId="6256" fillId="6261" borderId="6208" xfId="0" applyFont="1" applyFill="1" applyBorder="1"/>
    <xf numFmtId="0" fontId="6257" fillId="6262" borderId="6209" xfId="0" applyFont="1" applyFill="1" applyBorder="1"/>
    <xf numFmtId="0" fontId="6258" fillId="6263" borderId="6210" xfId="0" applyFont="1" applyFill="1" applyBorder="1"/>
    <xf numFmtId="0" fontId="6259" fillId="6264" borderId="6211" xfId="0" applyFont="1" applyFill="1" applyBorder="1"/>
    <xf numFmtId="0" fontId="6260" fillId="6265" borderId="6212" xfId="0" applyFont="1" applyFill="1" applyBorder="1"/>
    <xf numFmtId="0" fontId="6261" fillId="6266" borderId="6213" xfId="0" applyFont="1" applyFill="1" applyBorder="1"/>
    <xf numFmtId="0" fontId="6262" fillId="6267" borderId="6214" xfId="0" applyFont="1" applyFill="1" applyBorder="1"/>
    <xf numFmtId="0" fontId="6263" fillId="6268" borderId="6215" xfId="0" applyFont="1" applyFill="1" applyBorder="1"/>
    <xf numFmtId="14" fontId="6264" fillId="6269" borderId="6216" xfId="0" applyNumberFormat="1" applyFont="1" applyFill="1" applyBorder="1"/>
    <xf numFmtId="0" fontId="6265" fillId="6270" borderId="6217" xfId="0" applyFont="1" applyFill="1" applyBorder="1"/>
    <xf numFmtId="0" fontId="6266" fillId="6271" borderId="6218" xfId="0" applyFont="1" applyFill="1" applyBorder="1"/>
    <xf numFmtId="0" fontId="6267" fillId="6272" borderId="6219" xfId="0" applyFont="1" applyFill="1" applyBorder="1"/>
    <xf numFmtId="0" fontId="6268" fillId="6273" borderId="6220" xfId="0" applyFont="1" applyFill="1" applyBorder="1"/>
    <xf numFmtId="0" fontId="6269" fillId="6274" borderId="6221" xfId="0" applyFont="1" applyFill="1" applyBorder="1"/>
    <xf numFmtId="0" fontId="6270" fillId="6275" borderId="6222" xfId="0" applyFont="1" applyFill="1" applyBorder="1"/>
    <xf numFmtId="0" fontId="6271" fillId="6276" borderId="6223" xfId="0" applyFont="1" applyFill="1" applyBorder="1"/>
    <xf numFmtId="0" fontId="6272" fillId="6277" borderId="6224" xfId="0" applyFont="1" applyFill="1" applyBorder="1"/>
    <xf numFmtId="0" fontId="6273" fillId="6278" borderId="6225" xfId="0" applyFont="1" applyFill="1" applyBorder="1"/>
    <xf numFmtId="0" fontId="6274" fillId="6279" borderId="6226" xfId="0" applyFont="1" applyFill="1" applyBorder="1"/>
    <xf numFmtId="14" fontId="6275" fillId="6280" borderId="6227" xfId="0" applyNumberFormat="1" applyFont="1" applyFill="1" applyBorder="1"/>
    <xf numFmtId="0" fontId="6276" fillId="6281" borderId="6228" xfId="0" applyFont="1" applyFill="1" applyBorder="1"/>
    <xf numFmtId="0" fontId="6277" fillId="6282" borderId="6229" xfId="0" applyFont="1" applyFill="1" applyBorder="1"/>
    <xf numFmtId="0" fontId="6278" fillId="6283" borderId="6230" xfId="0" applyFont="1" applyFill="1" applyBorder="1"/>
    <xf numFmtId="0" fontId="6279" fillId="6284" borderId="6231" xfId="0" applyFont="1" applyFill="1" applyBorder="1"/>
    <xf numFmtId="0" fontId="6280" fillId="6285" borderId="6232" xfId="0" applyFont="1" applyFill="1" applyBorder="1"/>
    <xf numFmtId="0" fontId="6281" fillId="6286" borderId="6233" xfId="0" applyFont="1" applyFill="1" applyBorder="1"/>
    <xf numFmtId="0" fontId="6282" fillId="6287" borderId="6234" xfId="0" applyFont="1" applyFill="1" applyBorder="1"/>
    <xf numFmtId="0" fontId="6283" fillId="6288" borderId="6235" xfId="0" applyFont="1" applyFill="1" applyBorder="1"/>
    <xf numFmtId="0" fontId="6284" fillId="6289" borderId="6236" xfId="0" applyFont="1" applyFill="1" applyBorder="1"/>
    <xf numFmtId="0" fontId="6285" fillId="6290" borderId="6237" xfId="0" applyFont="1" applyFill="1" applyBorder="1"/>
    <xf numFmtId="14" fontId="6286" fillId="6291" borderId="6238" xfId="0" applyNumberFormat="1" applyFont="1" applyFill="1" applyBorder="1"/>
    <xf numFmtId="0" fontId="6287" fillId="6292" borderId="6239" xfId="0" applyFont="1" applyFill="1" applyBorder="1"/>
    <xf numFmtId="0" fontId="6288" fillId="6293" borderId="6240" xfId="0" applyFont="1" applyFill="1" applyBorder="1"/>
    <xf numFmtId="0" fontId="6289" fillId="6294" borderId="6241" xfId="0" applyFont="1" applyFill="1" applyBorder="1"/>
    <xf numFmtId="0" fontId="6290" fillId="6295" borderId="6242" xfId="0" applyFont="1" applyFill="1" applyBorder="1"/>
    <xf numFmtId="0" fontId="6291" fillId="6296" borderId="6243" xfId="0" applyFont="1" applyFill="1" applyBorder="1"/>
    <xf numFmtId="0" fontId="6292" fillId="6297" borderId="6244" xfId="0" applyFont="1" applyFill="1" applyBorder="1"/>
    <xf numFmtId="0" fontId="6293" fillId="6298" borderId="6245" xfId="0" applyFont="1" applyFill="1" applyBorder="1"/>
    <xf numFmtId="0" fontId="6294" fillId="6299" borderId="6246" xfId="0" applyFont="1" applyFill="1" applyBorder="1"/>
    <xf numFmtId="0" fontId="6295" fillId="6300" borderId="6247" xfId="0" applyFont="1" applyFill="1" applyBorder="1"/>
    <xf numFmtId="0" fontId="6296" fillId="6301" borderId="6248" xfId="0" applyFont="1" applyFill="1" applyBorder="1"/>
    <xf numFmtId="14" fontId="6297" fillId="6302" borderId="6249" xfId="0" applyNumberFormat="1" applyFont="1" applyFill="1" applyBorder="1"/>
    <xf numFmtId="0" fontId="6298" fillId="6303" borderId="6250" xfId="0" applyFont="1" applyFill="1" applyBorder="1"/>
    <xf numFmtId="0" fontId="6299" fillId="6304" borderId="6251" xfId="0" applyFont="1" applyFill="1" applyBorder="1"/>
    <xf numFmtId="0" fontId="6300" fillId="6305" borderId="6252" xfId="0" applyFont="1" applyFill="1" applyBorder="1"/>
    <xf numFmtId="0" fontId="6301" fillId="6306" borderId="6253" xfId="0" applyFont="1" applyFill="1" applyBorder="1"/>
    <xf numFmtId="0" fontId="6302" fillId="6307" borderId="6254" xfId="0" applyFont="1" applyFill="1" applyBorder="1"/>
    <xf numFmtId="0" fontId="6303" fillId="6308" borderId="6255" xfId="0" applyFont="1" applyFill="1" applyBorder="1"/>
    <xf numFmtId="0" fontId="6304" fillId="6309" borderId="6256" xfId="0" applyFont="1" applyFill="1" applyBorder="1"/>
    <xf numFmtId="0" fontId="6305" fillId="6310" borderId="6257" xfId="0" applyFont="1" applyFill="1" applyBorder="1"/>
    <xf numFmtId="0" fontId="6306" fillId="6311" borderId="6258" xfId="0" applyFont="1" applyFill="1" applyBorder="1"/>
    <xf numFmtId="0" fontId="6307" fillId="6312" borderId="6259" xfId="0" applyFont="1" applyFill="1" applyBorder="1"/>
    <xf numFmtId="14" fontId="6308" fillId="6313" borderId="6260" xfId="0" applyNumberFormat="1" applyFont="1" applyFill="1" applyBorder="1"/>
    <xf numFmtId="0" fontId="6309" fillId="6314" borderId="6261" xfId="0" applyFont="1" applyFill="1" applyBorder="1"/>
    <xf numFmtId="0" fontId="6310" fillId="6315" borderId="6262" xfId="0" applyFont="1" applyFill="1" applyBorder="1"/>
    <xf numFmtId="0" fontId="6311" fillId="6316" borderId="6263" xfId="0" applyFont="1" applyFill="1" applyBorder="1"/>
    <xf numFmtId="0" fontId="6312" fillId="6317" borderId="6264" xfId="0" applyFont="1" applyFill="1" applyBorder="1"/>
    <xf numFmtId="0" fontId="6313" fillId="6318" borderId="6265" xfId="0" applyFont="1" applyFill="1" applyBorder="1"/>
    <xf numFmtId="0" fontId="6314" fillId="6319" borderId="6266" xfId="0" applyFont="1" applyFill="1" applyBorder="1"/>
    <xf numFmtId="0" fontId="6315" fillId="6320" borderId="6267" xfId="0" applyFont="1" applyFill="1" applyBorder="1"/>
    <xf numFmtId="0" fontId="6316" fillId="6321" borderId="6268" xfId="0" applyFont="1" applyFill="1" applyBorder="1"/>
    <xf numFmtId="0" fontId="6317" fillId="6322" borderId="6269" xfId="0" applyFont="1" applyFill="1" applyBorder="1"/>
    <xf numFmtId="0" fontId="6318" fillId="6323" borderId="6270" xfId="0" applyFont="1" applyFill="1" applyBorder="1"/>
    <xf numFmtId="14" fontId="6319" fillId="6324" borderId="6271" xfId="0" applyNumberFormat="1" applyFont="1" applyFill="1" applyBorder="1"/>
    <xf numFmtId="0" fontId="6320" fillId="6325" borderId="6272" xfId="0" applyFont="1" applyFill="1" applyBorder="1"/>
    <xf numFmtId="0" fontId="6321" fillId="6326" borderId="6273" xfId="0" applyFont="1" applyFill="1" applyBorder="1"/>
    <xf numFmtId="0" fontId="6322" fillId="6327" borderId="6274" xfId="0" applyFont="1" applyFill="1" applyBorder="1"/>
    <xf numFmtId="0" fontId="6323" fillId="6328" borderId="6275" xfId="0" applyFont="1" applyFill="1" applyBorder="1"/>
    <xf numFmtId="0" fontId="6324" fillId="6329" borderId="6276" xfId="0" applyFont="1" applyFill="1" applyBorder="1"/>
    <xf numFmtId="0" fontId="6325" fillId="6330" borderId="6277" xfId="0" applyFont="1" applyFill="1" applyBorder="1"/>
    <xf numFmtId="0" fontId="6326" fillId="6331" borderId="6278" xfId="0" applyFont="1" applyFill="1" applyBorder="1"/>
    <xf numFmtId="0" fontId="6327" fillId="6332" borderId="6279" xfId="0" applyFont="1" applyFill="1" applyBorder="1"/>
    <xf numFmtId="0" fontId="6328" fillId="6333" borderId="6280" xfId="0" applyFont="1" applyFill="1" applyBorder="1"/>
    <xf numFmtId="0" fontId="6329" fillId="6334" borderId="6281" xfId="0" applyFont="1" applyFill="1" applyBorder="1"/>
    <xf numFmtId="14" fontId="6330" fillId="6335" borderId="6282" xfId="0" applyNumberFormat="1" applyFont="1" applyFill="1" applyBorder="1"/>
    <xf numFmtId="0" fontId="6331" fillId="6336" borderId="6283" xfId="0" applyFont="1" applyFill="1" applyBorder="1"/>
    <xf numFmtId="0" fontId="6332" fillId="6337" borderId="6284" xfId="0" applyFont="1" applyFill="1" applyBorder="1"/>
    <xf numFmtId="0" fontId="6333" fillId="6338" borderId="6285" xfId="0" applyFont="1" applyFill="1" applyBorder="1"/>
    <xf numFmtId="0" fontId="6334" fillId="6339" borderId="6286" xfId="0" applyFont="1" applyFill="1" applyBorder="1"/>
    <xf numFmtId="0" fontId="6335" fillId="6340" borderId="6287" xfId="0" applyFont="1" applyFill="1" applyBorder="1"/>
    <xf numFmtId="0" fontId="6336" fillId="6341" borderId="6288" xfId="0" applyFont="1" applyFill="1" applyBorder="1"/>
    <xf numFmtId="0" fontId="6337" fillId="6342" borderId="6289" xfId="0" applyFont="1" applyFill="1" applyBorder="1"/>
    <xf numFmtId="0" fontId="6338" fillId="6343" borderId="6290" xfId="0" applyFont="1" applyFill="1" applyBorder="1"/>
    <xf numFmtId="0" fontId="6339" fillId="6344" borderId="6291" xfId="0" applyFont="1" applyFill="1" applyBorder="1"/>
    <xf numFmtId="0" fontId="6340" fillId="6345" borderId="6292" xfId="0" applyFont="1" applyFill="1" applyBorder="1"/>
    <xf numFmtId="14" fontId="6341" fillId="6346" borderId="6293" xfId="0" applyNumberFormat="1" applyFont="1" applyFill="1" applyBorder="1"/>
    <xf numFmtId="0" fontId="6342" fillId="6347" borderId="6294" xfId="0" applyFont="1" applyFill="1" applyBorder="1"/>
    <xf numFmtId="0" fontId="6343" fillId="6348" borderId="6295" xfId="0" applyFont="1" applyFill="1" applyBorder="1"/>
    <xf numFmtId="0" fontId="6344" fillId="6349" borderId="6296" xfId="0" applyFont="1" applyFill="1" applyBorder="1"/>
    <xf numFmtId="0" fontId="6345" fillId="6350" borderId="6297" xfId="0" applyFont="1" applyFill="1" applyBorder="1"/>
    <xf numFmtId="0" fontId="6346" fillId="6351" borderId="6298" xfId="0" applyFont="1" applyFill="1" applyBorder="1"/>
    <xf numFmtId="0" fontId="6347" fillId="6352" borderId="6299" xfId="0" applyFont="1" applyFill="1" applyBorder="1"/>
    <xf numFmtId="0" fontId="6348" fillId="6353" borderId="6300" xfId="0" applyFont="1" applyFill="1" applyBorder="1"/>
    <xf numFmtId="0" fontId="6349" fillId="6354" borderId="6301" xfId="0" applyFont="1" applyFill="1" applyBorder="1"/>
    <xf numFmtId="0" fontId="6350" fillId="6355" borderId="6302" xfId="0" applyFont="1" applyFill="1" applyBorder="1"/>
    <xf numFmtId="0" fontId="6351" fillId="6356" borderId="6303" xfId="0" applyFont="1" applyFill="1" applyBorder="1"/>
    <xf numFmtId="14" fontId="6352" fillId="6357" borderId="6304" xfId="0" applyNumberFormat="1" applyFont="1" applyFill="1" applyBorder="1"/>
    <xf numFmtId="0" fontId="6353" fillId="6358" borderId="6305" xfId="0" applyFont="1" applyFill="1" applyBorder="1"/>
    <xf numFmtId="0" fontId="6354" fillId="6359" borderId="6306" xfId="0" applyFont="1" applyFill="1" applyBorder="1"/>
    <xf numFmtId="0" fontId="6355" fillId="6360" borderId="6307" xfId="0" applyFont="1" applyFill="1" applyBorder="1"/>
    <xf numFmtId="0" fontId="6356" fillId="6361" borderId="6308" xfId="0" applyFont="1" applyFill="1" applyBorder="1"/>
    <xf numFmtId="0" fontId="6357" fillId="6362" borderId="6309" xfId="0" applyFont="1" applyFill="1" applyBorder="1"/>
    <xf numFmtId="0" fontId="6358" fillId="6363" borderId="6310" xfId="0" applyFont="1" applyFill="1" applyBorder="1"/>
    <xf numFmtId="0" fontId="6359" fillId="6364" borderId="6311" xfId="0" applyFont="1" applyFill="1" applyBorder="1"/>
    <xf numFmtId="0" fontId="6360" fillId="6365" borderId="6312" xfId="0" applyFont="1" applyFill="1" applyBorder="1"/>
    <xf numFmtId="0" fontId="6361" fillId="6366" borderId="6313" xfId="0" applyFont="1" applyFill="1" applyBorder="1"/>
    <xf numFmtId="0" fontId="6362" fillId="6367" borderId="6314" xfId="0" applyFont="1" applyFill="1" applyBorder="1"/>
    <xf numFmtId="14" fontId="6363" fillId="6368" borderId="6315" xfId="0" applyNumberFormat="1" applyFont="1" applyFill="1" applyBorder="1"/>
    <xf numFmtId="0" fontId="6364" fillId="6369" borderId="6316" xfId="0" applyFont="1" applyFill="1" applyBorder="1"/>
    <xf numFmtId="0" fontId="6365" fillId="6370" borderId="6317" xfId="0" applyFont="1" applyFill="1" applyBorder="1"/>
    <xf numFmtId="0" fontId="6366" fillId="6371" borderId="6318" xfId="0" applyFont="1" applyFill="1" applyBorder="1"/>
    <xf numFmtId="0" fontId="6367" fillId="6372" borderId="6319" xfId="0" applyFont="1" applyFill="1" applyBorder="1"/>
    <xf numFmtId="0" fontId="6368" fillId="6373" borderId="6320" xfId="0" applyFont="1" applyFill="1" applyBorder="1"/>
    <xf numFmtId="0" fontId="6369" fillId="6374" borderId="6321" xfId="0" applyFont="1" applyFill="1" applyBorder="1"/>
    <xf numFmtId="0" fontId="6370" fillId="6375" borderId="6322" xfId="0" applyFont="1" applyFill="1" applyBorder="1"/>
    <xf numFmtId="0" fontId="6371" fillId="6376" borderId="6323" xfId="0" applyFont="1" applyFill="1" applyBorder="1"/>
    <xf numFmtId="0" fontId="6372" fillId="6377" borderId="6324" xfId="0" applyFont="1" applyFill="1" applyBorder="1"/>
    <xf numFmtId="0" fontId="6373" fillId="6378" borderId="6325" xfId="0" applyFont="1" applyFill="1" applyBorder="1"/>
    <xf numFmtId="14" fontId="6374" fillId="6379" borderId="6326" xfId="0" applyNumberFormat="1" applyFont="1" applyFill="1" applyBorder="1"/>
    <xf numFmtId="0" fontId="6375" fillId="6380" borderId="6327" xfId="0" applyFont="1" applyFill="1" applyBorder="1"/>
    <xf numFmtId="0" fontId="6376" fillId="6381" borderId="6328" xfId="0" applyFont="1" applyFill="1" applyBorder="1"/>
    <xf numFmtId="0" fontId="6377" fillId="6382" borderId="6329" xfId="0" applyFont="1" applyFill="1" applyBorder="1"/>
    <xf numFmtId="0" fontId="6378" fillId="6383" borderId="6330" xfId="0" applyFont="1" applyFill="1" applyBorder="1"/>
    <xf numFmtId="0" fontId="6379" fillId="6384" borderId="6331" xfId="0" applyFont="1" applyFill="1" applyBorder="1"/>
    <xf numFmtId="0" fontId="6380" fillId="6385" borderId="6332" xfId="0" applyFont="1" applyFill="1" applyBorder="1"/>
    <xf numFmtId="0" fontId="6381" fillId="6386" borderId="6333" xfId="0" applyFont="1" applyFill="1" applyBorder="1"/>
    <xf numFmtId="0" fontId="6382" fillId="6387" borderId="6334" xfId="0" applyFont="1" applyFill="1" applyBorder="1"/>
    <xf numFmtId="0" fontId="6383" fillId="6388" borderId="6335" xfId="0" applyFont="1" applyFill="1" applyBorder="1"/>
    <xf numFmtId="0" fontId="6384" fillId="6389" borderId="6336" xfId="0" applyFont="1" applyFill="1" applyBorder="1"/>
    <xf numFmtId="14" fontId="6385" fillId="6390" borderId="6337" xfId="0" applyNumberFormat="1" applyFont="1" applyFill="1" applyBorder="1"/>
    <xf numFmtId="0" fontId="6386" fillId="6391" borderId="6338" xfId="0" applyFont="1" applyFill="1" applyBorder="1"/>
    <xf numFmtId="0" fontId="6387" fillId="6392" borderId="6339" xfId="0" applyFont="1" applyFill="1" applyBorder="1"/>
    <xf numFmtId="0" fontId="6388" fillId="6393" borderId="6340" xfId="0" applyFont="1" applyFill="1" applyBorder="1"/>
    <xf numFmtId="0" fontId="6389" fillId="6394" borderId="6341" xfId="0" applyFont="1" applyFill="1" applyBorder="1"/>
    <xf numFmtId="0" fontId="6390" fillId="6395" borderId="6342" xfId="0" applyFont="1" applyFill="1" applyBorder="1"/>
    <xf numFmtId="0" fontId="6391" fillId="6396" borderId="6343" xfId="0" applyFont="1" applyFill="1" applyBorder="1"/>
    <xf numFmtId="0" fontId="6392" fillId="6397" borderId="6344" xfId="0" applyFont="1" applyFill="1" applyBorder="1"/>
    <xf numFmtId="0" fontId="6393" fillId="6398" borderId="6345" xfId="0" applyFont="1" applyFill="1" applyBorder="1"/>
    <xf numFmtId="0" fontId="6394" fillId="6399" borderId="6346" xfId="0" applyFont="1" applyFill="1" applyBorder="1"/>
    <xf numFmtId="0" fontId="6395" fillId="6400" borderId="6347" xfId="0" applyFont="1" applyFill="1" applyBorder="1"/>
    <xf numFmtId="14" fontId="6396" fillId="6401" borderId="6348" xfId="0" applyNumberFormat="1" applyFont="1" applyFill="1" applyBorder="1"/>
    <xf numFmtId="0" fontId="6397" fillId="6402" borderId="6349" xfId="0" applyFont="1" applyFill="1" applyBorder="1"/>
    <xf numFmtId="0" fontId="6398" fillId="6403" borderId="6350" xfId="0" applyFont="1" applyFill="1" applyBorder="1"/>
    <xf numFmtId="0" fontId="6399" fillId="6404" borderId="6351" xfId="0" applyFont="1" applyFill="1" applyBorder="1"/>
    <xf numFmtId="0" fontId="6400" fillId="6405" borderId="6352" xfId="0" applyFont="1" applyFill="1" applyBorder="1"/>
    <xf numFmtId="0" fontId="6401" fillId="6406" borderId="6353" xfId="0" applyFont="1" applyFill="1" applyBorder="1"/>
    <xf numFmtId="0" fontId="6402" fillId="6407" borderId="6354" xfId="0" applyFont="1" applyFill="1" applyBorder="1"/>
    <xf numFmtId="0" fontId="6403" fillId="6408" borderId="6355" xfId="0" applyFont="1" applyFill="1" applyBorder="1"/>
    <xf numFmtId="0" fontId="6404" fillId="6409" borderId="6356" xfId="0" applyFont="1" applyFill="1" applyBorder="1"/>
    <xf numFmtId="0" fontId="6405" fillId="6410" borderId="6357" xfId="0" applyFont="1" applyFill="1" applyBorder="1"/>
    <xf numFmtId="0" fontId="6406" fillId="6411" borderId="6358" xfId="0" applyFont="1" applyFill="1" applyBorder="1"/>
    <xf numFmtId="14" fontId="6407" fillId="6412" borderId="6359" xfId="0" applyNumberFormat="1" applyFont="1" applyFill="1" applyBorder="1"/>
    <xf numFmtId="0" fontId="6408" fillId="6413" borderId="6360" xfId="0" applyFont="1" applyFill="1" applyBorder="1"/>
    <xf numFmtId="0" fontId="6409" fillId="6414" borderId="6361" xfId="0" applyFont="1" applyFill="1" applyBorder="1"/>
    <xf numFmtId="0" fontId="6410" fillId="6415" borderId="6362" xfId="0" applyFont="1" applyFill="1" applyBorder="1"/>
    <xf numFmtId="0" fontId="6411" fillId="6416" borderId="6363" xfId="0" applyFont="1" applyFill="1" applyBorder="1"/>
    <xf numFmtId="0" fontId="6412" fillId="6417" borderId="6364" xfId="0" applyFont="1" applyFill="1" applyBorder="1"/>
    <xf numFmtId="0" fontId="6413" fillId="6418" borderId="6365" xfId="0" applyFont="1" applyFill="1" applyBorder="1"/>
    <xf numFmtId="0" fontId="6414" fillId="6419" borderId="6366" xfId="0" applyFont="1" applyFill="1" applyBorder="1"/>
    <xf numFmtId="0" fontId="6415" fillId="6420" borderId="6367" xfId="0" applyFont="1" applyFill="1" applyBorder="1"/>
    <xf numFmtId="0" fontId="6416" fillId="6421" borderId="6368" xfId="0" applyFont="1" applyFill="1" applyBorder="1"/>
    <xf numFmtId="0" fontId="6417" fillId="6422" borderId="6369" xfId="0" applyFont="1" applyFill="1" applyBorder="1"/>
    <xf numFmtId="14" fontId="6418" fillId="6423" borderId="6370" xfId="0" applyNumberFormat="1" applyFont="1" applyFill="1" applyBorder="1"/>
    <xf numFmtId="0" fontId="6419" fillId="6424" borderId="6371" xfId="0" applyFont="1" applyFill="1" applyBorder="1"/>
    <xf numFmtId="0" fontId="6420" fillId="6425" borderId="6372" xfId="0" applyFont="1" applyFill="1" applyBorder="1"/>
    <xf numFmtId="0" fontId="6421" fillId="6426" borderId="6373" xfId="0" applyFont="1" applyFill="1" applyBorder="1"/>
    <xf numFmtId="0" fontId="6422" fillId="6427" borderId="6374" xfId="0" applyFont="1" applyFill="1" applyBorder="1"/>
    <xf numFmtId="0" fontId="6423" fillId="6428" borderId="6375" xfId="0" applyFont="1" applyFill="1" applyBorder="1"/>
    <xf numFmtId="0" fontId="6424" fillId="6429" borderId="6376" xfId="0" applyFont="1" applyFill="1" applyBorder="1"/>
    <xf numFmtId="0" fontId="6425" fillId="6430" borderId="6377" xfId="0" applyFont="1" applyFill="1" applyBorder="1"/>
    <xf numFmtId="0" fontId="6426" fillId="6431" borderId="6378" xfId="0" applyFont="1" applyFill="1" applyBorder="1"/>
    <xf numFmtId="0" fontId="6427" fillId="6432" borderId="6379" xfId="0" applyFont="1" applyFill="1" applyBorder="1"/>
    <xf numFmtId="0" fontId="6428" fillId="6433" borderId="6380" xfId="0" applyFont="1" applyFill="1" applyBorder="1"/>
    <xf numFmtId="14" fontId="6429" fillId="6434" borderId="6381" xfId="0" applyNumberFormat="1" applyFont="1" applyFill="1" applyBorder="1"/>
    <xf numFmtId="0" fontId="6430" fillId="6435" borderId="6382" xfId="0" applyFont="1" applyFill="1" applyBorder="1"/>
    <xf numFmtId="0" fontId="6431" fillId="6436" borderId="6383" xfId="0" applyFont="1" applyFill="1" applyBorder="1"/>
    <xf numFmtId="0" fontId="6432" fillId="6437" borderId="6384" xfId="0" applyFont="1" applyFill="1" applyBorder="1"/>
    <xf numFmtId="0" fontId="6433" fillId="6438" borderId="6385" xfId="0" applyFont="1" applyFill="1" applyBorder="1"/>
    <xf numFmtId="0" fontId="6434" fillId="6439" borderId="6386" xfId="0" applyFont="1" applyFill="1" applyBorder="1"/>
    <xf numFmtId="0" fontId="6435" fillId="6440" borderId="6387" xfId="0" applyFont="1" applyFill="1" applyBorder="1"/>
    <xf numFmtId="0" fontId="6436" fillId="6441" borderId="6388" xfId="0" applyFont="1" applyFill="1" applyBorder="1"/>
    <xf numFmtId="0" fontId="6437" fillId="6442" borderId="6389" xfId="0" applyFont="1" applyFill="1" applyBorder="1"/>
    <xf numFmtId="0" fontId="6438" fillId="6443" borderId="6390" xfId="0" applyFont="1" applyFill="1" applyBorder="1"/>
    <xf numFmtId="0" fontId="6439" fillId="6444" borderId="6391" xfId="0" applyFont="1" applyFill="1" applyBorder="1"/>
    <xf numFmtId="14" fontId="6440" fillId="6445" borderId="6392" xfId="0" applyNumberFormat="1" applyFont="1" applyFill="1" applyBorder="1"/>
    <xf numFmtId="0" fontId="6441" fillId="6446" borderId="6393" xfId="0" applyFont="1" applyFill="1" applyBorder="1"/>
    <xf numFmtId="0" fontId="6442" fillId="6447" borderId="6394" xfId="0" applyFont="1" applyFill="1" applyBorder="1"/>
    <xf numFmtId="0" fontId="6443" fillId="6448" borderId="6395" xfId="0" applyFont="1" applyFill="1" applyBorder="1"/>
    <xf numFmtId="0" fontId="6444" fillId="6449" borderId="6396" xfId="0" applyFont="1" applyFill="1" applyBorder="1"/>
    <xf numFmtId="0" fontId="6445" fillId="6450" borderId="6397" xfId="0" applyFont="1" applyFill="1" applyBorder="1"/>
    <xf numFmtId="0" fontId="6446" fillId="6451" borderId="6398" xfId="0" applyFont="1" applyFill="1" applyBorder="1"/>
    <xf numFmtId="0" fontId="6447" fillId="6452" borderId="6399" xfId="0" applyFont="1" applyFill="1" applyBorder="1"/>
    <xf numFmtId="0" fontId="6448" fillId="6453" borderId="6400" xfId="0" applyFont="1" applyFill="1" applyBorder="1"/>
    <xf numFmtId="0" fontId="6449" fillId="6454" borderId="6401" xfId="0" applyFont="1" applyFill="1" applyBorder="1"/>
    <xf numFmtId="0" fontId="6450" fillId="6455" borderId="6402" xfId="0" applyFont="1" applyFill="1" applyBorder="1"/>
    <xf numFmtId="14" fontId="6451" fillId="6456" borderId="6403" xfId="0" applyNumberFormat="1" applyFont="1" applyFill="1" applyBorder="1"/>
    <xf numFmtId="0" fontId="6452" fillId="6457" borderId="6404" xfId="0" applyFont="1" applyFill="1" applyBorder="1"/>
    <xf numFmtId="0" fontId="6453" fillId="6458" borderId="6405" xfId="0" applyFont="1" applyFill="1" applyBorder="1"/>
    <xf numFmtId="0" fontId="6454" fillId="6459" borderId="6406" xfId="0" applyFont="1" applyFill="1" applyBorder="1"/>
    <xf numFmtId="0" fontId="6455" fillId="6460" borderId="6407" xfId="0" applyFont="1" applyFill="1" applyBorder="1"/>
    <xf numFmtId="0" fontId="6456" fillId="6461" borderId="6408" xfId="0" applyFont="1" applyFill="1" applyBorder="1"/>
    <xf numFmtId="0" fontId="6457" fillId="6462" borderId="6409" xfId="0" applyFont="1" applyFill="1" applyBorder="1"/>
    <xf numFmtId="0" fontId="6458" fillId="6463" borderId="6410" xfId="0" applyFont="1" applyFill="1" applyBorder="1"/>
    <xf numFmtId="0" fontId="6459" fillId="6464" borderId="6411" xfId="0" applyFont="1" applyFill="1" applyBorder="1"/>
    <xf numFmtId="0" fontId="6460" fillId="6465" borderId="6412" xfId="0" applyFont="1" applyFill="1" applyBorder="1"/>
    <xf numFmtId="0" fontId="6461" fillId="6466" borderId="6413" xfId="0" applyFont="1" applyFill="1" applyBorder="1"/>
    <xf numFmtId="14" fontId="6462" fillId="6467" borderId="6414" xfId="0" applyNumberFormat="1" applyFont="1" applyFill="1" applyBorder="1"/>
    <xf numFmtId="0" fontId="6463" fillId="6468" borderId="6415" xfId="0" applyFont="1" applyFill="1" applyBorder="1"/>
    <xf numFmtId="0" fontId="6464" fillId="6469" borderId="6416" xfId="0" applyFont="1" applyFill="1" applyBorder="1"/>
    <xf numFmtId="0" fontId="6465" fillId="6470" borderId="6417" xfId="0" applyFont="1" applyFill="1" applyBorder="1"/>
    <xf numFmtId="0" fontId="6466" fillId="6471" borderId="6418" xfId="0" applyFont="1" applyFill="1" applyBorder="1"/>
    <xf numFmtId="0" fontId="6467" fillId="6472" borderId="6419" xfId="0" applyFont="1" applyFill="1" applyBorder="1"/>
    <xf numFmtId="0" fontId="6468" fillId="6473" borderId="6420" xfId="0" applyFont="1" applyFill="1" applyBorder="1"/>
    <xf numFmtId="0" fontId="6469" fillId="6474" borderId="6421" xfId="0" applyFont="1" applyFill="1" applyBorder="1"/>
    <xf numFmtId="0" fontId="6470" fillId="6475" borderId="6422" xfId="0" applyFont="1" applyFill="1" applyBorder="1"/>
    <xf numFmtId="0" fontId="6471" fillId="6476" borderId="6423" xfId="0" applyFont="1" applyFill="1" applyBorder="1"/>
    <xf numFmtId="0" fontId="6472" fillId="6477" borderId="6424" xfId="0" applyFont="1" applyFill="1" applyBorder="1"/>
    <xf numFmtId="14" fontId="6473" fillId="6478" borderId="6425" xfId="0" applyNumberFormat="1" applyFont="1" applyFill="1" applyBorder="1"/>
    <xf numFmtId="0" fontId="6474" fillId="6479" borderId="6426" xfId="0" applyFont="1" applyFill="1" applyBorder="1"/>
    <xf numFmtId="0" fontId="6475" fillId="6480" borderId="6427" xfId="0" applyFont="1" applyFill="1" applyBorder="1"/>
    <xf numFmtId="0" fontId="6476" fillId="6481" borderId="6428" xfId="0" applyFont="1" applyFill="1" applyBorder="1"/>
    <xf numFmtId="0" fontId="6477" fillId="6482" borderId="6429" xfId="0" applyFont="1" applyFill="1" applyBorder="1"/>
    <xf numFmtId="0" fontId="6478" fillId="6483" borderId="6430" xfId="0" applyFont="1" applyFill="1" applyBorder="1"/>
    <xf numFmtId="0" fontId="6479" fillId="6484" borderId="6431" xfId="0" applyFont="1" applyFill="1" applyBorder="1"/>
    <xf numFmtId="0" fontId="6480" fillId="6485" borderId="6432" xfId="0" applyFont="1" applyFill="1" applyBorder="1"/>
    <xf numFmtId="0" fontId="6481" fillId="6486" borderId="6433" xfId="0" applyFont="1" applyFill="1" applyBorder="1"/>
    <xf numFmtId="0" fontId="6482" fillId="6487" borderId="6434" xfId="0" applyFont="1" applyFill="1" applyBorder="1"/>
    <xf numFmtId="0" fontId="6483" fillId="6488" borderId="6435" xfId="0" applyFont="1" applyFill="1" applyBorder="1"/>
    <xf numFmtId="14" fontId="6484" fillId="6489" borderId="6436" xfId="0" applyNumberFormat="1" applyFont="1" applyFill="1" applyBorder="1"/>
    <xf numFmtId="0" fontId="6485" fillId="6490" borderId="6437" xfId="0" applyFont="1" applyFill="1" applyBorder="1"/>
    <xf numFmtId="0" fontId="6486" fillId="6491" borderId="6438" xfId="0" applyFont="1" applyFill="1" applyBorder="1"/>
    <xf numFmtId="0" fontId="6487" fillId="6492" borderId="6439" xfId="0" applyFont="1" applyFill="1" applyBorder="1"/>
    <xf numFmtId="0" fontId="6488" fillId="6493" borderId="6440" xfId="0" applyFont="1" applyFill="1" applyBorder="1"/>
    <xf numFmtId="0" fontId="6489" fillId="6494" borderId="6441" xfId="0" applyFont="1" applyFill="1" applyBorder="1"/>
    <xf numFmtId="0" fontId="6490" fillId="6495" borderId="6442" xfId="0" applyFont="1" applyFill="1" applyBorder="1"/>
    <xf numFmtId="0" fontId="6491" fillId="6496" borderId="6443" xfId="0" applyFont="1" applyFill="1" applyBorder="1"/>
    <xf numFmtId="0" fontId="6492" fillId="6497" borderId="6444" xfId="0" applyFont="1" applyFill="1" applyBorder="1"/>
    <xf numFmtId="0" fontId="6493" fillId="6498" borderId="6445" xfId="0" applyFont="1" applyFill="1" applyBorder="1"/>
    <xf numFmtId="0" fontId="6494" fillId="6499" borderId="6446" xfId="0" applyFont="1" applyFill="1" applyBorder="1"/>
    <xf numFmtId="14" fontId="6495" fillId="6500" borderId="6447" xfId="0" applyNumberFormat="1" applyFont="1" applyFill="1" applyBorder="1"/>
    <xf numFmtId="0" fontId="6496" fillId="6501" borderId="6448" xfId="0" applyFont="1" applyFill="1" applyBorder="1"/>
    <xf numFmtId="0" fontId="6497" fillId="6502" borderId="6449" xfId="0" applyFont="1" applyFill="1" applyBorder="1"/>
    <xf numFmtId="0" fontId="6498" fillId="6503" borderId="6450" xfId="0" applyFont="1" applyFill="1" applyBorder="1"/>
    <xf numFmtId="0" fontId="6499" fillId="6504" borderId="6451" xfId="0" applyFont="1" applyFill="1" applyBorder="1"/>
    <xf numFmtId="0" fontId="6500" fillId="6505" borderId="6452" xfId="0" applyFont="1" applyFill="1" applyBorder="1"/>
    <xf numFmtId="0" fontId="6501" fillId="6506" borderId="6453" xfId="0" applyFont="1" applyFill="1" applyBorder="1"/>
    <xf numFmtId="0" fontId="6502" fillId="6507" borderId="6454" xfId="0" applyFont="1" applyFill="1" applyBorder="1"/>
    <xf numFmtId="0" fontId="6503" fillId="6508" borderId="6455" xfId="0" applyFont="1" applyFill="1" applyBorder="1"/>
    <xf numFmtId="0" fontId="6504" fillId="6509" borderId="6456" xfId="0" applyFont="1" applyFill="1" applyBorder="1"/>
    <xf numFmtId="0" fontId="6505" fillId="6510" borderId="6457" xfId="0" applyFont="1" applyFill="1" applyBorder="1"/>
    <xf numFmtId="14" fontId="6506" fillId="6511" borderId="6458" xfId="0" applyNumberFormat="1" applyFont="1" applyFill="1" applyBorder="1"/>
    <xf numFmtId="0" fontId="6507" fillId="6512" borderId="6459" xfId="0" applyFont="1" applyFill="1" applyBorder="1"/>
    <xf numFmtId="0" fontId="6508" fillId="6513" borderId="6460" xfId="0" applyFont="1" applyFill="1" applyBorder="1"/>
    <xf numFmtId="0" fontId="6509" fillId="6514" borderId="6461" xfId="0" applyFont="1" applyFill="1" applyBorder="1"/>
    <xf numFmtId="0" fontId="6510" fillId="6515" borderId="6462" xfId="0" applyFont="1" applyFill="1" applyBorder="1"/>
    <xf numFmtId="0" fontId="6511" fillId="6516" borderId="6463" xfId="0" applyFont="1" applyFill="1" applyBorder="1"/>
    <xf numFmtId="0" fontId="6512" fillId="6517" borderId="6464" xfId="0" applyFont="1" applyFill="1" applyBorder="1"/>
    <xf numFmtId="0" fontId="6513" fillId="6518" borderId="6465" xfId="0" applyFont="1" applyFill="1" applyBorder="1"/>
    <xf numFmtId="0" fontId="6514" fillId="6519" borderId="6466" xfId="0" applyFont="1" applyFill="1" applyBorder="1"/>
    <xf numFmtId="0" fontId="6515" fillId="6520" borderId="6467" xfId="0" applyFont="1" applyFill="1" applyBorder="1"/>
    <xf numFmtId="0" fontId="6516" fillId="6521" borderId="6468" xfId="0" applyFont="1" applyFill="1" applyBorder="1"/>
    <xf numFmtId="14" fontId="6517" fillId="6522" borderId="6469" xfId="0" applyNumberFormat="1" applyFont="1" applyFill="1" applyBorder="1"/>
    <xf numFmtId="0" fontId="6518" fillId="6523" borderId="6470" xfId="0" applyFont="1" applyFill="1" applyBorder="1"/>
    <xf numFmtId="0" fontId="6519" fillId="6524" borderId="6471" xfId="0" applyFont="1" applyFill="1" applyBorder="1"/>
    <xf numFmtId="0" fontId="6520" fillId="6525" borderId="6472" xfId="0" applyFont="1" applyFill="1" applyBorder="1"/>
    <xf numFmtId="0" fontId="6521" fillId="6526" borderId="6473" xfId="0" applyFont="1" applyFill="1" applyBorder="1"/>
    <xf numFmtId="0" fontId="6522" fillId="6527" borderId="6474" xfId="0" applyFont="1" applyFill="1" applyBorder="1"/>
    <xf numFmtId="0" fontId="6523" fillId="6528" borderId="6475" xfId="0" applyFont="1" applyFill="1" applyBorder="1"/>
    <xf numFmtId="0" fontId="6524" fillId="6529" borderId="6476" xfId="0" applyFont="1" applyFill="1" applyBorder="1"/>
    <xf numFmtId="0" fontId="6525" fillId="6530" borderId="6477" xfId="0" applyFont="1" applyFill="1" applyBorder="1"/>
    <xf numFmtId="0" fontId="6526" fillId="6531" borderId="6478" xfId="0" applyFont="1" applyFill="1" applyBorder="1"/>
    <xf numFmtId="0" fontId="6527" fillId="6532" borderId="6479" xfId="0" applyFont="1" applyFill="1" applyBorder="1"/>
    <xf numFmtId="14" fontId="6528" fillId="6533" borderId="6480" xfId="0" applyNumberFormat="1" applyFont="1" applyFill="1" applyBorder="1"/>
    <xf numFmtId="0" fontId="6529" fillId="6534" borderId="6481" xfId="0" applyFont="1" applyFill="1" applyBorder="1"/>
    <xf numFmtId="0" fontId="6530" fillId="6535" borderId="6482" xfId="0" applyFont="1" applyFill="1" applyBorder="1"/>
    <xf numFmtId="0" fontId="6531" fillId="6536" borderId="6483" xfId="0" applyFont="1" applyFill="1" applyBorder="1"/>
    <xf numFmtId="0" fontId="6532" fillId="6537" borderId="6484" xfId="0" applyFont="1" applyFill="1" applyBorder="1"/>
    <xf numFmtId="0" fontId="6533" fillId="6538" borderId="6485" xfId="0" applyFont="1" applyFill="1" applyBorder="1"/>
    <xf numFmtId="0" fontId="6534" fillId="6539" borderId="6486" xfId="0" applyFont="1" applyFill="1" applyBorder="1"/>
    <xf numFmtId="0" fontId="6535" fillId="6540" borderId="6487" xfId="0" applyFont="1" applyFill="1" applyBorder="1"/>
    <xf numFmtId="0" fontId="6536" fillId="6541" borderId="6488" xfId="0" applyFont="1" applyFill="1" applyBorder="1"/>
    <xf numFmtId="0" fontId="6537" fillId="6542" borderId="6489" xfId="0" applyFont="1" applyFill="1" applyBorder="1"/>
    <xf numFmtId="0" fontId="6538" fillId="6543" borderId="6490" xfId="0" applyFont="1" applyFill="1" applyBorder="1"/>
    <xf numFmtId="14" fontId="6539" fillId="6544" borderId="6491" xfId="0" applyNumberFormat="1" applyFont="1" applyFill="1" applyBorder="1"/>
    <xf numFmtId="0" fontId="6540" fillId="6545" borderId="6492" xfId="0" applyFont="1" applyFill="1" applyBorder="1"/>
    <xf numFmtId="0" fontId="6541" fillId="6546" borderId="6493" xfId="0" applyFont="1" applyFill="1" applyBorder="1"/>
    <xf numFmtId="0" fontId="6542" fillId="6547" borderId="6494" xfId="0" applyFont="1" applyFill="1" applyBorder="1"/>
    <xf numFmtId="0" fontId="6543" fillId="6548" borderId="6495" xfId="0" applyFont="1" applyFill="1" applyBorder="1"/>
    <xf numFmtId="0" fontId="6544" fillId="6549" borderId="6496" xfId="0" applyFont="1" applyFill="1" applyBorder="1"/>
    <xf numFmtId="0" fontId="6545" fillId="6550" borderId="6497" xfId="0" applyFont="1" applyFill="1" applyBorder="1"/>
    <xf numFmtId="0" fontId="6546" fillId="6551" borderId="6498" xfId="0" applyFont="1" applyFill="1" applyBorder="1"/>
    <xf numFmtId="0" fontId="6547" fillId="6552" borderId="6499" xfId="0" applyFont="1" applyFill="1" applyBorder="1"/>
    <xf numFmtId="0" fontId="6548" fillId="6553" borderId="6500" xfId="0" applyFont="1" applyFill="1" applyBorder="1"/>
    <xf numFmtId="0" fontId="6549" fillId="6554" borderId="6501" xfId="0" applyFont="1" applyFill="1" applyBorder="1"/>
    <xf numFmtId="14" fontId="6550" fillId="6555" borderId="6502" xfId="0" applyNumberFormat="1" applyFont="1" applyFill="1" applyBorder="1"/>
    <xf numFmtId="0" fontId="6551" fillId="6556" borderId="6503" xfId="0" applyFont="1" applyFill="1" applyBorder="1"/>
    <xf numFmtId="0" fontId="6552" fillId="6557" borderId="6504" xfId="0" applyFont="1" applyFill="1" applyBorder="1"/>
    <xf numFmtId="0" fontId="6553" fillId="6558" borderId="6505" xfId="0" applyFont="1" applyFill="1" applyBorder="1"/>
    <xf numFmtId="0" fontId="6554" fillId="6559" borderId="6506" xfId="0" applyFont="1" applyFill="1" applyBorder="1"/>
    <xf numFmtId="0" fontId="6555" fillId="6560" borderId="6507" xfId="0" applyFont="1" applyFill="1" applyBorder="1"/>
    <xf numFmtId="0" fontId="6556" fillId="6561" borderId="6508" xfId="0" applyFont="1" applyFill="1" applyBorder="1"/>
    <xf numFmtId="0" fontId="6557" fillId="6562" borderId="6509" xfId="0" applyFont="1" applyFill="1" applyBorder="1"/>
    <xf numFmtId="0" fontId="6558" fillId="6563" borderId="6510" xfId="0" applyFont="1" applyFill="1" applyBorder="1"/>
    <xf numFmtId="0" fontId="6559" fillId="6564" borderId="6511" xfId="0" applyFont="1" applyFill="1" applyBorder="1"/>
    <xf numFmtId="0" fontId="6560" fillId="6565" borderId="6512" xfId="0" applyFont="1" applyFill="1" applyBorder="1"/>
    <xf numFmtId="14" fontId="6561" fillId="6566" borderId="6513" xfId="0" applyNumberFormat="1" applyFont="1" applyFill="1" applyBorder="1"/>
    <xf numFmtId="0" fontId="6562" fillId="6567" borderId="6514" xfId="0" applyFont="1" applyFill="1" applyBorder="1"/>
    <xf numFmtId="0" fontId="6563" fillId="6568" borderId="6515" xfId="0" applyFont="1" applyFill="1" applyBorder="1"/>
    <xf numFmtId="0" fontId="6564" fillId="6569" borderId="6516" xfId="0" applyFont="1" applyFill="1" applyBorder="1"/>
    <xf numFmtId="0" fontId="6565" fillId="6570" borderId="6517" xfId="0" applyFont="1" applyFill="1" applyBorder="1"/>
    <xf numFmtId="0" fontId="6566" fillId="6571" borderId="6518" xfId="0" applyFont="1" applyFill="1" applyBorder="1"/>
    <xf numFmtId="0" fontId="6567" fillId="6572" borderId="6519" xfId="0" applyFont="1" applyFill="1" applyBorder="1"/>
    <xf numFmtId="0" fontId="6568" fillId="6573" borderId="6520" xfId="0" applyFont="1" applyFill="1" applyBorder="1"/>
    <xf numFmtId="0" fontId="6569" fillId="6574" borderId="6521" xfId="0" applyFont="1" applyFill="1" applyBorder="1"/>
    <xf numFmtId="0" fontId="6570" fillId="6575" borderId="6522" xfId="0" applyFont="1" applyFill="1" applyBorder="1"/>
    <xf numFmtId="0" fontId="6571" fillId="6576" borderId="6523" xfId="0" applyFont="1" applyFill="1" applyBorder="1"/>
    <xf numFmtId="14" fontId="6572" fillId="6577" borderId="6524" xfId="0" applyNumberFormat="1" applyFont="1" applyFill="1" applyBorder="1"/>
    <xf numFmtId="0" fontId="6573" fillId="6578" borderId="6525" xfId="0" applyFont="1" applyFill="1" applyBorder="1"/>
    <xf numFmtId="0" fontId="6574" fillId="6579" borderId="6526" xfId="0" applyFont="1" applyFill="1" applyBorder="1"/>
    <xf numFmtId="0" fontId="6575" fillId="6580" borderId="6527" xfId="0" applyFont="1" applyFill="1" applyBorder="1"/>
    <xf numFmtId="0" fontId="6576" fillId="6581" borderId="6528" xfId="0" applyFont="1" applyFill="1" applyBorder="1"/>
    <xf numFmtId="0" fontId="6577" fillId="6582" borderId="6529" xfId="0" applyFont="1" applyFill="1" applyBorder="1"/>
    <xf numFmtId="0" fontId="6578" fillId="6583" borderId="6530" xfId="0" applyFont="1" applyFill="1" applyBorder="1"/>
    <xf numFmtId="0" fontId="6579" fillId="6584" borderId="6531" xfId="0" applyFont="1" applyFill="1" applyBorder="1"/>
    <xf numFmtId="0" fontId="6580" fillId="6585" borderId="6532" xfId="0" applyFont="1" applyFill="1" applyBorder="1"/>
    <xf numFmtId="0" fontId="6581" fillId="6586" borderId="6533" xfId="0" applyFont="1" applyFill="1" applyBorder="1"/>
    <xf numFmtId="0" fontId="6582" fillId="6587" borderId="6534" xfId="0" applyFont="1" applyFill="1" applyBorder="1"/>
    <xf numFmtId="14" fontId="6583" fillId="6588" borderId="6535" xfId="0" applyNumberFormat="1" applyFont="1" applyFill="1" applyBorder="1"/>
    <xf numFmtId="0" fontId="6584" fillId="6589" borderId="6536" xfId="0" applyFont="1" applyFill="1" applyBorder="1"/>
    <xf numFmtId="0" fontId="6585" fillId="6590" borderId="6537" xfId="0" applyFont="1" applyFill="1" applyBorder="1"/>
    <xf numFmtId="0" fontId="6586" fillId="6591" borderId="6538" xfId="0" applyFont="1" applyFill="1" applyBorder="1"/>
    <xf numFmtId="0" fontId="6587" fillId="6592" borderId="6539" xfId="0" applyFont="1" applyFill="1" applyBorder="1"/>
    <xf numFmtId="0" fontId="6588" fillId="6593" borderId="6540" xfId="0" applyFont="1" applyFill="1" applyBorder="1"/>
    <xf numFmtId="0" fontId="6589" fillId="6594" borderId="6541" xfId="0" applyFont="1" applyFill="1" applyBorder="1"/>
    <xf numFmtId="0" fontId="6590" fillId="6595" borderId="6542" xfId="0" applyFont="1" applyFill="1" applyBorder="1"/>
    <xf numFmtId="0" fontId="6591" fillId="6596" borderId="6543" xfId="0" applyFont="1" applyFill="1" applyBorder="1"/>
    <xf numFmtId="0" fontId="6592" fillId="6597" borderId="6544" xfId="0" applyFont="1" applyFill="1" applyBorder="1"/>
    <xf numFmtId="0" fontId="6593" fillId="6598" borderId="6545" xfId="0" applyFont="1" applyFill="1" applyBorder="1"/>
    <xf numFmtId="14" fontId="6594" fillId="6599" borderId="6546" xfId="0" applyNumberFormat="1" applyFont="1" applyFill="1" applyBorder="1"/>
    <xf numFmtId="0" fontId="6595" fillId="6600" borderId="6547" xfId="0" applyFont="1" applyFill="1" applyBorder="1"/>
    <xf numFmtId="0" fontId="6596" fillId="6601" borderId="6548" xfId="0" applyFont="1" applyFill="1" applyBorder="1"/>
    <xf numFmtId="0" fontId="6597" fillId="6602" borderId="6549" xfId="0" applyFont="1" applyFill="1" applyBorder="1"/>
    <xf numFmtId="0" fontId="6598" fillId="6603" borderId="6550" xfId="0" applyFont="1" applyFill="1" applyBorder="1"/>
    <xf numFmtId="0" fontId="6599" fillId="6604" borderId="6551" xfId="0" applyFont="1" applyFill="1" applyBorder="1"/>
    <xf numFmtId="0" fontId="6600" fillId="6605" borderId="6552" xfId="0" applyFont="1" applyFill="1" applyBorder="1"/>
    <xf numFmtId="0" fontId="6601" fillId="6606" borderId="6553" xfId="0" applyFont="1" applyFill="1" applyBorder="1"/>
    <xf numFmtId="0" fontId="6602" fillId="6607" borderId="6554" xfId="0" applyFont="1" applyFill="1" applyBorder="1"/>
    <xf numFmtId="0" fontId="6603" fillId="6608" borderId="6555" xfId="0" applyFont="1" applyFill="1" applyBorder="1" applyAlignment="1">
      <alignment horizontal="center" wrapText="1"/>
    </xf>
    <xf numFmtId="0" fontId="6604" fillId="6609" borderId="6556" xfId="0" applyFont="1" applyFill="1" applyBorder="1" applyAlignment="1">
      <alignment horizontal="center" wrapText="1"/>
    </xf>
    <xf numFmtId="0" fontId="6605" fillId="6610" borderId="6557" xfId="0" applyFont="1" applyFill="1" applyBorder="1" applyAlignment="1">
      <alignment horizontal="center" wrapText="1"/>
    </xf>
    <xf numFmtId="0" fontId="6606" fillId="6611" borderId="6558" xfId="0" applyFont="1" applyFill="1" applyBorder="1" applyAlignment="1">
      <alignment horizontal="center" wrapText="1"/>
    </xf>
    <xf numFmtId="0" fontId="6607" fillId="6612" borderId="6559" xfId="0" applyFont="1" applyFill="1" applyBorder="1" applyAlignment="1">
      <alignment horizontal="center" wrapText="1"/>
    </xf>
    <xf numFmtId="0" fontId="6608" fillId="6613" borderId="6560" xfId="0" applyFont="1" applyFill="1" applyBorder="1" applyAlignment="1">
      <alignment horizontal="center" wrapText="1"/>
    </xf>
    <xf numFmtId="0" fontId="6609" fillId="6614" borderId="6561" xfId="0" applyFont="1" applyFill="1" applyBorder="1" applyAlignment="1">
      <alignment horizontal="center" wrapText="1"/>
    </xf>
    <xf numFmtId="0" fontId="6610" fillId="6615" borderId="6562" xfId="0" applyFont="1" applyFill="1" applyBorder="1" applyAlignment="1">
      <alignment horizontal="center" wrapText="1"/>
    </xf>
    <xf numFmtId="0" fontId="6611" fillId="6616" borderId="6563" xfId="0" applyFont="1" applyFill="1" applyBorder="1" applyAlignment="1">
      <alignment horizontal="center" wrapText="1"/>
    </xf>
    <xf numFmtId="0" fontId="6612" fillId="6617" borderId="6564" xfId="0" applyFont="1" applyFill="1" applyBorder="1" applyAlignment="1">
      <alignment horizontal="center" wrapText="1"/>
    </xf>
    <xf numFmtId="0" fontId="6613" fillId="6618" borderId="6565" xfId="0" applyFont="1" applyFill="1" applyBorder="1"/>
    <xf numFmtId="14" fontId="6614" fillId="6619" borderId="6566" xfId="0" applyNumberFormat="1" applyFont="1" applyFill="1" applyBorder="1"/>
    <xf numFmtId="14" fontId="6615" fillId="6620" borderId="6567" xfId="0" applyNumberFormat="1" applyFont="1" applyFill="1" applyBorder="1"/>
    <xf numFmtId="0" fontId="6616" fillId="6621" borderId="6568" xfId="0" applyFont="1" applyFill="1" applyBorder="1"/>
    <xf numFmtId="14" fontId="6617" fillId="6622" borderId="6569" xfId="0" applyNumberFormat="1" applyFont="1" applyFill="1" applyBorder="1"/>
    <xf numFmtId="0" fontId="6618" fillId="6623" borderId="6570" xfId="0" applyFont="1" applyFill="1" applyBorder="1"/>
    <xf numFmtId="0" fontId="6619" fillId="6624" borderId="6571" xfId="0" applyFont="1" applyFill="1" applyBorder="1"/>
    <xf numFmtId="0" fontId="6620" fillId="6625" borderId="6572" xfId="0" applyFont="1" applyFill="1" applyBorder="1"/>
    <xf numFmtId="0" fontId="6621" fillId="6626" borderId="6573" xfId="0" applyFont="1" applyFill="1" applyBorder="1"/>
    <xf numFmtId="0" fontId="6622" fillId="6627" borderId="6574" xfId="0" applyFont="1" applyFill="1" applyBorder="1"/>
    <xf numFmtId="0" fontId="6623" fillId="6628" borderId="6575" xfId="0" applyFont="1" applyFill="1" applyBorder="1"/>
    <xf numFmtId="14" fontId="6624" fillId="6629" borderId="6576" xfId="0" applyNumberFormat="1" applyFont="1" applyFill="1" applyBorder="1"/>
    <xf numFmtId="14" fontId="6625" fillId="6630" borderId="6577" xfId="0" applyNumberFormat="1" applyFont="1" applyFill="1" applyBorder="1"/>
    <xf numFmtId="0" fontId="6626" fillId="6631" borderId="6578" xfId="0" applyFont="1" applyFill="1" applyBorder="1"/>
    <xf numFmtId="14" fontId="6627" fillId="6632" borderId="6579" xfId="0" applyNumberFormat="1" applyFont="1" applyFill="1" applyBorder="1"/>
    <xf numFmtId="0" fontId="6628" fillId="6633" borderId="6580" xfId="0" applyFont="1" applyFill="1" applyBorder="1"/>
    <xf numFmtId="0" fontId="6629" fillId="6634" borderId="6581" xfId="0" applyFont="1" applyFill="1" applyBorder="1"/>
    <xf numFmtId="0" fontId="6630" fillId="6635" borderId="6582" xfId="0" applyFont="1" applyFill="1" applyBorder="1"/>
    <xf numFmtId="0" fontId="6631" fillId="6636" borderId="6583" xfId="0" applyFont="1" applyFill="1" applyBorder="1"/>
    <xf numFmtId="0" fontId="6632" fillId="6637" borderId="6584" xfId="0" applyFont="1" applyFill="1" applyBorder="1"/>
    <xf numFmtId="0" fontId="6633" fillId="6638" borderId="6585" xfId="0" applyFont="1" applyFill="1" applyBorder="1"/>
    <xf numFmtId="14" fontId="6634" fillId="6639" borderId="6586" xfId="0" applyNumberFormat="1" applyFont="1" applyFill="1" applyBorder="1"/>
    <xf numFmtId="14" fontId="6635" fillId="6640" borderId="6587" xfId="0" applyNumberFormat="1" applyFont="1" applyFill="1" applyBorder="1"/>
    <xf numFmtId="0" fontId="6636" fillId="6641" borderId="6588" xfId="0" applyFont="1" applyFill="1" applyBorder="1"/>
    <xf numFmtId="14" fontId="6637" fillId="6642" borderId="6589" xfId="0" applyNumberFormat="1" applyFont="1" applyFill="1" applyBorder="1"/>
    <xf numFmtId="0" fontId="6638" fillId="6643" borderId="6590" xfId="0" applyFont="1" applyFill="1" applyBorder="1"/>
    <xf numFmtId="0" fontId="6639" fillId="6644" borderId="6591" xfId="0" applyFont="1" applyFill="1" applyBorder="1"/>
    <xf numFmtId="0" fontId="6640" fillId="6645" borderId="6592" xfId="0" applyFont="1" applyFill="1" applyBorder="1"/>
    <xf numFmtId="0" fontId="6641" fillId="6646" borderId="6593" xfId="0" applyFont="1" applyFill="1" applyBorder="1"/>
    <xf numFmtId="0" fontId="6642" fillId="6647" borderId="6594" xfId="0" applyFont="1" applyFill="1" applyBorder="1"/>
    <xf numFmtId="0" fontId="6643" fillId="6648" borderId="6595" xfId="0" applyFont="1" applyFill="1" applyBorder="1"/>
    <xf numFmtId="14" fontId="6644" fillId="6649" borderId="6596" xfId="0" applyNumberFormat="1" applyFont="1" applyFill="1" applyBorder="1"/>
    <xf numFmtId="14" fontId="6645" fillId="6650" borderId="6597" xfId="0" applyNumberFormat="1" applyFont="1" applyFill="1" applyBorder="1"/>
    <xf numFmtId="0" fontId="6646" fillId="6651" borderId="6598" xfId="0" applyFont="1" applyFill="1" applyBorder="1"/>
    <xf numFmtId="14" fontId="6647" fillId="6652" borderId="6599" xfId="0" applyNumberFormat="1" applyFont="1" applyFill="1" applyBorder="1"/>
    <xf numFmtId="0" fontId="6648" fillId="6653" borderId="6600" xfId="0" applyFont="1" applyFill="1" applyBorder="1"/>
    <xf numFmtId="0" fontId="6649" fillId="6654" borderId="6601" xfId="0" applyFont="1" applyFill="1" applyBorder="1"/>
    <xf numFmtId="0" fontId="6650" fillId="6655" borderId="6602" xfId="0" applyFont="1" applyFill="1" applyBorder="1"/>
    <xf numFmtId="0" fontId="6651" fillId="6656" borderId="6603" xfId="0" applyFont="1" applyFill="1" applyBorder="1"/>
    <xf numFmtId="0" fontId="6652" fillId="6657" borderId="6604" xfId="0" applyFont="1" applyFill="1" applyBorder="1"/>
    <xf numFmtId="0" fontId="6653" fillId="6658" borderId="6605" xfId="0" applyFont="1" applyFill="1" applyBorder="1"/>
    <xf numFmtId="14" fontId="6654" fillId="6659" borderId="6606" xfId="0" applyNumberFormat="1" applyFont="1" applyFill="1" applyBorder="1"/>
    <xf numFmtId="14" fontId="6655" fillId="6660" borderId="6607" xfId="0" applyNumberFormat="1" applyFont="1" applyFill="1" applyBorder="1"/>
    <xf numFmtId="0" fontId="6656" fillId="6661" borderId="6608" xfId="0" applyFont="1" applyFill="1" applyBorder="1"/>
    <xf numFmtId="14" fontId="6657" fillId="6662" borderId="6609" xfId="0" applyNumberFormat="1" applyFont="1" applyFill="1" applyBorder="1"/>
    <xf numFmtId="0" fontId="6658" fillId="6663" borderId="6610" xfId="0" applyFont="1" applyFill="1" applyBorder="1"/>
    <xf numFmtId="0" fontId="6659" fillId="6664" borderId="6611" xfId="0" applyFont="1" applyFill="1" applyBorder="1"/>
    <xf numFmtId="0" fontId="6660" fillId="6665" borderId="6612" xfId="0" applyFont="1" applyFill="1" applyBorder="1"/>
    <xf numFmtId="0" fontId="6661" fillId="6666" borderId="6613" xfId="0" applyFont="1" applyFill="1" applyBorder="1"/>
    <xf numFmtId="0" fontId="6662" fillId="6667" borderId="6614" xfId="0" applyFont="1" applyFill="1" applyBorder="1"/>
    <xf numFmtId="0" fontId="6663" fillId="6668" borderId="6615" xfId="0" applyFont="1" applyFill="1" applyBorder="1"/>
    <xf numFmtId="14" fontId="6664" fillId="6669" borderId="6616" xfId="0" applyNumberFormat="1" applyFont="1" applyFill="1" applyBorder="1"/>
    <xf numFmtId="14" fontId="6665" fillId="6670" borderId="6617" xfId="0" applyNumberFormat="1" applyFont="1" applyFill="1" applyBorder="1"/>
    <xf numFmtId="0" fontId="6666" fillId="6671" borderId="6618" xfId="0" applyFont="1" applyFill="1" applyBorder="1"/>
    <xf numFmtId="14" fontId="6667" fillId="6672" borderId="6619" xfId="0" applyNumberFormat="1" applyFont="1" applyFill="1" applyBorder="1"/>
    <xf numFmtId="0" fontId="6668" fillId="6673" borderId="6620" xfId="0" applyFont="1" applyFill="1" applyBorder="1"/>
    <xf numFmtId="0" fontId="6669" fillId="6674" borderId="6621" xfId="0" applyFont="1" applyFill="1" applyBorder="1"/>
    <xf numFmtId="0" fontId="6670" fillId="6675" borderId="6622" xfId="0" applyFont="1" applyFill="1" applyBorder="1"/>
    <xf numFmtId="0" fontId="6671" fillId="6676" borderId="6623" xfId="0" applyFont="1" applyFill="1" applyBorder="1"/>
    <xf numFmtId="0" fontId="6672" fillId="6677" borderId="6624" xfId="0" applyFont="1" applyFill="1" applyBorder="1"/>
    <xf numFmtId="0" fontId="6673" fillId="6678" borderId="6625" xfId="0" applyFont="1" applyFill="1" applyBorder="1"/>
    <xf numFmtId="14" fontId="6674" fillId="6679" borderId="6626" xfId="0" applyNumberFormat="1" applyFont="1" applyFill="1" applyBorder="1"/>
    <xf numFmtId="14" fontId="6675" fillId="6680" borderId="6627" xfId="0" applyNumberFormat="1" applyFont="1" applyFill="1" applyBorder="1"/>
    <xf numFmtId="0" fontId="6676" fillId="6681" borderId="6628" xfId="0" applyFont="1" applyFill="1" applyBorder="1"/>
    <xf numFmtId="14" fontId="6677" fillId="6682" borderId="6629" xfId="0" applyNumberFormat="1" applyFont="1" applyFill="1" applyBorder="1"/>
    <xf numFmtId="0" fontId="6678" fillId="6683" borderId="6630" xfId="0" applyFont="1" applyFill="1" applyBorder="1"/>
    <xf numFmtId="0" fontId="6679" fillId="6684" borderId="6631" xfId="0" applyFont="1" applyFill="1" applyBorder="1"/>
    <xf numFmtId="0" fontId="6680" fillId="6685" borderId="6632" xfId="0" applyFont="1" applyFill="1" applyBorder="1"/>
    <xf numFmtId="0" fontId="6681" fillId="6686" borderId="6633" xfId="0" applyFont="1" applyFill="1" applyBorder="1"/>
    <xf numFmtId="0" fontId="6682" fillId="6687" borderId="6634" xfId="0" applyFont="1" applyFill="1" applyBorder="1"/>
    <xf numFmtId="0" fontId="6683" fillId="6688" borderId="6635" xfId="0" applyFont="1" applyFill="1" applyBorder="1"/>
    <xf numFmtId="14" fontId="6684" fillId="6689" borderId="6636" xfId="0" applyNumberFormat="1" applyFont="1" applyFill="1" applyBorder="1"/>
    <xf numFmtId="14" fontId="6685" fillId="6690" borderId="6637" xfId="0" applyNumberFormat="1" applyFont="1" applyFill="1" applyBorder="1"/>
    <xf numFmtId="0" fontId="6686" fillId="6691" borderId="6638" xfId="0" applyFont="1" applyFill="1" applyBorder="1"/>
    <xf numFmtId="14" fontId="6687" fillId="6692" borderId="6639" xfId="0" applyNumberFormat="1" applyFont="1" applyFill="1" applyBorder="1"/>
    <xf numFmtId="0" fontId="6688" fillId="6693" borderId="6640" xfId="0" applyFont="1" applyFill="1" applyBorder="1"/>
    <xf numFmtId="0" fontId="6689" fillId="6694" borderId="6641" xfId="0" applyFont="1" applyFill="1" applyBorder="1"/>
    <xf numFmtId="0" fontId="6690" fillId="6695" borderId="6642" xfId="0" applyFont="1" applyFill="1" applyBorder="1"/>
    <xf numFmtId="0" fontId="6691" fillId="6696" borderId="6643" xfId="0" applyFont="1" applyFill="1" applyBorder="1"/>
    <xf numFmtId="0" fontId="6692" fillId="6697" borderId="6644" xfId="0" applyFont="1" applyFill="1" applyBorder="1"/>
    <xf numFmtId="0" fontId="6693" fillId="6698" borderId="6645" xfId="0" applyFont="1" applyFill="1" applyBorder="1"/>
    <xf numFmtId="14" fontId="6694" fillId="6699" borderId="6646" xfId="0" applyNumberFormat="1" applyFont="1" applyFill="1" applyBorder="1"/>
    <xf numFmtId="14" fontId="6695" fillId="6700" borderId="6647" xfId="0" applyNumberFormat="1" applyFont="1" applyFill="1" applyBorder="1"/>
    <xf numFmtId="0" fontId="6696" fillId="6701" borderId="6648" xfId="0" applyFont="1" applyFill="1" applyBorder="1"/>
    <xf numFmtId="14" fontId="6697" fillId="6702" borderId="6649" xfId="0" applyNumberFormat="1" applyFont="1" applyFill="1" applyBorder="1"/>
    <xf numFmtId="0" fontId="6698" fillId="6703" borderId="6650" xfId="0" applyFont="1" applyFill="1" applyBorder="1"/>
    <xf numFmtId="0" fontId="6699" fillId="6704" borderId="6651" xfId="0" applyFont="1" applyFill="1" applyBorder="1"/>
    <xf numFmtId="0" fontId="6700" fillId="6705" borderId="6652" xfId="0" applyFont="1" applyFill="1" applyBorder="1"/>
    <xf numFmtId="0" fontId="6701" fillId="6706" borderId="6653" xfId="0" applyFont="1" applyFill="1" applyBorder="1"/>
    <xf numFmtId="0" fontId="6702" fillId="6707" borderId="6654" xfId="0" applyFont="1" applyFill="1" applyBorder="1"/>
    <xf numFmtId="0" fontId="6703" fillId="6708" borderId="6655" xfId="0" applyFont="1" applyFill="1" applyBorder="1"/>
    <xf numFmtId="14" fontId="6704" fillId="6709" borderId="6656" xfId="0" applyNumberFormat="1" applyFont="1" applyFill="1" applyBorder="1"/>
    <xf numFmtId="14" fontId="6705" fillId="6710" borderId="6657" xfId="0" applyNumberFormat="1" applyFont="1" applyFill="1" applyBorder="1"/>
    <xf numFmtId="0" fontId="6706" fillId="6711" borderId="6658" xfId="0" applyFont="1" applyFill="1" applyBorder="1"/>
    <xf numFmtId="14" fontId="6707" fillId="6712" borderId="6659" xfId="0" applyNumberFormat="1" applyFont="1" applyFill="1" applyBorder="1"/>
    <xf numFmtId="0" fontId="6708" fillId="6713" borderId="6660" xfId="0" applyFont="1" applyFill="1" applyBorder="1"/>
    <xf numFmtId="0" fontId="6709" fillId="6714" borderId="6661" xfId="0" applyFont="1" applyFill="1" applyBorder="1"/>
    <xf numFmtId="0" fontId="6710" fillId="6715" borderId="6662" xfId="0" applyFont="1" applyFill="1" applyBorder="1"/>
    <xf numFmtId="0" fontId="6711" fillId="6716" borderId="6663" xfId="0" applyFont="1" applyFill="1" applyBorder="1"/>
    <xf numFmtId="0" fontId="6712" fillId="6717" borderId="6664" xfId="0" applyFont="1" applyFill="1" applyBorder="1"/>
    <xf numFmtId="0" fontId="6713" fillId="6718" borderId="6665" xfId="0" applyFont="1" applyFill="1" applyBorder="1"/>
    <xf numFmtId="14" fontId="6714" fillId="6719" borderId="6666" xfId="0" applyNumberFormat="1" applyFont="1" applyFill="1" applyBorder="1"/>
    <xf numFmtId="14" fontId="6715" fillId="6720" borderId="6667" xfId="0" applyNumberFormat="1" applyFont="1" applyFill="1" applyBorder="1"/>
    <xf numFmtId="0" fontId="6716" fillId="6721" borderId="6668" xfId="0" applyFont="1" applyFill="1" applyBorder="1"/>
    <xf numFmtId="14" fontId="6717" fillId="6722" borderId="6669" xfId="0" applyNumberFormat="1" applyFont="1" applyFill="1" applyBorder="1"/>
    <xf numFmtId="0" fontId="6718" fillId="6723" borderId="6670" xfId="0" applyFont="1" applyFill="1" applyBorder="1"/>
    <xf numFmtId="0" fontId="6719" fillId="6724" borderId="6671" xfId="0" applyFont="1" applyFill="1" applyBorder="1"/>
    <xf numFmtId="0" fontId="6720" fillId="6725" borderId="6672" xfId="0" applyFont="1" applyFill="1" applyBorder="1"/>
    <xf numFmtId="0" fontId="6721" fillId="6726" borderId="6673" xfId="0" applyFont="1" applyFill="1" applyBorder="1"/>
    <xf numFmtId="0" fontId="6722" fillId="6727" borderId="6674" xfId="0" applyFont="1" applyFill="1" applyBorder="1"/>
    <xf numFmtId="0" fontId="6723" fillId="6728" borderId="6675" xfId="0" applyFont="1" applyFill="1" applyBorder="1"/>
    <xf numFmtId="14" fontId="6724" fillId="6729" borderId="6676" xfId="0" applyNumberFormat="1" applyFont="1" applyFill="1" applyBorder="1"/>
    <xf numFmtId="14" fontId="6725" fillId="6730" borderId="6677" xfId="0" applyNumberFormat="1" applyFont="1" applyFill="1" applyBorder="1"/>
    <xf numFmtId="0" fontId="6726" fillId="6731" borderId="6678" xfId="0" applyFont="1" applyFill="1" applyBorder="1"/>
    <xf numFmtId="14" fontId="6727" fillId="6732" borderId="6679" xfId="0" applyNumberFormat="1" applyFont="1" applyFill="1" applyBorder="1"/>
    <xf numFmtId="0" fontId="6728" fillId="6733" borderId="6680" xfId="0" applyFont="1" applyFill="1" applyBorder="1"/>
    <xf numFmtId="0" fontId="6729" fillId="6734" borderId="6681" xfId="0" applyFont="1" applyFill="1" applyBorder="1"/>
    <xf numFmtId="0" fontId="6730" fillId="6735" borderId="6682" xfId="0" applyFont="1" applyFill="1" applyBorder="1"/>
    <xf numFmtId="0" fontId="6731" fillId="6736" borderId="6683" xfId="0" applyFont="1" applyFill="1" applyBorder="1"/>
    <xf numFmtId="0" fontId="6732" fillId="6737" borderId="6684" xfId="0" applyFont="1" applyFill="1" applyBorder="1"/>
    <xf numFmtId="0" fontId="6733" fillId="6738" borderId="6685" xfId="0" applyFont="1" applyFill="1" applyBorder="1"/>
    <xf numFmtId="14" fontId="6734" fillId="6739" borderId="6686" xfId="0" applyNumberFormat="1" applyFont="1" applyFill="1" applyBorder="1"/>
    <xf numFmtId="14" fontId="6735" fillId="6740" borderId="6687" xfId="0" applyNumberFormat="1" applyFont="1" applyFill="1" applyBorder="1"/>
    <xf numFmtId="0" fontId="6736" fillId="6741" borderId="6688" xfId="0" applyFont="1" applyFill="1" applyBorder="1"/>
    <xf numFmtId="14" fontId="6737" fillId="6742" borderId="6689" xfId="0" applyNumberFormat="1" applyFont="1" applyFill="1" applyBorder="1"/>
    <xf numFmtId="0" fontId="6738" fillId="6743" borderId="6690" xfId="0" applyFont="1" applyFill="1" applyBorder="1"/>
    <xf numFmtId="0" fontId="6739" fillId="6744" borderId="6691" xfId="0" applyFont="1" applyFill="1" applyBorder="1"/>
    <xf numFmtId="0" fontId="6740" fillId="6745" borderId="6692" xfId="0" applyFont="1" applyFill="1" applyBorder="1"/>
    <xf numFmtId="0" fontId="6741" fillId="6746" borderId="6693" xfId="0" applyFont="1" applyFill="1" applyBorder="1"/>
    <xf numFmtId="0" fontId="6742" fillId="6747" borderId="6694" xfId="0" applyFont="1" applyFill="1" applyBorder="1"/>
    <xf numFmtId="0" fontId="6743" fillId="6748" borderId="6695" xfId="0" applyFont="1" applyFill="1" applyBorder="1"/>
    <xf numFmtId="14" fontId="6744" fillId="6749" borderId="6696" xfId="0" applyNumberFormat="1" applyFont="1" applyFill="1" applyBorder="1"/>
    <xf numFmtId="14" fontId="6745" fillId="6750" borderId="6697" xfId="0" applyNumberFormat="1" applyFont="1" applyFill="1" applyBorder="1"/>
    <xf numFmtId="0" fontId="6746" fillId="6751" borderId="6698" xfId="0" applyFont="1" applyFill="1" applyBorder="1"/>
    <xf numFmtId="14" fontId="6747" fillId="6752" borderId="6699" xfId="0" applyNumberFormat="1" applyFont="1" applyFill="1" applyBorder="1"/>
    <xf numFmtId="0" fontId="6748" fillId="6753" borderId="6700" xfId="0" applyFont="1" applyFill="1" applyBorder="1"/>
    <xf numFmtId="0" fontId="6749" fillId="6754" borderId="6701" xfId="0" applyFont="1" applyFill="1" applyBorder="1"/>
    <xf numFmtId="0" fontId="6750" fillId="6755" borderId="6702" xfId="0" applyFont="1" applyFill="1" applyBorder="1"/>
    <xf numFmtId="0" fontId="6751" fillId="6756" borderId="6703" xfId="0" applyFont="1" applyFill="1" applyBorder="1"/>
    <xf numFmtId="0" fontId="6752" fillId="6757" borderId="6704" xfId="0" applyFont="1" applyFill="1" applyBorder="1"/>
    <xf numFmtId="0" fontId="6753" fillId="6758" borderId="6705" xfId="0" applyFont="1" applyFill="1" applyBorder="1"/>
    <xf numFmtId="14" fontId="6754" fillId="6759" borderId="6706" xfId="0" applyNumberFormat="1" applyFont="1" applyFill="1" applyBorder="1"/>
    <xf numFmtId="14" fontId="6755" fillId="6760" borderId="6707" xfId="0" applyNumberFormat="1" applyFont="1" applyFill="1" applyBorder="1"/>
    <xf numFmtId="0" fontId="6756" fillId="6761" borderId="6708" xfId="0" applyFont="1" applyFill="1" applyBorder="1"/>
    <xf numFmtId="14" fontId="6757" fillId="6762" borderId="6709" xfId="0" applyNumberFormat="1" applyFont="1" applyFill="1" applyBorder="1"/>
    <xf numFmtId="0" fontId="6758" fillId="6763" borderId="6710" xfId="0" applyFont="1" applyFill="1" applyBorder="1"/>
    <xf numFmtId="0" fontId="6759" fillId="6764" borderId="6711" xfId="0" applyFont="1" applyFill="1" applyBorder="1"/>
    <xf numFmtId="0" fontId="6760" fillId="6765" borderId="6712" xfId="0" applyFont="1" applyFill="1" applyBorder="1"/>
    <xf numFmtId="0" fontId="6761" fillId="6766" borderId="6713" xfId="0" applyFont="1" applyFill="1" applyBorder="1"/>
    <xf numFmtId="0" fontId="6762" fillId="6767" borderId="6714" xfId="0" applyFont="1" applyFill="1" applyBorder="1"/>
    <xf numFmtId="0" fontId="6763" fillId="6768" borderId="6715" xfId="0" applyFont="1" applyFill="1" applyBorder="1"/>
    <xf numFmtId="14" fontId="6764" fillId="6769" borderId="6716" xfId="0" applyNumberFormat="1" applyFont="1" applyFill="1" applyBorder="1"/>
    <xf numFmtId="14" fontId="6765" fillId="6770" borderId="6717" xfId="0" applyNumberFormat="1" applyFont="1" applyFill="1" applyBorder="1"/>
    <xf numFmtId="0" fontId="6766" fillId="6771" borderId="6718" xfId="0" applyFont="1" applyFill="1" applyBorder="1"/>
    <xf numFmtId="14" fontId="6767" fillId="6772" borderId="6719" xfId="0" applyNumberFormat="1" applyFont="1" applyFill="1" applyBorder="1"/>
    <xf numFmtId="0" fontId="6768" fillId="6773" borderId="6720" xfId="0" applyFont="1" applyFill="1" applyBorder="1"/>
    <xf numFmtId="0" fontId="6769" fillId="6774" borderId="6721" xfId="0" applyFont="1" applyFill="1" applyBorder="1"/>
    <xf numFmtId="0" fontId="6770" fillId="6775" borderId="6722" xfId="0" applyFont="1" applyFill="1" applyBorder="1"/>
    <xf numFmtId="0" fontId="6771" fillId="6776" borderId="6723" xfId="0" applyFont="1" applyFill="1" applyBorder="1"/>
    <xf numFmtId="0" fontId="6772" fillId="6777" borderId="6724" xfId="0" applyFont="1" applyFill="1" applyBorder="1"/>
    <xf numFmtId="0" fontId="6773" fillId="6778" borderId="6725" xfId="0" applyFont="1" applyFill="1" applyBorder="1"/>
    <xf numFmtId="14" fontId="6774" fillId="6779" borderId="6726" xfId="0" applyNumberFormat="1" applyFont="1" applyFill="1" applyBorder="1"/>
    <xf numFmtId="14" fontId="6775" fillId="6780" borderId="6727" xfId="0" applyNumberFormat="1" applyFont="1" applyFill="1" applyBorder="1"/>
    <xf numFmtId="0" fontId="6776" fillId="6781" borderId="6728" xfId="0" applyFont="1" applyFill="1" applyBorder="1"/>
    <xf numFmtId="14" fontId="6777" fillId="6782" borderId="6729" xfId="0" applyNumberFormat="1" applyFont="1" applyFill="1" applyBorder="1"/>
    <xf numFmtId="0" fontId="6778" fillId="6783" borderId="6730" xfId="0" applyFont="1" applyFill="1" applyBorder="1"/>
    <xf numFmtId="0" fontId="6779" fillId="6784" borderId="6731" xfId="0" applyFont="1" applyFill="1" applyBorder="1"/>
    <xf numFmtId="0" fontId="6780" fillId="6785" borderId="6732" xfId="0" applyFont="1" applyFill="1" applyBorder="1"/>
    <xf numFmtId="0" fontId="6781" fillId="6786" borderId="6733" xfId="0" applyFont="1" applyFill="1" applyBorder="1"/>
    <xf numFmtId="0" fontId="6782" fillId="6787" borderId="6734" xfId="0" applyFont="1" applyFill="1" applyBorder="1"/>
    <xf numFmtId="0" fontId="6783" fillId="6788" borderId="6735" xfId="0" applyFont="1" applyFill="1" applyBorder="1"/>
    <xf numFmtId="14" fontId="6784" fillId="6789" borderId="6736" xfId="0" applyNumberFormat="1" applyFont="1" applyFill="1" applyBorder="1"/>
    <xf numFmtId="14" fontId="6785" fillId="6790" borderId="6737" xfId="0" applyNumberFormat="1" applyFont="1" applyFill="1" applyBorder="1"/>
    <xf numFmtId="0" fontId="6786" fillId="6791" borderId="6738" xfId="0" applyFont="1" applyFill="1" applyBorder="1"/>
    <xf numFmtId="14" fontId="6787" fillId="6792" borderId="6739" xfId="0" applyNumberFormat="1" applyFont="1" applyFill="1" applyBorder="1"/>
    <xf numFmtId="0" fontId="6788" fillId="6793" borderId="6740" xfId="0" applyFont="1" applyFill="1" applyBorder="1"/>
    <xf numFmtId="0" fontId="6789" fillId="6794" borderId="6741" xfId="0" applyFont="1" applyFill="1" applyBorder="1"/>
    <xf numFmtId="0" fontId="6790" fillId="6795" borderId="6742" xfId="0" applyFont="1" applyFill="1" applyBorder="1"/>
    <xf numFmtId="0" fontId="6791" fillId="6796" borderId="6743" xfId="0" applyFont="1" applyFill="1" applyBorder="1"/>
    <xf numFmtId="0" fontId="6792" fillId="6797" borderId="6744" xfId="0" applyFont="1" applyFill="1" applyBorder="1"/>
    <xf numFmtId="0" fontId="6793" fillId="6798" borderId="6745" xfId="0" applyFont="1" applyFill="1" applyBorder="1"/>
    <xf numFmtId="14" fontId="6794" fillId="6799" borderId="6746" xfId="0" applyNumberFormat="1" applyFont="1" applyFill="1" applyBorder="1"/>
    <xf numFmtId="14" fontId="6795" fillId="6800" borderId="6747" xfId="0" applyNumberFormat="1" applyFont="1" applyFill="1" applyBorder="1"/>
    <xf numFmtId="0" fontId="6796" fillId="6801" borderId="6748" xfId="0" applyFont="1" applyFill="1" applyBorder="1"/>
    <xf numFmtId="14" fontId="6797" fillId="6802" borderId="6749" xfId="0" applyNumberFormat="1" applyFont="1" applyFill="1" applyBorder="1"/>
    <xf numFmtId="0" fontId="6798" fillId="6803" borderId="6750" xfId="0" applyFont="1" applyFill="1" applyBorder="1"/>
    <xf numFmtId="0" fontId="6799" fillId="6804" borderId="6751" xfId="0" applyFont="1" applyFill="1" applyBorder="1"/>
    <xf numFmtId="0" fontId="6800" fillId="6805" borderId="6752" xfId="0" applyFont="1" applyFill="1" applyBorder="1"/>
    <xf numFmtId="0" fontId="6801" fillId="6806" borderId="6753" xfId="0" applyFont="1" applyFill="1" applyBorder="1"/>
    <xf numFmtId="0" fontId="6802" fillId="6807" borderId="6754" xfId="0" applyFont="1" applyFill="1" applyBorder="1"/>
    <xf numFmtId="0" fontId="6803" fillId="6808" borderId="6755" xfId="0" applyFont="1" applyFill="1" applyBorder="1"/>
    <xf numFmtId="14" fontId="6804" fillId="6809" borderId="6756" xfId="0" applyNumberFormat="1" applyFont="1" applyFill="1" applyBorder="1"/>
    <xf numFmtId="14" fontId="6805" fillId="6810" borderId="6757" xfId="0" applyNumberFormat="1" applyFont="1" applyFill="1" applyBorder="1"/>
    <xf numFmtId="0" fontId="6806" fillId="6811" borderId="6758" xfId="0" applyFont="1" applyFill="1" applyBorder="1"/>
    <xf numFmtId="14" fontId="6807" fillId="6812" borderId="6759" xfId="0" applyNumberFormat="1" applyFont="1" applyFill="1" applyBorder="1"/>
    <xf numFmtId="0" fontId="6808" fillId="6813" borderId="6760" xfId="0" applyFont="1" applyFill="1" applyBorder="1"/>
    <xf numFmtId="0" fontId="6809" fillId="6814" borderId="6761" xfId="0" applyFont="1" applyFill="1" applyBorder="1"/>
    <xf numFmtId="0" fontId="6810" fillId="6815" borderId="6762" xfId="0" applyFont="1" applyFill="1" applyBorder="1"/>
    <xf numFmtId="0" fontId="6811" fillId="6816" borderId="6763" xfId="0" applyFont="1" applyFill="1" applyBorder="1"/>
    <xf numFmtId="0" fontId="6812" fillId="6817" borderId="6764" xfId="0" applyFont="1" applyFill="1" applyBorder="1"/>
    <xf numFmtId="0" fontId="6813" fillId="6818" borderId="6765" xfId="0" applyFont="1" applyFill="1" applyBorder="1"/>
    <xf numFmtId="14" fontId="6814" fillId="6819" borderId="6766" xfId="0" applyNumberFormat="1" applyFont="1" applyFill="1" applyBorder="1"/>
    <xf numFmtId="14" fontId="6815" fillId="6820" borderId="6767" xfId="0" applyNumberFormat="1" applyFont="1" applyFill="1" applyBorder="1"/>
    <xf numFmtId="0" fontId="6816" fillId="6821" borderId="6768" xfId="0" applyFont="1" applyFill="1" applyBorder="1"/>
    <xf numFmtId="14" fontId="6817" fillId="6822" borderId="6769" xfId="0" applyNumberFormat="1" applyFont="1" applyFill="1" applyBorder="1"/>
    <xf numFmtId="0" fontId="6818" fillId="6823" borderId="6770" xfId="0" applyFont="1" applyFill="1" applyBorder="1"/>
    <xf numFmtId="0" fontId="6819" fillId="6824" borderId="6771" xfId="0" applyFont="1" applyFill="1" applyBorder="1"/>
    <xf numFmtId="0" fontId="6820" fillId="6825" borderId="6772" xfId="0" applyFont="1" applyFill="1" applyBorder="1"/>
    <xf numFmtId="0" fontId="6821" fillId="6826" borderId="6773" xfId="0" applyFont="1" applyFill="1" applyBorder="1"/>
    <xf numFmtId="0" fontId="6822" fillId="6827" borderId="6774" xfId="0" applyFont="1" applyFill="1" applyBorder="1"/>
    <xf numFmtId="0" fontId="6823" fillId="6828" borderId="6775" xfId="0" applyFont="1" applyFill="1" applyBorder="1"/>
    <xf numFmtId="14" fontId="6824" fillId="6829" borderId="6776" xfId="0" applyNumberFormat="1" applyFont="1" applyFill="1" applyBorder="1"/>
    <xf numFmtId="14" fontId="6825" fillId="6830" borderId="6777" xfId="0" applyNumberFormat="1" applyFont="1" applyFill="1" applyBorder="1"/>
    <xf numFmtId="0" fontId="6826" fillId="6831" borderId="6778" xfId="0" applyFont="1" applyFill="1" applyBorder="1"/>
    <xf numFmtId="14" fontId="6827" fillId="6832" borderId="6779" xfId="0" applyNumberFormat="1" applyFont="1" applyFill="1" applyBorder="1"/>
    <xf numFmtId="0" fontId="6828" fillId="6833" borderId="6780" xfId="0" applyFont="1" applyFill="1" applyBorder="1"/>
    <xf numFmtId="0" fontId="6829" fillId="6834" borderId="6781" xfId="0" applyFont="1" applyFill="1" applyBorder="1"/>
    <xf numFmtId="0" fontId="6830" fillId="6835" borderId="6782" xfId="0" applyFont="1" applyFill="1" applyBorder="1"/>
    <xf numFmtId="0" fontId="6831" fillId="6836" borderId="6783" xfId="0" applyFont="1" applyFill="1" applyBorder="1"/>
    <xf numFmtId="0" fontId="6832" fillId="6837" borderId="6784" xfId="0" applyFont="1" applyFill="1" applyBorder="1"/>
    <xf numFmtId="0" fontId="6833" fillId="6838" borderId="6785" xfId="0" applyFont="1" applyFill="1" applyBorder="1"/>
    <xf numFmtId="14" fontId="6834" fillId="6839" borderId="6786" xfId="0" applyNumberFormat="1" applyFont="1" applyFill="1" applyBorder="1"/>
    <xf numFmtId="14" fontId="6835" fillId="6840" borderId="6787" xfId="0" applyNumberFormat="1" applyFont="1" applyFill="1" applyBorder="1"/>
    <xf numFmtId="0" fontId="6836" fillId="6841" borderId="6788" xfId="0" applyFont="1" applyFill="1" applyBorder="1"/>
    <xf numFmtId="14" fontId="6837" fillId="6842" borderId="6789" xfId="0" applyNumberFormat="1" applyFont="1" applyFill="1" applyBorder="1"/>
    <xf numFmtId="0" fontId="6838" fillId="6843" borderId="6790" xfId="0" applyFont="1" applyFill="1" applyBorder="1"/>
    <xf numFmtId="0" fontId="6839" fillId="6844" borderId="6791" xfId="0" applyFont="1" applyFill="1" applyBorder="1"/>
    <xf numFmtId="0" fontId="6840" fillId="6845" borderId="6792" xfId="0" applyFont="1" applyFill="1" applyBorder="1"/>
    <xf numFmtId="0" fontId="6841" fillId="6846" borderId="6793" xfId="0" applyFont="1" applyFill="1" applyBorder="1"/>
    <xf numFmtId="0" fontId="6842" fillId="6847" borderId="6794" xfId="0" applyFont="1" applyFill="1" applyBorder="1"/>
    <xf numFmtId="0" fontId="6843" fillId="6848" borderId="6795" xfId="0" applyFont="1" applyFill="1" applyBorder="1"/>
    <xf numFmtId="14" fontId="6844" fillId="6849" borderId="6796" xfId="0" applyNumberFormat="1" applyFont="1" applyFill="1" applyBorder="1"/>
    <xf numFmtId="14" fontId="6845" fillId="6850" borderId="6797" xfId="0" applyNumberFormat="1" applyFont="1" applyFill="1" applyBorder="1"/>
    <xf numFmtId="0" fontId="6846" fillId="6851" borderId="6798" xfId="0" applyFont="1" applyFill="1" applyBorder="1"/>
    <xf numFmtId="14" fontId="6847" fillId="6852" borderId="6799" xfId="0" applyNumberFormat="1" applyFont="1" applyFill="1" applyBorder="1"/>
    <xf numFmtId="0" fontId="6848" fillId="6853" borderId="6800" xfId="0" applyFont="1" applyFill="1" applyBorder="1"/>
    <xf numFmtId="0" fontId="6849" fillId="6854" borderId="6801" xfId="0" applyFont="1" applyFill="1" applyBorder="1"/>
    <xf numFmtId="0" fontId="6850" fillId="6855" borderId="6802" xfId="0" applyFont="1" applyFill="1" applyBorder="1"/>
    <xf numFmtId="0" fontId="6851" fillId="6856" borderId="6803" xfId="0" applyFont="1" applyFill="1" applyBorder="1"/>
    <xf numFmtId="0" fontId="6852" fillId="6857" borderId="6804" xfId="0" applyFont="1" applyFill="1" applyBorder="1"/>
    <xf numFmtId="0" fontId="6853" fillId="6858" borderId="6805" xfId="0" applyFont="1" applyFill="1" applyBorder="1"/>
    <xf numFmtId="14" fontId="6854" fillId="6859" borderId="6806" xfId="0" applyNumberFormat="1" applyFont="1" applyFill="1" applyBorder="1"/>
    <xf numFmtId="14" fontId="6855" fillId="6860" borderId="6807" xfId="0" applyNumberFormat="1" applyFont="1" applyFill="1" applyBorder="1"/>
    <xf numFmtId="0" fontId="6856" fillId="6861" borderId="6808" xfId="0" applyFont="1" applyFill="1" applyBorder="1"/>
    <xf numFmtId="14" fontId="6857" fillId="6862" borderId="6809" xfId="0" applyNumberFormat="1" applyFont="1" applyFill="1" applyBorder="1"/>
    <xf numFmtId="0" fontId="6858" fillId="6863" borderId="6810" xfId="0" applyFont="1" applyFill="1" applyBorder="1"/>
    <xf numFmtId="0" fontId="6859" fillId="6864" borderId="6811" xfId="0" applyFont="1" applyFill="1" applyBorder="1"/>
    <xf numFmtId="0" fontId="6860" fillId="6865" borderId="6812" xfId="0" applyFont="1" applyFill="1" applyBorder="1"/>
    <xf numFmtId="0" fontId="6861" fillId="6866" borderId="6813" xfId="0" applyFont="1" applyFill="1" applyBorder="1"/>
    <xf numFmtId="0" fontId="6862" fillId="6867" borderId="6814" xfId="0" applyFont="1" applyFill="1" applyBorder="1"/>
    <xf numFmtId="0" fontId="6863" fillId="6868" borderId="6815" xfId="0" applyFont="1" applyFill="1" applyBorder="1"/>
    <xf numFmtId="14" fontId="6864" fillId="6869" borderId="6816" xfId="0" applyNumberFormat="1" applyFont="1" applyFill="1" applyBorder="1"/>
    <xf numFmtId="14" fontId="6865" fillId="6870" borderId="6817" xfId="0" applyNumberFormat="1" applyFont="1" applyFill="1" applyBorder="1"/>
    <xf numFmtId="0" fontId="6866" fillId="6871" borderId="6818" xfId="0" applyFont="1" applyFill="1" applyBorder="1"/>
    <xf numFmtId="14" fontId="6867" fillId="6872" borderId="6819" xfId="0" applyNumberFormat="1" applyFont="1" applyFill="1" applyBorder="1"/>
    <xf numFmtId="0" fontId="6868" fillId="6873" borderId="6820" xfId="0" applyFont="1" applyFill="1" applyBorder="1"/>
    <xf numFmtId="0" fontId="6869" fillId="6874" borderId="6821" xfId="0" applyFont="1" applyFill="1" applyBorder="1"/>
    <xf numFmtId="0" fontId="6870" fillId="6875" borderId="6822" xfId="0" applyFont="1" applyFill="1" applyBorder="1"/>
    <xf numFmtId="0" fontId="6871" fillId="6876" borderId="6823" xfId="0" applyFont="1" applyFill="1" applyBorder="1"/>
    <xf numFmtId="0" fontId="6872" fillId="6877" borderId="6824" xfId="0" applyFont="1" applyFill="1" applyBorder="1"/>
    <xf numFmtId="0" fontId="6873" fillId="6878" borderId="6825" xfId="0" applyFont="1" applyFill="1" applyBorder="1"/>
    <xf numFmtId="14" fontId="6874" fillId="6879" borderId="6826" xfId="0" applyNumberFormat="1" applyFont="1" applyFill="1" applyBorder="1"/>
    <xf numFmtId="14" fontId="6875" fillId="6880" borderId="6827" xfId="0" applyNumberFormat="1" applyFont="1" applyFill="1" applyBorder="1"/>
    <xf numFmtId="0" fontId="6876" fillId="6881" borderId="6828" xfId="0" applyFont="1" applyFill="1" applyBorder="1"/>
    <xf numFmtId="14" fontId="6877" fillId="6882" borderId="6829" xfId="0" applyNumberFormat="1" applyFont="1" applyFill="1" applyBorder="1"/>
    <xf numFmtId="0" fontId="6878" fillId="6883" borderId="6830" xfId="0" applyFont="1" applyFill="1" applyBorder="1"/>
    <xf numFmtId="0" fontId="6879" fillId="6884" borderId="6831" xfId="0" applyFont="1" applyFill="1" applyBorder="1"/>
    <xf numFmtId="0" fontId="6880" fillId="6885" borderId="6832" xfId="0" applyFont="1" applyFill="1" applyBorder="1"/>
    <xf numFmtId="0" fontId="6881" fillId="6886" borderId="6833" xfId="0" applyFont="1" applyFill="1" applyBorder="1"/>
    <xf numFmtId="0" fontId="6882" fillId="6887" borderId="6834" xfId="0" applyFont="1" applyFill="1" applyBorder="1"/>
    <xf numFmtId="0" fontId="6883" fillId="6888" borderId="6835" xfId="0" applyFont="1" applyFill="1" applyBorder="1"/>
    <xf numFmtId="14" fontId="6884" fillId="6889" borderId="6836" xfId="0" applyNumberFormat="1" applyFont="1" applyFill="1" applyBorder="1"/>
    <xf numFmtId="14" fontId="6885" fillId="6890" borderId="6837" xfId="0" applyNumberFormat="1" applyFont="1" applyFill="1" applyBorder="1"/>
    <xf numFmtId="0" fontId="6886" fillId="6891" borderId="6838" xfId="0" applyFont="1" applyFill="1" applyBorder="1"/>
    <xf numFmtId="14" fontId="6887" fillId="6892" borderId="6839" xfId="0" applyNumberFormat="1" applyFont="1" applyFill="1" applyBorder="1"/>
    <xf numFmtId="0" fontId="6888" fillId="6893" borderId="6840" xfId="0" applyFont="1" applyFill="1" applyBorder="1"/>
    <xf numFmtId="0" fontId="6889" fillId="6894" borderId="6841" xfId="0" applyFont="1" applyFill="1" applyBorder="1"/>
    <xf numFmtId="0" fontId="6890" fillId="6895" borderId="6842" xfId="0" applyFont="1" applyFill="1" applyBorder="1"/>
    <xf numFmtId="0" fontId="6891" fillId="6896" borderId="6843" xfId="0" applyFont="1" applyFill="1" applyBorder="1"/>
    <xf numFmtId="0" fontId="6892" fillId="6897" borderId="6844" xfId="0" applyFont="1" applyFill="1" applyBorder="1"/>
    <xf numFmtId="0" fontId="6893" fillId="6898" borderId="6845" xfId="0" applyFont="1" applyFill="1" applyBorder="1"/>
    <xf numFmtId="14" fontId="6894" fillId="6899" borderId="6846" xfId="0" applyNumberFormat="1" applyFont="1" applyFill="1" applyBorder="1"/>
    <xf numFmtId="14" fontId="6895" fillId="6900" borderId="6847" xfId="0" applyNumberFormat="1" applyFont="1" applyFill="1" applyBorder="1"/>
    <xf numFmtId="0" fontId="6896" fillId="6901" borderId="6848" xfId="0" applyFont="1" applyFill="1" applyBorder="1"/>
    <xf numFmtId="14" fontId="6897" fillId="6902" borderId="6849" xfId="0" applyNumberFormat="1" applyFont="1" applyFill="1" applyBorder="1"/>
    <xf numFmtId="0" fontId="6898" fillId="6903" borderId="6850" xfId="0" applyFont="1" applyFill="1" applyBorder="1"/>
    <xf numFmtId="0" fontId="6899" fillId="6904" borderId="6851" xfId="0" applyFont="1" applyFill="1" applyBorder="1"/>
    <xf numFmtId="0" fontId="6900" fillId="6905" borderId="6852" xfId="0" applyFont="1" applyFill="1" applyBorder="1"/>
    <xf numFmtId="0" fontId="6901" fillId="6906" borderId="6853" xfId="0" applyFont="1" applyFill="1" applyBorder="1"/>
    <xf numFmtId="0" fontId="6902" fillId="6907" borderId="6854" xfId="0" applyFont="1" applyFill="1" applyBorder="1"/>
    <xf numFmtId="0" fontId="6903" fillId="6908" borderId="6855" xfId="0" applyFont="1" applyFill="1" applyBorder="1"/>
    <xf numFmtId="14" fontId="6904" fillId="6909" borderId="6856" xfId="0" applyNumberFormat="1" applyFont="1" applyFill="1" applyBorder="1"/>
    <xf numFmtId="14" fontId="6905" fillId="6910" borderId="6857" xfId="0" applyNumberFormat="1" applyFont="1" applyFill="1" applyBorder="1"/>
    <xf numFmtId="0" fontId="6906" fillId="6911" borderId="6858" xfId="0" applyFont="1" applyFill="1" applyBorder="1"/>
    <xf numFmtId="14" fontId="6907" fillId="6912" borderId="6859" xfId="0" applyNumberFormat="1" applyFont="1" applyFill="1" applyBorder="1"/>
    <xf numFmtId="0" fontId="6908" fillId="6913" borderId="6860" xfId="0" applyFont="1" applyFill="1" applyBorder="1"/>
    <xf numFmtId="0" fontId="6909" fillId="6914" borderId="6861" xfId="0" applyFont="1" applyFill="1" applyBorder="1"/>
    <xf numFmtId="0" fontId="6910" fillId="6915" borderId="6862" xfId="0" applyFont="1" applyFill="1" applyBorder="1"/>
    <xf numFmtId="0" fontId="6911" fillId="6916" borderId="6863" xfId="0" applyFont="1" applyFill="1" applyBorder="1"/>
    <xf numFmtId="0" fontId="6912" fillId="6917" borderId="6864" xfId="0" applyFont="1" applyFill="1" applyBorder="1"/>
    <xf numFmtId="0" fontId="6913" fillId="6918" borderId="6865" xfId="0" applyFont="1" applyFill="1" applyBorder="1"/>
    <xf numFmtId="14" fontId="6914" fillId="6919" borderId="6866" xfId="0" applyNumberFormat="1" applyFont="1" applyFill="1" applyBorder="1"/>
    <xf numFmtId="14" fontId="6915" fillId="6920" borderId="6867" xfId="0" applyNumberFormat="1" applyFont="1" applyFill="1" applyBorder="1"/>
    <xf numFmtId="0" fontId="6916" fillId="6921" borderId="6868" xfId="0" applyFont="1" applyFill="1" applyBorder="1"/>
    <xf numFmtId="14" fontId="6917" fillId="6922" borderId="6869" xfId="0" applyNumberFormat="1" applyFont="1" applyFill="1" applyBorder="1"/>
    <xf numFmtId="0" fontId="6918" fillId="6923" borderId="6870" xfId="0" applyFont="1" applyFill="1" applyBorder="1"/>
    <xf numFmtId="0" fontId="6919" fillId="6924" borderId="6871" xfId="0" applyFont="1" applyFill="1" applyBorder="1"/>
    <xf numFmtId="0" fontId="6920" fillId="6925" borderId="6872" xfId="0" applyFont="1" applyFill="1" applyBorder="1"/>
    <xf numFmtId="0" fontId="6921" fillId="6926" borderId="6873" xfId="0" applyFont="1" applyFill="1" applyBorder="1"/>
    <xf numFmtId="0" fontId="6922" fillId="6927" borderId="6874" xfId="0" applyFont="1" applyFill="1" applyBorder="1"/>
    <xf numFmtId="0" fontId="6923" fillId="6928" borderId="6875" xfId="0" applyFont="1" applyFill="1" applyBorder="1"/>
    <xf numFmtId="14" fontId="6924" fillId="6929" borderId="6876" xfId="0" applyNumberFormat="1" applyFont="1" applyFill="1" applyBorder="1"/>
    <xf numFmtId="14" fontId="6925" fillId="6930" borderId="6877" xfId="0" applyNumberFormat="1" applyFont="1" applyFill="1" applyBorder="1"/>
    <xf numFmtId="0" fontId="6926" fillId="6931" borderId="6878" xfId="0" applyFont="1" applyFill="1" applyBorder="1"/>
    <xf numFmtId="14" fontId="6927" fillId="6932" borderId="6879" xfId="0" applyNumberFormat="1" applyFont="1" applyFill="1" applyBorder="1"/>
    <xf numFmtId="0" fontId="6928" fillId="6933" borderId="6880" xfId="0" applyFont="1" applyFill="1" applyBorder="1"/>
    <xf numFmtId="0" fontId="6929" fillId="6934" borderId="6881" xfId="0" applyFont="1" applyFill="1" applyBorder="1"/>
    <xf numFmtId="0" fontId="6930" fillId="6935" borderId="6882" xfId="0" applyFont="1" applyFill="1" applyBorder="1"/>
    <xf numFmtId="0" fontId="6931" fillId="6936" borderId="6883" xfId="0" applyFont="1" applyFill="1" applyBorder="1"/>
    <xf numFmtId="0" fontId="6932" fillId="6937" borderId="6884" xfId="0" applyFont="1" applyFill="1" applyBorder="1"/>
    <xf numFmtId="0" fontId="6933" fillId="6938" borderId="6885" xfId="0" applyFont="1" applyFill="1" applyBorder="1"/>
    <xf numFmtId="14" fontId="6934" fillId="6939" borderId="6886" xfId="0" applyNumberFormat="1" applyFont="1" applyFill="1" applyBorder="1"/>
    <xf numFmtId="14" fontId="6935" fillId="6940" borderId="6887" xfId="0" applyNumberFormat="1" applyFont="1" applyFill="1" applyBorder="1"/>
    <xf numFmtId="0" fontId="6936" fillId="6941" borderId="6888" xfId="0" applyFont="1" applyFill="1" applyBorder="1"/>
    <xf numFmtId="14" fontId="6937" fillId="6942" borderId="6889" xfId="0" applyNumberFormat="1" applyFont="1" applyFill="1" applyBorder="1"/>
    <xf numFmtId="0" fontId="6938" fillId="6943" borderId="6890" xfId="0" applyFont="1" applyFill="1" applyBorder="1"/>
    <xf numFmtId="0" fontId="6939" fillId="6944" borderId="6891" xfId="0" applyFont="1" applyFill="1" applyBorder="1"/>
    <xf numFmtId="0" fontId="6940" fillId="6945" borderId="6892" xfId="0" applyFont="1" applyFill="1" applyBorder="1"/>
    <xf numFmtId="0" fontId="6941" fillId="6946" borderId="6893" xfId="0" applyFont="1" applyFill="1" applyBorder="1"/>
    <xf numFmtId="0" fontId="6942" fillId="6947" borderId="6894" xfId="0" applyFont="1" applyFill="1" applyBorder="1"/>
    <xf numFmtId="0" fontId="6943" fillId="6948" borderId="6895" xfId="0" applyFont="1" applyFill="1" applyBorder="1"/>
    <xf numFmtId="14" fontId="6944" fillId="6949" borderId="6896" xfId="0" applyNumberFormat="1" applyFont="1" applyFill="1" applyBorder="1"/>
    <xf numFmtId="14" fontId="6945" fillId="6950" borderId="6897" xfId="0" applyNumberFormat="1" applyFont="1" applyFill="1" applyBorder="1"/>
    <xf numFmtId="0" fontId="6946" fillId="6951" borderId="6898" xfId="0" applyFont="1" applyFill="1" applyBorder="1"/>
    <xf numFmtId="14" fontId="6947" fillId="6952" borderId="6899" xfId="0" applyNumberFormat="1" applyFont="1" applyFill="1" applyBorder="1"/>
    <xf numFmtId="0" fontId="6948" fillId="6953" borderId="6900" xfId="0" applyFont="1" applyFill="1" applyBorder="1"/>
    <xf numFmtId="0" fontId="6949" fillId="6954" borderId="6901" xfId="0" applyFont="1" applyFill="1" applyBorder="1"/>
    <xf numFmtId="0" fontId="6950" fillId="6955" borderId="6902" xfId="0" applyFont="1" applyFill="1" applyBorder="1"/>
    <xf numFmtId="0" fontId="6951" fillId="6956" borderId="6903" xfId="0" applyFont="1" applyFill="1" applyBorder="1"/>
    <xf numFmtId="0" fontId="6952" fillId="6957" borderId="6904" xfId="0" applyFont="1" applyFill="1" applyBorder="1"/>
    <xf numFmtId="0" fontId="6953" fillId="6958" borderId="6905" xfId="0" applyFont="1" applyFill="1" applyBorder="1"/>
    <xf numFmtId="14" fontId="6954" fillId="6959" borderId="6906" xfId="0" applyNumberFormat="1" applyFont="1" applyFill="1" applyBorder="1"/>
    <xf numFmtId="14" fontId="6955" fillId="6960" borderId="6907" xfId="0" applyNumberFormat="1" applyFont="1" applyFill="1" applyBorder="1"/>
    <xf numFmtId="0" fontId="6956" fillId="6961" borderId="6908" xfId="0" applyFont="1" applyFill="1" applyBorder="1"/>
    <xf numFmtId="14" fontId="6957" fillId="6962" borderId="6909" xfId="0" applyNumberFormat="1" applyFont="1" applyFill="1" applyBorder="1"/>
    <xf numFmtId="0" fontId="6958" fillId="6963" borderId="6910" xfId="0" applyFont="1" applyFill="1" applyBorder="1"/>
    <xf numFmtId="0" fontId="6959" fillId="6964" borderId="6911" xfId="0" applyFont="1" applyFill="1" applyBorder="1"/>
    <xf numFmtId="0" fontId="6960" fillId="6965" borderId="6912" xfId="0" applyFont="1" applyFill="1" applyBorder="1"/>
    <xf numFmtId="0" fontId="6961" fillId="6966" borderId="6913" xfId="0" applyFont="1" applyFill="1" applyBorder="1"/>
    <xf numFmtId="0" fontId="6962" fillId="6967" borderId="6914" xfId="0" applyFont="1" applyFill="1" applyBorder="1"/>
    <xf numFmtId="0" fontId="6963" fillId="6968" borderId="6915" xfId="0" applyFont="1" applyFill="1" applyBorder="1"/>
    <xf numFmtId="14" fontId="6964" fillId="6969" borderId="6916" xfId="0" applyNumberFormat="1" applyFont="1" applyFill="1" applyBorder="1"/>
    <xf numFmtId="14" fontId="6965" fillId="6970" borderId="6917" xfId="0" applyNumberFormat="1" applyFont="1" applyFill="1" applyBorder="1"/>
    <xf numFmtId="0" fontId="6966" fillId="6971" borderId="6918" xfId="0" applyFont="1" applyFill="1" applyBorder="1"/>
    <xf numFmtId="14" fontId="6967" fillId="6972" borderId="6919" xfId="0" applyNumberFormat="1" applyFont="1" applyFill="1" applyBorder="1"/>
    <xf numFmtId="0" fontId="6968" fillId="6973" borderId="6920" xfId="0" applyFont="1" applyFill="1" applyBorder="1"/>
    <xf numFmtId="0" fontId="6969" fillId="6974" borderId="6921" xfId="0" applyFont="1" applyFill="1" applyBorder="1"/>
    <xf numFmtId="0" fontId="6970" fillId="6975" borderId="6922" xfId="0" applyFont="1" applyFill="1" applyBorder="1"/>
    <xf numFmtId="0" fontId="6971" fillId="6976" borderId="6923" xfId="0" applyFont="1" applyFill="1" applyBorder="1"/>
    <xf numFmtId="0" fontId="6972" fillId="6977" borderId="6924" xfId="0" applyFont="1" applyFill="1" applyBorder="1"/>
    <xf numFmtId="0" fontId="6973" fillId="6978" borderId="6925" xfId="0" applyFont="1" applyFill="1" applyBorder="1"/>
    <xf numFmtId="14" fontId="6974" fillId="6979" borderId="6926" xfId="0" applyNumberFormat="1" applyFont="1" applyFill="1" applyBorder="1"/>
    <xf numFmtId="14" fontId="6975" fillId="6980" borderId="6927" xfId="0" applyNumberFormat="1" applyFont="1" applyFill="1" applyBorder="1"/>
    <xf numFmtId="0" fontId="6976" fillId="6981" borderId="6928" xfId="0" applyFont="1" applyFill="1" applyBorder="1"/>
    <xf numFmtId="14" fontId="6977" fillId="6982" borderId="6929" xfId="0" applyNumberFormat="1" applyFont="1" applyFill="1" applyBorder="1"/>
    <xf numFmtId="0" fontId="6978" fillId="6983" borderId="6930" xfId="0" applyFont="1" applyFill="1" applyBorder="1"/>
    <xf numFmtId="0" fontId="6979" fillId="6984" borderId="6931" xfId="0" applyFont="1" applyFill="1" applyBorder="1"/>
    <xf numFmtId="0" fontId="6980" fillId="6985" borderId="6932" xfId="0" applyFont="1" applyFill="1" applyBorder="1"/>
    <xf numFmtId="0" fontId="6981" fillId="6986" borderId="6933" xfId="0" applyFont="1" applyFill="1" applyBorder="1"/>
    <xf numFmtId="0" fontId="6982" fillId="6987" borderId="6934" xfId="0" applyFont="1" applyFill="1" applyBorder="1"/>
    <xf numFmtId="0" fontId="6983" fillId="6988" borderId="6935" xfId="0" applyFont="1" applyFill="1" applyBorder="1"/>
    <xf numFmtId="14" fontId="6984" fillId="6989" borderId="6936" xfId="0" applyNumberFormat="1" applyFont="1" applyFill="1" applyBorder="1"/>
    <xf numFmtId="14" fontId="6985" fillId="6990" borderId="6937" xfId="0" applyNumberFormat="1" applyFont="1" applyFill="1" applyBorder="1"/>
    <xf numFmtId="0" fontId="6986" fillId="6991" borderId="6938" xfId="0" applyFont="1" applyFill="1" applyBorder="1"/>
    <xf numFmtId="14" fontId="6987" fillId="6992" borderId="6939" xfId="0" applyNumberFormat="1" applyFont="1" applyFill="1" applyBorder="1"/>
    <xf numFmtId="0" fontId="6988" fillId="6993" borderId="6940" xfId="0" applyFont="1" applyFill="1" applyBorder="1"/>
    <xf numFmtId="0" fontId="6989" fillId="6994" borderId="6941" xfId="0" applyFont="1" applyFill="1" applyBorder="1"/>
    <xf numFmtId="0" fontId="6990" fillId="6995" borderId="6942" xfId="0" applyFont="1" applyFill="1" applyBorder="1"/>
    <xf numFmtId="0" fontId="6991" fillId="6996" borderId="6943" xfId="0" applyFont="1" applyFill="1" applyBorder="1"/>
    <xf numFmtId="0" fontId="6992" fillId="6997" borderId="6944" xfId="0" applyFont="1" applyFill="1" applyBorder="1"/>
    <xf numFmtId="0" fontId="6993" fillId="6998" borderId="6945" xfId="0" applyFont="1" applyFill="1" applyBorder="1"/>
    <xf numFmtId="14" fontId="6994" fillId="6999" borderId="6946" xfId="0" applyNumberFormat="1" applyFont="1" applyFill="1" applyBorder="1"/>
    <xf numFmtId="14" fontId="6995" fillId="7000" borderId="6947" xfId="0" applyNumberFormat="1" applyFont="1" applyFill="1" applyBorder="1"/>
    <xf numFmtId="0" fontId="6996" fillId="7001" borderId="6948" xfId="0" applyFont="1" applyFill="1" applyBorder="1"/>
    <xf numFmtId="14" fontId="6997" fillId="7002" borderId="6949" xfId="0" applyNumberFormat="1" applyFont="1" applyFill="1" applyBorder="1"/>
    <xf numFmtId="0" fontId="6998" fillId="7003" borderId="6950" xfId="0" applyFont="1" applyFill="1" applyBorder="1"/>
    <xf numFmtId="0" fontId="6999" fillId="7004" borderId="6951" xfId="0" applyFont="1" applyFill="1" applyBorder="1"/>
    <xf numFmtId="0" fontId="7000" fillId="7005" borderId="6952" xfId="0" applyFont="1" applyFill="1" applyBorder="1"/>
    <xf numFmtId="0" fontId="7001" fillId="7006" borderId="6953" xfId="0" applyFont="1" applyFill="1" applyBorder="1"/>
    <xf numFmtId="0" fontId="7002" fillId="7007" borderId="6954" xfId="0" applyFont="1" applyFill="1" applyBorder="1"/>
    <xf numFmtId="0" fontId="7003" fillId="7008" borderId="6955" xfId="0" applyFont="1" applyFill="1" applyBorder="1"/>
    <xf numFmtId="14" fontId="7004" fillId="7009" borderId="6956" xfId="0" applyNumberFormat="1" applyFont="1" applyFill="1" applyBorder="1"/>
    <xf numFmtId="14" fontId="7005" fillId="7010" borderId="6957" xfId="0" applyNumberFormat="1" applyFont="1" applyFill="1" applyBorder="1"/>
    <xf numFmtId="0" fontId="7006" fillId="7011" borderId="6958" xfId="0" applyFont="1" applyFill="1" applyBorder="1"/>
    <xf numFmtId="14" fontId="7007" fillId="7012" borderId="6959" xfId="0" applyNumberFormat="1" applyFont="1" applyFill="1" applyBorder="1"/>
    <xf numFmtId="0" fontId="7008" fillId="7013" borderId="6960" xfId="0" applyFont="1" applyFill="1" applyBorder="1"/>
    <xf numFmtId="0" fontId="7009" fillId="7014" borderId="6961" xfId="0" applyFont="1" applyFill="1" applyBorder="1"/>
    <xf numFmtId="0" fontId="7010" fillId="7015" borderId="6962" xfId="0" applyFont="1" applyFill="1" applyBorder="1"/>
    <xf numFmtId="0" fontId="7011" fillId="7016" borderId="6963" xfId="0" applyFont="1" applyFill="1" applyBorder="1"/>
    <xf numFmtId="0" fontId="7012" fillId="7017" borderId="6964" xfId="0" applyFont="1" applyFill="1" applyBorder="1"/>
    <xf numFmtId="0" fontId="7013" fillId="7018" borderId="6965" xfId="0" applyFont="1" applyFill="1" applyBorder="1"/>
    <xf numFmtId="14" fontId="7014" fillId="7019" borderId="6966" xfId="0" applyNumberFormat="1" applyFont="1" applyFill="1" applyBorder="1"/>
    <xf numFmtId="14" fontId="7015" fillId="7020" borderId="6967" xfId="0" applyNumberFormat="1" applyFont="1" applyFill="1" applyBorder="1"/>
    <xf numFmtId="0" fontId="7016" fillId="7021" borderId="6968" xfId="0" applyFont="1" applyFill="1" applyBorder="1"/>
    <xf numFmtId="14" fontId="7017" fillId="7022" borderId="6969" xfId="0" applyNumberFormat="1" applyFont="1" applyFill="1" applyBorder="1"/>
    <xf numFmtId="0" fontId="7018" fillId="7023" borderId="6970" xfId="0" applyFont="1" applyFill="1" applyBorder="1"/>
    <xf numFmtId="0" fontId="7019" fillId="7024" borderId="6971" xfId="0" applyFont="1" applyFill="1" applyBorder="1"/>
    <xf numFmtId="0" fontId="7020" fillId="7025" borderId="6972" xfId="0" applyFont="1" applyFill="1" applyBorder="1"/>
    <xf numFmtId="0" fontId="7021" fillId="7026" borderId="6973" xfId="0" applyFont="1" applyFill="1" applyBorder="1"/>
    <xf numFmtId="0" fontId="7022" fillId="7027" borderId="6974" xfId="0" applyFont="1" applyFill="1" applyBorder="1"/>
    <xf numFmtId="0" fontId="7023" fillId="7028" borderId="6975" xfId="0" applyFont="1" applyFill="1" applyBorder="1"/>
    <xf numFmtId="14" fontId="7024" fillId="7029" borderId="6976" xfId="0" applyNumberFormat="1" applyFont="1" applyFill="1" applyBorder="1"/>
    <xf numFmtId="14" fontId="7025" fillId="7030" borderId="6977" xfId="0" applyNumberFormat="1" applyFont="1" applyFill="1" applyBorder="1"/>
    <xf numFmtId="0" fontId="7026" fillId="7031" borderId="6978" xfId="0" applyFont="1" applyFill="1" applyBorder="1"/>
    <xf numFmtId="14" fontId="7027" fillId="7032" borderId="6979" xfId="0" applyNumberFormat="1" applyFont="1" applyFill="1" applyBorder="1"/>
    <xf numFmtId="0" fontId="7028" fillId="7033" borderId="6980" xfId="0" applyFont="1" applyFill="1" applyBorder="1"/>
    <xf numFmtId="0" fontId="7029" fillId="7034" borderId="6981" xfId="0" applyFont="1" applyFill="1" applyBorder="1"/>
    <xf numFmtId="0" fontId="7030" fillId="7035" borderId="6982" xfId="0" applyFont="1" applyFill="1" applyBorder="1"/>
    <xf numFmtId="0" fontId="7031" fillId="7036" borderId="6983" xfId="0" applyFont="1" applyFill="1" applyBorder="1"/>
    <xf numFmtId="0" fontId="7032" fillId="7037" borderId="6984" xfId="0" applyFont="1" applyFill="1" applyBorder="1"/>
    <xf numFmtId="0" fontId="7033" fillId="7038" borderId="6985" xfId="0" applyFont="1" applyFill="1" applyBorder="1"/>
    <xf numFmtId="14" fontId="7034" fillId="7039" borderId="6986" xfId="0" applyNumberFormat="1" applyFont="1" applyFill="1" applyBorder="1"/>
    <xf numFmtId="14" fontId="7035" fillId="7040" borderId="6987" xfId="0" applyNumberFormat="1" applyFont="1" applyFill="1" applyBorder="1"/>
    <xf numFmtId="0" fontId="7036" fillId="7041" borderId="6988" xfId="0" applyFont="1" applyFill="1" applyBorder="1"/>
    <xf numFmtId="14" fontId="7037" fillId="7042" borderId="6989" xfId="0" applyNumberFormat="1" applyFont="1" applyFill="1" applyBorder="1"/>
    <xf numFmtId="0" fontId="7038" fillId="7043" borderId="6990" xfId="0" applyFont="1" applyFill="1" applyBorder="1"/>
    <xf numFmtId="0" fontId="7039" fillId="7044" borderId="6991" xfId="0" applyFont="1" applyFill="1" applyBorder="1"/>
    <xf numFmtId="0" fontId="7040" fillId="7045" borderId="6992" xfId="0" applyFont="1" applyFill="1" applyBorder="1"/>
    <xf numFmtId="0" fontId="7041" fillId="7046" borderId="6993" xfId="0" applyFont="1" applyFill="1" applyBorder="1"/>
    <xf numFmtId="0" fontId="7042" fillId="7047" borderId="6994" xfId="0" applyFont="1" applyFill="1" applyBorder="1"/>
    <xf numFmtId="0" fontId="7043" fillId="7048" borderId="6995" xfId="0" applyFont="1" applyFill="1" applyBorder="1"/>
    <xf numFmtId="14" fontId="7044" fillId="7049" borderId="6996" xfId="0" applyNumberFormat="1" applyFont="1" applyFill="1" applyBorder="1"/>
    <xf numFmtId="14" fontId="7045" fillId="7050" borderId="6997" xfId="0" applyNumberFormat="1" applyFont="1" applyFill="1" applyBorder="1"/>
    <xf numFmtId="0" fontId="7046" fillId="7051" borderId="6998" xfId="0" applyFont="1" applyFill="1" applyBorder="1"/>
    <xf numFmtId="14" fontId="7047" fillId="7052" borderId="6999" xfId="0" applyNumberFormat="1" applyFont="1" applyFill="1" applyBorder="1"/>
    <xf numFmtId="0" fontId="7048" fillId="7053" borderId="7000" xfId="0" applyFont="1" applyFill="1" applyBorder="1"/>
    <xf numFmtId="0" fontId="7049" fillId="7054" borderId="7001" xfId="0" applyFont="1" applyFill="1" applyBorder="1"/>
    <xf numFmtId="0" fontId="7050" fillId="7055" borderId="7002" xfId="0" applyFont="1" applyFill="1" applyBorder="1"/>
    <xf numFmtId="0" fontId="7051" fillId="7056" borderId="7003" xfId="0" applyFont="1" applyFill="1" applyBorder="1"/>
    <xf numFmtId="0" fontId="7052" fillId="7057" borderId="7004" xfId="0" applyFont="1" applyFill="1" applyBorder="1"/>
    <xf numFmtId="0" fontId="7053" fillId="7058" borderId="7005" xfId="0" applyFont="1" applyFill="1" applyBorder="1"/>
    <xf numFmtId="14" fontId="7054" fillId="7059" borderId="7006" xfId="0" applyNumberFormat="1" applyFont="1" applyFill="1" applyBorder="1"/>
    <xf numFmtId="14" fontId="7055" fillId="7060" borderId="7007" xfId="0" applyNumberFormat="1" applyFont="1" applyFill="1" applyBorder="1"/>
    <xf numFmtId="0" fontId="7056" fillId="7061" borderId="7008" xfId="0" applyFont="1" applyFill="1" applyBorder="1"/>
    <xf numFmtId="14" fontId="7057" fillId="7062" borderId="7009" xfId="0" applyNumberFormat="1" applyFont="1" applyFill="1" applyBorder="1"/>
    <xf numFmtId="0" fontId="7058" fillId="7063" borderId="7010" xfId="0" applyFont="1" applyFill="1" applyBorder="1"/>
    <xf numFmtId="0" fontId="7059" fillId="7064" borderId="7011" xfId="0" applyFont="1" applyFill="1" applyBorder="1"/>
    <xf numFmtId="0" fontId="7060" fillId="7065" borderId="7012" xfId="0" applyFont="1" applyFill="1" applyBorder="1"/>
    <xf numFmtId="0" fontId="7061" fillId="7066" borderId="7013" xfId="0" applyFont="1" applyFill="1" applyBorder="1"/>
    <xf numFmtId="0" fontId="7062" fillId="7067" borderId="7014" xfId="0" applyFont="1" applyFill="1" applyBorder="1"/>
    <xf numFmtId="0" fontId="7063" fillId="7068" borderId="7015" xfId="0" applyFont="1" applyFill="1" applyBorder="1"/>
    <xf numFmtId="14" fontId="7064" fillId="7069" borderId="7016" xfId="0" applyNumberFormat="1" applyFont="1" applyFill="1" applyBorder="1"/>
    <xf numFmtId="14" fontId="7065" fillId="7070" borderId="7017" xfId="0" applyNumberFormat="1" applyFont="1" applyFill="1" applyBorder="1"/>
    <xf numFmtId="0" fontId="7066" fillId="7071" borderId="7018" xfId="0" applyFont="1" applyFill="1" applyBorder="1"/>
    <xf numFmtId="14" fontId="7067" fillId="7072" borderId="7019" xfId="0" applyNumberFormat="1" applyFont="1" applyFill="1" applyBorder="1"/>
    <xf numFmtId="0" fontId="7068" fillId="7073" borderId="7020" xfId="0" applyFont="1" applyFill="1" applyBorder="1"/>
    <xf numFmtId="0" fontId="7069" fillId="7074" borderId="7021" xfId="0" applyFont="1" applyFill="1" applyBorder="1"/>
    <xf numFmtId="0" fontId="7070" fillId="7075" borderId="7022" xfId="0" applyFont="1" applyFill="1" applyBorder="1"/>
    <xf numFmtId="0" fontId="7071" fillId="7076" borderId="7023" xfId="0" applyFont="1" applyFill="1" applyBorder="1"/>
    <xf numFmtId="0" fontId="7072" fillId="7077" borderId="7024" xfId="0" applyFont="1" applyFill="1" applyBorder="1"/>
    <xf numFmtId="0" fontId="7073" fillId="7078" borderId="7025" xfId="0" applyFont="1" applyFill="1" applyBorder="1"/>
    <xf numFmtId="14" fontId="7074" fillId="7079" borderId="7026" xfId="0" applyNumberFormat="1" applyFont="1" applyFill="1" applyBorder="1"/>
    <xf numFmtId="14" fontId="7075" fillId="7080" borderId="7027" xfId="0" applyNumberFormat="1" applyFont="1" applyFill="1" applyBorder="1"/>
    <xf numFmtId="0" fontId="7076" fillId="7081" borderId="7028" xfId="0" applyFont="1" applyFill="1" applyBorder="1"/>
    <xf numFmtId="14" fontId="7077" fillId="7082" borderId="7029" xfId="0" applyNumberFormat="1" applyFont="1" applyFill="1" applyBorder="1"/>
    <xf numFmtId="0" fontId="7078" fillId="7083" borderId="7030" xfId="0" applyFont="1" applyFill="1" applyBorder="1"/>
    <xf numFmtId="0" fontId="7079" fillId="7084" borderId="7031" xfId="0" applyFont="1" applyFill="1" applyBorder="1"/>
    <xf numFmtId="0" fontId="7080" fillId="7085" borderId="7032" xfId="0" applyFont="1" applyFill="1" applyBorder="1"/>
    <xf numFmtId="0" fontId="7081" fillId="7086" borderId="7033" xfId="0" applyFont="1" applyFill="1" applyBorder="1"/>
    <xf numFmtId="0" fontId="7082" fillId="7087" borderId="7034" xfId="0" applyFont="1" applyFill="1" applyBorder="1"/>
    <xf numFmtId="0" fontId="7083" fillId="7088" borderId="7035" xfId="0" applyFont="1" applyFill="1" applyBorder="1"/>
    <xf numFmtId="14" fontId="7084" fillId="7089" borderId="7036" xfId="0" applyNumberFormat="1" applyFont="1" applyFill="1" applyBorder="1"/>
    <xf numFmtId="14" fontId="7085" fillId="7090" borderId="7037" xfId="0" applyNumberFormat="1" applyFont="1" applyFill="1" applyBorder="1"/>
    <xf numFmtId="0" fontId="7086" fillId="7091" borderId="7038" xfId="0" applyFont="1" applyFill="1" applyBorder="1"/>
    <xf numFmtId="14" fontId="7087" fillId="7092" borderId="7039" xfId="0" applyNumberFormat="1" applyFont="1" applyFill="1" applyBorder="1"/>
    <xf numFmtId="0" fontId="7088" fillId="7093" borderId="7040" xfId="0" applyFont="1" applyFill="1" applyBorder="1"/>
    <xf numFmtId="0" fontId="7089" fillId="7094" borderId="7041" xfId="0" applyFont="1" applyFill="1" applyBorder="1"/>
    <xf numFmtId="0" fontId="7090" fillId="7095" borderId="7042" xfId="0" applyFont="1" applyFill="1" applyBorder="1"/>
    <xf numFmtId="0" fontId="7091" fillId="7096" borderId="7043" xfId="0" applyFont="1" applyFill="1" applyBorder="1"/>
    <xf numFmtId="0" fontId="7092" fillId="7097" borderId="7044" xfId="0" applyFont="1" applyFill="1" applyBorder="1"/>
    <xf numFmtId="0" fontId="7093" fillId="7098" borderId="7045" xfId="0" applyFont="1" applyFill="1" applyBorder="1"/>
    <xf numFmtId="14" fontId="7094" fillId="7099" borderId="7046" xfId="0" applyNumberFormat="1" applyFont="1" applyFill="1" applyBorder="1"/>
    <xf numFmtId="14" fontId="7095" fillId="7100" borderId="7047" xfId="0" applyNumberFormat="1" applyFont="1" applyFill="1" applyBorder="1"/>
    <xf numFmtId="0" fontId="7096" fillId="7101" borderId="7048" xfId="0" applyFont="1" applyFill="1" applyBorder="1"/>
    <xf numFmtId="14" fontId="7097" fillId="7102" borderId="7049" xfId="0" applyNumberFormat="1" applyFont="1" applyFill="1" applyBorder="1"/>
    <xf numFmtId="0" fontId="7098" fillId="7103" borderId="7050" xfId="0" applyFont="1" applyFill="1" applyBorder="1"/>
    <xf numFmtId="0" fontId="7099" fillId="7104" borderId="7051" xfId="0" applyFont="1" applyFill="1" applyBorder="1"/>
    <xf numFmtId="0" fontId="7100" fillId="7105" borderId="7052" xfId="0" applyFont="1" applyFill="1" applyBorder="1"/>
    <xf numFmtId="0" fontId="7101" fillId="7106" borderId="7053" xfId="0" applyFont="1" applyFill="1" applyBorder="1"/>
    <xf numFmtId="0" fontId="7102" fillId="7107" borderId="7054" xfId="0" applyFont="1" applyFill="1" applyBorder="1"/>
    <xf numFmtId="0" fontId="7103" fillId="7108" borderId="7055" xfId="0" applyFont="1" applyFill="1" applyBorder="1"/>
    <xf numFmtId="14" fontId="7104" fillId="7109" borderId="7056" xfId="0" applyNumberFormat="1" applyFont="1" applyFill="1" applyBorder="1"/>
    <xf numFmtId="14" fontId="7105" fillId="7110" borderId="7057" xfId="0" applyNumberFormat="1" applyFont="1" applyFill="1" applyBorder="1"/>
    <xf numFmtId="0" fontId="7106" fillId="7111" borderId="7058" xfId="0" applyFont="1" applyFill="1" applyBorder="1"/>
    <xf numFmtId="14" fontId="7107" fillId="7112" borderId="7059" xfId="0" applyNumberFormat="1" applyFont="1" applyFill="1" applyBorder="1"/>
    <xf numFmtId="0" fontId="7108" fillId="7113" borderId="7060" xfId="0" applyFont="1" applyFill="1" applyBorder="1"/>
    <xf numFmtId="0" fontId="7109" fillId="7114" borderId="7061" xfId="0" applyFont="1" applyFill="1" applyBorder="1"/>
    <xf numFmtId="0" fontId="7110" fillId="7115" borderId="7062" xfId="0" applyFont="1" applyFill="1" applyBorder="1"/>
    <xf numFmtId="0" fontId="7111" fillId="7116" borderId="7063" xfId="0" applyFont="1" applyFill="1" applyBorder="1"/>
    <xf numFmtId="0" fontId="7112" fillId="7117" borderId="7064" xfId="0" applyFont="1" applyFill="1" applyBorder="1"/>
    <xf numFmtId="0" fontId="7113" fillId="7118" borderId="7065" xfId="0" applyFont="1" applyFill="1" applyBorder="1"/>
    <xf numFmtId="14" fontId="7114" fillId="7119" borderId="7066" xfId="0" applyNumberFormat="1" applyFont="1" applyFill="1" applyBorder="1"/>
    <xf numFmtId="14" fontId="7115" fillId="7120" borderId="7067" xfId="0" applyNumberFormat="1" applyFont="1" applyFill="1" applyBorder="1"/>
    <xf numFmtId="0" fontId="7116" fillId="7121" borderId="7068" xfId="0" applyFont="1" applyFill="1" applyBorder="1"/>
    <xf numFmtId="14" fontId="7117" fillId="7122" borderId="7069" xfId="0" applyNumberFormat="1" applyFont="1" applyFill="1" applyBorder="1"/>
    <xf numFmtId="0" fontId="7118" fillId="7123" borderId="7070" xfId="0" applyFont="1" applyFill="1" applyBorder="1"/>
    <xf numFmtId="0" fontId="7119" fillId="7124" borderId="7071" xfId="0" applyFont="1" applyFill="1" applyBorder="1"/>
    <xf numFmtId="0" fontId="7120" fillId="7125" borderId="7072" xfId="0" applyFont="1" applyFill="1" applyBorder="1"/>
    <xf numFmtId="0" fontId="7121" fillId="7126" borderId="7073" xfId="0" applyFont="1" applyFill="1" applyBorder="1"/>
    <xf numFmtId="0" fontId="7122" fillId="7127" borderId="7074" xfId="0" applyFont="1" applyFill="1" applyBorder="1"/>
    <xf numFmtId="0" fontId="7123" fillId="7128" borderId="7075" xfId="0" applyFont="1" applyFill="1" applyBorder="1"/>
    <xf numFmtId="14" fontId="7124" fillId="7129" borderId="7076" xfId="0" applyNumberFormat="1" applyFont="1" applyFill="1" applyBorder="1"/>
    <xf numFmtId="14" fontId="7125" fillId="7130" borderId="7077" xfId="0" applyNumberFormat="1" applyFont="1" applyFill="1" applyBorder="1"/>
    <xf numFmtId="0" fontId="7126" fillId="7131" borderId="7078" xfId="0" applyFont="1" applyFill="1" applyBorder="1"/>
    <xf numFmtId="14" fontId="7127" fillId="7132" borderId="7079" xfId="0" applyNumberFormat="1" applyFont="1" applyFill="1" applyBorder="1"/>
    <xf numFmtId="0" fontId="7128" fillId="7133" borderId="7080" xfId="0" applyFont="1" applyFill="1" applyBorder="1"/>
    <xf numFmtId="0" fontId="7129" fillId="7134" borderId="7081" xfId="0" applyFont="1" applyFill="1" applyBorder="1"/>
    <xf numFmtId="0" fontId="7130" fillId="7135" borderId="7082" xfId="0" applyFont="1" applyFill="1" applyBorder="1"/>
    <xf numFmtId="0" fontId="7131" fillId="7136" borderId="7083" xfId="0" applyFont="1" applyFill="1" applyBorder="1"/>
    <xf numFmtId="0" fontId="7132" fillId="7137" borderId="7084" xfId="0" applyFont="1" applyFill="1" applyBorder="1"/>
    <xf numFmtId="0" fontId="7133" fillId="7138" borderId="7085" xfId="0" applyFont="1" applyFill="1" applyBorder="1"/>
    <xf numFmtId="14" fontId="7134" fillId="7139" borderId="7086" xfId="0" applyNumberFormat="1" applyFont="1" applyFill="1" applyBorder="1"/>
    <xf numFmtId="14" fontId="7135" fillId="7140" borderId="7087" xfId="0" applyNumberFormat="1" applyFont="1" applyFill="1" applyBorder="1"/>
    <xf numFmtId="0" fontId="7136" fillId="7141" borderId="7088" xfId="0" applyFont="1" applyFill="1" applyBorder="1"/>
    <xf numFmtId="14" fontId="7137" fillId="7142" borderId="7089" xfId="0" applyNumberFormat="1" applyFont="1" applyFill="1" applyBorder="1"/>
    <xf numFmtId="0" fontId="7138" fillId="7143" borderId="7090" xfId="0" applyFont="1" applyFill="1" applyBorder="1"/>
    <xf numFmtId="0" fontId="7139" fillId="7144" borderId="7091" xfId="0" applyFont="1" applyFill="1" applyBorder="1"/>
    <xf numFmtId="0" fontId="7140" fillId="7145" borderId="7092" xfId="0" applyFont="1" applyFill="1" applyBorder="1"/>
    <xf numFmtId="0" fontId="7141" fillId="7146" borderId="7093" xfId="0" applyFont="1" applyFill="1" applyBorder="1"/>
    <xf numFmtId="0" fontId="7142" fillId="7147" borderId="7094" xfId="0" applyFont="1" applyFill="1" applyBorder="1"/>
    <xf numFmtId="0" fontId="7143" fillId="7148" borderId="7095" xfId="0" applyFont="1" applyFill="1" applyBorder="1"/>
    <xf numFmtId="14" fontId="7144" fillId="7149" borderId="7096" xfId="0" applyNumberFormat="1" applyFont="1" applyFill="1" applyBorder="1"/>
    <xf numFmtId="14" fontId="7145" fillId="7150" borderId="7097" xfId="0" applyNumberFormat="1" applyFont="1" applyFill="1" applyBorder="1"/>
    <xf numFmtId="0" fontId="7146" fillId="7151" borderId="7098" xfId="0" applyFont="1" applyFill="1" applyBorder="1"/>
    <xf numFmtId="14" fontId="7147" fillId="7152" borderId="7099" xfId="0" applyNumberFormat="1" applyFont="1" applyFill="1" applyBorder="1"/>
    <xf numFmtId="0" fontId="7148" fillId="7153" borderId="7100" xfId="0" applyFont="1" applyFill="1" applyBorder="1"/>
    <xf numFmtId="0" fontId="7149" fillId="7154" borderId="7101" xfId="0" applyFont="1" applyFill="1" applyBorder="1"/>
    <xf numFmtId="0" fontId="7150" fillId="7155" borderId="7102" xfId="0" applyFont="1" applyFill="1" applyBorder="1"/>
    <xf numFmtId="0" fontId="7151" fillId="7156" borderId="7103" xfId="0" applyFont="1" applyFill="1" applyBorder="1"/>
    <xf numFmtId="0" fontId="7152" fillId="7157" borderId="7104" xfId="0" applyFont="1" applyFill="1" applyBorder="1"/>
    <xf numFmtId="0" fontId="7153" fillId="7158" borderId="7105" xfId="0" applyFont="1" applyFill="1" applyBorder="1"/>
    <xf numFmtId="14" fontId="7154" fillId="7159" borderId="7106" xfId="0" applyNumberFormat="1" applyFont="1" applyFill="1" applyBorder="1"/>
    <xf numFmtId="14" fontId="7155" fillId="7160" borderId="7107" xfId="0" applyNumberFormat="1" applyFont="1" applyFill="1" applyBorder="1"/>
    <xf numFmtId="0" fontId="7156" fillId="7161" borderId="7108" xfId="0" applyFont="1" applyFill="1" applyBorder="1"/>
    <xf numFmtId="14" fontId="7157" fillId="7162" borderId="7109" xfId="0" applyNumberFormat="1" applyFont="1" applyFill="1" applyBorder="1"/>
    <xf numFmtId="0" fontId="7158" fillId="7163" borderId="7110" xfId="0" applyFont="1" applyFill="1" applyBorder="1"/>
    <xf numFmtId="0" fontId="7159" fillId="7164" borderId="7111" xfId="0" applyFont="1" applyFill="1" applyBorder="1"/>
    <xf numFmtId="0" fontId="7160" fillId="7165" borderId="7112" xfId="0" applyFont="1" applyFill="1" applyBorder="1"/>
    <xf numFmtId="0" fontId="7161" fillId="7166" borderId="7113" xfId="0" applyFont="1" applyFill="1" applyBorder="1"/>
    <xf numFmtId="0" fontId="7162" fillId="7167" borderId="7114" xfId="0" applyFont="1" applyFill="1" applyBorder="1"/>
    <xf numFmtId="0" fontId="7163" fillId="7168" borderId="7115" xfId="0" applyFont="1" applyFill="1" applyBorder="1"/>
    <xf numFmtId="14" fontId="7164" fillId="7169" borderId="7116" xfId="0" applyNumberFormat="1" applyFont="1" applyFill="1" applyBorder="1"/>
    <xf numFmtId="14" fontId="7165" fillId="7170" borderId="7117" xfId="0" applyNumberFormat="1" applyFont="1" applyFill="1" applyBorder="1"/>
    <xf numFmtId="0" fontId="7166" fillId="7171" borderId="7118" xfId="0" applyFont="1" applyFill="1" applyBorder="1"/>
    <xf numFmtId="14" fontId="7167" fillId="7172" borderId="7119" xfId="0" applyNumberFormat="1" applyFont="1" applyFill="1" applyBorder="1"/>
    <xf numFmtId="0" fontId="7168" fillId="7173" borderId="7120" xfId="0" applyFont="1" applyFill="1" applyBorder="1"/>
    <xf numFmtId="0" fontId="7169" fillId="7174" borderId="7121" xfId="0" applyFont="1" applyFill="1" applyBorder="1"/>
    <xf numFmtId="0" fontId="7170" fillId="7175" borderId="7122" xfId="0" applyFont="1" applyFill="1" applyBorder="1"/>
    <xf numFmtId="0" fontId="7171" fillId="7176" borderId="7123" xfId="0" applyFont="1" applyFill="1" applyBorder="1"/>
    <xf numFmtId="0" fontId="7172" fillId="7177" borderId="7124" xfId="0" applyFont="1" applyFill="1" applyBorder="1"/>
    <xf numFmtId="0" fontId="7173" fillId="7178" borderId="7125" xfId="0" applyFont="1" applyFill="1" applyBorder="1"/>
    <xf numFmtId="14" fontId="7174" fillId="7179" borderId="7126" xfId="0" applyNumberFormat="1" applyFont="1" applyFill="1" applyBorder="1"/>
    <xf numFmtId="14" fontId="7175" fillId="7180" borderId="7127" xfId="0" applyNumberFormat="1" applyFont="1" applyFill="1" applyBorder="1"/>
    <xf numFmtId="0" fontId="7176" fillId="7181" borderId="7128" xfId="0" applyFont="1" applyFill="1" applyBorder="1"/>
    <xf numFmtId="14" fontId="7177" fillId="7182" borderId="7129" xfId="0" applyNumberFormat="1" applyFont="1" applyFill="1" applyBorder="1"/>
    <xf numFmtId="0" fontId="7178" fillId="7183" borderId="7130" xfId="0" applyFont="1" applyFill="1" applyBorder="1"/>
    <xf numFmtId="0" fontId="7179" fillId="7184" borderId="7131" xfId="0" applyFont="1" applyFill="1" applyBorder="1"/>
    <xf numFmtId="0" fontId="7180" fillId="7185" borderId="7132" xfId="0" applyFont="1" applyFill="1" applyBorder="1"/>
    <xf numFmtId="0" fontId="7181" fillId="7186" borderId="7133" xfId="0" applyFont="1" applyFill="1" applyBorder="1"/>
    <xf numFmtId="0" fontId="7182" fillId="7187" borderId="7134" xfId="0" applyFont="1" applyFill="1" applyBorder="1"/>
    <xf numFmtId="0" fontId="7183" fillId="7188" borderId="7135" xfId="0" applyFont="1" applyFill="1" applyBorder="1"/>
    <xf numFmtId="14" fontId="7184" fillId="7189" borderId="7136" xfId="0" applyNumberFormat="1" applyFont="1" applyFill="1" applyBorder="1"/>
    <xf numFmtId="14" fontId="7185" fillId="7190" borderId="7137" xfId="0" applyNumberFormat="1" applyFont="1" applyFill="1" applyBorder="1"/>
    <xf numFmtId="0" fontId="7186" fillId="7191" borderId="7138" xfId="0" applyFont="1" applyFill="1" applyBorder="1"/>
    <xf numFmtId="14" fontId="7187" fillId="7192" borderId="7139" xfId="0" applyNumberFormat="1" applyFont="1" applyFill="1" applyBorder="1"/>
    <xf numFmtId="0" fontId="7188" fillId="7193" borderId="7140" xfId="0" applyFont="1" applyFill="1" applyBorder="1"/>
    <xf numFmtId="0" fontId="7189" fillId="7194" borderId="7141" xfId="0" applyFont="1" applyFill="1" applyBorder="1"/>
    <xf numFmtId="0" fontId="7190" fillId="7195" borderId="7142" xfId="0" applyFont="1" applyFill="1" applyBorder="1"/>
    <xf numFmtId="0" fontId="7191" fillId="7196" borderId="7143" xfId="0" applyFont="1" applyFill="1" applyBorder="1"/>
    <xf numFmtId="0" fontId="7192" fillId="7197" borderId="7144" xfId="0" applyFont="1" applyFill="1" applyBorder="1"/>
    <xf numFmtId="0" fontId="7193" fillId="7198" borderId="7145" xfId="0" applyFont="1" applyFill="1" applyBorder="1"/>
    <xf numFmtId="14" fontId="7194" fillId="7199" borderId="7146" xfId="0" applyNumberFormat="1" applyFont="1" applyFill="1" applyBorder="1"/>
    <xf numFmtId="14" fontId="7195" fillId="7200" borderId="7147" xfId="0" applyNumberFormat="1" applyFont="1" applyFill="1" applyBorder="1"/>
    <xf numFmtId="0" fontId="7196" fillId="7201" borderId="7148" xfId="0" applyFont="1" applyFill="1" applyBorder="1"/>
    <xf numFmtId="14" fontId="7197" fillId="7202" borderId="7149" xfId="0" applyNumberFormat="1" applyFont="1" applyFill="1" applyBorder="1"/>
    <xf numFmtId="0" fontId="7198" fillId="7203" borderId="7150" xfId="0" applyFont="1" applyFill="1" applyBorder="1"/>
    <xf numFmtId="0" fontId="7199" fillId="7204" borderId="7151" xfId="0" applyFont="1" applyFill="1" applyBorder="1"/>
    <xf numFmtId="0" fontId="7200" fillId="7205" borderId="7152" xfId="0" applyFont="1" applyFill="1" applyBorder="1"/>
    <xf numFmtId="0" fontId="7201" fillId="7206" borderId="7153" xfId="0" applyFont="1" applyFill="1" applyBorder="1"/>
    <xf numFmtId="0" fontId="7202" fillId="7207" borderId="7154" xfId="0" applyFont="1" applyFill="1" applyBorder="1"/>
    <xf numFmtId="0" fontId="7203" fillId="7208" borderId="7155" xfId="0" applyFont="1" applyFill="1" applyBorder="1"/>
    <xf numFmtId="14" fontId="7204" fillId="7209" borderId="7156" xfId="0" applyNumberFormat="1" applyFont="1" applyFill="1" applyBorder="1"/>
    <xf numFmtId="14" fontId="7205" fillId="7210" borderId="7157" xfId="0" applyNumberFormat="1" applyFont="1" applyFill="1" applyBorder="1"/>
    <xf numFmtId="0" fontId="7206" fillId="7211" borderId="7158" xfId="0" applyFont="1" applyFill="1" applyBorder="1"/>
    <xf numFmtId="14" fontId="7207" fillId="7212" borderId="7159" xfId="0" applyNumberFormat="1" applyFont="1" applyFill="1" applyBorder="1"/>
    <xf numFmtId="0" fontId="7208" fillId="7213" borderId="7160" xfId="0" applyFont="1" applyFill="1" applyBorder="1"/>
    <xf numFmtId="0" fontId="7209" fillId="7214" borderId="7161" xfId="0" applyFont="1" applyFill="1" applyBorder="1"/>
    <xf numFmtId="0" fontId="7210" fillId="7215" borderId="7162" xfId="0" applyFont="1" applyFill="1" applyBorder="1"/>
    <xf numFmtId="0" fontId="7211" fillId="7216" borderId="7163" xfId="0" applyFont="1" applyFill="1" applyBorder="1"/>
    <xf numFmtId="0" fontId="7212" fillId="7217" borderId="7164" xfId="0" applyFont="1" applyFill="1" applyBorder="1"/>
    <xf numFmtId="0" fontId="7213" fillId="7218" borderId="7165" xfId="0" applyFont="1" applyFill="1" applyBorder="1"/>
    <xf numFmtId="14" fontId="7214" fillId="7219" borderId="7166" xfId="0" applyNumberFormat="1" applyFont="1" applyFill="1" applyBorder="1"/>
    <xf numFmtId="14" fontId="7215" fillId="7220" borderId="7167" xfId="0" applyNumberFormat="1" applyFont="1" applyFill="1" applyBorder="1"/>
    <xf numFmtId="0" fontId="7216" fillId="7221" borderId="7168" xfId="0" applyFont="1" applyFill="1" applyBorder="1"/>
    <xf numFmtId="14" fontId="7217" fillId="7222" borderId="7169" xfId="0" applyNumberFormat="1" applyFont="1" applyFill="1" applyBorder="1"/>
    <xf numFmtId="0" fontId="7218" fillId="7223" borderId="7170" xfId="0" applyFont="1" applyFill="1" applyBorder="1"/>
    <xf numFmtId="0" fontId="7219" fillId="7224" borderId="7171" xfId="0" applyFont="1" applyFill="1" applyBorder="1"/>
    <xf numFmtId="0" fontId="7220" fillId="7225" borderId="7172" xfId="0" applyFont="1" applyFill="1" applyBorder="1"/>
    <xf numFmtId="0" fontId="7221" fillId="7226" borderId="7173" xfId="0" applyFont="1" applyFill="1" applyBorder="1"/>
    <xf numFmtId="0" fontId="7222" fillId="7227" borderId="7174" xfId="0" applyFont="1" applyFill="1" applyBorder="1"/>
    <xf numFmtId="0" fontId="7223" fillId="7228" borderId="7175" xfId="0" applyFont="1" applyFill="1" applyBorder="1"/>
    <xf numFmtId="14" fontId="7224" fillId="7229" borderId="7176" xfId="0" applyNumberFormat="1" applyFont="1" applyFill="1" applyBorder="1"/>
    <xf numFmtId="14" fontId="7225" fillId="7230" borderId="7177" xfId="0" applyNumberFormat="1" applyFont="1" applyFill="1" applyBorder="1"/>
    <xf numFmtId="0" fontId="7226" fillId="7231" borderId="7178" xfId="0" applyFont="1" applyFill="1" applyBorder="1"/>
    <xf numFmtId="14" fontId="7227" fillId="7232" borderId="7179" xfId="0" applyNumberFormat="1" applyFont="1" applyFill="1" applyBorder="1"/>
    <xf numFmtId="0" fontId="7228" fillId="7233" borderId="7180" xfId="0" applyFont="1" applyFill="1" applyBorder="1"/>
    <xf numFmtId="0" fontId="7229" fillId="7234" borderId="7181" xfId="0" applyFont="1" applyFill="1" applyBorder="1"/>
    <xf numFmtId="0" fontId="7230" fillId="7235" borderId="7182" xfId="0" applyFont="1" applyFill="1" applyBorder="1"/>
    <xf numFmtId="0" fontId="7231" fillId="7236" borderId="7183" xfId="0" applyFont="1" applyFill="1" applyBorder="1"/>
    <xf numFmtId="0" fontId="7232" fillId="7237" borderId="7184" xfId="0" applyFont="1" applyFill="1" applyBorder="1"/>
    <xf numFmtId="0" fontId="7233" fillId="7238" borderId="7185" xfId="0" applyFont="1" applyFill="1" applyBorder="1"/>
    <xf numFmtId="14" fontId="7234" fillId="7239" borderId="7186" xfId="0" applyNumberFormat="1" applyFont="1" applyFill="1" applyBorder="1"/>
    <xf numFmtId="14" fontId="7235" fillId="7240" borderId="7187" xfId="0" applyNumberFormat="1" applyFont="1" applyFill="1" applyBorder="1"/>
    <xf numFmtId="0" fontId="7236" fillId="7241" borderId="7188" xfId="0" applyFont="1" applyFill="1" applyBorder="1"/>
    <xf numFmtId="14" fontId="7237" fillId="7242" borderId="7189" xfId="0" applyNumberFormat="1" applyFont="1" applyFill="1" applyBorder="1"/>
    <xf numFmtId="0" fontId="7238" fillId="7243" borderId="7190" xfId="0" applyFont="1" applyFill="1" applyBorder="1"/>
    <xf numFmtId="0" fontId="7239" fillId="7244" borderId="7191" xfId="0" applyFont="1" applyFill="1" applyBorder="1"/>
    <xf numFmtId="0" fontId="7240" fillId="7245" borderId="7192" xfId="0" applyFont="1" applyFill="1" applyBorder="1"/>
    <xf numFmtId="0" fontId="7241" fillId="7246" borderId="7193" xfId="0" applyFont="1" applyFill="1" applyBorder="1"/>
    <xf numFmtId="0" fontId="7242" fillId="7247" borderId="7194" xfId="0" applyFont="1" applyFill="1" applyBorder="1"/>
    <xf numFmtId="0" fontId="7243" fillId="7248" borderId="7195" xfId="0" applyFont="1" applyFill="1" applyBorder="1"/>
    <xf numFmtId="14" fontId="7244" fillId="7249" borderId="7196" xfId="0" applyNumberFormat="1" applyFont="1" applyFill="1" applyBorder="1"/>
    <xf numFmtId="14" fontId="7245" fillId="7250" borderId="7197" xfId="0" applyNumberFormat="1" applyFont="1" applyFill="1" applyBorder="1"/>
    <xf numFmtId="0" fontId="7246" fillId="7251" borderId="7198" xfId="0" applyFont="1" applyFill="1" applyBorder="1"/>
    <xf numFmtId="14" fontId="7247" fillId="7252" borderId="7199" xfId="0" applyNumberFormat="1" applyFont="1" applyFill="1" applyBorder="1"/>
    <xf numFmtId="0" fontId="7248" fillId="7253" borderId="7200" xfId="0" applyFont="1" applyFill="1" applyBorder="1"/>
    <xf numFmtId="0" fontId="7249" fillId="7254" borderId="7201" xfId="0" applyFont="1" applyFill="1" applyBorder="1"/>
    <xf numFmtId="0" fontId="7250" fillId="7255" borderId="7202" xfId="0" applyFont="1" applyFill="1" applyBorder="1"/>
    <xf numFmtId="0" fontId="7251" fillId="7256" borderId="7203" xfId="0" applyFont="1" applyFill="1" applyBorder="1"/>
    <xf numFmtId="0" fontId="7252" fillId="7257" borderId="7204" xfId="0" applyFont="1" applyFill="1" applyBorder="1"/>
    <xf numFmtId="0" fontId="7253" fillId="7258" borderId="7205" xfId="0" applyFont="1" applyFill="1" applyBorder="1"/>
    <xf numFmtId="14" fontId="7254" fillId="7259" borderId="7206" xfId="0" applyNumberFormat="1" applyFont="1" applyFill="1" applyBorder="1"/>
    <xf numFmtId="14" fontId="7255" fillId="7260" borderId="7207" xfId="0" applyNumberFormat="1" applyFont="1" applyFill="1" applyBorder="1"/>
    <xf numFmtId="0" fontId="7256" fillId="7261" borderId="7208" xfId="0" applyFont="1" applyFill="1" applyBorder="1"/>
    <xf numFmtId="14" fontId="7257" fillId="7262" borderId="7209" xfId="0" applyNumberFormat="1" applyFont="1" applyFill="1" applyBorder="1"/>
    <xf numFmtId="0" fontId="7258" fillId="7263" borderId="7210" xfId="0" applyFont="1" applyFill="1" applyBorder="1"/>
    <xf numFmtId="0" fontId="7259" fillId="7264" borderId="7211" xfId="0" applyFont="1" applyFill="1" applyBorder="1"/>
    <xf numFmtId="0" fontId="7260" fillId="7265" borderId="7212" xfId="0" applyFont="1" applyFill="1" applyBorder="1"/>
    <xf numFmtId="0" fontId="7261" fillId="7266" borderId="7213" xfId="0" applyFont="1" applyFill="1" applyBorder="1"/>
    <xf numFmtId="0" fontId="7262" fillId="7267" borderId="7214" xfId="0" applyFont="1" applyFill="1" applyBorder="1"/>
    <xf numFmtId="0" fontId="7263" fillId="7268" borderId="7215" xfId="0" applyFont="1" applyFill="1" applyBorder="1"/>
    <xf numFmtId="14" fontId="7264" fillId="7269" borderId="7216" xfId="0" applyNumberFormat="1" applyFont="1" applyFill="1" applyBorder="1"/>
    <xf numFmtId="14" fontId="7265" fillId="7270" borderId="7217" xfId="0" applyNumberFormat="1" applyFont="1" applyFill="1" applyBorder="1"/>
    <xf numFmtId="0" fontId="7266" fillId="7271" borderId="7218" xfId="0" applyFont="1" applyFill="1" applyBorder="1"/>
    <xf numFmtId="14" fontId="7267" fillId="7272" borderId="7219" xfId="0" applyNumberFormat="1" applyFont="1" applyFill="1" applyBorder="1"/>
    <xf numFmtId="0" fontId="7268" fillId="7273" borderId="7220" xfId="0" applyFont="1" applyFill="1" applyBorder="1"/>
    <xf numFmtId="0" fontId="7269" fillId="7274" borderId="7221" xfId="0" applyFont="1" applyFill="1" applyBorder="1"/>
    <xf numFmtId="0" fontId="7270" fillId="7275" borderId="7222" xfId="0" applyFont="1" applyFill="1" applyBorder="1"/>
    <xf numFmtId="0" fontId="7271" fillId="7276" borderId="7223" xfId="0" applyFont="1" applyFill="1" applyBorder="1"/>
    <xf numFmtId="0" fontId="7272" fillId="7277" borderId="7224" xfId="0" applyFont="1" applyFill="1" applyBorder="1"/>
    <xf numFmtId="0" fontId="7273" fillId="7278" borderId="7225" xfId="0" applyFont="1" applyFill="1" applyBorder="1"/>
    <xf numFmtId="14" fontId="7274" fillId="7279" borderId="7226" xfId="0" applyNumberFormat="1" applyFont="1" applyFill="1" applyBorder="1"/>
    <xf numFmtId="14" fontId="7275" fillId="7280" borderId="7227" xfId="0" applyNumberFormat="1" applyFont="1" applyFill="1" applyBorder="1"/>
    <xf numFmtId="0" fontId="7276" fillId="7281" borderId="7228" xfId="0" applyFont="1" applyFill="1" applyBorder="1"/>
    <xf numFmtId="14" fontId="7277" fillId="7282" borderId="7229" xfId="0" applyNumberFormat="1" applyFont="1" applyFill="1" applyBorder="1"/>
    <xf numFmtId="0" fontId="7278" fillId="7283" borderId="7230" xfId="0" applyFont="1" applyFill="1" applyBorder="1"/>
    <xf numFmtId="0" fontId="7279" fillId="7284" borderId="7231" xfId="0" applyFont="1" applyFill="1" applyBorder="1"/>
    <xf numFmtId="0" fontId="7280" fillId="7285" borderId="7232" xfId="0" applyFont="1" applyFill="1" applyBorder="1"/>
    <xf numFmtId="0" fontId="7281" fillId="7286" borderId="7233" xfId="0" applyFont="1" applyFill="1" applyBorder="1"/>
    <xf numFmtId="0" fontId="7282" fillId="7287" borderId="7234" xfId="0" applyFont="1" applyFill="1" applyBorder="1"/>
    <xf numFmtId="0" fontId="7283" fillId="7288" borderId="7235" xfId="0" applyFont="1" applyFill="1" applyBorder="1"/>
    <xf numFmtId="14" fontId="7284" fillId="7289" borderId="7236" xfId="0" applyNumberFormat="1" applyFont="1" applyFill="1" applyBorder="1"/>
    <xf numFmtId="14" fontId="7285" fillId="7290" borderId="7237" xfId="0" applyNumberFormat="1" applyFont="1" applyFill="1" applyBorder="1"/>
    <xf numFmtId="0" fontId="7286" fillId="7291" borderId="7238" xfId="0" applyFont="1" applyFill="1" applyBorder="1"/>
    <xf numFmtId="14" fontId="7287" fillId="7292" borderId="7239" xfId="0" applyNumberFormat="1" applyFont="1" applyFill="1" applyBorder="1"/>
    <xf numFmtId="0" fontId="7288" fillId="7293" borderId="7240" xfId="0" applyFont="1" applyFill="1" applyBorder="1"/>
    <xf numFmtId="0" fontId="7289" fillId="7294" borderId="7241" xfId="0" applyFont="1" applyFill="1" applyBorder="1"/>
    <xf numFmtId="0" fontId="7290" fillId="7295" borderId="7242" xfId="0" applyFont="1" applyFill="1" applyBorder="1"/>
    <xf numFmtId="0" fontId="7291" fillId="7296" borderId="7243" xfId="0" applyFont="1" applyFill="1" applyBorder="1"/>
    <xf numFmtId="0" fontId="7292" fillId="7297" borderId="7244" xfId="0" applyFont="1" applyFill="1" applyBorder="1"/>
    <xf numFmtId="0" fontId="7293" fillId="7298" borderId="7245" xfId="0" applyFont="1" applyFill="1" applyBorder="1"/>
    <xf numFmtId="14" fontId="7294" fillId="7299" borderId="7246" xfId="0" applyNumberFormat="1" applyFont="1" applyFill="1" applyBorder="1"/>
    <xf numFmtId="14" fontId="7295" fillId="7300" borderId="7247" xfId="0" applyNumberFormat="1" applyFont="1" applyFill="1" applyBorder="1"/>
    <xf numFmtId="0" fontId="7296" fillId="7301" borderId="7248" xfId="0" applyFont="1" applyFill="1" applyBorder="1"/>
    <xf numFmtId="14" fontId="7297" fillId="7302" borderId="7249" xfId="0" applyNumberFormat="1" applyFont="1" applyFill="1" applyBorder="1"/>
    <xf numFmtId="0" fontId="7298" fillId="7303" borderId="7250" xfId="0" applyFont="1" applyFill="1" applyBorder="1"/>
    <xf numFmtId="0" fontId="7299" fillId="7304" borderId="7251" xfId="0" applyFont="1" applyFill="1" applyBorder="1"/>
    <xf numFmtId="0" fontId="7300" fillId="7305" borderId="7252" xfId="0" applyFont="1" applyFill="1" applyBorder="1"/>
    <xf numFmtId="0" fontId="7301" fillId="7306" borderId="7253" xfId="0" applyFont="1" applyFill="1" applyBorder="1"/>
    <xf numFmtId="0" fontId="7302" fillId="7307" borderId="7254" xfId="0" applyFont="1" applyFill="1" applyBorder="1"/>
    <xf numFmtId="0" fontId="7303" fillId="7308" borderId="7255" xfId="0" applyFont="1" applyFill="1" applyBorder="1"/>
    <xf numFmtId="14" fontId="7304" fillId="7309" borderId="7256" xfId="0" applyNumberFormat="1" applyFont="1" applyFill="1" applyBorder="1"/>
    <xf numFmtId="14" fontId="7305" fillId="7310" borderId="7257" xfId="0" applyNumberFormat="1" applyFont="1" applyFill="1" applyBorder="1"/>
    <xf numFmtId="0" fontId="7306" fillId="7311" borderId="7258" xfId="0" applyFont="1" applyFill="1" applyBorder="1"/>
    <xf numFmtId="14" fontId="7307" fillId="7312" borderId="7259" xfId="0" applyNumberFormat="1" applyFont="1" applyFill="1" applyBorder="1"/>
    <xf numFmtId="0" fontId="7308" fillId="7313" borderId="7260" xfId="0" applyFont="1" applyFill="1" applyBorder="1"/>
    <xf numFmtId="0" fontId="7309" fillId="7314" borderId="7261" xfId="0" applyFont="1" applyFill="1" applyBorder="1"/>
    <xf numFmtId="0" fontId="7310" fillId="7315" borderId="7262" xfId="0" applyFont="1" applyFill="1" applyBorder="1"/>
    <xf numFmtId="0" fontId="7311" fillId="7316" borderId="7263" xfId="0" applyFont="1" applyFill="1" applyBorder="1"/>
    <xf numFmtId="0" fontId="7312" fillId="7317" borderId="7264" xfId="0" applyFont="1" applyFill="1" applyBorder="1"/>
    <xf numFmtId="0" fontId="7313" fillId="7318" borderId="7265" xfId="0" applyFont="1" applyFill="1" applyBorder="1"/>
    <xf numFmtId="14" fontId="7314" fillId="7319" borderId="7266" xfId="0" applyNumberFormat="1" applyFont="1" applyFill="1" applyBorder="1"/>
    <xf numFmtId="14" fontId="7315" fillId="7320" borderId="7267" xfId="0" applyNumberFormat="1" applyFont="1" applyFill="1" applyBorder="1"/>
    <xf numFmtId="0" fontId="7316" fillId="7321" borderId="7268" xfId="0" applyFont="1" applyFill="1" applyBorder="1"/>
    <xf numFmtId="14" fontId="7317" fillId="7322" borderId="7269" xfId="0" applyNumberFormat="1" applyFont="1" applyFill="1" applyBorder="1"/>
    <xf numFmtId="0" fontId="7318" fillId="7323" borderId="7270" xfId="0" applyFont="1" applyFill="1" applyBorder="1"/>
    <xf numFmtId="0" fontId="7319" fillId="7324" borderId="7271" xfId="0" applyFont="1" applyFill="1" applyBorder="1"/>
    <xf numFmtId="0" fontId="7320" fillId="7325" borderId="7272" xfId="0" applyFont="1" applyFill="1" applyBorder="1"/>
    <xf numFmtId="0" fontId="7321" fillId="7326" borderId="7273" xfId="0" applyFont="1" applyFill="1" applyBorder="1"/>
    <xf numFmtId="0" fontId="7322" fillId="7327" borderId="7274" xfId="0" applyFont="1" applyFill="1" applyBorder="1"/>
    <xf numFmtId="0" fontId="7323" fillId="7328" borderId="7275" xfId="0" applyFont="1" applyFill="1" applyBorder="1"/>
    <xf numFmtId="14" fontId="7324" fillId="7329" borderId="7276" xfId="0" applyNumberFormat="1" applyFont="1" applyFill="1" applyBorder="1"/>
    <xf numFmtId="14" fontId="7325" fillId="7330" borderId="7277" xfId="0" applyNumberFormat="1" applyFont="1" applyFill="1" applyBorder="1"/>
    <xf numFmtId="0" fontId="7326" fillId="7331" borderId="7278" xfId="0" applyFont="1" applyFill="1" applyBorder="1"/>
    <xf numFmtId="14" fontId="7327" fillId="7332" borderId="7279" xfId="0" applyNumberFormat="1" applyFont="1" applyFill="1" applyBorder="1"/>
    <xf numFmtId="0" fontId="7328" fillId="7333" borderId="7280" xfId="0" applyFont="1" applyFill="1" applyBorder="1"/>
    <xf numFmtId="0" fontId="7329" fillId="7334" borderId="7281" xfId="0" applyFont="1" applyFill="1" applyBorder="1"/>
    <xf numFmtId="0" fontId="7330" fillId="7335" borderId="7282" xfId="0" applyFont="1" applyFill="1" applyBorder="1"/>
    <xf numFmtId="0" fontId="7331" fillId="7336" borderId="7283" xfId="0" applyFont="1" applyFill="1" applyBorder="1"/>
    <xf numFmtId="0" fontId="7332" fillId="7337" borderId="7284" xfId="0" applyFont="1" applyFill="1" applyBorder="1"/>
    <xf numFmtId="0" fontId="7333" fillId="7338" borderId="7285" xfId="0" applyFont="1" applyFill="1" applyBorder="1"/>
    <xf numFmtId="14" fontId="7334" fillId="7339" borderId="7286" xfId="0" applyNumberFormat="1" applyFont="1" applyFill="1" applyBorder="1"/>
    <xf numFmtId="14" fontId="7335" fillId="7340" borderId="7287" xfId="0" applyNumberFormat="1" applyFont="1" applyFill="1" applyBorder="1"/>
    <xf numFmtId="0" fontId="7336" fillId="7341" borderId="7288" xfId="0" applyFont="1" applyFill="1" applyBorder="1"/>
    <xf numFmtId="14" fontId="7337" fillId="7342" borderId="7289" xfId="0" applyNumberFormat="1" applyFont="1" applyFill="1" applyBorder="1"/>
    <xf numFmtId="0" fontId="7338" fillId="7343" borderId="7290" xfId="0" applyFont="1" applyFill="1" applyBorder="1"/>
    <xf numFmtId="0" fontId="7339" fillId="7344" borderId="7291" xfId="0" applyFont="1" applyFill="1" applyBorder="1"/>
    <xf numFmtId="0" fontId="7340" fillId="7345" borderId="7292" xfId="0" applyFont="1" applyFill="1" applyBorder="1"/>
    <xf numFmtId="0" fontId="7341" fillId="7346" borderId="7293" xfId="0" applyFont="1" applyFill="1" applyBorder="1"/>
    <xf numFmtId="0" fontId="7342" fillId="7347" borderId="7294" xfId="0" applyFont="1" applyFill="1" applyBorder="1"/>
    <xf numFmtId="0" fontId="7343" fillId="7348" borderId="7295" xfId="0" applyFont="1" applyFill="1" applyBorder="1"/>
    <xf numFmtId="14" fontId="7344" fillId="7349" borderId="7296" xfId="0" applyNumberFormat="1" applyFont="1" applyFill="1" applyBorder="1"/>
    <xf numFmtId="14" fontId="7345" fillId="7350" borderId="7297" xfId="0" applyNumberFormat="1" applyFont="1" applyFill="1" applyBorder="1"/>
    <xf numFmtId="0" fontId="7346" fillId="7351" borderId="7298" xfId="0" applyFont="1" applyFill="1" applyBorder="1"/>
    <xf numFmtId="14" fontId="7347" fillId="7352" borderId="7299" xfId="0" applyNumberFormat="1" applyFont="1" applyFill="1" applyBorder="1"/>
    <xf numFmtId="0" fontId="7348" fillId="7353" borderId="7300" xfId="0" applyFont="1" applyFill="1" applyBorder="1"/>
    <xf numFmtId="0" fontId="7349" fillId="7354" borderId="7301" xfId="0" applyFont="1" applyFill="1" applyBorder="1"/>
    <xf numFmtId="0" fontId="7350" fillId="7355" borderId="7302" xfId="0" applyFont="1" applyFill="1" applyBorder="1"/>
    <xf numFmtId="0" fontId="7351" fillId="7356" borderId="7303" xfId="0" applyFont="1" applyFill="1" applyBorder="1"/>
    <xf numFmtId="0" fontId="7352" fillId="7357" borderId="7304" xfId="0" applyFont="1" applyFill="1" applyBorder="1"/>
    <xf numFmtId="0" fontId="7353" fillId="7358" borderId="7305" xfId="0" applyFont="1" applyFill="1" applyBorder="1"/>
    <xf numFmtId="14" fontId="7354" fillId="7359" borderId="7306" xfId="0" applyNumberFormat="1" applyFont="1" applyFill="1" applyBorder="1"/>
    <xf numFmtId="14" fontId="7355" fillId="7360" borderId="7307" xfId="0" applyNumberFormat="1" applyFont="1" applyFill="1" applyBorder="1"/>
    <xf numFmtId="0" fontId="7356" fillId="7361" borderId="7308" xfId="0" applyFont="1" applyFill="1" applyBorder="1"/>
    <xf numFmtId="14" fontId="7357" fillId="7362" borderId="7309" xfId="0" applyNumberFormat="1" applyFont="1" applyFill="1" applyBorder="1"/>
    <xf numFmtId="0" fontId="7358" fillId="7363" borderId="7310" xfId="0" applyFont="1" applyFill="1" applyBorder="1"/>
    <xf numFmtId="0" fontId="7359" fillId="7364" borderId="7311" xfId="0" applyFont="1" applyFill="1" applyBorder="1"/>
    <xf numFmtId="0" fontId="7360" fillId="7365" borderId="7312" xfId="0" applyFont="1" applyFill="1" applyBorder="1"/>
    <xf numFmtId="0" fontId="7361" fillId="7366" borderId="7313" xfId="0" applyFont="1" applyFill="1" applyBorder="1"/>
    <xf numFmtId="0" fontId="7362" fillId="7367" borderId="7314" xfId="0" applyFont="1" applyFill="1" applyBorder="1"/>
    <xf numFmtId="0" fontId="7363" fillId="7368" borderId="7315" xfId="0" applyFont="1" applyFill="1" applyBorder="1"/>
    <xf numFmtId="14" fontId="7364" fillId="7369" borderId="7316" xfId="0" applyNumberFormat="1" applyFont="1" applyFill="1" applyBorder="1"/>
    <xf numFmtId="14" fontId="7365" fillId="7370" borderId="7317" xfId="0" applyNumberFormat="1" applyFont="1" applyFill="1" applyBorder="1"/>
    <xf numFmtId="0" fontId="7366" fillId="7371" borderId="7318" xfId="0" applyFont="1" applyFill="1" applyBorder="1"/>
    <xf numFmtId="14" fontId="7367" fillId="7372" borderId="7319" xfId="0" applyNumberFormat="1" applyFont="1" applyFill="1" applyBorder="1"/>
    <xf numFmtId="0" fontId="7368" fillId="7373" borderId="7320" xfId="0" applyFont="1" applyFill="1" applyBorder="1"/>
    <xf numFmtId="0" fontId="7369" fillId="7374" borderId="7321" xfId="0" applyFont="1" applyFill="1" applyBorder="1"/>
    <xf numFmtId="0" fontId="7370" fillId="7375" borderId="7322" xfId="0" applyFont="1" applyFill="1" applyBorder="1"/>
    <xf numFmtId="0" fontId="7371" fillId="7376" borderId="7323" xfId="0" applyFont="1" applyFill="1" applyBorder="1"/>
    <xf numFmtId="0" fontId="7372" fillId="7377" borderId="7324" xfId="0" applyFont="1" applyFill="1" applyBorder="1"/>
    <xf numFmtId="0" fontId="7373" fillId="7378" borderId="7325" xfId="0" applyFont="1" applyFill="1" applyBorder="1"/>
    <xf numFmtId="14" fontId="7374" fillId="7379" borderId="7326" xfId="0" applyNumberFormat="1" applyFont="1" applyFill="1" applyBorder="1"/>
    <xf numFmtId="14" fontId="7375" fillId="7380" borderId="7327" xfId="0" applyNumberFormat="1" applyFont="1" applyFill="1" applyBorder="1"/>
    <xf numFmtId="0" fontId="7376" fillId="7381" borderId="7328" xfId="0" applyFont="1" applyFill="1" applyBorder="1"/>
    <xf numFmtId="14" fontId="7377" fillId="7382" borderId="7329" xfId="0" applyNumberFormat="1" applyFont="1" applyFill="1" applyBorder="1"/>
    <xf numFmtId="0" fontId="7378" fillId="7383" borderId="7330" xfId="0" applyFont="1" applyFill="1" applyBorder="1"/>
    <xf numFmtId="0" fontId="7379" fillId="7384" borderId="7331" xfId="0" applyFont="1" applyFill="1" applyBorder="1"/>
    <xf numFmtId="0" fontId="7380" fillId="7385" borderId="7332" xfId="0" applyFont="1" applyFill="1" applyBorder="1"/>
    <xf numFmtId="0" fontId="7381" fillId="7386" borderId="7333" xfId="0" applyFont="1" applyFill="1" applyBorder="1"/>
    <xf numFmtId="0" fontId="7382" fillId="7387" borderId="7334" xfId="0" applyFont="1" applyFill="1" applyBorder="1"/>
    <xf numFmtId="0" fontId="7383" fillId="7388" borderId="7335" xfId="0" applyFont="1" applyFill="1" applyBorder="1"/>
    <xf numFmtId="14" fontId="7384" fillId="7389" borderId="7336" xfId="0" applyNumberFormat="1" applyFont="1" applyFill="1" applyBorder="1"/>
    <xf numFmtId="14" fontId="7385" fillId="7390" borderId="7337" xfId="0" applyNumberFormat="1" applyFont="1" applyFill="1" applyBorder="1"/>
    <xf numFmtId="0" fontId="7386" fillId="7391" borderId="7338" xfId="0" applyFont="1" applyFill="1" applyBorder="1"/>
    <xf numFmtId="14" fontId="7387" fillId="7392" borderId="7339" xfId="0" applyNumberFormat="1" applyFont="1" applyFill="1" applyBorder="1"/>
    <xf numFmtId="0" fontId="7388" fillId="7393" borderId="7340" xfId="0" applyFont="1" applyFill="1" applyBorder="1"/>
    <xf numFmtId="0" fontId="7389" fillId="7394" borderId="7341" xfId="0" applyFont="1" applyFill="1" applyBorder="1"/>
    <xf numFmtId="0" fontId="7390" fillId="7395" borderId="7342" xfId="0" applyFont="1" applyFill="1" applyBorder="1"/>
    <xf numFmtId="0" fontId="7391" fillId="7396" borderId="7343" xfId="0" applyFont="1" applyFill="1" applyBorder="1"/>
    <xf numFmtId="0" fontId="7392" fillId="7397" borderId="7344" xfId="0" applyFont="1" applyFill="1" applyBorder="1"/>
    <xf numFmtId="0" fontId="7393" fillId="7398" borderId="7345" xfId="0" applyFont="1" applyFill="1" applyBorder="1"/>
    <xf numFmtId="14" fontId="7394" fillId="7399" borderId="7346" xfId="0" applyNumberFormat="1" applyFont="1" applyFill="1" applyBorder="1"/>
    <xf numFmtId="14" fontId="7395" fillId="7400" borderId="7347" xfId="0" applyNumberFormat="1" applyFont="1" applyFill="1" applyBorder="1"/>
    <xf numFmtId="0" fontId="7396" fillId="7401" borderId="7348" xfId="0" applyFont="1" applyFill="1" applyBorder="1"/>
    <xf numFmtId="14" fontId="7397" fillId="7402" borderId="7349" xfId="0" applyNumberFormat="1" applyFont="1" applyFill="1" applyBorder="1"/>
    <xf numFmtId="0" fontId="7398" fillId="7403" borderId="7350" xfId="0" applyFont="1" applyFill="1" applyBorder="1"/>
    <xf numFmtId="0" fontId="7399" fillId="7404" borderId="7351" xfId="0" applyFont="1" applyFill="1" applyBorder="1"/>
    <xf numFmtId="0" fontId="7400" fillId="7405" borderId="7352" xfId="0" applyFont="1" applyFill="1" applyBorder="1"/>
    <xf numFmtId="0" fontId="7401" fillId="7406" borderId="7353" xfId="0" applyFont="1" applyFill="1" applyBorder="1"/>
    <xf numFmtId="0" fontId="7402" fillId="7407" borderId="7354" xfId="0" applyFont="1" applyFill="1" applyBorder="1"/>
    <xf numFmtId="0" fontId="7403" fillId="7408" borderId="7355" xfId="0" applyFont="1" applyFill="1" applyBorder="1"/>
    <xf numFmtId="14" fontId="7404" fillId="7409" borderId="7356" xfId="0" applyNumberFormat="1" applyFont="1" applyFill="1" applyBorder="1"/>
    <xf numFmtId="14" fontId="7405" fillId="7410" borderId="7357" xfId="0" applyNumberFormat="1" applyFont="1" applyFill="1" applyBorder="1"/>
    <xf numFmtId="0" fontId="7406" fillId="7411" borderId="7358" xfId="0" applyFont="1" applyFill="1" applyBorder="1"/>
    <xf numFmtId="14" fontId="7407" fillId="7412" borderId="7359" xfId="0" applyNumberFormat="1" applyFont="1" applyFill="1" applyBorder="1"/>
    <xf numFmtId="0" fontId="7408" fillId="7413" borderId="7360" xfId="0" applyFont="1" applyFill="1" applyBorder="1"/>
    <xf numFmtId="0" fontId="7409" fillId="7414" borderId="7361" xfId="0" applyFont="1" applyFill="1" applyBorder="1"/>
    <xf numFmtId="0" fontId="7410" fillId="7415" borderId="7362" xfId="0" applyFont="1" applyFill="1" applyBorder="1"/>
    <xf numFmtId="0" fontId="7411" fillId="7416" borderId="7363" xfId="0" applyFont="1" applyFill="1" applyBorder="1"/>
    <xf numFmtId="0" fontId="7412" fillId="7417" borderId="7364" xfId="0" applyFont="1" applyFill="1" applyBorder="1"/>
    <xf numFmtId="0" fontId="7413" fillId="7418" borderId="7365" xfId="0" applyFont="1" applyFill="1" applyBorder="1"/>
    <xf numFmtId="14" fontId="7414" fillId="7419" borderId="7366" xfId="0" applyNumberFormat="1" applyFont="1" applyFill="1" applyBorder="1"/>
    <xf numFmtId="14" fontId="7415" fillId="7420" borderId="7367" xfId="0" applyNumberFormat="1" applyFont="1" applyFill="1" applyBorder="1"/>
    <xf numFmtId="0" fontId="7416" fillId="7421" borderId="7368" xfId="0" applyFont="1" applyFill="1" applyBorder="1"/>
    <xf numFmtId="14" fontId="7417" fillId="7422" borderId="7369" xfId="0" applyNumberFormat="1" applyFont="1" applyFill="1" applyBorder="1"/>
    <xf numFmtId="0" fontId="7418" fillId="7423" borderId="7370" xfId="0" applyFont="1" applyFill="1" applyBorder="1"/>
    <xf numFmtId="0" fontId="7419" fillId="7424" borderId="7371" xfId="0" applyFont="1" applyFill="1" applyBorder="1"/>
    <xf numFmtId="0" fontId="7420" fillId="7425" borderId="7372" xfId="0" applyFont="1" applyFill="1" applyBorder="1"/>
    <xf numFmtId="0" fontId="7421" fillId="7426" borderId="7373" xfId="0" applyFont="1" applyFill="1" applyBorder="1"/>
    <xf numFmtId="0" fontId="7422" fillId="7427" borderId="7374" xfId="0" applyFont="1" applyFill="1" applyBorder="1"/>
    <xf numFmtId="0" fontId="7423" fillId="7428" borderId="7375" xfId="0" applyFont="1" applyFill="1" applyBorder="1"/>
    <xf numFmtId="14" fontId="7424" fillId="7429" borderId="7376" xfId="0" applyNumberFormat="1" applyFont="1" applyFill="1" applyBorder="1"/>
    <xf numFmtId="14" fontId="7425" fillId="7430" borderId="7377" xfId="0" applyNumberFormat="1" applyFont="1" applyFill="1" applyBorder="1"/>
    <xf numFmtId="0" fontId="7426" fillId="7431" borderId="7378" xfId="0" applyFont="1" applyFill="1" applyBorder="1"/>
    <xf numFmtId="14" fontId="7427" fillId="7432" borderId="7379" xfId="0" applyNumberFormat="1" applyFont="1" applyFill="1" applyBorder="1"/>
    <xf numFmtId="0" fontId="7428" fillId="7433" borderId="7380" xfId="0" applyFont="1" applyFill="1" applyBorder="1"/>
    <xf numFmtId="0" fontId="7429" fillId="7434" borderId="7381" xfId="0" applyFont="1" applyFill="1" applyBorder="1"/>
    <xf numFmtId="0" fontId="7430" fillId="7435" borderId="7382" xfId="0" applyFont="1" applyFill="1" applyBorder="1"/>
    <xf numFmtId="0" fontId="7431" fillId="7436" borderId="7383" xfId="0" applyFont="1" applyFill="1" applyBorder="1"/>
    <xf numFmtId="0" fontId="7432" fillId="7437" borderId="7384" xfId="0" applyFont="1" applyFill="1" applyBorder="1"/>
    <xf numFmtId="0" fontId="7433" fillId="7438" borderId="7385" xfId="0" applyFont="1" applyFill="1" applyBorder="1"/>
    <xf numFmtId="14" fontId="7434" fillId="7439" borderId="7386" xfId="0" applyNumberFormat="1" applyFont="1" applyFill="1" applyBorder="1"/>
    <xf numFmtId="14" fontId="7435" fillId="7440" borderId="7387" xfId="0" applyNumberFormat="1" applyFont="1" applyFill="1" applyBorder="1"/>
    <xf numFmtId="0" fontId="7436" fillId="7441" borderId="7388" xfId="0" applyFont="1" applyFill="1" applyBorder="1"/>
    <xf numFmtId="14" fontId="7437" fillId="7442" borderId="7389" xfId="0" applyNumberFormat="1" applyFont="1" applyFill="1" applyBorder="1"/>
    <xf numFmtId="0" fontId="7438" fillId="7443" borderId="7390" xfId="0" applyFont="1" applyFill="1" applyBorder="1"/>
    <xf numFmtId="0" fontId="7439" fillId="7444" borderId="7391" xfId="0" applyFont="1" applyFill="1" applyBorder="1"/>
    <xf numFmtId="0" fontId="7440" fillId="7445" borderId="7392" xfId="0" applyFont="1" applyFill="1" applyBorder="1"/>
    <xf numFmtId="0" fontId="7441" fillId="7446" borderId="7393" xfId="0" applyFont="1" applyFill="1" applyBorder="1"/>
    <xf numFmtId="0" fontId="7442" fillId="7447" borderId="7394" xfId="0" applyFont="1" applyFill="1" applyBorder="1"/>
    <xf numFmtId="0" fontId="7443" fillId="7448" borderId="7395" xfId="0" applyFont="1" applyFill="1" applyBorder="1"/>
    <xf numFmtId="14" fontId="7444" fillId="7449" borderId="7396" xfId="0" applyNumberFormat="1" applyFont="1" applyFill="1" applyBorder="1"/>
    <xf numFmtId="14" fontId="7445" fillId="7450" borderId="7397" xfId="0" applyNumberFormat="1" applyFont="1" applyFill="1" applyBorder="1"/>
    <xf numFmtId="0" fontId="7446" fillId="7451" borderId="7398" xfId="0" applyFont="1" applyFill="1" applyBorder="1"/>
    <xf numFmtId="14" fontId="7447" fillId="7452" borderId="7399" xfId="0" applyNumberFormat="1" applyFont="1" applyFill="1" applyBorder="1"/>
    <xf numFmtId="0" fontId="7448" fillId="7453" borderId="7400" xfId="0" applyFont="1" applyFill="1" applyBorder="1"/>
    <xf numFmtId="0" fontId="7449" fillId="7454" borderId="7401" xfId="0" applyFont="1" applyFill="1" applyBorder="1"/>
    <xf numFmtId="0" fontId="7450" fillId="7455" borderId="7402" xfId="0" applyFont="1" applyFill="1" applyBorder="1"/>
    <xf numFmtId="0" fontId="7451" fillId="7456" borderId="7403" xfId="0" applyFont="1" applyFill="1" applyBorder="1"/>
    <xf numFmtId="0" fontId="7452" fillId="7457" borderId="7404" xfId="0" applyFont="1" applyFill="1" applyBorder="1"/>
    <xf numFmtId="0" fontId="7453" fillId="7458" borderId="7405" xfId="0" applyFont="1" applyFill="1" applyBorder="1"/>
    <xf numFmtId="14" fontId="7454" fillId="7459" borderId="7406" xfId="0" applyNumberFormat="1" applyFont="1" applyFill="1" applyBorder="1"/>
    <xf numFmtId="14" fontId="7455" fillId="7460" borderId="7407" xfId="0" applyNumberFormat="1" applyFont="1" applyFill="1" applyBorder="1"/>
    <xf numFmtId="0" fontId="7456" fillId="7461" borderId="7408" xfId="0" applyFont="1" applyFill="1" applyBorder="1"/>
    <xf numFmtId="14" fontId="7457" fillId="7462" borderId="7409" xfId="0" applyNumberFormat="1" applyFont="1" applyFill="1" applyBorder="1"/>
    <xf numFmtId="0" fontId="7458" fillId="7463" borderId="7410" xfId="0" applyFont="1" applyFill="1" applyBorder="1"/>
    <xf numFmtId="0" fontId="7459" fillId="7464" borderId="7411" xfId="0" applyFont="1" applyFill="1" applyBorder="1"/>
    <xf numFmtId="0" fontId="7460" fillId="7465" borderId="7412" xfId="0" applyFont="1" applyFill="1" applyBorder="1"/>
    <xf numFmtId="0" fontId="7461" fillId="7466" borderId="7413" xfId="0" applyFont="1" applyFill="1" applyBorder="1"/>
    <xf numFmtId="0" fontId="7462" fillId="7467" borderId="7414" xfId="0" applyFont="1" applyFill="1" applyBorder="1"/>
    <xf numFmtId="0" fontId="7463" fillId="7468" borderId="7415" xfId="0" applyFont="1" applyFill="1" applyBorder="1"/>
    <xf numFmtId="14" fontId="7464" fillId="7469" borderId="7416" xfId="0" applyNumberFormat="1" applyFont="1" applyFill="1" applyBorder="1"/>
    <xf numFmtId="14" fontId="7465" fillId="7470" borderId="7417" xfId="0" applyNumberFormat="1" applyFont="1" applyFill="1" applyBorder="1"/>
    <xf numFmtId="0" fontId="7466" fillId="7471" borderId="7418" xfId="0" applyFont="1" applyFill="1" applyBorder="1"/>
    <xf numFmtId="14" fontId="7467" fillId="7472" borderId="7419" xfId="0" applyNumberFormat="1" applyFont="1" applyFill="1" applyBorder="1"/>
    <xf numFmtId="0" fontId="7468" fillId="7473" borderId="7420" xfId="0" applyFont="1" applyFill="1" applyBorder="1"/>
    <xf numFmtId="0" fontId="7469" fillId="7474" borderId="7421" xfId="0" applyFont="1" applyFill="1" applyBorder="1"/>
    <xf numFmtId="0" fontId="7470" fillId="7475" borderId="7422" xfId="0" applyFont="1" applyFill="1" applyBorder="1"/>
    <xf numFmtId="0" fontId="7471" fillId="7476" borderId="7423" xfId="0" applyFont="1" applyFill="1" applyBorder="1"/>
    <xf numFmtId="0" fontId="7472" fillId="7477" borderId="7424" xfId="0" applyFont="1" applyFill="1" applyBorder="1"/>
    <xf numFmtId="0" fontId="7473" fillId="7478" borderId="7425" xfId="0" applyFont="1" applyFill="1" applyBorder="1"/>
    <xf numFmtId="14" fontId="7474" fillId="7479" borderId="7426" xfId="0" applyNumberFormat="1" applyFont="1" applyFill="1" applyBorder="1"/>
    <xf numFmtId="14" fontId="7475" fillId="7480" borderId="7427" xfId="0" applyNumberFormat="1" applyFont="1" applyFill="1" applyBorder="1"/>
    <xf numFmtId="0" fontId="7476" fillId="7481" borderId="7428" xfId="0" applyFont="1" applyFill="1" applyBorder="1"/>
    <xf numFmtId="14" fontId="7477" fillId="7482" borderId="7429" xfId="0" applyNumberFormat="1" applyFont="1" applyFill="1" applyBorder="1"/>
    <xf numFmtId="0" fontId="7478" fillId="7483" borderId="7430" xfId="0" applyFont="1" applyFill="1" applyBorder="1"/>
    <xf numFmtId="0" fontId="7479" fillId="7484" borderId="7431" xfId="0" applyFont="1" applyFill="1" applyBorder="1"/>
    <xf numFmtId="0" fontId="7480" fillId="7485" borderId="7432" xfId="0" applyFont="1" applyFill="1" applyBorder="1"/>
    <xf numFmtId="0" fontId="7481" fillId="7486" borderId="7433" xfId="0" applyFont="1" applyFill="1" applyBorder="1"/>
    <xf numFmtId="0" fontId="7482" fillId="7487" borderId="7434" xfId="0" applyFont="1" applyFill="1" applyBorder="1"/>
    <xf numFmtId="0" fontId="7483" fillId="7488" borderId="7435" xfId="0" applyFont="1" applyFill="1" applyBorder="1"/>
    <xf numFmtId="14" fontId="7484" fillId="7489" borderId="7436" xfId="0" applyNumberFormat="1" applyFont="1" applyFill="1" applyBorder="1"/>
    <xf numFmtId="14" fontId="7485" fillId="7490" borderId="7437" xfId="0" applyNumberFormat="1" applyFont="1" applyFill="1" applyBorder="1"/>
    <xf numFmtId="0" fontId="7486" fillId="7491" borderId="7438" xfId="0" applyFont="1" applyFill="1" applyBorder="1"/>
    <xf numFmtId="14" fontId="7487" fillId="7492" borderId="7439" xfId="0" applyNumberFormat="1" applyFont="1" applyFill="1" applyBorder="1"/>
    <xf numFmtId="0" fontId="7488" fillId="7493" borderId="7440" xfId="0" applyFont="1" applyFill="1" applyBorder="1"/>
    <xf numFmtId="0" fontId="7489" fillId="7494" borderId="7441" xfId="0" applyFont="1" applyFill="1" applyBorder="1"/>
    <xf numFmtId="0" fontId="7490" fillId="7495" borderId="7442" xfId="0" applyFont="1" applyFill="1" applyBorder="1"/>
    <xf numFmtId="0" fontId="7491" fillId="7496" borderId="7443" xfId="0" applyFont="1" applyFill="1" applyBorder="1"/>
    <xf numFmtId="0" fontId="7492" fillId="7497" borderId="7444" xfId="0" applyFont="1" applyFill="1" applyBorder="1"/>
    <xf numFmtId="0" fontId="7493" fillId="7498" borderId="7445" xfId="0" applyFont="1" applyFill="1" applyBorder="1"/>
    <xf numFmtId="14" fontId="7494" fillId="7499" borderId="7446" xfId="0" applyNumberFormat="1" applyFont="1" applyFill="1" applyBorder="1"/>
    <xf numFmtId="14" fontId="7495" fillId="7500" borderId="7447" xfId="0" applyNumberFormat="1" applyFont="1" applyFill="1" applyBorder="1"/>
    <xf numFmtId="0" fontId="7496" fillId="7501" borderId="7448" xfId="0" applyFont="1" applyFill="1" applyBorder="1"/>
    <xf numFmtId="14" fontId="7497" fillId="7502" borderId="7449" xfId="0" applyNumberFormat="1" applyFont="1" applyFill="1" applyBorder="1"/>
    <xf numFmtId="0" fontId="7498" fillId="7503" borderId="7450" xfId="0" applyFont="1" applyFill="1" applyBorder="1"/>
    <xf numFmtId="0" fontId="7499" fillId="7504" borderId="7451" xfId="0" applyFont="1" applyFill="1" applyBorder="1"/>
    <xf numFmtId="0" fontId="7500" fillId="7505" borderId="7452" xfId="0" applyFont="1" applyFill="1" applyBorder="1"/>
    <xf numFmtId="0" fontId="7501" fillId="7506" borderId="7453" xfId="0" applyFont="1" applyFill="1" applyBorder="1"/>
    <xf numFmtId="0" fontId="7502" fillId="7507" borderId="7454" xfId="0" applyFont="1" applyFill="1" applyBorder="1"/>
    <xf numFmtId="0" fontId="7503" fillId="7508" borderId="7455" xfId="0" applyFont="1" applyFill="1" applyBorder="1"/>
    <xf numFmtId="14" fontId="7504" fillId="7509" borderId="7456" xfId="0" applyNumberFormat="1" applyFont="1" applyFill="1" applyBorder="1"/>
    <xf numFmtId="14" fontId="7505" fillId="7510" borderId="7457" xfId="0" applyNumberFormat="1" applyFont="1" applyFill="1" applyBorder="1"/>
    <xf numFmtId="0" fontId="7506" fillId="7511" borderId="7458" xfId="0" applyFont="1" applyFill="1" applyBorder="1"/>
    <xf numFmtId="14" fontId="7507" fillId="7512" borderId="7459" xfId="0" applyNumberFormat="1" applyFont="1" applyFill="1" applyBorder="1"/>
    <xf numFmtId="0" fontId="7508" fillId="7513" borderId="7460" xfId="0" applyFont="1" applyFill="1" applyBorder="1"/>
    <xf numFmtId="0" fontId="7509" fillId="7514" borderId="7461" xfId="0" applyFont="1" applyFill="1" applyBorder="1"/>
    <xf numFmtId="0" fontId="7510" fillId="7515" borderId="7462" xfId="0" applyFont="1" applyFill="1" applyBorder="1"/>
    <xf numFmtId="0" fontId="7511" fillId="7516" borderId="7463" xfId="0" applyFont="1" applyFill="1" applyBorder="1"/>
    <xf numFmtId="0" fontId="7512" fillId="7517" borderId="7464" xfId="0" applyFont="1" applyFill="1" applyBorder="1"/>
    <xf numFmtId="0" fontId="7513" fillId="7518" borderId="7465" xfId="0" applyFont="1" applyFill="1" applyBorder="1"/>
    <xf numFmtId="14" fontId="7514" fillId="7519" borderId="7466" xfId="0" applyNumberFormat="1" applyFont="1" applyFill="1" applyBorder="1"/>
    <xf numFmtId="14" fontId="7515" fillId="7520" borderId="7467" xfId="0" applyNumberFormat="1" applyFont="1" applyFill="1" applyBorder="1"/>
    <xf numFmtId="0" fontId="7516" fillId="7521" borderId="7468" xfId="0" applyFont="1" applyFill="1" applyBorder="1"/>
    <xf numFmtId="14" fontId="7517" fillId="7522" borderId="7469" xfId="0" applyNumberFormat="1" applyFont="1" applyFill="1" applyBorder="1"/>
    <xf numFmtId="0" fontId="7518" fillId="7523" borderId="7470" xfId="0" applyFont="1" applyFill="1" applyBorder="1"/>
    <xf numFmtId="0" fontId="7519" fillId="7524" borderId="7471" xfId="0" applyFont="1" applyFill="1" applyBorder="1"/>
    <xf numFmtId="0" fontId="7520" fillId="7525" borderId="7472" xfId="0" applyFont="1" applyFill="1" applyBorder="1"/>
    <xf numFmtId="0" fontId="7521" fillId="7526" borderId="7473" xfId="0" applyFont="1" applyFill="1" applyBorder="1"/>
    <xf numFmtId="0" fontId="7522" fillId="7527" borderId="7474" xfId="0" applyFont="1" applyFill="1" applyBorder="1"/>
    <xf numFmtId="0" fontId="7523" fillId="7528" borderId="7475" xfId="0" applyFont="1" applyFill="1" applyBorder="1"/>
    <xf numFmtId="14" fontId="7524" fillId="7529" borderId="7476" xfId="0" applyNumberFormat="1" applyFont="1" applyFill="1" applyBorder="1"/>
    <xf numFmtId="14" fontId="7525" fillId="7530" borderId="7477" xfId="0" applyNumberFormat="1" applyFont="1" applyFill="1" applyBorder="1"/>
    <xf numFmtId="0" fontId="7526" fillId="7531" borderId="7478" xfId="0" applyFont="1" applyFill="1" applyBorder="1"/>
    <xf numFmtId="14" fontId="7527" fillId="7532" borderId="7479" xfId="0" applyNumberFormat="1" applyFont="1" applyFill="1" applyBorder="1"/>
    <xf numFmtId="0" fontId="7528" fillId="7533" borderId="7480" xfId="0" applyFont="1" applyFill="1" applyBorder="1"/>
    <xf numFmtId="0" fontId="7529" fillId="7534" borderId="7481" xfId="0" applyFont="1" applyFill="1" applyBorder="1"/>
    <xf numFmtId="0" fontId="7530" fillId="7535" borderId="7482" xfId="0" applyFont="1" applyFill="1" applyBorder="1"/>
    <xf numFmtId="0" fontId="7531" fillId="7536" borderId="7483" xfId="0" applyFont="1" applyFill="1" applyBorder="1"/>
    <xf numFmtId="0" fontId="7532" fillId="7537" borderId="7484" xfId="0" applyFont="1" applyFill="1" applyBorder="1"/>
    <xf numFmtId="0" fontId="7533" fillId="7538" borderId="7485" xfId="0" applyFont="1" applyFill="1" applyBorder="1"/>
    <xf numFmtId="14" fontId="7534" fillId="7539" borderId="7486" xfId="0" applyNumberFormat="1" applyFont="1" applyFill="1" applyBorder="1"/>
    <xf numFmtId="14" fontId="7535" fillId="7540" borderId="7487" xfId="0" applyNumberFormat="1" applyFont="1" applyFill="1" applyBorder="1"/>
    <xf numFmtId="0" fontId="7536" fillId="7541" borderId="7488" xfId="0" applyFont="1" applyFill="1" applyBorder="1"/>
    <xf numFmtId="14" fontId="7537" fillId="7542" borderId="7489" xfId="0" applyNumberFormat="1" applyFont="1" applyFill="1" applyBorder="1"/>
    <xf numFmtId="0" fontId="7538" fillId="7543" borderId="7490" xfId="0" applyFont="1" applyFill="1" applyBorder="1"/>
    <xf numFmtId="0" fontId="7539" fillId="7544" borderId="7491" xfId="0" applyFont="1" applyFill="1" applyBorder="1"/>
    <xf numFmtId="0" fontId="7540" fillId="7545" borderId="7492" xfId="0" applyFont="1" applyFill="1" applyBorder="1"/>
    <xf numFmtId="0" fontId="7541" fillId="7546" borderId="7493" xfId="0" applyFont="1" applyFill="1" applyBorder="1"/>
    <xf numFmtId="0" fontId="7542" fillId="7547" borderId="7494" xfId="0" applyFont="1" applyFill="1" applyBorder="1"/>
    <xf numFmtId="0" fontId="7543" fillId="7548" borderId="7495" xfId="0" applyFont="1" applyFill="1" applyBorder="1"/>
    <xf numFmtId="14" fontId="7544" fillId="7549" borderId="7496" xfId="0" applyNumberFormat="1" applyFont="1" applyFill="1" applyBorder="1"/>
    <xf numFmtId="14" fontId="7545" fillId="7550" borderId="7497" xfId="0" applyNumberFormat="1" applyFont="1" applyFill="1" applyBorder="1"/>
    <xf numFmtId="0" fontId="7546" fillId="7551" borderId="7498" xfId="0" applyFont="1" applyFill="1" applyBorder="1"/>
    <xf numFmtId="14" fontId="7547" fillId="7552" borderId="7499" xfId="0" applyNumberFormat="1" applyFont="1" applyFill="1" applyBorder="1"/>
    <xf numFmtId="0" fontId="7548" fillId="7553" borderId="7500" xfId="0" applyFont="1" applyFill="1" applyBorder="1"/>
    <xf numFmtId="0" fontId="7549" fillId="7554" borderId="7501" xfId="0" applyFont="1" applyFill="1" applyBorder="1"/>
    <xf numFmtId="0" fontId="7550" fillId="7555" borderId="7502" xfId="0" applyFont="1" applyFill="1" applyBorder="1"/>
    <xf numFmtId="0" fontId="7551" fillId="7556" borderId="7503" xfId="0" applyFont="1" applyFill="1" applyBorder="1"/>
    <xf numFmtId="0" fontId="7552" fillId="7557" borderId="7504" xfId="0" applyFont="1" applyFill="1" applyBorder="1"/>
    <xf numFmtId="0" fontId="7553" fillId="7558" borderId="7505" xfId="0" applyFont="1" applyFill="1" applyBorder="1"/>
    <xf numFmtId="14" fontId="7554" fillId="7559" borderId="7506" xfId="0" applyNumberFormat="1" applyFont="1" applyFill="1" applyBorder="1"/>
    <xf numFmtId="14" fontId="7555" fillId="7560" borderId="7507" xfId="0" applyNumberFormat="1" applyFont="1" applyFill="1" applyBorder="1"/>
    <xf numFmtId="0" fontId="7556" fillId="7561" borderId="7508" xfId="0" applyFont="1" applyFill="1" applyBorder="1"/>
    <xf numFmtId="14" fontId="7557" fillId="7562" borderId="7509" xfId="0" applyNumberFormat="1" applyFont="1" applyFill="1" applyBorder="1"/>
    <xf numFmtId="0" fontId="7558" fillId="7563" borderId="7510" xfId="0" applyFont="1" applyFill="1" applyBorder="1"/>
    <xf numFmtId="0" fontId="7559" fillId="7564" borderId="7511" xfId="0" applyFont="1" applyFill="1" applyBorder="1"/>
    <xf numFmtId="0" fontId="7560" fillId="7565" borderId="7512" xfId="0" applyFont="1" applyFill="1" applyBorder="1"/>
    <xf numFmtId="0" fontId="7561" fillId="7566" borderId="7513" xfId="0" applyFont="1" applyFill="1" applyBorder="1"/>
    <xf numFmtId="0" fontId="7562" fillId="7567" borderId="7514" xfId="0" applyFont="1" applyFill="1" applyBorder="1"/>
    <xf numFmtId="0" fontId="7563" fillId="7568" borderId="7515" xfId="0" applyFont="1" applyFill="1" applyBorder="1"/>
    <xf numFmtId="14" fontId="7564" fillId="7569" borderId="7516" xfId="0" applyNumberFormat="1" applyFont="1" applyFill="1" applyBorder="1"/>
    <xf numFmtId="14" fontId="7565" fillId="7570" borderId="7517" xfId="0" applyNumberFormat="1" applyFont="1" applyFill="1" applyBorder="1"/>
    <xf numFmtId="0" fontId="7566" fillId="7571" borderId="7518" xfId="0" applyFont="1" applyFill="1" applyBorder="1"/>
    <xf numFmtId="14" fontId="7567" fillId="7572" borderId="7519" xfId="0" applyNumberFormat="1" applyFont="1" applyFill="1" applyBorder="1"/>
    <xf numFmtId="0" fontId="7568" fillId="7573" borderId="7520" xfId="0" applyFont="1" applyFill="1" applyBorder="1"/>
    <xf numFmtId="0" fontId="7569" fillId="7574" borderId="7521" xfId="0" applyFont="1" applyFill="1" applyBorder="1"/>
    <xf numFmtId="0" fontId="7570" fillId="7575" borderId="7522" xfId="0" applyFont="1" applyFill="1" applyBorder="1"/>
    <xf numFmtId="0" fontId="7571" fillId="7576" borderId="7523" xfId="0" applyFont="1" applyFill="1" applyBorder="1"/>
    <xf numFmtId="0" fontId="7572" fillId="7577" borderId="7524" xfId="0" applyFont="1" applyFill="1" applyBorder="1"/>
    <xf numFmtId="0" fontId="7573" fillId="7578" borderId="7525" xfId="0" applyFont="1" applyFill="1" applyBorder="1"/>
    <xf numFmtId="14" fontId="7574" fillId="7579" borderId="7526" xfId="0" applyNumberFormat="1" applyFont="1" applyFill="1" applyBorder="1"/>
    <xf numFmtId="14" fontId="7575" fillId="7580" borderId="7527" xfId="0" applyNumberFormat="1" applyFont="1" applyFill="1" applyBorder="1"/>
    <xf numFmtId="0" fontId="7576" fillId="7581" borderId="7528" xfId="0" applyFont="1" applyFill="1" applyBorder="1"/>
    <xf numFmtId="14" fontId="7577" fillId="7582" borderId="7529" xfId="0" applyNumberFormat="1" applyFont="1" applyFill="1" applyBorder="1"/>
    <xf numFmtId="0" fontId="7578" fillId="7583" borderId="7530" xfId="0" applyFont="1" applyFill="1" applyBorder="1"/>
    <xf numFmtId="0" fontId="7579" fillId="7584" borderId="7531" xfId="0" applyFont="1" applyFill="1" applyBorder="1"/>
    <xf numFmtId="0" fontId="7580" fillId="7585" borderId="7532" xfId="0" applyFont="1" applyFill="1" applyBorder="1"/>
    <xf numFmtId="0" fontId="7581" fillId="7586" borderId="7533" xfId="0" applyFont="1" applyFill="1" applyBorder="1"/>
    <xf numFmtId="0" fontId="7582" fillId="7587" borderId="7534" xfId="0" applyFont="1" applyFill="1" applyBorder="1"/>
    <xf numFmtId="0" fontId="7583" fillId="7588" borderId="7535" xfId="0" applyFont="1" applyFill="1" applyBorder="1"/>
    <xf numFmtId="14" fontId="7584" fillId="7589" borderId="7536" xfId="0" applyNumberFormat="1" applyFont="1" applyFill="1" applyBorder="1"/>
    <xf numFmtId="14" fontId="7585" fillId="7590" borderId="7537" xfId="0" applyNumberFormat="1" applyFont="1" applyFill="1" applyBorder="1"/>
    <xf numFmtId="0" fontId="7586" fillId="7591" borderId="7538" xfId="0" applyFont="1" applyFill="1" applyBorder="1"/>
    <xf numFmtId="14" fontId="7587" fillId="7592" borderId="7539" xfId="0" applyNumberFormat="1" applyFont="1" applyFill="1" applyBorder="1"/>
    <xf numFmtId="0" fontId="7588" fillId="7593" borderId="7540" xfId="0" applyFont="1" applyFill="1" applyBorder="1"/>
    <xf numFmtId="0" fontId="7589" fillId="7594" borderId="7541" xfId="0" applyFont="1" applyFill="1" applyBorder="1"/>
    <xf numFmtId="0" fontId="7590" fillId="7595" borderId="7542" xfId="0" applyFont="1" applyFill="1" applyBorder="1"/>
    <xf numFmtId="0" fontId="7591" fillId="7596" borderId="7543" xfId="0" applyFont="1" applyFill="1" applyBorder="1"/>
    <xf numFmtId="0" fontId="7592" fillId="7597" borderId="7544" xfId="0" applyFont="1" applyFill="1" applyBorder="1"/>
    <xf numFmtId="0" fontId="7593" fillId="7598" borderId="7545" xfId="0" applyFont="1" applyFill="1" applyBorder="1"/>
    <xf numFmtId="14" fontId="7594" fillId="7599" borderId="7546" xfId="0" applyNumberFormat="1" applyFont="1" applyFill="1" applyBorder="1"/>
    <xf numFmtId="14" fontId="7595" fillId="7600" borderId="7547" xfId="0" applyNumberFormat="1" applyFont="1" applyFill="1" applyBorder="1"/>
    <xf numFmtId="0" fontId="7596" fillId="7601" borderId="7548" xfId="0" applyFont="1" applyFill="1" applyBorder="1"/>
    <xf numFmtId="14" fontId="7597" fillId="7602" borderId="7549" xfId="0" applyNumberFormat="1" applyFont="1" applyFill="1" applyBorder="1"/>
    <xf numFmtId="0" fontId="7598" fillId="7603" borderId="7550" xfId="0" applyFont="1" applyFill="1" applyBorder="1"/>
    <xf numFmtId="0" fontId="7599" fillId="7604" borderId="7551" xfId="0" applyFont="1" applyFill="1" applyBorder="1"/>
    <xf numFmtId="0" fontId="7600" fillId="7605" borderId="7552" xfId="0" applyFont="1" applyFill="1" applyBorder="1"/>
    <xf numFmtId="0" fontId="7601" fillId="7606" borderId="7553" xfId="0" applyFont="1" applyFill="1" applyBorder="1"/>
    <xf numFmtId="0" fontId="7602" fillId="7607" borderId="7554" xfId="0" applyFont="1" applyFill="1" applyBorder="1"/>
    <xf numFmtId="0" fontId="7603" fillId="7608" borderId="7555" xfId="0" applyFont="1" applyFill="1" applyBorder="1"/>
    <xf numFmtId="14" fontId="7604" fillId="7609" borderId="7556" xfId="0" applyNumberFormat="1" applyFont="1" applyFill="1" applyBorder="1"/>
    <xf numFmtId="14" fontId="7605" fillId="7610" borderId="7557" xfId="0" applyNumberFormat="1" applyFont="1" applyFill="1" applyBorder="1"/>
    <xf numFmtId="0" fontId="7606" fillId="7611" borderId="7558" xfId="0" applyFont="1" applyFill="1" applyBorder="1"/>
    <xf numFmtId="14" fontId="7607" fillId="7612" borderId="7559" xfId="0" applyNumberFormat="1" applyFont="1" applyFill="1" applyBorder="1"/>
    <xf numFmtId="0" fontId="7608" fillId="7613" borderId="7560" xfId="0" applyFont="1" applyFill="1" applyBorder="1"/>
    <xf numFmtId="0" fontId="7609" fillId="7614" borderId="7561" xfId="0" applyFont="1" applyFill="1" applyBorder="1"/>
    <xf numFmtId="0" fontId="7610" fillId="7615" borderId="7562" xfId="0" applyFont="1" applyFill="1" applyBorder="1"/>
    <xf numFmtId="0" fontId="7611" fillId="7616" borderId="7563" xfId="0" applyFont="1" applyFill="1" applyBorder="1"/>
    <xf numFmtId="0" fontId="7612" fillId="7617" borderId="7564" xfId="0" applyFont="1" applyFill="1" applyBorder="1"/>
    <xf numFmtId="0" fontId="7613" fillId="7618" borderId="7565" xfId="0" applyFont="1" applyFill="1" applyBorder="1"/>
    <xf numFmtId="14" fontId="7614" fillId="7619" borderId="7566" xfId="0" applyNumberFormat="1" applyFont="1" applyFill="1" applyBorder="1"/>
    <xf numFmtId="14" fontId="7615" fillId="7620" borderId="7567" xfId="0" applyNumberFormat="1" applyFont="1" applyFill="1" applyBorder="1"/>
    <xf numFmtId="0" fontId="7616" fillId="7621" borderId="7568" xfId="0" applyFont="1" applyFill="1" applyBorder="1"/>
    <xf numFmtId="14" fontId="7617" fillId="7622" borderId="7569" xfId="0" applyNumberFormat="1" applyFont="1" applyFill="1" applyBorder="1"/>
    <xf numFmtId="0" fontId="7618" fillId="7623" borderId="7570" xfId="0" applyFont="1" applyFill="1" applyBorder="1"/>
    <xf numFmtId="0" fontId="7619" fillId="7624" borderId="7571" xfId="0" applyFont="1" applyFill="1" applyBorder="1"/>
    <xf numFmtId="0" fontId="7620" fillId="7625" borderId="7572" xfId="0" applyFont="1" applyFill="1" applyBorder="1"/>
    <xf numFmtId="0" fontId="7621" fillId="7626" borderId="7573" xfId="0" applyFont="1" applyFill="1" applyBorder="1"/>
    <xf numFmtId="0" fontId="7622" fillId="7627" borderId="7574" xfId="0" applyFont="1" applyFill="1" applyBorder="1"/>
    <xf numFmtId="0" fontId="7623" fillId="7628" borderId="7575" xfId="0" applyFont="1" applyFill="1" applyBorder="1"/>
    <xf numFmtId="14" fontId="7624" fillId="7629" borderId="7576" xfId="0" applyNumberFormat="1" applyFont="1" applyFill="1" applyBorder="1"/>
    <xf numFmtId="14" fontId="7625" fillId="7630" borderId="7577" xfId="0" applyNumberFormat="1" applyFont="1" applyFill="1" applyBorder="1"/>
    <xf numFmtId="0" fontId="7626" fillId="7631" borderId="7578" xfId="0" applyFont="1" applyFill="1" applyBorder="1"/>
    <xf numFmtId="14" fontId="7627" fillId="7632" borderId="7579" xfId="0" applyNumberFormat="1" applyFont="1" applyFill="1" applyBorder="1"/>
    <xf numFmtId="0" fontId="7628" fillId="7633" borderId="7580" xfId="0" applyFont="1" applyFill="1" applyBorder="1"/>
    <xf numFmtId="0" fontId="7629" fillId="7634" borderId="7581" xfId="0" applyFont="1" applyFill="1" applyBorder="1"/>
    <xf numFmtId="0" fontId="7630" fillId="7635" borderId="7582" xfId="0" applyFont="1" applyFill="1" applyBorder="1"/>
    <xf numFmtId="0" fontId="7631" fillId="7636" borderId="7583" xfId="0" applyFont="1" applyFill="1" applyBorder="1"/>
    <xf numFmtId="0" fontId="7632" fillId="7637" borderId="7584" xfId="0" applyFont="1" applyFill="1" applyBorder="1"/>
    <xf numFmtId="0" fontId="7633" fillId="7638" borderId="7585" xfId="0" applyFont="1" applyFill="1" applyBorder="1"/>
    <xf numFmtId="14" fontId="7634" fillId="7639" borderId="7586" xfId="0" applyNumberFormat="1" applyFont="1" applyFill="1" applyBorder="1"/>
    <xf numFmtId="14" fontId="7635" fillId="7640" borderId="7587" xfId="0" applyNumberFormat="1" applyFont="1" applyFill="1" applyBorder="1"/>
    <xf numFmtId="0" fontId="7636" fillId="7641" borderId="7588" xfId="0" applyFont="1" applyFill="1" applyBorder="1"/>
    <xf numFmtId="14" fontId="7637" fillId="7642" borderId="7589" xfId="0" applyNumberFormat="1" applyFont="1" applyFill="1" applyBorder="1"/>
    <xf numFmtId="0" fontId="7638" fillId="7643" borderId="7590" xfId="0" applyFont="1" applyFill="1" applyBorder="1"/>
    <xf numFmtId="0" fontId="7639" fillId="7644" borderId="7591" xfId="0" applyFont="1" applyFill="1" applyBorder="1"/>
    <xf numFmtId="0" fontId="7640" fillId="7645" borderId="7592" xfId="0" applyFont="1" applyFill="1" applyBorder="1"/>
    <xf numFmtId="0" fontId="7641" fillId="7646" borderId="7593" xfId="0" applyFont="1" applyFill="1" applyBorder="1"/>
    <xf numFmtId="0" fontId="7642" fillId="7647" borderId="7594" xfId="0" applyFont="1" applyFill="1" applyBorder="1"/>
    <xf numFmtId="0" fontId="7643" fillId="7648" borderId="7595" xfId="0" applyFont="1" applyFill="1" applyBorder="1"/>
    <xf numFmtId="14" fontId="7644" fillId="7649" borderId="7596" xfId="0" applyNumberFormat="1" applyFont="1" applyFill="1" applyBorder="1"/>
    <xf numFmtId="14" fontId="7645" fillId="7650" borderId="7597" xfId="0" applyNumberFormat="1" applyFont="1" applyFill="1" applyBorder="1"/>
    <xf numFmtId="0" fontId="7646" fillId="7651" borderId="7598" xfId="0" applyFont="1" applyFill="1" applyBorder="1"/>
    <xf numFmtId="14" fontId="7647" fillId="7652" borderId="7599" xfId="0" applyNumberFormat="1" applyFont="1" applyFill="1" applyBorder="1"/>
    <xf numFmtId="0" fontId="7648" fillId="7653" borderId="7600" xfId="0" applyFont="1" applyFill="1" applyBorder="1"/>
    <xf numFmtId="0" fontId="7649" fillId="7654" borderId="7601" xfId="0" applyFont="1" applyFill="1" applyBorder="1"/>
    <xf numFmtId="0" fontId="7650" fillId="7655" borderId="7602" xfId="0" applyFont="1" applyFill="1" applyBorder="1"/>
    <xf numFmtId="0" fontId="7651" fillId="7656" borderId="7603" xfId="0" applyFont="1" applyFill="1" applyBorder="1"/>
    <xf numFmtId="0" fontId="7652" fillId="7657" borderId="7604" xfId="0" applyFont="1" applyFill="1" applyBorder="1"/>
    <xf numFmtId="0" fontId="7653" fillId="7658" borderId="7605" xfId="0" applyFont="1" applyFill="1" applyBorder="1"/>
    <xf numFmtId="14" fontId="7654" fillId="7659" borderId="7606" xfId="0" applyNumberFormat="1" applyFont="1" applyFill="1" applyBorder="1"/>
    <xf numFmtId="14" fontId="7655" fillId="7660" borderId="7607" xfId="0" applyNumberFormat="1" applyFont="1" applyFill="1" applyBorder="1"/>
    <xf numFmtId="0" fontId="7656" fillId="7661" borderId="7608" xfId="0" applyFont="1" applyFill="1" applyBorder="1"/>
    <xf numFmtId="14" fontId="7657" fillId="7662" borderId="7609" xfId="0" applyNumberFormat="1" applyFont="1" applyFill="1" applyBorder="1"/>
    <xf numFmtId="0" fontId="7658" fillId="7663" borderId="7610" xfId="0" applyFont="1" applyFill="1" applyBorder="1"/>
    <xf numFmtId="0" fontId="7659" fillId="7664" borderId="7611" xfId="0" applyFont="1" applyFill="1" applyBorder="1"/>
    <xf numFmtId="0" fontId="7660" fillId="7665" borderId="7612" xfId="0" applyFont="1" applyFill="1" applyBorder="1"/>
    <xf numFmtId="0" fontId="7661" fillId="7666" borderId="7613" xfId="0" applyFont="1" applyFill="1" applyBorder="1"/>
    <xf numFmtId="0" fontId="7662" fillId="7667" borderId="7614" xfId="0" applyFont="1" applyFill="1" applyBorder="1"/>
    <xf numFmtId="0" fontId="7663" fillId="7668" borderId="7615" xfId="0" applyFont="1" applyFill="1" applyBorder="1"/>
    <xf numFmtId="14" fontId="7664" fillId="7669" borderId="7616" xfId="0" applyNumberFormat="1" applyFont="1" applyFill="1" applyBorder="1"/>
    <xf numFmtId="14" fontId="7665" fillId="7670" borderId="7617" xfId="0" applyNumberFormat="1" applyFont="1" applyFill="1" applyBorder="1"/>
    <xf numFmtId="0" fontId="7666" fillId="7671" borderId="7618" xfId="0" applyFont="1" applyFill="1" applyBorder="1"/>
    <xf numFmtId="14" fontId="7667" fillId="7672" borderId="7619" xfId="0" applyNumberFormat="1" applyFont="1" applyFill="1" applyBorder="1"/>
    <xf numFmtId="0" fontId="7668" fillId="7673" borderId="7620" xfId="0" applyFont="1" applyFill="1" applyBorder="1"/>
    <xf numFmtId="0" fontId="7669" fillId="7674" borderId="7621" xfId="0" applyFont="1" applyFill="1" applyBorder="1"/>
    <xf numFmtId="0" fontId="7670" fillId="7675" borderId="7622" xfId="0" applyFont="1" applyFill="1" applyBorder="1"/>
    <xf numFmtId="0" fontId="7671" fillId="7676" borderId="7623" xfId="0" applyFont="1" applyFill="1" applyBorder="1"/>
    <xf numFmtId="0" fontId="7672" fillId="7677" borderId="7624" xfId="0" applyFont="1" applyFill="1" applyBorder="1"/>
    <xf numFmtId="0" fontId="7673" fillId="7678" borderId="7625" xfId="0" applyFont="1" applyFill="1" applyBorder="1"/>
    <xf numFmtId="14" fontId="7674" fillId="7679" borderId="7626" xfId="0" applyNumberFormat="1" applyFont="1" applyFill="1" applyBorder="1"/>
    <xf numFmtId="14" fontId="7675" fillId="7680" borderId="7627" xfId="0" applyNumberFormat="1" applyFont="1" applyFill="1" applyBorder="1"/>
    <xf numFmtId="0" fontId="7676" fillId="7681" borderId="7628" xfId="0" applyFont="1" applyFill="1" applyBorder="1"/>
    <xf numFmtId="14" fontId="7677" fillId="7682" borderId="7629" xfId="0" applyNumberFormat="1" applyFont="1" applyFill="1" applyBorder="1"/>
    <xf numFmtId="0" fontId="7678" fillId="7683" borderId="7630" xfId="0" applyFont="1" applyFill="1" applyBorder="1"/>
    <xf numFmtId="0" fontId="7679" fillId="7684" borderId="7631" xfId="0" applyFont="1" applyFill="1" applyBorder="1"/>
    <xf numFmtId="0" fontId="7680" fillId="7685" borderId="7632" xfId="0" applyFont="1" applyFill="1" applyBorder="1"/>
    <xf numFmtId="0" fontId="7681" fillId="7686" borderId="7633" xfId="0" applyFont="1" applyFill="1" applyBorder="1"/>
    <xf numFmtId="0" fontId="7682" fillId="7687" borderId="7634" xfId="0" applyFont="1" applyFill="1" applyBorder="1"/>
    <xf numFmtId="0" fontId="7683" fillId="7688" borderId="7635" xfId="0" applyFont="1" applyFill="1" applyBorder="1"/>
    <xf numFmtId="14" fontId="7684" fillId="7689" borderId="7636" xfId="0" applyNumberFormat="1" applyFont="1" applyFill="1" applyBorder="1"/>
    <xf numFmtId="14" fontId="7685" fillId="7690" borderId="7637" xfId="0" applyNumberFormat="1" applyFont="1" applyFill="1" applyBorder="1"/>
    <xf numFmtId="0" fontId="7686" fillId="7691" borderId="7638" xfId="0" applyFont="1" applyFill="1" applyBorder="1"/>
    <xf numFmtId="14" fontId="7687" fillId="7692" borderId="7639" xfId="0" applyNumberFormat="1" applyFont="1" applyFill="1" applyBorder="1"/>
    <xf numFmtId="0" fontId="7688" fillId="7693" borderId="7640" xfId="0" applyFont="1" applyFill="1" applyBorder="1"/>
    <xf numFmtId="0" fontId="7689" fillId="7694" borderId="7641" xfId="0" applyFont="1" applyFill="1" applyBorder="1"/>
    <xf numFmtId="0" fontId="7690" fillId="7695" borderId="7642" xfId="0" applyFont="1" applyFill="1" applyBorder="1"/>
    <xf numFmtId="0" fontId="7691" fillId="7696" borderId="7643" xfId="0" applyFont="1" applyFill="1" applyBorder="1"/>
    <xf numFmtId="0" fontId="7692" fillId="7697" borderId="7644" xfId="0" applyFont="1" applyFill="1" applyBorder="1"/>
    <xf numFmtId="0" fontId="7693" fillId="7698" borderId="7645" xfId="0" applyFont="1" applyFill="1" applyBorder="1"/>
    <xf numFmtId="14" fontId="7694" fillId="7699" borderId="7646" xfId="0" applyNumberFormat="1" applyFont="1" applyFill="1" applyBorder="1"/>
    <xf numFmtId="14" fontId="7695" fillId="7700" borderId="7647" xfId="0" applyNumberFormat="1" applyFont="1" applyFill="1" applyBorder="1"/>
    <xf numFmtId="0" fontId="7696" fillId="7701" borderId="7648" xfId="0" applyFont="1" applyFill="1" applyBorder="1"/>
    <xf numFmtId="14" fontId="7697" fillId="7702" borderId="7649" xfId="0" applyNumberFormat="1" applyFont="1" applyFill="1" applyBorder="1"/>
    <xf numFmtId="0" fontId="7698" fillId="7703" borderId="7650" xfId="0" applyFont="1" applyFill="1" applyBorder="1"/>
    <xf numFmtId="0" fontId="7699" fillId="7704" borderId="7651" xfId="0" applyFont="1" applyFill="1" applyBorder="1"/>
    <xf numFmtId="0" fontId="7700" fillId="7705" borderId="7652" xfId="0" applyFont="1" applyFill="1" applyBorder="1"/>
    <xf numFmtId="0" fontId="7701" fillId="7706" borderId="7653" xfId="0" applyFont="1" applyFill="1" applyBorder="1"/>
    <xf numFmtId="0" fontId="7702" fillId="7707" borderId="7654" xfId="0" applyFont="1" applyFill="1" applyBorder="1"/>
    <xf numFmtId="0" fontId="7703" fillId="7708" borderId="7655" xfId="0" applyFont="1" applyFill="1" applyBorder="1"/>
    <xf numFmtId="14" fontId="7704" fillId="7709" borderId="7656" xfId="0" applyNumberFormat="1" applyFont="1" applyFill="1" applyBorder="1"/>
    <xf numFmtId="14" fontId="7705" fillId="7710" borderId="7657" xfId="0" applyNumberFormat="1" applyFont="1" applyFill="1" applyBorder="1"/>
    <xf numFmtId="0" fontId="7706" fillId="7711" borderId="7658" xfId="0" applyFont="1" applyFill="1" applyBorder="1"/>
    <xf numFmtId="14" fontId="7707" fillId="7712" borderId="7659" xfId="0" applyNumberFormat="1" applyFont="1" applyFill="1" applyBorder="1"/>
    <xf numFmtId="0" fontId="7708" fillId="7713" borderId="7660" xfId="0" applyFont="1" applyFill="1" applyBorder="1"/>
    <xf numFmtId="0" fontId="7709" fillId="7714" borderId="7661" xfId="0" applyFont="1" applyFill="1" applyBorder="1"/>
    <xf numFmtId="0" fontId="7710" fillId="7715" borderId="7662" xfId="0" applyFont="1" applyFill="1" applyBorder="1"/>
    <xf numFmtId="0" fontId="7711" fillId="7716" borderId="7663" xfId="0" applyFont="1" applyFill="1" applyBorder="1"/>
    <xf numFmtId="0" fontId="7712" fillId="7717" borderId="7664" xfId="0" applyFont="1" applyFill="1" applyBorder="1"/>
    <xf numFmtId="0" fontId="7713" fillId="7718" borderId="7665" xfId="0" applyFont="1" applyFill="1" applyBorder="1"/>
    <xf numFmtId="14" fontId="7714" fillId="7719" borderId="7666" xfId="0" applyNumberFormat="1" applyFont="1" applyFill="1" applyBorder="1"/>
    <xf numFmtId="14" fontId="7715" fillId="7720" borderId="7667" xfId="0" applyNumberFormat="1" applyFont="1" applyFill="1" applyBorder="1"/>
    <xf numFmtId="0" fontId="7716" fillId="7721" borderId="7668" xfId="0" applyFont="1" applyFill="1" applyBorder="1"/>
    <xf numFmtId="14" fontId="7717" fillId="7722" borderId="7669" xfId="0" applyNumberFormat="1" applyFont="1" applyFill="1" applyBorder="1"/>
    <xf numFmtId="0" fontId="7718" fillId="7723" borderId="7670" xfId="0" applyFont="1" applyFill="1" applyBorder="1"/>
    <xf numFmtId="0" fontId="7719" fillId="7724" borderId="7671" xfId="0" applyFont="1" applyFill="1" applyBorder="1"/>
    <xf numFmtId="0" fontId="7720" fillId="7725" borderId="7672" xfId="0" applyFont="1" applyFill="1" applyBorder="1"/>
    <xf numFmtId="0" fontId="7721" fillId="7726" borderId="7673" xfId="0" applyFont="1" applyFill="1" applyBorder="1"/>
    <xf numFmtId="0" fontId="7722" fillId="7727" borderId="7674" xfId="0" applyFont="1" applyFill="1" applyBorder="1"/>
    <xf numFmtId="0" fontId="7723" fillId="7728" borderId="7675" xfId="0" applyFont="1" applyFill="1" applyBorder="1"/>
    <xf numFmtId="14" fontId="7724" fillId="7729" borderId="7676" xfId="0" applyNumberFormat="1" applyFont="1" applyFill="1" applyBorder="1"/>
    <xf numFmtId="14" fontId="7725" fillId="7730" borderId="7677" xfId="0" applyNumberFormat="1" applyFont="1" applyFill="1" applyBorder="1"/>
    <xf numFmtId="0" fontId="7726" fillId="7731" borderId="7678" xfId="0" applyFont="1" applyFill="1" applyBorder="1"/>
    <xf numFmtId="14" fontId="7727" fillId="7732" borderId="7679" xfId="0" applyNumberFormat="1" applyFont="1" applyFill="1" applyBorder="1"/>
    <xf numFmtId="0" fontId="7728" fillId="7733" borderId="7680" xfId="0" applyFont="1" applyFill="1" applyBorder="1"/>
    <xf numFmtId="0" fontId="7729" fillId="7734" borderId="7681" xfId="0" applyFont="1" applyFill="1" applyBorder="1"/>
    <xf numFmtId="0" fontId="7730" fillId="7735" borderId="7682" xfId="0" applyFont="1" applyFill="1" applyBorder="1"/>
    <xf numFmtId="0" fontId="7731" fillId="7736" borderId="7683" xfId="0" applyFont="1" applyFill="1" applyBorder="1"/>
    <xf numFmtId="0" fontId="7732" fillId="7737" borderId="7684" xfId="0" applyFont="1" applyFill="1" applyBorder="1"/>
    <xf numFmtId="0" fontId="7733" fillId="7738" borderId="7685" xfId="0" applyFont="1" applyFill="1" applyBorder="1"/>
    <xf numFmtId="14" fontId="7734" fillId="7739" borderId="7686" xfId="0" applyNumberFormat="1" applyFont="1" applyFill="1" applyBorder="1"/>
    <xf numFmtId="14" fontId="7735" fillId="7740" borderId="7687" xfId="0" applyNumberFormat="1" applyFont="1" applyFill="1" applyBorder="1"/>
    <xf numFmtId="0" fontId="7736" fillId="7741" borderId="7688" xfId="0" applyFont="1" applyFill="1" applyBorder="1"/>
    <xf numFmtId="14" fontId="7737" fillId="7742" borderId="7689" xfId="0" applyNumberFormat="1" applyFont="1" applyFill="1" applyBorder="1"/>
    <xf numFmtId="0" fontId="7738" fillId="7743" borderId="7690" xfId="0" applyFont="1" applyFill="1" applyBorder="1"/>
    <xf numFmtId="0" fontId="7739" fillId="7744" borderId="7691" xfId="0" applyFont="1" applyFill="1" applyBorder="1"/>
    <xf numFmtId="0" fontId="7740" fillId="7745" borderId="7692" xfId="0" applyFont="1" applyFill="1" applyBorder="1"/>
    <xf numFmtId="0" fontId="7741" fillId="7746" borderId="7693" xfId="0" applyFont="1" applyFill="1" applyBorder="1"/>
    <xf numFmtId="0" fontId="7742" fillId="7747" borderId="7694" xfId="0" applyFont="1" applyFill="1" applyBorder="1"/>
    <xf numFmtId="0" fontId="7743" fillId="7748" borderId="7695" xfId="0" applyFont="1" applyFill="1" applyBorder="1"/>
    <xf numFmtId="14" fontId="7744" fillId="7749" borderId="7696" xfId="0" applyNumberFormat="1" applyFont="1" applyFill="1" applyBorder="1"/>
    <xf numFmtId="14" fontId="7745" fillId="7750" borderId="7697" xfId="0" applyNumberFormat="1" applyFont="1" applyFill="1" applyBorder="1"/>
    <xf numFmtId="0" fontId="7746" fillId="7751" borderId="7698" xfId="0" applyFont="1" applyFill="1" applyBorder="1"/>
    <xf numFmtId="14" fontId="7747" fillId="7752" borderId="7699" xfId="0" applyNumberFormat="1" applyFont="1" applyFill="1" applyBorder="1"/>
    <xf numFmtId="0" fontId="7748" fillId="7753" borderId="7700" xfId="0" applyFont="1" applyFill="1" applyBorder="1"/>
    <xf numFmtId="0" fontId="7749" fillId="7754" borderId="7701" xfId="0" applyFont="1" applyFill="1" applyBorder="1"/>
    <xf numFmtId="0" fontId="7750" fillId="7755" borderId="7702" xfId="0" applyFont="1" applyFill="1" applyBorder="1"/>
    <xf numFmtId="0" fontId="7751" fillId="7756" borderId="7703" xfId="0" applyFont="1" applyFill="1" applyBorder="1"/>
    <xf numFmtId="0" fontId="7752" fillId="7757" borderId="7704" xfId="0" applyFont="1" applyFill="1" applyBorder="1"/>
    <xf numFmtId="0" fontId="7753" fillId="7758" borderId="7705" xfId="0" applyFont="1" applyFill="1" applyBorder="1"/>
    <xf numFmtId="14" fontId="7754" fillId="7759" borderId="7706" xfId="0" applyNumberFormat="1" applyFont="1" applyFill="1" applyBorder="1"/>
    <xf numFmtId="14" fontId="7755" fillId="7760" borderId="7707" xfId="0" applyNumberFormat="1" applyFont="1" applyFill="1" applyBorder="1"/>
    <xf numFmtId="0" fontId="7756" fillId="7761" borderId="7708" xfId="0" applyFont="1" applyFill="1" applyBorder="1"/>
    <xf numFmtId="14" fontId="7757" fillId="7762" borderId="7709" xfId="0" applyNumberFormat="1" applyFont="1" applyFill="1" applyBorder="1"/>
    <xf numFmtId="0" fontId="7758" fillId="7763" borderId="7710" xfId="0" applyFont="1" applyFill="1" applyBorder="1"/>
    <xf numFmtId="0" fontId="7759" fillId="7764" borderId="7711" xfId="0" applyFont="1" applyFill="1" applyBorder="1"/>
    <xf numFmtId="0" fontId="7760" fillId="7765" borderId="7712" xfId="0" applyFont="1" applyFill="1" applyBorder="1"/>
    <xf numFmtId="0" fontId="7761" fillId="7766" borderId="7713" xfId="0" applyFont="1" applyFill="1" applyBorder="1"/>
    <xf numFmtId="0" fontId="7762" fillId="7767" borderId="7714" xfId="0" applyFont="1" applyFill="1" applyBorder="1"/>
    <xf numFmtId="0" fontId="7763" fillId="7768" borderId="7715" xfId="0" applyFont="1" applyFill="1" applyBorder="1"/>
    <xf numFmtId="14" fontId="7764" fillId="7769" borderId="7716" xfId="0" applyNumberFormat="1" applyFont="1" applyFill="1" applyBorder="1"/>
    <xf numFmtId="14" fontId="7765" fillId="7770" borderId="7717" xfId="0" applyNumberFormat="1" applyFont="1" applyFill="1" applyBorder="1"/>
    <xf numFmtId="0" fontId="7766" fillId="7771" borderId="7718" xfId="0" applyFont="1" applyFill="1" applyBorder="1"/>
    <xf numFmtId="14" fontId="7767" fillId="7772" borderId="7719" xfId="0" applyNumberFormat="1" applyFont="1" applyFill="1" applyBorder="1"/>
    <xf numFmtId="0" fontId="7768" fillId="7773" borderId="7720" xfId="0" applyFont="1" applyFill="1" applyBorder="1"/>
    <xf numFmtId="0" fontId="7769" fillId="7774" borderId="7721" xfId="0" applyFont="1" applyFill="1" applyBorder="1"/>
    <xf numFmtId="0" fontId="7770" fillId="7775" borderId="7722" xfId="0" applyFont="1" applyFill="1" applyBorder="1"/>
    <xf numFmtId="0" fontId="7771" fillId="7776" borderId="7723" xfId="0" applyFont="1" applyFill="1" applyBorder="1"/>
    <xf numFmtId="0" fontId="7772" fillId="7777" borderId="7724" xfId="0" applyFont="1" applyFill="1" applyBorder="1"/>
    <xf numFmtId="0" fontId="7773" fillId="7778" borderId="7725" xfId="0" applyFont="1" applyFill="1" applyBorder="1"/>
    <xf numFmtId="14" fontId="7774" fillId="7779" borderId="7726" xfId="0" applyNumberFormat="1" applyFont="1" applyFill="1" applyBorder="1"/>
    <xf numFmtId="14" fontId="7775" fillId="7780" borderId="7727" xfId="0" applyNumberFormat="1" applyFont="1" applyFill="1" applyBorder="1"/>
    <xf numFmtId="0" fontId="7776" fillId="7781" borderId="7728" xfId="0" applyFont="1" applyFill="1" applyBorder="1"/>
    <xf numFmtId="14" fontId="7777" fillId="7782" borderId="7729" xfId="0" applyNumberFormat="1" applyFont="1" applyFill="1" applyBorder="1"/>
    <xf numFmtId="0" fontId="7778" fillId="7783" borderId="7730" xfId="0" applyFont="1" applyFill="1" applyBorder="1"/>
    <xf numFmtId="0" fontId="7779" fillId="7784" borderId="7731" xfId="0" applyFont="1" applyFill="1" applyBorder="1"/>
    <xf numFmtId="0" fontId="7780" fillId="7785" borderId="7732" xfId="0" applyFont="1" applyFill="1" applyBorder="1"/>
    <xf numFmtId="0" fontId="7781" fillId="7786" borderId="7733" xfId="0" applyFont="1" applyFill="1" applyBorder="1"/>
    <xf numFmtId="0" fontId="7782" fillId="7787" borderId="7734" xfId="0" applyFont="1" applyFill="1" applyBorder="1"/>
    <xf numFmtId="0" fontId="7783" fillId="7788" borderId="7735" xfId="0" applyFont="1" applyFill="1" applyBorder="1"/>
    <xf numFmtId="14" fontId="7784" fillId="7789" borderId="7736" xfId="0" applyNumberFormat="1" applyFont="1" applyFill="1" applyBorder="1"/>
    <xf numFmtId="14" fontId="7785" fillId="7790" borderId="7737" xfId="0" applyNumberFormat="1" applyFont="1" applyFill="1" applyBorder="1"/>
    <xf numFmtId="0" fontId="7786" fillId="7791" borderId="7738" xfId="0" applyFont="1" applyFill="1" applyBorder="1"/>
    <xf numFmtId="14" fontId="7787" fillId="7792" borderId="7739" xfId="0" applyNumberFormat="1" applyFont="1" applyFill="1" applyBorder="1"/>
    <xf numFmtId="0" fontId="7788" fillId="7793" borderId="7740" xfId="0" applyFont="1" applyFill="1" applyBorder="1"/>
    <xf numFmtId="0" fontId="7789" fillId="7794" borderId="7741" xfId="0" applyFont="1" applyFill="1" applyBorder="1"/>
    <xf numFmtId="0" fontId="7790" fillId="7795" borderId="7742" xfId="0" applyFont="1" applyFill="1" applyBorder="1"/>
    <xf numFmtId="0" fontId="7791" fillId="7796" borderId="7743" xfId="0" applyFont="1" applyFill="1" applyBorder="1"/>
    <xf numFmtId="0" fontId="7792" fillId="7797" borderId="7744" xfId="0" applyFont="1" applyFill="1" applyBorder="1"/>
    <xf numFmtId="0" fontId="7793" fillId="7798" borderId="7745" xfId="0" applyFont="1" applyFill="1" applyBorder="1"/>
    <xf numFmtId="14" fontId="7794" fillId="7799" borderId="7746" xfId="0" applyNumberFormat="1" applyFont="1" applyFill="1" applyBorder="1"/>
    <xf numFmtId="14" fontId="7795" fillId="7800" borderId="7747" xfId="0" applyNumberFormat="1" applyFont="1" applyFill="1" applyBorder="1"/>
    <xf numFmtId="0" fontId="7796" fillId="7801" borderId="7748" xfId="0" applyFont="1" applyFill="1" applyBorder="1"/>
    <xf numFmtId="14" fontId="7797" fillId="7802" borderId="7749" xfId="0" applyNumberFormat="1" applyFont="1" applyFill="1" applyBorder="1"/>
    <xf numFmtId="0" fontId="7798" fillId="7803" borderId="7750" xfId="0" applyFont="1" applyFill="1" applyBorder="1"/>
    <xf numFmtId="0" fontId="7799" fillId="7804" borderId="7751" xfId="0" applyFont="1" applyFill="1" applyBorder="1"/>
    <xf numFmtId="0" fontId="7800" fillId="7805" borderId="7752" xfId="0" applyFont="1" applyFill="1" applyBorder="1"/>
    <xf numFmtId="0" fontId="7801" fillId="7806" borderId="7753" xfId="0" applyFont="1" applyFill="1" applyBorder="1"/>
    <xf numFmtId="0" fontId="7802" fillId="7807" borderId="7754" xfId="0" applyFont="1" applyFill="1" applyBorder="1"/>
    <xf numFmtId="0" fontId="7803" fillId="7808" borderId="7755" xfId="0" applyFont="1" applyFill="1" applyBorder="1"/>
    <xf numFmtId="14" fontId="7804" fillId="7809" borderId="7756" xfId="0" applyNumberFormat="1" applyFont="1" applyFill="1" applyBorder="1"/>
    <xf numFmtId="14" fontId="7805" fillId="7810" borderId="7757" xfId="0" applyNumberFormat="1" applyFont="1" applyFill="1" applyBorder="1"/>
    <xf numFmtId="0" fontId="7806" fillId="7811" borderId="7758" xfId="0" applyFont="1" applyFill="1" applyBorder="1"/>
    <xf numFmtId="14" fontId="7807" fillId="7812" borderId="7759" xfId="0" applyNumberFormat="1" applyFont="1" applyFill="1" applyBorder="1"/>
    <xf numFmtId="0" fontId="7808" fillId="7813" borderId="7760" xfId="0" applyFont="1" applyFill="1" applyBorder="1"/>
    <xf numFmtId="0" fontId="7809" fillId="7814" borderId="7761" xfId="0" applyFont="1" applyFill="1" applyBorder="1"/>
    <xf numFmtId="0" fontId="7810" fillId="7815" borderId="7762" xfId="0" applyFont="1" applyFill="1" applyBorder="1"/>
    <xf numFmtId="0" fontId="7811" fillId="7816" borderId="7763" xfId="0" applyFont="1" applyFill="1" applyBorder="1"/>
    <xf numFmtId="0" fontId="7812" fillId="7817" borderId="7764" xfId="0" applyFont="1" applyFill="1" applyBorder="1"/>
    <xf numFmtId="0" fontId="7813" fillId="7818" borderId="7765" xfId="0" applyFont="1" applyFill="1" applyBorder="1"/>
    <xf numFmtId="14" fontId="7814" fillId="7819" borderId="7766" xfId="0" applyNumberFormat="1" applyFont="1" applyFill="1" applyBorder="1"/>
    <xf numFmtId="14" fontId="7815" fillId="7820" borderId="7767" xfId="0" applyNumberFormat="1" applyFont="1" applyFill="1" applyBorder="1"/>
    <xf numFmtId="0" fontId="7816" fillId="7821" borderId="7768" xfId="0" applyFont="1" applyFill="1" applyBorder="1"/>
    <xf numFmtId="14" fontId="7817" fillId="7822" borderId="7769" xfId="0" applyNumberFormat="1" applyFont="1" applyFill="1" applyBorder="1"/>
    <xf numFmtId="0" fontId="7818" fillId="7823" borderId="7770" xfId="0" applyFont="1" applyFill="1" applyBorder="1"/>
    <xf numFmtId="0" fontId="7819" fillId="7824" borderId="7771" xfId="0" applyFont="1" applyFill="1" applyBorder="1"/>
    <xf numFmtId="0" fontId="7820" fillId="7825" borderId="7772" xfId="0" applyFont="1" applyFill="1" applyBorder="1"/>
    <xf numFmtId="0" fontId="7821" fillId="7826" borderId="7773" xfId="0" applyFont="1" applyFill="1" applyBorder="1"/>
    <xf numFmtId="0" fontId="7822" fillId="7827" borderId="7774" xfId="0" applyFont="1" applyFill="1" applyBorder="1"/>
    <xf numFmtId="0" fontId="7823" fillId="7828" borderId="7775" xfId="0" applyFont="1" applyFill="1" applyBorder="1"/>
    <xf numFmtId="14" fontId="7824" fillId="7829" borderId="7776" xfId="0" applyNumberFormat="1" applyFont="1" applyFill="1" applyBorder="1"/>
    <xf numFmtId="14" fontId="7825" fillId="7830" borderId="7777" xfId="0" applyNumberFormat="1" applyFont="1" applyFill="1" applyBorder="1"/>
    <xf numFmtId="0" fontId="7826" fillId="7831" borderId="7778" xfId="0" applyFont="1" applyFill="1" applyBorder="1"/>
    <xf numFmtId="14" fontId="7827" fillId="7832" borderId="7779" xfId="0" applyNumberFormat="1" applyFont="1" applyFill="1" applyBorder="1"/>
    <xf numFmtId="0" fontId="7828" fillId="7833" borderId="7780" xfId="0" applyFont="1" applyFill="1" applyBorder="1"/>
    <xf numFmtId="0" fontId="7829" fillId="7834" borderId="7781" xfId="0" applyFont="1" applyFill="1" applyBorder="1"/>
    <xf numFmtId="0" fontId="7830" fillId="7835" borderId="7782" xfId="0" applyFont="1" applyFill="1" applyBorder="1"/>
    <xf numFmtId="0" fontId="7831" fillId="7836" borderId="7783" xfId="0" applyFont="1" applyFill="1" applyBorder="1"/>
    <xf numFmtId="0" fontId="7832" fillId="7837" borderId="7784" xfId="0" applyFont="1" applyFill="1" applyBorder="1"/>
    <xf numFmtId="0" fontId="7833" fillId="7838" borderId="7785" xfId="0" applyFont="1" applyFill="1" applyBorder="1"/>
    <xf numFmtId="14" fontId="7834" fillId="7839" borderId="7786" xfId="0" applyNumberFormat="1" applyFont="1" applyFill="1" applyBorder="1"/>
    <xf numFmtId="14" fontId="7835" fillId="7840" borderId="7787" xfId="0" applyNumberFormat="1" applyFont="1" applyFill="1" applyBorder="1"/>
    <xf numFmtId="0" fontId="7836" fillId="7841" borderId="7788" xfId="0" applyFont="1" applyFill="1" applyBorder="1"/>
    <xf numFmtId="14" fontId="7837" fillId="7842" borderId="7789" xfId="0" applyNumberFormat="1" applyFont="1" applyFill="1" applyBorder="1"/>
    <xf numFmtId="0" fontId="7838" fillId="7843" borderId="7790" xfId="0" applyFont="1" applyFill="1" applyBorder="1"/>
    <xf numFmtId="0" fontId="7839" fillId="7844" borderId="7791" xfId="0" applyFont="1" applyFill="1" applyBorder="1"/>
    <xf numFmtId="0" fontId="7840" fillId="7845" borderId="7792" xfId="0" applyFont="1" applyFill="1" applyBorder="1"/>
    <xf numFmtId="0" fontId="7841" fillId="7846" borderId="7793" xfId="0" applyFont="1" applyFill="1" applyBorder="1"/>
    <xf numFmtId="0" fontId="7842" fillId="7847" borderId="7794" xfId="0" applyFont="1" applyFill="1" applyBorder="1"/>
    <xf numFmtId="0" fontId="7843" fillId="7848" borderId="7795" xfId="0" applyFont="1" applyFill="1" applyBorder="1"/>
    <xf numFmtId="14" fontId="7844" fillId="7849" borderId="7796" xfId="0" applyNumberFormat="1" applyFont="1" applyFill="1" applyBorder="1"/>
    <xf numFmtId="14" fontId="7845" fillId="7850" borderId="7797" xfId="0" applyNumberFormat="1" applyFont="1" applyFill="1" applyBorder="1"/>
    <xf numFmtId="0" fontId="7846" fillId="7851" borderId="7798" xfId="0" applyFont="1" applyFill="1" applyBorder="1"/>
    <xf numFmtId="14" fontId="7847" fillId="7852" borderId="7799" xfId="0" applyNumberFormat="1" applyFont="1" applyFill="1" applyBorder="1"/>
    <xf numFmtId="0" fontId="7848" fillId="7853" borderId="7800" xfId="0" applyFont="1" applyFill="1" applyBorder="1"/>
    <xf numFmtId="0" fontId="7849" fillId="7854" borderId="7801" xfId="0" applyFont="1" applyFill="1" applyBorder="1"/>
    <xf numFmtId="0" fontId="7850" fillId="7855" borderId="7802" xfId="0" applyFont="1" applyFill="1" applyBorder="1"/>
    <xf numFmtId="0" fontId="7851" fillId="7856" borderId="7803" xfId="0" applyFont="1" applyFill="1" applyBorder="1"/>
    <xf numFmtId="0" fontId="7852" fillId="7857" borderId="7804" xfId="0" applyFont="1" applyFill="1" applyBorder="1"/>
    <xf numFmtId="0" fontId="7853" fillId="7858" borderId="7805" xfId="0" applyFont="1" applyFill="1" applyBorder="1"/>
    <xf numFmtId="14" fontId="7854" fillId="7859" borderId="7806" xfId="0" applyNumberFormat="1" applyFont="1" applyFill="1" applyBorder="1"/>
    <xf numFmtId="14" fontId="7855" fillId="7860" borderId="7807" xfId="0" applyNumberFormat="1" applyFont="1" applyFill="1" applyBorder="1"/>
    <xf numFmtId="0" fontId="7856" fillId="7861" borderId="7808" xfId="0" applyFont="1" applyFill="1" applyBorder="1"/>
    <xf numFmtId="14" fontId="7857" fillId="7862" borderId="7809" xfId="0" applyNumberFormat="1" applyFont="1" applyFill="1" applyBorder="1"/>
    <xf numFmtId="0" fontId="7858" fillId="7863" borderId="7810" xfId="0" applyFont="1" applyFill="1" applyBorder="1"/>
    <xf numFmtId="0" fontId="7859" fillId="7864" borderId="7811" xfId="0" applyFont="1" applyFill="1" applyBorder="1"/>
    <xf numFmtId="0" fontId="7860" fillId="7865" borderId="7812" xfId="0" applyFont="1" applyFill="1" applyBorder="1"/>
    <xf numFmtId="0" fontId="7861" fillId="7866" borderId="7813" xfId="0" applyFont="1" applyFill="1" applyBorder="1"/>
    <xf numFmtId="0" fontId="7862" fillId="7867" borderId="7814" xfId="0" applyFont="1" applyFill="1" applyBorder="1"/>
    <xf numFmtId="0" fontId="7863" fillId="7868" borderId="7815" xfId="0" applyFont="1" applyFill="1" applyBorder="1"/>
    <xf numFmtId="14" fontId="7864" fillId="7869" borderId="7816" xfId="0" applyNumberFormat="1" applyFont="1" applyFill="1" applyBorder="1"/>
    <xf numFmtId="14" fontId="7865" fillId="7870" borderId="7817" xfId="0" applyNumberFormat="1" applyFont="1" applyFill="1" applyBorder="1"/>
    <xf numFmtId="0" fontId="7866" fillId="7871" borderId="7818" xfId="0" applyFont="1" applyFill="1" applyBorder="1"/>
    <xf numFmtId="14" fontId="7867" fillId="7872" borderId="7819" xfId="0" applyNumberFormat="1" applyFont="1" applyFill="1" applyBorder="1"/>
    <xf numFmtId="0" fontId="7868" fillId="7873" borderId="7820" xfId="0" applyFont="1" applyFill="1" applyBorder="1"/>
    <xf numFmtId="0" fontId="7869" fillId="7874" borderId="7821" xfId="0" applyFont="1" applyFill="1" applyBorder="1"/>
    <xf numFmtId="0" fontId="7870" fillId="7875" borderId="7822" xfId="0" applyFont="1" applyFill="1" applyBorder="1"/>
    <xf numFmtId="0" fontId="7871" fillId="7876" borderId="7823" xfId="0" applyFont="1" applyFill="1" applyBorder="1"/>
    <xf numFmtId="0" fontId="7872" fillId="7877" borderId="7824" xfId="0" applyFont="1" applyFill="1" applyBorder="1"/>
    <xf numFmtId="0" fontId="7873" fillId="7878" borderId="7825" xfId="0" applyFont="1" applyFill="1" applyBorder="1"/>
    <xf numFmtId="14" fontId="7874" fillId="7879" borderId="7826" xfId="0" applyNumberFormat="1" applyFont="1" applyFill="1" applyBorder="1"/>
    <xf numFmtId="14" fontId="7875" fillId="7880" borderId="7827" xfId="0" applyNumberFormat="1" applyFont="1" applyFill="1" applyBorder="1"/>
    <xf numFmtId="0" fontId="7876" fillId="7881" borderId="7828" xfId="0" applyFont="1" applyFill="1" applyBorder="1"/>
    <xf numFmtId="14" fontId="7877" fillId="7882" borderId="7829" xfId="0" applyNumberFormat="1" applyFont="1" applyFill="1" applyBorder="1"/>
    <xf numFmtId="0" fontId="7878" fillId="7883" borderId="7830" xfId="0" applyFont="1" applyFill="1" applyBorder="1"/>
    <xf numFmtId="0" fontId="7879" fillId="7884" borderId="7831" xfId="0" applyFont="1" applyFill="1" applyBorder="1"/>
    <xf numFmtId="0" fontId="7880" fillId="7885" borderId="7832" xfId="0" applyFont="1" applyFill="1" applyBorder="1"/>
    <xf numFmtId="0" fontId="7881" fillId="7886" borderId="7833" xfId="0" applyFont="1" applyFill="1" applyBorder="1"/>
    <xf numFmtId="0" fontId="7882" fillId="7887" borderId="7834" xfId="0" applyFont="1" applyFill="1" applyBorder="1"/>
    <xf numFmtId="0" fontId="7883" fillId="7888" borderId="7835" xfId="0" applyFont="1" applyFill="1" applyBorder="1"/>
    <xf numFmtId="14" fontId="7884" fillId="7889" borderId="7836" xfId="0" applyNumberFormat="1" applyFont="1" applyFill="1" applyBorder="1"/>
    <xf numFmtId="14" fontId="7885" fillId="7890" borderId="7837" xfId="0" applyNumberFormat="1" applyFont="1" applyFill="1" applyBorder="1"/>
    <xf numFmtId="0" fontId="7886" fillId="7891" borderId="7838" xfId="0" applyFont="1" applyFill="1" applyBorder="1"/>
    <xf numFmtId="14" fontId="7887" fillId="7892" borderId="7839" xfId="0" applyNumberFormat="1" applyFont="1" applyFill="1" applyBorder="1"/>
    <xf numFmtId="0" fontId="7888" fillId="7893" borderId="7840" xfId="0" applyFont="1" applyFill="1" applyBorder="1"/>
    <xf numFmtId="0" fontId="7889" fillId="7894" borderId="7841" xfId="0" applyFont="1" applyFill="1" applyBorder="1"/>
    <xf numFmtId="0" fontId="7890" fillId="7895" borderId="7842" xfId="0" applyFont="1" applyFill="1" applyBorder="1"/>
    <xf numFmtId="0" fontId="7891" fillId="7896" borderId="7843" xfId="0" applyFont="1" applyFill="1" applyBorder="1"/>
    <xf numFmtId="0" fontId="7892" fillId="7897" borderId="7844" xfId="0" applyFont="1" applyFill="1" applyBorder="1"/>
    <xf numFmtId="0" fontId="7893" fillId="7898" borderId="7845" xfId="0" applyFont="1" applyFill="1" applyBorder="1"/>
    <xf numFmtId="14" fontId="7894" fillId="7899" borderId="7846" xfId="0" applyNumberFormat="1" applyFont="1" applyFill="1" applyBorder="1"/>
    <xf numFmtId="14" fontId="7895" fillId="7900" borderId="7847" xfId="0" applyNumberFormat="1" applyFont="1" applyFill="1" applyBorder="1"/>
    <xf numFmtId="0" fontId="7896" fillId="7901" borderId="7848" xfId="0" applyFont="1" applyFill="1" applyBorder="1"/>
    <xf numFmtId="14" fontId="7897" fillId="7902" borderId="7849" xfId="0" applyNumberFormat="1" applyFont="1" applyFill="1" applyBorder="1"/>
    <xf numFmtId="0" fontId="7898" fillId="7903" borderId="7850" xfId="0" applyFont="1" applyFill="1" applyBorder="1"/>
    <xf numFmtId="0" fontId="7899" fillId="7904" borderId="7851" xfId="0" applyFont="1" applyFill="1" applyBorder="1"/>
    <xf numFmtId="0" fontId="7900" fillId="7905" borderId="7852" xfId="0" applyFont="1" applyFill="1" applyBorder="1"/>
    <xf numFmtId="0" fontId="7901" fillId="7906" borderId="7853" xfId="0" applyFont="1" applyFill="1" applyBorder="1"/>
    <xf numFmtId="0" fontId="7902" fillId="7907" borderId="7854" xfId="0" applyFont="1" applyFill="1" applyBorder="1"/>
    <xf numFmtId="0" fontId="7903" fillId="7908" borderId="7855" xfId="0" applyFont="1" applyFill="1" applyBorder="1"/>
    <xf numFmtId="14" fontId="7904" fillId="7909" borderId="7856" xfId="0" applyNumberFormat="1" applyFont="1" applyFill="1" applyBorder="1"/>
    <xf numFmtId="14" fontId="7905" fillId="7910" borderId="7857" xfId="0" applyNumberFormat="1" applyFont="1" applyFill="1" applyBorder="1"/>
    <xf numFmtId="0" fontId="7906" fillId="7911" borderId="7858" xfId="0" applyFont="1" applyFill="1" applyBorder="1"/>
    <xf numFmtId="14" fontId="7907" fillId="7912" borderId="7859" xfId="0" applyNumberFormat="1" applyFont="1" applyFill="1" applyBorder="1"/>
    <xf numFmtId="0" fontId="7908" fillId="7913" borderId="7860" xfId="0" applyFont="1" applyFill="1" applyBorder="1"/>
    <xf numFmtId="0" fontId="7909" fillId="7914" borderId="7861" xfId="0" applyFont="1" applyFill="1" applyBorder="1"/>
    <xf numFmtId="0" fontId="7910" fillId="7915" borderId="7862" xfId="0" applyFont="1" applyFill="1" applyBorder="1"/>
    <xf numFmtId="0" fontId="7911" fillId="7916" borderId="7863" xfId="0" applyFont="1" applyFill="1" applyBorder="1"/>
    <xf numFmtId="0" fontId="7912" fillId="7917" borderId="7864" xfId="0" applyFont="1" applyFill="1" applyBorder="1"/>
    <xf numFmtId="0" fontId="7913" fillId="7918" borderId="7865" xfId="0" applyFont="1" applyFill="1" applyBorder="1"/>
    <xf numFmtId="14" fontId="7914" fillId="7919" borderId="7866" xfId="0" applyNumberFormat="1" applyFont="1" applyFill="1" applyBorder="1"/>
    <xf numFmtId="14" fontId="7915" fillId="7920" borderId="7867" xfId="0" applyNumberFormat="1" applyFont="1" applyFill="1" applyBorder="1"/>
    <xf numFmtId="0" fontId="7916" fillId="7921" borderId="7868" xfId="0" applyFont="1" applyFill="1" applyBorder="1"/>
    <xf numFmtId="14" fontId="7917" fillId="7922" borderId="7869" xfId="0" applyNumberFormat="1" applyFont="1" applyFill="1" applyBorder="1"/>
    <xf numFmtId="0" fontId="7918" fillId="7923" borderId="7870" xfId="0" applyFont="1" applyFill="1" applyBorder="1"/>
    <xf numFmtId="0" fontId="7919" fillId="7924" borderId="7871" xfId="0" applyFont="1" applyFill="1" applyBorder="1"/>
    <xf numFmtId="0" fontId="7920" fillId="7925" borderId="7872" xfId="0" applyFont="1" applyFill="1" applyBorder="1"/>
    <xf numFmtId="0" fontId="7921" fillId="7926" borderId="7873" xfId="0" applyFont="1" applyFill="1" applyBorder="1"/>
    <xf numFmtId="0" fontId="7922" fillId="7927" borderId="7874" xfId="0" applyFont="1" applyFill="1" applyBorder="1"/>
    <xf numFmtId="0" fontId="7923" fillId="7928" borderId="7875" xfId="0" applyFont="1" applyFill="1" applyBorder="1"/>
    <xf numFmtId="14" fontId="7924" fillId="7929" borderId="7876" xfId="0" applyNumberFormat="1" applyFont="1" applyFill="1" applyBorder="1"/>
    <xf numFmtId="14" fontId="7925" fillId="7930" borderId="7877" xfId="0" applyNumberFormat="1" applyFont="1" applyFill="1" applyBorder="1"/>
    <xf numFmtId="0" fontId="7926" fillId="7931" borderId="7878" xfId="0" applyFont="1" applyFill="1" applyBorder="1"/>
    <xf numFmtId="14" fontId="7927" fillId="7932" borderId="7879" xfId="0" applyNumberFormat="1" applyFont="1" applyFill="1" applyBorder="1"/>
    <xf numFmtId="0" fontId="7928" fillId="7933" borderId="7880" xfId="0" applyFont="1" applyFill="1" applyBorder="1"/>
    <xf numFmtId="0" fontId="7929" fillId="7934" borderId="7881" xfId="0" applyFont="1" applyFill="1" applyBorder="1"/>
    <xf numFmtId="0" fontId="7930" fillId="7935" borderId="7882" xfId="0" applyFont="1" applyFill="1" applyBorder="1"/>
    <xf numFmtId="0" fontId="7931" fillId="7936" borderId="7883" xfId="0" applyFont="1" applyFill="1" applyBorder="1"/>
    <xf numFmtId="0" fontId="7932" fillId="7937" borderId="7884" xfId="0" applyFont="1" applyFill="1" applyBorder="1"/>
    <xf numFmtId="0" fontId="7933" fillId="7938" borderId="7885" xfId="0" applyFont="1" applyFill="1" applyBorder="1"/>
    <xf numFmtId="14" fontId="7934" fillId="7939" borderId="7886" xfId="0" applyNumberFormat="1" applyFont="1" applyFill="1" applyBorder="1"/>
    <xf numFmtId="14" fontId="7935" fillId="7940" borderId="7887" xfId="0" applyNumberFormat="1" applyFont="1" applyFill="1" applyBorder="1"/>
    <xf numFmtId="0" fontId="7936" fillId="7941" borderId="7888" xfId="0" applyFont="1" applyFill="1" applyBorder="1"/>
    <xf numFmtId="14" fontId="7937" fillId="7942" borderId="7889" xfId="0" applyNumberFormat="1" applyFont="1" applyFill="1" applyBorder="1"/>
    <xf numFmtId="0" fontId="7938" fillId="7943" borderId="7890" xfId="0" applyFont="1" applyFill="1" applyBorder="1"/>
    <xf numFmtId="0" fontId="7939" fillId="7944" borderId="7891" xfId="0" applyFont="1" applyFill="1" applyBorder="1"/>
    <xf numFmtId="0" fontId="7940" fillId="7945" borderId="7892" xfId="0" applyFont="1" applyFill="1" applyBorder="1"/>
    <xf numFmtId="0" fontId="7941" fillId="7946" borderId="7893" xfId="0" applyFont="1" applyFill="1" applyBorder="1"/>
    <xf numFmtId="0" fontId="7942" fillId="7947" borderId="7894" xfId="0" applyFont="1" applyFill="1" applyBorder="1"/>
    <xf numFmtId="0" fontId="7943" fillId="7948" borderId="7895" xfId="0" applyFont="1" applyFill="1" applyBorder="1"/>
    <xf numFmtId="14" fontId="7944" fillId="7949" borderId="7896" xfId="0" applyNumberFormat="1" applyFont="1" applyFill="1" applyBorder="1"/>
    <xf numFmtId="14" fontId="7945" fillId="7950" borderId="7897" xfId="0" applyNumberFormat="1" applyFont="1" applyFill="1" applyBorder="1"/>
    <xf numFmtId="0" fontId="7946" fillId="7951" borderId="7898" xfId="0" applyFont="1" applyFill="1" applyBorder="1"/>
    <xf numFmtId="14" fontId="7947" fillId="7952" borderId="7899" xfId="0" applyNumberFormat="1" applyFont="1" applyFill="1" applyBorder="1"/>
    <xf numFmtId="0" fontId="7948" fillId="7953" borderId="7900" xfId="0" applyFont="1" applyFill="1" applyBorder="1"/>
    <xf numFmtId="0" fontId="7949" fillId="7954" borderId="7901" xfId="0" applyFont="1" applyFill="1" applyBorder="1"/>
    <xf numFmtId="0" fontId="7950" fillId="7955" borderId="7902" xfId="0" applyFont="1" applyFill="1" applyBorder="1"/>
    <xf numFmtId="0" fontId="7951" fillId="7956" borderId="7903" xfId="0" applyFont="1" applyFill="1" applyBorder="1"/>
    <xf numFmtId="0" fontId="7952" fillId="7957" borderId="7904" xfId="0" applyFont="1" applyFill="1" applyBorder="1"/>
    <xf numFmtId="0" fontId="7953" fillId="7958" borderId="7905" xfId="0" applyFont="1" applyFill="1" applyBorder="1"/>
    <xf numFmtId="14" fontId="7954" fillId="7959" borderId="7906" xfId="0" applyNumberFormat="1" applyFont="1" applyFill="1" applyBorder="1"/>
    <xf numFmtId="14" fontId="7955" fillId="7960" borderId="7907" xfId="0" applyNumberFormat="1" applyFont="1" applyFill="1" applyBorder="1"/>
    <xf numFmtId="0" fontId="7956" fillId="7961" borderId="7908" xfId="0" applyFont="1" applyFill="1" applyBorder="1"/>
    <xf numFmtId="14" fontId="7957" fillId="7962" borderId="7909" xfId="0" applyNumberFormat="1" applyFont="1" applyFill="1" applyBorder="1"/>
    <xf numFmtId="0" fontId="7958" fillId="7963" borderId="7910" xfId="0" applyFont="1" applyFill="1" applyBorder="1"/>
    <xf numFmtId="0" fontId="7959" fillId="7964" borderId="7911" xfId="0" applyFont="1" applyFill="1" applyBorder="1"/>
    <xf numFmtId="0" fontId="7960" fillId="7965" borderId="7912" xfId="0" applyFont="1" applyFill="1" applyBorder="1"/>
    <xf numFmtId="0" fontId="7961" fillId="7966" borderId="7913" xfId="0" applyFont="1" applyFill="1" applyBorder="1"/>
    <xf numFmtId="0" fontId="7962" fillId="7967" borderId="7914" xfId="0" applyFont="1" applyFill="1" applyBorder="1"/>
    <xf numFmtId="0" fontId="7963" fillId="7968" borderId="7915" xfId="0" applyFont="1" applyFill="1" applyBorder="1"/>
    <xf numFmtId="14" fontId="7964" fillId="7969" borderId="7916" xfId="0" applyNumberFormat="1" applyFont="1" applyFill="1" applyBorder="1"/>
    <xf numFmtId="14" fontId="7965" fillId="7970" borderId="7917" xfId="0" applyNumberFormat="1" applyFont="1" applyFill="1" applyBorder="1"/>
    <xf numFmtId="0" fontId="7966" fillId="7971" borderId="7918" xfId="0" applyFont="1" applyFill="1" applyBorder="1"/>
    <xf numFmtId="14" fontId="7967" fillId="7972" borderId="7919" xfId="0" applyNumberFormat="1" applyFont="1" applyFill="1" applyBorder="1"/>
    <xf numFmtId="0" fontId="7968" fillId="7973" borderId="7920" xfId="0" applyFont="1" applyFill="1" applyBorder="1"/>
    <xf numFmtId="0" fontId="7969" fillId="7974" borderId="7921" xfId="0" applyFont="1" applyFill="1" applyBorder="1"/>
    <xf numFmtId="0" fontId="7970" fillId="7975" borderId="7922" xfId="0" applyFont="1" applyFill="1" applyBorder="1"/>
    <xf numFmtId="0" fontId="7971" fillId="7976" borderId="7923" xfId="0" applyFont="1" applyFill="1" applyBorder="1"/>
    <xf numFmtId="0" fontId="7972" fillId="7977" borderId="7924" xfId="0" applyFont="1" applyFill="1" applyBorder="1"/>
    <xf numFmtId="0" fontId="7973" fillId="7978" borderId="7925" xfId="0" applyFont="1" applyFill="1" applyBorder="1"/>
    <xf numFmtId="14" fontId="7974" fillId="7979" borderId="7926" xfId="0" applyNumberFormat="1" applyFont="1" applyFill="1" applyBorder="1"/>
    <xf numFmtId="14" fontId="7975" fillId="7980" borderId="7927" xfId="0" applyNumberFormat="1" applyFont="1" applyFill="1" applyBorder="1"/>
    <xf numFmtId="0" fontId="7976" fillId="7981" borderId="7928" xfId="0" applyFont="1" applyFill="1" applyBorder="1"/>
    <xf numFmtId="14" fontId="7977" fillId="7982" borderId="7929" xfId="0" applyNumberFormat="1" applyFont="1" applyFill="1" applyBorder="1"/>
    <xf numFmtId="0" fontId="7978" fillId="7983" borderId="7930" xfId="0" applyFont="1" applyFill="1" applyBorder="1"/>
    <xf numFmtId="0" fontId="7979" fillId="7984" borderId="7931" xfId="0" applyFont="1" applyFill="1" applyBorder="1"/>
    <xf numFmtId="0" fontId="7980" fillId="7985" borderId="7932" xfId="0" applyFont="1" applyFill="1" applyBorder="1"/>
    <xf numFmtId="0" fontId="7981" fillId="7986" borderId="7933" xfId="0" applyFont="1" applyFill="1" applyBorder="1"/>
    <xf numFmtId="0" fontId="7982" fillId="7987" borderId="7934" xfId="0" applyFont="1" applyFill="1" applyBorder="1"/>
    <xf numFmtId="0" fontId="7983" fillId="7988" borderId="7935" xfId="0" applyFont="1" applyFill="1" applyBorder="1"/>
    <xf numFmtId="14" fontId="7984" fillId="7989" borderId="7936" xfId="0" applyNumberFormat="1" applyFont="1" applyFill="1" applyBorder="1"/>
    <xf numFmtId="14" fontId="7985" fillId="7990" borderId="7937" xfId="0" applyNumberFormat="1" applyFont="1" applyFill="1" applyBorder="1"/>
    <xf numFmtId="0" fontId="7986" fillId="7991" borderId="7938" xfId="0" applyFont="1" applyFill="1" applyBorder="1"/>
    <xf numFmtId="14" fontId="7987" fillId="7992" borderId="7939" xfId="0" applyNumberFormat="1" applyFont="1" applyFill="1" applyBorder="1"/>
    <xf numFmtId="0" fontId="7988" fillId="7993" borderId="7940" xfId="0" applyFont="1" applyFill="1" applyBorder="1"/>
    <xf numFmtId="0" fontId="7989" fillId="7994" borderId="7941" xfId="0" applyFont="1" applyFill="1" applyBorder="1"/>
    <xf numFmtId="0" fontId="7990" fillId="7995" borderId="7942" xfId="0" applyFont="1" applyFill="1" applyBorder="1"/>
    <xf numFmtId="0" fontId="7991" fillId="7996" borderId="7943" xfId="0" applyFont="1" applyFill="1" applyBorder="1"/>
    <xf numFmtId="0" fontId="7992" fillId="7997" borderId="7944" xfId="0" applyFont="1" applyFill="1" applyBorder="1"/>
    <xf numFmtId="0" fontId="7993" fillId="7998" borderId="7945" xfId="0" applyFont="1" applyFill="1" applyBorder="1"/>
    <xf numFmtId="14" fontId="7994" fillId="7999" borderId="7946" xfId="0" applyNumberFormat="1" applyFont="1" applyFill="1" applyBorder="1"/>
    <xf numFmtId="14" fontId="7995" fillId="8000" borderId="7947" xfId="0" applyNumberFormat="1" applyFont="1" applyFill="1" applyBorder="1"/>
    <xf numFmtId="0" fontId="7996" fillId="8001" borderId="7948" xfId="0" applyFont="1" applyFill="1" applyBorder="1"/>
    <xf numFmtId="14" fontId="7997" fillId="8002" borderId="7949" xfId="0" applyNumberFormat="1" applyFont="1" applyFill="1" applyBorder="1"/>
    <xf numFmtId="0" fontId="7998" fillId="8003" borderId="7950" xfId="0" applyFont="1" applyFill="1" applyBorder="1"/>
    <xf numFmtId="0" fontId="7999" fillId="8004" borderId="7951" xfId="0" applyFont="1" applyFill="1" applyBorder="1"/>
    <xf numFmtId="0" fontId="8000" fillId="8005" borderId="7952" xfId="0" applyFont="1" applyFill="1" applyBorder="1"/>
    <xf numFmtId="0" fontId="8001" fillId="8006" borderId="7953" xfId="0" applyFont="1" applyFill="1" applyBorder="1"/>
    <xf numFmtId="0" fontId="8002" fillId="8007" borderId="7954" xfId="0" applyFont="1" applyFill="1" applyBorder="1"/>
    <xf numFmtId="0" fontId="8003" fillId="8008" borderId="7955" xfId="0" applyFont="1" applyFill="1" applyBorder="1"/>
    <xf numFmtId="14" fontId="8004" fillId="8009" borderId="7956" xfId="0" applyNumberFormat="1" applyFont="1" applyFill="1" applyBorder="1"/>
    <xf numFmtId="14" fontId="8005" fillId="8010" borderId="7957" xfId="0" applyNumberFormat="1" applyFont="1" applyFill="1" applyBorder="1"/>
    <xf numFmtId="0" fontId="8006" fillId="8011" borderId="7958" xfId="0" applyFont="1" applyFill="1" applyBorder="1"/>
    <xf numFmtId="14" fontId="8007" fillId="8012" borderId="7959" xfId="0" applyNumberFormat="1" applyFont="1" applyFill="1" applyBorder="1"/>
    <xf numFmtId="0" fontId="8008" fillId="8013" borderId="7960" xfId="0" applyFont="1" applyFill="1" applyBorder="1"/>
    <xf numFmtId="0" fontId="8009" fillId="8014" borderId="7961" xfId="0" applyFont="1" applyFill="1" applyBorder="1"/>
    <xf numFmtId="0" fontId="8010" fillId="8015" borderId="7962" xfId="0" applyFont="1" applyFill="1" applyBorder="1"/>
    <xf numFmtId="0" fontId="8011" fillId="8016" borderId="7963" xfId="0" applyFont="1" applyFill="1" applyBorder="1"/>
    <xf numFmtId="0" fontId="8012" fillId="8017" borderId="7964" xfId="0" applyFont="1" applyFill="1" applyBorder="1"/>
    <xf numFmtId="0" fontId="8013" fillId="8018" borderId="7965" xfId="0" applyFont="1" applyFill="1" applyBorder="1"/>
    <xf numFmtId="14" fontId="8014" fillId="8019" borderId="7966" xfId="0" applyNumberFormat="1" applyFont="1" applyFill="1" applyBorder="1"/>
    <xf numFmtId="14" fontId="8015" fillId="8020" borderId="7967" xfId="0" applyNumberFormat="1" applyFont="1" applyFill="1" applyBorder="1"/>
    <xf numFmtId="0" fontId="8016" fillId="8021" borderId="7968" xfId="0" applyFont="1" applyFill="1" applyBorder="1"/>
    <xf numFmtId="14" fontId="8017" fillId="8022" borderId="7969" xfId="0" applyNumberFormat="1" applyFont="1" applyFill="1" applyBorder="1"/>
    <xf numFmtId="0" fontId="8018" fillId="8023" borderId="7970" xfId="0" applyFont="1" applyFill="1" applyBorder="1"/>
    <xf numFmtId="0" fontId="8019" fillId="8024" borderId="7971" xfId="0" applyFont="1" applyFill="1" applyBorder="1"/>
    <xf numFmtId="0" fontId="8020" fillId="8025" borderId="7972" xfId="0" applyFont="1" applyFill="1" applyBorder="1"/>
    <xf numFmtId="0" fontId="8021" fillId="8026" borderId="7973" xfId="0" applyFont="1" applyFill="1" applyBorder="1"/>
    <xf numFmtId="0" fontId="8022" fillId="8027" borderId="7974" xfId="0" applyFont="1" applyFill="1" applyBorder="1"/>
    <xf numFmtId="0" fontId="8023" fillId="8028" borderId="7975" xfId="0" applyFont="1" applyFill="1" applyBorder="1"/>
    <xf numFmtId="14" fontId="8024" fillId="8029" borderId="7976" xfId="0" applyNumberFormat="1" applyFont="1" applyFill="1" applyBorder="1"/>
    <xf numFmtId="14" fontId="8025" fillId="8030" borderId="7977" xfId="0" applyNumberFormat="1" applyFont="1" applyFill="1" applyBorder="1"/>
    <xf numFmtId="0" fontId="8026" fillId="8031" borderId="7978" xfId="0" applyFont="1" applyFill="1" applyBorder="1"/>
    <xf numFmtId="14" fontId="8027" fillId="8032" borderId="7979" xfId="0" applyNumberFormat="1" applyFont="1" applyFill="1" applyBorder="1"/>
    <xf numFmtId="0" fontId="8028" fillId="8033" borderId="7980" xfId="0" applyFont="1" applyFill="1" applyBorder="1"/>
    <xf numFmtId="0" fontId="8029" fillId="8034" borderId="7981" xfId="0" applyFont="1" applyFill="1" applyBorder="1"/>
    <xf numFmtId="0" fontId="8030" fillId="8035" borderId="7982" xfId="0" applyFont="1" applyFill="1" applyBorder="1"/>
    <xf numFmtId="0" fontId="8031" fillId="8036" borderId="7983" xfId="0" applyFont="1" applyFill="1" applyBorder="1"/>
    <xf numFmtId="0" fontId="8032" fillId="8037" borderId="7984" xfId="0" applyFont="1" applyFill="1" applyBorder="1"/>
    <xf numFmtId="0" fontId="8033" fillId="8038" borderId="7985" xfId="0" applyFont="1" applyFill="1" applyBorder="1"/>
    <xf numFmtId="14" fontId="8034" fillId="8039" borderId="7986" xfId="0" applyNumberFormat="1" applyFont="1" applyFill="1" applyBorder="1"/>
    <xf numFmtId="14" fontId="8035" fillId="8040" borderId="7987" xfId="0" applyNumberFormat="1" applyFont="1" applyFill="1" applyBorder="1"/>
    <xf numFmtId="0" fontId="8036" fillId="8041" borderId="7988" xfId="0" applyFont="1" applyFill="1" applyBorder="1"/>
    <xf numFmtId="14" fontId="8037" fillId="8042" borderId="7989" xfId="0" applyNumberFormat="1" applyFont="1" applyFill="1" applyBorder="1"/>
    <xf numFmtId="0" fontId="8038" fillId="8043" borderId="7990" xfId="0" applyFont="1" applyFill="1" applyBorder="1"/>
    <xf numFmtId="0" fontId="8039" fillId="8044" borderId="7991" xfId="0" applyFont="1" applyFill="1" applyBorder="1"/>
    <xf numFmtId="0" fontId="8040" fillId="8045" borderId="7992" xfId="0" applyFont="1" applyFill="1" applyBorder="1"/>
    <xf numFmtId="0" fontId="8041" fillId="8046" borderId="7993" xfId="0" applyFont="1" applyFill="1" applyBorder="1"/>
    <xf numFmtId="0" fontId="8042" fillId="8047" borderId="7994" xfId="0" applyFont="1" applyFill="1" applyBorder="1"/>
    <xf numFmtId="0" fontId="8043" fillId="8048" borderId="7995" xfId="0" applyFont="1" applyFill="1" applyBorder="1"/>
    <xf numFmtId="14" fontId="8044" fillId="8049" borderId="7996" xfId="0" applyNumberFormat="1" applyFont="1" applyFill="1" applyBorder="1"/>
    <xf numFmtId="14" fontId="8045" fillId="8050" borderId="7997" xfId="0" applyNumberFormat="1" applyFont="1" applyFill="1" applyBorder="1"/>
    <xf numFmtId="0" fontId="8046" fillId="8051" borderId="7998" xfId="0" applyFont="1" applyFill="1" applyBorder="1"/>
    <xf numFmtId="14" fontId="8047" fillId="8052" borderId="7999" xfId="0" applyNumberFormat="1" applyFont="1" applyFill="1" applyBorder="1"/>
    <xf numFmtId="0" fontId="8048" fillId="8053" borderId="8000" xfId="0" applyFont="1" applyFill="1" applyBorder="1"/>
    <xf numFmtId="0" fontId="8049" fillId="8054" borderId="8001" xfId="0" applyFont="1" applyFill="1" applyBorder="1"/>
    <xf numFmtId="0" fontId="8050" fillId="8055" borderId="8002" xfId="0" applyFont="1" applyFill="1" applyBorder="1"/>
    <xf numFmtId="0" fontId="8051" fillId="8056" borderId="8003" xfId="0" applyFont="1" applyFill="1" applyBorder="1"/>
    <xf numFmtId="0" fontId="8052" fillId="8057" borderId="8004" xfId="0" applyFont="1" applyFill="1" applyBorder="1"/>
    <xf numFmtId="0" fontId="8053" fillId="8058" borderId="8005" xfId="0" applyFont="1" applyFill="1" applyBorder="1"/>
    <xf numFmtId="14" fontId="8054" fillId="8059" borderId="8006" xfId="0" applyNumberFormat="1" applyFont="1" applyFill="1" applyBorder="1"/>
    <xf numFmtId="14" fontId="8055" fillId="8060" borderId="8007" xfId="0" applyNumberFormat="1" applyFont="1" applyFill="1" applyBorder="1"/>
    <xf numFmtId="0" fontId="8056" fillId="8061" borderId="8008" xfId="0" applyFont="1" applyFill="1" applyBorder="1"/>
    <xf numFmtId="14" fontId="8057" fillId="8062" borderId="8009" xfId="0" applyNumberFormat="1" applyFont="1" applyFill="1" applyBorder="1"/>
    <xf numFmtId="0" fontId="8058" fillId="8063" borderId="8010" xfId="0" applyFont="1" applyFill="1" applyBorder="1"/>
    <xf numFmtId="0" fontId="8059" fillId="8064" borderId="8011" xfId="0" applyFont="1" applyFill="1" applyBorder="1"/>
    <xf numFmtId="0" fontId="8060" fillId="8065" borderId="8012" xfId="0" applyFont="1" applyFill="1" applyBorder="1"/>
    <xf numFmtId="0" fontId="8061" fillId="8066" borderId="8013" xfId="0" applyFont="1" applyFill="1" applyBorder="1"/>
    <xf numFmtId="0" fontId="8062" fillId="8067" borderId="8014" xfId="0" applyFont="1" applyFill="1" applyBorder="1"/>
    <xf numFmtId="0" fontId="8063" fillId="8068" borderId="8015" xfId="0" applyFont="1" applyFill="1" applyBorder="1"/>
    <xf numFmtId="14" fontId="8064" fillId="8069" borderId="8016" xfId="0" applyNumberFormat="1" applyFont="1" applyFill="1" applyBorder="1"/>
    <xf numFmtId="14" fontId="8065" fillId="8070" borderId="8017" xfId="0" applyNumberFormat="1" applyFont="1" applyFill="1" applyBorder="1"/>
    <xf numFmtId="0" fontId="8066" fillId="8071" borderId="8018" xfId="0" applyFont="1" applyFill="1" applyBorder="1"/>
    <xf numFmtId="14" fontId="8067" fillId="8072" borderId="8019" xfId="0" applyNumberFormat="1" applyFont="1" applyFill="1" applyBorder="1"/>
    <xf numFmtId="0" fontId="8068" fillId="8073" borderId="8020" xfId="0" applyFont="1" applyFill="1" applyBorder="1"/>
    <xf numFmtId="0" fontId="8069" fillId="8074" borderId="8021" xfId="0" applyFont="1" applyFill="1" applyBorder="1"/>
    <xf numFmtId="0" fontId="8070" fillId="8075" borderId="8022" xfId="0" applyFont="1" applyFill="1" applyBorder="1"/>
    <xf numFmtId="0" fontId="8071" fillId="8076" borderId="8023" xfId="0" applyFont="1" applyFill="1" applyBorder="1"/>
    <xf numFmtId="0" fontId="8072" fillId="8077" borderId="8024" xfId="0" applyFont="1" applyFill="1" applyBorder="1"/>
    <xf numFmtId="0" fontId="8073" fillId="8078" borderId="8025" xfId="0" applyFont="1" applyFill="1" applyBorder="1"/>
    <xf numFmtId="14" fontId="8074" fillId="8079" borderId="8026" xfId="0" applyNumberFormat="1" applyFont="1" applyFill="1" applyBorder="1"/>
    <xf numFmtId="14" fontId="8075" fillId="8080" borderId="8027" xfId="0" applyNumberFormat="1" applyFont="1" applyFill="1" applyBorder="1"/>
    <xf numFmtId="0" fontId="8076" fillId="8081" borderId="8028" xfId="0" applyFont="1" applyFill="1" applyBorder="1"/>
    <xf numFmtId="14" fontId="8077" fillId="8082" borderId="8029" xfId="0" applyNumberFormat="1" applyFont="1" applyFill="1" applyBorder="1"/>
    <xf numFmtId="0" fontId="8078" fillId="8083" borderId="8030" xfId="0" applyFont="1" applyFill="1" applyBorder="1"/>
    <xf numFmtId="0" fontId="8079" fillId="8084" borderId="8031" xfId="0" applyFont="1" applyFill="1" applyBorder="1"/>
    <xf numFmtId="0" fontId="8080" fillId="8085" borderId="8032" xfId="0" applyFont="1" applyFill="1" applyBorder="1"/>
    <xf numFmtId="0" fontId="8081" fillId="8086" borderId="8033" xfId="0" applyFont="1" applyFill="1" applyBorder="1"/>
    <xf numFmtId="0" fontId="8082" fillId="8087" borderId="8034" xfId="0" applyFont="1" applyFill="1" applyBorder="1"/>
    <xf numFmtId="0" fontId="8083" fillId="8088" borderId="8035" xfId="0" applyFont="1" applyFill="1" applyBorder="1"/>
    <xf numFmtId="14" fontId="8084" fillId="8089" borderId="8036" xfId="0" applyNumberFormat="1" applyFont="1" applyFill="1" applyBorder="1"/>
    <xf numFmtId="14" fontId="8085" fillId="8090" borderId="8037" xfId="0" applyNumberFormat="1" applyFont="1" applyFill="1" applyBorder="1"/>
    <xf numFmtId="0" fontId="8086" fillId="8091" borderId="8038" xfId="0" applyFont="1" applyFill="1" applyBorder="1"/>
    <xf numFmtId="14" fontId="8087" fillId="8092" borderId="8039" xfId="0" applyNumberFormat="1" applyFont="1" applyFill="1" applyBorder="1"/>
    <xf numFmtId="0" fontId="8088" fillId="8093" borderId="8040" xfId="0" applyFont="1" applyFill="1" applyBorder="1"/>
    <xf numFmtId="0" fontId="8089" fillId="8094" borderId="8041" xfId="0" applyFont="1" applyFill="1" applyBorder="1"/>
    <xf numFmtId="0" fontId="8090" fillId="8095" borderId="8042" xfId="0" applyFont="1" applyFill="1" applyBorder="1"/>
    <xf numFmtId="0" fontId="8091" fillId="8096" borderId="8043" xfId="0" applyFont="1" applyFill="1" applyBorder="1"/>
    <xf numFmtId="0" fontId="8092" fillId="8097" borderId="8044" xfId="0" applyFont="1" applyFill="1" applyBorder="1"/>
    <xf numFmtId="0" fontId="8093" fillId="8098" borderId="8045" xfId="0" applyFont="1" applyFill="1" applyBorder="1"/>
    <xf numFmtId="14" fontId="8094" fillId="8099" borderId="8046" xfId="0" applyNumberFormat="1" applyFont="1" applyFill="1" applyBorder="1"/>
    <xf numFmtId="14" fontId="8095" fillId="8100" borderId="8047" xfId="0" applyNumberFormat="1" applyFont="1" applyFill="1" applyBorder="1"/>
    <xf numFmtId="0" fontId="8096" fillId="8101" borderId="8048" xfId="0" applyFont="1" applyFill="1" applyBorder="1"/>
    <xf numFmtId="14" fontId="8097" fillId="8102" borderId="8049" xfId="0" applyNumberFormat="1" applyFont="1" applyFill="1" applyBorder="1"/>
    <xf numFmtId="0" fontId="8098" fillId="8103" borderId="8050" xfId="0" applyFont="1" applyFill="1" applyBorder="1"/>
    <xf numFmtId="0" fontId="8099" fillId="8104" borderId="8051" xfId="0" applyFont="1" applyFill="1" applyBorder="1"/>
    <xf numFmtId="0" fontId="8100" fillId="8105" borderId="8052" xfId="0" applyFont="1" applyFill="1" applyBorder="1"/>
    <xf numFmtId="0" fontId="8101" fillId="8106" borderId="8053" xfId="0" applyFont="1" applyFill="1" applyBorder="1"/>
    <xf numFmtId="0" fontId="8102" fillId="8107" borderId="8054" xfId="0" applyFont="1" applyFill="1" applyBorder="1"/>
    <xf numFmtId="0" fontId="8103" fillId="8108" borderId="8055" xfId="0" applyFont="1" applyFill="1" applyBorder="1"/>
    <xf numFmtId="14" fontId="8104" fillId="8109" borderId="8056" xfId="0" applyNumberFormat="1" applyFont="1" applyFill="1" applyBorder="1"/>
    <xf numFmtId="14" fontId="8105" fillId="8110" borderId="8057" xfId="0" applyNumberFormat="1" applyFont="1" applyFill="1" applyBorder="1"/>
    <xf numFmtId="0" fontId="8106" fillId="8111" borderId="8058" xfId="0" applyFont="1" applyFill="1" applyBorder="1"/>
    <xf numFmtId="14" fontId="8107" fillId="8112" borderId="8059" xfId="0" applyNumberFormat="1" applyFont="1" applyFill="1" applyBorder="1"/>
    <xf numFmtId="0" fontId="8108" fillId="8113" borderId="8060" xfId="0" applyFont="1" applyFill="1" applyBorder="1"/>
    <xf numFmtId="0" fontId="8109" fillId="8114" borderId="8061" xfId="0" applyFont="1" applyFill="1" applyBorder="1"/>
    <xf numFmtId="0" fontId="8110" fillId="8115" borderId="8062" xfId="0" applyFont="1" applyFill="1" applyBorder="1"/>
    <xf numFmtId="0" fontId="8111" fillId="8116" borderId="8063" xfId="0" applyFont="1" applyFill="1" applyBorder="1"/>
    <xf numFmtId="0" fontId="8112" fillId="8117" borderId="8064" xfId="0" applyFont="1" applyFill="1" applyBorder="1"/>
    <xf numFmtId="0" fontId="8113" fillId="8118" borderId="8065" xfId="0" applyFont="1" applyFill="1" applyBorder="1"/>
    <xf numFmtId="14" fontId="8114" fillId="8119" borderId="8066" xfId="0" applyNumberFormat="1" applyFont="1" applyFill="1" applyBorder="1"/>
    <xf numFmtId="14" fontId="8115" fillId="8120" borderId="8067" xfId="0" applyNumberFormat="1" applyFont="1" applyFill="1" applyBorder="1"/>
    <xf numFmtId="0" fontId="8116" fillId="8121" borderId="8068" xfId="0" applyFont="1" applyFill="1" applyBorder="1"/>
    <xf numFmtId="14" fontId="8117" fillId="8122" borderId="8069" xfId="0" applyNumberFormat="1" applyFont="1" applyFill="1" applyBorder="1"/>
    <xf numFmtId="0" fontId="8118" fillId="8123" borderId="8070" xfId="0" applyFont="1" applyFill="1" applyBorder="1"/>
    <xf numFmtId="0" fontId="8119" fillId="8124" borderId="8071" xfId="0" applyFont="1" applyFill="1" applyBorder="1"/>
    <xf numFmtId="0" fontId="8120" fillId="8125" borderId="8072" xfId="0" applyFont="1" applyFill="1" applyBorder="1"/>
    <xf numFmtId="0" fontId="8121" fillId="8126" borderId="8073" xfId="0" applyFont="1" applyFill="1" applyBorder="1"/>
    <xf numFmtId="0" fontId="8122" fillId="8127" borderId="8074" xfId="0" applyFont="1" applyFill="1" applyBorder="1"/>
    <xf numFmtId="0" fontId="8123" fillId="8128" borderId="8075" xfId="0" applyFont="1" applyFill="1" applyBorder="1"/>
    <xf numFmtId="14" fontId="8124" fillId="8129" borderId="8076" xfId="0" applyNumberFormat="1" applyFont="1" applyFill="1" applyBorder="1"/>
    <xf numFmtId="14" fontId="8125" fillId="8130" borderId="8077" xfId="0" applyNumberFormat="1" applyFont="1" applyFill="1" applyBorder="1"/>
    <xf numFmtId="0" fontId="8126" fillId="8131" borderId="8078" xfId="0" applyFont="1" applyFill="1" applyBorder="1"/>
    <xf numFmtId="14" fontId="8127" fillId="8132" borderId="8079" xfId="0" applyNumberFormat="1" applyFont="1" applyFill="1" applyBorder="1"/>
    <xf numFmtId="0" fontId="8128" fillId="8133" borderId="8080" xfId="0" applyFont="1" applyFill="1" applyBorder="1"/>
    <xf numFmtId="0" fontId="8129" fillId="8134" borderId="8081" xfId="0" applyFont="1" applyFill="1" applyBorder="1"/>
    <xf numFmtId="0" fontId="8130" fillId="8135" borderId="8082" xfId="0" applyFont="1" applyFill="1" applyBorder="1"/>
    <xf numFmtId="0" fontId="8131" fillId="8136" borderId="8083" xfId="0" applyFont="1" applyFill="1" applyBorder="1"/>
    <xf numFmtId="0" fontId="8132" fillId="8137" borderId="8084" xfId="0" applyFont="1" applyFill="1" applyBorder="1"/>
    <xf numFmtId="0" fontId="8133" fillId="8138" borderId="8085" xfId="0" applyFont="1" applyFill="1" applyBorder="1"/>
    <xf numFmtId="14" fontId="8134" fillId="8139" borderId="8086" xfId="0" applyNumberFormat="1" applyFont="1" applyFill="1" applyBorder="1"/>
    <xf numFmtId="14" fontId="8135" fillId="8140" borderId="8087" xfId="0" applyNumberFormat="1" applyFont="1" applyFill="1" applyBorder="1"/>
    <xf numFmtId="0" fontId="8136" fillId="8141" borderId="8088" xfId="0" applyFont="1" applyFill="1" applyBorder="1"/>
    <xf numFmtId="14" fontId="8137" fillId="8142" borderId="8089" xfId="0" applyNumberFormat="1" applyFont="1" applyFill="1" applyBorder="1"/>
    <xf numFmtId="0" fontId="8138" fillId="8143" borderId="8090" xfId="0" applyFont="1" applyFill="1" applyBorder="1"/>
    <xf numFmtId="0" fontId="8139" fillId="8144" borderId="8091" xfId="0" applyFont="1" applyFill="1" applyBorder="1"/>
    <xf numFmtId="0" fontId="8140" fillId="8145" borderId="8092" xfId="0" applyFont="1" applyFill="1" applyBorder="1"/>
    <xf numFmtId="0" fontId="8141" fillId="8146" borderId="8093" xfId="0" applyFont="1" applyFill="1" applyBorder="1"/>
    <xf numFmtId="0" fontId="8142" fillId="8147" borderId="8094" xfId="0" applyFont="1" applyFill="1" applyBorder="1"/>
    <xf numFmtId="0" fontId="8143" fillId="8148" borderId="8095" xfId="0" applyFont="1" applyFill="1" applyBorder="1"/>
    <xf numFmtId="14" fontId="8144" fillId="8149" borderId="8096" xfId="0" applyNumberFormat="1" applyFont="1" applyFill="1" applyBorder="1"/>
    <xf numFmtId="14" fontId="8145" fillId="8150" borderId="8097" xfId="0" applyNumberFormat="1" applyFont="1" applyFill="1" applyBorder="1"/>
    <xf numFmtId="0" fontId="8146" fillId="8151" borderId="8098" xfId="0" applyFont="1" applyFill="1" applyBorder="1"/>
    <xf numFmtId="14" fontId="8147" fillId="8152" borderId="8099" xfId="0" applyNumberFormat="1" applyFont="1" applyFill="1" applyBorder="1"/>
    <xf numFmtId="0" fontId="8148" fillId="8153" borderId="8100" xfId="0" applyFont="1" applyFill="1" applyBorder="1"/>
    <xf numFmtId="0" fontId="8149" fillId="8154" borderId="8101" xfId="0" applyFont="1" applyFill="1" applyBorder="1"/>
    <xf numFmtId="0" fontId="8150" fillId="8155" borderId="8102" xfId="0" applyFont="1" applyFill="1" applyBorder="1"/>
    <xf numFmtId="0" fontId="8151" fillId="8156" borderId="8103" xfId="0" applyFont="1" applyFill="1" applyBorder="1"/>
    <xf numFmtId="0" fontId="8152" fillId="8157" borderId="8104" xfId="0" applyFont="1" applyFill="1" applyBorder="1"/>
    <xf numFmtId="0" fontId="8153" fillId="8158" borderId="8105" xfId="0" applyFont="1" applyFill="1" applyBorder="1"/>
    <xf numFmtId="14" fontId="8154" fillId="8159" borderId="8106" xfId="0" applyNumberFormat="1" applyFont="1" applyFill="1" applyBorder="1"/>
    <xf numFmtId="14" fontId="8155" fillId="8160" borderId="8107" xfId="0" applyNumberFormat="1" applyFont="1" applyFill="1" applyBorder="1"/>
    <xf numFmtId="0" fontId="8156" fillId="8161" borderId="8108" xfId="0" applyFont="1" applyFill="1" applyBorder="1"/>
    <xf numFmtId="14" fontId="8157" fillId="8162" borderId="8109" xfId="0" applyNumberFormat="1" applyFont="1" applyFill="1" applyBorder="1"/>
    <xf numFmtId="0" fontId="8158" fillId="8163" borderId="8110" xfId="0" applyFont="1" applyFill="1" applyBorder="1"/>
    <xf numFmtId="0" fontId="8159" fillId="8164" borderId="8111" xfId="0" applyFont="1" applyFill="1" applyBorder="1"/>
    <xf numFmtId="0" fontId="8160" fillId="8165" borderId="8112" xfId="0" applyFont="1" applyFill="1" applyBorder="1"/>
    <xf numFmtId="0" fontId="8161" fillId="8166" borderId="8113" xfId="0" applyFont="1" applyFill="1" applyBorder="1"/>
    <xf numFmtId="0" fontId="8162" fillId="8167" borderId="8114" xfId="0" applyFont="1" applyFill="1" applyBorder="1"/>
    <xf numFmtId="0" fontId="8163" fillId="8168" borderId="8115" xfId="0" applyFont="1" applyFill="1" applyBorder="1"/>
    <xf numFmtId="14" fontId="8164" fillId="8169" borderId="8116" xfId="0" applyNumberFormat="1" applyFont="1" applyFill="1" applyBorder="1"/>
    <xf numFmtId="14" fontId="8165" fillId="8170" borderId="8117" xfId="0" applyNumberFormat="1" applyFont="1" applyFill="1" applyBorder="1"/>
    <xf numFmtId="0" fontId="8166" fillId="8171" borderId="8118" xfId="0" applyFont="1" applyFill="1" applyBorder="1"/>
    <xf numFmtId="14" fontId="8167" fillId="8172" borderId="8119" xfId="0" applyNumberFormat="1" applyFont="1" applyFill="1" applyBorder="1"/>
    <xf numFmtId="0" fontId="8168" fillId="8173" borderId="8120" xfId="0" applyFont="1" applyFill="1" applyBorder="1"/>
    <xf numFmtId="0" fontId="8169" fillId="8174" borderId="8121" xfId="0" applyFont="1" applyFill="1" applyBorder="1"/>
    <xf numFmtId="0" fontId="8170" fillId="8175" borderId="8122" xfId="0" applyFont="1" applyFill="1" applyBorder="1"/>
    <xf numFmtId="0" fontId="8171" fillId="8176" borderId="8123" xfId="0" applyFont="1" applyFill="1" applyBorder="1"/>
    <xf numFmtId="0" fontId="8172" fillId="8177" borderId="8124" xfId="0" applyFont="1" applyFill="1" applyBorder="1"/>
    <xf numFmtId="0" fontId="8173" fillId="8178" borderId="8125" xfId="0" applyFont="1" applyFill="1" applyBorder="1"/>
    <xf numFmtId="14" fontId="8174" fillId="8179" borderId="8126" xfId="0" applyNumberFormat="1" applyFont="1" applyFill="1" applyBorder="1"/>
    <xf numFmtId="14" fontId="8175" fillId="8180" borderId="8127" xfId="0" applyNumberFormat="1" applyFont="1" applyFill="1" applyBorder="1"/>
    <xf numFmtId="0" fontId="8176" fillId="8181" borderId="8128" xfId="0" applyFont="1" applyFill="1" applyBorder="1"/>
    <xf numFmtId="14" fontId="8177" fillId="8182" borderId="8129" xfId="0" applyNumberFormat="1" applyFont="1" applyFill="1" applyBorder="1"/>
    <xf numFmtId="0" fontId="8178" fillId="8183" borderId="8130" xfId="0" applyFont="1" applyFill="1" applyBorder="1"/>
    <xf numFmtId="0" fontId="8179" fillId="8184" borderId="8131" xfId="0" applyFont="1" applyFill="1" applyBorder="1"/>
    <xf numFmtId="0" fontId="8180" fillId="8185" borderId="8132" xfId="0" applyFont="1" applyFill="1" applyBorder="1"/>
    <xf numFmtId="0" fontId="8181" fillId="8186" borderId="8133" xfId="0" applyFont="1" applyFill="1" applyBorder="1"/>
    <xf numFmtId="0" fontId="8182" fillId="8187" borderId="8134" xfId="0" applyFont="1" applyFill="1" applyBorder="1"/>
    <xf numFmtId="0" fontId="8183" fillId="8188" borderId="8135" xfId="0" applyFont="1" applyFill="1" applyBorder="1"/>
    <xf numFmtId="14" fontId="8184" fillId="8189" borderId="8136" xfId="0" applyNumberFormat="1" applyFont="1" applyFill="1" applyBorder="1"/>
    <xf numFmtId="14" fontId="8185" fillId="8190" borderId="8137" xfId="0" applyNumberFormat="1" applyFont="1" applyFill="1" applyBorder="1"/>
    <xf numFmtId="0" fontId="8186" fillId="8191" borderId="8138" xfId="0" applyFont="1" applyFill="1" applyBorder="1"/>
    <xf numFmtId="14" fontId="8187" fillId="8192" borderId="8139" xfId="0" applyNumberFormat="1" applyFont="1" applyFill="1" applyBorder="1"/>
    <xf numFmtId="0" fontId="8188" fillId="8193" borderId="8140" xfId="0" applyFont="1" applyFill="1" applyBorder="1"/>
    <xf numFmtId="0" fontId="8189" fillId="8194" borderId="8141" xfId="0" applyFont="1" applyFill="1" applyBorder="1"/>
    <xf numFmtId="0" fontId="8190" fillId="8195" borderId="8142" xfId="0" applyFont="1" applyFill="1" applyBorder="1"/>
    <xf numFmtId="0" fontId="8191" fillId="8196" borderId="8143" xfId="0" applyFont="1" applyFill="1" applyBorder="1"/>
    <xf numFmtId="0" fontId="8192" fillId="8197" borderId="8144" xfId="0" applyFont="1" applyFill="1" applyBorder="1"/>
    <xf numFmtId="0" fontId="8193" fillId="8198" borderId="8145" xfId="0" applyFont="1" applyFill="1" applyBorder="1"/>
    <xf numFmtId="14" fontId="8194" fillId="8199" borderId="8146" xfId="0" applyNumberFormat="1" applyFont="1" applyFill="1" applyBorder="1"/>
    <xf numFmtId="14" fontId="8195" fillId="8200" borderId="8147" xfId="0" applyNumberFormat="1" applyFont="1" applyFill="1" applyBorder="1"/>
    <xf numFmtId="0" fontId="8196" fillId="8201" borderId="8148" xfId="0" applyFont="1" applyFill="1" applyBorder="1"/>
    <xf numFmtId="14" fontId="8197" fillId="8202" borderId="8149" xfId="0" applyNumberFormat="1" applyFont="1" applyFill="1" applyBorder="1"/>
    <xf numFmtId="0" fontId="8198" fillId="8203" borderId="8150" xfId="0" applyFont="1" applyFill="1" applyBorder="1"/>
    <xf numFmtId="0" fontId="8199" fillId="8204" borderId="8151" xfId="0" applyFont="1" applyFill="1" applyBorder="1"/>
    <xf numFmtId="0" fontId="8200" fillId="8205" borderId="8152" xfId="0" applyFont="1" applyFill="1" applyBorder="1"/>
    <xf numFmtId="0" fontId="8201" fillId="8206" borderId="8153" xfId="0" applyFont="1" applyFill="1" applyBorder="1"/>
    <xf numFmtId="0" fontId="8202" fillId="8207" borderId="8154" xfId="0" applyFont="1" applyFill="1" applyBorder="1"/>
    <xf numFmtId="0" fontId="8203" fillId="8208" borderId="8155" xfId="0" applyFont="1" applyFill="1" applyBorder="1"/>
    <xf numFmtId="14" fontId="8204" fillId="8209" borderId="8156" xfId="0" applyNumberFormat="1" applyFont="1" applyFill="1" applyBorder="1"/>
    <xf numFmtId="14" fontId="8205" fillId="8210" borderId="8157" xfId="0" applyNumberFormat="1" applyFont="1" applyFill="1" applyBorder="1"/>
    <xf numFmtId="0" fontId="8206" fillId="8211" borderId="8158" xfId="0" applyFont="1" applyFill="1" applyBorder="1"/>
    <xf numFmtId="14" fontId="8207" fillId="8212" borderId="8159" xfId="0" applyNumberFormat="1" applyFont="1" applyFill="1" applyBorder="1"/>
    <xf numFmtId="0" fontId="8208" fillId="8213" borderId="8160" xfId="0" applyFont="1" applyFill="1" applyBorder="1"/>
    <xf numFmtId="0" fontId="8209" fillId="8214" borderId="8161" xfId="0" applyFont="1" applyFill="1" applyBorder="1"/>
    <xf numFmtId="0" fontId="8210" fillId="8215" borderId="8162" xfId="0" applyFont="1" applyFill="1" applyBorder="1"/>
    <xf numFmtId="0" fontId="8211" fillId="8216" borderId="8163" xfId="0" applyFont="1" applyFill="1" applyBorder="1"/>
    <xf numFmtId="0" fontId="8212" fillId="8217" borderId="8164" xfId="0" applyFont="1" applyFill="1" applyBorder="1"/>
    <xf numFmtId="0" fontId="8213" fillId="8218" borderId="8165" xfId="0" applyFont="1" applyFill="1" applyBorder="1"/>
    <xf numFmtId="14" fontId="8214" fillId="8219" borderId="8166" xfId="0" applyNumberFormat="1" applyFont="1" applyFill="1" applyBorder="1"/>
    <xf numFmtId="14" fontId="8215" fillId="8220" borderId="8167" xfId="0" applyNumberFormat="1" applyFont="1" applyFill="1" applyBorder="1"/>
    <xf numFmtId="0" fontId="8216" fillId="8221" borderId="8168" xfId="0" applyFont="1" applyFill="1" applyBorder="1"/>
    <xf numFmtId="14" fontId="8217" fillId="8222" borderId="8169" xfId="0" applyNumberFormat="1" applyFont="1" applyFill="1" applyBorder="1"/>
    <xf numFmtId="0" fontId="8218" fillId="8223" borderId="8170" xfId="0" applyFont="1" applyFill="1" applyBorder="1"/>
    <xf numFmtId="0" fontId="8219" fillId="8224" borderId="8171" xfId="0" applyFont="1" applyFill="1" applyBorder="1"/>
    <xf numFmtId="0" fontId="8220" fillId="8225" borderId="8172" xfId="0" applyFont="1" applyFill="1" applyBorder="1"/>
    <xf numFmtId="0" fontId="8221" fillId="8226" borderId="8173" xfId="0" applyFont="1" applyFill="1" applyBorder="1"/>
    <xf numFmtId="0" fontId="8222" fillId="8227" borderId="8174" xfId="0" applyFont="1" applyFill="1" applyBorder="1"/>
    <xf numFmtId="0" fontId="8223" fillId="8228" borderId="8175" xfId="0" applyFont="1" applyFill="1" applyBorder="1"/>
    <xf numFmtId="14" fontId="8224" fillId="8229" borderId="8176" xfId="0" applyNumberFormat="1" applyFont="1" applyFill="1" applyBorder="1"/>
    <xf numFmtId="14" fontId="8225" fillId="8230" borderId="8177" xfId="0" applyNumberFormat="1" applyFont="1" applyFill="1" applyBorder="1"/>
    <xf numFmtId="0" fontId="8226" fillId="8231" borderId="8178" xfId="0" applyFont="1" applyFill="1" applyBorder="1"/>
    <xf numFmtId="14" fontId="8227" fillId="8232" borderId="8179" xfId="0" applyNumberFormat="1" applyFont="1" applyFill="1" applyBorder="1"/>
    <xf numFmtId="0" fontId="8228" fillId="8233" borderId="8180" xfId="0" applyFont="1" applyFill="1" applyBorder="1"/>
    <xf numFmtId="0" fontId="8229" fillId="8234" borderId="8181" xfId="0" applyFont="1" applyFill="1" applyBorder="1"/>
    <xf numFmtId="0" fontId="8230" fillId="8235" borderId="8182" xfId="0" applyFont="1" applyFill="1" applyBorder="1"/>
    <xf numFmtId="0" fontId="8231" fillId="8236" borderId="8183" xfId="0" applyFont="1" applyFill="1" applyBorder="1"/>
    <xf numFmtId="0" fontId="8232" fillId="8237" borderId="8184" xfId="0" applyFont="1" applyFill="1" applyBorder="1"/>
    <xf numFmtId="0" fontId="8233" fillId="8238" borderId="8185" xfId="0" applyFont="1" applyFill="1" applyBorder="1"/>
    <xf numFmtId="14" fontId="8234" fillId="8239" borderId="8186" xfId="0" applyNumberFormat="1" applyFont="1" applyFill="1" applyBorder="1"/>
    <xf numFmtId="14" fontId="8235" fillId="8240" borderId="8187" xfId="0" applyNumberFormat="1" applyFont="1" applyFill="1" applyBorder="1"/>
    <xf numFmtId="0" fontId="8236" fillId="8241" borderId="8188" xfId="0" applyFont="1" applyFill="1" applyBorder="1"/>
    <xf numFmtId="14" fontId="8237" fillId="8242" borderId="8189" xfId="0" applyNumberFormat="1" applyFont="1" applyFill="1" applyBorder="1"/>
    <xf numFmtId="0" fontId="8238" fillId="8243" borderId="8190" xfId="0" applyFont="1" applyFill="1" applyBorder="1"/>
    <xf numFmtId="0" fontId="8239" fillId="8244" borderId="8191" xfId="0" applyFont="1" applyFill="1" applyBorder="1"/>
    <xf numFmtId="0" fontId="8240" fillId="8245" borderId="8192" xfId="0" applyFont="1" applyFill="1" applyBorder="1"/>
    <xf numFmtId="0" fontId="8241" fillId="8246" borderId="8193" xfId="0" applyFont="1" applyFill="1" applyBorder="1"/>
    <xf numFmtId="0" fontId="8242" fillId="8247" borderId="8194" xfId="0" applyFont="1" applyFill="1" applyBorder="1"/>
    <xf numFmtId="0" fontId="8243" fillId="8248" borderId="8195" xfId="0" applyFont="1" applyFill="1" applyBorder="1"/>
    <xf numFmtId="14" fontId="8244" fillId="8249" borderId="8196" xfId="0" applyNumberFormat="1" applyFont="1" applyFill="1" applyBorder="1"/>
    <xf numFmtId="14" fontId="8245" fillId="8250" borderId="8197" xfId="0" applyNumberFormat="1" applyFont="1" applyFill="1" applyBorder="1"/>
    <xf numFmtId="0" fontId="8246" fillId="8251" borderId="8198" xfId="0" applyFont="1" applyFill="1" applyBorder="1"/>
    <xf numFmtId="14" fontId="8247" fillId="8252" borderId="8199" xfId="0" applyNumberFormat="1" applyFont="1" applyFill="1" applyBorder="1"/>
    <xf numFmtId="0" fontId="8248" fillId="8253" borderId="8200" xfId="0" applyFont="1" applyFill="1" applyBorder="1"/>
    <xf numFmtId="0" fontId="8249" fillId="8254" borderId="8201" xfId="0" applyFont="1" applyFill="1" applyBorder="1"/>
    <xf numFmtId="0" fontId="8250" fillId="8255" borderId="8202" xfId="0" applyFont="1" applyFill="1" applyBorder="1"/>
    <xf numFmtId="0" fontId="8251" fillId="8256" borderId="8203" xfId="0" applyFont="1" applyFill="1" applyBorder="1"/>
    <xf numFmtId="0" fontId="8252" fillId="8257" borderId="8204" xfId="0" applyFont="1" applyFill="1" applyBorder="1"/>
    <xf numFmtId="0" fontId="8253" fillId="8258" borderId="8205" xfId="0" applyFont="1" applyFill="1" applyBorder="1"/>
    <xf numFmtId="14" fontId="8254" fillId="8259" borderId="8206" xfId="0" applyNumberFormat="1" applyFont="1" applyFill="1" applyBorder="1"/>
    <xf numFmtId="14" fontId="8255" fillId="8260" borderId="8207" xfId="0" applyNumberFormat="1" applyFont="1" applyFill="1" applyBorder="1"/>
    <xf numFmtId="0" fontId="8256" fillId="8261" borderId="8208" xfId="0" applyFont="1" applyFill="1" applyBorder="1"/>
    <xf numFmtId="14" fontId="8257" fillId="8262" borderId="8209" xfId="0" applyNumberFormat="1" applyFont="1" applyFill="1" applyBorder="1"/>
    <xf numFmtId="0" fontId="8258" fillId="8263" borderId="8210" xfId="0" applyFont="1" applyFill="1" applyBorder="1"/>
    <xf numFmtId="0" fontId="8259" fillId="8264" borderId="8211" xfId="0" applyFont="1" applyFill="1" applyBorder="1"/>
    <xf numFmtId="0" fontId="8260" fillId="8265" borderId="8212" xfId="0" applyFont="1" applyFill="1" applyBorder="1"/>
    <xf numFmtId="0" fontId="8261" fillId="8266" borderId="8213" xfId="0" applyFont="1" applyFill="1" applyBorder="1"/>
    <xf numFmtId="0" fontId="8262" fillId="8267" borderId="8214" xfId="0" applyFont="1" applyFill="1" applyBorder="1"/>
    <xf numFmtId="0" fontId="8263" fillId="8268" borderId="8215" xfId="0" applyFont="1" applyFill="1" applyBorder="1"/>
    <xf numFmtId="14" fontId="8264" fillId="8269" borderId="8216" xfId="0" applyNumberFormat="1" applyFont="1" applyFill="1" applyBorder="1"/>
    <xf numFmtId="14" fontId="8265" fillId="8270" borderId="8217" xfId="0" applyNumberFormat="1" applyFont="1" applyFill="1" applyBorder="1"/>
    <xf numFmtId="0" fontId="8266" fillId="8271" borderId="8218" xfId="0" applyFont="1" applyFill="1" applyBorder="1"/>
    <xf numFmtId="14" fontId="8267" fillId="8272" borderId="8219" xfId="0" applyNumberFormat="1" applyFont="1" applyFill="1" applyBorder="1"/>
    <xf numFmtId="0" fontId="8268" fillId="8273" borderId="8220" xfId="0" applyFont="1" applyFill="1" applyBorder="1"/>
    <xf numFmtId="0" fontId="8269" fillId="8274" borderId="8221" xfId="0" applyFont="1" applyFill="1" applyBorder="1"/>
    <xf numFmtId="0" fontId="8270" fillId="8275" borderId="8222" xfId="0" applyFont="1" applyFill="1" applyBorder="1"/>
    <xf numFmtId="0" fontId="8271" fillId="8276" borderId="8223" xfId="0" applyFont="1" applyFill="1" applyBorder="1"/>
    <xf numFmtId="0" fontId="8272" fillId="8277" borderId="8224" xfId="0" applyFont="1" applyFill="1" applyBorder="1"/>
    <xf numFmtId="0" fontId="8273" fillId="8278" borderId="8225" xfId="0" applyFont="1" applyFill="1" applyBorder="1"/>
    <xf numFmtId="14" fontId="8274" fillId="8279" borderId="8226" xfId="0" applyNumberFormat="1" applyFont="1" applyFill="1" applyBorder="1"/>
    <xf numFmtId="14" fontId="8275" fillId="8280" borderId="8227" xfId="0" applyNumberFormat="1" applyFont="1" applyFill="1" applyBorder="1"/>
    <xf numFmtId="0" fontId="8276" fillId="8281" borderId="8228" xfId="0" applyFont="1" applyFill="1" applyBorder="1"/>
    <xf numFmtId="14" fontId="8277" fillId="8282" borderId="8229" xfId="0" applyNumberFormat="1" applyFont="1" applyFill="1" applyBorder="1"/>
    <xf numFmtId="0" fontId="8278" fillId="8283" borderId="8230" xfId="0" applyFont="1" applyFill="1" applyBorder="1"/>
    <xf numFmtId="0" fontId="8279" fillId="8284" borderId="8231" xfId="0" applyFont="1" applyFill="1" applyBorder="1"/>
    <xf numFmtId="0" fontId="8280" fillId="8285" borderId="8232" xfId="0" applyFont="1" applyFill="1" applyBorder="1"/>
    <xf numFmtId="0" fontId="8281" fillId="8286" borderId="8233" xfId="0" applyFont="1" applyFill="1" applyBorder="1"/>
    <xf numFmtId="0" fontId="8282" fillId="8287" borderId="8234" xfId="0" applyFont="1" applyFill="1" applyBorder="1"/>
    <xf numFmtId="0" fontId="8283" fillId="8288" borderId="8235" xfId="0" applyFont="1" applyFill="1" applyBorder="1"/>
    <xf numFmtId="14" fontId="8284" fillId="8289" borderId="8236" xfId="0" applyNumberFormat="1" applyFont="1" applyFill="1" applyBorder="1"/>
    <xf numFmtId="14" fontId="8285" fillId="8290" borderId="8237" xfId="0" applyNumberFormat="1" applyFont="1" applyFill="1" applyBorder="1"/>
    <xf numFmtId="0" fontId="8286" fillId="8291" borderId="8238" xfId="0" applyFont="1" applyFill="1" applyBorder="1"/>
    <xf numFmtId="14" fontId="8287" fillId="8292" borderId="8239" xfId="0" applyNumberFormat="1" applyFont="1" applyFill="1" applyBorder="1"/>
    <xf numFmtId="0" fontId="8288" fillId="8293" borderId="8240" xfId="0" applyFont="1" applyFill="1" applyBorder="1"/>
    <xf numFmtId="0" fontId="8289" fillId="8294" borderId="8241" xfId="0" applyFont="1" applyFill="1" applyBorder="1"/>
    <xf numFmtId="0" fontId="8290" fillId="8295" borderId="8242" xfId="0" applyFont="1" applyFill="1" applyBorder="1"/>
    <xf numFmtId="0" fontId="8291" fillId="8296" borderId="8243" xfId="0" applyFont="1" applyFill="1" applyBorder="1"/>
    <xf numFmtId="0" fontId="8292" fillId="8297" borderId="8244" xfId="0" applyFont="1" applyFill="1" applyBorder="1"/>
    <xf numFmtId="0" fontId="8293" fillId="8298" borderId="8245" xfId="0" applyFont="1" applyFill="1" applyBorder="1"/>
    <xf numFmtId="14" fontId="8294" fillId="8299" borderId="8246" xfId="0" applyNumberFormat="1" applyFont="1" applyFill="1" applyBorder="1"/>
    <xf numFmtId="14" fontId="8295" fillId="8300" borderId="8247" xfId="0" applyNumberFormat="1" applyFont="1" applyFill="1" applyBorder="1"/>
    <xf numFmtId="0" fontId="8296" fillId="8301" borderId="8248" xfId="0" applyFont="1" applyFill="1" applyBorder="1"/>
    <xf numFmtId="14" fontId="8297" fillId="8302" borderId="8249" xfId="0" applyNumberFormat="1" applyFont="1" applyFill="1" applyBorder="1"/>
    <xf numFmtId="0" fontId="8298" fillId="8303" borderId="8250" xfId="0" applyFont="1" applyFill="1" applyBorder="1"/>
    <xf numFmtId="0" fontId="8299" fillId="8304" borderId="8251" xfId="0" applyFont="1" applyFill="1" applyBorder="1"/>
    <xf numFmtId="0" fontId="8300" fillId="8305" borderId="8252" xfId="0" applyFont="1" applyFill="1" applyBorder="1"/>
    <xf numFmtId="0" fontId="8301" fillId="8306" borderId="8253" xfId="0" applyFont="1" applyFill="1" applyBorder="1"/>
    <xf numFmtId="0" fontId="8302" fillId="8307" borderId="8254" xfId="0" applyFont="1" applyFill="1" applyBorder="1"/>
    <xf numFmtId="0" fontId="8303" fillId="8308" borderId="8255" xfId="0" applyFont="1" applyFill="1" applyBorder="1"/>
    <xf numFmtId="14" fontId="8304" fillId="8309" borderId="8256" xfId="0" applyNumberFormat="1" applyFont="1" applyFill="1" applyBorder="1"/>
    <xf numFmtId="14" fontId="8305" fillId="8310" borderId="8257" xfId="0" applyNumberFormat="1" applyFont="1" applyFill="1" applyBorder="1"/>
    <xf numFmtId="0" fontId="8306" fillId="8311" borderId="8258" xfId="0" applyFont="1" applyFill="1" applyBorder="1"/>
    <xf numFmtId="14" fontId="8307" fillId="8312" borderId="8259" xfId="0" applyNumberFormat="1" applyFont="1" applyFill="1" applyBorder="1"/>
    <xf numFmtId="0" fontId="8308" fillId="8313" borderId="8260" xfId="0" applyFont="1" applyFill="1" applyBorder="1"/>
    <xf numFmtId="0" fontId="8309" fillId="8314" borderId="8261" xfId="0" applyFont="1" applyFill="1" applyBorder="1"/>
    <xf numFmtId="0" fontId="8310" fillId="8315" borderId="8262" xfId="0" applyFont="1" applyFill="1" applyBorder="1"/>
    <xf numFmtId="0" fontId="8311" fillId="8316" borderId="8263" xfId="0" applyFont="1" applyFill="1" applyBorder="1"/>
    <xf numFmtId="0" fontId="8312" fillId="8317" borderId="8264" xfId="0" applyFont="1" applyFill="1" applyBorder="1"/>
    <xf numFmtId="0" fontId="8313" fillId="8318" borderId="8265" xfId="0" applyFont="1" applyFill="1" applyBorder="1"/>
    <xf numFmtId="14" fontId="8314" fillId="8319" borderId="8266" xfId="0" applyNumberFormat="1" applyFont="1" applyFill="1" applyBorder="1"/>
    <xf numFmtId="14" fontId="8315" fillId="8320" borderId="8267" xfId="0" applyNumberFormat="1" applyFont="1" applyFill="1" applyBorder="1"/>
    <xf numFmtId="0" fontId="8316" fillId="8321" borderId="8268" xfId="0" applyFont="1" applyFill="1" applyBorder="1"/>
    <xf numFmtId="14" fontId="8317" fillId="8322" borderId="8269" xfId="0" applyNumberFormat="1" applyFont="1" applyFill="1" applyBorder="1"/>
    <xf numFmtId="0" fontId="8318" fillId="8323" borderId="8270" xfId="0" applyFont="1" applyFill="1" applyBorder="1"/>
    <xf numFmtId="0" fontId="8319" fillId="8324" borderId="8271" xfId="0" applyFont="1" applyFill="1" applyBorder="1"/>
    <xf numFmtId="0" fontId="8320" fillId="8325" borderId="8272" xfId="0" applyFont="1" applyFill="1" applyBorder="1"/>
    <xf numFmtId="0" fontId="8321" fillId="8326" borderId="8273" xfId="0" applyFont="1" applyFill="1" applyBorder="1"/>
    <xf numFmtId="0" fontId="8322" fillId="8327" borderId="8274" xfId="0" applyFont="1" applyFill="1" applyBorder="1"/>
    <xf numFmtId="0" fontId="8323" fillId="8328" borderId="8275" xfId="0" applyFont="1" applyFill="1" applyBorder="1"/>
    <xf numFmtId="14" fontId="8324" fillId="8329" borderId="8276" xfId="0" applyNumberFormat="1" applyFont="1" applyFill="1" applyBorder="1"/>
    <xf numFmtId="14" fontId="8325" fillId="8330" borderId="8277" xfId="0" applyNumberFormat="1" applyFont="1" applyFill="1" applyBorder="1"/>
    <xf numFmtId="0" fontId="8326" fillId="8331" borderId="8278" xfId="0" applyFont="1" applyFill="1" applyBorder="1"/>
    <xf numFmtId="14" fontId="8327" fillId="8332" borderId="8279" xfId="0" applyNumberFormat="1" applyFont="1" applyFill="1" applyBorder="1"/>
    <xf numFmtId="0" fontId="8328" fillId="8333" borderId="8280" xfId="0" applyFont="1" applyFill="1" applyBorder="1"/>
    <xf numFmtId="0" fontId="8329" fillId="8334" borderId="8281" xfId="0" applyFont="1" applyFill="1" applyBorder="1"/>
    <xf numFmtId="0" fontId="8330" fillId="8335" borderId="8282" xfId="0" applyFont="1" applyFill="1" applyBorder="1"/>
    <xf numFmtId="0" fontId="8331" fillId="8336" borderId="8283" xfId="0" applyFont="1" applyFill="1" applyBorder="1"/>
    <xf numFmtId="0" fontId="8332" fillId="8337" borderId="8284" xfId="0" applyFont="1" applyFill="1" applyBorder="1"/>
    <xf numFmtId="0" fontId="8333" fillId="8338" borderId="8285" xfId="0" applyFont="1" applyFill="1" applyBorder="1"/>
    <xf numFmtId="14" fontId="8334" fillId="8339" borderId="8286" xfId="0" applyNumberFormat="1" applyFont="1" applyFill="1" applyBorder="1"/>
    <xf numFmtId="14" fontId="8335" fillId="8340" borderId="8287" xfId="0" applyNumberFormat="1" applyFont="1" applyFill="1" applyBorder="1"/>
    <xf numFmtId="0" fontId="8336" fillId="8341" borderId="8288" xfId="0" applyFont="1" applyFill="1" applyBorder="1"/>
    <xf numFmtId="14" fontId="8337" fillId="8342" borderId="8289" xfId="0" applyNumberFormat="1" applyFont="1" applyFill="1" applyBorder="1"/>
    <xf numFmtId="0" fontId="8338" fillId="8343" borderId="8290" xfId="0" applyFont="1" applyFill="1" applyBorder="1"/>
    <xf numFmtId="0" fontId="8339" fillId="8344" borderId="8291" xfId="0" applyFont="1" applyFill="1" applyBorder="1"/>
    <xf numFmtId="0" fontId="8340" fillId="8345" borderId="8292" xfId="0" applyFont="1" applyFill="1" applyBorder="1"/>
    <xf numFmtId="0" fontId="8341" fillId="8346" borderId="8293" xfId="0" applyFont="1" applyFill="1" applyBorder="1"/>
    <xf numFmtId="0" fontId="8342" fillId="8347" borderId="8294" xfId="0" applyFont="1" applyFill="1" applyBorder="1"/>
    <xf numFmtId="0" fontId="8343" fillId="8348" borderId="8295" xfId="0" applyFont="1" applyFill="1" applyBorder="1"/>
    <xf numFmtId="14" fontId="8344" fillId="8349" borderId="8296" xfId="0" applyNumberFormat="1" applyFont="1" applyFill="1" applyBorder="1"/>
    <xf numFmtId="14" fontId="8345" fillId="8350" borderId="8297" xfId="0" applyNumberFormat="1" applyFont="1" applyFill="1" applyBorder="1"/>
    <xf numFmtId="0" fontId="8346" fillId="8351" borderId="8298" xfId="0" applyFont="1" applyFill="1" applyBorder="1"/>
    <xf numFmtId="14" fontId="8347" fillId="8352" borderId="8299" xfId="0" applyNumberFormat="1" applyFont="1" applyFill="1" applyBorder="1"/>
    <xf numFmtId="0" fontId="8348" fillId="8353" borderId="8300" xfId="0" applyFont="1" applyFill="1" applyBorder="1"/>
    <xf numFmtId="0" fontId="8349" fillId="8354" borderId="8301" xfId="0" applyFont="1" applyFill="1" applyBorder="1"/>
    <xf numFmtId="0" fontId="8350" fillId="8355" borderId="8302" xfId="0" applyFont="1" applyFill="1" applyBorder="1"/>
    <xf numFmtId="0" fontId="8351" fillId="8356" borderId="8303" xfId="0" applyFont="1" applyFill="1" applyBorder="1"/>
    <xf numFmtId="0" fontId="8352" fillId="8357" borderId="8304" xfId="0" applyFont="1" applyFill="1" applyBorder="1"/>
    <xf numFmtId="0" fontId="8353" fillId="8358" borderId="8305" xfId="0" applyFont="1" applyFill="1" applyBorder="1"/>
    <xf numFmtId="14" fontId="8354" fillId="8359" borderId="8306" xfId="0" applyNumberFormat="1" applyFont="1" applyFill="1" applyBorder="1"/>
    <xf numFmtId="14" fontId="8355" fillId="8360" borderId="8307" xfId="0" applyNumberFormat="1" applyFont="1" applyFill="1" applyBorder="1"/>
    <xf numFmtId="0" fontId="8356" fillId="8361" borderId="8308" xfId="0" applyFont="1" applyFill="1" applyBorder="1"/>
    <xf numFmtId="14" fontId="8357" fillId="8362" borderId="8309" xfId="0" applyNumberFormat="1" applyFont="1" applyFill="1" applyBorder="1"/>
    <xf numFmtId="0" fontId="8358" fillId="8363" borderId="8310" xfId="0" applyFont="1" applyFill="1" applyBorder="1"/>
    <xf numFmtId="0" fontId="8359" fillId="8364" borderId="8311" xfId="0" applyFont="1" applyFill="1" applyBorder="1"/>
    <xf numFmtId="0" fontId="8360" fillId="8365" borderId="8312" xfId="0" applyFont="1" applyFill="1" applyBorder="1"/>
    <xf numFmtId="0" fontId="8361" fillId="8366" borderId="8313" xfId="0" applyFont="1" applyFill="1" applyBorder="1"/>
    <xf numFmtId="0" fontId="8362" fillId="8367" borderId="8314" xfId="0" applyFont="1" applyFill="1" applyBorder="1"/>
    <xf numFmtId="0" fontId="8363" fillId="8368" borderId="8315" xfId="0" applyFont="1" applyFill="1" applyBorder="1"/>
    <xf numFmtId="14" fontId="8364" fillId="8369" borderId="8316" xfId="0" applyNumberFormat="1" applyFont="1" applyFill="1" applyBorder="1"/>
    <xf numFmtId="14" fontId="8365" fillId="8370" borderId="8317" xfId="0" applyNumberFormat="1" applyFont="1" applyFill="1" applyBorder="1"/>
    <xf numFmtId="0" fontId="8366" fillId="8371" borderId="8318" xfId="0" applyFont="1" applyFill="1" applyBorder="1"/>
    <xf numFmtId="14" fontId="8367" fillId="8372" borderId="8319" xfId="0" applyNumberFormat="1" applyFont="1" applyFill="1" applyBorder="1"/>
    <xf numFmtId="0" fontId="8368" fillId="8373" borderId="8320" xfId="0" applyFont="1" applyFill="1" applyBorder="1"/>
    <xf numFmtId="0" fontId="8369" fillId="8374" borderId="8321" xfId="0" applyFont="1" applyFill="1" applyBorder="1"/>
    <xf numFmtId="0" fontId="8370" fillId="8375" borderId="8322" xfId="0" applyFont="1" applyFill="1" applyBorder="1"/>
    <xf numFmtId="0" fontId="8371" fillId="8376" borderId="8323" xfId="0" applyFont="1" applyFill="1" applyBorder="1"/>
    <xf numFmtId="0" fontId="8372" fillId="8377" borderId="8324" xfId="0" applyFont="1" applyFill="1" applyBorder="1"/>
    <xf numFmtId="0" fontId="8373" fillId="8378" borderId="8325" xfId="0" applyFont="1" applyFill="1" applyBorder="1"/>
    <xf numFmtId="14" fontId="8374" fillId="8379" borderId="8326" xfId="0" applyNumberFormat="1" applyFont="1" applyFill="1" applyBorder="1"/>
    <xf numFmtId="14" fontId="8375" fillId="8380" borderId="8327" xfId="0" applyNumberFormat="1" applyFont="1" applyFill="1" applyBorder="1"/>
    <xf numFmtId="0" fontId="8376" fillId="8381" borderId="8328" xfId="0" applyFont="1" applyFill="1" applyBorder="1"/>
    <xf numFmtId="14" fontId="8377" fillId="8382" borderId="8329" xfId="0" applyNumberFormat="1" applyFont="1" applyFill="1" applyBorder="1"/>
    <xf numFmtId="0" fontId="8378" fillId="8383" borderId="8330" xfId="0" applyFont="1" applyFill="1" applyBorder="1"/>
    <xf numFmtId="0" fontId="8379" fillId="8384" borderId="8331" xfId="0" applyFont="1" applyFill="1" applyBorder="1"/>
    <xf numFmtId="0" fontId="8380" fillId="8385" borderId="8332" xfId="0" applyFont="1" applyFill="1" applyBorder="1"/>
    <xf numFmtId="0" fontId="8381" fillId="8386" borderId="8333" xfId="0" applyFont="1" applyFill="1" applyBorder="1"/>
    <xf numFmtId="0" fontId="8382" fillId="8387" borderId="8334" xfId="0" applyFont="1" applyFill="1" applyBorder="1"/>
    <xf numFmtId="0" fontId="8383" fillId="8388" borderId="8335" xfId="0" applyFont="1" applyFill="1" applyBorder="1"/>
    <xf numFmtId="14" fontId="8384" fillId="8389" borderId="8336" xfId="0" applyNumberFormat="1" applyFont="1" applyFill="1" applyBorder="1"/>
    <xf numFmtId="14" fontId="8385" fillId="8390" borderId="8337" xfId="0" applyNumberFormat="1" applyFont="1" applyFill="1" applyBorder="1"/>
    <xf numFmtId="0" fontId="8386" fillId="8391" borderId="8338" xfId="0" applyFont="1" applyFill="1" applyBorder="1"/>
    <xf numFmtId="14" fontId="8387" fillId="8392" borderId="8339" xfId="0" applyNumberFormat="1" applyFont="1" applyFill="1" applyBorder="1"/>
    <xf numFmtId="0" fontId="8388" fillId="8393" borderId="8340" xfId="0" applyFont="1" applyFill="1" applyBorder="1"/>
    <xf numFmtId="0" fontId="8389" fillId="8394" borderId="8341" xfId="0" applyFont="1" applyFill="1" applyBorder="1"/>
    <xf numFmtId="0" fontId="8390" fillId="8395" borderId="8342" xfId="0" applyFont="1" applyFill="1" applyBorder="1"/>
    <xf numFmtId="0" fontId="8391" fillId="8396" borderId="8343" xfId="0" applyFont="1" applyFill="1" applyBorder="1"/>
    <xf numFmtId="0" fontId="8392" fillId="8397" borderId="8344" xfId="0" applyFont="1" applyFill="1" applyBorder="1"/>
    <xf numFmtId="0" fontId="8393" fillId="8398" borderId="8345" xfId="0" applyFont="1" applyFill="1" applyBorder="1"/>
    <xf numFmtId="14" fontId="8394" fillId="8399" borderId="8346" xfId="0" applyNumberFormat="1" applyFont="1" applyFill="1" applyBorder="1"/>
    <xf numFmtId="14" fontId="8395" fillId="8400" borderId="8347" xfId="0" applyNumberFormat="1" applyFont="1" applyFill="1" applyBorder="1"/>
    <xf numFmtId="0" fontId="8396" fillId="8401" borderId="8348" xfId="0" applyFont="1" applyFill="1" applyBorder="1"/>
    <xf numFmtId="14" fontId="8397" fillId="8402" borderId="8349" xfId="0" applyNumberFormat="1" applyFont="1" applyFill="1" applyBorder="1"/>
    <xf numFmtId="0" fontId="8398" fillId="8403" borderId="8350" xfId="0" applyFont="1" applyFill="1" applyBorder="1"/>
    <xf numFmtId="0" fontId="8399" fillId="8404" borderId="8351" xfId="0" applyFont="1" applyFill="1" applyBorder="1"/>
    <xf numFmtId="0" fontId="8400" fillId="8405" borderId="8352" xfId="0" applyFont="1" applyFill="1" applyBorder="1"/>
    <xf numFmtId="0" fontId="8401" fillId="8406" borderId="8353" xfId="0" applyFont="1" applyFill="1" applyBorder="1"/>
    <xf numFmtId="0" fontId="8402" fillId="8407" borderId="8354" xfId="0" applyFont="1" applyFill="1" applyBorder="1"/>
    <xf numFmtId="0" fontId="8403" fillId="8408" borderId="8355" xfId="0" applyFont="1" applyFill="1" applyBorder="1"/>
    <xf numFmtId="14" fontId="8404" fillId="8409" borderId="8356" xfId="0" applyNumberFormat="1" applyFont="1" applyFill="1" applyBorder="1"/>
    <xf numFmtId="14" fontId="8405" fillId="8410" borderId="8357" xfId="0" applyNumberFormat="1" applyFont="1" applyFill="1" applyBorder="1"/>
    <xf numFmtId="0" fontId="8406" fillId="8411" borderId="8358" xfId="0" applyFont="1" applyFill="1" applyBorder="1"/>
    <xf numFmtId="14" fontId="8407" fillId="8412" borderId="8359" xfId="0" applyNumberFormat="1" applyFont="1" applyFill="1" applyBorder="1"/>
    <xf numFmtId="0" fontId="8408" fillId="8413" borderId="8360" xfId="0" applyFont="1" applyFill="1" applyBorder="1"/>
    <xf numFmtId="0" fontId="8409" fillId="8414" borderId="8361" xfId="0" applyFont="1" applyFill="1" applyBorder="1"/>
    <xf numFmtId="0" fontId="8410" fillId="8415" borderId="8362" xfId="0" applyFont="1" applyFill="1" applyBorder="1"/>
    <xf numFmtId="0" fontId="8411" fillId="8416" borderId="8363" xfId="0" applyFont="1" applyFill="1" applyBorder="1"/>
    <xf numFmtId="0" fontId="8412" fillId="8417" borderId="8364" xfId="0" applyFont="1" applyFill="1" applyBorder="1"/>
    <xf numFmtId="0" fontId="8413" fillId="8418" borderId="8365" xfId="0" applyFont="1" applyFill="1" applyBorder="1"/>
    <xf numFmtId="14" fontId="8414" fillId="8419" borderId="8366" xfId="0" applyNumberFormat="1" applyFont="1" applyFill="1" applyBorder="1"/>
    <xf numFmtId="14" fontId="8415" fillId="8420" borderId="8367" xfId="0" applyNumberFormat="1" applyFont="1" applyFill="1" applyBorder="1"/>
    <xf numFmtId="0" fontId="8416" fillId="8421" borderId="8368" xfId="0" applyFont="1" applyFill="1" applyBorder="1"/>
    <xf numFmtId="14" fontId="8417" fillId="8422" borderId="8369" xfId="0" applyNumberFormat="1" applyFont="1" applyFill="1" applyBorder="1"/>
    <xf numFmtId="0" fontId="8418" fillId="8423" borderId="8370" xfId="0" applyFont="1" applyFill="1" applyBorder="1"/>
    <xf numFmtId="0" fontId="8419" fillId="8424" borderId="8371" xfId="0" applyFont="1" applyFill="1" applyBorder="1"/>
    <xf numFmtId="0" fontId="8420" fillId="8425" borderId="8372" xfId="0" applyFont="1" applyFill="1" applyBorder="1"/>
    <xf numFmtId="0" fontId="8421" fillId="8426" borderId="8373" xfId="0" applyFont="1" applyFill="1" applyBorder="1"/>
    <xf numFmtId="0" fontId="8422" fillId="8427" borderId="8374" xfId="0" applyFont="1" applyFill="1" applyBorder="1"/>
    <xf numFmtId="0" fontId="8423" fillId="8428" borderId="8375" xfId="0" applyFont="1" applyFill="1" applyBorder="1"/>
    <xf numFmtId="14" fontId="8424" fillId="8429" borderId="8376" xfId="0" applyNumberFormat="1" applyFont="1" applyFill="1" applyBorder="1"/>
    <xf numFmtId="14" fontId="8425" fillId="8430" borderId="8377" xfId="0" applyNumberFormat="1" applyFont="1" applyFill="1" applyBorder="1"/>
    <xf numFmtId="0" fontId="8426" fillId="8431" borderId="8378" xfId="0" applyFont="1" applyFill="1" applyBorder="1"/>
    <xf numFmtId="14" fontId="8427" fillId="8432" borderId="8379" xfId="0" applyNumberFormat="1" applyFont="1" applyFill="1" applyBorder="1"/>
    <xf numFmtId="0" fontId="8428" fillId="8433" borderId="8380" xfId="0" applyFont="1" applyFill="1" applyBorder="1"/>
    <xf numFmtId="0" fontId="8429" fillId="8434" borderId="8381" xfId="0" applyFont="1" applyFill="1" applyBorder="1"/>
    <xf numFmtId="0" fontId="8430" fillId="8435" borderId="8382" xfId="0" applyFont="1" applyFill="1" applyBorder="1"/>
    <xf numFmtId="0" fontId="8431" fillId="8436" borderId="8383" xfId="0" applyFont="1" applyFill="1" applyBorder="1"/>
    <xf numFmtId="0" fontId="8432" fillId="8437" borderId="8384" xfId="0" applyFont="1" applyFill="1" applyBorder="1"/>
    <xf numFmtId="0" fontId="8433" fillId="8438" borderId="8385" xfId="0" applyFont="1" applyFill="1" applyBorder="1"/>
    <xf numFmtId="14" fontId="8434" fillId="8439" borderId="8386" xfId="0" applyNumberFormat="1" applyFont="1" applyFill="1" applyBorder="1"/>
    <xf numFmtId="14" fontId="8435" fillId="8440" borderId="8387" xfId="0" applyNumberFormat="1" applyFont="1" applyFill="1" applyBorder="1"/>
    <xf numFmtId="0" fontId="8436" fillId="8441" borderId="8388" xfId="0" applyFont="1" applyFill="1" applyBorder="1"/>
    <xf numFmtId="14" fontId="8437" fillId="8442" borderId="8389" xfId="0" applyNumberFormat="1" applyFont="1" applyFill="1" applyBorder="1"/>
    <xf numFmtId="0" fontId="8438" fillId="8443" borderId="8390" xfId="0" applyFont="1" applyFill="1" applyBorder="1"/>
    <xf numFmtId="0" fontId="8439" fillId="8444" borderId="8391" xfId="0" applyFont="1" applyFill="1" applyBorder="1"/>
    <xf numFmtId="0" fontId="8440" fillId="8445" borderId="8392" xfId="0" applyFont="1" applyFill="1" applyBorder="1"/>
    <xf numFmtId="0" fontId="8441" fillId="8446" borderId="8393" xfId="0" applyFont="1" applyFill="1" applyBorder="1"/>
    <xf numFmtId="0" fontId="8442" fillId="8447" borderId="8394" xfId="0" applyFont="1" applyFill="1" applyBorder="1"/>
    <xf numFmtId="0" fontId="8443" fillId="8448" borderId="8395" xfId="0" applyFont="1" applyFill="1" applyBorder="1"/>
    <xf numFmtId="14" fontId="8444" fillId="8449" borderId="8396" xfId="0" applyNumberFormat="1" applyFont="1" applyFill="1" applyBorder="1"/>
    <xf numFmtId="14" fontId="8445" fillId="8450" borderId="8397" xfId="0" applyNumberFormat="1" applyFont="1" applyFill="1" applyBorder="1"/>
    <xf numFmtId="0" fontId="8446" fillId="8451" borderId="8398" xfId="0" applyFont="1" applyFill="1" applyBorder="1"/>
    <xf numFmtId="14" fontId="8447" fillId="8452" borderId="8399" xfId="0" applyNumberFormat="1" applyFont="1" applyFill="1" applyBorder="1"/>
    <xf numFmtId="0" fontId="8448" fillId="8453" borderId="8400" xfId="0" applyFont="1" applyFill="1" applyBorder="1"/>
    <xf numFmtId="0" fontId="8449" fillId="8454" borderId="8401" xfId="0" applyFont="1" applyFill="1" applyBorder="1"/>
    <xf numFmtId="0" fontId="8450" fillId="8455" borderId="8402" xfId="0" applyFont="1" applyFill="1" applyBorder="1"/>
    <xf numFmtId="0" fontId="8451" fillId="8456" borderId="8403" xfId="0" applyFont="1" applyFill="1" applyBorder="1"/>
    <xf numFmtId="0" fontId="8452" fillId="8457" borderId="8404" xfId="0" applyFont="1" applyFill="1" applyBorder="1"/>
    <xf numFmtId="0" fontId="8453" fillId="8458" borderId="8405" xfId="0" applyFont="1" applyFill="1" applyBorder="1"/>
    <xf numFmtId="14" fontId="8454" fillId="8459" borderId="8406" xfId="0" applyNumberFormat="1" applyFont="1" applyFill="1" applyBorder="1"/>
    <xf numFmtId="14" fontId="8455" fillId="8460" borderId="8407" xfId="0" applyNumberFormat="1" applyFont="1" applyFill="1" applyBorder="1"/>
    <xf numFmtId="0" fontId="8456" fillId="8461" borderId="8408" xfId="0" applyFont="1" applyFill="1" applyBorder="1"/>
    <xf numFmtId="14" fontId="8457" fillId="8462" borderId="8409" xfId="0" applyNumberFormat="1" applyFont="1" applyFill="1" applyBorder="1"/>
    <xf numFmtId="0" fontId="8458" fillId="8463" borderId="8410" xfId="0" applyFont="1" applyFill="1" applyBorder="1"/>
    <xf numFmtId="0" fontId="8459" fillId="8464" borderId="8411" xfId="0" applyFont="1" applyFill="1" applyBorder="1"/>
    <xf numFmtId="0" fontId="8460" fillId="8465" borderId="8412" xfId="0" applyFont="1" applyFill="1" applyBorder="1"/>
    <xf numFmtId="0" fontId="8461" fillId="8466" borderId="8413" xfId="0" applyFont="1" applyFill="1" applyBorder="1"/>
    <xf numFmtId="0" fontId="8462" fillId="8467" borderId="8414" xfId="0" applyFont="1" applyFill="1" applyBorder="1"/>
    <xf numFmtId="0" fontId="8463" fillId="8468" borderId="8415" xfId="0" applyFont="1" applyFill="1" applyBorder="1"/>
    <xf numFmtId="14" fontId="8464" fillId="8469" borderId="8416" xfId="0" applyNumberFormat="1" applyFont="1" applyFill="1" applyBorder="1"/>
    <xf numFmtId="14" fontId="8465" fillId="8470" borderId="8417" xfId="0" applyNumberFormat="1" applyFont="1" applyFill="1" applyBorder="1"/>
    <xf numFmtId="0" fontId="8466" fillId="8471" borderId="8418" xfId="0" applyFont="1" applyFill="1" applyBorder="1"/>
    <xf numFmtId="14" fontId="8467" fillId="8472" borderId="8419" xfId="0" applyNumberFormat="1" applyFont="1" applyFill="1" applyBorder="1"/>
    <xf numFmtId="0" fontId="8468" fillId="8473" borderId="8420" xfId="0" applyFont="1" applyFill="1" applyBorder="1"/>
    <xf numFmtId="0" fontId="8469" fillId="8474" borderId="8421" xfId="0" applyFont="1" applyFill="1" applyBorder="1"/>
    <xf numFmtId="0" fontId="8470" fillId="8475" borderId="8422" xfId="0" applyFont="1" applyFill="1" applyBorder="1"/>
    <xf numFmtId="0" fontId="8471" fillId="8476" borderId="8423" xfId="0" applyFont="1" applyFill="1" applyBorder="1"/>
    <xf numFmtId="0" fontId="8472" fillId="8477" borderId="8424" xfId="0" applyFont="1" applyFill="1" applyBorder="1"/>
    <xf numFmtId="0" fontId="8473" fillId="8478" borderId="8425" xfId="0" applyFont="1" applyFill="1" applyBorder="1"/>
    <xf numFmtId="14" fontId="8474" fillId="8479" borderId="8426" xfId="0" applyNumberFormat="1" applyFont="1" applyFill="1" applyBorder="1"/>
    <xf numFmtId="14" fontId="8475" fillId="8480" borderId="8427" xfId="0" applyNumberFormat="1" applyFont="1" applyFill="1" applyBorder="1"/>
    <xf numFmtId="0" fontId="8476" fillId="8481" borderId="8428" xfId="0" applyFont="1" applyFill="1" applyBorder="1"/>
    <xf numFmtId="14" fontId="8477" fillId="8482" borderId="8429" xfId="0" applyNumberFormat="1" applyFont="1" applyFill="1" applyBorder="1"/>
    <xf numFmtId="0" fontId="8478" fillId="8483" borderId="8430" xfId="0" applyFont="1" applyFill="1" applyBorder="1"/>
    <xf numFmtId="0" fontId="8479" fillId="8484" borderId="8431" xfId="0" applyFont="1" applyFill="1" applyBorder="1"/>
    <xf numFmtId="0" fontId="8480" fillId="8485" borderId="8432" xfId="0" applyFont="1" applyFill="1" applyBorder="1"/>
    <xf numFmtId="0" fontId="8481" fillId="8486" borderId="8433" xfId="0" applyFont="1" applyFill="1" applyBorder="1"/>
    <xf numFmtId="0" fontId="8482" fillId="8487" borderId="8434" xfId="0" applyFont="1" applyFill="1" applyBorder="1"/>
    <xf numFmtId="0" fontId="8483" fillId="8488" borderId="8435" xfId="0" applyFont="1" applyFill="1" applyBorder="1"/>
    <xf numFmtId="14" fontId="8484" fillId="8489" borderId="8436" xfId="0" applyNumberFormat="1" applyFont="1" applyFill="1" applyBorder="1"/>
    <xf numFmtId="14" fontId="8485" fillId="8490" borderId="8437" xfId="0" applyNumberFormat="1" applyFont="1" applyFill="1" applyBorder="1"/>
    <xf numFmtId="0" fontId="8486" fillId="8491" borderId="8438" xfId="0" applyFont="1" applyFill="1" applyBorder="1"/>
    <xf numFmtId="14" fontId="8487" fillId="8492" borderId="8439" xfId="0" applyNumberFormat="1" applyFont="1" applyFill="1" applyBorder="1"/>
    <xf numFmtId="0" fontId="8488" fillId="8493" borderId="8440" xfId="0" applyFont="1" applyFill="1" applyBorder="1"/>
    <xf numFmtId="0" fontId="8489" fillId="8494" borderId="8441" xfId="0" applyFont="1" applyFill="1" applyBorder="1"/>
    <xf numFmtId="0" fontId="8490" fillId="8495" borderId="8442" xfId="0" applyFont="1" applyFill="1" applyBorder="1"/>
    <xf numFmtId="0" fontId="8491" fillId="8496" borderId="8443" xfId="0" applyFont="1" applyFill="1" applyBorder="1"/>
    <xf numFmtId="0" fontId="8492" fillId="8497" borderId="8444" xfId="0" applyFont="1" applyFill="1" applyBorder="1"/>
    <xf numFmtId="0" fontId="8493" fillId="8498" borderId="8445" xfId="0" applyFont="1" applyFill="1" applyBorder="1"/>
    <xf numFmtId="14" fontId="8494" fillId="8499" borderId="8446" xfId="0" applyNumberFormat="1" applyFont="1" applyFill="1" applyBorder="1"/>
    <xf numFmtId="14" fontId="8495" fillId="8500" borderId="8447" xfId="0" applyNumberFormat="1" applyFont="1" applyFill="1" applyBorder="1"/>
    <xf numFmtId="0" fontId="8496" fillId="8501" borderId="8448" xfId="0" applyFont="1" applyFill="1" applyBorder="1"/>
    <xf numFmtId="14" fontId="8497" fillId="8502" borderId="8449" xfId="0" applyNumberFormat="1" applyFont="1" applyFill="1" applyBorder="1"/>
    <xf numFmtId="0" fontId="8498" fillId="8503" borderId="8450" xfId="0" applyFont="1" applyFill="1" applyBorder="1"/>
    <xf numFmtId="0" fontId="8499" fillId="8504" borderId="8451" xfId="0" applyFont="1" applyFill="1" applyBorder="1"/>
    <xf numFmtId="0" fontId="8500" fillId="8505" borderId="8452" xfId="0" applyFont="1" applyFill="1" applyBorder="1"/>
    <xf numFmtId="0" fontId="8501" fillId="8506" borderId="8453" xfId="0" applyFont="1" applyFill="1" applyBorder="1"/>
    <xf numFmtId="0" fontId="8502" fillId="8507" borderId="8454" xfId="0" applyFont="1" applyFill="1" applyBorder="1"/>
    <xf numFmtId="0" fontId="8503" fillId="8508" borderId="8455" xfId="0" applyFont="1" applyFill="1" applyBorder="1"/>
    <xf numFmtId="14" fontId="8504" fillId="8509" borderId="8456" xfId="0" applyNumberFormat="1" applyFont="1" applyFill="1" applyBorder="1"/>
    <xf numFmtId="14" fontId="8505" fillId="8510" borderId="8457" xfId="0" applyNumberFormat="1" applyFont="1" applyFill="1" applyBorder="1"/>
    <xf numFmtId="0" fontId="8506" fillId="8511" borderId="8458" xfId="0" applyFont="1" applyFill="1" applyBorder="1"/>
    <xf numFmtId="14" fontId="8507" fillId="8512" borderId="8459" xfId="0" applyNumberFormat="1" applyFont="1" applyFill="1" applyBorder="1"/>
    <xf numFmtId="0" fontId="8508" fillId="8513" borderId="8460" xfId="0" applyFont="1" applyFill="1" applyBorder="1"/>
    <xf numFmtId="0" fontId="8509" fillId="8514" borderId="8461" xfId="0" applyFont="1" applyFill="1" applyBorder="1"/>
    <xf numFmtId="0" fontId="8510" fillId="8515" borderId="8462" xfId="0" applyFont="1" applyFill="1" applyBorder="1"/>
    <xf numFmtId="0" fontId="8511" fillId="8516" borderId="8463" xfId="0" applyFont="1" applyFill="1" applyBorder="1"/>
    <xf numFmtId="0" fontId="8512" fillId="8517" borderId="8464" xfId="0" applyFont="1" applyFill="1" applyBorder="1"/>
    <xf numFmtId="0" fontId="8513" fillId="8518" borderId="8465" xfId="0" applyFont="1" applyFill="1" applyBorder="1"/>
    <xf numFmtId="14" fontId="8514" fillId="8519" borderId="8466" xfId="0" applyNumberFormat="1" applyFont="1" applyFill="1" applyBorder="1"/>
    <xf numFmtId="14" fontId="8515" fillId="8520" borderId="8467" xfId="0" applyNumberFormat="1" applyFont="1" applyFill="1" applyBorder="1"/>
    <xf numFmtId="0" fontId="8516" fillId="8521" borderId="8468" xfId="0" applyFont="1" applyFill="1" applyBorder="1"/>
    <xf numFmtId="14" fontId="8517" fillId="8522" borderId="8469" xfId="0" applyNumberFormat="1" applyFont="1" applyFill="1" applyBorder="1"/>
    <xf numFmtId="0" fontId="8518" fillId="8523" borderId="8470" xfId="0" applyFont="1" applyFill="1" applyBorder="1"/>
    <xf numFmtId="0" fontId="8519" fillId="8524" borderId="8471" xfId="0" applyFont="1" applyFill="1" applyBorder="1"/>
    <xf numFmtId="0" fontId="8520" fillId="8525" borderId="8472" xfId="0" applyFont="1" applyFill="1" applyBorder="1"/>
    <xf numFmtId="0" fontId="8521" fillId="8526" borderId="8473" xfId="0" applyFont="1" applyFill="1" applyBorder="1"/>
    <xf numFmtId="0" fontId="8522" fillId="8527" borderId="8474" xfId="0" applyFont="1" applyFill="1" applyBorder="1"/>
    <xf numFmtId="0" fontId="8523" fillId="8528" borderId="8475" xfId="0" applyFont="1" applyFill="1" applyBorder="1"/>
    <xf numFmtId="14" fontId="8524" fillId="8529" borderId="8476" xfId="0" applyNumberFormat="1" applyFont="1" applyFill="1" applyBorder="1"/>
    <xf numFmtId="14" fontId="8525" fillId="8530" borderId="8477" xfId="0" applyNumberFormat="1" applyFont="1" applyFill="1" applyBorder="1"/>
    <xf numFmtId="0" fontId="8526" fillId="8531" borderId="8478" xfId="0" applyFont="1" applyFill="1" applyBorder="1"/>
    <xf numFmtId="14" fontId="8527" fillId="8532" borderId="8479" xfId="0" applyNumberFormat="1" applyFont="1" applyFill="1" applyBorder="1"/>
    <xf numFmtId="0" fontId="8528" fillId="8533" borderId="8480" xfId="0" applyFont="1" applyFill="1" applyBorder="1"/>
    <xf numFmtId="0" fontId="8529" fillId="8534" borderId="8481" xfId="0" applyFont="1" applyFill="1" applyBorder="1"/>
    <xf numFmtId="0" fontId="8530" fillId="8535" borderId="8482" xfId="0" applyFont="1" applyFill="1" applyBorder="1"/>
    <xf numFmtId="0" fontId="8531" fillId="8536" borderId="8483" xfId="0" applyFont="1" applyFill="1" applyBorder="1"/>
    <xf numFmtId="0" fontId="8532" fillId="8537" borderId="8484" xfId="0" applyFont="1" applyFill="1" applyBorder="1"/>
    <xf numFmtId="0" fontId="8533" fillId="8538" borderId="8485" xfId="0" applyFont="1" applyFill="1" applyBorder="1"/>
    <xf numFmtId="14" fontId="8534" fillId="8539" borderId="8486" xfId="0" applyNumberFormat="1" applyFont="1" applyFill="1" applyBorder="1"/>
    <xf numFmtId="14" fontId="8535" fillId="8540" borderId="8487" xfId="0" applyNumberFormat="1" applyFont="1" applyFill="1" applyBorder="1"/>
    <xf numFmtId="0" fontId="8536" fillId="8541" borderId="8488" xfId="0" applyFont="1" applyFill="1" applyBorder="1"/>
    <xf numFmtId="14" fontId="8537" fillId="8542" borderId="8489" xfId="0" applyNumberFormat="1" applyFont="1" applyFill="1" applyBorder="1"/>
    <xf numFmtId="0" fontId="8538" fillId="8543" borderId="8490" xfId="0" applyFont="1" applyFill="1" applyBorder="1"/>
    <xf numFmtId="0" fontId="8539" fillId="8544" borderId="8491" xfId="0" applyFont="1" applyFill="1" applyBorder="1"/>
    <xf numFmtId="0" fontId="8540" fillId="8545" borderId="8492" xfId="0" applyFont="1" applyFill="1" applyBorder="1"/>
    <xf numFmtId="0" fontId="8541" fillId="8546" borderId="8493" xfId="0" applyFont="1" applyFill="1" applyBorder="1"/>
    <xf numFmtId="0" fontId="8542" fillId="8547" borderId="8494" xfId="0" applyFont="1" applyFill="1" applyBorder="1"/>
    <xf numFmtId="0" fontId="8543" fillId="8548" borderId="8495" xfId="0" applyFont="1" applyFill="1" applyBorder="1"/>
    <xf numFmtId="14" fontId="8544" fillId="8549" borderId="8496" xfId="0" applyNumberFormat="1" applyFont="1" applyFill="1" applyBorder="1"/>
    <xf numFmtId="14" fontId="8545" fillId="8550" borderId="8497" xfId="0" applyNumberFormat="1" applyFont="1" applyFill="1" applyBorder="1"/>
    <xf numFmtId="0" fontId="8546" fillId="8551" borderId="8498" xfId="0" applyFont="1" applyFill="1" applyBorder="1"/>
    <xf numFmtId="14" fontId="8547" fillId="8552" borderId="8499" xfId="0" applyNumberFormat="1" applyFont="1" applyFill="1" applyBorder="1"/>
    <xf numFmtId="0" fontId="8548" fillId="8553" borderId="8500" xfId="0" applyFont="1" applyFill="1" applyBorder="1"/>
    <xf numFmtId="0" fontId="8549" fillId="8554" borderId="8501" xfId="0" applyFont="1" applyFill="1" applyBorder="1"/>
    <xf numFmtId="0" fontId="8550" fillId="8555" borderId="8502" xfId="0" applyFont="1" applyFill="1" applyBorder="1"/>
    <xf numFmtId="0" fontId="8551" fillId="8556" borderId="8503" xfId="0" applyFont="1" applyFill="1" applyBorder="1"/>
    <xf numFmtId="0" fontId="8552" fillId="8557" borderId="8504" xfId="0" applyFont="1" applyFill="1" applyBorder="1"/>
    <xf numFmtId="0" fontId="8553" fillId="8558" borderId="8505" xfId="0" applyFont="1" applyFill="1" applyBorder="1"/>
    <xf numFmtId="14" fontId="8554" fillId="8559" borderId="8506" xfId="0" applyNumberFormat="1" applyFont="1" applyFill="1" applyBorder="1"/>
    <xf numFmtId="14" fontId="8555" fillId="8560" borderId="8507" xfId="0" applyNumberFormat="1" applyFont="1" applyFill="1" applyBorder="1"/>
    <xf numFmtId="0" fontId="8556" fillId="8561" borderId="8508" xfId="0" applyFont="1" applyFill="1" applyBorder="1"/>
    <xf numFmtId="14" fontId="8557" fillId="8562" borderId="8509" xfId="0" applyNumberFormat="1" applyFont="1" applyFill="1" applyBorder="1"/>
    <xf numFmtId="0" fontId="8558" fillId="8563" borderId="8510" xfId="0" applyFont="1" applyFill="1" applyBorder="1"/>
    <xf numFmtId="0" fontId="8559" fillId="8564" borderId="8511" xfId="0" applyFont="1" applyFill="1" applyBorder="1"/>
    <xf numFmtId="0" fontId="8560" fillId="8565" borderId="8512" xfId="0" applyFont="1" applyFill="1" applyBorder="1"/>
    <xf numFmtId="0" fontId="8561" fillId="8566" borderId="8513" xfId="0" applyFont="1" applyFill="1" applyBorder="1"/>
    <xf numFmtId="0" fontId="8562" fillId="8567" borderId="8514" xfId="0" applyFont="1" applyFill="1" applyBorder="1"/>
    <xf numFmtId="0" fontId="8563" fillId="8568" borderId="8515" xfId="0" applyFont="1" applyFill="1" applyBorder="1"/>
    <xf numFmtId="14" fontId="8564" fillId="8569" borderId="8516" xfId="0" applyNumberFormat="1" applyFont="1" applyFill="1" applyBorder="1"/>
    <xf numFmtId="14" fontId="8565" fillId="8570" borderId="8517" xfId="0" applyNumberFormat="1" applyFont="1" applyFill="1" applyBorder="1"/>
    <xf numFmtId="0" fontId="8566" fillId="8571" borderId="8518" xfId="0" applyFont="1" applyFill="1" applyBorder="1"/>
    <xf numFmtId="14" fontId="8567" fillId="8572" borderId="8519" xfId="0" applyNumberFormat="1" applyFont="1" applyFill="1" applyBorder="1"/>
    <xf numFmtId="0" fontId="8568" fillId="8573" borderId="8520" xfId="0" applyFont="1" applyFill="1" applyBorder="1"/>
    <xf numFmtId="0" fontId="8569" fillId="8574" borderId="8521" xfId="0" applyFont="1" applyFill="1" applyBorder="1"/>
    <xf numFmtId="0" fontId="8570" fillId="8575" borderId="8522" xfId="0" applyFont="1" applyFill="1" applyBorder="1"/>
    <xf numFmtId="0" fontId="8571" fillId="8576" borderId="8523" xfId="0" applyFont="1" applyFill="1" applyBorder="1"/>
    <xf numFmtId="0" fontId="8572" fillId="8577" borderId="8524" xfId="0" applyFont="1" applyFill="1" applyBorder="1"/>
    <xf numFmtId="0" fontId="8573" fillId="8578" borderId="8525" xfId="0" applyFont="1" applyFill="1" applyBorder="1"/>
    <xf numFmtId="14" fontId="8574" fillId="8579" borderId="8526" xfId="0" applyNumberFormat="1" applyFont="1" applyFill="1" applyBorder="1"/>
    <xf numFmtId="14" fontId="8575" fillId="8580" borderId="8527" xfId="0" applyNumberFormat="1" applyFont="1" applyFill="1" applyBorder="1"/>
    <xf numFmtId="0" fontId="8576" fillId="8581" borderId="8528" xfId="0" applyFont="1" applyFill="1" applyBorder="1"/>
    <xf numFmtId="14" fontId="8577" fillId="8582" borderId="8529" xfId="0" applyNumberFormat="1" applyFont="1" applyFill="1" applyBorder="1"/>
    <xf numFmtId="0" fontId="8578" fillId="8583" borderId="8530" xfId="0" applyFont="1" applyFill="1" applyBorder="1"/>
    <xf numFmtId="0" fontId="8579" fillId="8584" borderId="8531" xfId="0" applyFont="1" applyFill="1" applyBorder="1"/>
    <xf numFmtId="0" fontId="8580" fillId="8585" borderId="8532" xfId="0" applyFont="1" applyFill="1" applyBorder="1"/>
    <xf numFmtId="0" fontId="8581" fillId="8586" borderId="8533" xfId="0" applyFont="1" applyFill="1" applyBorder="1"/>
    <xf numFmtId="0" fontId="8582" fillId="8587" borderId="8534" xfId="0" applyFont="1" applyFill="1" applyBorder="1"/>
    <xf numFmtId="0" fontId="8583" fillId="8588" borderId="8535" xfId="0" applyFont="1" applyFill="1" applyBorder="1"/>
    <xf numFmtId="0" fontId="8584" fillId="8589" borderId="8536" xfId="0" applyFont="1" applyFill="1" applyBorder="1"/>
    <xf numFmtId="14" fontId="8585" fillId="8590" borderId="8537" xfId="0" applyNumberFormat="1" applyFont="1" applyFill="1" applyBorder="1"/>
    <xf numFmtId="0" fontId="8586" fillId="8591" borderId="8538" xfId="0" applyFont="1" applyFill="1" applyBorder="1"/>
    <xf numFmtId="14" fontId="8587" fillId="8592" borderId="8539" xfId="0" applyNumberFormat="1" applyFont="1" applyFill="1" applyBorder="1"/>
    <xf numFmtId="0" fontId="8588" fillId="8593" borderId="8540" xfId="0" applyFont="1" applyFill="1" applyBorder="1"/>
    <xf numFmtId="0" fontId="8589" fillId="8594" borderId="8541" xfId="0" applyFont="1" applyFill="1" applyBorder="1"/>
    <xf numFmtId="0" fontId="8590" fillId="8595" borderId="8542" xfId="0" applyFont="1" applyFill="1" applyBorder="1"/>
    <xf numFmtId="0" fontId="8591" fillId="8596" borderId="8543" xfId="0" applyFont="1" applyFill="1" applyBorder="1"/>
    <xf numFmtId="0" fontId="8592" fillId="8597" borderId="8544" xfId="0" applyFont="1" applyFill="1" applyBorder="1"/>
    <xf numFmtId="0" fontId="8593" fillId="8598" borderId="8545" xfId="0" applyFont="1" applyFill="1" applyBorder="1"/>
    <xf numFmtId="0" fontId="8594" fillId="8599" borderId="8546" xfId="0" applyFont="1" applyFill="1" applyBorder="1"/>
    <xf numFmtId="14" fontId="8595" fillId="8600" borderId="8547" xfId="0" applyNumberFormat="1" applyFont="1" applyFill="1" applyBorder="1"/>
    <xf numFmtId="0" fontId="8596" fillId="8601" borderId="8548" xfId="0" applyFont="1" applyFill="1" applyBorder="1"/>
    <xf numFmtId="14" fontId="8597" fillId="8602" borderId="8549" xfId="0" applyNumberFormat="1" applyFont="1" applyFill="1" applyBorder="1"/>
    <xf numFmtId="0" fontId="8598" fillId="8603" borderId="8550" xfId="0" applyFont="1" applyFill="1" applyBorder="1"/>
    <xf numFmtId="0" fontId="8599" fillId="8604" borderId="8551" xfId="0" applyFont="1" applyFill="1" applyBorder="1"/>
    <xf numFmtId="0" fontId="8600" fillId="8605" borderId="8552" xfId="0" applyFont="1" applyFill="1" applyBorder="1"/>
    <xf numFmtId="0" fontId="8601" fillId="8606" borderId="8553" xfId="0" applyFont="1" applyFill="1" applyBorder="1"/>
    <xf numFmtId="0" fontId="8602" fillId="8607" borderId="8554" xfId="0" applyFont="1" applyFill="1" applyBorder="1"/>
    <xf numFmtId="0" fontId="8603" fillId="8608" borderId="8555" xfId="0" applyFont="1" applyFill="1" applyBorder="1"/>
    <xf numFmtId="0" fontId="8604" fillId="8609" borderId="8556" xfId="0" applyFont="1" applyFill="1" applyBorder="1"/>
    <xf numFmtId="14" fontId="8605" fillId="8610" borderId="8557" xfId="0" applyNumberFormat="1" applyFont="1" applyFill="1" applyBorder="1"/>
    <xf numFmtId="0" fontId="8606" fillId="8611" borderId="8558" xfId="0" applyFont="1" applyFill="1" applyBorder="1"/>
    <xf numFmtId="14" fontId="8607" fillId="8612" borderId="8559" xfId="0" applyNumberFormat="1" applyFont="1" applyFill="1" applyBorder="1"/>
    <xf numFmtId="0" fontId="8608" fillId="8613" borderId="8560" xfId="0" applyFont="1" applyFill="1" applyBorder="1"/>
    <xf numFmtId="0" fontId="8609" fillId="8614" borderId="8561" xfId="0" applyFont="1" applyFill="1" applyBorder="1"/>
    <xf numFmtId="0" fontId="8610" fillId="8615" borderId="8562" xfId="0" applyFont="1" applyFill="1" applyBorder="1"/>
    <xf numFmtId="0" fontId="8611" fillId="8616" borderId="8563" xfId="0" applyFont="1" applyFill="1" applyBorder="1"/>
    <xf numFmtId="0" fontId="8612" fillId="8617" borderId="8564" xfId="0" applyFont="1" applyFill="1" applyBorder="1"/>
    <xf numFmtId="0" fontId="8613" fillId="8618" borderId="8565" xfId="0" applyFont="1" applyFill="1" applyBorder="1"/>
    <xf numFmtId="0" fontId="8614" fillId="8619" borderId="8566" xfId="0" applyFont="1" applyFill="1" applyBorder="1"/>
    <xf numFmtId="14" fontId="8615" fillId="8620" borderId="8567" xfId="0" applyNumberFormat="1" applyFont="1" applyFill="1" applyBorder="1"/>
    <xf numFmtId="0" fontId="8616" fillId="8621" borderId="8568" xfId="0" applyFont="1" applyFill="1" applyBorder="1"/>
    <xf numFmtId="14" fontId="8617" fillId="8622" borderId="8569" xfId="0" applyNumberFormat="1" applyFont="1" applyFill="1" applyBorder="1"/>
    <xf numFmtId="0" fontId="8618" fillId="8623" borderId="8570" xfId="0" applyFont="1" applyFill="1" applyBorder="1"/>
    <xf numFmtId="0" fontId="8619" fillId="8624" borderId="8571" xfId="0" applyFont="1" applyFill="1" applyBorder="1"/>
    <xf numFmtId="0" fontId="8620" fillId="8625" borderId="8572" xfId="0" applyFont="1" applyFill="1" applyBorder="1"/>
    <xf numFmtId="0" fontId="8621" fillId="8626" borderId="8573" xfId="0" applyFont="1" applyFill="1" applyBorder="1"/>
    <xf numFmtId="0" fontId="8622" fillId="8627" borderId="8574" xfId="0" applyFont="1" applyFill="1" applyBorder="1"/>
    <xf numFmtId="0" fontId="8623" fillId="8628" borderId="8575" xfId="0" applyFont="1" applyFill="1" applyBorder="1"/>
    <xf numFmtId="0" fontId="8624" fillId="8629" borderId="8576" xfId="0" applyFont="1" applyFill="1" applyBorder="1"/>
    <xf numFmtId="14" fontId="8625" fillId="8630" borderId="8577" xfId="0" applyNumberFormat="1" applyFont="1" applyFill="1" applyBorder="1"/>
    <xf numFmtId="0" fontId="8626" fillId="8631" borderId="8578" xfId="0" applyFont="1" applyFill="1" applyBorder="1"/>
    <xf numFmtId="14" fontId="8627" fillId="8632" borderId="8579" xfId="0" applyNumberFormat="1" applyFont="1" applyFill="1" applyBorder="1"/>
    <xf numFmtId="0" fontId="8628" fillId="8633" borderId="8580" xfId="0" applyFont="1" applyFill="1" applyBorder="1"/>
    <xf numFmtId="0" fontId="8629" fillId="8634" borderId="8581" xfId="0" applyFont="1" applyFill="1" applyBorder="1"/>
    <xf numFmtId="0" fontId="8630" fillId="8635" borderId="8582" xfId="0" applyFont="1" applyFill="1" applyBorder="1"/>
    <xf numFmtId="0" fontId="8631" fillId="8636" borderId="8583" xfId="0" applyFont="1" applyFill="1" applyBorder="1"/>
    <xf numFmtId="0" fontId="8632" fillId="8637" borderId="8584" xfId="0" applyFont="1" applyFill="1" applyBorder="1"/>
    <xf numFmtId="0" fontId="8633" fillId="8638" borderId="8585" xfId="0" applyFont="1" applyFill="1" applyBorder="1"/>
    <xf numFmtId="0" fontId="8634" fillId="8639" borderId="8586" xfId="0" applyFont="1" applyFill="1" applyBorder="1"/>
    <xf numFmtId="14" fontId="8635" fillId="8640" borderId="8587" xfId="0" applyNumberFormat="1" applyFont="1" applyFill="1" applyBorder="1"/>
    <xf numFmtId="0" fontId="8636" fillId="8641" borderId="8588" xfId="0" applyFont="1" applyFill="1" applyBorder="1"/>
    <xf numFmtId="14" fontId="8637" fillId="8642" borderId="8589" xfId="0" applyNumberFormat="1" applyFont="1" applyFill="1" applyBorder="1"/>
    <xf numFmtId="0" fontId="8638" fillId="8643" borderId="8590" xfId="0" applyFont="1" applyFill="1" applyBorder="1"/>
    <xf numFmtId="0" fontId="8639" fillId="8644" borderId="8591" xfId="0" applyFont="1" applyFill="1" applyBorder="1"/>
    <xf numFmtId="0" fontId="8640" fillId="8645" borderId="8592" xfId="0" applyFont="1" applyFill="1" applyBorder="1"/>
    <xf numFmtId="0" fontId="8641" fillId="8646" borderId="8593" xfId="0" applyFont="1" applyFill="1" applyBorder="1"/>
    <xf numFmtId="0" fontId="8642" fillId="8647" borderId="8594" xfId="0" applyFont="1" applyFill="1" applyBorder="1"/>
    <xf numFmtId="0" fontId="8643" fillId="8648" borderId="8595" xfId="0" applyFont="1" applyFill="1" applyBorder="1"/>
    <xf numFmtId="0" fontId="8644" fillId="8649" borderId="8596" xfId="0" applyFont="1" applyFill="1" applyBorder="1"/>
    <xf numFmtId="14" fontId="8645" fillId="8650" borderId="8597" xfId="0" applyNumberFormat="1" applyFont="1" applyFill="1" applyBorder="1"/>
    <xf numFmtId="0" fontId="8646" fillId="8651" borderId="8598" xfId="0" applyFont="1" applyFill="1" applyBorder="1"/>
    <xf numFmtId="14" fontId="8647" fillId="8652" borderId="8599" xfId="0" applyNumberFormat="1" applyFont="1" applyFill="1" applyBorder="1"/>
    <xf numFmtId="0" fontId="8648" fillId="8653" borderId="8600" xfId="0" applyFont="1" applyFill="1" applyBorder="1"/>
    <xf numFmtId="0" fontId="8649" fillId="8654" borderId="8601" xfId="0" applyFont="1" applyFill="1" applyBorder="1"/>
    <xf numFmtId="0" fontId="8650" fillId="8655" borderId="8602" xfId="0" applyFont="1" applyFill="1" applyBorder="1"/>
    <xf numFmtId="0" fontId="8651" fillId="8656" borderId="8603" xfId="0" applyFont="1" applyFill="1" applyBorder="1"/>
    <xf numFmtId="0" fontId="8652" fillId="8657" borderId="8604" xfId="0" applyFont="1" applyFill="1" applyBorder="1"/>
    <xf numFmtId="0" fontId="8653" fillId="8658" borderId="8605" xfId="0" applyFont="1" applyFill="1" applyBorder="1"/>
    <xf numFmtId="0" fontId="8654" fillId="8659" borderId="8606" xfId="0" applyFont="1" applyFill="1" applyBorder="1"/>
    <xf numFmtId="14" fontId="8655" fillId="8660" borderId="8607" xfId="0" applyNumberFormat="1" applyFont="1" applyFill="1" applyBorder="1"/>
    <xf numFmtId="0" fontId="8656" fillId="8661" borderId="8608" xfId="0" applyFont="1" applyFill="1" applyBorder="1"/>
    <xf numFmtId="14" fontId="8657" fillId="8662" borderId="8609" xfId="0" applyNumberFormat="1" applyFont="1" applyFill="1" applyBorder="1"/>
    <xf numFmtId="0" fontId="8658" fillId="8663" borderId="8610" xfId="0" applyFont="1" applyFill="1" applyBorder="1"/>
    <xf numFmtId="0" fontId="8659" fillId="8664" borderId="8611" xfId="0" applyFont="1" applyFill="1" applyBorder="1"/>
    <xf numFmtId="0" fontId="8660" fillId="8665" borderId="8612" xfId="0" applyFont="1" applyFill="1" applyBorder="1"/>
    <xf numFmtId="0" fontId="8661" fillId="8666" borderId="8613" xfId="0" applyFont="1" applyFill="1" applyBorder="1"/>
    <xf numFmtId="0" fontId="8662" fillId="8667" borderId="8614" xfId="0" applyFont="1" applyFill="1" applyBorder="1"/>
    <xf numFmtId="0" fontId="8663" fillId="8668" borderId="8615" xfId="0" applyFont="1" applyFill="1" applyBorder="1"/>
    <xf numFmtId="0" fontId="8664" fillId="8669" borderId="8616" xfId="0" applyFont="1" applyFill="1" applyBorder="1"/>
    <xf numFmtId="14" fontId="8665" fillId="8670" borderId="8617" xfId="0" applyNumberFormat="1" applyFont="1" applyFill="1" applyBorder="1"/>
    <xf numFmtId="0" fontId="8666" fillId="8671" borderId="8618" xfId="0" applyFont="1" applyFill="1" applyBorder="1"/>
    <xf numFmtId="14" fontId="8667" fillId="8672" borderId="8619" xfId="0" applyNumberFormat="1" applyFont="1" applyFill="1" applyBorder="1"/>
    <xf numFmtId="0" fontId="8668" fillId="8673" borderId="8620" xfId="0" applyFont="1" applyFill="1" applyBorder="1"/>
    <xf numFmtId="0" fontId="8669" fillId="8674" borderId="8621" xfId="0" applyFont="1" applyFill="1" applyBorder="1"/>
    <xf numFmtId="0" fontId="8670" fillId="8675" borderId="8622" xfId="0" applyFont="1" applyFill="1" applyBorder="1"/>
    <xf numFmtId="0" fontId="8671" fillId="8676" borderId="8623" xfId="0" applyFont="1" applyFill="1" applyBorder="1"/>
    <xf numFmtId="0" fontId="8672" fillId="8677" borderId="8624" xfId="0" applyFont="1" applyFill="1" applyBorder="1"/>
    <xf numFmtId="0" fontId="8673" fillId="8678" borderId="8625" xfId="0" applyFont="1" applyFill="1" applyBorder="1"/>
    <xf numFmtId="0" fontId="8674" fillId="8679" borderId="8626" xfId="0" applyFont="1" applyFill="1" applyBorder="1"/>
    <xf numFmtId="14" fontId="8675" fillId="8680" borderId="8627" xfId="0" applyNumberFormat="1" applyFont="1" applyFill="1" applyBorder="1"/>
    <xf numFmtId="0" fontId="8676" fillId="8681" borderId="8628" xfId="0" applyFont="1" applyFill="1" applyBorder="1"/>
    <xf numFmtId="14" fontId="8677" fillId="8682" borderId="8629" xfId="0" applyNumberFormat="1" applyFont="1" applyFill="1" applyBorder="1"/>
    <xf numFmtId="0" fontId="8678" fillId="8683" borderId="8630" xfId="0" applyFont="1" applyFill="1" applyBorder="1"/>
    <xf numFmtId="0" fontId="8679" fillId="8684" borderId="8631" xfId="0" applyFont="1" applyFill="1" applyBorder="1"/>
    <xf numFmtId="0" fontId="8680" fillId="8685" borderId="8632" xfId="0" applyFont="1" applyFill="1" applyBorder="1"/>
    <xf numFmtId="0" fontId="8681" fillId="8686" borderId="8633" xfId="0" applyFont="1" applyFill="1" applyBorder="1"/>
    <xf numFmtId="0" fontId="8682" fillId="8687" borderId="8634" xfId="0" applyFont="1" applyFill="1" applyBorder="1"/>
    <xf numFmtId="0" fontId="8683" fillId="8688" borderId="8635" xfId="0" applyFont="1" applyFill="1" applyBorder="1"/>
    <xf numFmtId="0" fontId="8684" fillId="8689" borderId="8636" xfId="0" applyFont="1" applyFill="1" applyBorder="1"/>
    <xf numFmtId="14" fontId="8685" fillId="8690" borderId="8637" xfId="0" applyNumberFormat="1" applyFont="1" applyFill="1" applyBorder="1"/>
    <xf numFmtId="0" fontId="8686" fillId="8691" borderId="8638" xfId="0" applyFont="1" applyFill="1" applyBorder="1"/>
    <xf numFmtId="14" fontId="8687" fillId="8692" borderId="8639" xfId="0" applyNumberFormat="1" applyFont="1" applyFill="1" applyBorder="1"/>
    <xf numFmtId="0" fontId="8688" fillId="8693" borderId="8640" xfId="0" applyFont="1" applyFill="1" applyBorder="1"/>
    <xf numFmtId="0" fontId="8689" fillId="8694" borderId="8641" xfId="0" applyFont="1" applyFill="1" applyBorder="1"/>
    <xf numFmtId="0" fontId="8690" fillId="8695" borderId="8642" xfId="0" applyFont="1" applyFill="1" applyBorder="1"/>
    <xf numFmtId="0" fontId="8691" fillId="8696" borderId="8643" xfId="0" applyFont="1" applyFill="1" applyBorder="1"/>
    <xf numFmtId="0" fontId="8692" fillId="8697" borderId="8644" xfId="0" applyFont="1" applyFill="1" applyBorder="1"/>
    <xf numFmtId="0" fontId="8693" fillId="8698" borderId="8645" xfId="0" applyFont="1" applyFill="1" applyBorder="1"/>
    <xf numFmtId="0" fontId="8694" fillId="8699" borderId="8646" xfId="0" applyFont="1" applyFill="1" applyBorder="1"/>
    <xf numFmtId="14" fontId="8695" fillId="8700" borderId="8647" xfId="0" applyNumberFormat="1" applyFont="1" applyFill="1" applyBorder="1"/>
    <xf numFmtId="0" fontId="8696" fillId="8701" borderId="8648" xfId="0" applyFont="1" applyFill="1" applyBorder="1"/>
    <xf numFmtId="14" fontId="8697" fillId="8702" borderId="8649" xfId="0" applyNumberFormat="1" applyFont="1" applyFill="1" applyBorder="1"/>
    <xf numFmtId="0" fontId="8698" fillId="8703" borderId="8650" xfId="0" applyFont="1" applyFill="1" applyBorder="1"/>
    <xf numFmtId="0" fontId="8699" fillId="8704" borderId="8651" xfId="0" applyFont="1" applyFill="1" applyBorder="1"/>
    <xf numFmtId="0" fontId="8700" fillId="8705" borderId="8652" xfId="0" applyFont="1" applyFill="1" applyBorder="1"/>
    <xf numFmtId="0" fontId="8701" fillId="8706" borderId="8653" xfId="0" applyFont="1" applyFill="1" applyBorder="1"/>
    <xf numFmtId="0" fontId="8702" fillId="8707" borderId="8654" xfId="0" applyFont="1" applyFill="1" applyBorder="1"/>
    <xf numFmtId="0" fontId="8703" fillId="8708" borderId="8655" xfId="0" applyFont="1" applyFill="1" applyBorder="1"/>
    <xf numFmtId="0" fontId="8704" fillId="8709" borderId="8656" xfId="0" applyFont="1" applyFill="1" applyBorder="1"/>
    <xf numFmtId="14" fontId="8705" fillId="8710" borderId="8657" xfId="0" applyNumberFormat="1" applyFont="1" applyFill="1" applyBorder="1"/>
    <xf numFmtId="0" fontId="8706" fillId="8711" borderId="8658" xfId="0" applyFont="1" applyFill="1" applyBorder="1"/>
    <xf numFmtId="14" fontId="8707" fillId="8712" borderId="8659" xfId="0" applyNumberFormat="1" applyFont="1" applyFill="1" applyBorder="1"/>
    <xf numFmtId="0" fontId="8708" fillId="8713" borderId="8660" xfId="0" applyFont="1" applyFill="1" applyBorder="1"/>
    <xf numFmtId="0" fontId="8709" fillId="8714" borderId="8661" xfId="0" applyFont="1" applyFill="1" applyBorder="1"/>
    <xf numFmtId="0" fontId="8710" fillId="8715" borderId="8662" xfId="0" applyFont="1" applyFill="1" applyBorder="1"/>
    <xf numFmtId="0" fontId="8711" fillId="8716" borderId="8663" xfId="0" applyFont="1" applyFill="1" applyBorder="1"/>
    <xf numFmtId="0" fontId="8712" fillId="8717" borderId="8664" xfId="0" applyFont="1" applyFill="1" applyBorder="1"/>
    <xf numFmtId="0" fontId="8713" fillId="8718" borderId="8665" xfId="0" applyFont="1" applyFill="1" applyBorder="1"/>
    <xf numFmtId="0" fontId="8714" fillId="8719" borderId="8666" xfId="0" applyFont="1" applyFill="1" applyBorder="1"/>
    <xf numFmtId="14" fontId="8715" fillId="8720" borderId="8667" xfId="0" applyNumberFormat="1" applyFont="1" applyFill="1" applyBorder="1"/>
    <xf numFmtId="0" fontId="8716" fillId="8721" borderId="8668" xfId="0" applyFont="1" applyFill="1" applyBorder="1"/>
    <xf numFmtId="14" fontId="8717" fillId="8722" borderId="8669" xfId="0" applyNumberFormat="1" applyFont="1" applyFill="1" applyBorder="1"/>
    <xf numFmtId="0" fontId="8718" fillId="8723" borderId="8670" xfId="0" applyFont="1" applyFill="1" applyBorder="1"/>
    <xf numFmtId="0" fontId="8719" fillId="8724" borderId="8671" xfId="0" applyFont="1" applyFill="1" applyBorder="1"/>
    <xf numFmtId="0" fontId="8720" fillId="8725" borderId="8672" xfId="0" applyFont="1" applyFill="1" applyBorder="1"/>
    <xf numFmtId="0" fontId="8721" fillId="8726" borderId="8673" xfId="0" applyFont="1" applyFill="1" applyBorder="1"/>
    <xf numFmtId="0" fontId="8722" fillId="8727" borderId="8674" xfId="0" applyFont="1" applyFill="1" applyBorder="1"/>
    <xf numFmtId="0" fontId="8723" fillId="8728" borderId="8675" xfId="0" applyFont="1" applyFill="1" applyBorder="1"/>
    <xf numFmtId="0" fontId="8724" fillId="8729" borderId="8676" xfId="0" applyFont="1" applyFill="1" applyBorder="1"/>
    <xf numFmtId="14" fontId="8725" fillId="8730" borderId="8677" xfId="0" applyNumberFormat="1" applyFont="1" applyFill="1" applyBorder="1"/>
    <xf numFmtId="0" fontId="8726" fillId="8731" borderId="8678" xfId="0" applyFont="1" applyFill="1" applyBorder="1"/>
    <xf numFmtId="14" fontId="8727" fillId="8732" borderId="8679" xfId="0" applyNumberFormat="1" applyFont="1" applyFill="1" applyBorder="1"/>
    <xf numFmtId="0" fontId="8728" fillId="8733" borderId="8680" xfId="0" applyFont="1" applyFill="1" applyBorder="1"/>
    <xf numFmtId="0" fontId="8729" fillId="8734" borderId="8681" xfId="0" applyFont="1" applyFill="1" applyBorder="1"/>
    <xf numFmtId="0" fontId="8730" fillId="8735" borderId="8682" xfId="0" applyFont="1" applyFill="1" applyBorder="1"/>
    <xf numFmtId="0" fontId="8731" fillId="8736" borderId="8683" xfId="0" applyFont="1" applyFill="1" applyBorder="1"/>
    <xf numFmtId="0" fontId="8732" fillId="8737" borderId="8684" xfId="0" applyFont="1" applyFill="1" applyBorder="1"/>
    <xf numFmtId="0" fontId="8733" fillId="8738" borderId="8685" xfId="0" applyFont="1" applyFill="1" applyBorder="1"/>
    <xf numFmtId="0" fontId="8734" fillId="8739" borderId="8686" xfId="0" applyFont="1" applyFill="1" applyBorder="1"/>
    <xf numFmtId="14" fontId="8735" fillId="8740" borderId="8687" xfId="0" applyNumberFormat="1" applyFont="1" applyFill="1" applyBorder="1"/>
    <xf numFmtId="0" fontId="8736" fillId="8741" borderId="8688" xfId="0" applyFont="1" applyFill="1" applyBorder="1"/>
    <xf numFmtId="14" fontId="8737" fillId="8742" borderId="8689" xfId="0" applyNumberFormat="1" applyFont="1" applyFill="1" applyBorder="1"/>
    <xf numFmtId="0" fontId="8738" fillId="8743" borderId="8690" xfId="0" applyFont="1" applyFill="1" applyBorder="1"/>
    <xf numFmtId="0" fontId="8739" fillId="8744" borderId="8691" xfId="0" applyFont="1" applyFill="1" applyBorder="1"/>
    <xf numFmtId="0" fontId="8740" fillId="8745" borderId="8692" xfId="0" applyFont="1" applyFill="1" applyBorder="1"/>
    <xf numFmtId="0" fontId="8741" fillId="8746" borderId="8693" xfId="0" applyFont="1" applyFill="1" applyBorder="1"/>
    <xf numFmtId="0" fontId="8742" fillId="8747" borderId="8694" xfId="0" applyFont="1" applyFill="1" applyBorder="1"/>
    <xf numFmtId="0" fontId="8743" fillId="8748" borderId="8695" xfId="0" applyFont="1" applyFill="1" applyBorder="1"/>
    <xf numFmtId="0" fontId="8744" fillId="8749" borderId="8696" xfId="0" applyFont="1" applyFill="1" applyBorder="1"/>
    <xf numFmtId="14" fontId="8745" fillId="8750" borderId="8697" xfId="0" applyNumberFormat="1" applyFont="1" applyFill="1" applyBorder="1"/>
    <xf numFmtId="0" fontId="8746" fillId="8751" borderId="8698" xfId="0" applyFont="1" applyFill="1" applyBorder="1"/>
    <xf numFmtId="14" fontId="8747" fillId="8752" borderId="8699" xfId="0" applyNumberFormat="1" applyFont="1" applyFill="1" applyBorder="1"/>
    <xf numFmtId="0" fontId="8748" fillId="8753" borderId="8700" xfId="0" applyFont="1" applyFill="1" applyBorder="1"/>
    <xf numFmtId="0" fontId="8749" fillId="8754" borderId="8701" xfId="0" applyFont="1" applyFill="1" applyBorder="1"/>
    <xf numFmtId="0" fontId="8750" fillId="8755" borderId="8702" xfId="0" applyFont="1" applyFill="1" applyBorder="1"/>
    <xf numFmtId="0" fontId="8751" fillId="8756" borderId="8703" xfId="0" applyFont="1" applyFill="1" applyBorder="1"/>
    <xf numFmtId="0" fontId="8752" fillId="8757" borderId="8704" xfId="0" applyFont="1" applyFill="1" applyBorder="1"/>
    <xf numFmtId="0" fontId="8753" fillId="8758" borderId="8705" xfId="0" applyFont="1" applyFill="1" applyBorder="1"/>
    <xf numFmtId="0" fontId="8754" fillId="8759" borderId="8706" xfId="0" applyFont="1" applyFill="1" applyBorder="1"/>
    <xf numFmtId="14" fontId="8755" fillId="8760" borderId="8707" xfId="0" applyNumberFormat="1" applyFont="1" applyFill="1" applyBorder="1"/>
    <xf numFmtId="0" fontId="8756" fillId="8761" borderId="8708" xfId="0" applyFont="1" applyFill="1" applyBorder="1"/>
    <xf numFmtId="14" fontId="8757" fillId="8762" borderId="8709" xfId="0" applyNumberFormat="1" applyFont="1" applyFill="1" applyBorder="1"/>
    <xf numFmtId="0" fontId="8758" fillId="8763" borderId="8710" xfId="0" applyFont="1" applyFill="1" applyBorder="1"/>
    <xf numFmtId="0" fontId="8759" fillId="8764" borderId="8711" xfId="0" applyFont="1" applyFill="1" applyBorder="1"/>
    <xf numFmtId="0" fontId="8760" fillId="8765" borderId="8712" xfId="0" applyFont="1" applyFill="1" applyBorder="1"/>
    <xf numFmtId="0" fontId="8761" fillId="8766" borderId="8713" xfId="0" applyFont="1" applyFill="1" applyBorder="1"/>
    <xf numFmtId="0" fontId="8762" fillId="8767" borderId="8714" xfId="0" applyFont="1" applyFill="1" applyBorder="1"/>
    <xf numFmtId="0" fontId="8763" fillId="8768" borderId="8715" xfId="0" applyFont="1" applyFill="1" applyBorder="1"/>
    <xf numFmtId="0" fontId="8764" fillId="8769" borderId="8716" xfId="0" applyFont="1" applyFill="1" applyBorder="1"/>
    <xf numFmtId="14" fontId="8765" fillId="8770" borderId="8717" xfId="0" applyNumberFormat="1" applyFont="1" applyFill="1" applyBorder="1"/>
    <xf numFmtId="0" fontId="8766" fillId="8771" borderId="8718" xfId="0" applyFont="1" applyFill="1" applyBorder="1"/>
    <xf numFmtId="14" fontId="8767" fillId="8772" borderId="8719" xfId="0" applyNumberFormat="1" applyFont="1" applyFill="1" applyBorder="1"/>
    <xf numFmtId="0" fontId="8768" fillId="8773" borderId="8720" xfId="0" applyFont="1" applyFill="1" applyBorder="1"/>
    <xf numFmtId="0" fontId="8769" fillId="8774" borderId="8721" xfId="0" applyFont="1" applyFill="1" applyBorder="1"/>
    <xf numFmtId="0" fontId="8770" fillId="8775" borderId="8722" xfId="0" applyFont="1" applyFill="1" applyBorder="1"/>
    <xf numFmtId="0" fontId="8771" fillId="8776" borderId="8723" xfId="0" applyFont="1" applyFill="1" applyBorder="1"/>
    <xf numFmtId="0" fontId="8772" fillId="8777" borderId="8724" xfId="0" applyFont="1" applyFill="1" applyBorder="1"/>
    <xf numFmtId="0" fontId="8773" fillId="8778" borderId="8725" xfId="0" applyFont="1" applyFill="1" applyBorder="1"/>
    <xf numFmtId="0" fontId="8774" fillId="8779" borderId="8726" xfId="0" applyFont="1" applyFill="1" applyBorder="1"/>
    <xf numFmtId="14" fontId="8775" fillId="8780" borderId="8727" xfId="0" applyNumberFormat="1" applyFont="1" applyFill="1" applyBorder="1"/>
    <xf numFmtId="0" fontId="8776" fillId="8781" borderId="8728" xfId="0" applyFont="1" applyFill="1" applyBorder="1"/>
    <xf numFmtId="14" fontId="8777" fillId="8782" borderId="8729" xfId="0" applyNumberFormat="1" applyFont="1" applyFill="1" applyBorder="1"/>
    <xf numFmtId="0" fontId="8778" fillId="8783" borderId="8730" xfId="0" applyFont="1" applyFill="1" applyBorder="1"/>
    <xf numFmtId="0" fontId="8779" fillId="8784" borderId="8731" xfId="0" applyFont="1" applyFill="1" applyBorder="1"/>
    <xf numFmtId="0" fontId="8780" fillId="8785" borderId="8732" xfId="0" applyFont="1" applyFill="1" applyBorder="1"/>
    <xf numFmtId="0" fontId="8781" fillId="8786" borderId="8733" xfId="0" applyFont="1" applyFill="1" applyBorder="1"/>
    <xf numFmtId="0" fontId="8782" fillId="8787" borderId="8734" xfId="0" applyFont="1" applyFill="1" applyBorder="1"/>
    <xf numFmtId="0" fontId="8783" fillId="8788" borderId="8735" xfId="0" applyFont="1" applyFill="1" applyBorder="1"/>
    <xf numFmtId="0" fontId="8784" fillId="8789" borderId="8736" xfId="0" applyFont="1" applyFill="1" applyBorder="1"/>
    <xf numFmtId="14" fontId="8785" fillId="8790" borderId="8737" xfId="0" applyNumberFormat="1" applyFont="1" applyFill="1" applyBorder="1"/>
    <xf numFmtId="0" fontId="8786" fillId="8791" borderId="8738" xfId="0" applyFont="1" applyFill="1" applyBorder="1"/>
    <xf numFmtId="14" fontId="8787" fillId="8792" borderId="8739" xfId="0" applyNumberFormat="1" applyFont="1" applyFill="1" applyBorder="1"/>
    <xf numFmtId="0" fontId="8788" fillId="8793" borderId="8740" xfId="0" applyFont="1" applyFill="1" applyBorder="1"/>
    <xf numFmtId="0" fontId="8789" fillId="8794" borderId="8741" xfId="0" applyFont="1" applyFill="1" applyBorder="1"/>
    <xf numFmtId="0" fontId="8790" fillId="8795" borderId="8742" xfId="0" applyFont="1" applyFill="1" applyBorder="1"/>
    <xf numFmtId="0" fontId="8791" fillId="8796" borderId="8743" xfId="0" applyFont="1" applyFill="1" applyBorder="1"/>
    <xf numFmtId="0" fontId="8792" fillId="8797" borderId="8744" xfId="0" applyFont="1" applyFill="1" applyBorder="1"/>
    <xf numFmtId="0" fontId="8793" fillId="8798" borderId="8745" xfId="0" applyFont="1" applyFill="1" applyBorder="1"/>
    <xf numFmtId="0" fontId="8794" fillId="8799" borderId="8746" xfId="0" applyFont="1" applyFill="1" applyBorder="1"/>
    <xf numFmtId="14" fontId="8795" fillId="8800" borderId="8747" xfId="0" applyNumberFormat="1" applyFont="1" applyFill="1" applyBorder="1"/>
    <xf numFmtId="0" fontId="8796" fillId="8801" borderId="8748" xfId="0" applyFont="1" applyFill="1" applyBorder="1"/>
    <xf numFmtId="14" fontId="8797" fillId="8802" borderId="8749" xfId="0" applyNumberFormat="1" applyFont="1" applyFill="1" applyBorder="1"/>
    <xf numFmtId="0" fontId="8798" fillId="8803" borderId="8750" xfId="0" applyFont="1" applyFill="1" applyBorder="1"/>
    <xf numFmtId="0" fontId="8799" fillId="8804" borderId="8751" xfId="0" applyFont="1" applyFill="1" applyBorder="1"/>
    <xf numFmtId="0" fontId="8800" fillId="8805" borderId="8752" xfId="0" applyFont="1" applyFill="1" applyBorder="1"/>
    <xf numFmtId="0" fontId="8801" fillId="8806" borderId="8753" xfId="0" applyFont="1" applyFill="1" applyBorder="1"/>
    <xf numFmtId="0" fontId="8802" fillId="8807" borderId="8754" xfId="0" applyFont="1" applyFill="1" applyBorder="1"/>
    <xf numFmtId="0" fontId="8803" fillId="8808" borderId="8755" xfId="0" applyFont="1" applyFill="1" applyBorder="1"/>
    <xf numFmtId="0" fontId="8804" fillId="8809" borderId="8756" xfId="0" applyFont="1" applyFill="1" applyBorder="1"/>
    <xf numFmtId="14" fontId="8805" fillId="8810" borderId="8757" xfId="0" applyNumberFormat="1" applyFont="1" applyFill="1" applyBorder="1"/>
    <xf numFmtId="0" fontId="8806" fillId="8811" borderId="8758" xfId="0" applyFont="1" applyFill="1" applyBorder="1"/>
    <xf numFmtId="14" fontId="8807" fillId="8812" borderId="8759" xfId="0" applyNumberFormat="1" applyFont="1" applyFill="1" applyBorder="1"/>
    <xf numFmtId="0" fontId="8808" fillId="8813" borderId="8760" xfId="0" applyFont="1" applyFill="1" applyBorder="1"/>
    <xf numFmtId="0" fontId="8809" fillId="8814" borderId="8761" xfId="0" applyFont="1" applyFill="1" applyBorder="1"/>
    <xf numFmtId="0" fontId="8810" fillId="8815" borderId="8762" xfId="0" applyFont="1" applyFill="1" applyBorder="1"/>
    <xf numFmtId="0" fontId="8811" fillId="8816" borderId="8763" xfId="0" applyFont="1" applyFill="1" applyBorder="1"/>
    <xf numFmtId="0" fontId="8812" fillId="8817" borderId="8764" xfId="0" applyFont="1" applyFill="1" applyBorder="1"/>
    <xf numFmtId="0" fontId="8813" fillId="8818" borderId="8765" xfId="0" applyFont="1" applyFill="1" applyBorder="1"/>
    <xf numFmtId="0" fontId="8814" fillId="8819" borderId="8766" xfId="0" applyFont="1" applyFill="1" applyBorder="1"/>
    <xf numFmtId="14" fontId="8815" fillId="8820" borderId="8767" xfId="0" applyNumberFormat="1" applyFont="1" applyFill="1" applyBorder="1"/>
    <xf numFmtId="0" fontId="8816" fillId="8821" borderId="8768" xfId="0" applyFont="1" applyFill="1" applyBorder="1"/>
    <xf numFmtId="14" fontId="8817" fillId="8822" borderId="8769" xfId="0" applyNumberFormat="1" applyFont="1" applyFill="1" applyBorder="1"/>
    <xf numFmtId="0" fontId="8818" fillId="8823" borderId="8770" xfId="0" applyFont="1" applyFill="1" applyBorder="1"/>
    <xf numFmtId="0" fontId="8819" fillId="8824" borderId="8771" xfId="0" applyFont="1" applyFill="1" applyBorder="1"/>
    <xf numFmtId="0" fontId="8820" fillId="8825" borderId="8772" xfId="0" applyFont="1" applyFill="1" applyBorder="1"/>
    <xf numFmtId="0" fontId="8821" fillId="8826" borderId="8773" xfId="0" applyFont="1" applyFill="1" applyBorder="1"/>
    <xf numFmtId="0" fontId="8822" fillId="8827" borderId="8774" xfId="0" applyFont="1" applyFill="1" applyBorder="1"/>
    <xf numFmtId="0" fontId="8823" fillId="8828" borderId="8775" xfId="0" applyFont="1" applyFill="1" applyBorder="1"/>
    <xf numFmtId="0" fontId="8824" fillId="8829" borderId="8776" xfId="0" applyFont="1" applyFill="1" applyBorder="1"/>
    <xf numFmtId="14" fontId="8825" fillId="8830" borderId="8777" xfId="0" applyNumberFormat="1" applyFont="1" applyFill="1" applyBorder="1"/>
    <xf numFmtId="0" fontId="8826" fillId="8831" borderId="8778" xfId="0" applyFont="1" applyFill="1" applyBorder="1"/>
    <xf numFmtId="14" fontId="8827" fillId="8832" borderId="8779" xfId="0" applyNumberFormat="1" applyFont="1" applyFill="1" applyBorder="1"/>
    <xf numFmtId="0" fontId="8828" fillId="8833" borderId="8780" xfId="0" applyFont="1" applyFill="1" applyBorder="1"/>
    <xf numFmtId="0" fontId="8829" fillId="8834" borderId="8781" xfId="0" applyFont="1" applyFill="1" applyBorder="1"/>
    <xf numFmtId="0" fontId="8830" fillId="8835" borderId="8782" xfId="0" applyFont="1" applyFill="1" applyBorder="1"/>
    <xf numFmtId="0" fontId="8831" fillId="8836" borderId="8783" xfId="0" applyFont="1" applyFill="1" applyBorder="1"/>
    <xf numFmtId="0" fontId="8832" fillId="8837" borderId="8784" xfId="0" applyFont="1" applyFill="1" applyBorder="1"/>
    <xf numFmtId="0" fontId="8833" fillId="8838" borderId="8785" xfId="0" applyFont="1" applyFill="1" applyBorder="1"/>
    <xf numFmtId="0" fontId="8834" fillId="8839" borderId="8786" xfId="0" applyFont="1" applyFill="1" applyBorder="1"/>
    <xf numFmtId="14" fontId="8835" fillId="8840" borderId="8787" xfId="0" applyNumberFormat="1" applyFont="1" applyFill="1" applyBorder="1"/>
    <xf numFmtId="0" fontId="8836" fillId="8841" borderId="8788" xfId="0" applyFont="1" applyFill="1" applyBorder="1"/>
    <xf numFmtId="14" fontId="8837" fillId="8842" borderId="8789" xfId="0" applyNumberFormat="1" applyFont="1" applyFill="1" applyBorder="1"/>
    <xf numFmtId="0" fontId="8838" fillId="8843" borderId="8790" xfId="0" applyFont="1" applyFill="1" applyBorder="1"/>
    <xf numFmtId="0" fontId="8839" fillId="8844" borderId="8791" xfId="0" applyFont="1" applyFill="1" applyBorder="1"/>
    <xf numFmtId="0" fontId="8840" fillId="8845" borderId="8792" xfId="0" applyFont="1" applyFill="1" applyBorder="1"/>
    <xf numFmtId="0" fontId="8841" fillId="8846" borderId="8793" xfId="0" applyFont="1" applyFill="1" applyBorder="1"/>
    <xf numFmtId="0" fontId="8842" fillId="8847" borderId="8794" xfId="0" applyFont="1" applyFill="1" applyBorder="1"/>
    <xf numFmtId="0" fontId="8843" fillId="8848" borderId="8795" xfId="0" applyFont="1" applyFill="1" applyBorder="1"/>
    <xf numFmtId="0" fontId="8844" fillId="8849" borderId="8796" xfId="0" applyFont="1" applyFill="1" applyBorder="1"/>
    <xf numFmtId="14" fontId="8845" fillId="8850" borderId="8797" xfId="0" applyNumberFormat="1" applyFont="1" applyFill="1" applyBorder="1"/>
    <xf numFmtId="0" fontId="8846" fillId="8851" borderId="8798" xfId="0" applyFont="1" applyFill="1" applyBorder="1"/>
    <xf numFmtId="14" fontId="8847" fillId="8852" borderId="8799" xfId="0" applyNumberFormat="1" applyFont="1" applyFill="1" applyBorder="1"/>
    <xf numFmtId="0" fontId="8848" fillId="8853" borderId="8800" xfId="0" applyFont="1" applyFill="1" applyBorder="1"/>
    <xf numFmtId="0" fontId="8849" fillId="8854" borderId="8801" xfId="0" applyFont="1" applyFill="1" applyBorder="1"/>
    <xf numFmtId="0" fontId="8850" fillId="8855" borderId="8802" xfId="0" applyFont="1" applyFill="1" applyBorder="1"/>
    <xf numFmtId="0" fontId="8851" fillId="8856" borderId="8803" xfId="0" applyFont="1" applyFill="1" applyBorder="1"/>
    <xf numFmtId="0" fontId="8852" fillId="8857" borderId="8804" xfId="0" applyFont="1" applyFill="1" applyBorder="1"/>
    <xf numFmtId="0" fontId="8853" fillId="8858" borderId="8805" xfId="0" applyFont="1" applyFill="1" applyBorder="1"/>
    <xf numFmtId="0" fontId="8854" fillId="8859" borderId="8806" xfId="0" applyFont="1" applyFill="1" applyBorder="1"/>
    <xf numFmtId="14" fontId="8855" fillId="8860" borderId="8807" xfId="0" applyNumberFormat="1" applyFont="1" applyFill="1" applyBorder="1"/>
    <xf numFmtId="0" fontId="8856" fillId="8861" borderId="8808" xfId="0" applyFont="1" applyFill="1" applyBorder="1"/>
    <xf numFmtId="14" fontId="8857" fillId="8862" borderId="8809" xfId="0" applyNumberFormat="1" applyFont="1" applyFill="1" applyBorder="1"/>
    <xf numFmtId="0" fontId="8858" fillId="8863" borderId="8810" xfId="0" applyFont="1" applyFill="1" applyBorder="1"/>
    <xf numFmtId="0" fontId="8859" fillId="8864" borderId="8811" xfId="0" applyFont="1" applyFill="1" applyBorder="1"/>
    <xf numFmtId="0" fontId="8860" fillId="8865" borderId="8812" xfId="0" applyFont="1" applyFill="1" applyBorder="1"/>
    <xf numFmtId="0" fontId="8861" fillId="8866" borderId="8813" xfId="0" applyFont="1" applyFill="1" applyBorder="1"/>
    <xf numFmtId="0" fontId="8862" fillId="8867" borderId="8814" xfId="0" applyFont="1" applyFill="1" applyBorder="1"/>
    <xf numFmtId="0" fontId="8863" fillId="8868" borderId="8815" xfId="0" applyFont="1" applyFill="1" applyBorder="1"/>
    <xf numFmtId="0" fontId="8864" fillId="8869" borderId="8816" xfId="0" applyFont="1" applyFill="1" applyBorder="1"/>
    <xf numFmtId="14" fontId="8865" fillId="8870" borderId="8817" xfId="0" applyNumberFormat="1" applyFont="1" applyFill="1" applyBorder="1"/>
    <xf numFmtId="0" fontId="8866" fillId="8871" borderId="8818" xfId="0" applyFont="1" applyFill="1" applyBorder="1"/>
    <xf numFmtId="14" fontId="8867" fillId="8872" borderId="8819" xfId="0" applyNumberFormat="1" applyFont="1" applyFill="1" applyBorder="1"/>
    <xf numFmtId="0" fontId="8868" fillId="8873" borderId="8820" xfId="0" applyFont="1" applyFill="1" applyBorder="1"/>
    <xf numFmtId="0" fontId="8869" fillId="8874" borderId="8821" xfId="0" applyFont="1" applyFill="1" applyBorder="1"/>
    <xf numFmtId="0" fontId="8870" fillId="8875" borderId="8822" xfId="0" applyFont="1" applyFill="1" applyBorder="1"/>
    <xf numFmtId="0" fontId="8871" fillId="8876" borderId="8823" xfId="0" applyFont="1" applyFill="1" applyBorder="1"/>
    <xf numFmtId="0" fontId="8872" fillId="8877" borderId="8824" xfId="0" applyFont="1" applyFill="1" applyBorder="1"/>
    <xf numFmtId="0" fontId="8873" fillId="8878" borderId="8825" xfId="0" applyFont="1" applyFill="1" applyBorder="1"/>
    <xf numFmtId="0" fontId="8874" fillId="8879" borderId="8826" xfId="0" applyFont="1" applyFill="1" applyBorder="1"/>
    <xf numFmtId="14" fontId="8875" fillId="8880" borderId="8827" xfId="0" applyNumberFormat="1" applyFont="1" applyFill="1" applyBorder="1"/>
    <xf numFmtId="0" fontId="8876" fillId="8881" borderId="8828" xfId="0" applyFont="1" applyFill="1" applyBorder="1"/>
    <xf numFmtId="14" fontId="8877" fillId="8882" borderId="8829" xfId="0" applyNumberFormat="1" applyFont="1" applyFill="1" applyBorder="1"/>
    <xf numFmtId="0" fontId="8878" fillId="8883" borderId="8830" xfId="0" applyFont="1" applyFill="1" applyBorder="1"/>
    <xf numFmtId="0" fontId="8879" fillId="8884" borderId="8831" xfId="0" applyFont="1" applyFill="1" applyBorder="1"/>
    <xf numFmtId="0" fontId="8880" fillId="8885" borderId="8832" xfId="0" applyFont="1" applyFill="1" applyBorder="1"/>
    <xf numFmtId="0" fontId="8881" fillId="8886" borderId="8833" xfId="0" applyFont="1" applyFill="1" applyBorder="1"/>
    <xf numFmtId="0" fontId="8882" fillId="8887" borderId="8834" xfId="0" applyFont="1" applyFill="1" applyBorder="1"/>
    <xf numFmtId="0" fontId="8883" fillId="8888" borderId="8835" xfId="0" applyFont="1" applyFill="1" applyBorder="1"/>
    <xf numFmtId="0" fontId="8884" fillId="8889" borderId="8836" xfId="0" applyFont="1" applyFill="1" applyBorder="1"/>
    <xf numFmtId="14" fontId="8885" fillId="8890" borderId="8837" xfId="0" applyNumberFormat="1" applyFont="1" applyFill="1" applyBorder="1"/>
    <xf numFmtId="0" fontId="8886" fillId="8891" borderId="8838" xfId="0" applyFont="1" applyFill="1" applyBorder="1"/>
    <xf numFmtId="14" fontId="8887" fillId="8892" borderId="8839" xfId="0" applyNumberFormat="1" applyFont="1" applyFill="1" applyBorder="1"/>
    <xf numFmtId="0" fontId="8888" fillId="8893" borderId="8840" xfId="0" applyFont="1" applyFill="1" applyBorder="1"/>
    <xf numFmtId="0" fontId="8889" fillId="8894" borderId="8841" xfId="0" applyFont="1" applyFill="1" applyBorder="1"/>
    <xf numFmtId="0" fontId="8890" fillId="8895" borderId="8842" xfId="0" applyFont="1" applyFill="1" applyBorder="1"/>
    <xf numFmtId="0" fontId="8891" fillId="8896" borderId="8843" xfId="0" applyFont="1" applyFill="1" applyBorder="1"/>
    <xf numFmtId="0" fontId="8892" fillId="8897" borderId="8844" xfId="0" applyFont="1" applyFill="1" applyBorder="1"/>
    <xf numFmtId="0" fontId="8893" fillId="8898" borderId="8845" xfId="0" applyFont="1" applyFill="1" applyBorder="1"/>
    <xf numFmtId="0" fontId="8894" fillId="8899" borderId="8846" xfId="0" applyFont="1" applyFill="1" applyBorder="1"/>
    <xf numFmtId="14" fontId="8895" fillId="8900" borderId="8847" xfId="0" applyNumberFormat="1" applyFont="1" applyFill="1" applyBorder="1"/>
    <xf numFmtId="0" fontId="8896" fillId="8901" borderId="8848" xfId="0" applyFont="1" applyFill="1" applyBorder="1"/>
    <xf numFmtId="14" fontId="8897" fillId="8902" borderId="8849" xfId="0" applyNumberFormat="1" applyFont="1" applyFill="1" applyBorder="1"/>
    <xf numFmtId="0" fontId="8898" fillId="8903" borderId="8850" xfId="0" applyFont="1" applyFill="1" applyBorder="1"/>
    <xf numFmtId="0" fontId="8899" fillId="8904" borderId="8851" xfId="0" applyFont="1" applyFill="1" applyBorder="1"/>
    <xf numFmtId="0" fontId="8900" fillId="8905" borderId="8852" xfId="0" applyFont="1" applyFill="1" applyBorder="1"/>
    <xf numFmtId="0" fontId="8901" fillId="8906" borderId="8853" xfId="0" applyFont="1" applyFill="1" applyBorder="1"/>
    <xf numFmtId="0" fontId="8902" fillId="8907" borderId="8854" xfId="0" applyFont="1" applyFill="1" applyBorder="1"/>
    <xf numFmtId="0" fontId="8903" fillId="8908" borderId="8855" xfId="0" applyFont="1" applyFill="1" applyBorder="1"/>
    <xf numFmtId="0" fontId="8904" fillId="8909" borderId="8856" xfId="0" applyFont="1" applyFill="1" applyBorder="1"/>
    <xf numFmtId="14" fontId="8905" fillId="8910" borderId="8857" xfId="0" applyNumberFormat="1" applyFont="1" applyFill="1" applyBorder="1"/>
    <xf numFmtId="0" fontId="8906" fillId="8911" borderId="8858" xfId="0" applyFont="1" applyFill="1" applyBorder="1"/>
    <xf numFmtId="14" fontId="8907" fillId="8912" borderId="8859" xfId="0" applyNumberFormat="1" applyFont="1" applyFill="1" applyBorder="1"/>
    <xf numFmtId="0" fontId="8908" fillId="8913" borderId="8860" xfId="0" applyFont="1" applyFill="1" applyBorder="1"/>
    <xf numFmtId="0" fontId="8909" fillId="8914" borderId="8861" xfId="0" applyFont="1" applyFill="1" applyBorder="1"/>
    <xf numFmtId="0" fontId="8910" fillId="8915" borderId="8862" xfId="0" applyFont="1" applyFill="1" applyBorder="1"/>
    <xf numFmtId="0" fontId="8911" fillId="8916" borderId="8863" xfId="0" applyFont="1" applyFill="1" applyBorder="1"/>
    <xf numFmtId="0" fontId="8912" fillId="8917" borderId="8864" xfId="0" applyFont="1" applyFill="1" applyBorder="1"/>
    <xf numFmtId="0" fontId="8913" fillId="8918" borderId="8865" xfId="0" applyFont="1" applyFill="1" applyBorder="1"/>
    <xf numFmtId="0" fontId="8914" fillId="8919" borderId="8866" xfId="0" applyFont="1" applyFill="1" applyBorder="1"/>
    <xf numFmtId="14" fontId="8915" fillId="8920" borderId="8867" xfId="0" applyNumberFormat="1" applyFont="1" applyFill="1" applyBorder="1"/>
    <xf numFmtId="0" fontId="8916" fillId="8921" borderId="8868" xfId="0" applyFont="1" applyFill="1" applyBorder="1"/>
    <xf numFmtId="14" fontId="8917" fillId="8922" borderId="8869" xfId="0" applyNumberFormat="1" applyFont="1" applyFill="1" applyBorder="1"/>
    <xf numFmtId="0" fontId="8918" fillId="8923" borderId="8870" xfId="0" applyFont="1" applyFill="1" applyBorder="1"/>
    <xf numFmtId="0" fontId="8919" fillId="8924" borderId="8871" xfId="0" applyFont="1" applyFill="1" applyBorder="1"/>
    <xf numFmtId="0" fontId="8920" fillId="8925" borderId="8872" xfId="0" applyFont="1" applyFill="1" applyBorder="1"/>
    <xf numFmtId="0" fontId="8921" fillId="8926" borderId="8873" xfId="0" applyFont="1" applyFill="1" applyBorder="1"/>
    <xf numFmtId="0" fontId="8922" fillId="8927" borderId="8874" xfId="0" applyFont="1" applyFill="1" applyBorder="1"/>
    <xf numFmtId="0" fontId="8923" fillId="8928" borderId="8875" xfId="0" applyFont="1" applyFill="1" applyBorder="1"/>
    <xf numFmtId="0" fontId="8924" fillId="8929" borderId="8876" xfId="0" applyFont="1" applyFill="1" applyBorder="1"/>
    <xf numFmtId="14" fontId="8925" fillId="8930" borderId="8877" xfId="0" applyNumberFormat="1" applyFont="1" applyFill="1" applyBorder="1"/>
    <xf numFmtId="0" fontId="8926" fillId="8931" borderId="8878" xfId="0" applyFont="1" applyFill="1" applyBorder="1"/>
    <xf numFmtId="14" fontId="8927" fillId="8932" borderId="8879" xfId="0" applyNumberFormat="1" applyFont="1" applyFill="1" applyBorder="1"/>
    <xf numFmtId="0" fontId="8928" fillId="8933" borderId="8880" xfId="0" applyFont="1" applyFill="1" applyBorder="1"/>
    <xf numFmtId="0" fontId="8929" fillId="8934" borderId="8881" xfId="0" applyFont="1" applyFill="1" applyBorder="1"/>
    <xf numFmtId="0" fontId="8930" fillId="8935" borderId="8882" xfId="0" applyFont="1" applyFill="1" applyBorder="1"/>
    <xf numFmtId="0" fontId="8931" fillId="8936" borderId="8883" xfId="0" applyFont="1" applyFill="1" applyBorder="1"/>
    <xf numFmtId="0" fontId="8932" fillId="8937" borderId="8884" xfId="0" applyFont="1" applyFill="1" applyBorder="1"/>
    <xf numFmtId="0" fontId="8933" fillId="8938" borderId="8885" xfId="0" applyFont="1" applyFill="1" applyBorder="1"/>
    <xf numFmtId="0" fontId="8934" fillId="8939" borderId="8886" xfId="0" applyFont="1" applyFill="1" applyBorder="1"/>
    <xf numFmtId="14" fontId="8935" fillId="8940" borderId="8887" xfId="0" applyNumberFormat="1" applyFont="1" applyFill="1" applyBorder="1"/>
    <xf numFmtId="0" fontId="8936" fillId="8941" borderId="8888" xfId="0" applyFont="1" applyFill="1" applyBorder="1"/>
    <xf numFmtId="14" fontId="8937" fillId="8942" borderId="8889" xfId="0" applyNumberFormat="1" applyFont="1" applyFill="1" applyBorder="1"/>
    <xf numFmtId="0" fontId="8938" fillId="8943" borderId="8890" xfId="0" applyFont="1" applyFill="1" applyBorder="1"/>
    <xf numFmtId="0" fontId="8939" fillId="8944" borderId="8891" xfId="0" applyFont="1" applyFill="1" applyBorder="1"/>
    <xf numFmtId="0" fontId="8940" fillId="8945" borderId="8892" xfId="0" applyFont="1" applyFill="1" applyBorder="1"/>
    <xf numFmtId="0" fontId="8941" fillId="8946" borderId="8893" xfId="0" applyFont="1" applyFill="1" applyBorder="1"/>
    <xf numFmtId="0" fontId="8942" fillId="8947" borderId="8894" xfId="0" applyFont="1" applyFill="1" applyBorder="1"/>
    <xf numFmtId="0" fontId="8943" fillId="8948" borderId="8895" xfId="0" applyFont="1" applyFill="1" applyBorder="1"/>
    <xf numFmtId="0" fontId="8944" fillId="8949" borderId="8896" xfId="0" applyFont="1" applyFill="1" applyBorder="1"/>
    <xf numFmtId="14" fontId="8945" fillId="8950" borderId="8897" xfId="0" applyNumberFormat="1" applyFont="1" applyFill="1" applyBorder="1"/>
    <xf numFmtId="0" fontId="8946" fillId="8951" borderId="8898" xfId="0" applyFont="1" applyFill="1" applyBorder="1"/>
    <xf numFmtId="14" fontId="8947" fillId="8952" borderId="8899" xfId="0" applyNumberFormat="1" applyFont="1" applyFill="1" applyBorder="1"/>
    <xf numFmtId="0" fontId="8948" fillId="8953" borderId="8900" xfId="0" applyFont="1" applyFill="1" applyBorder="1"/>
    <xf numFmtId="0" fontId="8949" fillId="8954" borderId="8901" xfId="0" applyFont="1" applyFill="1" applyBorder="1"/>
    <xf numFmtId="0" fontId="8950" fillId="8955" borderId="8902" xfId="0" applyFont="1" applyFill="1" applyBorder="1"/>
    <xf numFmtId="0" fontId="8951" fillId="8956" borderId="8903" xfId="0" applyFont="1" applyFill="1" applyBorder="1"/>
    <xf numFmtId="0" fontId="8952" fillId="8957" borderId="8904" xfId="0" applyFont="1" applyFill="1" applyBorder="1"/>
    <xf numFmtId="0" fontId="8953" fillId="8958" borderId="8905" xfId="0" applyFont="1" applyFill="1" applyBorder="1"/>
    <xf numFmtId="0" fontId="8954" fillId="8959" borderId="8906" xfId="0" applyFont="1" applyFill="1" applyBorder="1"/>
    <xf numFmtId="14" fontId="8955" fillId="8960" borderId="8907" xfId="0" applyNumberFormat="1" applyFont="1" applyFill="1" applyBorder="1"/>
    <xf numFmtId="0" fontId="8956" fillId="8961" borderId="8908" xfId="0" applyFont="1" applyFill="1" applyBorder="1"/>
    <xf numFmtId="14" fontId="8957" fillId="8962" borderId="8909" xfId="0" applyNumberFormat="1" applyFont="1" applyFill="1" applyBorder="1"/>
    <xf numFmtId="0" fontId="8958" fillId="8963" borderId="8910" xfId="0" applyFont="1" applyFill="1" applyBorder="1"/>
    <xf numFmtId="0" fontId="8959" fillId="8964" borderId="8911" xfId="0" applyFont="1" applyFill="1" applyBorder="1"/>
    <xf numFmtId="0" fontId="8960" fillId="8965" borderId="8912" xfId="0" applyFont="1" applyFill="1" applyBorder="1"/>
    <xf numFmtId="0" fontId="8961" fillId="8966" borderId="8913" xfId="0" applyFont="1" applyFill="1" applyBorder="1"/>
    <xf numFmtId="0" fontId="8962" fillId="8967" borderId="8914" xfId="0" applyFont="1" applyFill="1" applyBorder="1"/>
    <xf numFmtId="0" fontId="8963" fillId="8968" borderId="8915" xfId="0" applyFont="1" applyFill="1" applyBorder="1"/>
    <xf numFmtId="0" fontId="8964" fillId="8969" borderId="8916" xfId="0" applyFont="1" applyFill="1" applyBorder="1"/>
    <xf numFmtId="14" fontId="8965" fillId="8970" borderId="8917" xfId="0" applyNumberFormat="1" applyFont="1" applyFill="1" applyBorder="1"/>
    <xf numFmtId="0" fontId="8966" fillId="8971" borderId="8918" xfId="0" applyFont="1" applyFill="1" applyBorder="1"/>
    <xf numFmtId="14" fontId="8967" fillId="8972" borderId="8919" xfId="0" applyNumberFormat="1" applyFont="1" applyFill="1" applyBorder="1"/>
    <xf numFmtId="0" fontId="8968" fillId="8973" borderId="8920" xfId="0" applyFont="1" applyFill="1" applyBorder="1"/>
    <xf numFmtId="0" fontId="8969" fillId="8974" borderId="8921" xfId="0" applyFont="1" applyFill="1" applyBorder="1"/>
    <xf numFmtId="0" fontId="8970" fillId="8975" borderId="8922" xfId="0" applyFont="1" applyFill="1" applyBorder="1"/>
    <xf numFmtId="0" fontId="8971" fillId="8976" borderId="8923" xfId="0" applyFont="1" applyFill="1" applyBorder="1"/>
    <xf numFmtId="0" fontId="8972" fillId="8977" borderId="8924" xfId="0" applyFont="1" applyFill="1" applyBorder="1"/>
    <xf numFmtId="0" fontId="8973" fillId="8978" borderId="8925" xfId="0" applyFont="1" applyFill="1" applyBorder="1"/>
    <xf numFmtId="0" fontId="8974" fillId="8979" borderId="8926" xfId="0" applyFont="1" applyFill="1" applyBorder="1"/>
    <xf numFmtId="14" fontId="8975" fillId="8980" borderId="8927" xfId="0" applyNumberFormat="1" applyFont="1" applyFill="1" applyBorder="1"/>
    <xf numFmtId="0" fontId="8976" fillId="8981" borderId="8928" xfId="0" applyFont="1" applyFill="1" applyBorder="1"/>
    <xf numFmtId="14" fontId="8977" fillId="8982" borderId="8929" xfId="0" applyNumberFormat="1" applyFont="1" applyFill="1" applyBorder="1"/>
    <xf numFmtId="0" fontId="8978" fillId="8983" borderId="8930" xfId="0" applyFont="1" applyFill="1" applyBorder="1"/>
    <xf numFmtId="0" fontId="8979" fillId="8984" borderId="8931" xfId="0" applyFont="1" applyFill="1" applyBorder="1"/>
    <xf numFmtId="0" fontId="8980" fillId="8985" borderId="8932" xfId="0" applyFont="1" applyFill="1" applyBorder="1"/>
    <xf numFmtId="0" fontId="8981" fillId="8986" borderId="8933" xfId="0" applyFont="1" applyFill="1" applyBorder="1"/>
    <xf numFmtId="0" fontId="8982" fillId="8987" borderId="8934" xfId="0" applyFont="1" applyFill="1" applyBorder="1"/>
    <xf numFmtId="0" fontId="8983" fillId="8988" borderId="8935" xfId="0" applyFont="1" applyFill="1" applyBorder="1"/>
    <xf numFmtId="0" fontId="8984" fillId="8989" borderId="8936" xfId="0" applyFont="1" applyFill="1" applyBorder="1"/>
    <xf numFmtId="14" fontId="8985" fillId="8990" borderId="8937" xfId="0" applyNumberFormat="1" applyFont="1" applyFill="1" applyBorder="1"/>
    <xf numFmtId="0" fontId="8986" fillId="8991" borderId="8938" xfId="0" applyFont="1" applyFill="1" applyBorder="1"/>
    <xf numFmtId="14" fontId="8987" fillId="8992" borderId="8939" xfId="0" applyNumberFormat="1" applyFont="1" applyFill="1" applyBorder="1"/>
    <xf numFmtId="0" fontId="8988" fillId="8993" borderId="8940" xfId="0" applyFont="1" applyFill="1" applyBorder="1"/>
    <xf numFmtId="0" fontId="8989" fillId="8994" borderId="8941" xfId="0" applyFont="1" applyFill="1" applyBorder="1"/>
    <xf numFmtId="0" fontId="8990" fillId="8995" borderId="8942" xfId="0" applyFont="1" applyFill="1" applyBorder="1"/>
    <xf numFmtId="0" fontId="8991" fillId="8996" borderId="8943" xfId="0" applyFont="1" applyFill="1" applyBorder="1"/>
    <xf numFmtId="0" fontId="8992" fillId="8997" borderId="8944" xfId="0" applyFont="1" applyFill="1" applyBorder="1"/>
    <xf numFmtId="0" fontId="8993" fillId="8998" borderId="8945" xfId="0" applyFont="1" applyFill="1" applyBorder="1"/>
    <xf numFmtId="0" fontId="8994" fillId="8999" borderId="8946" xfId="0" applyFont="1" applyFill="1" applyBorder="1"/>
    <xf numFmtId="14" fontId="8995" fillId="9000" borderId="8947" xfId="0" applyNumberFormat="1" applyFont="1" applyFill="1" applyBorder="1"/>
    <xf numFmtId="0" fontId="8996" fillId="9001" borderId="8948" xfId="0" applyFont="1" applyFill="1" applyBorder="1"/>
    <xf numFmtId="14" fontId="8997" fillId="9002" borderId="8949" xfId="0" applyNumberFormat="1" applyFont="1" applyFill="1" applyBorder="1"/>
    <xf numFmtId="0" fontId="8998" fillId="9003" borderId="8950" xfId="0" applyFont="1" applyFill="1" applyBorder="1"/>
    <xf numFmtId="0" fontId="8999" fillId="9004" borderId="8951" xfId="0" applyFont="1" applyFill="1" applyBorder="1"/>
    <xf numFmtId="0" fontId="9000" fillId="9005" borderId="8952" xfId="0" applyFont="1" applyFill="1" applyBorder="1"/>
    <xf numFmtId="0" fontId="9001" fillId="9006" borderId="8953" xfId="0" applyFont="1" applyFill="1" applyBorder="1"/>
    <xf numFmtId="0" fontId="9002" fillId="9007" borderId="8954" xfId="0" applyFont="1" applyFill="1" applyBorder="1"/>
    <xf numFmtId="0" fontId="9003" fillId="9008" borderId="8955" xfId="0" applyFont="1" applyFill="1" applyBorder="1"/>
    <xf numFmtId="0" fontId="9004" fillId="9009" borderId="8956" xfId="0" applyFont="1" applyFill="1" applyBorder="1"/>
    <xf numFmtId="14" fontId="9005" fillId="9010" borderId="8957" xfId="0" applyNumberFormat="1" applyFont="1" applyFill="1" applyBorder="1"/>
    <xf numFmtId="0" fontId="9006" fillId="9011" borderId="8958" xfId="0" applyFont="1" applyFill="1" applyBorder="1"/>
    <xf numFmtId="14" fontId="9007" fillId="9012" borderId="8959" xfId="0" applyNumberFormat="1" applyFont="1" applyFill="1" applyBorder="1"/>
    <xf numFmtId="0" fontId="9008" fillId="9013" borderId="8960" xfId="0" applyFont="1" applyFill="1" applyBorder="1"/>
    <xf numFmtId="0" fontId="9009" fillId="9014" borderId="8961" xfId="0" applyFont="1" applyFill="1" applyBorder="1"/>
    <xf numFmtId="0" fontId="9010" fillId="9015" borderId="8962" xfId="0" applyFont="1" applyFill="1" applyBorder="1"/>
    <xf numFmtId="0" fontId="9011" fillId="9016" borderId="8963" xfId="0" applyFont="1" applyFill="1" applyBorder="1"/>
    <xf numFmtId="0" fontId="9012" fillId="9017" borderId="8964" xfId="0" applyFont="1" applyFill="1" applyBorder="1"/>
    <xf numFmtId="0" fontId="9013" fillId="9018" borderId="8965" xfId="0" applyFont="1" applyFill="1" applyBorder="1"/>
    <xf numFmtId="0" fontId="9014" fillId="9019" borderId="8966" xfId="0" applyFont="1" applyFill="1" applyBorder="1"/>
    <xf numFmtId="14" fontId="9015" fillId="9020" borderId="8967" xfId="0" applyNumberFormat="1" applyFont="1" applyFill="1" applyBorder="1"/>
    <xf numFmtId="0" fontId="9016" fillId="9021" borderId="8968" xfId="0" applyFont="1" applyFill="1" applyBorder="1"/>
    <xf numFmtId="14" fontId="9017" fillId="9022" borderId="8969" xfId="0" applyNumberFormat="1" applyFont="1" applyFill="1" applyBorder="1"/>
    <xf numFmtId="0" fontId="9018" fillId="9023" borderId="8970" xfId="0" applyFont="1" applyFill="1" applyBorder="1"/>
    <xf numFmtId="0" fontId="9019" fillId="9024" borderId="8971" xfId="0" applyFont="1" applyFill="1" applyBorder="1"/>
    <xf numFmtId="0" fontId="9020" fillId="9025" borderId="8972" xfId="0" applyFont="1" applyFill="1" applyBorder="1"/>
    <xf numFmtId="0" fontId="9021" fillId="9026" borderId="8973" xfId="0" applyFont="1" applyFill="1" applyBorder="1"/>
    <xf numFmtId="0" fontId="9022" fillId="9027" borderId="8974" xfId="0" applyFont="1" applyFill="1" applyBorder="1"/>
    <xf numFmtId="0" fontId="9023" fillId="9028" borderId="8975" xfId="0" applyFont="1" applyFill="1" applyBorder="1"/>
    <xf numFmtId="0" fontId="9024" fillId="9029" borderId="8976" xfId="0" applyFont="1" applyFill="1" applyBorder="1"/>
    <xf numFmtId="14" fontId="9025" fillId="9030" borderId="8977" xfId="0" applyNumberFormat="1" applyFont="1" applyFill="1" applyBorder="1"/>
    <xf numFmtId="0" fontId="9026" fillId="9031" borderId="8978" xfId="0" applyFont="1" applyFill="1" applyBorder="1"/>
    <xf numFmtId="14" fontId="9027" fillId="9032" borderId="8979" xfId="0" applyNumberFormat="1" applyFont="1" applyFill="1" applyBorder="1"/>
    <xf numFmtId="0" fontId="9028" fillId="9033" borderId="8980" xfId="0" applyFont="1" applyFill="1" applyBorder="1"/>
    <xf numFmtId="0" fontId="9029" fillId="9034" borderId="8981" xfId="0" applyFont="1" applyFill="1" applyBorder="1"/>
    <xf numFmtId="0" fontId="9030" fillId="9035" borderId="8982" xfId="0" applyFont="1" applyFill="1" applyBorder="1"/>
    <xf numFmtId="0" fontId="9031" fillId="9036" borderId="8983" xfId="0" applyFont="1" applyFill="1" applyBorder="1"/>
    <xf numFmtId="0" fontId="9032" fillId="9037" borderId="8984" xfId="0" applyFont="1" applyFill="1" applyBorder="1"/>
    <xf numFmtId="0" fontId="9033" fillId="9038" borderId="8985" xfId="0" applyFont="1" applyFill="1" applyBorder="1"/>
    <xf numFmtId="0" fontId="9034" fillId="9039" borderId="8986" xfId="0" applyFont="1" applyFill="1" applyBorder="1"/>
    <xf numFmtId="14" fontId="9035" fillId="9040" borderId="8987" xfId="0" applyNumberFormat="1" applyFont="1" applyFill="1" applyBorder="1"/>
    <xf numFmtId="0" fontId="9036" fillId="9041" borderId="8988" xfId="0" applyFont="1" applyFill="1" applyBorder="1"/>
    <xf numFmtId="14" fontId="9037" fillId="9042" borderId="8989" xfId="0" applyNumberFormat="1" applyFont="1" applyFill="1" applyBorder="1"/>
    <xf numFmtId="0" fontId="9038" fillId="9043" borderId="8990" xfId="0" applyFont="1" applyFill="1" applyBorder="1"/>
    <xf numFmtId="0" fontId="9039" fillId="9044" borderId="8991" xfId="0" applyFont="1" applyFill="1" applyBorder="1"/>
    <xf numFmtId="0" fontId="9040" fillId="9045" borderId="8992" xfId="0" applyFont="1" applyFill="1" applyBorder="1"/>
    <xf numFmtId="0" fontId="9041" fillId="9046" borderId="8993" xfId="0" applyFont="1" applyFill="1" applyBorder="1"/>
    <xf numFmtId="0" fontId="9042" fillId="9047" borderId="8994" xfId="0" applyFont="1" applyFill="1" applyBorder="1"/>
    <xf numFmtId="0" fontId="9043" fillId="9048" borderId="8995" xfId="0" applyFont="1" applyFill="1" applyBorder="1"/>
    <xf numFmtId="0" fontId="9044" fillId="9049" borderId="8996" xfId="0" applyFont="1" applyFill="1" applyBorder="1"/>
    <xf numFmtId="14" fontId="9045" fillId="9050" borderId="8997" xfId="0" applyNumberFormat="1" applyFont="1" applyFill="1" applyBorder="1"/>
    <xf numFmtId="0" fontId="9046" fillId="9051" borderId="8998" xfId="0" applyFont="1" applyFill="1" applyBorder="1"/>
    <xf numFmtId="14" fontId="9047" fillId="9052" borderId="8999" xfId="0" applyNumberFormat="1" applyFont="1" applyFill="1" applyBorder="1"/>
    <xf numFmtId="0" fontId="9048" fillId="9053" borderId="9000" xfId="0" applyFont="1" applyFill="1" applyBorder="1"/>
    <xf numFmtId="0" fontId="9049" fillId="9054" borderId="9001" xfId="0" applyFont="1" applyFill="1" applyBorder="1"/>
    <xf numFmtId="0" fontId="9050" fillId="9055" borderId="9002" xfId="0" applyFont="1" applyFill="1" applyBorder="1"/>
    <xf numFmtId="0" fontId="9051" fillId="9056" borderId="9003" xfId="0" applyFont="1" applyFill="1" applyBorder="1"/>
    <xf numFmtId="0" fontId="9052" fillId="9057" borderId="9004" xfId="0" applyFont="1" applyFill="1" applyBorder="1"/>
    <xf numFmtId="0" fontId="9053" fillId="9058" borderId="9005" xfId="0" applyFont="1" applyFill="1" applyBorder="1"/>
    <xf numFmtId="0" fontId="9054" fillId="9059" borderId="9006" xfId="0" applyFont="1" applyFill="1" applyBorder="1"/>
    <xf numFmtId="14" fontId="9055" fillId="9060" borderId="9007" xfId="0" applyNumberFormat="1" applyFont="1" applyFill="1" applyBorder="1"/>
    <xf numFmtId="0" fontId="9056" fillId="9061" borderId="9008" xfId="0" applyFont="1" applyFill="1" applyBorder="1"/>
    <xf numFmtId="14" fontId="9057" fillId="9062" borderId="9009" xfId="0" applyNumberFormat="1" applyFont="1" applyFill="1" applyBorder="1"/>
    <xf numFmtId="0" fontId="9058" fillId="9063" borderId="9010" xfId="0" applyFont="1" applyFill="1" applyBorder="1"/>
    <xf numFmtId="0" fontId="9059" fillId="9064" borderId="9011" xfId="0" applyFont="1" applyFill="1" applyBorder="1"/>
    <xf numFmtId="0" fontId="9060" fillId="9065" borderId="9012" xfId="0" applyFont="1" applyFill="1" applyBorder="1"/>
    <xf numFmtId="0" fontId="9061" fillId="9066" borderId="9013" xfId="0" applyFont="1" applyFill="1" applyBorder="1"/>
    <xf numFmtId="0" fontId="9062" fillId="9067" borderId="9014" xfId="0" applyFont="1" applyFill="1" applyBorder="1"/>
    <xf numFmtId="0" fontId="9063" fillId="9068" borderId="9015" xfId="0" applyFont="1" applyFill="1" applyBorder="1"/>
    <xf numFmtId="0" fontId="9064" fillId="9069" borderId="9016" xfId="0" applyFont="1" applyFill="1" applyBorder="1"/>
    <xf numFmtId="14" fontId="9065" fillId="9070" borderId="9017" xfId="0" applyNumberFormat="1" applyFont="1" applyFill="1" applyBorder="1"/>
    <xf numFmtId="0" fontId="9066" fillId="9071" borderId="9018" xfId="0" applyFont="1" applyFill="1" applyBorder="1"/>
    <xf numFmtId="14" fontId="9067" fillId="9072" borderId="9019" xfId="0" applyNumberFormat="1" applyFont="1" applyFill="1" applyBorder="1"/>
    <xf numFmtId="0" fontId="9068" fillId="9073" borderId="9020" xfId="0" applyFont="1" applyFill="1" applyBorder="1"/>
    <xf numFmtId="0" fontId="9069" fillId="9074" borderId="9021" xfId="0" applyFont="1" applyFill="1" applyBorder="1"/>
    <xf numFmtId="0" fontId="9070" fillId="9075" borderId="9022" xfId="0" applyFont="1" applyFill="1" applyBorder="1"/>
    <xf numFmtId="0" fontId="9071" fillId="9076" borderId="9023" xfId="0" applyFont="1" applyFill="1" applyBorder="1"/>
    <xf numFmtId="0" fontId="9072" fillId="9077" borderId="9024" xfId="0" applyFont="1" applyFill="1" applyBorder="1"/>
    <xf numFmtId="0" fontId="9073" fillId="9078" borderId="9025" xfId="0" applyFont="1" applyFill="1" applyBorder="1"/>
    <xf numFmtId="0" fontId="9074" fillId="9079" borderId="9026" xfId="0" applyFont="1" applyFill="1" applyBorder="1"/>
    <xf numFmtId="14" fontId="9075" fillId="9080" borderId="9027" xfId="0" applyNumberFormat="1" applyFont="1" applyFill="1" applyBorder="1"/>
    <xf numFmtId="0" fontId="9076" fillId="9081" borderId="9028" xfId="0" applyFont="1" applyFill="1" applyBorder="1"/>
    <xf numFmtId="14" fontId="9077" fillId="9082" borderId="9029" xfId="0" applyNumberFormat="1" applyFont="1" applyFill="1" applyBorder="1"/>
    <xf numFmtId="0" fontId="9078" fillId="9083" borderId="9030" xfId="0" applyFont="1" applyFill="1" applyBorder="1"/>
    <xf numFmtId="0" fontId="9079" fillId="9084" borderId="9031" xfId="0" applyFont="1" applyFill="1" applyBorder="1"/>
    <xf numFmtId="0" fontId="9080" fillId="9085" borderId="9032" xfId="0" applyFont="1" applyFill="1" applyBorder="1"/>
    <xf numFmtId="0" fontId="9081" fillId="9086" borderId="9033" xfId="0" applyFont="1" applyFill="1" applyBorder="1"/>
    <xf numFmtId="0" fontId="9082" fillId="9087" borderId="9034" xfId="0" applyFont="1" applyFill="1" applyBorder="1"/>
    <xf numFmtId="0" fontId="9083" fillId="9088" borderId="9035" xfId="0" applyFont="1" applyFill="1" applyBorder="1"/>
    <xf numFmtId="0" fontId="9084" fillId="9089" borderId="9036" xfId="0" applyFont="1" applyFill="1" applyBorder="1"/>
    <xf numFmtId="14" fontId="9085" fillId="9090" borderId="9037" xfId="0" applyNumberFormat="1" applyFont="1" applyFill="1" applyBorder="1"/>
    <xf numFmtId="0" fontId="9086" fillId="9091" borderId="9038" xfId="0" applyFont="1" applyFill="1" applyBorder="1"/>
    <xf numFmtId="14" fontId="9087" fillId="9092" borderId="9039" xfId="0" applyNumberFormat="1" applyFont="1" applyFill="1" applyBorder="1"/>
    <xf numFmtId="0" fontId="9088" fillId="9093" borderId="9040" xfId="0" applyFont="1" applyFill="1" applyBorder="1"/>
    <xf numFmtId="0" fontId="9089" fillId="9094" borderId="9041" xfId="0" applyFont="1" applyFill="1" applyBorder="1"/>
    <xf numFmtId="0" fontId="9090" fillId="9095" borderId="9042" xfId="0" applyFont="1" applyFill="1" applyBorder="1"/>
    <xf numFmtId="0" fontId="9091" fillId="9096" borderId="9043" xfId="0" applyFont="1" applyFill="1" applyBorder="1"/>
    <xf numFmtId="0" fontId="9092" fillId="9097" borderId="9044" xfId="0" applyFont="1" applyFill="1" applyBorder="1"/>
    <xf numFmtId="0" fontId="9093" fillId="9098" borderId="9045" xfId="0" applyFont="1" applyFill="1" applyBorder="1"/>
    <xf numFmtId="0" fontId="9094" fillId="9099" borderId="9046" xfId="0" applyFont="1" applyFill="1" applyBorder="1"/>
    <xf numFmtId="14" fontId="9095" fillId="9100" borderId="9047" xfId="0" applyNumberFormat="1" applyFont="1" applyFill="1" applyBorder="1"/>
    <xf numFmtId="0" fontId="9096" fillId="9101" borderId="9048" xfId="0" applyFont="1" applyFill="1" applyBorder="1"/>
    <xf numFmtId="14" fontId="9097" fillId="9102" borderId="9049" xfId="0" applyNumberFormat="1" applyFont="1" applyFill="1" applyBorder="1"/>
    <xf numFmtId="0" fontId="9098" fillId="9103" borderId="9050" xfId="0" applyFont="1" applyFill="1" applyBorder="1"/>
    <xf numFmtId="0" fontId="9099" fillId="9104" borderId="9051" xfId="0" applyFont="1" applyFill="1" applyBorder="1"/>
    <xf numFmtId="0" fontId="9100" fillId="9105" borderId="9052" xfId="0" applyFont="1" applyFill="1" applyBorder="1"/>
    <xf numFmtId="0" fontId="9101" fillId="9106" borderId="9053" xfId="0" applyFont="1" applyFill="1" applyBorder="1"/>
    <xf numFmtId="0" fontId="9102" fillId="9107" borderId="9054" xfId="0" applyFont="1" applyFill="1" applyBorder="1"/>
    <xf numFmtId="0" fontId="9103" fillId="9108" borderId="9055" xfId="0" applyFont="1" applyFill="1" applyBorder="1"/>
    <xf numFmtId="0" fontId="9104" fillId="9109" borderId="9056" xfId="0" applyFont="1" applyFill="1" applyBorder="1"/>
    <xf numFmtId="14" fontId="9105" fillId="9110" borderId="9057" xfId="0" applyNumberFormat="1" applyFont="1" applyFill="1" applyBorder="1"/>
    <xf numFmtId="0" fontId="9106" fillId="9111" borderId="9058" xfId="0" applyFont="1" applyFill="1" applyBorder="1"/>
    <xf numFmtId="14" fontId="9107" fillId="9112" borderId="9059" xfId="0" applyNumberFormat="1" applyFont="1" applyFill="1" applyBorder="1"/>
    <xf numFmtId="0" fontId="9108" fillId="9113" borderId="9060" xfId="0" applyFont="1" applyFill="1" applyBorder="1"/>
    <xf numFmtId="0" fontId="9109" fillId="9114" borderId="9061" xfId="0" applyFont="1" applyFill="1" applyBorder="1"/>
    <xf numFmtId="0" fontId="9110" fillId="9115" borderId="9062" xfId="0" applyFont="1" applyFill="1" applyBorder="1"/>
    <xf numFmtId="0" fontId="9111" fillId="9116" borderId="9063" xfId="0" applyFont="1" applyFill="1" applyBorder="1"/>
    <xf numFmtId="0" fontId="9112" fillId="9117" borderId="9064" xfId="0" applyFont="1" applyFill="1" applyBorder="1"/>
    <xf numFmtId="0" fontId="9113" fillId="9118" borderId="9065" xfId="0" applyFont="1" applyFill="1" applyBorder="1"/>
    <xf numFmtId="0" fontId="9114" fillId="9119" borderId="9066" xfId="0" applyFont="1" applyFill="1" applyBorder="1"/>
    <xf numFmtId="14" fontId="9115" fillId="9120" borderId="9067" xfId="0" applyNumberFormat="1" applyFont="1" applyFill="1" applyBorder="1"/>
    <xf numFmtId="0" fontId="9116" fillId="9121" borderId="9068" xfId="0" applyFont="1" applyFill="1" applyBorder="1"/>
    <xf numFmtId="14" fontId="9117" fillId="9122" borderId="9069" xfId="0" applyNumberFormat="1" applyFont="1" applyFill="1" applyBorder="1"/>
    <xf numFmtId="0" fontId="9118" fillId="9123" borderId="9070" xfId="0" applyFont="1" applyFill="1" applyBorder="1"/>
    <xf numFmtId="0" fontId="9119" fillId="9124" borderId="9071" xfId="0" applyFont="1" applyFill="1" applyBorder="1"/>
    <xf numFmtId="0" fontId="9120" fillId="9125" borderId="9072" xfId="0" applyFont="1" applyFill="1" applyBorder="1"/>
    <xf numFmtId="0" fontId="9121" fillId="9126" borderId="9073" xfId="0" applyFont="1" applyFill="1" applyBorder="1"/>
    <xf numFmtId="0" fontId="9122" fillId="9127" borderId="9074" xfId="0" applyFont="1" applyFill="1" applyBorder="1"/>
    <xf numFmtId="0" fontId="9123" fillId="9128" borderId="9075" xfId="0" applyFont="1" applyFill="1" applyBorder="1"/>
    <xf numFmtId="0" fontId="9124" fillId="9129" borderId="9076" xfId="0" applyFont="1" applyFill="1" applyBorder="1"/>
    <xf numFmtId="14" fontId="9125" fillId="9130" borderId="9077" xfId="0" applyNumberFormat="1" applyFont="1" applyFill="1" applyBorder="1"/>
    <xf numFmtId="0" fontId="9126" fillId="9131" borderId="9078" xfId="0" applyFont="1" applyFill="1" applyBorder="1"/>
    <xf numFmtId="14" fontId="9127" fillId="9132" borderId="9079" xfId="0" applyNumberFormat="1" applyFont="1" applyFill="1" applyBorder="1"/>
    <xf numFmtId="0" fontId="9128" fillId="9133" borderId="9080" xfId="0" applyFont="1" applyFill="1" applyBorder="1"/>
    <xf numFmtId="0" fontId="9129" fillId="9134" borderId="9081" xfId="0" applyFont="1" applyFill="1" applyBorder="1"/>
    <xf numFmtId="0" fontId="9130" fillId="9135" borderId="9082" xfId="0" applyFont="1" applyFill="1" applyBorder="1"/>
    <xf numFmtId="0" fontId="9131" fillId="9136" borderId="9083" xfId="0" applyFont="1" applyFill="1" applyBorder="1"/>
    <xf numFmtId="0" fontId="9132" fillId="9137" borderId="9084" xfId="0" applyFont="1" applyFill="1" applyBorder="1"/>
    <xf numFmtId="0" fontId="9133" fillId="9138" borderId="9085" xfId="0" applyFont="1" applyFill="1" applyBorder="1"/>
    <xf numFmtId="0" fontId="9134" fillId="9139" borderId="9086" xfId="0" applyFont="1" applyFill="1" applyBorder="1"/>
    <xf numFmtId="14" fontId="9135" fillId="9140" borderId="9087" xfId="0" applyNumberFormat="1" applyFont="1" applyFill="1" applyBorder="1"/>
    <xf numFmtId="0" fontId="9136" fillId="9141" borderId="9088" xfId="0" applyFont="1" applyFill="1" applyBorder="1"/>
    <xf numFmtId="14" fontId="9137" fillId="9142" borderId="9089" xfId="0" applyNumberFormat="1" applyFont="1" applyFill="1" applyBorder="1"/>
    <xf numFmtId="0" fontId="9138" fillId="9143" borderId="9090" xfId="0" applyFont="1" applyFill="1" applyBorder="1"/>
    <xf numFmtId="0" fontId="9139" fillId="9144" borderId="9091" xfId="0" applyFont="1" applyFill="1" applyBorder="1"/>
    <xf numFmtId="0" fontId="9140" fillId="9145" borderId="9092" xfId="0" applyFont="1" applyFill="1" applyBorder="1"/>
    <xf numFmtId="0" fontId="9141" fillId="9146" borderId="9093" xfId="0" applyFont="1" applyFill="1" applyBorder="1"/>
    <xf numFmtId="0" fontId="9142" fillId="9147" borderId="9094" xfId="0" applyFont="1" applyFill="1" applyBorder="1"/>
    <xf numFmtId="0" fontId="9143" fillId="9148" borderId="9095" xfId="0" applyFont="1" applyFill="1" applyBorder="1"/>
    <xf numFmtId="0" fontId="9144" fillId="9149" borderId="9096" xfId="0" applyFont="1" applyFill="1" applyBorder="1"/>
    <xf numFmtId="14" fontId="9145" fillId="9150" borderId="9097" xfId="0" applyNumberFormat="1" applyFont="1" applyFill="1" applyBorder="1"/>
    <xf numFmtId="0" fontId="9146" fillId="9151" borderId="9098" xfId="0" applyFont="1" applyFill="1" applyBorder="1"/>
    <xf numFmtId="14" fontId="9147" fillId="9152" borderId="9099" xfId="0" applyNumberFormat="1" applyFont="1" applyFill="1" applyBorder="1"/>
    <xf numFmtId="0" fontId="9148" fillId="9153" borderId="9100" xfId="0" applyFont="1" applyFill="1" applyBorder="1"/>
    <xf numFmtId="0" fontId="9149" fillId="9154" borderId="9101" xfId="0" applyFont="1" applyFill="1" applyBorder="1"/>
    <xf numFmtId="0" fontId="9150" fillId="9155" borderId="9102" xfId="0" applyFont="1" applyFill="1" applyBorder="1"/>
    <xf numFmtId="0" fontId="9151" fillId="9156" borderId="9103" xfId="0" applyFont="1" applyFill="1" applyBorder="1"/>
    <xf numFmtId="0" fontId="9152" fillId="9157" borderId="9104" xfId="0" applyFont="1" applyFill="1" applyBorder="1"/>
    <xf numFmtId="0" fontId="9153" fillId="9158" borderId="9105" xfId="0" applyFont="1" applyFill="1" applyBorder="1"/>
    <xf numFmtId="0" fontId="9154" fillId="9159" borderId="9106" xfId="0" applyFont="1" applyFill="1" applyBorder="1"/>
    <xf numFmtId="14" fontId="9155" fillId="9160" borderId="9107" xfId="0" applyNumberFormat="1" applyFont="1" applyFill="1" applyBorder="1"/>
    <xf numFmtId="0" fontId="9156" fillId="9161" borderId="9108" xfId="0" applyFont="1" applyFill="1" applyBorder="1"/>
    <xf numFmtId="14" fontId="9157" fillId="9162" borderId="9109" xfId="0" applyNumberFormat="1" applyFont="1" applyFill="1" applyBorder="1"/>
    <xf numFmtId="0" fontId="9158" fillId="9163" borderId="9110" xfId="0" applyFont="1" applyFill="1" applyBorder="1"/>
    <xf numFmtId="0" fontId="9159" fillId="9164" borderId="9111" xfId="0" applyFont="1" applyFill="1" applyBorder="1"/>
    <xf numFmtId="0" fontId="9160" fillId="9165" borderId="9112" xfId="0" applyFont="1" applyFill="1" applyBorder="1"/>
    <xf numFmtId="0" fontId="9161" fillId="9166" borderId="9113" xfId="0" applyFont="1" applyFill="1" applyBorder="1"/>
    <xf numFmtId="0" fontId="9162" fillId="9167" borderId="9114" xfId="0" applyFont="1" applyFill="1" applyBorder="1"/>
    <xf numFmtId="0" fontId="9163" fillId="9168" borderId="9115" xfId="0" applyFont="1" applyFill="1" applyBorder="1"/>
    <xf numFmtId="0" fontId="9164" fillId="9169" borderId="9116" xfId="0" applyFont="1" applyFill="1" applyBorder="1"/>
    <xf numFmtId="14" fontId="9165" fillId="9170" borderId="9117" xfId="0" applyNumberFormat="1" applyFont="1" applyFill="1" applyBorder="1"/>
    <xf numFmtId="0" fontId="9166" fillId="9171" borderId="9118" xfId="0" applyFont="1" applyFill="1" applyBorder="1"/>
    <xf numFmtId="14" fontId="9167" fillId="9172" borderId="9119" xfId="0" applyNumberFormat="1" applyFont="1" applyFill="1" applyBorder="1"/>
    <xf numFmtId="0" fontId="9168" fillId="9173" borderId="9120" xfId="0" applyFont="1" applyFill="1" applyBorder="1"/>
    <xf numFmtId="0" fontId="9169" fillId="9174" borderId="9121" xfId="0" applyFont="1" applyFill="1" applyBorder="1"/>
    <xf numFmtId="0" fontId="9170" fillId="9175" borderId="9122" xfId="0" applyFont="1" applyFill="1" applyBorder="1"/>
    <xf numFmtId="0" fontId="9171" fillId="9176" borderId="9123" xfId="0" applyFont="1" applyFill="1" applyBorder="1"/>
    <xf numFmtId="0" fontId="9172" fillId="9177" borderId="9124" xfId="0" applyFont="1" applyFill="1" applyBorder="1"/>
    <xf numFmtId="0" fontId="9173" fillId="9178" borderId="9125" xfId="0" applyFont="1" applyFill="1" applyBorder="1"/>
    <xf numFmtId="0" fontId="9174" fillId="9179" borderId="9126" xfId="0" applyFont="1" applyFill="1" applyBorder="1"/>
    <xf numFmtId="14" fontId="9175" fillId="9180" borderId="9127" xfId="0" applyNumberFormat="1" applyFont="1" applyFill="1" applyBorder="1"/>
    <xf numFmtId="0" fontId="9176" fillId="9181" borderId="9128" xfId="0" applyFont="1" applyFill="1" applyBorder="1"/>
    <xf numFmtId="14" fontId="9177" fillId="9182" borderId="9129" xfId="0" applyNumberFormat="1" applyFont="1" applyFill="1" applyBorder="1"/>
    <xf numFmtId="0" fontId="9178" fillId="9183" borderId="9130" xfId="0" applyFont="1" applyFill="1" applyBorder="1"/>
    <xf numFmtId="0" fontId="9179" fillId="9184" borderId="9131" xfId="0" applyFont="1" applyFill="1" applyBorder="1"/>
    <xf numFmtId="0" fontId="9180" fillId="9185" borderId="9132" xfId="0" applyFont="1" applyFill="1" applyBorder="1"/>
    <xf numFmtId="0" fontId="9181" fillId="9186" borderId="9133" xfId="0" applyFont="1" applyFill="1" applyBorder="1"/>
    <xf numFmtId="0" fontId="9182" fillId="9187" borderId="9134" xfId="0" applyFont="1" applyFill="1" applyBorder="1"/>
    <xf numFmtId="0" fontId="9183" fillId="9188" borderId="9135" xfId="0" applyFont="1" applyFill="1" applyBorder="1"/>
    <xf numFmtId="0" fontId="9184" fillId="9189" borderId="9136" xfId="0" applyFont="1" applyFill="1" applyBorder="1"/>
    <xf numFmtId="14" fontId="9185" fillId="9190" borderId="9137" xfId="0" applyNumberFormat="1" applyFont="1" applyFill="1" applyBorder="1"/>
    <xf numFmtId="0" fontId="9186" fillId="9191" borderId="9138" xfId="0" applyFont="1" applyFill="1" applyBorder="1"/>
    <xf numFmtId="14" fontId="9187" fillId="9192" borderId="9139" xfId="0" applyNumberFormat="1" applyFont="1" applyFill="1" applyBorder="1"/>
    <xf numFmtId="0" fontId="9188" fillId="9193" borderId="9140" xfId="0" applyFont="1" applyFill="1" applyBorder="1"/>
    <xf numFmtId="0" fontId="9189" fillId="9194" borderId="9141" xfId="0" applyFont="1" applyFill="1" applyBorder="1"/>
    <xf numFmtId="0" fontId="9190" fillId="9195" borderId="9142" xfId="0" applyFont="1" applyFill="1" applyBorder="1"/>
    <xf numFmtId="0" fontId="9191" fillId="9196" borderId="9143" xfId="0" applyFont="1" applyFill="1" applyBorder="1"/>
    <xf numFmtId="0" fontId="9192" fillId="9197" borderId="9144" xfId="0" applyFont="1" applyFill="1" applyBorder="1"/>
    <xf numFmtId="0" fontId="9193" fillId="9198" borderId="9145" xfId="0" applyFont="1" applyFill="1" applyBorder="1"/>
    <xf numFmtId="0" fontId="9194" fillId="9199" borderId="9146" xfId="0" applyFont="1" applyFill="1" applyBorder="1"/>
    <xf numFmtId="14" fontId="9195" fillId="9200" borderId="9147" xfId="0" applyNumberFormat="1" applyFont="1" applyFill="1" applyBorder="1"/>
    <xf numFmtId="0" fontId="9196" fillId="9201" borderId="9148" xfId="0" applyFont="1" applyFill="1" applyBorder="1"/>
    <xf numFmtId="14" fontId="9197" fillId="9202" borderId="9149" xfId="0" applyNumberFormat="1" applyFont="1" applyFill="1" applyBorder="1"/>
    <xf numFmtId="0" fontId="9198" fillId="9203" borderId="9150" xfId="0" applyFont="1" applyFill="1" applyBorder="1"/>
    <xf numFmtId="0" fontId="9199" fillId="9204" borderId="9151" xfId="0" applyFont="1" applyFill="1" applyBorder="1"/>
    <xf numFmtId="0" fontId="9200" fillId="9205" borderId="9152" xfId="0" applyFont="1" applyFill="1" applyBorder="1"/>
    <xf numFmtId="0" fontId="9201" fillId="9206" borderId="9153" xfId="0" applyFont="1" applyFill="1" applyBorder="1"/>
    <xf numFmtId="0" fontId="9202" fillId="9207" borderId="9154" xfId="0" applyFont="1" applyFill="1" applyBorder="1"/>
    <xf numFmtId="0" fontId="9203" fillId="9208" borderId="9155" xfId="0" applyFont="1" applyFill="1" applyBorder="1"/>
    <xf numFmtId="0" fontId="9204" fillId="9209" borderId="9156" xfId="0" applyFont="1" applyFill="1" applyBorder="1"/>
    <xf numFmtId="14" fontId="9205" fillId="9210" borderId="9157" xfId="0" applyNumberFormat="1" applyFont="1" applyFill="1" applyBorder="1"/>
    <xf numFmtId="0" fontId="9206" fillId="9211" borderId="9158" xfId="0" applyFont="1" applyFill="1" applyBorder="1"/>
    <xf numFmtId="14" fontId="9207" fillId="9212" borderId="9159" xfId="0" applyNumberFormat="1" applyFont="1" applyFill="1" applyBorder="1"/>
    <xf numFmtId="0" fontId="9208" fillId="9213" borderId="9160" xfId="0" applyFont="1" applyFill="1" applyBorder="1"/>
    <xf numFmtId="0" fontId="9209" fillId="9214" borderId="9161" xfId="0" applyFont="1" applyFill="1" applyBorder="1"/>
    <xf numFmtId="0" fontId="9210" fillId="9215" borderId="9162" xfId="0" applyFont="1" applyFill="1" applyBorder="1"/>
    <xf numFmtId="0" fontId="9211" fillId="9216" borderId="9163" xfId="0" applyFont="1" applyFill="1" applyBorder="1"/>
    <xf numFmtId="0" fontId="9212" fillId="9217" borderId="9164" xfId="0" applyFont="1" applyFill="1" applyBorder="1"/>
    <xf numFmtId="0" fontId="9213" fillId="9218" borderId="9165" xfId="0" applyFont="1" applyFill="1" applyBorder="1"/>
    <xf numFmtId="0" fontId="9214" fillId="9219" borderId="9166" xfId="0" applyFont="1" applyFill="1" applyBorder="1"/>
    <xf numFmtId="14" fontId="9215" fillId="9220" borderId="9167" xfId="0" applyNumberFormat="1" applyFont="1" applyFill="1" applyBorder="1"/>
    <xf numFmtId="0" fontId="9216" fillId="9221" borderId="9168" xfId="0" applyFont="1" applyFill="1" applyBorder="1"/>
    <xf numFmtId="14" fontId="9217" fillId="9222" borderId="9169" xfId="0" applyNumberFormat="1" applyFont="1" applyFill="1" applyBorder="1"/>
    <xf numFmtId="0" fontId="9218" fillId="9223" borderId="9170" xfId="0" applyFont="1" applyFill="1" applyBorder="1"/>
    <xf numFmtId="0" fontId="9219" fillId="9224" borderId="9171" xfId="0" applyFont="1" applyFill="1" applyBorder="1"/>
    <xf numFmtId="0" fontId="9220" fillId="9225" borderId="9172" xfId="0" applyFont="1" applyFill="1" applyBorder="1"/>
    <xf numFmtId="0" fontId="9221" fillId="9226" borderId="9173" xfId="0" applyFont="1" applyFill="1" applyBorder="1"/>
    <xf numFmtId="0" fontId="9222" fillId="9227" borderId="9174" xfId="0" applyFont="1" applyFill="1" applyBorder="1"/>
    <xf numFmtId="0" fontId="9223" fillId="9228" borderId="9175" xfId="0" applyFont="1" applyFill="1" applyBorder="1"/>
    <xf numFmtId="0" fontId="9224" fillId="9229" borderId="9176" xfId="0" applyFont="1" applyFill="1" applyBorder="1"/>
    <xf numFmtId="14" fontId="9225" fillId="9230" borderId="9177" xfId="0" applyNumberFormat="1" applyFont="1" applyFill="1" applyBorder="1"/>
    <xf numFmtId="0" fontId="9226" fillId="9231" borderId="9178" xfId="0" applyFont="1" applyFill="1" applyBorder="1"/>
    <xf numFmtId="14" fontId="9227" fillId="9232" borderId="9179" xfId="0" applyNumberFormat="1" applyFont="1" applyFill="1" applyBorder="1"/>
    <xf numFmtId="0" fontId="9228" fillId="9233" borderId="9180" xfId="0" applyFont="1" applyFill="1" applyBorder="1"/>
    <xf numFmtId="0" fontId="9229" fillId="9234" borderId="9181" xfId="0" applyFont="1" applyFill="1" applyBorder="1"/>
    <xf numFmtId="0" fontId="9230" fillId="9235" borderId="9182" xfId="0" applyFont="1" applyFill="1" applyBorder="1"/>
    <xf numFmtId="0" fontId="9231" fillId="9236" borderId="9183" xfId="0" applyFont="1" applyFill="1" applyBorder="1"/>
    <xf numFmtId="0" fontId="9232" fillId="9237" borderId="9184" xfId="0" applyFont="1" applyFill="1" applyBorder="1"/>
    <xf numFmtId="0" fontId="9233" fillId="9238" borderId="9185" xfId="0" applyFont="1" applyFill="1" applyBorder="1"/>
    <xf numFmtId="0" fontId="9234" fillId="9239" borderId="9186" xfId="0" applyFont="1" applyFill="1" applyBorder="1"/>
    <xf numFmtId="14" fontId="9235" fillId="9240" borderId="9187" xfId="0" applyNumberFormat="1" applyFont="1" applyFill="1" applyBorder="1"/>
    <xf numFmtId="0" fontId="9236" fillId="9241" borderId="9188" xfId="0" applyFont="1" applyFill="1" applyBorder="1"/>
    <xf numFmtId="14" fontId="9237" fillId="9242" borderId="9189" xfId="0" applyNumberFormat="1" applyFont="1" applyFill="1" applyBorder="1"/>
    <xf numFmtId="0" fontId="9238" fillId="9243" borderId="9190" xfId="0" applyFont="1" applyFill="1" applyBorder="1"/>
    <xf numFmtId="0" fontId="9239" fillId="9244" borderId="9191" xfId="0" applyFont="1" applyFill="1" applyBorder="1"/>
    <xf numFmtId="0" fontId="9240" fillId="9245" borderId="9192" xfId="0" applyFont="1" applyFill="1" applyBorder="1"/>
    <xf numFmtId="0" fontId="9241" fillId="9246" borderId="9193" xfId="0" applyFont="1" applyFill="1" applyBorder="1"/>
    <xf numFmtId="0" fontId="9242" fillId="9247" borderId="9194" xfId="0" applyFont="1" applyFill="1" applyBorder="1"/>
    <xf numFmtId="0" fontId="9243" fillId="9248" borderId="9195" xfId="0" applyFont="1" applyFill="1" applyBorder="1"/>
    <xf numFmtId="0" fontId="9244" fillId="9249" borderId="9196" xfId="0" applyFont="1" applyFill="1" applyBorder="1"/>
    <xf numFmtId="14" fontId="9245" fillId="9250" borderId="9197" xfId="0" applyNumberFormat="1" applyFont="1" applyFill="1" applyBorder="1"/>
    <xf numFmtId="0" fontId="9246" fillId="9251" borderId="9198" xfId="0" applyFont="1" applyFill="1" applyBorder="1"/>
    <xf numFmtId="14" fontId="9247" fillId="9252" borderId="9199" xfId="0" applyNumberFormat="1" applyFont="1" applyFill="1" applyBorder="1"/>
    <xf numFmtId="0" fontId="9248" fillId="9253" borderId="9200" xfId="0" applyFont="1" applyFill="1" applyBorder="1"/>
    <xf numFmtId="0" fontId="9249" fillId="9254" borderId="9201" xfId="0" applyFont="1" applyFill="1" applyBorder="1"/>
    <xf numFmtId="0" fontId="9250" fillId="9255" borderId="9202" xfId="0" applyFont="1" applyFill="1" applyBorder="1"/>
    <xf numFmtId="0" fontId="9251" fillId="9256" borderId="9203" xfId="0" applyFont="1" applyFill="1" applyBorder="1"/>
    <xf numFmtId="0" fontId="9252" fillId="9257" borderId="9204" xfId="0" applyFont="1" applyFill="1" applyBorder="1"/>
    <xf numFmtId="0" fontId="9253" fillId="9258" borderId="9205" xfId="0" applyFont="1" applyFill="1" applyBorder="1"/>
    <xf numFmtId="0" fontId="9254" fillId="9259" borderId="9206" xfId="0" applyFont="1" applyFill="1" applyBorder="1"/>
    <xf numFmtId="14" fontId="9255" fillId="9260" borderId="9207" xfId="0" applyNumberFormat="1" applyFont="1" applyFill="1" applyBorder="1"/>
    <xf numFmtId="0" fontId="9256" fillId="9261" borderId="9208" xfId="0" applyFont="1" applyFill="1" applyBorder="1"/>
    <xf numFmtId="14" fontId="9257" fillId="9262" borderId="9209" xfId="0" applyNumberFormat="1" applyFont="1" applyFill="1" applyBorder="1"/>
    <xf numFmtId="0" fontId="9258" fillId="9263" borderId="9210" xfId="0" applyFont="1" applyFill="1" applyBorder="1"/>
    <xf numFmtId="0" fontId="9259" fillId="9264" borderId="9211" xfId="0" applyFont="1" applyFill="1" applyBorder="1"/>
    <xf numFmtId="0" fontId="9260" fillId="9265" borderId="9212" xfId="0" applyFont="1" applyFill="1" applyBorder="1"/>
    <xf numFmtId="0" fontId="9261" fillId="9266" borderId="9213" xfId="0" applyFont="1" applyFill="1" applyBorder="1"/>
    <xf numFmtId="0" fontId="9262" fillId="9267" borderId="9214" xfId="0" applyFont="1" applyFill="1" applyBorder="1"/>
    <xf numFmtId="0" fontId="9263" fillId="9268" borderId="9215" xfId="0" applyFont="1" applyFill="1" applyBorder="1"/>
    <xf numFmtId="0" fontId="9264" fillId="9269" borderId="9216" xfId="0" applyFont="1" applyFill="1" applyBorder="1"/>
    <xf numFmtId="14" fontId="9265" fillId="9270" borderId="9217" xfId="0" applyNumberFormat="1" applyFont="1" applyFill="1" applyBorder="1"/>
    <xf numFmtId="0" fontId="9266" fillId="9271" borderId="9218" xfId="0" applyFont="1" applyFill="1" applyBorder="1"/>
    <xf numFmtId="14" fontId="9267" fillId="9272" borderId="9219" xfId="0" applyNumberFormat="1" applyFont="1" applyFill="1" applyBorder="1"/>
    <xf numFmtId="0" fontId="9268" fillId="9273" borderId="9220" xfId="0" applyFont="1" applyFill="1" applyBorder="1"/>
    <xf numFmtId="0" fontId="9269" fillId="9274" borderId="9221" xfId="0" applyFont="1" applyFill="1" applyBorder="1"/>
    <xf numFmtId="0" fontId="9270" fillId="9275" borderId="9222" xfId="0" applyFont="1" applyFill="1" applyBorder="1"/>
    <xf numFmtId="0" fontId="9271" fillId="9276" borderId="9223" xfId="0" applyFont="1" applyFill="1" applyBorder="1"/>
    <xf numFmtId="0" fontId="9272" fillId="9277" borderId="9224" xfId="0" applyFont="1" applyFill="1" applyBorder="1"/>
    <xf numFmtId="0" fontId="9273" fillId="9278" borderId="9225" xfId="0" applyFont="1" applyFill="1" applyBorder="1"/>
    <xf numFmtId="0" fontId="9274" fillId="9279" borderId="9226" xfId="0" applyFont="1" applyFill="1" applyBorder="1"/>
    <xf numFmtId="14" fontId="9275" fillId="9280" borderId="9227" xfId="0" applyNumberFormat="1" applyFont="1" applyFill="1" applyBorder="1"/>
    <xf numFmtId="0" fontId="9276" fillId="9281" borderId="9228" xfId="0" applyFont="1" applyFill="1" applyBorder="1"/>
    <xf numFmtId="14" fontId="9277" fillId="9282" borderId="9229" xfId="0" applyNumberFormat="1" applyFont="1" applyFill="1" applyBorder="1"/>
    <xf numFmtId="0" fontId="9278" fillId="9283" borderId="9230" xfId="0" applyFont="1" applyFill="1" applyBorder="1"/>
    <xf numFmtId="0" fontId="9279" fillId="9284" borderId="9231" xfId="0" applyFont="1" applyFill="1" applyBorder="1"/>
    <xf numFmtId="0" fontId="9280" fillId="9285" borderId="9232" xfId="0" applyFont="1" applyFill="1" applyBorder="1"/>
    <xf numFmtId="0" fontId="9281" fillId="9286" borderId="9233" xfId="0" applyFont="1" applyFill="1" applyBorder="1"/>
    <xf numFmtId="0" fontId="9282" fillId="9287" borderId="9234" xfId="0" applyFont="1" applyFill="1" applyBorder="1"/>
    <xf numFmtId="0" fontId="9283" fillId="9288" borderId="9235" xfId="0" applyFont="1" applyFill="1" applyBorder="1"/>
    <xf numFmtId="0" fontId="9284" fillId="9289" borderId="9236" xfId="0" applyFont="1" applyFill="1" applyBorder="1"/>
    <xf numFmtId="14" fontId="9285" fillId="9290" borderId="9237" xfId="0" applyNumberFormat="1" applyFont="1" applyFill="1" applyBorder="1"/>
    <xf numFmtId="0" fontId="9286" fillId="9291" borderId="9238" xfId="0" applyFont="1" applyFill="1" applyBorder="1"/>
    <xf numFmtId="14" fontId="9287" fillId="9292" borderId="9239" xfId="0" applyNumberFormat="1" applyFont="1" applyFill="1" applyBorder="1"/>
    <xf numFmtId="0" fontId="9288" fillId="9293" borderId="9240" xfId="0" applyFont="1" applyFill="1" applyBorder="1"/>
    <xf numFmtId="0" fontId="9289" fillId="9294" borderId="9241" xfId="0" applyFont="1" applyFill="1" applyBorder="1"/>
    <xf numFmtId="0" fontId="9290" fillId="9295" borderId="9242" xfId="0" applyFont="1" applyFill="1" applyBorder="1"/>
    <xf numFmtId="0" fontId="9291" fillId="9296" borderId="9243" xfId="0" applyFont="1" applyFill="1" applyBorder="1"/>
    <xf numFmtId="0" fontId="9292" fillId="9297" borderId="9244" xfId="0" applyFont="1" applyFill="1" applyBorder="1"/>
    <xf numFmtId="0" fontId="9293" fillId="9298" borderId="9245" xfId="0" applyFont="1" applyFill="1" applyBorder="1"/>
    <xf numFmtId="0" fontId="9294" fillId="9299" borderId="9246" xfId="0" applyFont="1" applyFill="1" applyBorder="1"/>
    <xf numFmtId="14" fontId="9295" fillId="9300" borderId="9247" xfId="0" applyNumberFormat="1" applyFont="1" applyFill="1" applyBorder="1"/>
    <xf numFmtId="0" fontId="9296" fillId="9301" borderId="9248" xfId="0" applyFont="1" applyFill="1" applyBorder="1"/>
    <xf numFmtId="14" fontId="9297" fillId="9302" borderId="9249" xfId="0" applyNumberFormat="1" applyFont="1" applyFill="1" applyBorder="1"/>
    <xf numFmtId="0" fontId="9298" fillId="9303" borderId="9250" xfId="0" applyFont="1" applyFill="1" applyBorder="1"/>
    <xf numFmtId="0" fontId="9299" fillId="9304" borderId="9251" xfId="0" applyFont="1" applyFill="1" applyBorder="1"/>
    <xf numFmtId="0" fontId="9300" fillId="9305" borderId="9252" xfId="0" applyFont="1" applyFill="1" applyBorder="1"/>
    <xf numFmtId="0" fontId="9301" fillId="9306" borderId="9253" xfId="0" applyFont="1" applyFill="1" applyBorder="1"/>
    <xf numFmtId="0" fontId="9302" fillId="9307" borderId="9254" xfId="0" applyFont="1" applyFill="1" applyBorder="1"/>
    <xf numFmtId="0" fontId="9303" fillId="9308" borderId="9255" xfId="0" applyFont="1" applyFill="1" applyBorder="1"/>
    <xf numFmtId="0" fontId="9304" fillId="9309" borderId="9256" xfId="0" applyFont="1" applyFill="1" applyBorder="1"/>
    <xf numFmtId="14" fontId="9305" fillId="9310" borderId="9257" xfId="0" applyNumberFormat="1" applyFont="1" applyFill="1" applyBorder="1"/>
    <xf numFmtId="0" fontId="9306" fillId="9311" borderId="9258" xfId="0" applyFont="1" applyFill="1" applyBorder="1"/>
    <xf numFmtId="14" fontId="9307" fillId="9312" borderId="9259" xfId="0" applyNumberFormat="1" applyFont="1" applyFill="1" applyBorder="1"/>
    <xf numFmtId="0" fontId="9308" fillId="9313" borderId="9260" xfId="0" applyFont="1" applyFill="1" applyBorder="1"/>
    <xf numFmtId="0" fontId="9309" fillId="9314" borderId="9261" xfId="0" applyFont="1" applyFill="1" applyBorder="1"/>
    <xf numFmtId="0" fontId="9310" fillId="9315" borderId="9262" xfId="0" applyFont="1" applyFill="1" applyBorder="1"/>
    <xf numFmtId="0" fontId="9311" fillId="9316" borderId="9263" xfId="0" applyFont="1" applyFill="1" applyBorder="1"/>
    <xf numFmtId="0" fontId="9312" fillId="9317" borderId="9264" xfId="0" applyFont="1" applyFill="1" applyBorder="1"/>
    <xf numFmtId="0" fontId="9313" fillId="9318" borderId="9265" xfId="0" applyFont="1" applyFill="1" applyBorder="1"/>
    <xf numFmtId="0" fontId="9314" fillId="9319" borderId="9266" xfId="0" applyFont="1" applyFill="1" applyBorder="1"/>
    <xf numFmtId="14" fontId="9315" fillId="9320" borderId="9267" xfId="0" applyNumberFormat="1" applyFont="1" applyFill="1" applyBorder="1"/>
    <xf numFmtId="0" fontId="9316" fillId="9321" borderId="9268" xfId="0" applyFont="1" applyFill="1" applyBorder="1"/>
    <xf numFmtId="14" fontId="9317" fillId="9322" borderId="9269" xfId="0" applyNumberFormat="1" applyFont="1" applyFill="1" applyBorder="1"/>
    <xf numFmtId="0" fontId="9318" fillId="9323" borderId="9270" xfId="0" applyFont="1" applyFill="1" applyBorder="1"/>
    <xf numFmtId="0" fontId="9319" fillId="9324" borderId="9271" xfId="0" applyFont="1" applyFill="1" applyBorder="1"/>
    <xf numFmtId="0" fontId="9320" fillId="9325" borderId="9272" xfId="0" applyFont="1" applyFill="1" applyBorder="1"/>
    <xf numFmtId="0" fontId="9321" fillId="9326" borderId="9273" xfId="0" applyFont="1" applyFill="1" applyBorder="1"/>
    <xf numFmtId="0" fontId="9322" fillId="9327" borderId="9274" xfId="0" applyFont="1" applyFill="1" applyBorder="1"/>
    <xf numFmtId="0" fontId="9323" fillId="9328" borderId="9275" xfId="0" applyFont="1" applyFill="1" applyBorder="1"/>
    <xf numFmtId="0" fontId="9324" fillId="9329" borderId="9276" xfId="0" applyFont="1" applyFill="1" applyBorder="1"/>
    <xf numFmtId="14" fontId="9325" fillId="9330" borderId="9277" xfId="0" applyNumberFormat="1" applyFont="1" applyFill="1" applyBorder="1"/>
    <xf numFmtId="0" fontId="9326" fillId="9331" borderId="9278" xfId="0" applyFont="1" applyFill="1" applyBorder="1"/>
    <xf numFmtId="14" fontId="9327" fillId="9332" borderId="9279" xfId="0" applyNumberFormat="1" applyFont="1" applyFill="1" applyBorder="1"/>
    <xf numFmtId="0" fontId="9328" fillId="9333" borderId="9280" xfId="0" applyFont="1" applyFill="1" applyBorder="1"/>
    <xf numFmtId="0" fontId="9329" fillId="9334" borderId="9281" xfId="0" applyFont="1" applyFill="1" applyBorder="1"/>
    <xf numFmtId="0" fontId="9330" fillId="9335" borderId="9282" xfId="0" applyFont="1" applyFill="1" applyBorder="1"/>
    <xf numFmtId="0" fontId="9331" fillId="9336" borderId="9283" xfId="0" applyFont="1" applyFill="1" applyBorder="1"/>
    <xf numFmtId="0" fontId="9332" fillId="9337" borderId="9284" xfId="0" applyFont="1" applyFill="1" applyBorder="1"/>
    <xf numFmtId="0" fontId="9333" fillId="9338" borderId="9285" xfId="0" applyFont="1" applyFill="1" applyBorder="1"/>
    <xf numFmtId="0" fontId="9334" fillId="9339" borderId="9286" xfId="0" applyFont="1" applyFill="1" applyBorder="1"/>
    <xf numFmtId="14" fontId="9335" fillId="9340" borderId="9287" xfId="0" applyNumberFormat="1" applyFont="1" applyFill="1" applyBorder="1"/>
    <xf numFmtId="0" fontId="9336" fillId="9341" borderId="9288" xfId="0" applyFont="1" applyFill="1" applyBorder="1"/>
    <xf numFmtId="14" fontId="9337" fillId="9342" borderId="9289" xfId="0" applyNumberFormat="1" applyFont="1" applyFill="1" applyBorder="1"/>
    <xf numFmtId="0" fontId="9338" fillId="9343" borderId="9290" xfId="0" applyFont="1" applyFill="1" applyBorder="1"/>
    <xf numFmtId="0" fontId="9339" fillId="9344" borderId="9291" xfId="0" applyFont="1" applyFill="1" applyBorder="1"/>
    <xf numFmtId="0" fontId="9340" fillId="9345" borderId="9292" xfId="0" applyFont="1" applyFill="1" applyBorder="1"/>
    <xf numFmtId="0" fontId="9341" fillId="9346" borderId="9293" xfId="0" applyFont="1" applyFill="1" applyBorder="1"/>
    <xf numFmtId="0" fontId="9342" fillId="9347" borderId="9294" xfId="0" applyFont="1" applyFill="1" applyBorder="1"/>
    <xf numFmtId="0" fontId="9343" fillId="9348" borderId="9295" xfId="0" applyFont="1" applyFill="1" applyBorder="1"/>
    <xf numFmtId="0" fontId="9344" fillId="9349" borderId="9296" xfId="0" applyFont="1" applyFill="1" applyBorder="1"/>
    <xf numFmtId="14" fontId="9345" fillId="9350" borderId="9297" xfId="0" applyNumberFormat="1" applyFont="1" applyFill="1" applyBorder="1"/>
    <xf numFmtId="0" fontId="9346" fillId="9351" borderId="9298" xfId="0" applyFont="1" applyFill="1" applyBorder="1"/>
    <xf numFmtId="14" fontId="9347" fillId="9352" borderId="9299" xfId="0" applyNumberFormat="1" applyFont="1" applyFill="1" applyBorder="1"/>
    <xf numFmtId="0" fontId="9348" fillId="9353" borderId="9300" xfId="0" applyFont="1" applyFill="1" applyBorder="1"/>
    <xf numFmtId="0" fontId="9349" fillId="9354" borderId="9301" xfId="0" applyFont="1" applyFill="1" applyBorder="1"/>
    <xf numFmtId="0" fontId="9350" fillId="9355" borderId="9302" xfId="0" applyFont="1" applyFill="1" applyBorder="1"/>
    <xf numFmtId="0" fontId="9351" fillId="9356" borderId="9303" xfId="0" applyFont="1" applyFill="1" applyBorder="1"/>
    <xf numFmtId="0" fontId="9352" fillId="9357" borderId="9304" xfId="0" applyFont="1" applyFill="1" applyBorder="1"/>
    <xf numFmtId="0" fontId="9353" fillId="9358" borderId="9305" xfId="0" applyFont="1" applyFill="1" applyBorder="1"/>
    <xf numFmtId="0" fontId="9354" fillId="9359" borderId="9306" xfId="0" applyFont="1" applyFill="1" applyBorder="1"/>
    <xf numFmtId="14" fontId="9355" fillId="9360" borderId="9307" xfId="0" applyNumberFormat="1" applyFont="1" applyFill="1" applyBorder="1"/>
    <xf numFmtId="0" fontId="9356" fillId="9361" borderId="9308" xfId="0" applyFont="1" applyFill="1" applyBorder="1"/>
    <xf numFmtId="14" fontId="9357" fillId="9362" borderId="9309" xfId="0" applyNumberFormat="1" applyFont="1" applyFill="1" applyBorder="1"/>
    <xf numFmtId="0" fontId="9358" fillId="9363" borderId="9310" xfId="0" applyFont="1" applyFill="1" applyBorder="1"/>
    <xf numFmtId="0" fontId="9359" fillId="9364" borderId="9311" xfId="0" applyFont="1" applyFill="1" applyBorder="1"/>
    <xf numFmtId="0" fontId="9360" fillId="9365" borderId="9312" xfId="0" applyFont="1" applyFill="1" applyBorder="1"/>
    <xf numFmtId="0" fontId="9361" fillId="9366" borderId="9313" xfId="0" applyFont="1" applyFill="1" applyBorder="1"/>
    <xf numFmtId="0" fontId="9362" fillId="9367" borderId="9314" xfId="0" applyFont="1" applyFill="1" applyBorder="1"/>
    <xf numFmtId="0" fontId="9363" fillId="9368" borderId="9315" xfId="0" applyFont="1" applyFill="1" applyBorder="1"/>
    <xf numFmtId="0" fontId="9364" fillId="9369" borderId="9316" xfId="0" applyFont="1" applyFill="1" applyBorder="1"/>
    <xf numFmtId="14" fontId="9365" fillId="9370" borderId="9317" xfId="0" applyNumberFormat="1" applyFont="1" applyFill="1" applyBorder="1"/>
    <xf numFmtId="0" fontId="9366" fillId="9371" borderId="9318" xfId="0" applyFont="1" applyFill="1" applyBorder="1"/>
    <xf numFmtId="14" fontId="9367" fillId="9372" borderId="9319" xfId="0" applyNumberFormat="1" applyFont="1" applyFill="1" applyBorder="1"/>
    <xf numFmtId="0" fontId="9368" fillId="9373" borderId="9320" xfId="0" applyFont="1" applyFill="1" applyBorder="1"/>
    <xf numFmtId="0" fontId="9369" fillId="9374" borderId="9321" xfId="0" applyFont="1" applyFill="1" applyBorder="1"/>
    <xf numFmtId="0" fontId="9370" fillId="9375" borderId="9322" xfId="0" applyFont="1" applyFill="1" applyBorder="1"/>
    <xf numFmtId="0" fontId="9371" fillId="9376" borderId="9323" xfId="0" applyFont="1" applyFill="1" applyBorder="1"/>
    <xf numFmtId="0" fontId="9372" fillId="9377" borderId="9324" xfId="0" applyFont="1" applyFill="1" applyBorder="1"/>
    <xf numFmtId="0" fontId="9373" fillId="9378" borderId="9325" xfId="0" applyFont="1" applyFill="1" applyBorder="1"/>
    <xf numFmtId="0" fontId="9374" fillId="9379" borderId="9326" xfId="0" applyFont="1" applyFill="1" applyBorder="1"/>
    <xf numFmtId="14" fontId="9375" fillId="9380" borderId="9327" xfId="0" applyNumberFormat="1" applyFont="1" applyFill="1" applyBorder="1"/>
    <xf numFmtId="0" fontId="9376" fillId="9381" borderId="9328" xfId="0" applyFont="1" applyFill="1" applyBorder="1"/>
    <xf numFmtId="14" fontId="9377" fillId="9382" borderId="9329" xfId="0" applyNumberFormat="1" applyFont="1" applyFill="1" applyBorder="1"/>
    <xf numFmtId="0" fontId="9378" fillId="9383" borderId="9330" xfId="0" applyFont="1" applyFill="1" applyBorder="1"/>
    <xf numFmtId="0" fontId="9379" fillId="9384" borderId="9331" xfId="0" applyFont="1" applyFill="1" applyBorder="1"/>
    <xf numFmtId="0" fontId="9380" fillId="9385" borderId="9332" xfId="0" applyFont="1" applyFill="1" applyBorder="1"/>
    <xf numFmtId="0" fontId="9381" fillId="9386" borderId="9333" xfId="0" applyFont="1" applyFill="1" applyBorder="1"/>
    <xf numFmtId="0" fontId="9382" fillId="9387" borderId="9334" xfId="0" applyFont="1" applyFill="1" applyBorder="1"/>
    <xf numFmtId="0" fontId="9383" fillId="9388" borderId="9335" xfId="0" applyFont="1" applyFill="1" applyBorder="1"/>
    <xf numFmtId="0" fontId="9384" fillId="9389" borderId="9336" xfId="0" applyFont="1" applyFill="1" applyBorder="1"/>
    <xf numFmtId="14" fontId="9385" fillId="9390" borderId="9337" xfId="0" applyNumberFormat="1" applyFont="1" applyFill="1" applyBorder="1"/>
    <xf numFmtId="0" fontId="9386" fillId="9391" borderId="9338" xfId="0" applyFont="1" applyFill="1" applyBorder="1"/>
    <xf numFmtId="14" fontId="9387" fillId="9392" borderId="9339" xfId="0" applyNumberFormat="1" applyFont="1" applyFill="1" applyBorder="1"/>
    <xf numFmtId="0" fontId="9388" fillId="9393" borderId="9340" xfId="0" applyFont="1" applyFill="1" applyBorder="1"/>
    <xf numFmtId="0" fontId="9389" fillId="9394" borderId="9341" xfId="0" applyFont="1" applyFill="1" applyBorder="1"/>
    <xf numFmtId="0" fontId="9390" fillId="9395" borderId="9342" xfId="0" applyFont="1" applyFill="1" applyBorder="1"/>
    <xf numFmtId="0" fontId="9391" fillId="9396" borderId="9343" xfId="0" applyFont="1" applyFill="1" applyBorder="1"/>
    <xf numFmtId="0" fontId="9392" fillId="9397" borderId="9344" xfId="0" applyFont="1" applyFill="1" applyBorder="1"/>
    <xf numFmtId="0" fontId="9393" fillId="9398" borderId="9345" xfId="0" applyFont="1" applyFill="1" applyBorder="1"/>
    <xf numFmtId="0" fontId="9394" fillId="9399" borderId="9346" xfId="0" applyFont="1" applyFill="1" applyBorder="1"/>
    <xf numFmtId="14" fontId="9395" fillId="9400" borderId="9347" xfId="0" applyNumberFormat="1" applyFont="1" applyFill="1" applyBorder="1"/>
    <xf numFmtId="0" fontId="9396" fillId="9401" borderId="9348" xfId="0" applyFont="1" applyFill="1" applyBorder="1"/>
    <xf numFmtId="14" fontId="9397" fillId="9402" borderId="9349" xfId="0" applyNumberFormat="1" applyFont="1" applyFill="1" applyBorder="1"/>
    <xf numFmtId="0" fontId="9398" fillId="9403" borderId="9350" xfId="0" applyFont="1" applyFill="1" applyBorder="1"/>
    <xf numFmtId="0" fontId="9399" fillId="9404" borderId="9351" xfId="0" applyFont="1" applyFill="1" applyBorder="1"/>
    <xf numFmtId="0" fontId="9400" fillId="9405" borderId="9352" xfId="0" applyFont="1" applyFill="1" applyBorder="1"/>
    <xf numFmtId="0" fontId="9401" fillId="9406" borderId="9353" xfId="0" applyFont="1" applyFill="1" applyBorder="1"/>
    <xf numFmtId="0" fontId="9402" fillId="9407" borderId="9354" xfId="0" applyFont="1" applyFill="1" applyBorder="1"/>
    <xf numFmtId="0" fontId="9403" fillId="9408" borderId="9355" xfId="0" applyFont="1" applyFill="1" applyBorder="1"/>
    <xf numFmtId="0" fontId="9404" fillId="9409" borderId="9356" xfId="0" applyFont="1" applyFill="1" applyBorder="1"/>
    <xf numFmtId="14" fontId="9405" fillId="9410" borderId="9357" xfId="0" applyNumberFormat="1" applyFont="1" applyFill="1" applyBorder="1"/>
    <xf numFmtId="0" fontId="9406" fillId="9411" borderId="9358" xfId="0" applyFont="1" applyFill="1" applyBorder="1"/>
    <xf numFmtId="14" fontId="9407" fillId="9412" borderId="9359" xfId="0" applyNumberFormat="1" applyFont="1" applyFill="1" applyBorder="1"/>
    <xf numFmtId="0" fontId="9408" fillId="9413" borderId="9360" xfId="0" applyFont="1" applyFill="1" applyBorder="1"/>
    <xf numFmtId="0" fontId="9409" fillId="9414" borderId="9361" xfId="0" applyFont="1" applyFill="1" applyBorder="1"/>
    <xf numFmtId="0" fontId="9410" fillId="9415" borderId="9362" xfId="0" applyFont="1" applyFill="1" applyBorder="1"/>
    <xf numFmtId="0" fontId="9411" fillId="9416" borderId="9363" xfId="0" applyFont="1" applyFill="1" applyBorder="1"/>
    <xf numFmtId="0" fontId="9412" fillId="9417" borderId="9364" xfId="0" applyFont="1" applyFill="1" applyBorder="1"/>
    <xf numFmtId="0" fontId="9413" fillId="9418" borderId="9365" xfId="0" applyFont="1" applyFill="1" applyBorder="1"/>
    <xf numFmtId="0" fontId="9414" fillId="9419" borderId="9366" xfId="0" applyFont="1" applyFill="1" applyBorder="1"/>
    <xf numFmtId="14" fontId="9415" fillId="9420" borderId="9367" xfId="0" applyNumberFormat="1" applyFont="1" applyFill="1" applyBorder="1"/>
    <xf numFmtId="0" fontId="9416" fillId="9421" borderId="9368" xfId="0" applyFont="1" applyFill="1" applyBorder="1"/>
    <xf numFmtId="14" fontId="9417" fillId="9422" borderId="9369" xfId="0" applyNumberFormat="1" applyFont="1" applyFill="1" applyBorder="1"/>
    <xf numFmtId="0" fontId="9418" fillId="9423" borderId="9370" xfId="0" applyFont="1" applyFill="1" applyBorder="1"/>
    <xf numFmtId="0" fontId="9419" fillId="9424" borderId="9371" xfId="0" applyFont="1" applyFill="1" applyBorder="1"/>
    <xf numFmtId="0" fontId="9420" fillId="9425" borderId="9372" xfId="0" applyFont="1" applyFill="1" applyBorder="1"/>
    <xf numFmtId="0" fontId="9421" fillId="9426" borderId="9373" xfId="0" applyFont="1" applyFill="1" applyBorder="1"/>
    <xf numFmtId="0" fontId="9422" fillId="9427" borderId="9374" xfId="0" applyFont="1" applyFill="1" applyBorder="1"/>
    <xf numFmtId="0" fontId="9423" fillId="9428" borderId="9375" xfId="0" applyFont="1" applyFill="1" applyBorder="1"/>
    <xf numFmtId="0" fontId="9424" fillId="9429" borderId="9376" xfId="0" applyFont="1" applyFill="1" applyBorder="1"/>
    <xf numFmtId="14" fontId="9425" fillId="9430" borderId="9377" xfId="0" applyNumberFormat="1" applyFont="1" applyFill="1" applyBorder="1"/>
    <xf numFmtId="0" fontId="9426" fillId="9431" borderId="9378" xfId="0" applyFont="1" applyFill="1" applyBorder="1"/>
    <xf numFmtId="14" fontId="9427" fillId="9432" borderId="9379" xfId="0" applyNumberFormat="1" applyFont="1" applyFill="1" applyBorder="1"/>
    <xf numFmtId="0" fontId="9428" fillId="9433" borderId="9380" xfId="0" applyFont="1" applyFill="1" applyBorder="1"/>
    <xf numFmtId="0" fontId="9429" fillId="9434" borderId="9381" xfId="0" applyFont="1" applyFill="1" applyBorder="1"/>
    <xf numFmtId="0" fontId="9430" fillId="9435" borderId="9382" xfId="0" applyFont="1" applyFill="1" applyBorder="1"/>
    <xf numFmtId="0" fontId="9431" fillId="9436" borderId="9383" xfId="0" applyFont="1" applyFill="1" applyBorder="1"/>
    <xf numFmtId="0" fontId="9432" fillId="9437" borderId="9384" xfId="0" applyFont="1" applyFill="1" applyBorder="1"/>
    <xf numFmtId="0" fontId="9433" fillId="9438" borderId="9385" xfId="0" applyFont="1" applyFill="1" applyBorder="1"/>
    <xf numFmtId="0" fontId="9434" fillId="9439" borderId="9386" xfId="0" applyFont="1" applyFill="1" applyBorder="1"/>
    <xf numFmtId="14" fontId="9435" fillId="9440" borderId="9387" xfId="0" applyNumberFormat="1" applyFont="1" applyFill="1" applyBorder="1"/>
    <xf numFmtId="0" fontId="9436" fillId="9441" borderId="9388" xfId="0" applyFont="1" applyFill="1" applyBorder="1"/>
    <xf numFmtId="14" fontId="9437" fillId="9442" borderId="9389" xfId="0" applyNumberFormat="1" applyFont="1" applyFill="1" applyBorder="1"/>
    <xf numFmtId="0" fontId="9438" fillId="9443" borderId="9390" xfId="0" applyFont="1" applyFill="1" applyBorder="1"/>
    <xf numFmtId="0" fontId="9439" fillId="9444" borderId="9391" xfId="0" applyFont="1" applyFill="1" applyBorder="1"/>
    <xf numFmtId="0" fontId="9440" fillId="9445" borderId="9392" xfId="0" applyFont="1" applyFill="1" applyBorder="1"/>
    <xf numFmtId="0" fontId="9441" fillId="9446" borderId="9393" xfId="0" applyFont="1" applyFill="1" applyBorder="1"/>
    <xf numFmtId="0" fontId="9442" fillId="9447" borderId="9394" xfId="0" applyFont="1" applyFill="1" applyBorder="1"/>
    <xf numFmtId="0" fontId="9443" fillId="9448" borderId="9395" xfId="0" applyFont="1" applyFill="1" applyBorder="1"/>
    <xf numFmtId="0" fontId="9444" fillId="9449" borderId="9396" xfId="0" applyFont="1" applyFill="1" applyBorder="1"/>
    <xf numFmtId="14" fontId="9445" fillId="9450" borderId="9397" xfId="0" applyNumberFormat="1" applyFont="1" applyFill="1" applyBorder="1"/>
    <xf numFmtId="0" fontId="9446" fillId="9451" borderId="9398" xfId="0" applyFont="1" applyFill="1" applyBorder="1"/>
    <xf numFmtId="14" fontId="9447" fillId="9452" borderId="9399" xfId="0" applyNumberFormat="1" applyFont="1" applyFill="1" applyBorder="1"/>
    <xf numFmtId="0" fontId="9448" fillId="9453" borderId="9400" xfId="0" applyFont="1" applyFill="1" applyBorder="1"/>
    <xf numFmtId="0" fontId="9449" fillId="9454" borderId="9401" xfId="0" applyFont="1" applyFill="1" applyBorder="1"/>
    <xf numFmtId="0" fontId="9450" fillId="9455" borderId="9402" xfId="0" applyFont="1" applyFill="1" applyBorder="1"/>
    <xf numFmtId="0" fontId="9451" fillId="9456" borderId="9403" xfId="0" applyFont="1" applyFill="1" applyBorder="1"/>
    <xf numFmtId="0" fontId="9452" fillId="9457" borderId="9404" xfId="0" applyFont="1" applyFill="1" applyBorder="1"/>
    <xf numFmtId="0" fontId="9453" fillId="9458" borderId="9405" xfId="0" applyFont="1" applyFill="1" applyBorder="1"/>
    <xf numFmtId="0" fontId="9454" fillId="9459" borderId="9406" xfId="0" applyFont="1" applyFill="1" applyBorder="1"/>
    <xf numFmtId="14" fontId="9455" fillId="9460" borderId="9407" xfId="0" applyNumberFormat="1" applyFont="1" applyFill="1" applyBorder="1"/>
    <xf numFmtId="0" fontId="9456" fillId="9461" borderId="9408" xfId="0" applyFont="1" applyFill="1" applyBorder="1"/>
    <xf numFmtId="14" fontId="9457" fillId="9462" borderId="9409" xfId="0" applyNumberFormat="1" applyFont="1" applyFill="1" applyBorder="1"/>
    <xf numFmtId="0" fontId="9458" fillId="9463" borderId="9410" xfId="0" applyFont="1" applyFill="1" applyBorder="1"/>
    <xf numFmtId="0" fontId="9459" fillId="9464" borderId="9411" xfId="0" applyFont="1" applyFill="1" applyBorder="1"/>
    <xf numFmtId="0" fontId="9460" fillId="9465" borderId="9412" xfId="0" applyFont="1" applyFill="1" applyBorder="1"/>
    <xf numFmtId="0" fontId="9461" fillId="9466" borderId="9413" xfId="0" applyFont="1" applyFill="1" applyBorder="1"/>
    <xf numFmtId="0" fontId="9462" fillId="9467" borderId="9414" xfId="0" applyFont="1" applyFill="1" applyBorder="1"/>
    <xf numFmtId="0" fontId="9463" fillId="9468" borderId="9415" xfId="0" applyFont="1" applyFill="1" applyBorder="1"/>
    <xf numFmtId="0" fontId="9464" fillId="9469" borderId="9416" xfId="0" applyFont="1" applyFill="1" applyBorder="1"/>
    <xf numFmtId="14" fontId="9465" fillId="9470" borderId="9417" xfId="0" applyNumberFormat="1" applyFont="1" applyFill="1" applyBorder="1"/>
    <xf numFmtId="0" fontId="9466" fillId="9471" borderId="9418" xfId="0" applyFont="1" applyFill="1" applyBorder="1"/>
    <xf numFmtId="14" fontId="9467" fillId="9472" borderId="9419" xfId="0" applyNumberFormat="1" applyFont="1" applyFill="1" applyBorder="1"/>
    <xf numFmtId="0" fontId="9468" fillId="9473" borderId="9420" xfId="0" applyFont="1" applyFill="1" applyBorder="1"/>
    <xf numFmtId="0" fontId="9469" fillId="9474" borderId="9421" xfId="0" applyFont="1" applyFill="1" applyBorder="1"/>
    <xf numFmtId="0" fontId="9470" fillId="9475" borderId="9422" xfId="0" applyFont="1" applyFill="1" applyBorder="1"/>
    <xf numFmtId="0" fontId="9471" fillId="9476" borderId="9423" xfId="0" applyFont="1" applyFill="1" applyBorder="1"/>
    <xf numFmtId="0" fontId="9472" fillId="9477" borderId="9424" xfId="0" applyFont="1" applyFill="1" applyBorder="1"/>
    <xf numFmtId="0" fontId="9473" fillId="9478" borderId="9425" xfId="0" applyFont="1" applyFill="1" applyBorder="1"/>
    <xf numFmtId="0" fontId="9474" fillId="9479" borderId="9426" xfId="0" applyFont="1" applyFill="1" applyBorder="1"/>
    <xf numFmtId="14" fontId="9475" fillId="9480" borderId="9427" xfId="0" applyNumberFormat="1" applyFont="1" applyFill="1" applyBorder="1"/>
    <xf numFmtId="0" fontId="9476" fillId="9481" borderId="9428" xfId="0" applyFont="1" applyFill="1" applyBorder="1"/>
    <xf numFmtId="14" fontId="9477" fillId="9482" borderId="9429" xfId="0" applyNumberFormat="1" applyFont="1" applyFill="1" applyBorder="1"/>
    <xf numFmtId="0" fontId="9478" fillId="9483" borderId="9430" xfId="0" applyFont="1" applyFill="1" applyBorder="1"/>
    <xf numFmtId="0" fontId="9479" fillId="9484" borderId="9431" xfId="0" applyFont="1" applyFill="1" applyBorder="1"/>
    <xf numFmtId="0" fontId="9480" fillId="9485" borderId="9432" xfId="0" applyFont="1" applyFill="1" applyBorder="1"/>
    <xf numFmtId="0" fontId="9481" fillId="9486" borderId="9433" xfId="0" applyFont="1" applyFill="1" applyBorder="1"/>
    <xf numFmtId="0" fontId="9482" fillId="9487" borderId="9434" xfId="0" applyFont="1" applyFill="1" applyBorder="1"/>
    <xf numFmtId="0" fontId="9483" fillId="9488" borderId="9435" xfId="0" applyFont="1" applyFill="1" applyBorder="1"/>
    <xf numFmtId="0" fontId="9484" fillId="9489" borderId="9436" xfId="0" applyFont="1" applyFill="1" applyBorder="1"/>
    <xf numFmtId="14" fontId="9485" fillId="9490" borderId="9437" xfId="0" applyNumberFormat="1" applyFont="1" applyFill="1" applyBorder="1"/>
    <xf numFmtId="0" fontId="9486" fillId="9491" borderId="9438" xfId="0" applyFont="1" applyFill="1" applyBorder="1"/>
    <xf numFmtId="14" fontId="9487" fillId="9492" borderId="9439" xfId="0" applyNumberFormat="1" applyFont="1" applyFill="1" applyBorder="1"/>
    <xf numFmtId="0" fontId="9488" fillId="9493" borderId="9440" xfId="0" applyFont="1" applyFill="1" applyBorder="1"/>
    <xf numFmtId="0" fontId="9489" fillId="9494" borderId="9441" xfId="0" applyFont="1" applyFill="1" applyBorder="1"/>
    <xf numFmtId="0" fontId="9490" fillId="9495" borderId="9442" xfId="0" applyFont="1" applyFill="1" applyBorder="1"/>
    <xf numFmtId="0" fontId="9491" fillId="9496" borderId="9443" xfId="0" applyFont="1" applyFill="1" applyBorder="1"/>
    <xf numFmtId="0" fontId="9492" fillId="9497" borderId="9444" xfId="0" applyFont="1" applyFill="1" applyBorder="1"/>
    <xf numFmtId="0" fontId="9493" fillId="9498" borderId="9445" xfId="0" applyFont="1" applyFill="1" applyBorder="1"/>
    <xf numFmtId="0" fontId="9494" fillId="9499" borderId="9446" xfId="0" applyFont="1" applyFill="1" applyBorder="1"/>
    <xf numFmtId="14" fontId="9495" fillId="9500" borderId="9447" xfId="0" applyNumberFormat="1" applyFont="1" applyFill="1" applyBorder="1"/>
    <xf numFmtId="0" fontId="9496" fillId="9501" borderId="9448" xfId="0" applyFont="1" applyFill="1" applyBorder="1"/>
    <xf numFmtId="14" fontId="9497" fillId="9502" borderId="9449" xfId="0" applyNumberFormat="1" applyFont="1" applyFill="1" applyBorder="1"/>
    <xf numFmtId="0" fontId="9498" fillId="9503" borderId="9450" xfId="0" applyFont="1" applyFill="1" applyBorder="1"/>
    <xf numFmtId="0" fontId="9499" fillId="9504" borderId="9451" xfId="0" applyFont="1" applyFill="1" applyBorder="1"/>
    <xf numFmtId="0" fontId="9500" fillId="9505" borderId="9452" xfId="0" applyFont="1" applyFill="1" applyBorder="1"/>
    <xf numFmtId="0" fontId="9501" fillId="9506" borderId="9453" xfId="0" applyFont="1" applyFill="1" applyBorder="1"/>
    <xf numFmtId="0" fontId="9502" fillId="9507" borderId="9454" xfId="0" applyFont="1" applyFill="1" applyBorder="1"/>
    <xf numFmtId="0" fontId="9503" fillId="9508" borderId="9455" xfId="0" applyFont="1" applyFill="1" applyBorder="1"/>
    <xf numFmtId="0" fontId="9504" fillId="9509" borderId="9456" xfId="0" applyFont="1" applyFill="1" applyBorder="1"/>
    <xf numFmtId="14" fontId="9505" fillId="9510" borderId="9457" xfId="0" applyNumberFormat="1" applyFont="1" applyFill="1" applyBorder="1"/>
    <xf numFmtId="0" fontId="9506" fillId="9511" borderId="9458" xfId="0" applyFont="1" applyFill="1" applyBorder="1"/>
    <xf numFmtId="14" fontId="9507" fillId="9512" borderId="9459" xfId="0" applyNumberFormat="1" applyFont="1" applyFill="1" applyBorder="1"/>
    <xf numFmtId="0" fontId="9508" fillId="9513" borderId="9460" xfId="0" applyFont="1" applyFill="1" applyBorder="1"/>
    <xf numFmtId="0" fontId="9509" fillId="9514" borderId="9461" xfId="0" applyFont="1" applyFill="1" applyBorder="1"/>
    <xf numFmtId="0" fontId="9510" fillId="9515" borderId="9462" xfId="0" applyFont="1" applyFill="1" applyBorder="1"/>
    <xf numFmtId="0" fontId="9511" fillId="9516" borderId="9463" xfId="0" applyFont="1" applyFill="1" applyBorder="1"/>
    <xf numFmtId="0" fontId="9512" fillId="9517" borderId="9464" xfId="0" applyFont="1" applyFill="1" applyBorder="1"/>
    <xf numFmtId="0" fontId="9513" fillId="9518" borderId="9465" xfId="0" applyFont="1" applyFill="1" applyBorder="1"/>
    <xf numFmtId="0" fontId="9514" fillId="9519" borderId="9466" xfId="0" applyFont="1" applyFill="1" applyBorder="1"/>
    <xf numFmtId="14" fontId="9515" fillId="9520" borderId="9467" xfId="0" applyNumberFormat="1" applyFont="1" applyFill="1" applyBorder="1"/>
    <xf numFmtId="0" fontId="9516" fillId="9521" borderId="9468" xfId="0" applyFont="1" applyFill="1" applyBorder="1"/>
    <xf numFmtId="14" fontId="9517" fillId="9522" borderId="9469" xfId="0" applyNumberFormat="1" applyFont="1" applyFill="1" applyBorder="1"/>
    <xf numFmtId="0" fontId="9518" fillId="9523" borderId="9470" xfId="0" applyFont="1" applyFill="1" applyBorder="1"/>
    <xf numFmtId="0" fontId="9519" fillId="9524" borderId="9471" xfId="0" applyFont="1" applyFill="1" applyBorder="1"/>
    <xf numFmtId="0" fontId="9520" fillId="9525" borderId="9472" xfId="0" applyFont="1" applyFill="1" applyBorder="1"/>
    <xf numFmtId="0" fontId="9521" fillId="9526" borderId="9473" xfId="0" applyFont="1" applyFill="1" applyBorder="1"/>
    <xf numFmtId="0" fontId="9522" fillId="9527" borderId="9474" xfId="0" applyFont="1" applyFill="1" applyBorder="1"/>
    <xf numFmtId="0" fontId="9523" fillId="9528" borderId="9475" xfId="0" applyFont="1" applyFill="1" applyBorder="1"/>
    <xf numFmtId="0" fontId="9524" fillId="9529" borderId="9476" xfId="0" applyFont="1" applyFill="1" applyBorder="1"/>
    <xf numFmtId="14" fontId="9525" fillId="9530" borderId="9477" xfId="0" applyNumberFormat="1" applyFont="1" applyFill="1" applyBorder="1"/>
    <xf numFmtId="0" fontId="9526" fillId="9531" borderId="9478" xfId="0" applyFont="1" applyFill="1" applyBorder="1"/>
    <xf numFmtId="14" fontId="9527" fillId="9532" borderId="9479" xfId="0" applyNumberFormat="1" applyFont="1" applyFill="1" applyBorder="1"/>
    <xf numFmtId="0" fontId="9528" fillId="9533" borderId="9480" xfId="0" applyFont="1" applyFill="1" applyBorder="1"/>
    <xf numFmtId="0" fontId="9529" fillId="9534" borderId="9481" xfId="0" applyFont="1" applyFill="1" applyBorder="1"/>
    <xf numFmtId="0" fontId="9530" fillId="9535" borderId="9482" xfId="0" applyFont="1" applyFill="1" applyBorder="1"/>
    <xf numFmtId="0" fontId="9531" fillId="9536" borderId="9483" xfId="0" applyFont="1" applyFill="1" applyBorder="1"/>
    <xf numFmtId="0" fontId="9532" fillId="9537" borderId="9484" xfId="0" applyFont="1" applyFill="1" applyBorder="1"/>
    <xf numFmtId="0" fontId="9533" fillId="9538" borderId="9485" xfId="0" applyFont="1" applyFill="1" applyBorder="1"/>
    <xf numFmtId="0" fontId="9534" fillId="9539" borderId="9486" xfId="0" applyFont="1" applyFill="1" applyBorder="1"/>
    <xf numFmtId="14" fontId="9535" fillId="9540" borderId="9487" xfId="0" applyNumberFormat="1" applyFont="1" applyFill="1" applyBorder="1"/>
    <xf numFmtId="0" fontId="9536" fillId="9541" borderId="9488" xfId="0" applyFont="1" applyFill="1" applyBorder="1"/>
    <xf numFmtId="14" fontId="9537" fillId="9542" borderId="9489" xfId="0" applyNumberFormat="1" applyFont="1" applyFill="1" applyBorder="1"/>
    <xf numFmtId="0" fontId="9538" fillId="9543" borderId="9490" xfId="0" applyFont="1" applyFill="1" applyBorder="1"/>
    <xf numFmtId="0" fontId="9539" fillId="9544" borderId="9491" xfId="0" applyFont="1" applyFill="1" applyBorder="1"/>
    <xf numFmtId="0" fontId="9540" fillId="9545" borderId="9492" xfId="0" applyFont="1" applyFill="1" applyBorder="1"/>
    <xf numFmtId="0" fontId="9541" fillId="9546" borderId="9493" xfId="0" applyFont="1" applyFill="1" applyBorder="1"/>
    <xf numFmtId="0" fontId="9542" fillId="9547" borderId="9494" xfId="0" applyFont="1" applyFill="1" applyBorder="1"/>
    <xf numFmtId="0" fontId="9543" fillId="9548" borderId="9495" xfId="0" applyFont="1" applyFill="1" applyBorder="1"/>
    <xf numFmtId="0" fontId="9544" fillId="9549" borderId="9496" xfId="0" applyFont="1" applyFill="1" applyBorder="1"/>
    <xf numFmtId="14" fontId="9545" fillId="9550" borderId="9497" xfId="0" applyNumberFormat="1" applyFont="1" applyFill="1" applyBorder="1"/>
    <xf numFmtId="0" fontId="9546" fillId="9551" borderId="9498" xfId="0" applyFont="1" applyFill="1" applyBorder="1"/>
    <xf numFmtId="14" fontId="9547" fillId="9552" borderId="9499" xfId="0" applyNumberFormat="1" applyFont="1" applyFill="1" applyBorder="1"/>
    <xf numFmtId="0" fontId="9548" fillId="9553" borderId="9500" xfId="0" applyFont="1" applyFill="1" applyBorder="1"/>
    <xf numFmtId="0" fontId="9549" fillId="9554" borderId="9501" xfId="0" applyFont="1" applyFill="1" applyBorder="1"/>
    <xf numFmtId="0" fontId="9550" fillId="9555" borderId="9502" xfId="0" applyFont="1" applyFill="1" applyBorder="1"/>
    <xf numFmtId="0" fontId="9551" fillId="9556" borderId="9503" xfId="0" applyFont="1" applyFill="1" applyBorder="1"/>
    <xf numFmtId="0" fontId="9552" fillId="9557" borderId="9504" xfId="0" applyFont="1" applyFill="1" applyBorder="1"/>
    <xf numFmtId="0" fontId="9553" fillId="9558" borderId="9505" xfId="0" applyFont="1" applyFill="1" applyBorder="1"/>
    <xf numFmtId="0" fontId="9554" fillId="9559" borderId="9506" xfId="0" applyFont="1" applyFill="1" applyBorder="1"/>
    <xf numFmtId="14" fontId="9555" fillId="9560" borderId="9507" xfId="0" applyNumberFormat="1" applyFont="1" applyFill="1" applyBorder="1"/>
    <xf numFmtId="0" fontId="9556" fillId="9561" borderId="9508" xfId="0" applyFont="1" applyFill="1" applyBorder="1"/>
    <xf numFmtId="14" fontId="9557" fillId="9562" borderId="9509" xfId="0" applyNumberFormat="1" applyFont="1" applyFill="1" applyBorder="1"/>
    <xf numFmtId="0" fontId="9558" fillId="9563" borderId="9510" xfId="0" applyFont="1" applyFill="1" applyBorder="1"/>
    <xf numFmtId="0" fontId="9559" fillId="9564" borderId="9511" xfId="0" applyFont="1" applyFill="1" applyBorder="1"/>
    <xf numFmtId="0" fontId="9560" fillId="9565" borderId="9512" xfId="0" applyFont="1" applyFill="1" applyBorder="1"/>
    <xf numFmtId="0" fontId="9561" fillId="9566" borderId="9513" xfId="0" applyFont="1" applyFill="1" applyBorder="1"/>
    <xf numFmtId="0" fontId="9562" fillId="9567" borderId="9514" xfId="0" applyFont="1" applyFill="1" applyBorder="1"/>
    <xf numFmtId="0" fontId="9563" fillId="9568" borderId="9515" xfId="0" applyFont="1" applyFill="1" applyBorder="1"/>
    <xf numFmtId="0" fontId="9564" fillId="9569" borderId="9516" xfId="0" applyFont="1" applyFill="1" applyBorder="1"/>
    <xf numFmtId="14" fontId="9565" fillId="9570" borderId="9517" xfId="0" applyNumberFormat="1" applyFont="1" applyFill="1" applyBorder="1"/>
    <xf numFmtId="0" fontId="9566" fillId="9571" borderId="9518" xfId="0" applyFont="1" applyFill="1" applyBorder="1"/>
    <xf numFmtId="14" fontId="9567" fillId="9572" borderId="9519" xfId="0" applyNumberFormat="1" applyFont="1" applyFill="1" applyBorder="1"/>
    <xf numFmtId="0" fontId="9568" fillId="9573" borderId="9520" xfId="0" applyFont="1" applyFill="1" applyBorder="1"/>
    <xf numFmtId="0" fontId="9569" fillId="9574" borderId="9521" xfId="0" applyFont="1" applyFill="1" applyBorder="1"/>
    <xf numFmtId="0" fontId="9570" fillId="9575" borderId="9522" xfId="0" applyFont="1" applyFill="1" applyBorder="1"/>
    <xf numFmtId="0" fontId="9571" fillId="9576" borderId="9523" xfId="0" applyFont="1" applyFill="1" applyBorder="1"/>
    <xf numFmtId="0" fontId="9572" fillId="9577" borderId="9524" xfId="0" applyFont="1" applyFill="1" applyBorder="1"/>
    <xf numFmtId="0" fontId="9573" fillId="9578" borderId="9525" xfId="0" applyFont="1" applyFill="1" applyBorder="1"/>
    <xf numFmtId="0" fontId="9574" fillId="9579" borderId="9526" xfId="0" applyFont="1" applyFill="1" applyBorder="1"/>
    <xf numFmtId="14" fontId="9575" fillId="9580" borderId="9527" xfId="0" applyNumberFormat="1" applyFont="1" applyFill="1" applyBorder="1"/>
    <xf numFmtId="0" fontId="9576" fillId="9581" borderId="9528" xfId="0" applyFont="1" applyFill="1" applyBorder="1"/>
    <xf numFmtId="14" fontId="9577" fillId="9582" borderId="9529" xfId="0" applyNumberFormat="1" applyFont="1" applyFill="1" applyBorder="1"/>
    <xf numFmtId="0" fontId="9578" fillId="9583" borderId="9530" xfId="0" applyFont="1" applyFill="1" applyBorder="1"/>
    <xf numFmtId="0" fontId="9579" fillId="9584" borderId="9531" xfId="0" applyFont="1" applyFill="1" applyBorder="1"/>
    <xf numFmtId="0" fontId="9580" fillId="9585" borderId="9532" xfId="0" applyFont="1" applyFill="1" applyBorder="1"/>
    <xf numFmtId="0" fontId="9581" fillId="9586" borderId="9533" xfId="0" applyFont="1" applyFill="1" applyBorder="1"/>
    <xf numFmtId="0" fontId="9582" fillId="9587" borderId="9534" xfId="0" applyFont="1" applyFill="1" applyBorder="1"/>
    <xf numFmtId="0" fontId="9583" fillId="9588" borderId="9535" xfId="0" applyFont="1" applyFill="1" applyBorder="1"/>
    <xf numFmtId="0" fontId="9584" fillId="9589" borderId="9536" xfId="0" applyFont="1" applyFill="1" applyBorder="1"/>
    <xf numFmtId="14" fontId="9585" fillId="9590" borderId="9537" xfId="0" applyNumberFormat="1" applyFont="1" applyFill="1" applyBorder="1"/>
    <xf numFmtId="0" fontId="9586" fillId="9591" borderId="9538" xfId="0" applyFont="1" applyFill="1" applyBorder="1"/>
    <xf numFmtId="14" fontId="9587" fillId="9592" borderId="9539" xfId="0" applyNumberFormat="1" applyFont="1" applyFill="1" applyBorder="1"/>
    <xf numFmtId="0" fontId="9588" fillId="9593" borderId="9540" xfId="0" applyFont="1" applyFill="1" applyBorder="1"/>
    <xf numFmtId="0" fontId="9589" fillId="9594" borderId="9541" xfId="0" applyFont="1" applyFill="1" applyBorder="1"/>
    <xf numFmtId="0" fontId="9590" fillId="9595" borderId="9542" xfId="0" applyFont="1" applyFill="1" applyBorder="1"/>
    <xf numFmtId="0" fontId="9591" fillId="9596" borderId="9543" xfId="0" applyFont="1" applyFill="1" applyBorder="1"/>
    <xf numFmtId="0" fontId="9592" fillId="9597" borderId="9544" xfId="0" applyFont="1" applyFill="1" applyBorder="1"/>
    <xf numFmtId="0" fontId="9593" fillId="9598" borderId="9545" xfId="0" applyFont="1" applyFill="1" applyBorder="1"/>
    <xf numFmtId="0" fontId="9594" fillId="9599" borderId="9546" xfId="0" applyFont="1" applyFill="1" applyBorder="1"/>
    <xf numFmtId="14" fontId="9595" fillId="9600" borderId="9547" xfId="0" applyNumberFormat="1" applyFont="1" applyFill="1" applyBorder="1"/>
    <xf numFmtId="0" fontId="9596" fillId="9601" borderId="9548" xfId="0" applyFont="1" applyFill="1" applyBorder="1"/>
    <xf numFmtId="14" fontId="9597" fillId="9602" borderId="9549" xfId="0" applyNumberFormat="1" applyFont="1" applyFill="1" applyBorder="1"/>
    <xf numFmtId="0" fontId="9598" fillId="9603" borderId="9550" xfId="0" applyFont="1" applyFill="1" applyBorder="1"/>
    <xf numFmtId="0" fontId="9599" fillId="9604" borderId="9551" xfId="0" applyFont="1" applyFill="1" applyBorder="1"/>
    <xf numFmtId="0" fontId="9600" fillId="9605" borderId="9552" xfId="0" applyFont="1" applyFill="1" applyBorder="1"/>
    <xf numFmtId="0" fontId="9601" fillId="9606" borderId="9553" xfId="0" applyFont="1" applyFill="1" applyBorder="1"/>
    <xf numFmtId="0" fontId="9602" fillId="9607" borderId="9554" xfId="0" applyFont="1" applyFill="1" applyBorder="1"/>
    <xf numFmtId="0" fontId="9603" fillId="9608" borderId="9555" xfId="0" applyFont="1" applyFill="1" applyBorder="1"/>
    <xf numFmtId="0" fontId="9604" fillId="9609" borderId="9556" xfId="0" applyFont="1" applyFill="1" applyBorder="1"/>
    <xf numFmtId="14" fontId="9605" fillId="9610" borderId="9557" xfId="0" applyNumberFormat="1" applyFont="1" applyFill="1" applyBorder="1"/>
    <xf numFmtId="0" fontId="9606" fillId="9611" borderId="9558" xfId="0" applyFont="1" applyFill="1" applyBorder="1"/>
    <xf numFmtId="14" fontId="9607" fillId="9612" borderId="9559" xfId="0" applyNumberFormat="1" applyFont="1" applyFill="1" applyBorder="1"/>
    <xf numFmtId="0" fontId="9608" fillId="9613" borderId="9560" xfId="0" applyFont="1" applyFill="1" applyBorder="1"/>
    <xf numFmtId="0" fontId="9609" fillId="9614" borderId="9561" xfId="0" applyFont="1" applyFill="1" applyBorder="1"/>
    <xf numFmtId="0" fontId="9610" fillId="9615" borderId="9562" xfId="0" applyFont="1" applyFill="1" applyBorder="1"/>
    <xf numFmtId="0" fontId="9611" fillId="9616" borderId="9563" xfId="0" applyFont="1" applyFill="1" applyBorder="1"/>
    <xf numFmtId="0" fontId="9612" fillId="9617" borderId="9564" xfId="0" applyFont="1" applyFill="1" applyBorder="1"/>
    <xf numFmtId="0" fontId="9613" fillId="9618" borderId="9565" xfId="0" applyFont="1" applyFill="1" applyBorder="1"/>
    <xf numFmtId="0" fontId="9614" fillId="9619" borderId="9566" xfId="0" applyFont="1" applyFill="1" applyBorder="1"/>
    <xf numFmtId="14" fontId="9615" fillId="9620" borderId="9567" xfId="0" applyNumberFormat="1" applyFont="1" applyFill="1" applyBorder="1"/>
    <xf numFmtId="0" fontId="9616" fillId="9621" borderId="9568" xfId="0" applyFont="1" applyFill="1" applyBorder="1"/>
    <xf numFmtId="14" fontId="9617" fillId="9622" borderId="9569" xfId="0" applyNumberFormat="1" applyFont="1" applyFill="1" applyBorder="1"/>
    <xf numFmtId="0" fontId="9618" fillId="9623" borderId="9570" xfId="0" applyFont="1" applyFill="1" applyBorder="1"/>
    <xf numFmtId="0" fontId="9619" fillId="9624" borderId="9571" xfId="0" applyFont="1" applyFill="1" applyBorder="1"/>
    <xf numFmtId="0" fontId="9620" fillId="9625" borderId="9572" xfId="0" applyFont="1" applyFill="1" applyBorder="1"/>
    <xf numFmtId="0" fontId="9621" fillId="9626" borderId="9573" xfId="0" applyFont="1" applyFill="1" applyBorder="1"/>
    <xf numFmtId="0" fontId="9622" fillId="9627" borderId="9574" xfId="0" applyFont="1" applyFill="1" applyBorder="1"/>
    <xf numFmtId="0" fontId="9623" fillId="9628" borderId="9575" xfId="0" applyFont="1" applyFill="1" applyBorder="1"/>
    <xf numFmtId="0" fontId="9624" fillId="9629" borderId="9576" xfId="0" applyFont="1" applyFill="1" applyBorder="1"/>
    <xf numFmtId="14" fontId="9625" fillId="9630" borderId="9577" xfId="0" applyNumberFormat="1" applyFont="1" applyFill="1" applyBorder="1"/>
    <xf numFmtId="0" fontId="9626" fillId="9631" borderId="9578" xfId="0" applyFont="1" applyFill="1" applyBorder="1"/>
    <xf numFmtId="14" fontId="9627" fillId="9632" borderId="9579" xfId="0" applyNumberFormat="1" applyFont="1" applyFill="1" applyBorder="1"/>
    <xf numFmtId="0" fontId="9628" fillId="9633" borderId="9580" xfId="0" applyFont="1" applyFill="1" applyBorder="1"/>
    <xf numFmtId="0" fontId="9629" fillId="9634" borderId="9581" xfId="0" applyFont="1" applyFill="1" applyBorder="1"/>
    <xf numFmtId="0" fontId="9630" fillId="9635" borderId="9582" xfId="0" applyFont="1" applyFill="1" applyBorder="1"/>
    <xf numFmtId="0" fontId="9631" fillId="9636" borderId="9583" xfId="0" applyFont="1" applyFill="1" applyBorder="1"/>
    <xf numFmtId="0" fontId="9632" fillId="9637" borderId="9584" xfId="0" applyFont="1" applyFill="1" applyBorder="1"/>
    <xf numFmtId="0" fontId="9633" fillId="9638" borderId="9585" xfId="0" applyFont="1" applyFill="1" applyBorder="1"/>
    <xf numFmtId="0" fontId="9634" fillId="9639" borderId="9586" xfId="0" applyFont="1" applyFill="1" applyBorder="1"/>
    <xf numFmtId="14" fontId="9635" fillId="9640" borderId="9587" xfId="0" applyNumberFormat="1" applyFont="1" applyFill="1" applyBorder="1"/>
    <xf numFmtId="0" fontId="9636" fillId="9641" borderId="9588" xfId="0" applyFont="1" applyFill="1" applyBorder="1"/>
    <xf numFmtId="14" fontId="9637" fillId="9642" borderId="9589" xfId="0" applyNumberFormat="1" applyFont="1" applyFill="1" applyBorder="1"/>
    <xf numFmtId="0" fontId="9638" fillId="9643" borderId="9590" xfId="0" applyFont="1" applyFill="1" applyBorder="1"/>
    <xf numFmtId="0" fontId="9639" fillId="9644" borderId="9591" xfId="0" applyFont="1" applyFill="1" applyBorder="1"/>
    <xf numFmtId="0" fontId="9640" fillId="9645" borderId="9592" xfId="0" applyFont="1" applyFill="1" applyBorder="1"/>
    <xf numFmtId="0" fontId="9641" fillId="9646" borderId="9593" xfId="0" applyFont="1" applyFill="1" applyBorder="1"/>
    <xf numFmtId="0" fontId="9642" fillId="9647" borderId="9594" xfId="0" applyFont="1" applyFill="1" applyBorder="1"/>
    <xf numFmtId="0" fontId="9643" fillId="9648" borderId="9595" xfId="0" applyFont="1" applyFill="1" applyBorder="1"/>
    <xf numFmtId="0" fontId="9644" fillId="9649" borderId="9596" xfId="0" applyFont="1" applyFill="1" applyBorder="1"/>
    <xf numFmtId="14" fontId="9645" fillId="9650" borderId="9597" xfId="0" applyNumberFormat="1" applyFont="1" applyFill="1" applyBorder="1"/>
    <xf numFmtId="0" fontId="9646" fillId="9651" borderId="9598" xfId="0" applyFont="1" applyFill="1" applyBorder="1"/>
    <xf numFmtId="14" fontId="9647" fillId="9652" borderId="9599" xfId="0" applyNumberFormat="1" applyFont="1" applyFill="1" applyBorder="1"/>
    <xf numFmtId="0" fontId="9648" fillId="9653" borderId="9600" xfId="0" applyFont="1" applyFill="1" applyBorder="1"/>
    <xf numFmtId="0" fontId="9649" fillId="9654" borderId="9601" xfId="0" applyFont="1" applyFill="1" applyBorder="1"/>
    <xf numFmtId="0" fontId="9650" fillId="9655" borderId="9602" xfId="0" applyFont="1" applyFill="1" applyBorder="1"/>
    <xf numFmtId="0" fontId="9651" fillId="9656" borderId="9603" xfId="0" applyFont="1" applyFill="1" applyBorder="1"/>
    <xf numFmtId="0" fontId="9652" fillId="9657" borderId="9604" xfId="0" applyFont="1" applyFill="1" applyBorder="1"/>
    <xf numFmtId="0" fontId="9653" fillId="9658" borderId="9605" xfId="0" applyFont="1" applyFill="1" applyBorder="1"/>
    <xf numFmtId="0" fontId="9654" fillId="9659" borderId="9606" xfId="0" applyFont="1" applyFill="1" applyBorder="1"/>
    <xf numFmtId="14" fontId="9655" fillId="9660" borderId="9607" xfId="0" applyNumberFormat="1" applyFont="1" applyFill="1" applyBorder="1"/>
    <xf numFmtId="0" fontId="9656" fillId="9661" borderId="9608" xfId="0" applyFont="1" applyFill="1" applyBorder="1"/>
    <xf numFmtId="14" fontId="9657" fillId="9662" borderId="9609" xfId="0" applyNumberFormat="1" applyFont="1" applyFill="1" applyBorder="1"/>
    <xf numFmtId="0" fontId="9658" fillId="9663" borderId="9610" xfId="0" applyFont="1" applyFill="1" applyBorder="1"/>
    <xf numFmtId="0" fontId="9659" fillId="9664" borderId="9611" xfId="0" applyFont="1" applyFill="1" applyBorder="1"/>
    <xf numFmtId="0" fontId="9660" fillId="9665" borderId="9612" xfId="0" applyFont="1" applyFill="1" applyBorder="1"/>
    <xf numFmtId="0" fontId="9661" fillId="9666" borderId="9613" xfId="0" applyFont="1" applyFill="1" applyBorder="1"/>
    <xf numFmtId="0" fontId="9662" fillId="9667" borderId="9614" xfId="0" applyFont="1" applyFill="1" applyBorder="1"/>
    <xf numFmtId="0" fontId="9663" fillId="9668" borderId="9615" xfId="0" applyFont="1" applyFill="1" applyBorder="1"/>
    <xf numFmtId="0" fontId="9664" fillId="9669" borderId="9616" xfId="0" applyFont="1" applyFill="1" applyBorder="1"/>
    <xf numFmtId="14" fontId="9665" fillId="9670" borderId="9617" xfId="0" applyNumberFormat="1" applyFont="1" applyFill="1" applyBorder="1"/>
    <xf numFmtId="0" fontId="9666" fillId="9671" borderId="9618" xfId="0" applyFont="1" applyFill="1" applyBorder="1"/>
    <xf numFmtId="14" fontId="9667" fillId="9672" borderId="9619" xfId="0" applyNumberFormat="1" applyFont="1" applyFill="1" applyBorder="1"/>
    <xf numFmtId="0" fontId="9668" fillId="9673" borderId="9620" xfId="0" applyFont="1" applyFill="1" applyBorder="1"/>
    <xf numFmtId="0" fontId="9669" fillId="9674" borderId="9621" xfId="0" applyFont="1" applyFill="1" applyBorder="1"/>
    <xf numFmtId="0" fontId="9670" fillId="9675" borderId="9622" xfId="0" applyFont="1" applyFill="1" applyBorder="1"/>
    <xf numFmtId="0" fontId="9671" fillId="9676" borderId="9623" xfId="0" applyFont="1" applyFill="1" applyBorder="1"/>
    <xf numFmtId="0" fontId="9672" fillId="9677" borderId="9624" xfId="0" applyFont="1" applyFill="1" applyBorder="1"/>
    <xf numFmtId="0" fontId="9673" fillId="9678" borderId="9625" xfId="0" applyFont="1" applyFill="1" applyBorder="1"/>
    <xf numFmtId="0" fontId="9674" fillId="9679" borderId="9626" xfId="0" applyFont="1" applyFill="1" applyBorder="1"/>
    <xf numFmtId="14" fontId="9675" fillId="9680" borderId="9627" xfId="0" applyNumberFormat="1" applyFont="1" applyFill="1" applyBorder="1"/>
    <xf numFmtId="0" fontId="9676" fillId="9681" borderId="9628" xfId="0" applyFont="1" applyFill="1" applyBorder="1"/>
    <xf numFmtId="14" fontId="9677" fillId="9682" borderId="9629" xfId="0" applyNumberFormat="1" applyFont="1" applyFill="1" applyBorder="1"/>
    <xf numFmtId="0" fontId="9678" fillId="9683" borderId="9630" xfId="0" applyFont="1" applyFill="1" applyBorder="1"/>
    <xf numFmtId="0" fontId="9679" fillId="9684" borderId="9631" xfId="0" applyFont="1" applyFill="1" applyBorder="1"/>
    <xf numFmtId="0" fontId="9680" fillId="9685" borderId="9632" xfId="0" applyFont="1" applyFill="1" applyBorder="1"/>
    <xf numFmtId="0" fontId="9681" fillId="9686" borderId="9633" xfId="0" applyFont="1" applyFill="1" applyBorder="1"/>
    <xf numFmtId="0" fontId="9682" fillId="9687" borderId="9634" xfId="0" applyFont="1" applyFill="1" applyBorder="1"/>
    <xf numFmtId="0" fontId="9683" fillId="9688" borderId="9635" xfId="0" applyFont="1" applyFill="1" applyBorder="1"/>
    <xf numFmtId="0" fontId="9684" fillId="9689" borderId="9636" xfId="0" applyFont="1" applyFill="1" applyBorder="1"/>
    <xf numFmtId="14" fontId="9685" fillId="9690" borderId="9637" xfId="0" applyNumberFormat="1" applyFont="1" applyFill="1" applyBorder="1"/>
    <xf numFmtId="0" fontId="9686" fillId="9691" borderId="9638" xfId="0" applyFont="1" applyFill="1" applyBorder="1"/>
    <xf numFmtId="14" fontId="9687" fillId="9692" borderId="9639" xfId="0" applyNumberFormat="1" applyFont="1" applyFill="1" applyBorder="1"/>
    <xf numFmtId="0" fontId="9688" fillId="9693" borderId="9640" xfId="0" applyFont="1" applyFill="1" applyBorder="1"/>
    <xf numFmtId="0" fontId="9689" fillId="9694" borderId="9641" xfId="0" applyFont="1" applyFill="1" applyBorder="1"/>
    <xf numFmtId="0" fontId="9690" fillId="9695" borderId="9642" xfId="0" applyFont="1" applyFill="1" applyBorder="1"/>
    <xf numFmtId="0" fontId="9691" fillId="9696" borderId="9643" xfId="0" applyFont="1" applyFill="1" applyBorder="1"/>
    <xf numFmtId="0" fontId="9692" fillId="9697" borderId="9644" xfId="0" applyFont="1" applyFill="1" applyBorder="1"/>
    <xf numFmtId="0" fontId="9693" fillId="9698" borderId="9645" xfId="0" applyFont="1" applyFill="1" applyBorder="1"/>
    <xf numFmtId="0" fontId="9694" fillId="9699" borderId="9646" xfId="0" applyFont="1" applyFill="1" applyBorder="1"/>
    <xf numFmtId="14" fontId="9695" fillId="9700" borderId="9647" xfId="0" applyNumberFormat="1" applyFont="1" applyFill="1" applyBorder="1"/>
    <xf numFmtId="0" fontId="9696" fillId="9701" borderId="9648" xfId="0" applyFont="1" applyFill="1" applyBorder="1"/>
    <xf numFmtId="14" fontId="9697" fillId="9702" borderId="9649" xfId="0" applyNumberFormat="1" applyFont="1" applyFill="1" applyBorder="1"/>
    <xf numFmtId="0" fontId="9698" fillId="9703" borderId="9650" xfId="0" applyFont="1" applyFill="1" applyBorder="1"/>
    <xf numFmtId="0" fontId="9699" fillId="9704" borderId="9651" xfId="0" applyFont="1" applyFill="1" applyBorder="1"/>
    <xf numFmtId="0" fontId="9700" fillId="9705" borderId="9652" xfId="0" applyFont="1" applyFill="1" applyBorder="1"/>
    <xf numFmtId="0" fontId="9701" fillId="9706" borderId="9653" xfId="0" applyFont="1" applyFill="1" applyBorder="1"/>
    <xf numFmtId="0" fontId="9702" fillId="9707" borderId="9654" xfId="0" applyFont="1" applyFill="1" applyBorder="1"/>
    <xf numFmtId="0" fontId="9703" fillId="9708" borderId="9655" xfId="0" applyFont="1" applyFill="1" applyBorder="1"/>
    <xf numFmtId="0" fontId="9704" fillId="9709" borderId="9656" xfId="0" applyFont="1" applyFill="1" applyBorder="1"/>
    <xf numFmtId="14" fontId="9705" fillId="9710" borderId="9657" xfId="0" applyNumberFormat="1" applyFont="1" applyFill="1" applyBorder="1"/>
    <xf numFmtId="0" fontId="9706" fillId="9711" borderId="9658" xfId="0" applyFont="1" applyFill="1" applyBorder="1"/>
    <xf numFmtId="14" fontId="9707" fillId="9712" borderId="9659" xfId="0" applyNumberFormat="1" applyFont="1" applyFill="1" applyBorder="1"/>
    <xf numFmtId="0" fontId="9708" fillId="9713" borderId="9660" xfId="0" applyFont="1" applyFill="1" applyBorder="1"/>
    <xf numFmtId="0" fontId="9709" fillId="9714" borderId="9661" xfId="0" applyFont="1" applyFill="1" applyBorder="1"/>
    <xf numFmtId="0" fontId="9710" fillId="9715" borderId="9662" xfId="0" applyFont="1" applyFill="1" applyBorder="1"/>
    <xf numFmtId="0" fontId="9711" fillId="9716" borderId="9663" xfId="0" applyFont="1" applyFill="1" applyBorder="1"/>
    <xf numFmtId="0" fontId="9712" fillId="9717" borderId="9664" xfId="0" applyFont="1" applyFill="1" applyBorder="1"/>
    <xf numFmtId="0" fontId="9713" fillId="9718" borderId="9665" xfId="0" applyFont="1" applyFill="1" applyBorder="1"/>
    <xf numFmtId="0" fontId="9714" fillId="9719" borderId="9666" xfId="0" applyFont="1" applyFill="1" applyBorder="1"/>
    <xf numFmtId="14" fontId="9715" fillId="9720" borderId="9667" xfId="0" applyNumberFormat="1" applyFont="1" applyFill="1" applyBorder="1"/>
    <xf numFmtId="0" fontId="9716" fillId="9721" borderId="9668" xfId="0" applyFont="1" applyFill="1" applyBorder="1"/>
    <xf numFmtId="14" fontId="9717" fillId="9722" borderId="9669" xfId="0" applyNumberFormat="1" applyFont="1" applyFill="1" applyBorder="1"/>
    <xf numFmtId="0" fontId="9718" fillId="9723" borderId="9670" xfId="0" applyFont="1" applyFill="1" applyBorder="1"/>
    <xf numFmtId="0" fontId="9719" fillId="9724" borderId="9671" xfId="0" applyFont="1" applyFill="1" applyBorder="1"/>
    <xf numFmtId="0" fontId="9720" fillId="9725" borderId="9672" xfId="0" applyFont="1" applyFill="1" applyBorder="1"/>
    <xf numFmtId="0" fontId="9721" fillId="9726" borderId="9673" xfId="0" applyFont="1" applyFill="1" applyBorder="1"/>
    <xf numFmtId="0" fontId="9722" fillId="9727" borderId="9674" xfId="0" applyFont="1" applyFill="1" applyBorder="1"/>
    <xf numFmtId="0" fontId="9723" fillId="9728" borderId="9675" xfId="0" applyFont="1" applyFill="1" applyBorder="1"/>
    <xf numFmtId="0" fontId="9724" fillId="9729" borderId="9676" xfId="0" applyFont="1" applyFill="1" applyBorder="1"/>
    <xf numFmtId="14" fontId="9725" fillId="9730" borderId="9677" xfId="0" applyNumberFormat="1" applyFont="1" applyFill="1" applyBorder="1"/>
    <xf numFmtId="0" fontId="9726" fillId="9731" borderId="9678" xfId="0" applyFont="1" applyFill="1" applyBorder="1"/>
    <xf numFmtId="14" fontId="9727" fillId="9732" borderId="9679" xfId="0" applyNumberFormat="1" applyFont="1" applyFill="1" applyBorder="1"/>
    <xf numFmtId="0" fontId="9728" fillId="9733" borderId="9680" xfId="0" applyFont="1" applyFill="1" applyBorder="1"/>
    <xf numFmtId="0" fontId="9729" fillId="9734" borderId="9681" xfId="0" applyFont="1" applyFill="1" applyBorder="1"/>
    <xf numFmtId="0" fontId="9730" fillId="9735" borderId="9682" xfId="0" applyFont="1" applyFill="1" applyBorder="1"/>
    <xf numFmtId="0" fontId="9731" fillId="9736" borderId="9683" xfId="0" applyFont="1" applyFill="1" applyBorder="1"/>
    <xf numFmtId="0" fontId="9732" fillId="9737" borderId="9684" xfId="0" applyFont="1" applyFill="1" applyBorder="1"/>
    <xf numFmtId="0" fontId="9733" fillId="9738" borderId="9685" xfId="0" applyFont="1" applyFill="1" applyBorder="1"/>
    <xf numFmtId="0" fontId="9734" fillId="9739" borderId="9686" xfId="0" applyFont="1" applyFill="1" applyBorder="1"/>
    <xf numFmtId="14" fontId="9735" fillId="9740" borderId="9687" xfId="0" applyNumberFormat="1" applyFont="1" applyFill="1" applyBorder="1"/>
    <xf numFmtId="0" fontId="9736" fillId="9741" borderId="9688" xfId="0" applyFont="1" applyFill="1" applyBorder="1"/>
    <xf numFmtId="14" fontId="9737" fillId="9742" borderId="9689" xfId="0" applyNumberFormat="1" applyFont="1" applyFill="1" applyBorder="1"/>
    <xf numFmtId="0" fontId="9738" fillId="9743" borderId="9690" xfId="0" applyFont="1" applyFill="1" applyBorder="1"/>
    <xf numFmtId="0" fontId="9739" fillId="9744" borderId="9691" xfId="0" applyFont="1" applyFill="1" applyBorder="1"/>
    <xf numFmtId="0" fontId="9740" fillId="9745" borderId="9692" xfId="0" applyFont="1" applyFill="1" applyBorder="1"/>
    <xf numFmtId="0" fontId="9741" fillId="9746" borderId="9693" xfId="0" applyFont="1" applyFill="1" applyBorder="1"/>
    <xf numFmtId="0" fontId="9742" fillId="9747" borderId="9694" xfId="0" applyFont="1" applyFill="1" applyBorder="1"/>
    <xf numFmtId="0" fontId="9743" fillId="9748" borderId="9695" xfId="0" applyFont="1" applyFill="1" applyBorder="1"/>
    <xf numFmtId="0" fontId="9744" fillId="9749" borderId="9696" xfId="0" applyFont="1" applyFill="1" applyBorder="1"/>
    <xf numFmtId="14" fontId="9745" fillId="9750" borderId="9697" xfId="0" applyNumberFormat="1" applyFont="1" applyFill="1" applyBorder="1"/>
    <xf numFmtId="0" fontId="9746" fillId="9751" borderId="9698" xfId="0" applyFont="1" applyFill="1" applyBorder="1"/>
    <xf numFmtId="14" fontId="9747" fillId="9752" borderId="9699" xfId="0" applyNumberFormat="1" applyFont="1" applyFill="1" applyBorder="1"/>
    <xf numFmtId="0" fontId="9748" fillId="9753" borderId="9700" xfId="0" applyFont="1" applyFill="1" applyBorder="1"/>
    <xf numFmtId="0" fontId="9749" fillId="9754" borderId="9701" xfId="0" applyFont="1" applyFill="1" applyBorder="1"/>
    <xf numFmtId="0" fontId="9750" fillId="9755" borderId="9702" xfId="0" applyFont="1" applyFill="1" applyBorder="1"/>
    <xf numFmtId="0" fontId="9751" fillId="9756" borderId="9703" xfId="0" applyFont="1" applyFill="1" applyBorder="1"/>
    <xf numFmtId="0" fontId="9752" fillId="9757" borderId="9704" xfId="0" applyFont="1" applyFill="1" applyBorder="1"/>
    <xf numFmtId="0" fontId="9753" fillId="9758" borderId="9705" xfId="0" applyFont="1" applyFill="1" applyBorder="1"/>
    <xf numFmtId="0" fontId="9754" fillId="9759" borderId="9706" xfId="0" applyFont="1" applyFill="1" applyBorder="1"/>
    <xf numFmtId="14" fontId="9755" fillId="9760" borderId="9707" xfId="0" applyNumberFormat="1" applyFont="1" applyFill="1" applyBorder="1"/>
    <xf numFmtId="0" fontId="9756" fillId="9761" borderId="9708" xfId="0" applyFont="1" applyFill="1" applyBorder="1"/>
    <xf numFmtId="14" fontId="9757" fillId="9762" borderId="9709" xfId="0" applyNumberFormat="1" applyFont="1" applyFill="1" applyBorder="1"/>
    <xf numFmtId="0" fontId="9758" fillId="9763" borderId="9710" xfId="0" applyFont="1" applyFill="1" applyBorder="1"/>
    <xf numFmtId="0" fontId="9759" fillId="9764" borderId="9711" xfId="0" applyFont="1" applyFill="1" applyBorder="1"/>
    <xf numFmtId="0" fontId="9760" fillId="9765" borderId="9712" xfId="0" applyFont="1" applyFill="1" applyBorder="1"/>
    <xf numFmtId="0" fontId="9761" fillId="9766" borderId="9713" xfId="0" applyFont="1" applyFill="1" applyBorder="1"/>
    <xf numFmtId="0" fontId="9762" fillId="9767" borderId="9714" xfId="0" applyFont="1" applyFill="1" applyBorder="1"/>
    <xf numFmtId="0" fontId="9763" fillId="9768" borderId="9715" xfId="0" applyFont="1" applyFill="1" applyBorder="1"/>
    <xf numFmtId="0" fontId="9764" fillId="9769" borderId="9716" xfId="0" applyFont="1" applyFill="1" applyBorder="1"/>
    <xf numFmtId="14" fontId="9765" fillId="9770" borderId="9717" xfId="0" applyNumberFormat="1" applyFont="1" applyFill="1" applyBorder="1"/>
    <xf numFmtId="0" fontId="9766" fillId="9771" borderId="9718" xfId="0" applyFont="1" applyFill="1" applyBorder="1"/>
    <xf numFmtId="14" fontId="9767" fillId="9772" borderId="9719" xfId="0" applyNumberFormat="1" applyFont="1" applyFill="1" applyBorder="1"/>
    <xf numFmtId="0" fontId="9768" fillId="9773" borderId="9720" xfId="0" applyFont="1" applyFill="1" applyBorder="1"/>
    <xf numFmtId="0" fontId="9769" fillId="9774" borderId="9721" xfId="0" applyFont="1" applyFill="1" applyBorder="1"/>
    <xf numFmtId="0" fontId="9770" fillId="9775" borderId="9722" xfId="0" applyFont="1" applyFill="1" applyBorder="1"/>
    <xf numFmtId="0" fontId="9771" fillId="9776" borderId="9723" xfId="0" applyFont="1" applyFill="1" applyBorder="1"/>
    <xf numFmtId="0" fontId="9772" fillId="9777" borderId="9724" xfId="0" applyFont="1" applyFill="1" applyBorder="1"/>
    <xf numFmtId="0" fontId="9773" fillId="9778" borderId="9725" xfId="0" applyFont="1" applyFill="1" applyBorder="1"/>
    <xf numFmtId="0" fontId="9774" fillId="9779" borderId="9726" xfId="0" applyFont="1" applyFill="1" applyBorder="1"/>
    <xf numFmtId="14" fontId="9775" fillId="9780" borderId="9727" xfId="0" applyNumberFormat="1" applyFont="1" applyFill="1" applyBorder="1"/>
    <xf numFmtId="0" fontId="9776" fillId="9781" borderId="9728" xfId="0" applyFont="1" applyFill="1" applyBorder="1"/>
    <xf numFmtId="14" fontId="9777" fillId="9782" borderId="9729" xfId="0" applyNumberFormat="1" applyFont="1" applyFill="1" applyBorder="1"/>
    <xf numFmtId="0" fontId="9778" fillId="9783" borderId="9730" xfId="0" applyFont="1" applyFill="1" applyBorder="1"/>
    <xf numFmtId="0" fontId="9779" fillId="9784" borderId="9731" xfId="0" applyFont="1" applyFill="1" applyBorder="1"/>
    <xf numFmtId="0" fontId="9780" fillId="9785" borderId="9732" xfId="0" applyFont="1" applyFill="1" applyBorder="1"/>
    <xf numFmtId="0" fontId="9781" fillId="9786" borderId="9733" xfId="0" applyFont="1" applyFill="1" applyBorder="1"/>
    <xf numFmtId="0" fontId="9782" fillId="9787" borderId="9734" xfId="0" applyFont="1" applyFill="1" applyBorder="1"/>
    <xf numFmtId="0" fontId="9783" fillId="9788" borderId="9735" xfId="0" applyFont="1" applyFill="1" applyBorder="1"/>
    <xf numFmtId="0" fontId="9784" fillId="9789" borderId="9736" xfId="0" applyFont="1" applyFill="1" applyBorder="1"/>
    <xf numFmtId="14" fontId="9785" fillId="9790" borderId="9737" xfId="0" applyNumberFormat="1" applyFont="1" applyFill="1" applyBorder="1"/>
    <xf numFmtId="0" fontId="9786" fillId="9791" borderId="9738" xfId="0" applyFont="1" applyFill="1" applyBorder="1"/>
    <xf numFmtId="14" fontId="9787" fillId="9792" borderId="9739" xfId="0" applyNumberFormat="1" applyFont="1" applyFill="1" applyBorder="1"/>
    <xf numFmtId="0" fontId="9788" fillId="9793" borderId="9740" xfId="0" applyFont="1" applyFill="1" applyBorder="1"/>
    <xf numFmtId="0" fontId="9789" fillId="9794" borderId="9741" xfId="0" applyFont="1" applyFill="1" applyBorder="1"/>
    <xf numFmtId="0" fontId="9790" fillId="9795" borderId="9742" xfId="0" applyFont="1" applyFill="1" applyBorder="1"/>
    <xf numFmtId="0" fontId="9791" fillId="9796" borderId="9743" xfId="0" applyFont="1" applyFill="1" applyBorder="1"/>
    <xf numFmtId="0" fontId="9792" fillId="9797" borderId="9744" xfId="0" applyFont="1" applyFill="1" applyBorder="1"/>
    <xf numFmtId="0" fontId="9793" fillId="9798" borderId="9745" xfId="0" applyFont="1" applyFill="1" applyBorder="1"/>
    <xf numFmtId="0" fontId="9794" fillId="9799" borderId="9746" xfId="0" applyFont="1" applyFill="1" applyBorder="1"/>
    <xf numFmtId="14" fontId="9795" fillId="9800" borderId="9747" xfId="0" applyNumberFormat="1" applyFont="1" applyFill="1" applyBorder="1"/>
    <xf numFmtId="0" fontId="9796" fillId="9801" borderId="9748" xfId="0" applyFont="1" applyFill="1" applyBorder="1"/>
    <xf numFmtId="14" fontId="9797" fillId="9802" borderId="9749" xfId="0" applyNumberFormat="1" applyFont="1" applyFill="1" applyBorder="1"/>
    <xf numFmtId="0" fontId="9798" fillId="9803" borderId="9750" xfId="0" applyFont="1" applyFill="1" applyBorder="1"/>
    <xf numFmtId="0" fontId="9799" fillId="9804" borderId="9751" xfId="0" applyFont="1" applyFill="1" applyBorder="1"/>
    <xf numFmtId="0" fontId="9800" fillId="9805" borderId="9752" xfId="0" applyFont="1" applyFill="1" applyBorder="1"/>
    <xf numFmtId="0" fontId="9801" fillId="9806" borderId="9753" xfId="0" applyFont="1" applyFill="1" applyBorder="1"/>
    <xf numFmtId="0" fontId="9802" fillId="9807" borderId="9754" xfId="0" applyFont="1" applyFill="1" applyBorder="1"/>
    <xf numFmtId="0" fontId="9803" fillId="9808" borderId="9755" xfId="0" applyFont="1" applyFill="1" applyBorder="1"/>
    <xf numFmtId="0" fontId="9804" fillId="9809" borderId="9756" xfId="0" applyFont="1" applyFill="1" applyBorder="1"/>
    <xf numFmtId="14" fontId="9805" fillId="9810" borderId="9757" xfId="0" applyNumberFormat="1" applyFont="1" applyFill="1" applyBorder="1"/>
    <xf numFmtId="0" fontId="9806" fillId="9811" borderId="9758" xfId="0" applyFont="1" applyFill="1" applyBorder="1"/>
    <xf numFmtId="14" fontId="9807" fillId="9812" borderId="9759" xfId="0" applyNumberFormat="1" applyFont="1" applyFill="1" applyBorder="1"/>
    <xf numFmtId="0" fontId="9808" fillId="9813" borderId="9760" xfId="0" applyFont="1" applyFill="1" applyBorder="1"/>
    <xf numFmtId="0" fontId="9809" fillId="9814" borderId="9761" xfId="0" applyFont="1" applyFill="1" applyBorder="1"/>
    <xf numFmtId="0" fontId="9810" fillId="9815" borderId="9762" xfId="0" applyFont="1" applyFill="1" applyBorder="1"/>
    <xf numFmtId="0" fontId="9811" fillId="9816" borderId="9763" xfId="0" applyFont="1" applyFill="1" applyBorder="1"/>
    <xf numFmtId="0" fontId="9812" fillId="9817" borderId="9764" xfId="0" applyFont="1" applyFill="1" applyBorder="1"/>
    <xf numFmtId="0" fontId="9813" fillId="9818" borderId="9765" xfId="0" applyFont="1" applyFill="1" applyBorder="1"/>
    <xf numFmtId="0" fontId="9814" fillId="9819" borderId="9766" xfId="0" applyFont="1" applyFill="1" applyBorder="1"/>
    <xf numFmtId="14" fontId="9815" fillId="9820" borderId="9767" xfId="0" applyNumberFormat="1" applyFont="1" applyFill="1" applyBorder="1"/>
    <xf numFmtId="0" fontId="9816" fillId="9821" borderId="9768" xfId="0" applyFont="1" applyFill="1" applyBorder="1"/>
    <xf numFmtId="14" fontId="9817" fillId="9822" borderId="9769" xfId="0" applyNumberFormat="1" applyFont="1" applyFill="1" applyBorder="1"/>
    <xf numFmtId="0" fontId="9818" fillId="9823" borderId="9770" xfId="0" applyFont="1" applyFill="1" applyBorder="1"/>
    <xf numFmtId="0" fontId="9819" fillId="9824" borderId="9771" xfId="0" applyFont="1" applyFill="1" applyBorder="1"/>
    <xf numFmtId="0" fontId="9820" fillId="9825" borderId="9772" xfId="0" applyFont="1" applyFill="1" applyBorder="1"/>
    <xf numFmtId="0" fontId="9821" fillId="9826" borderId="9773" xfId="0" applyFont="1" applyFill="1" applyBorder="1"/>
    <xf numFmtId="0" fontId="9822" fillId="9827" borderId="9774" xfId="0" applyFont="1" applyFill="1" applyBorder="1"/>
    <xf numFmtId="0" fontId="9823" fillId="9828" borderId="9775" xfId="0" applyFont="1" applyFill="1" applyBorder="1"/>
    <xf numFmtId="0" fontId="9824" fillId="9829" borderId="9776" xfId="0" applyFont="1" applyFill="1" applyBorder="1"/>
    <xf numFmtId="14" fontId="9825" fillId="9830" borderId="9777" xfId="0" applyNumberFormat="1" applyFont="1" applyFill="1" applyBorder="1"/>
    <xf numFmtId="0" fontId="9826" fillId="9831" borderId="9778" xfId="0" applyFont="1" applyFill="1" applyBorder="1"/>
    <xf numFmtId="14" fontId="9827" fillId="9832" borderId="9779" xfId="0" applyNumberFormat="1" applyFont="1" applyFill="1" applyBorder="1"/>
    <xf numFmtId="0" fontId="9828" fillId="9833" borderId="9780" xfId="0" applyFont="1" applyFill="1" applyBorder="1"/>
    <xf numFmtId="0" fontId="9829" fillId="9834" borderId="9781" xfId="0" applyFont="1" applyFill="1" applyBorder="1"/>
    <xf numFmtId="0" fontId="9830" fillId="9835" borderId="9782" xfId="0" applyFont="1" applyFill="1" applyBorder="1"/>
    <xf numFmtId="0" fontId="9831" fillId="9836" borderId="9783" xfId="0" applyFont="1" applyFill="1" applyBorder="1"/>
    <xf numFmtId="0" fontId="9832" fillId="9837" borderId="9784" xfId="0" applyFont="1" applyFill="1" applyBorder="1"/>
    <xf numFmtId="0" fontId="9833" fillId="9838" borderId="9785" xfId="0" applyFont="1" applyFill="1" applyBorder="1"/>
    <xf numFmtId="0" fontId="9834" fillId="9839" borderId="9786" xfId="0" applyFont="1" applyFill="1" applyBorder="1"/>
    <xf numFmtId="14" fontId="9835" fillId="9840" borderId="9787" xfId="0" applyNumberFormat="1" applyFont="1" applyFill="1" applyBorder="1"/>
    <xf numFmtId="0" fontId="9836" fillId="9841" borderId="9788" xfId="0" applyFont="1" applyFill="1" applyBorder="1"/>
    <xf numFmtId="14" fontId="9837" fillId="9842" borderId="9789" xfId="0" applyNumberFormat="1" applyFont="1" applyFill="1" applyBorder="1"/>
    <xf numFmtId="0" fontId="9838" fillId="9843" borderId="9790" xfId="0" applyFont="1" applyFill="1" applyBorder="1"/>
    <xf numFmtId="0" fontId="9839" fillId="9844" borderId="9791" xfId="0" applyFont="1" applyFill="1" applyBorder="1"/>
    <xf numFmtId="0" fontId="9840" fillId="9845" borderId="9792" xfId="0" applyFont="1" applyFill="1" applyBorder="1"/>
    <xf numFmtId="0" fontId="9841" fillId="9846" borderId="9793" xfId="0" applyFont="1" applyFill="1" applyBorder="1"/>
    <xf numFmtId="0" fontId="9842" fillId="9847" borderId="9794" xfId="0" applyFont="1" applyFill="1" applyBorder="1"/>
    <xf numFmtId="0" fontId="9843" fillId="9848" borderId="9795" xfId="0" applyFont="1" applyFill="1" applyBorder="1"/>
    <xf numFmtId="0" fontId="9844" fillId="9849" borderId="9796" xfId="0" applyFont="1" applyFill="1" applyBorder="1"/>
    <xf numFmtId="14" fontId="9845" fillId="9850" borderId="9797" xfId="0" applyNumberFormat="1" applyFont="1" applyFill="1" applyBorder="1"/>
    <xf numFmtId="0" fontId="9846" fillId="9851" borderId="9798" xfId="0" applyFont="1" applyFill="1" applyBorder="1"/>
    <xf numFmtId="14" fontId="9847" fillId="9852" borderId="9799" xfId="0" applyNumberFormat="1" applyFont="1" applyFill="1" applyBorder="1"/>
    <xf numFmtId="0" fontId="9848" fillId="9853" borderId="9800" xfId="0" applyFont="1" applyFill="1" applyBorder="1"/>
    <xf numFmtId="0" fontId="9849" fillId="9854" borderId="9801" xfId="0" applyFont="1" applyFill="1" applyBorder="1"/>
    <xf numFmtId="0" fontId="9850" fillId="9855" borderId="9802" xfId="0" applyFont="1" applyFill="1" applyBorder="1"/>
    <xf numFmtId="0" fontId="9851" fillId="9856" borderId="9803" xfId="0" applyFont="1" applyFill="1" applyBorder="1"/>
    <xf numFmtId="0" fontId="9852" fillId="9857" borderId="9804" xfId="0" applyFont="1" applyFill="1" applyBorder="1"/>
    <xf numFmtId="0" fontId="9853" fillId="9858" borderId="9805" xfId="0" applyFont="1" applyFill="1" applyBorder="1"/>
    <xf numFmtId="0" fontId="9854" fillId="9859" borderId="9806" xfId="0" applyFont="1" applyFill="1" applyBorder="1"/>
    <xf numFmtId="14" fontId="9855" fillId="9860" borderId="9807" xfId="0" applyNumberFormat="1" applyFont="1" applyFill="1" applyBorder="1"/>
    <xf numFmtId="0" fontId="9856" fillId="9861" borderId="9808" xfId="0" applyFont="1" applyFill="1" applyBorder="1"/>
    <xf numFmtId="14" fontId="9857" fillId="9862" borderId="9809" xfId="0" applyNumberFormat="1" applyFont="1" applyFill="1" applyBorder="1"/>
    <xf numFmtId="0" fontId="9858" fillId="9863" borderId="9810" xfId="0" applyFont="1" applyFill="1" applyBorder="1"/>
    <xf numFmtId="0" fontId="9859" fillId="9864" borderId="9811" xfId="0" applyFont="1" applyFill="1" applyBorder="1"/>
    <xf numFmtId="0" fontId="9860" fillId="9865" borderId="9812" xfId="0" applyFont="1" applyFill="1" applyBorder="1"/>
    <xf numFmtId="0" fontId="9861" fillId="9866" borderId="9813" xfId="0" applyFont="1" applyFill="1" applyBorder="1"/>
    <xf numFmtId="0" fontId="9862" fillId="9867" borderId="9814" xfId="0" applyFont="1" applyFill="1" applyBorder="1"/>
    <xf numFmtId="0" fontId="9863" fillId="9868" borderId="9815" xfId="0" applyFont="1" applyFill="1" applyBorder="1"/>
    <xf numFmtId="0" fontId="9864" fillId="9869" borderId="9816" xfId="0" applyFont="1" applyFill="1" applyBorder="1"/>
    <xf numFmtId="14" fontId="9865" fillId="9870" borderId="9817" xfId="0" applyNumberFormat="1" applyFont="1" applyFill="1" applyBorder="1"/>
    <xf numFmtId="0" fontId="9866" fillId="9871" borderId="9818" xfId="0" applyFont="1" applyFill="1" applyBorder="1"/>
    <xf numFmtId="14" fontId="9867" fillId="9872" borderId="9819" xfId="0" applyNumberFormat="1" applyFont="1" applyFill="1" applyBorder="1"/>
    <xf numFmtId="0" fontId="9868" fillId="9873" borderId="9820" xfId="0" applyFont="1" applyFill="1" applyBorder="1"/>
    <xf numFmtId="0" fontId="9869" fillId="9874" borderId="9821" xfId="0" applyFont="1" applyFill="1" applyBorder="1"/>
    <xf numFmtId="0" fontId="9870" fillId="9875" borderId="9822" xfId="0" applyFont="1" applyFill="1" applyBorder="1"/>
    <xf numFmtId="0" fontId="9871" fillId="9876" borderId="9823" xfId="0" applyFont="1" applyFill="1" applyBorder="1"/>
    <xf numFmtId="0" fontId="9872" fillId="9877" borderId="9824" xfId="0" applyFont="1" applyFill="1" applyBorder="1"/>
    <xf numFmtId="0" fontId="9873" fillId="9878" borderId="9825" xfId="0" applyFont="1" applyFill="1" applyBorder="1"/>
    <xf numFmtId="0" fontId="9874" fillId="9879" borderId="9826" xfId="0" applyFont="1" applyFill="1" applyBorder="1"/>
    <xf numFmtId="14" fontId="9875" fillId="9880" borderId="9827" xfId="0" applyNumberFormat="1" applyFont="1" applyFill="1" applyBorder="1"/>
    <xf numFmtId="0" fontId="9876" fillId="9881" borderId="9828" xfId="0" applyFont="1" applyFill="1" applyBorder="1"/>
    <xf numFmtId="14" fontId="9877" fillId="9882" borderId="9829" xfId="0" applyNumberFormat="1" applyFont="1" applyFill="1" applyBorder="1"/>
    <xf numFmtId="0" fontId="9878" fillId="9883" borderId="9830" xfId="0" applyFont="1" applyFill="1" applyBorder="1"/>
    <xf numFmtId="0" fontId="9879" fillId="9884" borderId="9831" xfId="0" applyFont="1" applyFill="1" applyBorder="1"/>
    <xf numFmtId="0" fontId="9880" fillId="9885" borderId="9832" xfId="0" applyFont="1" applyFill="1" applyBorder="1"/>
    <xf numFmtId="0" fontId="9881" fillId="9886" borderId="9833" xfId="0" applyFont="1" applyFill="1" applyBorder="1"/>
    <xf numFmtId="0" fontId="9882" fillId="9887" borderId="9834" xfId="0" applyFont="1" applyFill="1" applyBorder="1"/>
    <xf numFmtId="0" fontId="9883" fillId="9888" borderId="9835" xfId="0" applyFont="1" applyFill="1" applyBorder="1"/>
    <xf numFmtId="0" fontId="9884" fillId="9889" borderId="9836" xfId="0" applyFont="1" applyFill="1" applyBorder="1"/>
    <xf numFmtId="14" fontId="9885" fillId="9890" borderId="9837" xfId="0" applyNumberFormat="1" applyFont="1" applyFill="1" applyBorder="1"/>
    <xf numFmtId="0" fontId="9886" fillId="9891" borderId="9838" xfId="0" applyFont="1" applyFill="1" applyBorder="1"/>
    <xf numFmtId="14" fontId="9887" fillId="9892" borderId="9839" xfId="0" applyNumberFormat="1" applyFont="1" applyFill="1" applyBorder="1"/>
    <xf numFmtId="0" fontId="9888" fillId="9893" borderId="9840" xfId="0" applyFont="1" applyFill="1" applyBorder="1"/>
    <xf numFmtId="0" fontId="9889" fillId="9894" borderId="9841" xfId="0" applyFont="1" applyFill="1" applyBorder="1"/>
    <xf numFmtId="0" fontId="9890" fillId="9895" borderId="9842" xfId="0" applyFont="1" applyFill="1" applyBorder="1"/>
    <xf numFmtId="0" fontId="9891" fillId="9896" borderId="9843" xfId="0" applyFont="1" applyFill="1" applyBorder="1"/>
    <xf numFmtId="0" fontId="9892" fillId="9897" borderId="9844" xfId="0" applyFont="1" applyFill="1" applyBorder="1"/>
    <xf numFmtId="0" fontId="9893" fillId="9898" borderId="9845" xfId="0" applyFont="1" applyFill="1" applyBorder="1"/>
    <xf numFmtId="0" fontId="9894" fillId="9899" borderId="9846" xfId="0" applyFont="1" applyFill="1" applyBorder="1"/>
    <xf numFmtId="14" fontId="9895" fillId="9900" borderId="9847" xfId="0" applyNumberFormat="1" applyFont="1" applyFill="1" applyBorder="1"/>
    <xf numFmtId="0" fontId="9896" fillId="9901" borderId="9848" xfId="0" applyFont="1" applyFill="1" applyBorder="1"/>
    <xf numFmtId="14" fontId="9897" fillId="9902" borderId="9849" xfId="0" applyNumberFormat="1" applyFont="1" applyFill="1" applyBorder="1"/>
    <xf numFmtId="0" fontId="9898" fillId="9903" borderId="9850" xfId="0" applyFont="1" applyFill="1" applyBorder="1"/>
    <xf numFmtId="0" fontId="9899" fillId="9904" borderId="9851" xfId="0" applyFont="1" applyFill="1" applyBorder="1"/>
    <xf numFmtId="0" fontId="9900" fillId="9905" borderId="9852" xfId="0" applyFont="1" applyFill="1" applyBorder="1"/>
    <xf numFmtId="0" fontId="9901" fillId="9906" borderId="9853" xfId="0" applyFont="1" applyFill="1" applyBorder="1"/>
    <xf numFmtId="0" fontId="9902" fillId="9907" borderId="9854" xfId="0" applyFont="1" applyFill="1" applyBorder="1"/>
    <xf numFmtId="0" fontId="9903" fillId="9908" borderId="9855" xfId="0" applyFont="1" applyFill="1" applyBorder="1"/>
    <xf numFmtId="0" fontId="9904" fillId="9909" borderId="9856" xfId="0" applyFont="1" applyFill="1" applyBorder="1"/>
    <xf numFmtId="14" fontId="9905" fillId="9910" borderId="9857" xfId="0" applyNumberFormat="1" applyFont="1" applyFill="1" applyBorder="1"/>
    <xf numFmtId="0" fontId="9906" fillId="9911" borderId="9858" xfId="0" applyFont="1" applyFill="1" applyBorder="1"/>
    <xf numFmtId="14" fontId="9907" fillId="9912" borderId="9859" xfId="0" applyNumberFormat="1" applyFont="1" applyFill="1" applyBorder="1"/>
    <xf numFmtId="0" fontId="9908" fillId="9913" borderId="9860" xfId="0" applyFont="1" applyFill="1" applyBorder="1"/>
    <xf numFmtId="0" fontId="9909" fillId="9914" borderId="9861" xfId="0" applyFont="1" applyFill="1" applyBorder="1"/>
    <xf numFmtId="0" fontId="9910" fillId="9915" borderId="9862" xfId="0" applyFont="1" applyFill="1" applyBorder="1"/>
    <xf numFmtId="0" fontId="9911" fillId="9916" borderId="9863" xfId="0" applyFont="1" applyFill="1" applyBorder="1"/>
    <xf numFmtId="0" fontId="9912" fillId="9917" borderId="9864" xfId="0" applyFont="1" applyFill="1" applyBorder="1"/>
    <xf numFmtId="0" fontId="9913" fillId="9918" borderId="9865" xfId="0" applyFont="1" applyFill="1" applyBorder="1"/>
    <xf numFmtId="0" fontId="9914" fillId="9919" borderId="9866" xfId="0" applyFont="1" applyFill="1" applyBorder="1"/>
    <xf numFmtId="14" fontId="9915" fillId="9920" borderId="9867" xfId="0" applyNumberFormat="1" applyFont="1" applyFill="1" applyBorder="1"/>
    <xf numFmtId="0" fontId="9916" fillId="9921" borderId="9868" xfId="0" applyFont="1" applyFill="1" applyBorder="1"/>
    <xf numFmtId="14" fontId="9917" fillId="9922" borderId="9869" xfId="0" applyNumberFormat="1" applyFont="1" applyFill="1" applyBorder="1"/>
    <xf numFmtId="0" fontId="9918" fillId="9923" borderId="9870" xfId="0" applyFont="1" applyFill="1" applyBorder="1"/>
    <xf numFmtId="0" fontId="9919" fillId="9924" borderId="9871" xfId="0" applyFont="1" applyFill="1" applyBorder="1"/>
    <xf numFmtId="0" fontId="9920" fillId="9925" borderId="9872" xfId="0" applyFont="1" applyFill="1" applyBorder="1"/>
    <xf numFmtId="0" fontId="9921" fillId="9926" borderId="9873" xfId="0" applyFont="1" applyFill="1" applyBorder="1"/>
    <xf numFmtId="0" fontId="9922" fillId="9927" borderId="9874" xfId="0" applyFont="1" applyFill="1" applyBorder="1"/>
    <xf numFmtId="0" fontId="9923" fillId="9928" borderId="9875" xfId="0" applyFont="1" applyFill="1" applyBorder="1"/>
    <xf numFmtId="0" fontId="9924" fillId="9929" borderId="9876" xfId="0" applyFont="1" applyFill="1" applyBorder="1"/>
    <xf numFmtId="14" fontId="9925" fillId="9930" borderId="9877" xfId="0" applyNumberFormat="1" applyFont="1" applyFill="1" applyBorder="1"/>
    <xf numFmtId="0" fontId="9926" fillId="9931" borderId="9878" xfId="0" applyFont="1" applyFill="1" applyBorder="1"/>
    <xf numFmtId="14" fontId="9927" fillId="9932" borderId="9879" xfId="0" applyNumberFormat="1" applyFont="1" applyFill="1" applyBorder="1"/>
    <xf numFmtId="0" fontId="9928" fillId="9933" borderId="9880" xfId="0" applyFont="1" applyFill="1" applyBorder="1"/>
    <xf numFmtId="0" fontId="9929" fillId="9934" borderId="9881" xfId="0" applyFont="1" applyFill="1" applyBorder="1"/>
    <xf numFmtId="0" fontId="9930" fillId="9935" borderId="9882" xfId="0" applyFont="1" applyFill="1" applyBorder="1"/>
    <xf numFmtId="0" fontId="9931" fillId="9936" borderId="9883" xfId="0" applyFont="1" applyFill="1" applyBorder="1"/>
    <xf numFmtId="0" fontId="9932" fillId="9937" borderId="9884" xfId="0" applyFont="1" applyFill="1" applyBorder="1"/>
    <xf numFmtId="0" fontId="9933" fillId="9938" borderId="9885" xfId="0" applyFont="1" applyFill="1" applyBorder="1"/>
    <xf numFmtId="0" fontId="9934" fillId="9939" borderId="9886" xfId="0" applyFont="1" applyFill="1" applyBorder="1"/>
    <xf numFmtId="14" fontId="9935" fillId="9940" borderId="9887" xfId="0" applyNumberFormat="1" applyFont="1" applyFill="1" applyBorder="1"/>
    <xf numFmtId="0" fontId="9936" fillId="9941" borderId="9888" xfId="0" applyFont="1" applyFill="1" applyBorder="1"/>
    <xf numFmtId="14" fontId="9937" fillId="9942" borderId="9889" xfId="0" applyNumberFormat="1" applyFont="1" applyFill="1" applyBorder="1"/>
    <xf numFmtId="0" fontId="9938" fillId="9943" borderId="9890" xfId="0" applyFont="1" applyFill="1" applyBorder="1"/>
    <xf numFmtId="0" fontId="9939" fillId="9944" borderId="9891" xfId="0" applyFont="1" applyFill="1" applyBorder="1"/>
    <xf numFmtId="0" fontId="9940" fillId="9945" borderId="9892" xfId="0" applyFont="1" applyFill="1" applyBorder="1"/>
    <xf numFmtId="0" fontId="9941" fillId="9946" borderId="9893" xfId="0" applyFont="1" applyFill="1" applyBorder="1"/>
    <xf numFmtId="0" fontId="9942" fillId="9947" borderId="9894" xfId="0" applyFont="1" applyFill="1" applyBorder="1"/>
    <xf numFmtId="0" fontId="9943" fillId="9948" borderId="9895" xfId="0" applyFont="1" applyFill="1" applyBorder="1"/>
    <xf numFmtId="0" fontId="9944" fillId="9949" borderId="9896" xfId="0" applyFont="1" applyFill="1" applyBorder="1"/>
    <xf numFmtId="14" fontId="9945" fillId="9950" borderId="9897" xfId="0" applyNumberFormat="1" applyFont="1" applyFill="1" applyBorder="1"/>
    <xf numFmtId="0" fontId="9946" fillId="9951" borderId="9898" xfId="0" applyFont="1" applyFill="1" applyBorder="1"/>
    <xf numFmtId="14" fontId="9947" fillId="9952" borderId="9899" xfId="0" applyNumberFormat="1" applyFont="1" applyFill="1" applyBorder="1"/>
    <xf numFmtId="0" fontId="9948" fillId="9953" borderId="9900" xfId="0" applyFont="1" applyFill="1" applyBorder="1"/>
    <xf numFmtId="0" fontId="9949" fillId="9954" borderId="9901" xfId="0" applyFont="1" applyFill="1" applyBorder="1"/>
    <xf numFmtId="0" fontId="9950" fillId="9955" borderId="9902" xfId="0" applyFont="1" applyFill="1" applyBorder="1"/>
    <xf numFmtId="0" fontId="9951" fillId="9956" borderId="9903" xfId="0" applyFont="1" applyFill="1" applyBorder="1"/>
    <xf numFmtId="0" fontId="9952" fillId="9957" borderId="9904" xfId="0" applyFont="1" applyFill="1" applyBorder="1"/>
    <xf numFmtId="0" fontId="9953" fillId="9958" borderId="9905" xfId="0" applyFont="1" applyFill="1" applyBorder="1"/>
    <xf numFmtId="0" fontId="9954" fillId="9959" borderId="9906" xfId="0" applyFont="1" applyFill="1" applyBorder="1"/>
    <xf numFmtId="14" fontId="9955" fillId="9960" borderId="9907" xfId="0" applyNumberFormat="1" applyFont="1" applyFill="1" applyBorder="1"/>
    <xf numFmtId="0" fontId="9956" fillId="9961" borderId="9908" xfId="0" applyFont="1" applyFill="1" applyBorder="1"/>
    <xf numFmtId="14" fontId="9957" fillId="9962" borderId="9909" xfId="0" applyNumberFormat="1" applyFont="1" applyFill="1" applyBorder="1"/>
    <xf numFmtId="0" fontId="9958" fillId="9963" borderId="9910" xfId="0" applyFont="1" applyFill="1" applyBorder="1"/>
    <xf numFmtId="0" fontId="9959" fillId="9964" borderId="9911" xfId="0" applyFont="1" applyFill="1" applyBorder="1"/>
    <xf numFmtId="0" fontId="9960" fillId="9965" borderId="9912" xfId="0" applyFont="1" applyFill="1" applyBorder="1"/>
    <xf numFmtId="0" fontId="9961" fillId="9966" borderId="9913" xfId="0" applyFont="1" applyFill="1" applyBorder="1"/>
    <xf numFmtId="0" fontId="9962" fillId="9967" borderId="9914" xfId="0" applyFont="1" applyFill="1" applyBorder="1"/>
    <xf numFmtId="0" fontId="9963" fillId="9968" borderId="9915" xfId="0" applyFont="1" applyFill="1" applyBorder="1"/>
    <xf numFmtId="0" fontId="9964" fillId="9969" borderId="9916" xfId="0" applyFont="1" applyFill="1" applyBorder="1"/>
    <xf numFmtId="14" fontId="9965" fillId="9970" borderId="9917" xfId="0" applyNumberFormat="1" applyFont="1" applyFill="1" applyBorder="1"/>
    <xf numFmtId="0" fontId="9966" fillId="9971" borderId="9918" xfId="0" applyFont="1" applyFill="1" applyBorder="1"/>
    <xf numFmtId="14" fontId="9967" fillId="9972" borderId="9919" xfId="0" applyNumberFormat="1" applyFont="1" applyFill="1" applyBorder="1"/>
    <xf numFmtId="0" fontId="9968" fillId="9973" borderId="9920" xfId="0" applyFont="1" applyFill="1" applyBorder="1"/>
    <xf numFmtId="0" fontId="9969" fillId="9974" borderId="9921" xfId="0" applyFont="1" applyFill="1" applyBorder="1"/>
    <xf numFmtId="0" fontId="9970" fillId="9975" borderId="9922" xfId="0" applyFont="1" applyFill="1" applyBorder="1"/>
    <xf numFmtId="0" fontId="9971" fillId="9976" borderId="9923" xfId="0" applyFont="1" applyFill="1" applyBorder="1"/>
    <xf numFmtId="0" fontId="9972" fillId="9977" borderId="9924" xfId="0" applyFont="1" applyFill="1" applyBorder="1"/>
    <xf numFmtId="0" fontId="9973" fillId="9978" borderId="9925" xfId="0" applyFont="1" applyFill="1" applyBorder="1"/>
    <xf numFmtId="0" fontId="9974" fillId="9979" borderId="9926" xfId="0" applyFont="1" applyFill="1" applyBorder="1"/>
    <xf numFmtId="14" fontId="9975" fillId="9980" borderId="9927" xfId="0" applyNumberFormat="1" applyFont="1" applyFill="1" applyBorder="1"/>
    <xf numFmtId="0" fontId="9976" fillId="9981" borderId="9928" xfId="0" applyFont="1" applyFill="1" applyBorder="1"/>
    <xf numFmtId="14" fontId="9977" fillId="9982" borderId="9929" xfId="0" applyNumberFormat="1" applyFont="1" applyFill="1" applyBorder="1"/>
    <xf numFmtId="0" fontId="9978" fillId="9983" borderId="9930" xfId="0" applyFont="1" applyFill="1" applyBorder="1"/>
    <xf numFmtId="0" fontId="9979" fillId="9984" borderId="9931" xfId="0" applyFont="1" applyFill="1" applyBorder="1"/>
    <xf numFmtId="0" fontId="9980" fillId="9985" borderId="9932" xfId="0" applyFont="1" applyFill="1" applyBorder="1"/>
    <xf numFmtId="0" fontId="9981" fillId="9986" borderId="9933" xfId="0" applyFont="1" applyFill="1" applyBorder="1"/>
    <xf numFmtId="0" fontId="9982" fillId="9987" borderId="9934" xfId="0" applyFont="1" applyFill="1" applyBorder="1"/>
    <xf numFmtId="0" fontId="9983" fillId="9988" borderId="9935" xfId="0" applyFont="1" applyFill="1" applyBorder="1"/>
    <xf numFmtId="0" fontId="9984" fillId="9989" borderId="9936" xfId="0" applyFont="1" applyFill="1" applyBorder="1"/>
    <xf numFmtId="14" fontId="9985" fillId="9990" borderId="9937" xfId="0" applyNumberFormat="1" applyFont="1" applyFill="1" applyBorder="1"/>
    <xf numFmtId="0" fontId="9986" fillId="9991" borderId="9938" xfId="0" applyFont="1" applyFill="1" applyBorder="1"/>
    <xf numFmtId="14" fontId="9987" fillId="9992" borderId="9939" xfId="0" applyNumberFormat="1" applyFont="1" applyFill="1" applyBorder="1"/>
    <xf numFmtId="0" fontId="9988" fillId="9993" borderId="9940" xfId="0" applyFont="1" applyFill="1" applyBorder="1"/>
    <xf numFmtId="0" fontId="9989" fillId="9994" borderId="9941" xfId="0" applyFont="1" applyFill="1" applyBorder="1"/>
    <xf numFmtId="0" fontId="9990" fillId="9995" borderId="9942" xfId="0" applyFont="1" applyFill="1" applyBorder="1"/>
    <xf numFmtId="0" fontId="9991" fillId="9996" borderId="9943" xfId="0" applyFont="1" applyFill="1" applyBorder="1"/>
    <xf numFmtId="0" fontId="9992" fillId="9997" borderId="9944" xfId="0" applyFont="1" applyFill="1" applyBorder="1"/>
    <xf numFmtId="0" fontId="9993" fillId="9998" borderId="9945" xfId="0" applyFont="1" applyFill="1" applyBorder="1"/>
    <xf numFmtId="0" fontId="9994" fillId="9999" borderId="9946" xfId="0" applyFont="1" applyFill="1" applyBorder="1"/>
    <xf numFmtId="14" fontId="9995" fillId="10000" borderId="9947" xfId="0" applyNumberFormat="1" applyFont="1" applyFill="1" applyBorder="1"/>
    <xf numFmtId="0" fontId="9996" fillId="10001" borderId="9948" xfId="0" applyFont="1" applyFill="1" applyBorder="1"/>
    <xf numFmtId="14" fontId="9997" fillId="10002" borderId="9949" xfId="0" applyNumberFormat="1" applyFont="1" applyFill="1" applyBorder="1"/>
    <xf numFmtId="0" fontId="9998" fillId="10003" borderId="9950" xfId="0" applyFont="1" applyFill="1" applyBorder="1"/>
    <xf numFmtId="0" fontId="9999" fillId="10004" borderId="9951" xfId="0" applyFont="1" applyFill="1" applyBorder="1"/>
    <xf numFmtId="0" fontId="10000" fillId="10005" borderId="9952" xfId="0" applyFont="1" applyFill="1" applyBorder="1"/>
    <xf numFmtId="0" fontId="10001" fillId="10006" borderId="9953" xfId="0" applyFont="1" applyFill="1" applyBorder="1"/>
    <xf numFmtId="0" fontId="10002" fillId="10007" borderId="9954" xfId="0" applyFont="1" applyFill="1" applyBorder="1"/>
    <xf numFmtId="0" fontId="10003" fillId="10008" borderId="9955" xfId="0" applyFont="1" applyFill="1" applyBorder="1"/>
    <xf numFmtId="0" fontId="10004" fillId="10009" borderId="9956" xfId="0" applyFont="1" applyFill="1" applyBorder="1"/>
    <xf numFmtId="14" fontId="10005" fillId="10010" borderId="9957" xfId="0" applyNumberFormat="1" applyFont="1" applyFill="1" applyBorder="1"/>
    <xf numFmtId="0" fontId="10006" fillId="10011" borderId="9958" xfId="0" applyFont="1" applyFill="1" applyBorder="1"/>
    <xf numFmtId="14" fontId="10007" fillId="10012" borderId="9959" xfId="0" applyNumberFormat="1" applyFont="1" applyFill="1" applyBorder="1"/>
    <xf numFmtId="0" fontId="10008" fillId="10013" borderId="9960" xfId="0" applyFont="1" applyFill="1" applyBorder="1"/>
    <xf numFmtId="0" fontId="10009" fillId="10014" borderId="9961" xfId="0" applyFont="1" applyFill="1" applyBorder="1"/>
    <xf numFmtId="0" fontId="10010" fillId="10015" borderId="9962" xfId="0" applyFont="1" applyFill="1" applyBorder="1"/>
    <xf numFmtId="0" fontId="10011" fillId="10016" borderId="9963" xfId="0" applyFont="1" applyFill="1" applyBorder="1"/>
    <xf numFmtId="0" fontId="10012" fillId="10017" borderId="9964" xfId="0" applyFont="1" applyFill="1" applyBorder="1"/>
    <xf numFmtId="0" fontId="10013" fillId="10018" borderId="9965" xfId="0" applyFont="1" applyFill="1" applyBorder="1"/>
    <xf numFmtId="0" fontId="10014" fillId="10019" borderId="9966" xfId="0" applyFont="1" applyFill="1" applyBorder="1"/>
    <xf numFmtId="14" fontId="10015" fillId="10020" borderId="9967" xfId="0" applyNumberFormat="1" applyFont="1" applyFill="1" applyBorder="1"/>
    <xf numFmtId="0" fontId="10016" fillId="10021" borderId="9968" xfId="0" applyFont="1" applyFill="1" applyBorder="1"/>
    <xf numFmtId="14" fontId="10017" fillId="10022" borderId="9969" xfId="0" applyNumberFormat="1" applyFont="1" applyFill="1" applyBorder="1"/>
    <xf numFmtId="0" fontId="10018" fillId="10023" borderId="9970" xfId="0" applyFont="1" applyFill="1" applyBorder="1"/>
    <xf numFmtId="0" fontId="10019" fillId="10024" borderId="9971" xfId="0" applyFont="1" applyFill="1" applyBorder="1"/>
    <xf numFmtId="0" fontId="10020" fillId="10025" borderId="9972" xfId="0" applyFont="1" applyFill="1" applyBorder="1"/>
    <xf numFmtId="0" fontId="10021" fillId="10026" borderId="9973" xfId="0" applyFont="1" applyFill="1" applyBorder="1"/>
    <xf numFmtId="0" fontId="10022" fillId="10027" borderId="9974" xfId="0" applyFont="1" applyFill="1" applyBorder="1"/>
    <xf numFmtId="0" fontId="10023" fillId="10028" borderId="9975" xfId="0" applyFont="1" applyFill="1" applyBorder="1"/>
    <xf numFmtId="0" fontId="10024" fillId="10029" borderId="9976" xfId="0" applyFont="1" applyFill="1" applyBorder="1"/>
    <xf numFmtId="14" fontId="10025" fillId="10030" borderId="9977" xfId="0" applyNumberFormat="1" applyFont="1" applyFill="1" applyBorder="1"/>
    <xf numFmtId="0" fontId="10026" fillId="10031" borderId="9978" xfId="0" applyFont="1" applyFill="1" applyBorder="1"/>
    <xf numFmtId="14" fontId="10027" fillId="10032" borderId="9979" xfId="0" applyNumberFormat="1" applyFont="1" applyFill="1" applyBorder="1"/>
    <xf numFmtId="0" fontId="10028" fillId="10033" borderId="9980" xfId="0" applyFont="1" applyFill="1" applyBorder="1"/>
    <xf numFmtId="0" fontId="10029" fillId="10034" borderId="9981" xfId="0" applyFont="1" applyFill="1" applyBorder="1"/>
    <xf numFmtId="0" fontId="10030" fillId="10035" borderId="9982" xfId="0" applyFont="1" applyFill="1" applyBorder="1"/>
    <xf numFmtId="0" fontId="10031" fillId="10036" borderId="9983" xfId="0" applyFont="1" applyFill="1" applyBorder="1"/>
    <xf numFmtId="0" fontId="10032" fillId="10037" borderId="9984" xfId="0" applyFont="1" applyFill="1" applyBorder="1"/>
    <xf numFmtId="0" fontId="10033" fillId="10038" borderId="9985" xfId="0" applyFont="1" applyFill="1" applyBorder="1"/>
    <xf numFmtId="0" fontId="10034" fillId="10039" borderId="9986" xfId="0" applyFont="1" applyFill="1" applyBorder="1"/>
    <xf numFmtId="14" fontId="10035" fillId="10040" borderId="9987" xfId="0" applyNumberFormat="1" applyFont="1" applyFill="1" applyBorder="1"/>
    <xf numFmtId="0" fontId="10036" fillId="10041" borderId="9988" xfId="0" applyFont="1" applyFill="1" applyBorder="1"/>
    <xf numFmtId="14" fontId="10037" fillId="10042" borderId="9989" xfId="0" applyNumberFormat="1" applyFont="1" applyFill="1" applyBorder="1"/>
    <xf numFmtId="0" fontId="10038" fillId="10043" borderId="9990" xfId="0" applyFont="1" applyFill="1" applyBorder="1"/>
    <xf numFmtId="0" fontId="10039" fillId="10044" borderId="9991" xfId="0" applyFont="1" applyFill="1" applyBorder="1"/>
    <xf numFmtId="0" fontId="10040" fillId="10045" borderId="9992" xfId="0" applyFont="1" applyFill="1" applyBorder="1"/>
    <xf numFmtId="0" fontId="10041" fillId="10046" borderId="9993" xfId="0" applyFont="1" applyFill="1" applyBorder="1"/>
    <xf numFmtId="0" fontId="10042" fillId="10047" borderId="9994" xfId="0" applyFont="1" applyFill="1" applyBorder="1"/>
    <xf numFmtId="0" fontId="10043" fillId="10048" borderId="9995" xfId="0" applyFont="1" applyFill="1" applyBorder="1"/>
    <xf numFmtId="0" fontId="10044" fillId="10049" borderId="9996" xfId="0" applyFont="1" applyFill="1" applyBorder="1"/>
    <xf numFmtId="14" fontId="10045" fillId="10050" borderId="9997" xfId="0" applyNumberFormat="1" applyFont="1" applyFill="1" applyBorder="1"/>
    <xf numFmtId="0" fontId="10046" fillId="10051" borderId="9998" xfId="0" applyFont="1" applyFill="1" applyBorder="1"/>
    <xf numFmtId="14" fontId="10047" fillId="10052" borderId="9999" xfId="0" applyNumberFormat="1" applyFont="1" applyFill="1" applyBorder="1"/>
    <xf numFmtId="0" fontId="10048" fillId="10053" borderId="10000" xfId="0" applyFont="1" applyFill="1" applyBorder="1"/>
    <xf numFmtId="0" fontId="10049" fillId="10054" borderId="10001" xfId="0" applyFont="1" applyFill="1" applyBorder="1"/>
    <xf numFmtId="0" fontId="10050" fillId="10055" borderId="10002" xfId="0" applyFont="1" applyFill="1" applyBorder="1"/>
    <xf numFmtId="0" fontId="10051" fillId="10056" borderId="10003" xfId="0" applyFont="1" applyFill="1" applyBorder="1"/>
    <xf numFmtId="0" fontId="10052" fillId="10057" borderId="10004" xfId="0" applyFont="1" applyFill="1" applyBorder="1"/>
    <xf numFmtId="0" fontId="10053" fillId="10058" borderId="10005" xfId="0" applyFont="1" applyFill="1" applyBorder="1"/>
    <xf numFmtId="0" fontId="10054" fillId="10059" borderId="10006" xfId="0" applyFont="1" applyFill="1" applyBorder="1"/>
    <xf numFmtId="14" fontId="10055" fillId="10060" borderId="10007" xfId="0" applyNumberFormat="1" applyFont="1" applyFill="1" applyBorder="1"/>
    <xf numFmtId="0" fontId="10056" fillId="10061" borderId="10008" xfId="0" applyFont="1" applyFill="1" applyBorder="1"/>
    <xf numFmtId="14" fontId="10057" fillId="10062" borderId="10009" xfId="0" applyNumberFormat="1" applyFont="1" applyFill="1" applyBorder="1"/>
    <xf numFmtId="0" fontId="10058" fillId="10063" borderId="10010" xfId="0" applyFont="1" applyFill="1" applyBorder="1"/>
    <xf numFmtId="0" fontId="10059" fillId="10064" borderId="10011" xfId="0" applyFont="1" applyFill="1" applyBorder="1"/>
    <xf numFmtId="0" fontId="10060" fillId="10065" borderId="10012" xfId="0" applyFont="1" applyFill="1" applyBorder="1"/>
    <xf numFmtId="0" fontId="10061" fillId="10066" borderId="10013" xfId="0" applyFont="1" applyFill="1" applyBorder="1"/>
    <xf numFmtId="0" fontId="10062" fillId="10067" borderId="10014" xfId="0" applyFont="1" applyFill="1" applyBorder="1"/>
    <xf numFmtId="0" fontId="10063" fillId="10068" borderId="10015" xfId="0" applyFont="1" applyFill="1" applyBorder="1"/>
    <xf numFmtId="0" fontId="10064" fillId="10069" borderId="10016" xfId="0" applyFont="1" applyFill="1" applyBorder="1"/>
    <xf numFmtId="14" fontId="10065" fillId="10070" borderId="10017" xfId="0" applyNumberFormat="1" applyFont="1" applyFill="1" applyBorder="1"/>
    <xf numFmtId="0" fontId="10066" fillId="10071" borderId="10018" xfId="0" applyFont="1" applyFill="1" applyBorder="1"/>
    <xf numFmtId="14" fontId="10067" fillId="10072" borderId="10019" xfId="0" applyNumberFormat="1" applyFont="1" applyFill="1" applyBorder="1"/>
    <xf numFmtId="0" fontId="10068" fillId="10073" borderId="10020" xfId="0" applyFont="1" applyFill="1" applyBorder="1"/>
    <xf numFmtId="0" fontId="10069" fillId="10074" borderId="10021" xfId="0" applyFont="1" applyFill="1" applyBorder="1"/>
    <xf numFmtId="0" fontId="10070" fillId="10075" borderId="10022" xfId="0" applyFont="1" applyFill="1" applyBorder="1"/>
    <xf numFmtId="0" fontId="10071" fillId="10076" borderId="10023" xfId="0" applyFont="1" applyFill="1" applyBorder="1"/>
    <xf numFmtId="0" fontId="10072" fillId="10077" borderId="10024" xfId="0" applyFont="1" applyFill="1" applyBorder="1"/>
    <xf numFmtId="0" fontId="10073" fillId="10078" borderId="10025" xfId="0" applyFont="1" applyFill="1" applyBorder="1"/>
    <xf numFmtId="0" fontId="10074" fillId="10079" borderId="10026" xfId="0" applyFont="1" applyFill="1" applyBorder="1"/>
    <xf numFmtId="14" fontId="10075" fillId="10080" borderId="10027" xfId="0" applyNumberFormat="1" applyFont="1" applyFill="1" applyBorder="1"/>
    <xf numFmtId="0" fontId="10076" fillId="10081" borderId="10028" xfId="0" applyFont="1" applyFill="1" applyBorder="1"/>
    <xf numFmtId="14" fontId="10077" fillId="10082" borderId="10029" xfId="0" applyNumberFormat="1" applyFont="1" applyFill="1" applyBorder="1"/>
    <xf numFmtId="0" fontId="10078" fillId="10083" borderId="10030" xfId="0" applyFont="1" applyFill="1" applyBorder="1"/>
    <xf numFmtId="0" fontId="10079" fillId="10084" borderId="10031" xfId="0" applyFont="1" applyFill="1" applyBorder="1"/>
    <xf numFmtId="0" fontId="10080" fillId="10085" borderId="10032" xfId="0" applyFont="1" applyFill="1" applyBorder="1"/>
    <xf numFmtId="0" fontId="10081" fillId="10086" borderId="10033" xfId="0" applyFont="1" applyFill="1" applyBorder="1"/>
    <xf numFmtId="0" fontId="10082" fillId="10087" borderId="10034" xfId="0" applyFont="1" applyFill="1" applyBorder="1"/>
    <xf numFmtId="0" fontId="10083" fillId="10088" borderId="10035" xfId="0" applyFont="1" applyFill="1" applyBorder="1"/>
    <xf numFmtId="0" fontId="10084" fillId="10089" borderId="10036" xfId="0" applyFont="1" applyFill="1" applyBorder="1"/>
    <xf numFmtId="14" fontId="10085" fillId="10090" borderId="10037" xfId="0" applyNumberFormat="1" applyFont="1" applyFill="1" applyBorder="1"/>
    <xf numFmtId="0" fontId="10086" fillId="10091" borderId="10038" xfId="0" applyFont="1" applyFill="1" applyBorder="1"/>
    <xf numFmtId="14" fontId="10087" fillId="10092" borderId="10039" xfId="0" applyNumberFormat="1" applyFont="1" applyFill="1" applyBorder="1"/>
    <xf numFmtId="0" fontId="10088" fillId="10093" borderId="10040" xfId="0" applyFont="1" applyFill="1" applyBorder="1"/>
    <xf numFmtId="0" fontId="10089" fillId="10094" borderId="10041" xfId="0" applyFont="1" applyFill="1" applyBorder="1"/>
    <xf numFmtId="0" fontId="10090" fillId="10095" borderId="10042" xfId="0" applyFont="1" applyFill="1" applyBorder="1"/>
    <xf numFmtId="0" fontId="10091" fillId="10096" borderId="10043" xfId="0" applyFont="1" applyFill="1" applyBorder="1"/>
    <xf numFmtId="0" fontId="10092" fillId="10097" borderId="10044" xfId="0" applyFont="1" applyFill="1" applyBorder="1"/>
    <xf numFmtId="0" fontId="10093" fillId="10098" borderId="10045" xfId="0" applyFont="1" applyFill="1" applyBorder="1"/>
    <xf numFmtId="0" fontId="10094" fillId="10099" borderId="10046" xfId="0" applyFont="1" applyFill="1" applyBorder="1"/>
    <xf numFmtId="14" fontId="10095" fillId="10100" borderId="10047" xfId="0" applyNumberFormat="1" applyFont="1" applyFill="1" applyBorder="1"/>
    <xf numFmtId="0" fontId="10096" fillId="10101" borderId="10048" xfId="0" applyFont="1" applyFill="1" applyBorder="1"/>
    <xf numFmtId="14" fontId="10097" fillId="10102" borderId="10049" xfId="0" applyNumberFormat="1" applyFont="1" applyFill="1" applyBorder="1"/>
    <xf numFmtId="0" fontId="10098" fillId="10103" borderId="10050" xfId="0" applyFont="1" applyFill="1" applyBorder="1"/>
    <xf numFmtId="0" fontId="10099" fillId="10104" borderId="10051" xfId="0" applyFont="1" applyFill="1" applyBorder="1"/>
    <xf numFmtId="0" fontId="10100" fillId="10105" borderId="10052" xfId="0" applyFont="1" applyFill="1" applyBorder="1"/>
    <xf numFmtId="0" fontId="10101" fillId="10106" borderId="10053" xfId="0" applyFont="1" applyFill="1" applyBorder="1"/>
    <xf numFmtId="0" fontId="10102" fillId="10107" borderId="10054" xfId="0" applyFont="1" applyFill="1" applyBorder="1"/>
    <xf numFmtId="0" fontId="10103" fillId="10108" borderId="10055" xfId="0" applyFont="1" applyFill="1" applyBorder="1"/>
    <xf numFmtId="0" fontId="10104" fillId="10109" borderId="10056" xfId="0" applyFont="1" applyFill="1" applyBorder="1"/>
    <xf numFmtId="14" fontId="10105" fillId="10110" borderId="10057" xfId="0" applyNumberFormat="1" applyFont="1" applyFill="1" applyBorder="1"/>
    <xf numFmtId="0" fontId="10106" fillId="10111" borderId="10058" xfId="0" applyFont="1" applyFill="1" applyBorder="1"/>
    <xf numFmtId="14" fontId="10107" fillId="10112" borderId="10059" xfId="0" applyNumberFormat="1" applyFont="1" applyFill="1" applyBorder="1"/>
    <xf numFmtId="0" fontId="10108" fillId="10113" borderId="10060" xfId="0" applyFont="1" applyFill="1" applyBorder="1"/>
    <xf numFmtId="0" fontId="10109" fillId="10114" borderId="10061" xfId="0" applyFont="1" applyFill="1" applyBorder="1"/>
    <xf numFmtId="0" fontId="10110" fillId="10115" borderId="10062" xfId="0" applyFont="1" applyFill="1" applyBorder="1"/>
    <xf numFmtId="0" fontId="10111" fillId="10116" borderId="10063" xfId="0" applyFont="1" applyFill="1" applyBorder="1"/>
    <xf numFmtId="0" fontId="10112" fillId="10117" borderId="10064" xfId="0" applyFont="1" applyFill="1" applyBorder="1"/>
    <xf numFmtId="0" fontId="10113" fillId="10118" borderId="10065" xfId="0" applyFont="1" applyFill="1" applyBorder="1"/>
    <xf numFmtId="0" fontId="10114" fillId="10119" borderId="10066" xfId="0" applyFont="1" applyFill="1" applyBorder="1"/>
    <xf numFmtId="14" fontId="10115" fillId="10120" borderId="10067" xfId="0" applyNumberFormat="1" applyFont="1" applyFill="1" applyBorder="1"/>
    <xf numFmtId="0" fontId="10116" fillId="10121" borderId="10068" xfId="0" applyFont="1" applyFill="1" applyBorder="1"/>
    <xf numFmtId="14" fontId="10117" fillId="10122" borderId="10069" xfId="0" applyNumberFormat="1" applyFont="1" applyFill="1" applyBorder="1"/>
    <xf numFmtId="0" fontId="10118" fillId="10123" borderId="10070" xfId="0" applyFont="1" applyFill="1" applyBorder="1"/>
    <xf numFmtId="0" fontId="10119" fillId="10124" borderId="10071" xfId="0" applyFont="1" applyFill="1" applyBorder="1"/>
    <xf numFmtId="0" fontId="10120" fillId="10125" borderId="10072" xfId="0" applyFont="1" applyFill="1" applyBorder="1"/>
    <xf numFmtId="0" fontId="10121" fillId="10126" borderId="10073" xfId="0" applyFont="1" applyFill="1" applyBorder="1"/>
    <xf numFmtId="0" fontId="10122" fillId="10127" borderId="10074" xfId="0" applyFont="1" applyFill="1" applyBorder="1"/>
    <xf numFmtId="0" fontId="10123" fillId="10128" borderId="10075" xfId="0" applyFont="1" applyFill="1" applyBorder="1"/>
    <xf numFmtId="0" fontId="10124" fillId="10129" borderId="10076" xfId="0" applyFont="1" applyFill="1" applyBorder="1"/>
    <xf numFmtId="14" fontId="10125" fillId="10130" borderId="10077" xfId="0" applyNumberFormat="1" applyFont="1" applyFill="1" applyBorder="1"/>
    <xf numFmtId="0" fontId="10126" fillId="10131" borderId="10078" xfId="0" applyFont="1" applyFill="1" applyBorder="1"/>
    <xf numFmtId="14" fontId="10127" fillId="10132" borderId="10079" xfId="0" applyNumberFormat="1" applyFont="1" applyFill="1" applyBorder="1"/>
    <xf numFmtId="0" fontId="10128" fillId="10133" borderId="10080" xfId="0" applyFont="1" applyFill="1" applyBorder="1"/>
    <xf numFmtId="0" fontId="10129" fillId="10134" borderId="10081" xfId="0" applyFont="1" applyFill="1" applyBorder="1"/>
    <xf numFmtId="0" fontId="10130" fillId="10135" borderId="10082" xfId="0" applyFont="1" applyFill="1" applyBorder="1"/>
    <xf numFmtId="0" fontId="10131" fillId="10136" borderId="10083" xfId="0" applyFont="1" applyFill="1" applyBorder="1"/>
    <xf numFmtId="0" fontId="10132" fillId="10137" borderId="10084" xfId="0" applyFont="1" applyFill="1" applyBorder="1"/>
    <xf numFmtId="0" fontId="10133" fillId="10138" borderId="10085" xfId="0" applyFont="1" applyFill="1" applyBorder="1"/>
    <xf numFmtId="0" fontId="10134" fillId="10139" borderId="10086" xfId="0" applyFont="1" applyFill="1" applyBorder="1"/>
    <xf numFmtId="14" fontId="10135" fillId="10140" borderId="10087" xfId="0" applyNumberFormat="1" applyFont="1" applyFill="1" applyBorder="1"/>
    <xf numFmtId="0" fontId="10136" fillId="10141" borderId="10088" xfId="0" applyFont="1" applyFill="1" applyBorder="1"/>
    <xf numFmtId="14" fontId="10137" fillId="10142" borderId="10089" xfId="0" applyNumberFormat="1" applyFont="1" applyFill="1" applyBorder="1"/>
    <xf numFmtId="0" fontId="10138" fillId="10143" borderId="10090" xfId="0" applyFont="1" applyFill="1" applyBorder="1"/>
    <xf numFmtId="0" fontId="10139" fillId="10144" borderId="10091" xfId="0" applyFont="1" applyFill="1" applyBorder="1"/>
    <xf numFmtId="0" fontId="10140" fillId="10145" borderId="10092" xfId="0" applyFont="1" applyFill="1" applyBorder="1"/>
    <xf numFmtId="0" fontId="10141" fillId="10146" borderId="10093" xfId="0" applyFont="1" applyFill="1" applyBorder="1"/>
    <xf numFmtId="0" fontId="10142" fillId="10147" borderId="10094" xfId="0" applyFont="1" applyFill="1" applyBorder="1"/>
    <xf numFmtId="0" fontId="10143" fillId="10148" borderId="10095" xfId="0" applyFont="1" applyFill="1" applyBorder="1"/>
    <xf numFmtId="0" fontId="10144" fillId="10149" borderId="10096" xfId="0" applyFont="1" applyFill="1" applyBorder="1"/>
    <xf numFmtId="14" fontId="10145" fillId="10150" borderId="10097" xfId="0" applyNumberFormat="1" applyFont="1" applyFill="1" applyBorder="1"/>
    <xf numFmtId="0" fontId="10146" fillId="10151" borderId="10098" xfId="0" applyFont="1" applyFill="1" applyBorder="1"/>
    <xf numFmtId="14" fontId="10147" fillId="10152" borderId="10099" xfId="0" applyNumberFormat="1" applyFont="1" applyFill="1" applyBorder="1"/>
    <xf numFmtId="0" fontId="10148" fillId="10153" borderId="10100" xfId="0" applyFont="1" applyFill="1" applyBorder="1"/>
    <xf numFmtId="0" fontId="10149" fillId="10154" borderId="10101" xfId="0" applyFont="1" applyFill="1" applyBorder="1"/>
    <xf numFmtId="0" fontId="10150" fillId="10155" borderId="10102" xfId="0" applyFont="1" applyFill="1" applyBorder="1"/>
    <xf numFmtId="0" fontId="10151" fillId="10156" borderId="10103" xfId="0" applyFont="1" applyFill="1" applyBorder="1"/>
    <xf numFmtId="0" fontId="10152" fillId="10157" borderId="10104" xfId="0" applyFont="1" applyFill="1" applyBorder="1"/>
    <xf numFmtId="0" fontId="10153" fillId="10158" borderId="10105" xfId="0" applyFont="1" applyFill="1" applyBorder="1"/>
    <xf numFmtId="0" fontId="10154" fillId="10159" borderId="10106" xfId="0" applyFont="1" applyFill="1" applyBorder="1"/>
    <xf numFmtId="14" fontId="10155" fillId="10160" borderId="10107" xfId="0" applyNumberFormat="1" applyFont="1" applyFill="1" applyBorder="1"/>
    <xf numFmtId="0" fontId="10156" fillId="10161" borderId="10108" xfId="0" applyFont="1" applyFill="1" applyBorder="1"/>
    <xf numFmtId="14" fontId="10157" fillId="10162" borderId="10109" xfId="0" applyNumberFormat="1" applyFont="1" applyFill="1" applyBorder="1"/>
    <xf numFmtId="0" fontId="10158" fillId="10163" borderId="10110" xfId="0" applyFont="1" applyFill="1" applyBorder="1"/>
    <xf numFmtId="0" fontId="10159" fillId="10164" borderId="10111" xfId="0" applyFont="1" applyFill="1" applyBorder="1"/>
    <xf numFmtId="0" fontId="10160" fillId="10165" borderId="10112" xfId="0" applyFont="1" applyFill="1" applyBorder="1"/>
    <xf numFmtId="0" fontId="10161" fillId="10166" borderId="10113" xfId="0" applyFont="1" applyFill="1" applyBorder="1"/>
    <xf numFmtId="0" fontId="10162" fillId="10167" borderId="10114" xfId="0" applyFont="1" applyFill="1" applyBorder="1"/>
    <xf numFmtId="0" fontId="10163" fillId="10168" borderId="10115" xfId="0" applyFont="1" applyFill="1" applyBorder="1"/>
    <xf numFmtId="0" fontId="10164" fillId="10169" borderId="10116" xfId="0" applyFont="1" applyFill="1" applyBorder="1"/>
    <xf numFmtId="14" fontId="10165" fillId="10170" borderId="10117" xfId="0" applyNumberFormat="1" applyFont="1" applyFill="1" applyBorder="1"/>
    <xf numFmtId="0" fontId="10166" fillId="10171" borderId="10118" xfId="0" applyFont="1" applyFill="1" applyBorder="1"/>
    <xf numFmtId="14" fontId="10167" fillId="10172" borderId="10119" xfId="0" applyNumberFormat="1" applyFont="1" applyFill="1" applyBorder="1"/>
    <xf numFmtId="0" fontId="10168" fillId="10173" borderId="10120" xfId="0" applyFont="1" applyFill="1" applyBorder="1"/>
    <xf numFmtId="0" fontId="10169" fillId="10174" borderId="10121" xfId="0" applyFont="1" applyFill="1" applyBorder="1"/>
    <xf numFmtId="0" fontId="10170" fillId="10175" borderId="10122" xfId="0" applyFont="1" applyFill="1" applyBorder="1"/>
    <xf numFmtId="0" fontId="10171" fillId="10176" borderId="10123" xfId="0" applyFont="1" applyFill="1" applyBorder="1"/>
    <xf numFmtId="0" fontId="10172" fillId="10177" borderId="10124" xfId="0" applyFont="1" applyFill="1" applyBorder="1"/>
    <xf numFmtId="0" fontId="10173" fillId="10178" borderId="10125" xfId="0" applyFont="1" applyFill="1" applyBorder="1"/>
    <xf numFmtId="0" fontId="10174" fillId="10179" borderId="10126" xfId="0" applyFont="1" applyFill="1" applyBorder="1"/>
    <xf numFmtId="14" fontId="10175" fillId="10180" borderId="10127" xfId="0" applyNumberFormat="1" applyFont="1" applyFill="1" applyBorder="1"/>
    <xf numFmtId="0" fontId="10176" fillId="10181" borderId="10128" xfId="0" applyFont="1" applyFill="1" applyBorder="1"/>
    <xf numFmtId="14" fontId="10177" fillId="10182" borderId="10129" xfId="0" applyNumberFormat="1" applyFont="1" applyFill="1" applyBorder="1"/>
    <xf numFmtId="0" fontId="10178" fillId="10183" borderId="10130" xfId="0" applyFont="1" applyFill="1" applyBorder="1"/>
    <xf numFmtId="0" fontId="10179" fillId="10184" borderId="10131" xfId="0" applyFont="1" applyFill="1" applyBorder="1"/>
    <xf numFmtId="0" fontId="10180" fillId="10185" borderId="10132" xfId="0" applyFont="1" applyFill="1" applyBorder="1"/>
    <xf numFmtId="0" fontId="10181" fillId="10186" borderId="10133" xfId="0" applyFont="1" applyFill="1" applyBorder="1"/>
    <xf numFmtId="0" fontId="10182" fillId="10187" borderId="10134" xfId="0" applyFont="1" applyFill="1" applyBorder="1"/>
    <xf numFmtId="0" fontId="10183" fillId="10188" borderId="10135" xfId="0" applyFont="1" applyFill="1" applyBorder="1"/>
    <xf numFmtId="0" fontId="10184" fillId="10189" borderId="10136" xfId="0" applyFont="1" applyFill="1" applyBorder="1"/>
    <xf numFmtId="14" fontId="10185" fillId="10190" borderId="10137" xfId="0" applyNumberFormat="1" applyFont="1" applyFill="1" applyBorder="1"/>
    <xf numFmtId="0" fontId="10186" fillId="10191" borderId="10138" xfId="0" applyFont="1" applyFill="1" applyBorder="1"/>
    <xf numFmtId="14" fontId="10187" fillId="10192" borderId="10139" xfId="0" applyNumberFormat="1" applyFont="1" applyFill="1" applyBorder="1"/>
    <xf numFmtId="0" fontId="10188" fillId="10193" borderId="10140" xfId="0" applyFont="1" applyFill="1" applyBorder="1"/>
    <xf numFmtId="0" fontId="10189" fillId="10194" borderId="10141" xfId="0" applyFont="1" applyFill="1" applyBorder="1"/>
    <xf numFmtId="0" fontId="10190" fillId="10195" borderId="10142" xfId="0" applyFont="1" applyFill="1" applyBorder="1"/>
    <xf numFmtId="0" fontId="10191" fillId="10196" borderId="10143" xfId="0" applyFont="1" applyFill="1" applyBorder="1"/>
    <xf numFmtId="0" fontId="10192" fillId="10197" borderId="10144" xfId="0" applyFont="1" applyFill="1" applyBorder="1"/>
    <xf numFmtId="0" fontId="10193" fillId="10198" borderId="10145" xfId="0" applyFont="1" applyFill="1" applyBorder="1"/>
    <xf numFmtId="0" fontId="10194" fillId="10199" borderId="10146" xfId="0" applyFont="1" applyFill="1" applyBorder="1"/>
    <xf numFmtId="14" fontId="10195" fillId="10200" borderId="10147" xfId="0" applyNumberFormat="1" applyFont="1" applyFill="1" applyBorder="1"/>
    <xf numFmtId="0" fontId="10196" fillId="10201" borderId="10148" xfId="0" applyFont="1" applyFill="1" applyBorder="1"/>
    <xf numFmtId="14" fontId="10197" fillId="10202" borderId="10149" xfId="0" applyNumberFormat="1" applyFont="1" applyFill="1" applyBorder="1"/>
    <xf numFmtId="0" fontId="10198" fillId="10203" borderId="10150" xfId="0" applyFont="1" applyFill="1" applyBorder="1"/>
    <xf numFmtId="0" fontId="10199" fillId="10204" borderId="10151" xfId="0" applyFont="1" applyFill="1" applyBorder="1"/>
    <xf numFmtId="0" fontId="10200" fillId="10205" borderId="10152" xfId="0" applyFont="1" applyFill="1" applyBorder="1"/>
    <xf numFmtId="0" fontId="10201" fillId="10206" borderId="10153" xfId="0" applyFont="1" applyFill="1" applyBorder="1"/>
    <xf numFmtId="0" fontId="10202" fillId="10207" borderId="10154" xfId="0" applyFont="1" applyFill="1" applyBorder="1"/>
    <xf numFmtId="0" fontId="10203" fillId="10208" borderId="10155" xfId="0" applyFont="1" applyFill="1" applyBorder="1"/>
    <xf numFmtId="0" fontId="10204" fillId="10209" borderId="10156" xfId="0" applyFont="1" applyFill="1" applyBorder="1"/>
    <xf numFmtId="14" fontId="10205" fillId="10210" borderId="10157" xfId="0" applyNumberFormat="1" applyFont="1" applyFill="1" applyBorder="1"/>
    <xf numFmtId="0" fontId="10206" fillId="10211" borderId="10158" xfId="0" applyFont="1" applyFill="1" applyBorder="1"/>
    <xf numFmtId="14" fontId="10207" fillId="10212" borderId="10159" xfId="0" applyNumberFormat="1" applyFont="1" applyFill="1" applyBorder="1"/>
    <xf numFmtId="0" fontId="10208" fillId="10213" borderId="10160" xfId="0" applyFont="1" applyFill="1" applyBorder="1"/>
    <xf numFmtId="0" fontId="10209" fillId="10214" borderId="10161" xfId="0" applyFont="1" applyFill="1" applyBorder="1"/>
    <xf numFmtId="0" fontId="10210" fillId="10215" borderId="10162" xfId="0" applyFont="1" applyFill="1" applyBorder="1"/>
    <xf numFmtId="0" fontId="10211" fillId="10216" borderId="10163" xfId="0" applyFont="1" applyFill="1" applyBorder="1"/>
    <xf numFmtId="0" fontId="10212" fillId="10217" borderId="10164" xfId="0" applyFont="1" applyFill="1" applyBorder="1"/>
    <xf numFmtId="0" fontId="10213" fillId="10218" borderId="10165" xfId="0" applyFont="1" applyFill="1" applyBorder="1"/>
    <xf numFmtId="0" fontId="10214" fillId="10219" borderId="10166" xfId="0" applyFont="1" applyFill="1" applyBorder="1"/>
    <xf numFmtId="14" fontId="10215" fillId="10220" borderId="10167" xfId="0" applyNumberFormat="1" applyFont="1" applyFill="1" applyBorder="1"/>
    <xf numFmtId="0" fontId="10216" fillId="10221" borderId="10168" xfId="0" applyFont="1" applyFill="1" applyBorder="1"/>
    <xf numFmtId="14" fontId="10217" fillId="10222" borderId="10169" xfId="0" applyNumberFormat="1" applyFont="1" applyFill="1" applyBorder="1"/>
    <xf numFmtId="0" fontId="10218" fillId="10223" borderId="10170" xfId="0" applyFont="1" applyFill="1" applyBorder="1"/>
    <xf numFmtId="0" fontId="10219" fillId="10224" borderId="10171" xfId="0" applyFont="1" applyFill="1" applyBorder="1"/>
    <xf numFmtId="0" fontId="10220" fillId="10225" borderId="10172" xfId="0" applyFont="1" applyFill="1" applyBorder="1"/>
    <xf numFmtId="0" fontId="10221" fillId="10226" borderId="10173" xfId="0" applyFont="1" applyFill="1" applyBorder="1"/>
    <xf numFmtId="0" fontId="10222" fillId="10227" borderId="10174" xfId="0" applyFont="1" applyFill="1" applyBorder="1"/>
    <xf numFmtId="0" fontId="10223" fillId="10228" borderId="10175" xfId="0" applyFont="1" applyFill="1" applyBorder="1"/>
    <xf numFmtId="0" fontId="10224" fillId="10229" borderId="10176" xfId="0" applyFont="1" applyFill="1" applyBorder="1"/>
    <xf numFmtId="14" fontId="10225" fillId="10230" borderId="10177" xfId="0" applyNumberFormat="1" applyFont="1" applyFill="1" applyBorder="1"/>
    <xf numFmtId="0" fontId="10226" fillId="10231" borderId="10178" xfId="0" applyFont="1" applyFill="1" applyBorder="1"/>
    <xf numFmtId="14" fontId="10227" fillId="10232" borderId="10179" xfId="0" applyNumberFormat="1" applyFont="1" applyFill="1" applyBorder="1"/>
    <xf numFmtId="0" fontId="10228" fillId="10233" borderId="10180" xfId="0" applyFont="1" applyFill="1" applyBorder="1"/>
    <xf numFmtId="0" fontId="10229" fillId="10234" borderId="10181" xfId="0" applyFont="1" applyFill="1" applyBorder="1"/>
    <xf numFmtId="0" fontId="10230" fillId="10235" borderId="10182" xfId="0" applyFont="1" applyFill="1" applyBorder="1"/>
    <xf numFmtId="0" fontId="10231" fillId="10236" borderId="10183" xfId="0" applyFont="1" applyFill="1" applyBorder="1"/>
    <xf numFmtId="0" fontId="10232" fillId="10237" borderId="10184" xfId="0" applyFont="1" applyFill="1" applyBorder="1"/>
    <xf numFmtId="0" fontId="10233" fillId="10238" borderId="10185" xfId="0" applyFont="1" applyFill="1" applyBorder="1"/>
    <xf numFmtId="0" fontId="10234" fillId="10239" borderId="10186" xfId="0" applyFont="1" applyFill="1" applyBorder="1"/>
    <xf numFmtId="14" fontId="10235" fillId="10240" borderId="10187" xfId="0" applyNumberFormat="1" applyFont="1" applyFill="1" applyBorder="1"/>
    <xf numFmtId="0" fontId="10236" fillId="10241" borderId="10188" xfId="0" applyFont="1" applyFill="1" applyBorder="1"/>
    <xf numFmtId="14" fontId="10237" fillId="10242" borderId="10189" xfId="0" applyNumberFormat="1" applyFont="1" applyFill="1" applyBorder="1"/>
    <xf numFmtId="0" fontId="10238" fillId="10243" borderId="10190" xfId="0" applyFont="1" applyFill="1" applyBorder="1"/>
    <xf numFmtId="0" fontId="10239" fillId="10244" borderId="10191" xfId="0" applyFont="1" applyFill="1" applyBorder="1"/>
    <xf numFmtId="0" fontId="10240" fillId="10245" borderId="10192" xfId="0" applyFont="1" applyFill="1" applyBorder="1"/>
    <xf numFmtId="0" fontId="10241" fillId="10246" borderId="10193" xfId="0" applyFont="1" applyFill="1" applyBorder="1"/>
    <xf numFmtId="0" fontId="10242" fillId="10247" borderId="10194" xfId="0" applyFont="1" applyFill="1" applyBorder="1"/>
    <xf numFmtId="0" fontId="10243" fillId="10248" borderId="10195" xfId="0" applyFont="1" applyFill="1" applyBorder="1"/>
    <xf numFmtId="0" fontId="10244" fillId="10249" borderId="10196" xfId="0" applyFont="1" applyFill="1" applyBorder="1"/>
    <xf numFmtId="14" fontId="10245" fillId="10250" borderId="10197" xfId="0" applyNumberFormat="1" applyFont="1" applyFill="1" applyBorder="1"/>
    <xf numFmtId="0" fontId="10246" fillId="10251" borderId="10198" xfId="0" applyFont="1" applyFill="1" applyBorder="1"/>
    <xf numFmtId="14" fontId="10247" fillId="10252" borderId="10199" xfId="0" applyNumberFormat="1" applyFont="1" applyFill="1" applyBorder="1"/>
    <xf numFmtId="0" fontId="10248" fillId="10253" borderId="10200" xfId="0" applyFont="1" applyFill="1" applyBorder="1"/>
    <xf numFmtId="0" fontId="10249" fillId="10254" borderId="10201" xfId="0" applyFont="1" applyFill="1" applyBorder="1"/>
    <xf numFmtId="0" fontId="10250" fillId="10255" borderId="10202" xfId="0" applyFont="1" applyFill="1" applyBorder="1"/>
    <xf numFmtId="0" fontId="10251" fillId="10256" borderId="10203" xfId="0" applyFont="1" applyFill="1" applyBorder="1"/>
    <xf numFmtId="0" fontId="10252" fillId="10257" borderId="10204" xfId="0" applyFont="1" applyFill="1" applyBorder="1"/>
    <xf numFmtId="0" fontId="10253" fillId="10258" borderId="10205" xfId="0" applyFont="1" applyFill="1" applyBorder="1"/>
    <xf numFmtId="0" fontId="10254" fillId="10259" borderId="10206" xfId="0" applyFont="1" applyFill="1" applyBorder="1"/>
    <xf numFmtId="14" fontId="10255" fillId="10260" borderId="10207" xfId="0" applyNumberFormat="1" applyFont="1" applyFill="1" applyBorder="1"/>
    <xf numFmtId="0" fontId="10256" fillId="10261" borderId="10208" xfId="0" applyFont="1" applyFill="1" applyBorder="1"/>
    <xf numFmtId="14" fontId="10257" fillId="10262" borderId="10209" xfId="0" applyNumberFormat="1" applyFont="1" applyFill="1" applyBorder="1"/>
    <xf numFmtId="0" fontId="10258" fillId="10263" borderId="10210" xfId="0" applyFont="1" applyFill="1" applyBorder="1"/>
    <xf numFmtId="0" fontId="10259" fillId="10264" borderId="10211" xfId="0" applyFont="1" applyFill="1" applyBorder="1"/>
    <xf numFmtId="0" fontId="10260" fillId="10265" borderId="10212" xfId="0" applyFont="1" applyFill="1" applyBorder="1"/>
    <xf numFmtId="0" fontId="10261" fillId="10266" borderId="10213" xfId="0" applyFont="1" applyFill="1" applyBorder="1"/>
    <xf numFmtId="0" fontId="10262" fillId="10267" borderId="10214" xfId="0" applyFont="1" applyFill="1" applyBorder="1"/>
    <xf numFmtId="0" fontId="10263" fillId="10268" borderId="10215" xfId="0" applyFont="1" applyFill="1" applyBorder="1"/>
    <xf numFmtId="0" fontId="10264" fillId="10269" borderId="10216" xfId="0" applyFont="1" applyFill="1" applyBorder="1"/>
    <xf numFmtId="14" fontId="10265" fillId="10270" borderId="10217" xfId="0" applyNumberFormat="1" applyFont="1" applyFill="1" applyBorder="1"/>
    <xf numFmtId="0" fontId="10266" fillId="10271" borderId="10218" xfId="0" applyFont="1" applyFill="1" applyBorder="1"/>
    <xf numFmtId="14" fontId="10267" fillId="10272" borderId="10219" xfId="0" applyNumberFormat="1" applyFont="1" applyFill="1" applyBorder="1"/>
    <xf numFmtId="0" fontId="10268" fillId="10273" borderId="10220" xfId="0" applyFont="1" applyFill="1" applyBorder="1"/>
    <xf numFmtId="0" fontId="10269" fillId="10274" borderId="10221" xfId="0" applyFont="1" applyFill="1" applyBorder="1"/>
    <xf numFmtId="0" fontId="10270" fillId="10275" borderId="10222" xfId="0" applyFont="1" applyFill="1" applyBorder="1"/>
    <xf numFmtId="0" fontId="10271" fillId="10276" borderId="10223" xfId="0" applyFont="1" applyFill="1" applyBorder="1"/>
    <xf numFmtId="0" fontId="10272" fillId="10277" borderId="10224" xfId="0" applyFont="1" applyFill="1" applyBorder="1"/>
    <xf numFmtId="0" fontId="10273" fillId="10278" borderId="10225" xfId="0" applyFont="1" applyFill="1" applyBorder="1"/>
    <xf numFmtId="0" fontId="10274" fillId="10279" borderId="10226" xfId="0" applyFont="1" applyFill="1" applyBorder="1"/>
    <xf numFmtId="14" fontId="10275" fillId="10280" borderId="10227" xfId="0" applyNumberFormat="1" applyFont="1" applyFill="1" applyBorder="1"/>
    <xf numFmtId="0" fontId="10276" fillId="10281" borderId="10228" xfId="0" applyFont="1" applyFill="1" applyBorder="1"/>
    <xf numFmtId="14" fontId="10277" fillId="10282" borderId="10229" xfId="0" applyNumberFormat="1" applyFont="1" applyFill="1" applyBorder="1"/>
    <xf numFmtId="0" fontId="10278" fillId="10283" borderId="10230" xfId="0" applyFont="1" applyFill="1" applyBorder="1"/>
    <xf numFmtId="0" fontId="10279" fillId="10284" borderId="10231" xfId="0" applyFont="1" applyFill="1" applyBorder="1"/>
    <xf numFmtId="0" fontId="10280" fillId="10285" borderId="10232" xfId="0" applyFont="1" applyFill="1" applyBorder="1"/>
    <xf numFmtId="0" fontId="10281" fillId="10286" borderId="10233" xfId="0" applyFont="1" applyFill="1" applyBorder="1"/>
    <xf numFmtId="0" fontId="10282" fillId="10287" borderId="10234" xfId="0" applyFont="1" applyFill="1" applyBorder="1"/>
    <xf numFmtId="0" fontId="10283" fillId="10288" borderId="10235" xfId="0" applyFont="1" applyFill="1" applyBorder="1"/>
    <xf numFmtId="0" fontId="10284" fillId="10289" borderId="10236" xfId="0" applyFont="1" applyFill="1" applyBorder="1"/>
    <xf numFmtId="14" fontId="10285" fillId="10290" borderId="10237" xfId="0" applyNumberFormat="1" applyFont="1" applyFill="1" applyBorder="1"/>
    <xf numFmtId="0" fontId="10286" fillId="10291" borderId="10238" xfId="0" applyFont="1" applyFill="1" applyBorder="1"/>
    <xf numFmtId="14" fontId="10287" fillId="10292" borderId="10239" xfId="0" applyNumberFormat="1" applyFont="1" applyFill="1" applyBorder="1"/>
    <xf numFmtId="0" fontId="10288" fillId="10293" borderId="10240" xfId="0" applyFont="1" applyFill="1" applyBorder="1"/>
    <xf numFmtId="0" fontId="10289" fillId="10294" borderId="10241" xfId="0" applyFont="1" applyFill="1" applyBorder="1"/>
    <xf numFmtId="0" fontId="10290" fillId="10295" borderId="10242" xfId="0" applyFont="1" applyFill="1" applyBorder="1"/>
    <xf numFmtId="0" fontId="10291" fillId="10296" borderId="10243" xfId="0" applyFont="1" applyFill="1" applyBorder="1"/>
    <xf numFmtId="0" fontId="10292" fillId="10297" borderId="10244" xfId="0" applyFont="1" applyFill="1" applyBorder="1"/>
    <xf numFmtId="0" fontId="10293" fillId="10298" borderId="10245" xfId="0" applyFont="1" applyFill="1" applyBorder="1"/>
    <xf numFmtId="0" fontId="10294" fillId="10299" borderId="10246" xfId="0" applyFont="1" applyFill="1" applyBorder="1"/>
    <xf numFmtId="14" fontId="10295" fillId="10300" borderId="10247" xfId="0" applyNumberFormat="1" applyFont="1" applyFill="1" applyBorder="1"/>
    <xf numFmtId="0" fontId="10296" fillId="10301" borderId="10248" xfId="0" applyFont="1" applyFill="1" applyBorder="1"/>
    <xf numFmtId="14" fontId="10297" fillId="10302" borderId="10249" xfId="0" applyNumberFormat="1" applyFont="1" applyFill="1" applyBorder="1"/>
    <xf numFmtId="0" fontId="10298" fillId="10303" borderId="10250" xfId="0" applyFont="1" applyFill="1" applyBorder="1"/>
    <xf numFmtId="0" fontId="10299" fillId="10304" borderId="10251" xfId="0" applyFont="1" applyFill="1" applyBorder="1"/>
    <xf numFmtId="0" fontId="10300" fillId="10305" borderId="10252" xfId="0" applyFont="1" applyFill="1" applyBorder="1"/>
    <xf numFmtId="0" fontId="10301" fillId="10306" borderId="10253" xfId="0" applyFont="1" applyFill="1" applyBorder="1"/>
    <xf numFmtId="0" fontId="10302" fillId="10307" borderId="10254" xfId="0" applyFont="1" applyFill="1" applyBorder="1"/>
    <xf numFmtId="0" fontId="10303" fillId="10308" borderId="10255" xfId="0" applyFont="1" applyFill="1" applyBorder="1"/>
    <xf numFmtId="0" fontId="10304" fillId="10309" borderId="10256" xfId="0" applyFont="1" applyFill="1" applyBorder="1"/>
    <xf numFmtId="14" fontId="10305" fillId="10310" borderId="10257" xfId="0" applyNumberFormat="1" applyFont="1" applyFill="1" applyBorder="1"/>
    <xf numFmtId="0" fontId="10306" fillId="10311" borderId="10258" xfId="0" applyFont="1" applyFill="1" applyBorder="1"/>
    <xf numFmtId="14" fontId="10307" fillId="10312" borderId="10259" xfId="0" applyNumberFormat="1" applyFont="1" applyFill="1" applyBorder="1"/>
    <xf numFmtId="0" fontId="10308" fillId="10313" borderId="10260" xfId="0" applyFont="1" applyFill="1" applyBorder="1"/>
    <xf numFmtId="0" fontId="10309" fillId="10314" borderId="10261" xfId="0" applyFont="1" applyFill="1" applyBorder="1"/>
    <xf numFmtId="0" fontId="10310" fillId="10315" borderId="10262" xfId="0" applyFont="1" applyFill="1" applyBorder="1"/>
    <xf numFmtId="0" fontId="10311" fillId="10316" borderId="10263" xfId="0" applyFont="1" applyFill="1" applyBorder="1"/>
    <xf numFmtId="0" fontId="10312" fillId="10317" borderId="10264" xfId="0" applyFont="1" applyFill="1" applyBorder="1"/>
    <xf numFmtId="0" fontId="10313" fillId="10318" borderId="10265" xfId="0" applyFont="1" applyFill="1" applyBorder="1"/>
    <xf numFmtId="0" fontId="10314" fillId="10319" borderId="10266" xfId="0" applyFont="1" applyFill="1" applyBorder="1"/>
    <xf numFmtId="14" fontId="10315" fillId="10320" borderId="10267" xfId="0" applyNumberFormat="1" applyFont="1" applyFill="1" applyBorder="1"/>
    <xf numFmtId="0" fontId="10316" fillId="10321" borderId="10268" xfId="0" applyFont="1" applyFill="1" applyBorder="1"/>
    <xf numFmtId="14" fontId="10317" fillId="10322" borderId="10269" xfId="0" applyNumberFormat="1" applyFont="1" applyFill="1" applyBorder="1"/>
    <xf numFmtId="0" fontId="10318" fillId="10323" borderId="10270" xfId="0" applyFont="1" applyFill="1" applyBorder="1"/>
    <xf numFmtId="0" fontId="10319" fillId="10324" borderId="10271" xfId="0" applyFont="1" applyFill="1" applyBorder="1"/>
    <xf numFmtId="0" fontId="10320" fillId="10325" borderId="10272" xfId="0" applyFont="1" applyFill="1" applyBorder="1"/>
    <xf numFmtId="0" fontId="10321" fillId="10326" borderId="10273" xfId="0" applyFont="1" applyFill="1" applyBorder="1"/>
    <xf numFmtId="0" fontId="10322" fillId="10327" borderId="10274" xfId="0" applyFont="1" applyFill="1" applyBorder="1"/>
    <xf numFmtId="0" fontId="10323" fillId="10328" borderId="10275" xfId="0" applyFont="1" applyFill="1" applyBorder="1"/>
    <xf numFmtId="0" fontId="10324" fillId="10329" borderId="10276" xfId="0" applyFont="1" applyFill="1" applyBorder="1"/>
    <xf numFmtId="14" fontId="10325" fillId="10330" borderId="10277" xfId="0" applyNumberFormat="1" applyFont="1" applyFill="1" applyBorder="1"/>
    <xf numFmtId="0" fontId="10326" fillId="10331" borderId="10278" xfId="0" applyFont="1" applyFill="1" applyBorder="1"/>
    <xf numFmtId="14" fontId="10327" fillId="10332" borderId="10279" xfId="0" applyNumberFormat="1" applyFont="1" applyFill="1" applyBorder="1"/>
    <xf numFmtId="0" fontId="10328" fillId="10333" borderId="10280" xfId="0" applyFont="1" applyFill="1" applyBorder="1"/>
    <xf numFmtId="0" fontId="10329" fillId="10334" borderId="10281" xfId="0" applyFont="1" applyFill="1" applyBorder="1"/>
    <xf numFmtId="0" fontId="10330" fillId="10335" borderId="10282" xfId="0" applyFont="1" applyFill="1" applyBorder="1"/>
    <xf numFmtId="0" fontId="10331" fillId="10336" borderId="10283" xfId="0" applyFont="1" applyFill="1" applyBorder="1"/>
    <xf numFmtId="0" fontId="10332" fillId="10337" borderId="10284" xfId="0" applyFont="1" applyFill="1" applyBorder="1"/>
    <xf numFmtId="0" fontId="10333" fillId="10338" borderId="10285" xfId="0" applyFont="1" applyFill="1" applyBorder="1"/>
    <xf numFmtId="0" fontId="10334" fillId="10339" borderId="10286" xfId="0" applyFont="1" applyFill="1" applyBorder="1"/>
    <xf numFmtId="14" fontId="10335" fillId="10340" borderId="10287" xfId="0" applyNumberFormat="1" applyFont="1" applyFill="1" applyBorder="1"/>
    <xf numFmtId="0" fontId="10336" fillId="10341" borderId="10288" xfId="0" applyFont="1" applyFill="1" applyBorder="1"/>
    <xf numFmtId="14" fontId="10337" fillId="10342" borderId="10289" xfId="0" applyNumberFormat="1" applyFont="1" applyFill="1" applyBorder="1"/>
    <xf numFmtId="0" fontId="10338" fillId="10343" borderId="10290" xfId="0" applyFont="1" applyFill="1" applyBorder="1"/>
    <xf numFmtId="0" fontId="10339" fillId="10344" borderId="10291" xfId="0" applyFont="1" applyFill="1" applyBorder="1"/>
    <xf numFmtId="0" fontId="10340" fillId="10345" borderId="10292" xfId="0" applyFont="1" applyFill="1" applyBorder="1"/>
    <xf numFmtId="0" fontId="10341" fillId="10346" borderId="10293" xfId="0" applyFont="1" applyFill="1" applyBorder="1"/>
    <xf numFmtId="0" fontId="10342" fillId="10347" borderId="10294" xfId="0" applyFont="1" applyFill="1" applyBorder="1"/>
    <xf numFmtId="0" fontId="10343" fillId="10348" borderId="10295" xfId="0" applyFont="1" applyFill="1" applyBorder="1"/>
    <xf numFmtId="0" fontId="10344" fillId="10349" borderId="10296" xfId="0" applyFont="1" applyFill="1" applyBorder="1"/>
    <xf numFmtId="14" fontId="10345" fillId="10350" borderId="10297" xfId="0" applyNumberFormat="1" applyFont="1" applyFill="1" applyBorder="1"/>
    <xf numFmtId="0" fontId="10346" fillId="10351" borderId="10298" xfId="0" applyFont="1" applyFill="1" applyBorder="1"/>
    <xf numFmtId="14" fontId="10347" fillId="10352" borderId="10299" xfId="0" applyNumberFormat="1" applyFont="1" applyFill="1" applyBorder="1"/>
    <xf numFmtId="0" fontId="10348" fillId="10353" borderId="10300" xfId="0" applyFont="1" applyFill="1" applyBorder="1"/>
    <xf numFmtId="0" fontId="10349" fillId="10354" borderId="10301" xfId="0" applyFont="1" applyFill="1" applyBorder="1"/>
    <xf numFmtId="0" fontId="10350" fillId="10355" borderId="10302" xfId="0" applyFont="1" applyFill="1" applyBorder="1"/>
    <xf numFmtId="0" fontId="10351" fillId="10356" borderId="10303" xfId="0" applyFont="1" applyFill="1" applyBorder="1"/>
    <xf numFmtId="0" fontId="10352" fillId="10357" borderId="10304" xfId="0" applyFont="1" applyFill="1" applyBorder="1"/>
    <xf numFmtId="0" fontId="10353" fillId="10358" borderId="10305" xfId="0" applyFont="1" applyFill="1" applyBorder="1"/>
    <xf numFmtId="0" fontId="10354" fillId="10359" borderId="10306" xfId="0" applyFont="1" applyFill="1" applyBorder="1"/>
    <xf numFmtId="14" fontId="10355" fillId="10360" borderId="10307" xfId="0" applyNumberFormat="1" applyFont="1" applyFill="1" applyBorder="1"/>
    <xf numFmtId="0" fontId="10356" fillId="10361" borderId="10308" xfId="0" applyFont="1" applyFill="1" applyBorder="1"/>
    <xf numFmtId="14" fontId="10357" fillId="10362" borderId="10309" xfId="0" applyNumberFormat="1" applyFont="1" applyFill="1" applyBorder="1"/>
    <xf numFmtId="0" fontId="10358" fillId="10363" borderId="10310" xfId="0" applyFont="1" applyFill="1" applyBorder="1"/>
    <xf numFmtId="0" fontId="10359" fillId="10364" borderId="10311" xfId="0" applyFont="1" applyFill="1" applyBorder="1"/>
    <xf numFmtId="0" fontId="10360" fillId="10365" borderId="10312" xfId="0" applyFont="1" applyFill="1" applyBorder="1"/>
    <xf numFmtId="0" fontId="10361" fillId="10366" borderId="10313" xfId="0" applyFont="1" applyFill="1" applyBorder="1"/>
    <xf numFmtId="0" fontId="10362" fillId="10367" borderId="10314" xfId="0" applyFont="1" applyFill="1" applyBorder="1"/>
    <xf numFmtId="0" fontId="10363" fillId="10368" borderId="10315" xfId="0" applyFont="1" applyFill="1" applyBorder="1"/>
    <xf numFmtId="0" fontId="10364" fillId="10369" borderId="10316" xfId="0" applyFont="1" applyFill="1" applyBorder="1"/>
    <xf numFmtId="14" fontId="10365" fillId="10370" borderId="10317" xfId="0" applyNumberFormat="1" applyFont="1" applyFill="1" applyBorder="1"/>
    <xf numFmtId="0" fontId="10366" fillId="10371" borderId="10318" xfId="0" applyFont="1" applyFill="1" applyBorder="1"/>
    <xf numFmtId="14" fontId="10367" fillId="10372" borderId="10319" xfId="0" applyNumberFormat="1" applyFont="1" applyFill="1" applyBorder="1"/>
    <xf numFmtId="0" fontId="10368" fillId="10373" borderId="10320" xfId="0" applyFont="1" applyFill="1" applyBorder="1"/>
    <xf numFmtId="0" fontId="10369" fillId="10374" borderId="10321" xfId="0" applyFont="1" applyFill="1" applyBorder="1"/>
    <xf numFmtId="0" fontId="10370" fillId="10375" borderId="10322" xfId="0" applyFont="1" applyFill="1" applyBorder="1"/>
    <xf numFmtId="0" fontId="10371" fillId="10376" borderId="10323" xfId="0" applyFont="1" applyFill="1" applyBorder="1"/>
    <xf numFmtId="0" fontId="10372" fillId="10377" borderId="10324" xfId="0" applyFont="1" applyFill="1" applyBorder="1"/>
    <xf numFmtId="0" fontId="10373" fillId="10378" borderId="10325" xfId="0" applyFont="1" applyFill="1" applyBorder="1"/>
    <xf numFmtId="0" fontId="10374" fillId="10379" borderId="10326" xfId="0" applyFont="1" applyFill="1" applyBorder="1"/>
    <xf numFmtId="14" fontId="10375" fillId="10380" borderId="10327" xfId="0" applyNumberFormat="1" applyFont="1" applyFill="1" applyBorder="1"/>
    <xf numFmtId="0" fontId="10376" fillId="10381" borderId="10328" xfId="0" applyFont="1" applyFill="1" applyBorder="1"/>
    <xf numFmtId="14" fontId="10377" fillId="10382" borderId="10329" xfId="0" applyNumberFormat="1" applyFont="1" applyFill="1" applyBorder="1"/>
    <xf numFmtId="0" fontId="10378" fillId="10383" borderId="10330" xfId="0" applyFont="1" applyFill="1" applyBorder="1"/>
    <xf numFmtId="0" fontId="10379" fillId="10384" borderId="10331" xfId="0" applyFont="1" applyFill="1" applyBorder="1"/>
    <xf numFmtId="0" fontId="10380" fillId="10385" borderId="10332" xfId="0" applyFont="1" applyFill="1" applyBorder="1"/>
    <xf numFmtId="0" fontId="10381" fillId="10386" borderId="10333" xfId="0" applyFont="1" applyFill="1" applyBorder="1"/>
    <xf numFmtId="0" fontId="10382" fillId="10387" borderId="10334" xfId="0" applyFont="1" applyFill="1" applyBorder="1"/>
    <xf numFmtId="0" fontId="10383" fillId="10388" borderId="10335" xfId="0" applyFont="1" applyFill="1" applyBorder="1"/>
    <xf numFmtId="0" fontId="10384" fillId="10389" borderId="10336" xfId="0" applyFont="1" applyFill="1" applyBorder="1"/>
    <xf numFmtId="14" fontId="10385" fillId="10390" borderId="10337" xfId="0" applyNumberFormat="1" applyFont="1" applyFill="1" applyBorder="1"/>
    <xf numFmtId="0" fontId="10386" fillId="10391" borderId="10338" xfId="0" applyFont="1" applyFill="1" applyBorder="1"/>
    <xf numFmtId="14" fontId="10387" fillId="10392" borderId="10339" xfId="0" applyNumberFormat="1" applyFont="1" applyFill="1" applyBorder="1"/>
    <xf numFmtId="0" fontId="10388" fillId="10393" borderId="10340" xfId="0" applyFont="1" applyFill="1" applyBorder="1"/>
    <xf numFmtId="0" fontId="10389" fillId="10394" borderId="10341" xfId="0" applyFont="1" applyFill="1" applyBorder="1"/>
    <xf numFmtId="0" fontId="10390" fillId="10395" borderId="10342" xfId="0" applyFont="1" applyFill="1" applyBorder="1"/>
    <xf numFmtId="0" fontId="10391" fillId="10396" borderId="10343" xfId="0" applyFont="1" applyFill="1" applyBorder="1"/>
    <xf numFmtId="0" fontId="10392" fillId="10397" borderId="10344" xfId="0" applyFont="1" applyFill="1" applyBorder="1"/>
    <xf numFmtId="0" fontId="10393" fillId="10398" borderId="10345" xfId="0" applyFont="1" applyFill="1" applyBorder="1"/>
    <xf numFmtId="0" fontId="10394" fillId="10399" borderId="10346" xfId="0" applyFont="1" applyFill="1" applyBorder="1"/>
    <xf numFmtId="14" fontId="10395" fillId="10400" borderId="10347" xfId="0" applyNumberFormat="1" applyFont="1" applyFill="1" applyBorder="1"/>
    <xf numFmtId="0" fontId="10396" fillId="10401" borderId="10348" xfId="0" applyFont="1" applyFill="1" applyBorder="1"/>
    <xf numFmtId="14" fontId="10397" fillId="10402" borderId="10349" xfId="0" applyNumberFormat="1" applyFont="1" applyFill="1" applyBorder="1"/>
    <xf numFmtId="0" fontId="10398" fillId="10403" borderId="10350" xfId="0" applyFont="1" applyFill="1" applyBorder="1"/>
    <xf numFmtId="0" fontId="10399" fillId="10404" borderId="10351" xfId="0" applyFont="1" applyFill="1" applyBorder="1"/>
    <xf numFmtId="0" fontId="10400" fillId="10405" borderId="10352" xfId="0" applyFont="1" applyFill="1" applyBorder="1"/>
    <xf numFmtId="0" fontId="10401" fillId="10406" borderId="10353" xfId="0" applyFont="1" applyFill="1" applyBorder="1"/>
    <xf numFmtId="0" fontId="10402" fillId="10407" borderId="10354" xfId="0" applyFont="1" applyFill="1" applyBorder="1"/>
    <xf numFmtId="0" fontId="10403" fillId="10408" borderId="10355" xfId="0" applyFont="1" applyFill="1" applyBorder="1"/>
    <xf numFmtId="0" fontId="10404" fillId="10409" borderId="10356" xfId="0" applyFont="1" applyFill="1" applyBorder="1"/>
    <xf numFmtId="14" fontId="10405" fillId="10410" borderId="10357" xfId="0" applyNumberFormat="1" applyFont="1" applyFill="1" applyBorder="1"/>
    <xf numFmtId="0" fontId="10406" fillId="10411" borderId="10358" xfId="0" applyFont="1" applyFill="1" applyBorder="1"/>
    <xf numFmtId="14" fontId="10407" fillId="10412" borderId="10359" xfId="0" applyNumberFormat="1" applyFont="1" applyFill="1" applyBorder="1"/>
    <xf numFmtId="0" fontId="10408" fillId="10413" borderId="10360" xfId="0" applyFont="1" applyFill="1" applyBorder="1"/>
    <xf numFmtId="0" fontId="10409" fillId="10414" borderId="10361" xfId="0" applyFont="1" applyFill="1" applyBorder="1"/>
    <xf numFmtId="0" fontId="10410" fillId="10415" borderId="10362" xfId="0" applyFont="1" applyFill="1" applyBorder="1"/>
    <xf numFmtId="0" fontId="10411" fillId="10416" borderId="10363" xfId="0" applyFont="1" applyFill="1" applyBorder="1"/>
    <xf numFmtId="0" fontId="10412" fillId="10417" borderId="10364" xfId="0" applyFont="1" applyFill="1" applyBorder="1"/>
    <xf numFmtId="0" fontId="10413" fillId="10418" borderId="10365" xfId="0" applyFont="1" applyFill="1" applyBorder="1"/>
    <xf numFmtId="0" fontId="10414" fillId="10419" borderId="10366" xfId="0" applyFont="1" applyFill="1" applyBorder="1"/>
    <xf numFmtId="14" fontId="10415" fillId="10420" borderId="10367" xfId="0" applyNumberFormat="1" applyFont="1" applyFill="1" applyBorder="1"/>
    <xf numFmtId="0" fontId="10416" fillId="10421" borderId="10368" xfId="0" applyFont="1" applyFill="1" applyBorder="1"/>
    <xf numFmtId="14" fontId="10417" fillId="10422" borderId="10369" xfId="0" applyNumberFormat="1" applyFont="1" applyFill="1" applyBorder="1"/>
    <xf numFmtId="0" fontId="10418" fillId="10423" borderId="10370" xfId="0" applyFont="1" applyFill="1" applyBorder="1"/>
    <xf numFmtId="0" fontId="10419" fillId="10424" borderId="10371" xfId="0" applyFont="1" applyFill="1" applyBorder="1"/>
    <xf numFmtId="0" fontId="10420" fillId="10425" borderId="10372" xfId="0" applyFont="1" applyFill="1" applyBorder="1"/>
    <xf numFmtId="0" fontId="10421" fillId="10426" borderId="10373" xfId="0" applyFont="1" applyFill="1" applyBorder="1"/>
    <xf numFmtId="0" fontId="10422" fillId="10427" borderId="10374" xfId="0" applyFont="1" applyFill="1" applyBorder="1"/>
    <xf numFmtId="0" fontId="10423" fillId="10428" borderId="10375" xfId="0" applyFont="1" applyFill="1" applyBorder="1"/>
    <xf numFmtId="0" fontId="10424" fillId="10429" borderId="10376" xfId="0" applyFont="1" applyFill="1" applyBorder="1"/>
    <xf numFmtId="14" fontId="10425" fillId="10430" borderId="10377" xfId="0" applyNumberFormat="1" applyFont="1" applyFill="1" applyBorder="1"/>
    <xf numFmtId="0" fontId="10426" fillId="10431" borderId="10378" xfId="0" applyFont="1" applyFill="1" applyBorder="1"/>
    <xf numFmtId="14" fontId="10427" fillId="10432" borderId="10379" xfId="0" applyNumberFormat="1" applyFont="1" applyFill="1" applyBorder="1"/>
    <xf numFmtId="0" fontId="10428" fillId="10433" borderId="10380" xfId="0" applyFont="1" applyFill="1" applyBorder="1"/>
    <xf numFmtId="0" fontId="10429" fillId="10434" borderId="10381" xfId="0" applyFont="1" applyFill="1" applyBorder="1"/>
    <xf numFmtId="0" fontId="10430" fillId="10435" borderId="10382" xfId="0" applyFont="1" applyFill="1" applyBorder="1"/>
    <xf numFmtId="0" fontId="10431" fillId="10436" borderId="10383" xfId="0" applyFont="1" applyFill="1" applyBorder="1"/>
    <xf numFmtId="0" fontId="10432" fillId="10437" borderId="10384" xfId="0" applyFont="1" applyFill="1" applyBorder="1"/>
    <xf numFmtId="0" fontId="10433" fillId="10438" borderId="10385" xfId="0" applyFont="1" applyFill="1" applyBorder="1"/>
    <xf numFmtId="0" fontId="10434" fillId="10439" borderId="10386" xfId="0" applyFont="1" applyFill="1" applyBorder="1"/>
    <xf numFmtId="14" fontId="10435" fillId="10440" borderId="10387" xfId="0" applyNumberFormat="1" applyFont="1" applyFill="1" applyBorder="1"/>
    <xf numFmtId="0" fontId="10436" fillId="10441" borderId="10388" xfId="0" applyFont="1" applyFill="1" applyBorder="1"/>
    <xf numFmtId="14" fontId="10437" fillId="10442" borderId="10389" xfId="0" applyNumberFormat="1" applyFont="1" applyFill="1" applyBorder="1"/>
    <xf numFmtId="0" fontId="10438" fillId="10443" borderId="10390" xfId="0" applyFont="1" applyFill="1" applyBorder="1"/>
    <xf numFmtId="0" fontId="10439" fillId="10444" borderId="10391" xfId="0" applyFont="1" applyFill="1" applyBorder="1"/>
    <xf numFmtId="0" fontId="10440" fillId="10445" borderId="10392" xfId="0" applyFont="1" applyFill="1" applyBorder="1"/>
    <xf numFmtId="0" fontId="10441" fillId="10446" borderId="10393" xfId="0" applyFont="1" applyFill="1" applyBorder="1"/>
    <xf numFmtId="0" fontId="10442" fillId="10447" borderId="10394" xfId="0" applyFont="1" applyFill="1" applyBorder="1"/>
    <xf numFmtId="0" fontId="10443" fillId="10448" borderId="10395" xfId="0" applyFont="1" applyFill="1" applyBorder="1"/>
    <xf numFmtId="0" fontId="10444" fillId="10449" borderId="10396" xfId="0" applyFont="1" applyFill="1" applyBorder="1"/>
    <xf numFmtId="14" fontId="10445" fillId="10450" borderId="10397" xfId="0" applyNumberFormat="1" applyFont="1" applyFill="1" applyBorder="1"/>
    <xf numFmtId="0" fontId="10446" fillId="10451" borderId="10398" xfId="0" applyFont="1" applyFill="1" applyBorder="1"/>
    <xf numFmtId="14" fontId="10447" fillId="10452" borderId="10399" xfId="0" applyNumberFormat="1" applyFont="1" applyFill="1" applyBorder="1"/>
    <xf numFmtId="0" fontId="10448" fillId="10453" borderId="10400" xfId="0" applyFont="1" applyFill="1" applyBorder="1"/>
    <xf numFmtId="0" fontId="10449" fillId="10454" borderId="10401" xfId="0" applyFont="1" applyFill="1" applyBorder="1"/>
    <xf numFmtId="0" fontId="10450" fillId="10455" borderId="10402" xfId="0" applyFont="1" applyFill="1" applyBorder="1"/>
    <xf numFmtId="0" fontId="10451" fillId="10456" borderId="10403" xfId="0" applyFont="1" applyFill="1" applyBorder="1"/>
    <xf numFmtId="0" fontId="10452" fillId="10457" borderId="10404" xfId="0" applyFont="1" applyFill="1" applyBorder="1"/>
    <xf numFmtId="0" fontId="10453" fillId="10458" borderId="10405" xfId="0" applyFont="1" applyFill="1" applyBorder="1"/>
    <xf numFmtId="0" fontId="10454" fillId="10459" borderId="10406" xfId="0" applyFont="1" applyFill="1" applyBorder="1"/>
    <xf numFmtId="14" fontId="10455" fillId="10460" borderId="10407" xfId="0" applyNumberFormat="1" applyFont="1" applyFill="1" applyBorder="1"/>
    <xf numFmtId="0" fontId="10456" fillId="10461" borderId="10408" xfId="0" applyFont="1" applyFill="1" applyBorder="1"/>
    <xf numFmtId="14" fontId="10457" fillId="10462" borderId="10409" xfId="0" applyNumberFormat="1" applyFont="1" applyFill="1" applyBorder="1"/>
    <xf numFmtId="0" fontId="10458" fillId="10463" borderId="10410" xfId="0" applyFont="1" applyFill="1" applyBorder="1"/>
    <xf numFmtId="0" fontId="10459" fillId="10464" borderId="10411" xfId="0" applyFont="1" applyFill="1" applyBorder="1"/>
    <xf numFmtId="0" fontId="10460" fillId="10465" borderId="10412" xfId="0" applyFont="1" applyFill="1" applyBorder="1"/>
    <xf numFmtId="0" fontId="10461" fillId="10466" borderId="10413" xfId="0" applyFont="1" applyFill="1" applyBorder="1"/>
    <xf numFmtId="0" fontId="10462" fillId="10467" borderId="10414" xfId="0" applyFont="1" applyFill="1" applyBorder="1"/>
    <xf numFmtId="0" fontId="10463" fillId="10468" borderId="10415" xfId="0" applyFont="1" applyFill="1" applyBorder="1"/>
    <xf numFmtId="0" fontId="10464" fillId="10469" borderId="10416" xfId="0" applyFont="1" applyFill="1" applyBorder="1"/>
    <xf numFmtId="14" fontId="10465" fillId="10470" borderId="10417" xfId="0" applyNumberFormat="1" applyFont="1" applyFill="1" applyBorder="1"/>
    <xf numFmtId="0" fontId="10466" fillId="10471" borderId="10418" xfId="0" applyFont="1" applyFill="1" applyBorder="1"/>
    <xf numFmtId="14" fontId="10467" fillId="10472" borderId="10419" xfId="0" applyNumberFormat="1" applyFont="1" applyFill="1" applyBorder="1"/>
    <xf numFmtId="0" fontId="10468" fillId="10473" borderId="10420" xfId="0" applyFont="1" applyFill="1" applyBorder="1"/>
    <xf numFmtId="0" fontId="10469" fillId="10474" borderId="10421" xfId="0" applyFont="1" applyFill="1" applyBorder="1"/>
    <xf numFmtId="0" fontId="10470" fillId="10475" borderId="10422" xfId="0" applyFont="1" applyFill="1" applyBorder="1"/>
    <xf numFmtId="0" fontId="10471" fillId="10476" borderId="10423" xfId="0" applyFont="1" applyFill="1" applyBorder="1"/>
    <xf numFmtId="0" fontId="10472" fillId="10477" borderId="10424" xfId="0" applyFont="1" applyFill="1" applyBorder="1"/>
    <xf numFmtId="0" fontId="10473" fillId="10478" borderId="10425" xfId="0" applyFont="1" applyFill="1" applyBorder="1"/>
    <xf numFmtId="0" fontId="10474" fillId="10479" borderId="10426" xfId="0" applyFont="1" applyFill="1" applyBorder="1"/>
    <xf numFmtId="14" fontId="10475" fillId="10480" borderId="10427" xfId="0" applyNumberFormat="1" applyFont="1" applyFill="1" applyBorder="1"/>
    <xf numFmtId="0" fontId="10476" fillId="10481" borderId="10428" xfId="0" applyFont="1" applyFill="1" applyBorder="1"/>
    <xf numFmtId="14" fontId="10477" fillId="10482" borderId="10429" xfId="0" applyNumberFormat="1" applyFont="1" applyFill="1" applyBorder="1"/>
    <xf numFmtId="0" fontId="10478" fillId="10483" borderId="10430" xfId="0" applyFont="1" applyFill="1" applyBorder="1"/>
    <xf numFmtId="0" fontId="10479" fillId="10484" borderId="10431" xfId="0" applyFont="1" applyFill="1" applyBorder="1"/>
    <xf numFmtId="0" fontId="10480" fillId="10485" borderId="10432" xfId="0" applyFont="1" applyFill="1" applyBorder="1"/>
    <xf numFmtId="0" fontId="10481" fillId="10486" borderId="10433" xfId="0" applyFont="1" applyFill="1" applyBorder="1"/>
    <xf numFmtId="0" fontId="10482" fillId="10487" borderId="10434" xfId="0" applyFont="1" applyFill="1" applyBorder="1"/>
    <xf numFmtId="0" fontId="10483" fillId="10488" borderId="10435" xfId="0" applyFont="1" applyFill="1" applyBorder="1"/>
    <xf numFmtId="0" fontId="10484" fillId="10489" borderId="10436" xfId="0" applyFont="1" applyFill="1" applyBorder="1"/>
    <xf numFmtId="14" fontId="10485" fillId="10490" borderId="10437" xfId="0" applyNumberFormat="1" applyFont="1" applyFill="1" applyBorder="1"/>
    <xf numFmtId="0" fontId="10486" fillId="10491" borderId="10438" xfId="0" applyFont="1" applyFill="1" applyBorder="1"/>
    <xf numFmtId="14" fontId="10487" fillId="10492" borderId="10439" xfId="0" applyNumberFormat="1" applyFont="1" applyFill="1" applyBorder="1"/>
    <xf numFmtId="0" fontId="10488" fillId="10493" borderId="10440" xfId="0" applyFont="1" applyFill="1" applyBorder="1"/>
    <xf numFmtId="0" fontId="10489" fillId="10494" borderId="10441" xfId="0" applyFont="1" applyFill="1" applyBorder="1"/>
    <xf numFmtId="0" fontId="10490" fillId="10495" borderId="10442" xfId="0" applyFont="1" applyFill="1" applyBorder="1"/>
    <xf numFmtId="0" fontId="10491" fillId="10496" borderId="10443" xfId="0" applyFont="1" applyFill="1" applyBorder="1"/>
    <xf numFmtId="0" fontId="10492" fillId="10497" borderId="10444" xfId="0" applyFont="1" applyFill="1" applyBorder="1"/>
    <xf numFmtId="0" fontId="10493" fillId="10498" borderId="10445" xfId="0" applyFont="1" applyFill="1" applyBorder="1"/>
    <xf numFmtId="0" fontId="10494" fillId="10499" borderId="10446" xfId="0" applyFont="1" applyFill="1" applyBorder="1"/>
    <xf numFmtId="14" fontId="10495" fillId="10500" borderId="10447" xfId="0" applyNumberFormat="1" applyFont="1" applyFill="1" applyBorder="1"/>
    <xf numFmtId="0" fontId="10496" fillId="10501" borderId="10448" xfId="0" applyFont="1" applyFill="1" applyBorder="1"/>
    <xf numFmtId="14" fontId="10497" fillId="10502" borderId="10449" xfId="0" applyNumberFormat="1" applyFont="1" applyFill="1" applyBorder="1"/>
    <xf numFmtId="0" fontId="10498" fillId="10503" borderId="10450" xfId="0" applyFont="1" applyFill="1" applyBorder="1"/>
    <xf numFmtId="0" fontId="10499" fillId="10504" borderId="10451" xfId="0" applyFont="1" applyFill="1" applyBorder="1"/>
    <xf numFmtId="0" fontId="10500" fillId="10505" borderId="10452" xfId="0" applyFont="1" applyFill="1" applyBorder="1"/>
    <xf numFmtId="0" fontId="10501" fillId="10506" borderId="10453" xfId="0" applyFont="1" applyFill="1" applyBorder="1"/>
    <xf numFmtId="0" fontId="10502" fillId="10507" borderId="10454" xfId="0" applyFont="1" applyFill="1" applyBorder="1"/>
    <xf numFmtId="0" fontId="10503" fillId="10508" borderId="10455" xfId="0" applyFont="1" applyFill="1" applyBorder="1"/>
    <xf numFmtId="0" fontId="10504" fillId="10509" borderId="10456" xfId="0" applyFont="1" applyFill="1" applyBorder="1"/>
    <xf numFmtId="14" fontId="10505" fillId="10510" borderId="10457" xfId="0" applyNumberFormat="1" applyFont="1" applyFill="1" applyBorder="1"/>
    <xf numFmtId="0" fontId="10506" fillId="10511" borderId="10458" xfId="0" applyFont="1" applyFill="1" applyBorder="1"/>
    <xf numFmtId="14" fontId="10507" fillId="10512" borderId="10459" xfId="0" applyNumberFormat="1" applyFont="1" applyFill="1" applyBorder="1"/>
    <xf numFmtId="0" fontId="10508" fillId="10513" borderId="10460" xfId="0" applyFont="1" applyFill="1" applyBorder="1"/>
    <xf numFmtId="0" fontId="10509" fillId="10514" borderId="10461" xfId="0" applyFont="1" applyFill="1" applyBorder="1"/>
    <xf numFmtId="0" fontId="10510" fillId="10515" borderId="10462" xfId="0" applyFont="1" applyFill="1" applyBorder="1"/>
    <xf numFmtId="0" fontId="10511" fillId="10516" borderId="10463" xfId="0" applyFont="1" applyFill="1" applyBorder="1"/>
    <xf numFmtId="0" fontId="10512" fillId="10517" borderId="10464" xfId="0" applyFont="1" applyFill="1" applyBorder="1"/>
    <xf numFmtId="0" fontId="10513" fillId="10518" borderId="10465" xfId="0" applyFont="1" applyFill="1" applyBorder="1"/>
    <xf numFmtId="0" fontId="10514" fillId="10519" borderId="10466" xfId="0" applyFont="1" applyFill="1" applyBorder="1"/>
    <xf numFmtId="14" fontId="10515" fillId="10520" borderId="10467" xfId="0" applyNumberFormat="1" applyFont="1" applyFill="1" applyBorder="1"/>
    <xf numFmtId="0" fontId="10516" fillId="10521" borderId="10468" xfId="0" applyFont="1" applyFill="1" applyBorder="1"/>
    <xf numFmtId="14" fontId="10517" fillId="10522" borderId="10469" xfId="0" applyNumberFormat="1" applyFont="1" applyFill="1" applyBorder="1"/>
    <xf numFmtId="0" fontId="10518" fillId="10523" borderId="10470" xfId="0" applyFont="1" applyFill="1" applyBorder="1"/>
    <xf numFmtId="0" fontId="10519" fillId="10524" borderId="10471" xfId="0" applyFont="1" applyFill="1" applyBorder="1"/>
    <xf numFmtId="0" fontId="10520" fillId="10525" borderId="10472" xfId="0" applyFont="1" applyFill="1" applyBorder="1"/>
    <xf numFmtId="0" fontId="10521" fillId="10526" borderId="10473" xfId="0" applyFont="1" applyFill="1" applyBorder="1"/>
    <xf numFmtId="0" fontId="10522" fillId="10527" borderId="10474" xfId="0" applyFont="1" applyFill="1" applyBorder="1"/>
    <xf numFmtId="0" fontId="10523" fillId="10528" borderId="10475" xfId="0" applyFont="1" applyFill="1" applyBorder="1"/>
    <xf numFmtId="0" fontId="10524" fillId="10529" borderId="10476" xfId="0" applyFont="1" applyFill="1" applyBorder="1"/>
    <xf numFmtId="14" fontId="10525" fillId="10530" borderId="10477" xfId="0" applyNumberFormat="1" applyFont="1" applyFill="1" applyBorder="1"/>
    <xf numFmtId="0" fontId="10526" fillId="10531" borderId="10478" xfId="0" applyFont="1" applyFill="1" applyBorder="1"/>
    <xf numFmtId="14" fontId="10527" fillId="10532" borderId="10479" xfId="0" applyNumberFormat="1" applyFont="1" applyFill="1" applyBorder="1"/>
    <xf numFmtId="0" fontId="10528" fillId="10533" borderId="10480" xfId="0" applyFont="1" applyFill="1" applyBorder="1"/>
    <xf numFmtId="0" fontId="10529" fillId="10534" borderId="10481" xfId="0" applyFont="1" applyFill="1" applyBorder="1"/>
    <xf numFmtId="0" fontId="10530" fillId="10535" borderId="10482" xfId="0" applyFont="1" applyFill="1" applyBorder="1"/>
    <xf numFmtId="0" fontId="10531" fillId="10536" borderId="10483" xfId="0" applyFont="1" applyFill="1" applyBorder="1"/>
    <xf numFmtId="0" fontId="10532" fillId="10537" borderId="10484" xfId="0" applyFont="1" applyFill="1" applyBorder="1"/>
    <xf numFmtId="0" fontId="10533" fillId="10538" borderId="10485" xfId="0" applyFont="1" applyFill="1" applyBorder="1"/>
    <xf numFmtId="0" fontId="10534" fillId="10539" borderId="10486" xfId="0" applyFont="1" applyFill="1" applyBorder="1"/>
    <xf numFmtId="14" fontId="10535" fillId="10540" borderId="10487" xfId="0" applyNumberFormat="1" applyFont="1" applyFill="1" applyBorder="1"/>
    <xf numFmtId="0" fontId="10536" fillId="10541" borderId="10488" xfId="0" applyFont="1" applyFill="1" applyBorder="1"/>
    <xf numFmtId="14" fontId="10537" fillId="10542" borderId="10489" xfId="0" applyNumberFormat="1" applyFont="1" applyFill="1" applyBorder="1"/>
    <xf numFmtId="0" fontId="10538" fillId="10543" borderId="10490" xfId="0" applyFont="1" applyFill="1" applyBorder="1"/>
    <xf numFmtId="0" fontId="10539" fillId="10544" borderId="10491" xfId="0" applyFont="1" applyFill="1" applyBorder="1"/>
    <xf numFmtId="0" fontId="10540" fillId="10545" borderId="10492" xfId="0" applyFont="1" applyFill="1" applyBorder="1"/>
    <xf numFmtId="0" fontId="10541" fillId="10546" borderId="10493" xfId="0" applyFont="1" applyFill="1" applyBorder="1"/>
    <xf numFmtId="0" fontId="10542" fillId="10547" borderId="10494" xfId="0" applyFont="1" applyFill="1" applyBorder="1"/>
    <xf numFmtId="0" fontId="10543" fillId="10548" borderId="10495" xfId="0" applyFont="1" applyFill="1" applyBorder="1"/>
    <xf numFmtId="0" fontId="10544" fillId="10549" borderId="10496" xfId="0" applyFont="1" applyFill="1" applyBorder="1"/>
    <xf numFmtId="14" fontId="10545" fillId="10550" borderId="10497" xfId="0" applyNumberFormat="1" applyFont="1" applyFill="1" applyBorder="1"/>
    <xf numFmtId="0" fontId="10546" fillId="10551" borderId="10498" xfId="0" applyFont="1" applyFill="1" applyBorder="1"/>
    <xf numFmtId="14" fontId="10547" fillId="10552" borderId="10499" xfId="0" applyNumberFormat="1" applyFont="1" applyFill="1" applyBorder="1"/>
    <xf numFmtId="0" fontId="10548" fillId="10553" borderId="10500" xfId="0" applyFont="1" applyFill="1" applyBorder="1"/>
    <xf numFmtId="0" fontId="10549" fillId="10554" borderId="10501" xfId="0" applyFont="1" applyFill="1" applyBorder="1"/>
    <xf numFmtId="0" fontId="10550" fillId="10555" borderId="10502" xfId="0" applyFont="1" applyFill="1" applyBorder="1"/>
    <xf numFmtId="0" fontId="10551" fillId="10556" borderId="10503" xfId="0" applyFont="1" applyFill="1" applyBorder="1"/>
    <xf numFmtId="0" fontId="10552" fillId="10557" borderId="10504" xfId="0" applyFont="1" applyFill="1" applyBorder="1"/>
    <xf numFmtId="0" fontId="10553" fillId="10558" borderId="10505" xfId="0" applyFont="1" applyFill="1" applyBorder="1"/>
    <xf numFmtId="0" fontId="10554" fillId="10559" borderId="10506" xfId="0" applyFont="1" applyFill="1" applyBorder="1"/>
    <xf numFmtId="14" fontId="10555" fillId="10560" borderId="10507" xfId="0" applyNumberFormat="1" applyFont="1" applyFill="1" applyBorder="1"/>
    <xf numFmtId="0" fontId="10556" fillId="10561" borderId="10508" xfId="0" applyFont="1" applyFill="1" applyBorder="1"/>
    <xf numFmtId="14" fontId="10557" fillId="10562" borderId="10509" xfId="0" applyNumberFormat="1" applyFont="1" applyFill="1" applyBorder="1"/>
    <xf numFmtId="0" fontId="10558" fillId="10563" borderId="10510" xfId="0" applyFont="1" applyFill="1" applyBorder="1"/>
    <xf numFmtId="0" fontId="10559" fillId="10564" borderId="10511" xfId="0" applyFont="1" applyFill="1" applyBorder="1"/>
    <xf numFmtId="0" fontId="10560" fillId="10565" borderId="10512" xfId="0" applyFont="1" applyFill="1" applyBorder="1"/>
    <xf numFmtId="0" fontId="10561" fillId="10566" borderId="10513" xfId="0" applyFont="1" applyFill="1" applyBorder="1"/>
    <xf numFmtId="0" fontId="10562" fillId="10567" borderId="10514" xfId="0" applyFont="1" applyFill="1" applyBorder="1"/>
    <xf numFmtId="0" fontId="10563" fillId="10568" borderId="10515" xfId="0" applyFont="1" applyFill="1" applyBorder="1"/>
    <xf numFmtId="0" fontId="10564" fillId="10569" borderId="10516" xfId="0" applyFont="1" applyFill="1" applyBorder="1"/>
    <xf numFmtId="14" fontId="10565" fillId="10570" borderId="10517" xfId="0" applyNumberFormat="1" applyFont="1" applyFill="1" applyBorder="1"/>
    <xf numFmtId="0" fontId="10566" fillId="10571" borderId="10518" xfId="0" applyFont="1" applyFill="1" applyBorder="1"/>
    <xf numFmtId="14" fontId="10567" fillId="10572" borderId="10519" xfId="0" applyNumberFormat="1" applyFont="1" applyFill="1" applyBorder="1"/>
    <xf numFmtId="0" fontId="10568" fillId="10573" borderId="10520" xfId="0" applyFont="1" applyFill="1" applyBorder="1"/>
    <xf numFmtId="0" fontId="10569" fillId="10574" borderId="10521" xfId="0" applyFont="1" applyFill="1" applyBorder="1"/>
    <xf numFmtId="0" fontId="10570" fillId="10575" borderId="10522" xfId="0" applyFont="1" applyFill="1" applyBorder="1"/>
    <xf numFmtId="0" fontId="10571" fillId="10576" borderId="10523" xfId="0" applyFont="1" applyFill="1" applyBorder="1"/>
    <xf numFmtId="0" fontId="10572" fillId="10577" borderId="10524" xfId="0" applyFont="1" applyFill="1" applyBorder="1"/>
    <xf numFmtId="0" fontId="10573" fillId="10578" borderId="10525" xfId="0" applyFont="1" applyFill="1" applyBorder="1"/>
    <xf numFmtId="0" fontId="10574" fillId="10579" borderId="10526" xfId="0" applyFont="1" applyFill="1" applyBorder="1"/>
    <xf numFmtId="14" fontId="10575" fillId="10580" borderId="10527" xfId="0" applyNumberFormat="1" applyFont="1" applyFill="1" applyBorder="1"/>
    <xf numFmtId="0" fontId="10576" fillId="10581" borderId="10528" xfId="0" applyFont="1" applyFill="1" applyBorder="1"/>
    <xf numFmtId="14" fontId="10577" fillId="10582" borderId="10529" xfId="0" applyNumberFormat="1" applyFont="1" applyFill="1" applyBorder="1"/>
    <xf numFmtId="0" fontId="10578" fillId="10583" borderId="10530" xfId="0" applyFont="1" applyFill="1" applyBorder="1"/>
    <xf numFmtId="0" fontId="10579" fillId="10584" borderId="10531" xfId="0" applyFont="1" applyFill="1" applyBorder="1"/>
    <xf numFmtId="0" fontId="10580" fillId="10585" borderId="10532" xfId="0" applyFont="1" applyFill="1" applyBorder="1"/>
    <xf numFmtId="0" fontId="10581" fillId="10586" borderId="10533" xfId="0" applyFont="1" applyFill="1" applyBorder="1"/>
    <xf numFmtId="0" fontId="10582" fillId="10587" borderId="10534" xfId="0" applyFont="1" applyFill="1" applyBorder="1"/>
    <xf numFmtId="0" fontId="10583" fillId="10588" borderId="10535" xfId="0" applyFont="1" applyFill="1" applyBorder="1"/>
    <xf numFmtId="0" fontId="10584" fillId="10589" borderId="10536" xfId="0" applyFont="1" applyFill="1" applyBorder="1"/>
    <xf numFmtId="14" fontId="10585" fillId="10590" borderId="10537" xfId="0" applyNumberFormat="1" applyFont="1" applyFill="1" applyBorder="1"/>
    <xf numFmtId="0" fontId="10586" fillId="10591" borderId="10538" xfId="0" applyFont="1" applyFill="1" applyBorder="1"/>
    <xf numFmtId="14" fontId="10587" fillId="10592" borderId="10539" xfId="0" applyNumberFormat="1" applyFont="1" applyFill="1" applyBorder="1"/>
    <xf numFmtId="0" fontId="10588" fillId="10593" borderId="10540" xfId="0" applyFont="1" applyFill="1" applyBorder="1"/>
    <xf numFmtId="0" fontId="10589" fillId="10594" borderId="10541" xfId="0" applyFont="1" applyFill="1" applyBorder="1"/>
    <xf numFmtId="0" fontId="10590" fillId="10595" borderId="10542" xfId="0" applyFont="1" applyFill="1" applyBorder="1"/>
    <xf numFmtId="0" fontId="10591" fillId="10596" borderId="10543" xfId="0" applyFont="1" applyFill="1" applyBorder="1"/>
    <xf numFmtId="0" fontId="10592" fillId="10597" borderId="10544" xfId="0" applyFont="1" applyFill="1" applyBorder="1"/>
    <xf numFmtId="0" fontId="10593" fillId="10598" borderId="10545" xfId="0" applyFont="1" applyFill="1" applyBorder="1"/>
    <xf numFmtId="0" fontId="10594" fillId="10599" borderId="10546" xfId="0" applyFont="1" applyFill="1" applyBorder="1"/>
    <xf numFmtId="14" fontId="10595" fillId="10600" borderId="10547" xfId="0" applyNumberFormat="1" applyFont="1" applyFill="1" applyBorder="1"/>
    <xf numFmtId="0" fontId="10596" fillId="10601" borderId="10548" xfId="0" applyFont="1" applyFill="1" applyBorder="1"/>
    <xf numFmtId="14" fontId="10597" fillId="10602" borderId="10549" xfId="0" applyNumberFormat="1" applyFont="1" applyFill="1" applyBorder="1"/>
    <xf numFmtId="0" fontId="10598" fillId="10603" borderId="10550" xfId="0" applyFont="1" applyFill="1" applyBorder="1"/>
    <xf numFmtId="0" fontId="10599" fillId="10604" borderId="10551" xfId="0" applyFont="1" applyFill="1" applyBorder="1"/>
    <xf numFmtId="0" fontId="10600" fillId="10605" borderId="10552" xfId="0" applyFont="1" applyFill="1" applyBorder="1"/>
    <xf numFmtId="0" fontId="10601" fillId="10606" borderId="10553" xfId="0" applyFont="1" applyFill="1" applyBorder="1"/>
    <xf numFmtId="0" fontId="10602" fillId="10607" borderId="10554" xfId="0" applyFont="1" applyFill="1" applyBorder="1"/>
    <xf numFmtId="0" fontId="10603" fillId="10608" borderId="10555" xfId="0" applyFont="1" applyFill="1" applyBorder="1"/>
    <xf numFmtId="0" fontId="10604" fillId="10609" borderId="10556" xfId="0" applyFont="1" applyFill="1" applyBorder="1"/>
    <xf numFmtId="14" fontId="10605" fillId="10610" borderId="10557" xfId="0" applyNumberFormat="1" applyFont="1" applyFill="1" applyBorder="1"/>
    <xf numFmtId="0" fontId="10606" fillId="10611" borderId="10558" xfId="0" applyFont="1" applyFill="1" applyBorder="1"/>
    <xf numFmtId="14" fontId="10607" fillId="10612" borderId="10559" xfId="0" applyNumberFormat="1" applyFont="1" applyFill="1" applyBorder="1"/>
    <xf numFmtId="0" fontId="10608" fillId="10613" borderId="10560" xfId="0" applyFont="1" applyFill="1" applyBorder="1"/>
    <xf numFmtId="0" fontId="10609" fillId="10614" borderId="10561" xfId="0" applyFont="1" applyFill="1" applyBorder="1"/>
    <xf numFmtId="0" fontId="10610" fillId="10615" borderId="10562" xfId="0" applyFont="1" applyFill="1" applyBorder="1"/>
    <xf numFmtId="0" fontId="10611" fillId="10616" borderId="10563" xfId="0" applyFont="1" applyFill="1" applyBorder="1"/>
    <xf numFmtId="0" fontId="10612" fillId="10617" borderId="10564" xfId="0" applyFont="1" applyFill="1" applyBorder="1"/>
    <xf numFmtId="0" fontId="10613" fillId="10618" borderId="10565" xfId="0" applyFont="1" applyFill="1" applyBorder="1"/>
    <xf numFmtId="0" fontId="10614" fillId="10619" borderId="10566" xfId="0" applyFont="1" applyFill="1" applyBorder="1"/>
    <xf numFmtId="14" fontId="10615" fillId="10620" borderId="10567" xfId="0" applyNumberFormat="1" applyFont="1" applyFill="1" applyBorder="1"/>
    <xf numFmtId="0" fontId="10616" fillId="10621" borderId="10568" xfId="0" applyFont="1" applyFill="1" applyBorder="1"/>
    <xf numFmtId="14" fontId="10617" fillId="10622" borderId="10569" xfId="0" applyNumberFormat="1" applyFont="1" applyFill="1" applyBorder="1"/>
    <xf numFmtId="0" fontId="10618" fillId="10623" borderId="10570" xfId="0" applyFont="1" applyFill="1" applyBorder="1"/>
    <xf numFmtId="0" fontId="10619" fillId="10624" borderId="10571" xfId="0" applyFont="1" applyFill="1" applyBorder="1"/>
    <xf numFmtId="0" fontId="10620" fillId="10625" borderId="10572" xfId="0" applyFont="1" applyFill="1" applyBorder="1"/>
    <xf numFmtId="0" fontId="10621" fillId="10626" borderId="10573" xfId="0" applyFont="1" applyFill="1" applyBorder="1"/>
    <xf numFmtId="0" fontId="10622" fillId="10627" borderId="10574" xfId="0" applyFont="1" applyFill="1" applyBorder="1"/>
    <xf numFmtId="0" fontId="10623" fillId="10628" borderId="10575" xfId="0" applyFont="1" applyFill="1" applyBorder="1"/>
    <xf numFmtId="0" fontId="10624" fillId="10629" borderId="10576" xfId="0" applyFont="1" applyFill="1" applyBorder="1"/>
    <xf numFmtId="14" fontId="10625" fillId="10630" borderId="10577" xfId="0" applyNumberFormat="1" applyFont="1" applyFill="1" applyBorder="1"/>
    <xf numFmtId="0" fontId="10626" fillId="10631" borderId="10578" xfId="0" applyFont="1" applyFill="1" applyBorder="1"/>
    <xf numFmtId="14" fontId="10627" fillId="10632" borderId="10579" xfId="0" applyNumberFormat="1" applyFont="1" applyFill="1" applyBorder="1"/>
    <xf numFmtId="0" fontId="10628" fillId="10633" borderId="10580" xfId="0" applyFont="1" applyFill="1" applyBorder="1"/>
    <xf numFmtId="0" fontId="10629" fillId="10634" borderId="10581" xfId="0" applyFont="1" applyFill="1" applyBorder="1"/>
    <xf numFmtId="0" fontId="10630" fillId="10635" borderId="10582" xfId="0" applyFont="1" applyFill="1" applyBorder="1"/>
    <xf numFmtId="0" fontId="10631" fillId="10636" borderId="10583" xfId="0" applyFont="1" applyFill="1" applyBorder="1"/>
    <xf numFmtId="0" fontId="10632" fillId="10637" borderId="10584" xfId="0" applyFont="1" applyFill="1" applyBorder="1"/>
    <xf numFmtId="0" fontId="10633" fillId="10638" borderId="10585" xfId="0" applyFont="1" applyFill="1" applyBorder="1"/>
    <xf numFmtId="0" fontId="10634" fillId="10639" borderId="10586" xfId="0" applyFont="1" applyFill="1" applyBorder="1"/>
    <xf numFmtId="14" fontId="10635" fillId="10640" borderId="10587" xfId="0" applyNumberFormat="1" applyFont="1" applyFill="1" applyBorder="1"/>
    <xf numFmtId="0" fontId="10636" fillId="10641" borderId="10588" xfId="0" applyFont="1" applyFill="1" applyBorder="1"/>
    <xf numFmtId="14" fontId="10637" fillId="10642" borderId="10589" xfId="0" applyNumberFormat="1" applyFont="1" applyFill="1" applyBorder="1"/>
    <xf numFmtId="0" fontId="10638" fillId="10643" borderId="10590" xfId="0" applyFont="1" applyFill="1" applyBorder="1"/>
    <xf numFmtId="0" fontId="10639" fillId="10644" borderId="10591" xfId="0" applyFont="1" applyFill="1" applyBorder="1"/>
    <xf numFmtId="0" fontId="10640" fillId="10645" borderId="10592" xfId="0" applyFont="1" applyFill="1" applyBorder="1"/>
    <xf numFmtId="0" fontId="10641" fillId="10646" borderId="10593" xfId="0" applyFont="1" applyFill="1" applyBorder="1"/>
    <xf numFmtId="0" fontId="10642" fillId="10647" borderId="10594" xfId="0" applyFont="1" applyFill="1" applyBorder="1"/>
    <xf numFmtId="0" fontId="10643" fillId="10648" borderId="10595" xfId="0" applyFont="1" applyFill="1" applyBorder="1"/>
    <xf numFmtId="0" fontId="10644" fillId="10649" borderId="10596" xfId="0" applyFont="1" applyFill="1" applyBorder="1"/>
    <xf numFmtId="14" fontId="10645" fillId="10650" borderId="10597" xfId="0" applyNumberFormat="1" applyFont="1" applyFill="1" applyBorder="1"/>
    <xf numFmtId="0" fontId="10646" fillId="10651" borderId="10598" xfId="0" applyFont="1" applyFill="1" applyBorder="1"/>
    <xf numFmtId="14" fontId="10647" fillId="10652" borderId="10599" xfId="0" applyNumberFormat="1" applyFont="1" applyFill="1" applyBorder="1"/>
    <xf numFmtId="0" fontId="10648" fillId="10653" borderId="10600" xfId="0" applyFont="1" applyFill="1" applyBorder="1"/>
    <xf numFmtId="0" fontId="10649" fillId="10654" borderId="10601" xfId="0" applyFont="1" applyFill="1" applyBorder="1"/>
    <xf numFmtId="0" fontId="10650" fillId="10655" borderId="10602" xfId="0" applyFont="1" applyFill="1" applyBorder="1"/>
    <xf numFmtId="0" fontId="10651" fillId="10656" borderId="10603" xfId="0" applyFont="1" applyFill="1" applyBorder="1"/>
    <xf numFmtId="0" fontId="10652" fillId="10657" borderId="10604" xfId="0" applyFont="1" applyFill="1" applyBorder="1"/>
    <xf numFmtId="0" fontId="10653" fillId="10658" borderId="10605" xfId="0" applyFont="1" applyFill="1" applyBorder="1"/>
    <xf numFmtId="0" fontId="10654" fillId="10659" borderId="10606" xfId="0" applyFont="1" applyFill="1" applyBorder="1"/>
    <xf numFmtId="14" fontId="10655" fillId="10660" borderId="10607" xfId="0" applyNumberFormat="1" applyFont="1" applyFill="1" applyBorder="1"/>
    <xf numFmtId="0" fontId="10656" fillId="10661" borderId="10608" xfId="0" applyFont="1" applyFill="1" applyBorder="1"/>
    <xf numFmtId="14" fontId="10657" fillId="10662" borderId="10609" xfId="0" applyNumberFormat="1" applyFont="1" applyFill="1" applyBorder="1"/>
    <xf numFmtId="0" fontId="10658" fillId="10663" borderId="10610" xfId="0" applyFont="1" applyFill="1" applyBorder="1"/>
    <xf numFmtId="0" fontId="10659" fillId="10664" borderId="10611" xfId="0" applyFont="1" applyFill="1" applyBorder="1"/>
    <xf numFmtId="0" fontId="10660" fillId="10665" borderId="10612" xfId="0" applyFont="1" applyFill="1" applyBorder="1"/>
    <xf numFmtId="0" fontId="10661" fillId="10666" borderId="10613" xfId="0" applyFont="1" applyFill="1" applyBorder="1"/>
    <xf numFmtId="0" fontId="10662" fillId="10667" borderId="10614" xfId="0" applyFont="1" applyFill="1" applyBorder="1"/>
    <xf numFmtId="0" fontId="10663" fillId="10668" borderId="10615" xfId="0" applyFont="1" applyFill="1" applyBorder="1"/>
    <xf numFmtId="0" fontId="10664" fillId="10669" borderId="10616" xfId="0" applyFont="1" applyFill="1" applyBorder="1"/>
    <xf numFmtId="14" fontId="10665" fillId="10670" borderId="10617" xfId="0" applyNumberFormat="1" applyFont="1" applyFill="1" applyBorder="1"/>
    <xf numFmtId="0" fontId="10666" fillId="10671" borderId="10618" xfId="0" applyFont="1" applyFill="1" applyBorder="1"/>
    <xf numFmtId="14" fontId="10667" fillId="10672" borderId="10619" xfId="0" applyNumberFormat="1" applyFont="1" applyFill="1" applyBorder="1"/>
    <xf numFmtId="0" fontId="10668" fillId="10673" borderId="10620" xfId="0" applyFont="1" applyFill="1" applyBorder="1"/>
    <xf numFmtId="0" fontId="10669" fillId="10674" borderId="10621" xfId="0" applyFont="1" applyFill="1" applyBorder="1"/>
    <xf numFmtId="0" fontId="10670" fillId="10675" borderId="10622" xfId="0" applyFont="1" applyFill="1" applyBorder="1"/>
    <xf numFmtId="0" fontId="10671" fillId="10676" borderId="10623" xfId="0" applyFont="1" applyFill="1" applyBorder="1"/>
    <xf numFmtId="0" fontId="10672" fillId="10677" borderId="10624" xfId="0" applyFont="1" applyFill="1" applyBorder="1"/>
    <xf numFmtId="0" fontId="10673" fillId="10678" borderId="10625" xfId="0" applyFont="1" applyFill="1" applyBorder="1"/>
    <xf numFmtId="0" fontId="10674" fillId="10679" borderId="10626" xfId="0" applyFont="1" applyFill="1" applyBorder="1"/>
    <xf numFmtId="14" fontId="10675" fillId="10680" borderId="10627" xfId="0" applyNumberFormat="1" applyFont="1" applyFill="1" applyBorder="1"/>
    <xf numFmtId="0" fontId="10676" fillId="10681" borderId="10628" xfId="0" applyFont="1" applyFill="1" applyBorder="1"/>
    <xf numFmtId="14" fontId="10677" fillId="10682" borderId="10629" xfId="0" applyNumberFormat="1" applyFont="1" applyFill="1" applyBorder="1"/>
    <xf numFmtId="0" fontId="10678" fillId="10683" borderId="10630" xfId="0" applyFont="1" applyFill="1" applyBorder="1"/>
    <xf numFmtId="0" fontId="10679" fillId="10684" borderId="10631" xfId="0" applyFont="1" applyFill="1" applyBorder="1"/>
    <xf numFmtId="0" fontId="10680" fillId="10685" borderId="10632" xfId="0" applyFont="1" applyFill="1" applyBorder="1"/>
    <xf numFmtId="0" fontId="10681" fillId="10686" borderId="10633" xfId="0" applyFont="1" applyFill="1" applyBorder="1"/>
    <xf numFmtId="0" fontId="10682" fillId="10687" borderId="10634" xfId="0" applyFont="1" applyFill="1" applyBorder="1"/>
    <xf numFmtId="0" fontId="10683" fillId="10688" borderId="10635" xfId="0" applyFont="1" applyFill="1" applyBorder="1"/>
    <xf numFmtId="0" fontId="10684" fillId="10689" borderId="10636" xfId="0" applyFont="1" applyFill="1" applyBorder="1"/>
    <xf numFmtId="14" fontId="10685" fillId="10690" borderId="10637" xfId="0" applyNumberFormat="1" applyFont="1" applyFill="1" applyBorder="1"/>
    <xf numFmtId="0" fontId="10686" fillId="10691" borderId="10638" xfId="0" applyFont="1" applyFill="1" applyBorder="1"/>
    <xf numFmtId="14" fontId="10687" fillId="10692" borderId="10639" xfId="0" applyNumberFormat="1" applyFont="1" applyFill="1" applyBorder="1"/>
    <xf numFmtId="0" fontId="10688" fillId="10693" borderId="10640" xfId="0" applyFont="1" applyFill="1" applyBorder="1"/>
    <xf numFmtId="0" fontId="10689" fillId="10694" borderId="10641" xfId="0" applyFont="1" applyFill="1" applyBorder="1"/>
    <xf numFmtId="0" fontId="10690" fillId="10695" borderId="10642" xfId="0" applyFont="1" applyFill="1" applyBorder="1"/>
    <xf numFmtId="0" fontId="10691" fillId="10696" borderId="10643" xfId="0" applyFont="1" applyFill="1" applyBorder="1"/>
    <xf numFmtId="0" fontId="10692" fillId="10697" borderId="10644" xfId="0" applyFont="1" applyFill="1" applyBorder="1"/>
    <xf numFmtId="0" fontId="10693" fillId="10698" borderId="10645" xfId="0" applyFont="1" applyFill="1" applyBorder="1"/>
    <xf numFmtId="0" fontId="10694" fillId="10699" borderId="10646" xfId="0" applyFont="1" applyFill="1" applyBorder="1"/>
    <xf numFmtId="14" fontId="10695" fillId="10700" borderId="10647" xfId="0" applyNumberFormat="1" applyFont="1" applyFill="1" applyBorder="1"/>
    <xf numFmtId="0" fontId="10696" fillId="10701" borderId="10648" xfId="0" applyFont="1" applyFill="1" applyBorder="1"/>
    <xf numFmtId="14" fontId="10697" fillId="10702" borderId="10649" xfId="0" applyNumberFormat="1" applyFont="1" applyFill="1" applyBorder="1"/>
    <xf numFmtId="0" fontId="10698" fillId="10703" borderId="10650" xfId="0" applyFont="1" applyFill="1" applyBorder="1"/>
    <xf numFmtId="0" fontId="10699" fillId="10704" borderId="10651" xfId="0" applyFont="1" applyFill="1" applyBorder="1"/>
    <xf numFmtId="0" fontId="10700" fillId="10705" borderId="10652" xfId="0" applyFont="1" applyFill="1" applyBorder="1"/>
    <xf numFmtId="0" fontId="10701" fillId="10706" borderId="10653" xfId="0" applyFont="1" applyFill="1" applyBorder="1"/>
    <xf numFmtId="0" fontId="10702" fillId="10707" borderId="10654" xfId="0" applyFont="1" applyFill="1" applyBorder="1"/>
    <xf numFmtId="0" fontId="10703" fillId="10708" borderId="10655" xfId="0" applyFont="1" applyFill="1" applyBorder="1"/>
    <xf numFmtId="0" fontId="10704" fillId="10709" borderId="10656" xfId="0" applyFont="1" applyFill="1" applyBorder="1"/>
    <xf numFmtId="14" fontId="10705" fillId="10710" borderId="10657" xfId="0" applyNumberFormat="1" applyFont="1" applyFill="1" applyBorder="1"/>
    <xf numFmtId="0" fontId="10706" fillId="10711" borderId="10658" xfId="0" applyFont="1" applyFill="1" applyBorder="1"/>
    <xf numFmtId="14" fontId="10707" fillId="10712" borderId="10659" xfId="0" applyNumberFormat="1" applyFont="1" applyFill="1" applyBorder="1"/>
    <xf numFmtId="0" fontId="10708" fillId="10713" borderId="10660" xfId="0" applyFont="1" applyFill="1" applyBorder="1"/>
    <xf numFmtId="0" fontId="10709" fillId="10714" borderId="10661" xfId="0" applyFont="1" applyFill="1" applyBorder="1"/>
    <xf numFmtId="0" fontId="10710" fillId="10715" borderId="10662" xfId="0" applyFont="1" applyFill="1" applyBorder="1"/>
    <xf numFmtId="0" fontId="10711" fillId="10716" borderId="10663" xfId="0" applyFont="1" applyFill="1" applyBorder="1"/>
    <xf numFmtId="0" fontId="10712" fillId="10717" borderId="10664" xfId="0" applyFont="1" applyFill="1" applyBorder="1"/>
    <xf numFmtId="0" fontId="10713" fillId="10718" borderId="10665" xfId="0" applyFont="1" applyFill="1" applyBorder="1"/>
    <xf numFmtId="0" fontId="10714" fillId="10719" borderId="10666" xfId="0" applyFont="1" applyFill="1" applyBorder="1"/>
    <xf numFmtId="14" fontId="10715" fillId="10720" borderId="10667" xfId="0" applyNumberFormat="1" applyFont="1" applyFill="1" applyBorder="1"/>
    <xf numFmtId="0" fontId="10716" fillId="10721" borderId="10668" xfId="0" applyFont="1" applyFill="1" applyBorder="1"/>
    <xf numFmtId="14" fontId="10717" fillId="10722" borderId="10669" xfId="0" applyNumberFormat="1" applyFont="1" applyFill="1" applyBorder="1"/>
    <xf numFmtId="0" fontId="10718" fillId="10723" borderId="10670" xfId="0" applyFont="1" applyFill="1" applyBorder="1"/>
    <xf numFmtId="0" fontId="10719" fillId="10724" borderId="10671" xfId="0" applyFont="1" applyFill="1" applyBorder="1"/>
    <xf numFmtId="0" fontId="10720" fillId="10725" borderId="10672" xfId="0" applyFont="1" applyFill="1" applyBorder="1"/>
    <xf numFmtId="0" fontId="10721" fillId="10726" borderId="10673" xfId="0" applyFont="1" applyFill="1" applyBorder="1"/>
    <xf numFmtId="0" fontId="10722" fillId="10727" borderId="10674" xfId="0" applyFont="1" applyFill="1" applyBorder="1"/>
    <xf numFmtId="0" fontId="10723" fillId="10728" borderId="10675" xfId="0" applyFont="1" applyFill="1" applyBorder="1"/>
    <xf numFmtId="0" fontId="10724" fillId="10729" borderId="10676" xfId="0" applyFont="1" applyFill="1" applyBorder="1"/>
    <xf numFmtId="14" fontId="10725" fillId="10730" borderId="10677" xfId="0" applyNumberFormat="1" applyFont="1" applyFill="1" applyBorder="1"/>
    <xf numFmtId="0" fontId="10726" fillId="10731" borderId="10678" xfId="0" applyFont="1" applyFill="1" applyBorder="1"/>
    <xf numFmtId="14" fontId="10727" fillId="10732" borderId="10679" xfId="0" applyNumberFormat="1" applyFont="1" applyFill="1" applyBorder="1"/>
    <xf numFmtId="0" fontId="10728" fillId="10733" borderId="10680" xfId="0" applyFont="1" applyFill="1" applyBorder="1"/>
    <xf numFmtId="0" fontId="10729" fillId="10734" borderId="10681" xfId="0" applyFont="1" applyFill="1" applyBorder="1"/>
    <xf numFmtId="0" fontId="10730" fillId="10735" borderId="10682" xfId="0" applyFont="1" applyFill="1" applyBorder="1"/>
    <xf numFmtId="0" fontId="10731" fillId="10736" borderId="10683" xfId="0" applyFont="1" applyFill="1" applyBorder="1"/>
    <xf numFmtId="0" fontId="10732" fillId="10737" borderId="10684" xfId="0" applyFont="1" applyFill="1" applyBorder="1"/>
    <xf numFmtId="0" fontId="10733" fillId="10738" borderId="10685" xfId="0" applyFont="1" applyFill="1" applyBorder="1"/>
    <xf numFmtId="0" fontId="10734" fillId="10739" borderId="10686" xfId="0" applyFont="1" applyFill="1" applyBorder="1"/>
    <xf numFmtId="14" fontId="10735" fillId="10740" borderId="10687" xfId="0" applyNumberFormat="1" applyFont="1" applyFill="1" applyBorder="1"/>
    <xf numFmtId="0" fontId="10736" fillId="10741" borderId="10688" xfId="0" applyFont="1" applyFill="1" applyBorder="1"/>
    <xf numFmtId="14" fontId="10737" fillId="10742" borderId="10689" xfId="0" applyNumberFormat="1" applyFont="1" applyFill="1" applyBorder="1"/>
    <xf numFmtId="0" fontId="10738" fillId="10743" borderId="10690" xfId="0" applyFont="1" applyFill="1" applyBorder="1"/>
    <xf numFmtId="0" fontId="10739" fillId="10744" borderId="10691" xfId="0" applyFont="1" applyFill="1" applyBorder="1"/>
    <xf numFmtId="0" fontId="10740" fillId="10745" borderId="10692" xfId="0" applyFont="1" applyFill="1" applyBorder="1"/>
    <xf numFmtId="0" fontId="10741" fillId="10746" borderId="10693" xfId="0" applyFont="1" applyFill="1" applyBorder="1"/>
    <xf numFmtId="0" fontId="10742" fillId="10747" borderId="10694" xfId="0" applyFont="1" applyFill="1" applyBorder="1"/>
    <xf numFmtId="0" fontId="10743" fillId="10748" borderId="10695" xfId="0" applyFont="1" applyFill="1" applyBorder="1"/>
    <xf numFmtId="0" fontId="10744" fillId="10749" borderId="10696" xfId="0" applyFont="1" applyFill="1" applyBorder="1"/>
    <xf numFmtId="14" fontId="10745" fillId="10750" borderId="10697" xfId="0" applyNumberFormat="1" applyFont="1" applyFill="1" applyBorder="1"/>
    <xf numFmtId="0" fontId="10746" fillId="10751" borderId="10698" xfId="0" applyFont="1" applyFill="1" applyBorder="1"/>
    <xf numFmtId="14" fontId="10747" fillId="10752" borderId="10699" xfId="0" applyNumberFormat="1" applyFont="1" applyFill="1" applyBorder="1"/>
    <xf numFmtId="0" fontId="10748" fillId="10753" borderId="10700" xfId="0" applyFont="1" applyFill="1" applyBorder="1"/>
    <xf numFmtId="0" fontId="10749" fillId="10754" borderId="10701" xfId="0" applyFont="1" applyFill="1" applyBorder="1"/>
    <xf numFmtId="0" fontId="10750" fillId="10755" borderId="10702" xfId="0" applyFont="1" applyFill="1" applyBorder="1"/>
    <xf numFmtId="0" fontId="10751" fillId="10756" borderId="10703" xfId="0" applyFont="1" applyFill="1" applyBorder="1"/>
    <xf numFmtId="0" fontId="10752" fillId="10757" borderId="10704" xfId="0" applyFont="1" applyFill="1" applyBorder="1"/>
    <xf numFmtId="0" fontId="10753" fillId="10758" borderId="10705" xfId="0" applyFont="1" applyFill="1" applyBorder="1"/>
    <xf numFmtId="0" fontId="10754" fillId="10759" borderId="10706" xfId="0" applyFont="1" applyFill="1" applyBorder="1"/>
    <xf numFmtId="14" fontId="10755" fillId="10760" borderId="10707" xfId="0" applyNumberFormat="1" applyFont="1" applyFill="1" applyBorder="1"/>
    <xf numFmtId="0" fontId="10756" fillId="10761" borderId="10708" xfId="0" applyFont="1" applyFill="1" applyBorder="1"/>
    <xf numFmtId="14" fontId="10757" fillId="10762" borderId="10709" xfId="0" applyNumberFormat="1" applyFont="1" applyFill="1" applyBorder="1"/>
    <xf numFmtId="0" fontId="10758" fillId="10763" borderId="10710" xfId="0" applyFont="1" applyFill="1" applyBorder="1"/>
    <xf numFmtId="0" fontId="10759" fillId="10764" borderId="10711" xfId="0" applyFont="1" applyFill="1" applyBorder="1"/>
    <xf numFmtId="0" fontId="10760" fillId="10765" borderId="10712" xfId="0" applyFont="1" applyFill="1" applyBorder="1"/>
    <xf numFmtId="0" fontId="10761" fillId="10766" borderId="10713" xfId="0" applyFont="1" applyFill="1" applyBorder="1"/>
    <xf numFmtId="0" fontId="10762" fillId="10767" borderId="10714" xfId="0" applyFont="1" applyFill="1" applyBorder="1"/>
    <xf numFmtId="0" fontId="10763" fillId="10768" borderId="10715" xfId="0" applyFont="1" applyFill="1" applyBorder="1"/>
    <xf numFmtId="0" fontId="10764" fillId="10769" borderId="10716" xfId="0" applyFont="1" applyFill="1" applyBorder="1"/>
    <xf numFmtId="14" fontId="10765" fillId="10770" borderId="10717" xfId="0" applyNumberFormat="1" applyFont="1" applyFill="1" applyBorder="1"/>
    <xf numFmtId="0" fontId="10766" fillId="10771" borderId="10718" xfId="0" applyFont="1" applyFill="1" applyBorder="1"/>
    <xf numFmtId="14" fontId="10767" fillId="10772" borderId="10719" xfId="0" applyNumberFormat="1" applyFont="1" applyFill="1" applyBorder="1"/>
    <xf numFmtId="0" fontId="10768" fillId="10773" borderId="10720" xfId="0" applyFont="1" applyFill="1" applyBorder="1"/>
    <xf numFmtId="0" fontId="10769" fillId="10774" borderId="10721" xfId="0" applyFont="1" applyFill="1" applyBorder="1"/>
    <xf numFmtId="0" fontId="10770" fillId="10775" borderId="10722" xfId="0" applyFont="1" applyFill="1" applyBorder="1"/>
    <xf numFmtId="0" fontId="10771" fillId="10776" borderId="10723" xfId="0" applyFont="1" applyFill="1" applyBorder="1"/>
    <xf numFmtId="0" fontId="10772" fillId="10777" borderId="10724" xfId="0" applyFont="1" applyFill="1" applyBorder="1"/>
    <xf numFmtId="0" fontId="10773" fillId="10778" borderId="10725" xfId="0" applyFont="1" applyFill="1" applyBorder="1"/>
    <xf numFmtId="0" fontId="10774" fillId="10779" borderId="10726" xfId="0" applyFont="1" applyFill="1" applyBorder="1"/>
    <xf numFmtId="14" fontId="10775" fillId="10780" borderId="10727" xfId="0" applyNumberFormat="1" applyFont="1" applyFill="1" applyBorder="1"/>
    <xf numFmtId="0" fontId="10776" fillId="10781" borderId="10728" xfId="0" applyFont="1" applyFill="1" applyBorder="1"/>
    <xf numFmtId="14" fontId="10777" fillId="10782" borderId="10729" xfId="0" applyNumberFormat="1" applyFont="1" applyFill="1" applyBorder="1"/>
    <xf numFmtId="0" fontId="10778" fillId="10783" borderId="10730" xfId="0" applyFont="1" applyFill="1" applyBorder="1"/>
    <xf numFmtId="0" fontId="10779" fillId="10784" borderId="10731" xfId="0" applyFont="1" applyFill="1" applyBorder="1"/>
    <xf numFmtId="0" fontId="10780" fillId="10785" borderId="10732" xfId="0" applyFont="1" applyFill="1" applyBorder="1"/>
    <xf numFmtId="0" fontId="10781" fillId="10786" borderId="10733" xfId="0" applyFont="1" applyFill="1" applyBorder="1"/>
    <xf numFmtId="0" fontId="10782" fillId="10787" borderId="10734" xfId="0" applyFont="1" applyFill="1" applyBorder="1"/>
    <xf numFmtId="0" fontId="10783" fillId="10788" borderId="10735" xfId="0" applyFont="1" applyFill="1" applyBorder="1"/>
    <xf numFmtId="0" fontId="10784" fillId="10789" borderId="10736" xfId="0" applyFont="1" applyFill="1" applyBorder="1"/>
    <xf numFmtId="14" fontId="10785" fillId="10790" borderId="10737" xfId="0" applyNumberFormat="1" applyFont="1" applyFill="1" applyBorder="1"/>
    <xf numFmtId="0" fontId="10786" fillId="10791" borderId="10738" xfId="0" applyFont="1" applyFill="1" applyBorder="1"/>
    <xf numFmtId="14" fontId="10787" fillId="10792" borderId="10739" xfId="0" applyNumberFormat="1" applyFont="1" applyFill="1" applyBorder="1"/>
    <xf numFmtId="0" fontId="10788" fillId="10793" borderId="10740" xfId="0" applyFont="1" applyFill="1" applyBorder="1"/>
    <xf numFmtId="0" fontId="10789" fillId="10794" borderId="10741" xfId="0" applyFont="1" applyFill="1" applyBorder="1"/>
    <xf numFmtId="0" fontId="10790" fillId="10795" borderId="10742" xfId="0" applyFont="1" applyFill="1" applyBorder="1"/>
    <xf numFmtId="0" fontId="10791" fillId="10796" borderId="10743" xfId="0" applyFont="1" applyFill="1" applyBorder="1"/>
    <xf numFmtId="0" fontId="10792" fillId="10797" borderId="10744" xfId="0" applyFont="1" applyFill="1" applyBorder="1"/>
    <xf numFmtId="0" fontId="10793" fillId="10798" borderId="10745" xfId="0" applyFont="1" applyFill="1" applyBorder="1"/>
    <xf numFmtId="0" fontId="10794" fillId="10799" borderId="10746" xfId="0" applyFont="1" applyFill="1" applyBorder="1"/>
    <xf numFmtId="14" fontId="10795" fillId="10800" borderId="10747" xfId="0" applyNumberFormat="1" applyFont="1" applyFill="1" applyBorder="1"/>
    <xf numFmtId="0" fontId="10796" fillId="10801" borderId="10748" xfId="0" applyFont="1" applyFill="1" applyBorder="1"/>
    <xf numFmtId="14" fontId="10797" fillId="10802" borderId="10749" xfId="0" applyNumberFormat="1" applyFont="1" applyFill="1" applyBorder="1"/>
    <xf numFmtId="0" fontId="10798" fillId="10803" borderId="10750" xfId="0" applyFont="1" applyFill="1" applyBorder="1"/>
    <xf numFmtId="0" fontId="10799" fillId="10804" borderId="10751" xfId="0" applyFont="1" applyFill="1" applyBorder="1"/>
    <xf numFmtId="0" fontId="10800" fillId="10805" borderId="10752" xfId="0" applyFont="1" applyFill="1" applyBorder="1"/>
    <xf numFmtId="0" fontId="10801" fillId="10806" borderId="10753" xfId="0" applyFont="1" applyFill="1" applyBorder="1"/>
    <xf numFmtId="0" fontId="10802" fillId="10807" borderId="10754" xfId="0" applyFont="1" applyFill="1" applyBorder="1"/>
    <xf numFmtId="0" fontId="10803" fillId="10808" borderId="10755" xfId="0" applyFont="1" applyFill="1" applyBorder="1"/>
    <xf numFmtId="0" fontId="10804" fillId="10809" borderId="10756" xfId="0" applyFont="1" applyFill="1" applyBorder="1"/>
    <xf numFmtId="14" fontId="10805" fillId="10810" borderId="10757" xfId="0" applyNumberFormat="1" applyFont="1" applyFill="1" applyBorder="1"/>
    <xf numFmtId="0" fontId="10806" fillId="10811" borderId="10758" xfId="0" applyFont="1" applyFill="1" applyBorder="1"/>
    <xf numFmtId="14" fontId="10807" fillId="10812" borderId="10759" xfId="0" applyNumberFormat="1" applyFont="1" applyFill="1" applyBorder="1"/>
    <xf numFmtId="0" fontId="10808" fillId="10813" borderId="10760" xfId="0" applyFont="1" applyFill="1" applyBorder="1"/>
    <xf numFmtId="0" fontId="10809" fillId="10814" borderId="10761" xfId="0" applyFont="1" applyFill="1" applyBorder="1"/>
    <xf numFmtId="0" fontId="10810" fillId="10815" borderId="10762" xfId="0" applyFont="1" applyFill="1" applyBorder="1"/>
    <xf numFmtId="0" fontId="10811" fillId="10816" borderId="10763" xfId="0" applyFont="1" applyFill="1" applyBorder="1"/>
    <xf numFmtId="0" fontId="10812" fillId="10817" borderId="10764" xfId="0" applyFont="1" applyFill="1" applyBorder="1"/>
    <xf numFmtId="0" fontId="10813" fillId="10818" borderId="10765" xfId="0" applyFont="1" applyFill="1" applyBorder="1"/>
    <xf numFmtId="0" fontId="10814" fillId="10819" borderId="10766" xfId="0" applyFont="1" applyFill="1" applyBorder="1"/>
    <xf numFmtId="14" fontId="10815" fillId="10820" borderId="10767" xfId="0" applyNumberFormat="1" applyFont="1" applyFill="1" applyBorder="1"/>
    <xf numFmtId="0" fontId="10816" fillId="10821" borderId="10768" xfId="0" applyFont="1" applyFill="1" applyBorder="1"/>
    <xf numFmtId="14" fontId="10817" fillId="10822" borderId="10769" xfId="0" applyNumberFormat="1" applyFont="1" applyFill="1" applyBorder="1"/>
    <xf numFmtId="0" fontId="10818" fillId="10823" borderId="10770" xfId="0" applyFont="1" applyFill="1" applyBorder="1"/>
    <xf numFmtId="0" fontId="10819" fillId="10824" borderId="10771" xfId="0" applyFont="1" applyFill="1" applyBorder="1"/>
    <xf numFmtId="0" fontId="10820" fillId="10825" borderId="10772" xfId="0" applyFont="1" applyFill="1" applyBorder="1"/>
    <xf numFmtId="0" fontId="10821" fillId="10826" borderId="10773" xfId="0" applyFont="1" applyFill="1" applyBorder="1"/>
    <xf numFmtId="0" fontId="10822" fillId="10827" borderId="10774" xfId="0" applyFont="1" applyFill="1" applyBorder="1"/>
    <xf numFmtId="0" fontId="10823" fillId="10828" borderId="10775" xfId="0" applyFont="1" applyFill="1" applyBorder="1"/>
    <xf numFmtId="0" fontId="10824" fillId="10829" borderId="10776" xfId="0" applyFont="1" applyFill="1" applyBorder="1"/>
    <xf numFmtId="14" fontId="10825" fillId="10830" borderId="10777" xfId="0" applyNumberFormat="1" applyFont="1" applyFill="1" applyBorder="1"/>
    <xf numFmtId="0" fontId="10826" fillId="10831" borderId="10778" xfId="0" applyFont="1" applyFill="1" applyBorder="1"/>
    <xf numFmtId="14" fontId="10827" fillId="10832" borderId="10779" xfId="0" applyNumberFormat="1" applyFont="1" applyFill="1" applyBorder="1"/>
    <xf numFmtId="0" fontId="10828" fillId="10833" borderId="10780" xfId="0" applyFont="1" applyFill="1" applyBorder="1"/>
    <xf numFmtId="0" fontId="10829" fillId="10834" borderId="10781" xfId="0" applyFont="1" applyFill="1" applyBorder="1"/>
    <xf numFmtId="0" fontId="10830" fillId="10835" borderId="10782" xfId="0" applyFont="1" applyFill="1" applyBorder="1"/>
    <xf numFmtId="0" fontId="10831" fillId="10836" borderId="10783" xfId="0" applyFont="1" applyFill="1" applyBorder="1"/>
    <xf numFmtId="0" fontId="10832" fillId="10837" borderId="10784" xfId="0" applyFont="1" applyFill="1" applyBorder="1"/>
    <xf numFmtId="0" fontId="10833" fillId="10838" borderId="10785" xfId="0" applyFont="1" applyFill="1" applyBorder="1"/>
    <xf numFmtId="0" fontId="10834" fillId="10839" borderId="10786" xfId="0" applyFont="1" applyFill="1" applyBorder="1"/>
    <xf numFmtId="14" fontId="10835" fillId="10840" borderId="10787" xfId="0" applyNumberFormat="1" applyFont="1" applyFill="1" applyBorder="1"/>
    <xf numFmtId="0" fontId="10836" fillId="10841" borderId="10788" xfId="0" applyFont="1" applyFill="1" applyBorder="1"/>
    <xf numFmtId="14" fontId="10837" fillId="10842" borderId="10789" xfId="0" applyNumberFormat="1" applyFont="1" applyFill="1" applyBorder="1"/>
    <xf numFmtId="0" fontId="10838" fillId="10843" borderId="10790" xfId="0" applyFont="1" applyFill="1" applyBorder="1"/>
    <xf numFmtId="0" fontId="10839" fillId="10844" borderId="10791" xfId="0" applyFont="1" applyFill="1" applyBorder="1"/>
    <xf numFmtId="0" fontId="10840" fillId="10845" borderId="10792" xfId="0" applyFont="1" applyFill="1" applyBorder="1"/>
    <xf numFmtId="0" fontId="10841" fillId="10846" borderId="10793" xfId="0" applyFont="1" applyFill="1" applyBorder="1"/>
    <xf numFmtId="0" fontId="10842" fillId="10847" borderId="10794" xfId="0" applyFont="1" applyFill="1" applyBorder="1"/>
    <xf numFmtId="0" fontId="10843" fillId="10848" borderId="10795" xfId="0" applyFont="1" applyFill="1" applyBorder="1"/>
    <xf numFmtId="0" fontId="10844" fillId="10849" borderId="10796" xfId="0" applyFont="1" applyFill="1" applyBorder="1"/>
    <xf numFmtId="14" fontId="10845" fillId="10850" borderId="10797" xfId="0" applyNumberFormat="1" applyFont="1" applyFill="1" applyBorder="1"/>
    <xf numFmtId="0" fontId="10846" fillId="10851" borderId="10798" xfId="0" applyFont="1" applyFill="1" applyBorder="1"/>
    <xf numFmtId="14" fontId="10847" fillId="10852" borderId="10799" xfId="0" applyNumberFormat="1" applyFont="1" applyFill="1" applyBorder="1"/>
    <xf numFmtId="0" fontId="10848" fillId="10853" borderId="10800" xfId="0" applyFont="1" applyFill="1" applyBorder="1"/>
    <xf numFmtId="0" fontId="10849" fillId="10854" borderId="10801" xfId="0" applyFont="1" applyFill="1" applyBorder="1"/>
    <xf numFmtId="0" fontId="10850" fillId="10855" borderId="10802" xfId="0" applyFont="1" applyFill="1" applyBorder="1"/>
    <xf numFmtId="0" fontId="10851" fillId="10856" borderId="10803" xfId="0" applyFont="1" applyFill="1" applyBorder="1"/>
    <xf numFmtId="0" fontId="10852" fillId="10857" borderId="10804" xfId="0" applyFont="1" applyFill="1" applyBorder="1"/>
    <xf numFmtId="0" fontId="10853" fillId="10858" borderId="10805" xfId="0" applyFont="1" applyFill="1" applyBorder="1"/>
    <xf numFmtId="0" fontId="10854" fillId="10859" borderId="10806" xfId="0" applyFont="1" applyFill="1" applyBorder="1"/>
    <xf numFmtId="14" fontId="10855" fillId="10860" borderId="10807" xfId="0" applyNumberFormat="1" applyFont="1" applyFill="1" applyBorder="1"/>
    <xf numFmtId="0" fontId="10856" fillId="10861" borderId="10808" xfId="0" applyFont="1" applyFill="1" applyBorder="1"/>
    <xf numFmtId="14" fontId="10857" fillId="10862" borderId="10809" xfId="0" applyNumberFormat="1" applyFont="1" applyFill="1" applyBorder="1"/>
    <xf numFmtId="0" fontId="10858" fillId="10863" borderId="10810" xfId="0" applyFont="1" applyFill="1" applyBorder="1"/>
    <xf numFmtId="0" fontId="10859" fillId="10864" borderId="10811" xfId="0" applyFont="1" applyFill="1" applyBorder="1"/>
    <xf numFmtId="0" fontId="10860" fillId="10865" borderId="10812" xfId="0" applyFont="1" applyFill="1" applyBorder="1"/>
    <xf numFmtId="0" fontId="10861" fillId="10866" borderId="10813" xfId="0" applyFont="1" applyFill="1" applyBorder="1"/>
    <xf numFmtId="0" fontId="10862" fillId="10867" borderId="10814" xfId="0" applyFont="1" applyFill="1" applyBorder="1"/>
    <xf numFmtId="0" fontId="10863" fillId="10868" borderId="10815" xfId="0" applyFont="1" applyFill="1" applyBorder="1"/>
    <xf numFmtId="0" fontId="10864" fillId="10869" borderId="10816" xfId="0" applyFont="1" applyFill="1" applyBorder="1"/>
    <xf numFmtId="14" fontId="10865" fillId="10870" borderId="10817" xfId="0" applyNumberFormat="1" applyFont="1" applyFill="1" applyBorder="1"/>
    <xf numFmtId="0" fontId="10866" fillId="10871" borderId="10818" xfId="0" applyFont="1" applyFill="1" applyBorder="1"/>
    <xf numFmtId="14" fontId="10867" fillId="10872" borderId="10819" xfId="0" applyNumberFormat="1" applyFont="1" applyFill="1" applyBorder="1"/>
    <xf numFmtId="0" fontId="10868" fillId="10873" borderId="10820" xfId="0" applyFont="1" applyFill="1" applyBorder="1"/>
    <xf numFmtId="0" fontId="10869" fillId="10874" borderId="10821" xfId="0" applyFont="1" applyFill="1" applyBorder="1"/>
    <xf numFmtId="0" fontId="10870" fillId="10875" borderId="10822" xfId="0" applyFont="1" applyFill="1" applyBorder="1"/>
    <xf numFmtId="0" fontId="10871" fillId="10876" borderId="10823" xfId="0" applyFont="1" applyFill="1" applyBorder="1"/>
    <xf numFmtId="0" fontId="10872" fillId="10877" borderId="10824" xfId="0" applyFont="1" applyFill="1" applyBorder="1"/>
    <xf numFmtId="0" fontId="10873" fillId="10878" borderId="10825" xfId="0" applyFont="1" applyFill="1" applyBorder="1"/>
    <xf numFmtId="0" fontId="10874" fillId="10879" borderId="10826" xfId="0" applyFont="1" applyFill="1" applyBorder="1"/>
    <xf numFmtId="14" fontId="10875" fillId="10880" borderId="10827" xfId="0" applyNumberFormat="1" applyFont="1" applyFill="1" applyBorder="1"/>
    <xf numFmtId="0" fontId="10876" fillId="10881" borderId="10828" xfId="0" applyFont="1" applyFill="1" applyBorder="1"/>
    <xf numFmtId="14" fontId="10877" fillId="10882" borderId="10829" xfId="0" applyNumberFormat="1" applyFont="1" applyFill="1" applyBorder="1"/>
    <xf numFmtId="0" fontId="10878" fillId="10883" borderId="10830" xfId="0" applyFont="1" applyFill="1" applyBorder="1"/>
    <xf numFmtId="0" fontId="10879" fillId="10884" borderId="10831" xfId="0" applyFont="1" applyFill="1" applyBorder="1"/>
    <xf numFmtId="0" fontId="10880" fillId="10885" borderId="10832" xfId="0" applyFont="1" applyFill="1" applyBorder="1"/>
    <xf numFmtId="0" fontId="10881" fillId="10886" borderId="10833" xfId="0" applyFont="1" applyFill="1" applyBorder="1"/>
    <xf numFmtId="0" fontId="10882" fillId="10887" borderId="10834" xfId="0" applyFont="1" applyFill="1" applyBorder="1"/>
    <xf numFmtId="0" fontId="10883" fillId="10888" borderId="10835" xfId="0" applyFont="1" applyFill="1" applyBorder="1"/>
    <xf numFmtId="0" fontId="10884" fillId="10889" borderId="10836" xfId="0" applyFont="1" applyFill="1" applyBorder="1"/>
    <xf numFmtId="14" fontId="10885" fillId="10890" borderId="10837" xfId="0" applyNumberFormat="1" applyFont="1" applyFill="1" applyBorder="1"/>
    <xf numFmtId="0" fontId="10886" fillId="10891" borderId="10838" xfId="0" applyFont="1" applyFill="1" applyBorder="1"/>
    <xf numFmtId="14" fontId="10887" fillId="10892" borderId="10839" xfId="0" applyNumberFormat="1" applyFont="1" applyFill="1" applyBorder="1"/>
    <xf numFmtId="0" fontId="10888" fillId="10893" borderId="10840" xfId="0" applyFont="1" applyFill="1" applyBorder="1"/>
    <xf numFmtId="0" fontId="10889" fillId="10894" borderId="10841" xfId="0" applyFont="1" applyFill="1" applyBorder="1"/>
    <xf numFmtId="0" fontId="10890" fillId="10895" borderId="10842" xfId="0" applyFont="1" applyFill="1" applyBorder="1"/>
    <xf numFmtId="0" fontId="10891" fillId="10896" borderId="10843" xfId="0" applyFont="1" applyFill="1" applyBorder="1"/>
    <xf numFmtId="0" fontId="10892" fillId="10897" borderId="10844" xfId="0" applyFont="1" applyFill="1" applyBorder="1"/>
    <xf numFmtId="0" fontId="10893" fillId="10898" borderId="10845" xfId="0" applyFont="1" applyFill="1" applyBorder="1"/>
    <xf numFmtId="0" fontId="10894" fillId="10899" borderId="10846" xfId="0" applyFont="1" applyFill="1" applyBorder="1"/>
    <xf numFmtId="14" fontId="10895" fillId="10900" borderId="10847" xfId="0" applyNumberFormat="1" applyFont="1" applyFill="1" applyBorder="1"/>
    <xf numFmtId="0" fontId="10896" fillId="10901" borderId="10848" xfId="0" applyFont="1" applyFill="1" applyBorder="1"/>
    <xf numFmtId="14" fontId="10897" fillId="10902" borderId="10849" xfId="0" applyNumberFormat="1" applyFont="1" applyFill="1" applyBorder="1"/>
    <xf numFmtId="0" fontId="10898" fillId="10903" borderId="10850" xfId="0" applyFont="1" applyFill="1" applyBorder="1"/>
    <xf numFmtId="0" fontId="10899" fillId="10904" borderId="10851" xfId="0" applyFont="1" applyFill="1" applyBorder="1"/>
    <xf numFmtId="0" fontId="10900" fillId="10905" borderId="10852" xfId="0" applyFont="1" applyFill="1" applyBorder="1"/>
    <xf numFmtId="0" fontId="10901" fillId="10906" borderId="10853" xfId="0" applyFont="1" applyFill="1" applyBorder="1"/>
    <xf numFmtId="0" fontId="10902" fillId="10907" borderId="10854" xfId="0" applyFont="1" applyFill="1" applyBorder="1"/>
    <xf numFmtId="0" fontId="10903" fillId="10908" borderId="10855" xfId="0" applyFont="1" applyFill="1" applyBorder="1"/>
    <xf numFmtId="0" fontId="10904" fillId="10909" borderId="10856" xfId="0" applyFont="1" applyFill="1" applyBorder="1"/>
    <xf numFmtId="14" fontId="10905" fillId="10910" borderId="10857" xfId="0" applyNumberFormat="1" applyFont="1" applyFill="1" applyBorder="1"/>
    <xf numFmtId="0" fontId="10906" fillId="10911" borderId="10858" xfId="0" applyFont="1" applyFill="1" applyBorder="1"/>
    <xf numFmtId="14" fontId="10907" fillId="10912" borderId="10859" xfId="0" applyNumberFormat="1" applyFont="1" applyFill="1" applyBorder="1"/>
    <xf numFmtId="0" fontId="10908" fillId="10913" borderId="10860" xfId="0" applyFont="1" applyFill="1" applyBorder="1"/>
    <xf numFmtId="0" fontId="10909" fillId="10914" borderId="10861" xfId="0" applyFont="1" applyFill="1" applyBorder="1"/>
    <xf numFmtId="0" fontId="10910" fillId="10915" borderId="10862" xfId="0" applyFont="1" applyFill="1" applyBorder="1"/>
    <xf numFmtId="0" fontId="10911" fillId="10916" borderId="10863" xfId="0" applyFont="1" applyFill="1" applyBorder="1"/>
    <xf numFmtId="0" fontId="10912" fillId="10917" borderId="10864" xfId="0" applyFont="1" applyFill="1" applyBorder="1"/>
    <xf numFmtId="0" fontId="10913" fillId="10918" borderId="10865" xfId="0" applyFont="1" applyFill="1" applyBorder="1"/>
    <xf numFmtId="0" fontId="10914" fillId="10919" borderId="10866" xfId="0" applyFont="1" applyFill="1" applyBorder="1"/>
    <xf numFmtId="14" fontId="10915" fillId="10920" borderId="10867" xfId="0" applyNumberFormat="1" applyFont="1" applyFill="1" applyBorder="1"/>
    <xf numFmtId="0" fontId="10916" fillId="10921" borderId="10868" xfId="0" applyFont="1" applyFill="1" applyBorder="1"/>
    <xf numFmtId="14" fontId="10917" fillId="10922" borderId="10869" xfId="0" applyNumberFormat="1" applyFont="1" applyFill="1" applyBorder="1"/>
    <xf numFmtId="0" fontId="10918" fillId="10923" borderId="10870" xfId="0" applyFont="1" applyFill="1" applyBorder="1"/>
    <xf numFmtId="0" fontId="10919" fillId="10924" borderId="10871" xfId="0" applyFont="1" applyFill="1" applyBorder="1"/>
    <xf numFmtId="0" fontId="10920" fillId="10925" borderId="10872" xfId="0" applyFont="1" applyFill="1" applyBorder="1"/>
    <xf numFmtId="0" fontId="10921" fillId="10926" borderId="10873" xfId="0" applyFont="1" applyFill="1" applyBorder="1"/>
    <xf numFmtId="0" fontId="10922" fillId="10927" borderId="10874" xfId="0" applyFont="1" applyFill="1" applyBorder="1"/>
    <xf numFmtId="0" fontId="10923" fillId="10928" borderId="10875" xfId="0" applyFont="1" applyFill="1" applyBorder="1"/>
    <xf numFmtId="0" fontId="10924" fillId="10929" borderId="10876" xfId="0" applyFont="1" applyFill="1" applyBorder="1"/>
    <xf numFmtId="14" fontId="10925" fillId="10930" borderId="10877" xfId="0" applyNumberFormat="1" applyFont="1" applyFill="1" applyBorder="1"/>
    <xf numFmtId="0" fontId="10926" fillId="10931" borderId="10878" xfId="0" applyFont="1" applyFill="1" applyBorder="1"/>
    <xf numFmtId="14" fontId="10927" fillId="10932" borderId="10879" xfId="0" applyNumberFormat="1" applyFont="1" applyFill="1" applyBorder="1"/>
    <xf numFmtId="0" fontId="10928" fillId="10933" borderId="10880" xfId="0" applyFont="1" applyFill="1" applyBorder="1"/>
    <xf numFmtId="0" fontId="10929" fillId="10934" borderId="10881" xfId="0" applyFont="1" applyFill="1" applyBorder="1"/>
    <xf numFmtId="0" fontId="10930" fillId="10935" borderId="10882" xfId="0" applyFont="1" applyFill="1" applyBorder="1"/>
    <xf numFmtId="0" fontId="10931" fillId="10936" borderId="10883" xfId="0" applyFont="1" applyFill="1" applyBorder="1"/>
    <xf numFmtId="0" fontId="10932" fillId="10937" borderId="10884" xfId="0" applyFont="1" applyFill="1" applyBorder="1"/>
    <xf numFmtId="0" fontId="10933" fillId="10938" borderId="10885" xfId="0" applyFont="1" applyFill="1" applyBorder="1"/>
    <xf numFmtId="0" fontId="10934" fillId="10939" borderId="10886" xfId="0" applyFont="1" applyFill="1" applyBorder="1"/>
    <xf numFmtId="14" fontId="10935" fillId="10940" borderId="10887" xfId="0" applyNumberFormat="1" applyFont="1" applyFill="1" applyBorder="1"/>
    <xf numFmtId="0" fontId="10936" fillId="10941" borderId="10888" xfId="0" applyFont="1" applyFill="1" applyBorder="1"/>
    <xf numFmtId="14" fontId="10937" fillId="10942" borderId="10889" xfId="0" applyNumberFormat="1" applyFont="1" applyFill="1" applyBorder="1"/>
    <xf numFmtId="0" fontId="10938" fillId="10943" borderId="10890" xfId="0" applyFont="1" applyFill="1" applyBorder="1"/>
    <xf numFmtId="0" fontId="10939" fillId="10944" borderId="10891" xfId="0" applyFont="1" applyFill="1" applyBorder="1"/>
    <xf numFmtId="0" fontId="10940" fillId="10945" borderId="10892" xfId="0" applyFont="1" applyFill="1" applyBorder="1"/>
    <xf numFmtId="0" fontId="10941" fillId="10946" borderId="10893" xfId="0" applyFont="1" applyFill="1" applyBorder="1"/>
    <xf numFmtId="0" fontId="10942" fillId="10947" borderId="10894" xfId="0" applyFont="1" applyFill="1" applyBorder="1"/>
    <xf numFmtId="0" fontId="10943" fillId="10948" borderId="10895" xfId="0" applyFont="1" applyFill="1" applyBorder="1"/>
    <xf numFmtId="0" fontId="10944" fillId="10949" borderId="10896" xfId="0" applyFont="1" applyFill="1" applyBorder="1"/>
    <xf numFmtId="14" fontId="10945" fillId="10950" borderId="10897" xfId="0" applyNumberFormat="1" applyFont="1" applyFill="1" applyBorder="1"/>
    <xf numFmtId="0" fontId="10946" fillId="10951" borderId="10898" xfId="0" applyFont="1" applyFill="1" applyBorder="1"/>
    <xf numFmtId="14" fontId="10947" fillId="10952" borderId="10899" xfId="0" applyNumberFormat="1" applyFont="1" applyFill="1" applyBorder="1"/>
    <xf numFmtId="0" fontId="10948" fillId="10953" borderId="10900" xfId="0" applyFont="1" applyFill="1" applyBorder="1"/>
    <xf numFmtId="0" fontId="10949" fillId="10954" borderId="10901" xfId="0" applyFont="1" applyFill="1" applyBorder="1"/>
    <xf numFmtId="0" fontId="10950" fillId="10955" borderId="10902" xfId="0" applyFont="1" applyFill="1" applyBorder="1"/>
    <xf numFmtId="0" fontId="10951" fillId="10956" borderId="10903" xfId="0" applyFont="1" applyFill="1" applyBorder="1"/>
    <xf numFmtId="0" fontId="10952" fillId="10957" borderId="10904" xfId="0" applyFont="1" applyFill="1" applyBorder="1"/>
    <xf numFmtId="0" fontId="10953" fillId="10958" borderId="10905" xfId="0" applyFont="1" applyFill="1" applyBorder="1"/>
    <xf numFmtId="0" fontId="10954" fillId="10959" borderId="10906" xfId="0" applyFont="1" applyFill="1" applyBorder="1"/>
    <xf numFmtId="14" fontId="10955" fillId="10960" borderId="10907" xfId="0" applyNumberFormat="1" applyFont="1" applyFill="1" applyBorder="1"/>
    <xf numFmtId="0" fontId="10956" fillId="10961" borderId="10908" xfId="0" applyFont="1" applyFill="1" applyBorder="1"/>
    <xf numFmtId="14" fontId="10957" fillId="10962" borderId="10909" xfId="0" applyNumberFormat="1" applyFont="1" applyFill="1" applyBorder="1"/>
    <xf numFmtId="0" fontId="10958" fillId="10963" borderId="10910" xfId="0" applyFont="1" applyFill="1" applyBorder="1"/>
    <xf numFmtId="0" fontId="10959" fillId="10964" borderId="10911" xfId="0" applyFont="1" applyFill="1" applyBorder="1"/>
    <xf numFmtId="0" fontId="10960" fillId="10965" borderId="10912" xfId="0" applyFont="1" applyFill="1" applyBorder="1"/>
    <xf numFmtId="0" fontId="10961" fillId="10966" borderId="10913" xfId="0" applyFont="1" applyFill="1" applyBorder="1"/>
    <xf numFmtId="0" fontId="10962" fillId="10967" borderId="10914" xfId="0" applyFont="1" applyFill="1" applyBorder="1"/>
    <xf numFmtId="0" fontId="10963" fillId="10968" borderId="10915" xfId="0" applyFont="1" applyFill="1" applyBorder="1"/>
    <xf numFmtId="0" fontId="10964" fillId="10969" borderId="10916" xfId="0" applyFont="1" applyFill="1" applyBorder="1"/>
    <xf numFmtId="14" fontId="10965" fillId="10970" borderId="10917" xfId="0" applyNumberFormat="1" applyFont="1" applyFill="1" applyBorder="1"/>
    <xf numFmtId="0" fontId="10966" fillId="10971" borderId="10918" xfId="0" applyFont="1" applyFill="1" applyBorder="1"/>
    <xf numFmtId="14" fontId="10967" fillId="10972" borderId="10919" xfId="0" applyNumberFormat="1" applyFont="1" applyFill="1" applyBorder="1"/>
    <xf numFmtId="0" fontId="10968" fillId="10973" borderId="10920" xfId="0" applyFont="1" applyFill="1" applyBorder="1"/>
    <xf numFmtId="0" fontId="10969" fillId="10974" borderId="10921" xfId="0" applyFont="1" applyFill="1" applyBorder="1"/>
    <xf numFmtId="0" fontId="10970" fillId="10975" borderId="10922" xfId="0" applyFont="1" applyFill="1" applyBorder="1"/>
    <xf numFmtId="0" fontId="10971" fillId="10976" borderId="10923" xfId="0" applyFont="1" applyFill="1" applyBorder="1"/>
    <xf numFmtId="0" fontId="10972" fillId="10977" borderId="10924" xfId="0" applyFont="1" applyFill="1" applyBorder="1"/>
    <xf numFmtId="0" fontId="10973" fillId="10978" borderId="10925" xfId="0" applyFont="1" applyFill="1" applyBorder="1"/>
    <xf numFmtId="0" fontId="10974" fillId="10979" borderId="10926" xfId="0" applyFont="1" applyFill="1" applyBorder="1"/>
    <xf numFmtId="14" fontId="10975" fillId="10980" borderId="10927" xfId="0" applyNumberFormat="1" applyFont="1" applyFill="1" applyBorder="1"/>
    <xf numFmtId="0" fontId="10976" fillId="10981" borderId="10928" xfId="0" applyFont="1" applyFill="1" applyBorder="1"/>
    <xf numFmtId="14" fontId="10977" fillId="10982" borderId="10929" xfId="0" applyNumberFormat="1" applyFont="1" applyFill="1" applyBorder="1"/>
    <xf numFmtId="0" fontId="10978" fillId="10983" borderId="10930" xfId="0" applyFont="1" applyFill="1" applyBorder="1"/>
    <xf numFmtId="0" fontId="10979" fillId="10984" borderId="10931" xfId="0" applyFont="1" applyFill="1" applyBorder="1"/>
    <xf numFmtId="0" fontId="10980" fillId="10985" borderId="10932" xfId="0" applyFont="1" applyFill="1" applyBorder="1"/>
    <xf numFmtId="0" fontId="10981" fillId="10986" borderId="10933" xfId="0" applyFont="1" applyFill="1" applyBorder="1"/>
    <xf numFmtId="0" fontId="10982" fillId="10987" borderId="10934" xfId="0" applyFont="1" applyFill="1" applyBorder="1"/>
    <xf numFmtId="0" fontId="10983" fillId="10988" borderId="10935" xfId="0" applyFont="1" applyFill="1" applyBorder="1"/>
    <xf numFmtId="0" fontId="10984" fillId="10989" borderId="10936" xfId="0" applyFont="1" applyFill="1" applyBorder="1"/>
    <xf numFmtId="14" fontId="10985" fillId="10990" borderId="10937" xfId="0" applyNumberFormat="1" applyFont="1" applyFill="1" applyBorder="1"/>
    <xf numFmtId="0" fontId="10986" fillId="10991" borderId="10938" xfId="0" applyFont="1" applyFill="1" applyBorder="1"/>
    <xf numFmtId="14" fontId="10987" fillId="10992" borderId="10939" xfId="0" applyNumberFormat="1" applyFont="1" applyFill="1" applyBorder="1"/>
    <xf numFmtId="0" fontId="10988" fillId="10993" borderId="10940" xfId="0" applyFont="1" applyFill="1" applyBorder="1"/>
    <xf numFmtId="0" fontId="10989" fillId="10994" borderId="10941" xfId="0" applyFont="1" applyFill="1" applyBorder="1"/>
    <xf numFmtId="0" fontId="10990" fillId="10995" borderId="10942" xfId="0" applyFont="1" applyFill="1" applyBorder="1"/>
    <xf numFmtId="0" fontId="10991" fillId="10996" borderId="10943" xfId="0" applyFont="1" applyFill="1" applyBorder="1"/>
    <xf numFmtId="0" fontId="10992" fillId="10997" borderId="10944" xfId="0" applyFont="1" applyFill="1" applyBorder="1"/>
    <xf numFmtId="0" fontId="10993" fillId="10998" borderId="10945" xfId="0" applyFont="1" applyFill="1" applyBorder="1"/>
    <xf numFmtId="0" fontId="10994" fillId="10999" borderId="10946" xfId="0" applyFont="1" applyFill="1" applyBorder="1"/>
    <xf numFmtId="14" fontId="10995" fillId="11000" borderId="10947" xfId="0" applyNumberFormat="1" applyFont="1" applyFill="1" applyBorder="1"/>
    <xf numFmtId="0" fontId="10996" fillId="11001" borderId="10948" xfId="0" applyFont="1" applyFill="1" applyBorder="1"/>
    <xf numFmtId="14" fontId="10997" fillId="11002" borderId="10949" xfId="0" applyNumberFormat="1" applyFont="1" applyFill="1" applyBorder="1"/>
    <xf numFmtId="0" fontId="10998" fillId="11003" borderId="10950" xfId="0" applyFont="1" applyFill="1" applyBorder="1"/>
    <xf numFmtId="0" fontId="10999" fillId="11004" borderId="10951" xfId="0" applyFont="1" applyFill="1" applyBorder="1"/>
    <xf numFmtId="0" fontId="11000" fillId="11005" borderId="10952" xfId="0" applyFont="1" applyFill="1" applyBorder="1"/>
    <xf numFmtId="0" fontId="11001" fillId="11006" borderId="10953" xfId="0" applyFont="1" applyFill="1" applyBorder="1"/>
    <xf numFmtId="0" fontId="11002" fillId="11007" borderId="10954" xfId="0" applyFont="1" applyFill="1" applyBorder="1"/>
    <xf numFmtId="0" fontId="11003" fillId="11008" borderId="10955" xfId="0" applyFont="1" applyFill="1" applyBorder="1"/>
    <xf numFmtId="0" fontId="11004" fillId="11009" borderId="10956" xfId="0" applyFont="1" applyFill="1" applyBorder="1"/>
    <xf numFmtId="14" fontId="11005" fillId="11010" borderId="10957" xfId="0" applyNumberFormat="1" applyFont="1" applyFill="1" applyBorder="1"/>
    <xf numFmtId="0" fontId="11006" fillId="11011" borderId="10958" xfId="0" applyFont="1" applyFill="1" applyBorder="1"/>
    <xf numFmtId="14" fontId="11007" fillId="11012" borderId="10959" xfId="0" applyNumberFormat="1" applyFont="1" applyFill="1" applyBorder="1"/>
    <xf numFmtId="0" fontId="11008" fillId="11013" borderId="10960" xfId="0" applyFont="1" applyFill="1" applyBorder="1"/>
    <xf numFmtId="0" fontId="11009" fillId="11014" borderId="10961" xfId="0" applyFont="1" applyFill="1" applyBorder="1"/>
    <xf numFmtId="0" fontId="11010" fillId="11015" borderId="10962" xfId="0" applyFont="1" applyFill="1" applyBorder="1"/>
    <xf numFmtId="0" fontId="11011" fillId="11016" borderId="10963" xfId="0" applyFont="1" applyFill="1" applyBorder="1"/>
    <xf numFmtId="0" fontId="11012" fillId="11017" borderId="10964" xfId="0" applyFont="1" applyFill="1" applyBorder="1"/>
    <xf numFmtId="0" fontId="11013" fillId="11018" borderId="10965" xfId="0" applyFont="1" applyFill="1" applyBorder="1"/>
    <xf numFmtId="0" fontId="11014" fillId="11019" borderId="10966" xfId="0" applyFont="1" applyFill="1" applyBorder="1"/>
    <xf numFmtId="14" fontId="11015" fillId="11020" borderId="10967" xfId="0" applyNumberFormat="1" applyFont="1" applyFill="1" applyBorder="1"/>
    <xf numFmtId="0" fontId="11016" fillId="11021" borderId="10968" xfId="0" applyFont="1" applyFill="1" applyBorder="1"/>
    <xf numFmtId="14" fontId="11017" fillId="11022" borderId="10969" xfId="0" applyNumberFormat="1" applyFont="1" applyFill="1" applyBorder="1"/>
    <xf numFmtId="0" fontId="11018" fillId="11023" borderId="10970" xfId="0" applyFont="1" applyFill="1" applyBorder="1"/>
    <xf numFmtId="0" fontId="11019" fillId="11024" borderId="10971" xfId="0" applyFont="1" applyFill="1" applyBorder="1"/>
    <xf numFmtId="0" fontId="11020" fillId="11025" borderId="10972" xfId="0" applyFont="1" applyFill="1" applyBorder="1"/>
    <xf numFmtId="0" fontId="11021" fillId="11026" borderId="10973" xfId="0" applyFont="1" applyFill="1" applyBorder="1"/>
    <xf numFmtId="0" fontId="11022" fillId="11027" borderId="10974" xfId="0" applyFont="1" applyFill="1" applyBorder="1"/>
    <xf numFmtId="0" fontId="11023" fillId="11028" borderId="10975" xfId="0" applyFont="1" applyFill="1" applyBorder="1"/>
    <xf numFmtId="0" fontId="11024" fillId="11029" borderId="10976" xfId="0" applyFont="1" applyFill="1" applyBorder="1"/>
    <xf numFmtId="14" fontId="11025" fillId="11030" borderId="10977" xfId="0" applyNumberFormat="1" applyFont="1" applyFill="1" applyBorder="1"/>
    <xf numFmtId="0" fontId="11026" fillId="11031" borderId="10978" xfId="0" applyFont="1" applyFill="1" applyBorder="1"/>
    <xf numFmtId="14" fontId="11027" fillId="11032" borderId="10979" xfId="0" applyNumberFormat="1" applyFont="1" applyFill="1" applyBorder="1"/>
    <xf numFmtId="0" fontId="11028" fillId="11033" borderId="10980" xfId="0" applyFont="1" applyFill="1" applyBorder="1"/>
    <xf numFmtId="0" fontId="11029" fillId="11034" borderId="10981" xfId="0" applyFont="1" applyFill="1" applyBorder="1"/>
    <xf numFmtId="0" fontId="11030" fillId="11035" borderId="10982" xfId="0" applyFont="1" applyFill="1" applyBorder="1"/>
    <xf numFmtId="0" fontId="11031" fillId="11036" borderId="10983" xfId="0" applyFont="1" applyFill="1" applyBorder="1"/>
    <xf numFmtId="0" fontId="11032" fillId="11037" borderId="10984" xfId="0" applyFont="1" applyFill="1" applyBorder="1"/>
    <xf numFmtId="0" fontId="11033" fillId="11038" borderId="10985" xfId="0" applyFont="1" applyFill="1" applyBorder="1"/>
    <xf numFmtId="0" fontId="11034" fillId="11039" borderId="10986" xfId="0" applyFont="1" applyFill="1" applyBorder="1"/>
    <xf numFmtId="14" fontId="11035" fillId="11040" borderId="10987" xfId="0" applyNumberFormat="1" applyFont="1" applyFill="1" applyBorder="1"/>
    <xf numFmtId="0" fontId="11036" fillId="11041" borderId="10988" xfId="0" applyFont="1" applyFill="1" applyBorder="1"/>
    <xf numFmtId="14" fontId="11037" fillId="11042" borderId="10989" xfId="0" applyNumberFormat="1" applyFont="1" applyFill="1" applyBorder="1"/>
    <xf numFmtId="0" fontId="11038" fillId="11043" borderId="10990" xfId="0" applyFont="1" applyFill="1" applyBorder="1"/>
    <xf numFmtId="0" fontId="11039" fillId="11044" borderId="10991" xfId="0" applyFont="1" applyFill="1" applyBorder="1"/>
    <xf numFmtId="0" fontId="11040" fillId="11045" borderId="10992" xfId="0" applyFont="1" applyFill="1" applyBorder="1"/>
    <xf numFmtId="0" fontId="11041" fillId="11046" borderId="10993" xfId="0" applyFont="1" applyFill="1" applyBorder="1"/>
    <xf numFmtId="0" fontId="11042" fillId="11047" borderId="10994" xfId="0" applyFont="1" applyFill="1" applyBorder="1"/>
    <xf numFmtId="0" fontId="11043" fillId="11048" borderId="10995" xfId="0" applyFont="1" applyFill="1" applyBorder="1"/>
    <xf numFmtId="0" fontId="11044" fillId="11049" borderId="10996" xfId="0" applyFont="1" applyFill="1" applyBorder="1"/>
    <xf numFmtId="14" fontId="11045" fillId="11050" borderId="10997" xfId="0" applyNumberFormat="1" applyFont="1" applyFill="1" applyBorder="1"/>
    <xf numFmtId="0" fontId="11046" fillId="11051" borderId="10998" xfId="0" applyFont="1" applyFill="1" applyBorder="1"/>
    <xf numFmtId="14" fontId="11047" fillId="11052" borderId="10999" xfId="0" applyNumberFormat="1" applyFont="1" applyFill="1" applyBorder="1"/>
    <xf numFmtId="0" fontId="11048" fillId="11053" borderId="11000" xfId="0" applyFont="1" applyFill="1" applyBorder="1"/>
    <xf numFmtId="0" fontId="11049" fillId="11054" borderId="11001" xfId="0" applyFont="1" applyFill="1" applyBorder="1"/>
    <xf numFmtId="0" fontId="11050" fillId="11055" borderId="11002" xfId="0" applyFont="1" applyFill="1" applyBorder="1"/>
    <xf numFmtId="0" fontId="11051" fillId="11056" borderId="11003" xfId="0" applyFont="1" applyFill="1" applyBorder="1"/>
    <xf numFmtId="0" fontId="11052" fillId="11057" borderId="11004" xfId="0" applyFont="1" applyFill="1" applyBorder="1"/>
    <xf numFmtId="0" fontId="11053" fillId="11058" borderId="11005" xfId="0" applyFont="1" applyFill="1" applyBorder="1"/>
    <xf numFmtId="0" fontId="11054" fillId="11059" borderId="11006" xfId="0" applyFont="1" applyFill="1" applyBorder="1"/>
    <xf numFmtId="14" fontId="11055" fillId="11060" borderId="11007" xfId="0" applyNumberFormat="1" applyFont="1" applyFill="1" applyBorder="1"/>
    <xf numFmtId="0" fontId="11056" fillId="11061" borderId="11008" xfId="0" applyFont="1" applyFill="1" applyBorder="1"/>
    <xf numFmtId="14" fontId="11057" fillId="11062" borderId="11009" xfId="0" applyNumberFormat="1" applyFont="1" applyFill="1" applyBorder="1"/>
    <xf numFmtId="0" fontId="11058" fillId="11063" borderId="11010" xfId="0" applyFont="1" applyFill="1" applyBorder="1"/>
    <xf numFmtId="0" fontId="11059" fillId="11064" borderId="11011" xfId="0" applyFont="1" applyFill="1" applyBorder="1"/>
    <xf numFmtId="0" fontId="11060" fillId="11065" borderId="11012" xfId="0" applyFont="1" applyFill="1" applyBorder="1"/>
    <xf numFmtId="0" fontId="11061" fillId="11066" borderId="11013" xfId="0" applyFont="1" applyFill="1" applyBorder="1"/>
    <xf numFmtId="0" fontId="11062" fillId="11067" borderId="11014" xfId="0" applyFont="1" applyFill="1" applyBorder="1"/>
    <xf numFmtId="0" fontId="11063" fillId="11068" borderId="11015" xfId="0" applyFont="1" applyFill="1" applyBorder="1"/>
    <xf numFmtId="0" fontId="11064" fillId="11069" borderId="11016" xfId="0" applyFont="1" applyFill="1" applyBorder="1"/>
    <xf numFmtId="14" fontId="11065" fillId="11070" borderId="11017" xfId="0" applyNumberFormat="1" applyFont="1" applyFill="1" applyBorder="1"/>
    <xf numFmtId="0" fontId="11066" fillId="11071" borderId="11018" xfId="0" applyFont="1" applyFill="1" applyBorder="1"/>
    <xf numFmtId="14" fontId="11067" fillId="11072" borderId="11019" xfId="0" applyNumberFormat="1" applyFont="1" applyFill="1" applyBorder="1"/>
    <xf numFmtId="0" fontId="11068" fillId="11073" borderId="11020" xfId="0" applyFont="1" applyFill="1" applyBorder="1"/>
    <xf numFmtId="0" fontId="11069" fillId="11074" borderId="11021" xfId="0" applyFont="1" applyFill="1" applyBorder="1"/>
    <xf numFmtId="0" fontId="11070" fillId="11075" borderId="11022" xfId="0" applyFont="1" applyFill="1" applyBorder="1"/>
    <xf numFmtId="0" fontId="11071" fillId="11076" borderId="11023" xfId="0" applyFont="1" applyFill="1" applyBorder="1"/>
    <xf numFmtId="0" fontId="11072" fillId="11077" borderId="11024" xfId="0" applyFont="1" applyFill="1" applyBorder="1"/>
    <xf numFmtId="0" fontId="11073" fillId="11078" borderId="11025" xfId="0" applyFont="1" applyFill="1" applyBorder="1"/>
    <xf numFmtId="0" fontId="11074" fillId="11079" borderId="11026" xfId="0" applyFont="1" applyFill="1" applyBorder="1"/>
    <xf numFmtId="14" fontId="11075" fillId="11080" borderId="11027" xfId="0" applyNumberFormat="1" applyFont="1" applyFill="1" applyBorder="1"/>
    <xf numFmtId="0" fontId="11076" fillId="11081" borderId="11028" xfId="0" applyFont="1" applyFill="1" applyBorder="1"/>
    <xf numFmtId="14" fontId="11077" fillId="11082" borderId="11029" xfId="0" applyNumberFormat="1" applyFont="1" applyFill="1" applyBorder="1"/>
    <xf numFmtId="0" fontId="11078" fillId="11083" borderId="11030" xfId="0" applyFont="1" applyFill="1" applyBorder="1"/>
    <xf numFmtId="0" fontId="11079" fillId="11084" borderId="11031" xfId="0" applyFont="1" applyFill="1" applyBorder="1"/>
    <xf numFmtId="0" fontId="11080" fillId="11085" borderId="11032" xfId="0" applyFont="1" applyFill="1" applyBorder="1"/>
    <xf numFmtId="0" fontId="11081" fillId="11086" borderId="11033" xfId="0" applyFont="1" applyFill="1" applyBorder="1"/>
    <xf numFmtId="0" fontId="11082" fillId="11087" borderId="11034" xfId="0" applyFont="1" applyFill="1" applyBorder="1"/>
    <xf numFmtId="0" fontId="11083" fillId="11088" borderId="11035" xfId="0" applyFont="1" applyFill="1" applyBorder="1"/>
    <xf numFmtId="0" fontId="11084" fillId="11089" borderId="11036" xfId="0" applyFont="1" applyFill="1" applyBorder="1"/>
    <xf numFmtId="14" fontId="11085" fillId="11090" borderId="11037" xfId="0" applyNumberFormat="1" applyFont="1" applyFill="1" applyBorder="1"/>
    <xf numFmtId="0" fontId="11086" fillId="11091" borderId="11038" xfId="0" applyFont="1" applyFill="1" applyBorder="1"/>
    <xf numFmtId="14" fontId="11087" fillId="11092" borderId="11039" xfId="0" applyNumberFormat="1" applyFont="1" applyFill="1" applyBorder="1"/>
    <xf numFmtId="0" fontId="11088" fillId="11093" borderId="11040" xfId="0" applyFont="1" applyFill="1" applyBorder="1"/>
    <xf numFmtId="0" fontId="11089" fillId="11094" borderId="11041" xfId="0" applyFont="1" applyFill="1" applyBorder="1"/>
    <xf numFmtId="0" fontId="11090" fillId="11095" borderId="11042" xfId="0" applyFont="1" applyFill="1" applyBorder="1"/>
    <xf numFmtId="0" fontId="11091" fillId="11096" borderId="11043" xfId="0" applyFont="1" applyFill="1" applyBorder="1"/>
    <xf numFmtId="0" fontId="11092" fillId="11097" borderId="11044" xfId="0" applyFont="1" applyFill="1" applyBorder="1"/>
    <xf numFmtId="0" fontId="11093" fillId="11098" borderId="11045" xfId="0" applyFont="1" applyFill="1" applyBorder="1"/>
    <xf numFmtId="0" fontId="11094" fillId="11099" borderId="11046" xfId="0" applyFont="1" applyFill="1" applyBorder="1"/>
    <xf numFmtId="14" fontId="11095" fillId="11100" borderId="11047" xfId="0" applyNumberFormat="1" applyFont="1" applyFill="1" applyBorder="1"/>
    <xf numFmtId="0" fontId="11096" fillId="11101" borderId="11048" xfId="0" applyFont="1" applyFill="1" applyBorder="1"/>
    <xf numFmtId="14" fontId="11097" fillId="11102" borderId="11049" xfId="0" applyNumberFormat="1" applyFont="1" applyFill="1" applyBorder="1"/>
    <xf numFmtId="0" fontId="11098" fillId="11103" borderId="11050" xfId="0" applyFont="1" applyFill="1" applyBorder="1"/>
    <xf numFmtId="0" fontId="11099" fillId="11104" borderId="11051" xfId="0" applyFont="1" applyFill="1" applyBorder="1"/>
    <xf numFmtId="0" fontId="11100" fillId="11105" borderId="11052" xfId="0" applyFont="1" applyFill="1" applyBorder="1"/>
    <xf numFmtId="0" fontId="11101" fillId="11106" borderId="11053" xfId="0" applyFont="1" applyFill="1" applyBorder="1"/>
    <xf numFmtId="0" fontId="11102" fillId="11107" borderId="11054" xfId="0" applyFont="1" applyFill="1" applyBorder="1"/>
    <xf numFmtId="0" fontId="11103" fillId="11108" borderId="11055" xfId="0" applyFont="1" applyFill="1" applyBorder="1"/>
    <xf numFmtId="0" fontId="11104" fillId="11109" borderId="11056" xfId="0" applyFont="1" applyFill="1" applyBorder="1"/>
    <xf numFmtId="14" fontId="11105" fillId="11110" borderId="11057" xfId="0" applyNumberFormat="1" applyFont="1" applyFill="1" applyBorder="1"/>
    <xf numFmtId="0" fontId="11106" fillId="11111" borderId="11058" xfId="0" applyFont="1" applyFill="1" applyBorder="1"/>
    <xf numFmtId="14" fontId="11107" fillId="11112" borderId="11059" xfId="0" applyNumberFormat="1" applyFont="1" applyFill="1" applyBorder="1"/>
    <xf numFmtId="0" fontId="11108" fillId="11113" borderId="11060" xfId="0" applyFont="1" applyFill="1" applyBorder="1"/>
    <xf numFmtId="0" fontId="11109" fillId="11114" borderId="11061" xfId="0" applyFont="1" applyFill="1" applyBorder="1"/>
    <xf numFmtId="0" fontId="11110" fillId="11115" borderId="11062" xfId="0" applyFont="1" applyFill="1" applyBorder="1"/>
    <xf numFmtId="0" fontId="11111" fillId="11116" borderId="11063" xfId="0" applyFont="1" applyFill="1" applyBorder="1"/>
    <xf numFmtId="0" fontId="11112" fillId="11117" borderId="11064" xfId="0" applyFont="1" applyFill="1" applyBorder="1"/>
    <xf numFmtId="0" fontId="11113" fillId="11118" borderId="11065" xfId="0" applyFont="1" applyFill="1" applyBorder="1"/>
    <xf numFmtId="0" fontId="11114" fillId="11119" borderId="11066" xfId="0" applyFont="1" applyFill="1" applyBorder="1"/>
    <xf numFmtId="14" fontId="11115" fillId="11120" borderId="11067" xfId="0" applyNumberFormat="1" applyFont="1" applyFill="1" applyBorder="1"/>
    <xf numFmtId="0" fontId="11116" fillId="11121" borderId="11068" xfId="0" applyFont="1" applyFill="1" applyBorder="1"/>
    <xf numFmtId="14" fontId="11117" fillId="11122" borderId="11069" xfId="0" applyNumberFormat="1" applyFont="1" applyFill="1" applyBorder="1"/>
    <xf numFmtId="0" fontId="11118" fillId="11123" borderId="11070" xfId="0" applyFont="1" applyFill="1" applyBorder="1"/>
    <xf numFmtId="0" fontId="11119" fillId="11124" borderId="11071" xfId="0" applyFont="1" applyFill="1" applyBorder="1"/>
    <xf numFmtId="0" fontId="11120" fillId="11125" borderId="11072" xfId="0" applyFont="1" applyFill="1" applyBorder="1"/>
    <xf numFmtId="0" fontId="11121" fillId="11126" borderId="11073" xfId="0" applyFont="1" applyFill="1" applyBorder="1"/>
    <xf numFmtId="0" fontId="11122" fillId="11127" borderId="11074" xfId="0" applyFont="1" applyFill="1" applyBorder="1"/>
    <xf numFmtId="0" fontId="11123" fillId="11128" borderId="11075" xfId="0" applyFont="1" applyFill="1" applyBorder="1"/>
    <xf numFmtId="0" fontId="11124" fillId="11129" borderId="11076" xfId="0" applyFont="1" applyFill="1" applyBorder="1"/>
    <xf numFmtId="14" fontId="11125" fillId="11130" borderId="11077" xfId="0" applyNumberFormat="1" applyFont="1" applyFill="1" applyBorder="1"/>
    <xf numFmtId="0" fontId="11126" fillId="11131" borderId="11078" xfId="0" applyFont="1" applyFill="1" applyBorder="1"/>
    <xf numFmtId="14" fontId="11127" fillId="11132" borderId="11079" xfId="0" applyNumberFormat="1" applyFont="1" applyFill="1" applyBorder="1"/>
    <xf numFmtId="0" fontId="11128" fillId="11133" borderId="11080" xfId="0" applyFont="1" applyFill="1" applyBorder="1"/>
    <xf numFmtId="0" fontId="11129" fillId="11134" borderId="11081" xfId="0" applyFont="1" applyFill="1" applyBorder="1"/>
    <xf numFmtId="0" fontId="11130" fillId="11135" borderId="11082" xfId="0" applyFont="1" applyFill="1" applyBorder="1"/>
    <xf numFmtId="0" fontId="11131" fillId="11136" borderId="11083" xfId="0" applyFont="1" applyFill="1" applyBorder="1"/>
    <xf numFmtId="0" fontId="11132" fillId="11137" borderId="11084" xfId="0" applyFont="1" applyFill="1" applyBorder="1"/>
    <xf numFmtId="0" fontId="11133" fillId="11138" borderId="11085" xfId="0" applyFont="1" applyFill="1" applyBorder="1"/>
    <xf numFmtId="0" fontId="11134" fillId="11139" borderId="11086" xfId="0" applyFont="1" applyFill="1" applyBorder="1"/>
    <xf numFmtId="14" fontId="11135" fillId="11140" borderId="11087" xfId="0" applyNumberFormat="1" applyFont="1" applyFill="1" applyBorder="1"/>
    <xf numFmtId="0" fontId="11136" fillId="11141" borderId="11088" xfId="0" applyFont="1" applyFill="1" applyBorder="1"/>
    <xf numFmtId="14" fontId="11137" fillId="11142" borderId="11089" xfId="0" applyNumberFormat="1" applyFont="1" applyFill="1" applyBorder="1"/>
    <xf numFmtId="0" fontId="11138" fillId="11143" borderId="11090" xfId="0" applyFont="1" applyFill="1" applyBorder="1"/>
    <xf numFmtId="0" fontId="11139" fillId="11144" borderId="11091" xfId="0" applyFont="1" applyFill="1" applyBorder="1"/>
    <xf numFmtId="0" fontId="11140" fillId="11145" borderId="11092" xfId="0" applyFont="1" applyFill="1" applyBorder="1"/>
    <xf numFmtId="0" fontId="11141" fillId="11146" borderId="11093" xfId="0" applyFont="1" applyFill="1" applyBorder="1"/>
    <xf numFmtId="0" fontId="11142" fillId="11147" borderId="11094" xfId="0" applyFont="1" applyFill="1" applyBorder="1"/>
    <xf numFmtId="0" fontId="11143" fillId="11148" borderId="11095" xfId="0" applyFont="1" applyFill="1" applyBorder="1"/>
    <xf numFmtId="0" fontId="11144" fillId="11149" borderId="11096" xfId="0" applyFont="1" applyFill="1" applyBorder="1"/>
    <xf numFmtId="14" fontId="11145" fillId="11150" borderId="11097" xfId="0" applyNumberFormat="1" applyFont="1" applyFill="1" applyBorder="1"/>
    <xf numFmtId="0" fontId="11146" fillId="11151" borderId="11098" xfId="0" applyFont="1" applyFill="1" applyBorder="1"/>
    <xf numFmtId="14" fontId="11147" fillId="11152" borderId="11099" xfId="0" applyNumberFormat="1" applyFont="1" applyFill="1" applyBorder="1"/>
    <xf numFmtId="0" fontId="11148" fillId="11153" borderId="11100" xfId="0" applyFont="1" applyFill="1" applyBorder="1"/>
    <xf numFmtId="0" fontId="11149" fillId="11154" borderId="11101" xfId="0" applyFont="1" applyFill="1" applyBorder="1"/>
    <xf numFmtId="0" fontId="11150" fillId="11155" borderId="11102" xfId="0" applyFont="1" applyFill="1" applyBorder="1"/>
    <xf numFmtId="0" fontId="11151" fillId="11156" borderId="11103" xfId="0" applyFont="1" applyFill="1" applyBorder="1"/>
    <xf numFmtId="0" fontId="11152" fillId="11157" borderId="11104" xfId="0" applyFont="1" applyFill="1" applyBorder="1"/>
    <xf numFmtId="0" fontId="11153" fillId="11158" borderId="11105" xfId="0" applyFont="1" applyFill="1" applyBorder="1"/>
    <xf numFmtId="0" fontId="11154" fillId="11159" borderId="11106" xfId="0" applyFont="1" applyFill="1" applyBorder="1"/>
    <xf numFmtId="14" fontId="11155" fillId="11160" borderId="11107" xfId="0" applyNumberFormat="1" applyFont="1" applyFill="1" applyBorder="1"/>
    <xf numFmtId="0" fontId="11156" fillId="11161" borderId="11108" xfId="0" applyFont="1" applyFill="1" applyBorder="1"/>
    <xf numFmtId="14" fontId="11157" fillId="11162" borderId="11109" xfId="0" applyNumberFormat="1" applyFont="1" applyFill="1" applyBorder="1"/>
    <xf numFmtId="0" fontId="11158" fillId="11163" borderId="11110" xfId="0" applyFont="1" applyFill="1" applyBorder="1"/>
    <xf numFmtId="0" fontId="11159" fillId="11164" borderId="11111" xfId="0" applyFont="1" applyFill="1" applyBorder="1"/>
    <xf numFmtId="0" fontId="11160" fillId="11165" borderId="11112" xfId="0" applyFont="1" applyFill="1" applyBorder="1"/>
    <xf numFmtId="0" fontId="11161" fillId="11166" borderId="11113" xfId="0" applyFont="1" applyFill="1" applyBorder="1"/>
    <xf numFmtId="0" fontId="11162" fillId="11167" borderId="11114" xfId="0" applyFont="1" applyFill="1" applyBorder="1"/>
    <xf numFmtId="0" fontId="11163" fillId="11168" borderId="11115" xfId="0" applyFont="1" applyFill="1" applyBorder="1"/>
    <xf numFmtId="0" fontId="11164" fillId="11169" borderId="11116" xfId="0" applyFont="1" applyFill="1" applyBorder="1"/>
    <xf numFmtId="14" fontId="11165" fillId="11170" borderId="11117" xfId="0" applyNumberFormat="1" applyFont="1" applyFill="1" applyBorder="1"/>
    <xf numFmtId="0" fontId="11166" fillId="11171" borderId="11118" xfId="0" applyFont="1" applyFill="1" applyBorder="1"/>
    <xf numFmtId="14" fontId="11167" fillId="11172" borderId="11119" xfId="0" applyNumberFormat="1" applyFont="1" applyFill="1" applyBorder="1"/>
    <xf numFmtId="0" fontId="11168" fillId="11173" borderId="11120" xfId="0" applyFont="1" applyFill="1" applyBorder="1"/>
    <xf numFmtId="0" fontId="11169" fillId="11174" borderId="11121" xfId="0" applyFont="1" applyFill="1" applyBorder="1"/>
    <xf numFmtId="0" fontId="11170" fillId="11175" borderId="11122" xfId="0" applyFont="1" applyFill="1" applyBorder="1"/>
    <xf numFmtId="0" fontId="11171" fillId="11176" borderId="11123" xfId="0" applyFont="1" applyFill="1" applyBorder="1"/>
    <xf numFmtId="0" fontId="11172" fillId="11177" borderId="11124" xfId="0" applyFont="1" applyFill="1" applyBorder="1"/>
    <xf numFmtId="0" fontId="11173" fillId="11178" borderId="11125" xfId="0" applyFont="1" applyFill="1" applyBorder="1"/>
    <xf numFmtId="0" fontId="11174" fillId="11179" borderId="11126" xfId="0" applyFont="1" applyFill="1" applyBorder="1"/>
    <xf numFmtId="14" fontId="11175" fillId="11180" borderId="11127" xfId="0" applyNumberFormat="1" applyFont="1" applyFill="1" applyBorder="1"/>
    <xf numFmtId="0" fontId="11176" fillId="11181" borderId="11128" xfId="0" applyFont="1" applyFill="1" applyBorder="1"/>
    <xf numFmtId="14" fontId="11177" fillId="11182" borderId="11129" xfId="0" applyNumberFormat="1" applyFont="1" applyFill="1" applyBorder="1"/>
    <xf numFmtId="0" fontId="11178" fillId="11183" borderId="11130" xfId="0" applyFont="1" applyFill="1" applyBorder="1"/>
    <xf numFmtId="0" fontId="11179" fillId="11184" borderId="11131" xfId="0" applyFont="1" applyFill="1" applyBorder="1"/>
    <xf numFmtId="0" fontId="11180" fillId="11185" borderId="11132" xfId="0" applyFont="1" applyFill="1" applyBorder="1"/>
    <xf numFmtId="0" fontId="11181" fillId="11186" borderId="11133" xfId="0" applyFont="1" applyFill="1" applyBorder="1"/>
    <xf numFmtId="0" fontId="11182" fillId="11187" borderId="11134" xfId="0" applyFont="1" applyFill="1" applyBorder="1"/>
    <xf numFmtId="0" fontId="11183" fillId="11188" borderId="11135" xfId="0" applyFont="1" applyFill="1" applyBorder="1"/>
    <xf numFmtId="0" fontId="11184" fillId="11189" borderId="11136" xfId="0" applyFont="1" applyFill="1" applyBorder="1"/>
    <xf numFmtId="14" fontId="11185" fillId="11190" borderId="11137" xfId="0" applyNumberFormat="1" applyFont="1" applyFill="1" applyBorder="1"/>
    <xf numFmtId="0" fontId="11186" fillId="11191" borderId="11138" xfId="0" applyFont="1" applyFill="1" applyBorder="1"/>
    <xf numFmtId="14" fontId="11187" fillId="11192" borderId="11139" xfId="0" applyNumberFormat="1" applyFont="1" applyFill="1" applyBorder="1"/>
    <xf numFmtId="0" fontId="11188" fillId="11193" borderId="11140" xfId="0" applyFont="1" applyFill="1" applyBorder="1"/>
    <xf numFmtId="0" fontId="11189" fillId="11194" borderId="11141" xfId="0" applyFont="1" applyFill="1" applyBorder="1"/>
    <xf numFmtId="0" fontId="11190" fillId="11195" borderId="11142" xfId="0" applyFont="1" applyFill="1" applyBorder="1"/>
    <xf numFmtId="0" fontId="11191" fillId="11196" borderId="11143" xfId="0" applyFont="1" applyFill="1" applyBorder="1"/>
    <xf numFmtId="0" fontId="11192" fillId="11197" borderId="11144" xfId="0" applyFont="1" applyFill="1" applyBorder="1"/>
    <xf numFmtId="0" fontId="11193" fillId="11198" borderId="11145" xfId="0" applyFont="1" applyFill="1" applyBorder="1"/>
    <xf numFmtId="0" fontId="11194" fillId="11199" borderId="11146" xfId="0" applyFont="1" applyFill="1" applyBorder="1"/>
    <xf numFmtId="14" fontId="11195" fillId="11200" borderId="11147" xfId="0" applyNumberFormat="1" applyFont="1" applyFill="1" applyBorder="1"/>
    <xf numFmtId="0" fontId="11196" fillId="11201" borderId="11148" xfId="0" applyFont="1" applyFill="1" applyBorder="1"/>
    <xf numFmtId="14" fontId="11197" fillId="11202" borderId="11149" xfId="0" applyNumberFormat="1" applyFont="1" applyFill="1" applyBorder="1"/>
    <xf numFmtId="0" fontId="11198" fillId="11203" borderId="11150" xfId="0" applyFont="1" applyFill="1" applyBorder="1"/>
    <xf numFmtId="0" fontId="11199" fillId="11204" borderId="11151" xfId="0" applyFont="1" applyFill="1" applyBorder="1"/>
    <xf numFmtId="0" fontId="11200" fillId="11205" borderId="11152" xfId="0" applyFont="1" applyFill="1" applyBorder="1"/>
    <xf numFmtId="0" fontId="11201" fillId="11206" borderId="11153" xfId="0" applyFont="1" applyFill="1" applyBorder="1"/>
    <xf numFmtId="0" fontId="11202" fillId="11207" borderId="11154" xfId="0" applyFont="1" applyFill="1" applyBorder="1"/>
    <xf numFmtId="0" fontId="11203" fillId="11208" borderId="11155" xfId="0" applyFont="1" applyFill="1" applyBorder="1"/>
    <xf numFmtId="0" fontId="11204" fillId="11209" borderId="11156" xfId="0" applyFont="1" applyFill="1" applyBorder="1"/>
    <xf numFmtId="14" fontId="11205" fillId="11210" borderId="11157" xfId="0" applyNumberFormat="1" applyFont="1" applyFill="1" applyBorder="1"/>
    <xf numFmtId="0" fontId="11206" fillId="11211" borderId="11158" xfId="0" applyFont="1" applyFill="1" applyBorder="1"/>
    <xf numFmtId="14" fontId="11207" fillId="11212" borderId="11159" xfId="0" applyNumberFormat="1" applyFont="1" applyFill="1" applyBorder="1"/>
    <xf numFmtId="0" fontId="11208" fillId="11213" borderId="11160" xfId="0" applyFont="1" applyFill="1" applyBorder="1"/>
    <xf numFmtId="0" fontId="11209" fillId="11214" borderId="11161" xfId="0" applyFont="1" applyFill="1" applyBorder="1"/>
    <xf numFmtId="0" fontId="11210" fillId="11215" borderId="11162" xfId="0" applyFont="1" applyFill="1" applyBorder="1"/>
    <xf numFmtId="0" fontId="11211" fillId="11216" borderId="11163" xfId="0" applyFont="1" applyFill="1" applyBorder="1"/>
    <xf numFmtId="0" fontId="11212" fillId="11217" borderId="11164" xfId="0" applyFont="1" applyFill="1" applyBorder="1"/>
    <xf numFmtId="0" fontId="11213" fillId="11218" borderId="11165" xfId="0" applyFont="1" applyFill="1" applyBorder="1"/>
    <xf numFmtId="0" fontId="11214" fillId="11219" borderId="11166" xfId="0" applyFont="1" applyFill="1" applyBorder="1"/>
    <xf numFmtId="14" fontId="11215" fillId="11220" borderId="11167" xfId="0" applyNumberFormat="1" applyFont="1" applyFill="1" applyBorder="1"/>
    <xf numFmtId="0" fontId="11216" fillId="11221" borderId="11168" xfId="0" applyFont="1" applyFill="1" applyBorder="1"/>
    <xf numFmtId="14" fontId="11217" fillId="11222" borderId="11169" xfId="0" applyNumberFormat="1" applyFont="1" applyFill="1" applyBorder="1"/>
    <xf numFmtId="0" fontId="11218" fillId="11223" borderId="11170" xfId="0" applyFont="1" applyFill="1" applyBorder="1"/>
    <xf numFmtId="0" fontId="11219" fillId="11224" borderId="11171" xfId="0" applyFont="1" applyFill="1" applyBorder="1"/>
    <xf numFmtId="0" fontId="11220" fillId="11225" borderId="11172" xfId="0" applyFont="1" applyFill="1" applyBorder="1"/>
    <xf numFmtId="0" fontId="11221" fillId="11226" borderId="11173" xfId="0" applyFont="1" applyFill="1" applyBorder="1"/>
    <xf numFmtId="0" fontId="11222" fillId="11227" borderId="11174" xfId="0" applyFont="1" applyFill="1" applyBorder="1"/>
    <xf numFmtId="0" fontId="11223" fillId="11228" borderId="11175" xfId="0" applyFont="1" applyFill="1" applyBorder="1"/>
    <xf numFmtId="0" fontId="11224" fillId="11229" borderId="11176" xfId="0" applyFont="1" applyFill="1" applyBorder="1"/>
    <xf numFmtId="14" fontId="11225" fillId="11230" borderId="11177" xfId="0" applyNumberFormat="1" applyFont="1" applyFill="1" applyBorder="1"/>
    <xf numFmtId="0" fontId="11226" fillId="11231" borderId="11178" xfId="0" applyFont="1" applyFill="1" applyBorder="1"/>
    <xf numFmtId="14" fontId="11227" fillId="11232" borderId="11179" xfId="0" applyNumberFormat="1" applyFont="1" applyFill="1" applyBorder="1"/>
    <xf numFmtId="0" fontId="11228" fillId="11233" borderId="11180" xfId="0" applyFont="1" applyFill="1" applyBorder="1"/>
    <xf numFmtId="0" fontId="11229" fillId="11234" borderId="11181" xfId="0" applyFont="1" applyFill="1" applyBorder="1"/>
    <xf numFmtId="0" fontId="11230" fillId="11235" borderId="11182" xfId="0" applyFont="1" applyFill="1" applyBorder="1"/>
    <xf numFmtId="0" fontId="11231" fillId="11236" borderId="11183" xfId="0" applyFont="1" applyFill="1" applyBorder="1"/>
    <xf numFmtId="0" fontId="11232" fillId="11237" borderId="11184" xfId="0" applyFont="1" applyFill="1" applyBorder="1"/>
    <xf numFmtId="0" fontId="11233" fillId="11238" borderId="11185" xfId="0" applyFont="1" applyFill="1" applyBorder="1"/>
    <xf numFmtId="0" fontId="11234" fillId="11239" borderId="11186" xfId="0" applyFont="1" applyFill="1" applyBorder="1"/>
    <xf numFmtId="14" fontId="11235" fillId="11240" borderId="11187" xfId="0" applyNumberFormat="1" applyFont="1" applyFill="1" applyBorder="1"/>
    <xf numFmtId="0" fontId="11236" fillId="11241" borderId="11188" xfId="0" applyFont="1" applyFill="1" applyBorder="1"/>
    <xf numFmtId="14" fontId="11237" fillId="11242" borderId="11189" xfId="0" applyNumberFormat="1" applyFont="1" applyFill="1" applyBorder="1"/>
    <xf numFmtId="0" fontId="11238" fillId="11243" borderId="11190" xfId="0" applyFont="1" applyFill="1" applyBorder="1"/>
    <xf numFmtId="0" fontId="11239" fillId="11244" borderId="11191" xfId="0" applyFont="1" applyFill="1" applyBorder="1"/>
    <xf numFmtId="0" fontId="11240" fillId="11245" borderId="11192" xfId="0" applyFont="1" applyFill="1" applyBorder="1"/>
    <xf numFmtId="0" fontId="11241" fillId="11246" borderId="11193" xfId="0" applyFont="1" applyFill="1" applyBorder="1"/>
    <xf numFmtId="0" fontId="11242" fillId="11247" borderId="11194" xfId="0" applyFont="1" applyFill="1" applyBorder="1"/>
    <xf numFmtId="0" fontId="11243" fillId="11248" borderId="11195" xfId="0" applyFont="1" applyFill="1" applyBorder="1"/>
    <xf numFmtId="0" fontId="11244" fillId="11249" borderId="11196" xfId="0" applyFont="1" applyFill="1" applyBorder="1"/>
    <xf numFmtId="14" fontId="11245" fillId="11250" borderId="11197" xfId="0" applyNumberFormat="1" applyFont="1" applyFill="1" applyBorder="1"/>
    <xf numFmtId="0" fontId="11246" fillId="11251" borderId="11198" xfId="0" applyFont="1" applyFill="1" applyBorder="1"/>
    <xf numFmtId="14" fontId="11247" fillId="11252" borderId="11199" xfId="0" applyNumberFormat="1" applyFont="1" applyFill="1" applyBorder="1"/>
    <xf numFmtId="0" fontId="11248" fillId="11253" borderId="11200" xfId="0" applyFont="1" applyFill="1" applyBorder="1"/>
    <xf numFmtId="0" fontId="11249" fillId="11254" borderId="11201" xfId="0" applyFont="1" applyFill="1" applyBorder="1"/>
    <xf numFmtId="0" fontId="11250" fillId="11255" borderId="11202" xfId="0" applyFont="1" applyFill="1" applyBorder="1"/>
    <xf numFmtId="0" fontId="11251" fillId="11256" borderId="11203" xfId="0" applyFont="1" applyFill="1" applyBorder="1"/>
    <xf numFmtId="0" fontId="11252" fillId="11257" borderId="11204" xfId="0" applyFont="1" applyFill="1" applyBorder="1"/>
    <xf numFmtId="0" fontId="11253" fillId="11258" borderId="11205" xfId="0" applyFont="1" applyFill="1" applyBorder="1"/>
    <xf numFmtId="0" fontId="11254" fillId="11259" borderId="11206" xfId="0" applyFont="1" applyFill="1" applyBorder="1"/>
    <xf numFmtId="14" fontId="11255" fillId="11260" borderId="11207" xfId="0" applyNumberFormat="1" applyFont="1" applyFill="1" applyBorder="1"/>
    <xf numFmtId="0" fontId="11256" fillId="11261" borderId="11208" xfId="0" applyFont="1" applyFill="1" applyBorder="1"/>
    <xf numFmtId="14" fontId="11257" fillId="11262" borderId="11209" xfId="0" applyNumberFormat="1" applyFont="1" applyFill="1" applyBorder="1"/>
    <xf numFmtId="0" fontId="11258" fillId="11263" borderId="11210" xfId="0" applyFont="1" applyFill="1" applyBorder="1"/>
    <xf numFmtId="0" fontId="11259" fillId="11264" borderId="11211" xfId="0" applyFont="1" applyFill="1" applyBorder="1"/>
    <xf numFmtId="0" fontId="11260" fillId="11265" borderId="11212" xfId="0" applyFont="1" applyFill="1" applyBorder="1"/>
    <xf numFmtId="0" fontId="11261" fillId="11266" borderId="11213" xfId="0" applyFont="1" applyFill="1" applyBorder="1"/>
    <xf numFmtId="0" fontId="11262" fillId="11267" borderId="11214" xfId="0" applyFont="1" applyFill="1" applyBorder="1"/>
    <xf numFmtId="0" fontId="11263" fillId="11268" borderId="11215" xfId="0" applyFont="1" applyFill="1" applyBorder="1"/>
    <xf numFmtId="0" fontId="11264" fillId="11269" borderId="11216" xfId="0" applyFont="1" applyFill="1" applyBorder="1"/>
    <xf numFmtId="14" fontId="11265" fillId="11270" borderId="11217" xfId="0" applyNumberFormat="1" applyFont="1" applyFill="1" applyBorder="1"/>
    <xf numFmtId="0" fontId="11266" fillId="11271" borderId="11218" xfId="0" applyFont="1" applyFill="1" applyBorder="1"/>
    <xf numFmtId="14" fontId="11267" fillId="11272" borderId="11219" xfId="0" applyNumberFormat="1" applyFont="1" applyFill="1" applyBorder="1"/>
    <xf numFmtId="0" fontId="11268" fillId="11273" borderId="11220" xfId="0" applyFont="1" applyFill="1" applyBorder="1"/>
    <xf numFmtId="0" fontId="11269" fillId="11274" borderId="11221" xfId="0" applyFont="1" applyFill="1" applyBorder="1"/>
    <xf numFmtId="0" fontId="11270" fillId="11275" borderId="11222" xfId="0" applyFont="1" applyFill="1" applyBorder="1"/>
    <xf numFmtId="0" fontId="11271" fillId="11276" borderId="11223" xfId="0" applyFont="1" applyFill="1" applyBorder="1"/>
    <xf numFmtId="0" fontId="11272" fillId="11277" borderId="11224" xfId="0" applyFont="1" applyFill="1" applyBorder="1"/>
    <xf numFmtId="0" fontId="11273" fillId="11278" borderId="11225" xfId="0" applyFont="1" applyFill="1" applyBorder="1"/>
    <xf numFmtId="0" fontId="11274" fillId="11279" borderId="11226" xfId="0" applyFont="1" applyFill="1" applyBorder="1"/>
    <xf numFmtId="14" fontId="11275" fillId="11280" borderId="11227" xfId="0" applyNumberFormat="1" applyFont="1" applyFill="1" applyBorder="1"/>
    <xf numFmtId="0" fontId="11276" fillId="11281" borderId="11228" xfId="0" applyFont="1" applyFill="1" applyBorder="1"/>
    <xf numFmtId="14" fontId="11277" fillId="11282" borderId="11229" xfId="0" applyNumberFormat="1" applyFont="1" applyFill="1" applyBorder="1"/>
    <xf numFmtId="0" fontId="11278" fillId="11283" borderId="11230" xfId="0" applyFont="1" applyFill="1" applyBorder="1"/>
    <xf numFmtId="0" fontId="11279" fillId="11284" borderId="11231" xfId="0" applyFont="1" applyFill="1" applyBorder="1"/>
    <xf numFmtId="0" fontId="11280" fillId="11285" borderId="11232" xfId="0" applyFont="1" applyFill="1" applyBorder="1"/>
    <xf numFmtId="0" fontId="11281" fillId="11286" borderId="11233" xfId="0" applyFont="1" applyFill="1" applyBorder="1"/>
    <xf numFmtId="0" fontId="11282" fillId="11287" borderId="11234" xfId="0" applyFont="1" applyFill="1" applyBorder="1"/>
    <xf numFmtId="0" fontId="11283" fillId="11288" borderId="11235" xfId="0" applyFont="1" applyFill="1" applyBorder="1"/>
    <xf numFmtId="0" fontId="11284" fillId="11289" borderId="11236" xfId="0" applyFont="1" applyFill="1" applyBorder="1"/>
    <xf numFmtId="14" fontId="11285" fillId="11290" borderId="11237" xfId="0" applyNumberFormat="1" applyFont="1" applyFill="1" applyBorder="1"/>
    <xf numFmtId="0" fontId="11286" fillId="11291" borderId="11238" xfId="0" applyFont="1" applyFill="1" applyBorder="1"/>
    <xf numFmtId="14" fontId="11287" fillId="11292" borderId="11239" xfId="0" applyNumberFormat="1" applyFont="1" applyFill="1" applyBorder="1"/>
    <xf numFmtId="0" fontId="11288" fillId="11293" borderId="11240" xfId="0" applyFont="1" applyFill="1" applyBorder="1"/>
    <xf numFmtId="0" fontId="11289" fillId="11294" borderId="11241" xfId="0" applyFont="1" applyFill="1" applyBorder="1"/>
    <xf numFmtId="0" fontId="11290" fillId="11295" borderId="11242" xfId="0" applyFont="1" applyFill="1" applyBorder="1"/>
    <xf numFmtId="0" fontId="11291" fillId="11296" borderId="11243" xfId="0" applyFont="1" applyFill="1" applyBorder="1"/>
    <xf numFmtId="0" fontId="11292" fillId="11297" borderId="11244" xfId="0" applyFont="1" applyFill="1" applyBorder="1"/>
    <xf numFmtId="0" fontId="11293" fillId="11298" borderId="11245" xfId="0" applyFont="1" applyFill="1" applyBorder="1"/>
    <xf numFmtId="0" fontId="11294" fillId="11299" borderId="11246" xfId="0" applyFont="1" applyFill="1" applyBorder="1"/>
    <xf numFmtId="14" fontId="11295" fillId="11300" borderId="11247" xfId="0" applyNumberFormat="1" applyFont="1" applyFill="1" applyBorder="1"/>
    <xf numFmtId="0" fontId="11296" fillId="11301" borderId="11248" xfId="0" applyFont="1" applyFill="1" applyBorder="1"/>
    <xf numFmtId="14" fontId="11297" fillId="11302" borderId="11249" xfId="0" applyNumberFormat="1" applyFont="1" applyFill="1" applyBorder="1"/>
    <xf numFmtId="0" fontId="11298" fillId="11303" borderId="11250" xfId="0" applyFont="1" applyFill="1" applyBorder="1"/>
    <xf numFmtId="0" fontId="11299" fillId="11304" borderId="11251" xfId="0" applyFont="1" applyFill="1" applyBorder="1"/>
    <xf numFmtId="0" fontId="11300" fillId="11305" borderId="11252" xfId="0" applyFont="1" applyFill="1" applyBorder="1"/>
    <xf numFmtId="0" fontId="11301" fillId="11306" borderId="11253" xfId="0" applyFont="1" applyFill="1" applyBorder="1"/>
    <xf numFmtId="0" fontId="11302" fillId="11307" borderId="11254" xfId="0" applyFont="1" applyFill="1" applyBorder="1"/>
    <xf numFmtId="0" fontId="11303" fillId="11308" borderId="11255" xfId="0" applyFont="1" applyFill="1" applyBorder="1"/>
    <xf numFmtId="0" fontId="11304" fillId="11309" borderId="11256" xfId="0" applyFont="1" applyFill="1" applyBorder="1"/>
    <xf numFmtId="14" fontId="11305" fillId="11310" borderId="11257" xfId="0" applyNumberFormat="1" applyFont="1" applyFill="1" applyBorder="1"/>
    <xf numFmtId="0" fontId="11306" fillId="11311" borderId="11258" xfId="0" applyFont="1" applyFill="1" applyBorder="1"/>
    <xf numFmtId="14" fontId="11307" fillId="11312" borderId="11259" xfId="0" applyNumberFormat="1" applyFont="1" applyFill="1" applyBorder="1"/>
    <xf numFmtId="0" fontId="11308" fillId="11313" borderId="11260" xfId="0" applyFont="1" applyFill="1" applyBorder="1"/>
    <xf numFmtId="0" fontId="11309" fillId="11314" borderId="11261" xfId="0" applyFont="1" applyFill="1" applyBorder="1"/>
    <xf numFmtId="0" fontId="11310" fillId="11315" borderId="11262" xfId="0" applyFont="1" applyFill="1" applyBorder="1"/>
    <xf numFmtId="0" fontId="11311" fillId="11316" borderId="11263" xfId="0" applyFont="1" applyFill="1" applyBorder="1"/>
    <xf numFmtId="0" fontId="11312" fillId="11317" borderId="11264" xfId="0" applyFont="1" applyFill="1" applyBorder="1"/>
    <xf numFmtId="0" fontId="11313" fillId="11318" borderId="11265" xfId="0" applyFont="1" applyFill="1" applyBorder="1"/>
    <xf numFmtId="0" fontId="11314" fillId="11319" borderId="11266" xfId="0" applyFont="1" applyFill="1" applyBorder="1"/>
    <xf numFmtId="14" fontId="11315" fillId="11320" borderId="11267" xfId="0" applyNumberFormat="1" applyFont="1" applyFill="1" applyBorder="1"/>
    <xf numFmtId="0" fontId="11316" fillId="11321" borderId="11268" xfId="0" applyFont="1" applyFill="1" applyBorder="1"/>
    <xf numFmtId="14" fontId="11317" fillId="11322" borderId="11269" xfId="0" applyNumberFormat="1" applyFont="1" applyFill="1" applyBorder="1"/>
    <xf numFmtId="0" fontId="11318" fillId="11323" borderId="11270" xfId="0" applyFont="1" applyFill="1" applyBorder="1"/>
    <xf numFmtId="0" fontId="11319" fillId="11324" borderId="11271" xfId="0" applyFont="1" applyFill="1" applyBorder="1"/>
    <xf numFmtId="0" fontId="11320" fillId="11325" borderId="11272" xfId="0" applyFont="1" applyFill="1" applyBorder="1"/>
    <xf numFmtId="0" fontId="11321" fillId="11326" borderId="11273" xfId="0" applyFont="1" applyFill="1" applyBorder="1"/>
    <xf numFmtId="0" fontId="11322" fillId="11327" borderId="11274" xfId="0" applyFont="1" applyFill="1" applyBorder="1"/>
    <xf numFmtId="0" fontId="11323" fillId="11328" borderId="11275" xfId="0" applyFont="1" applyFill="1" applyBorder="1"/>
    <xf numFmtId="0" fontId="11324" fillId="11329" borderId="11276" xfId="0" applyFont="1" applyFill="1" applyBorder="1"/>
    <xf numFmtId="14" fontId="11325" fillId="11330" borderId="11277" xfId="0" applyNumberFormat="1" applyFont="1" applyFill="1" applyBorder="1"/>
    <xf numFmtId="0" fontId="11326" fillId="11331" borderId="11278" xfId="0" applyFont="1" applyFill="1" applyBorder="1"/>
    <xf numFmtId="14" fontId="11327" fillId="11332" borderId="11279" xfId="0" applyNumberFormat="1" applyFont="1" applyFill="1" applyBorder="1"/>
    <xf numFmtId="0" fontId="11328" fillId="11333" borderId="11280" xfId="0" applyFont="1" applyFill="1" applyBorder="1"/>
    <xf numFmtId="0" fontId="11329" fillId="11334" borderId="11281" xfId="0" applyFont="1" applyFill="1" applyBorder="1"/>
    <xf numFmtId="0" fontId="11330" fillId="11335" borderId="11282" xfId="0" applyFont="1" applyFill="1" applyBorder="1"/>
    <xf numFmtId="0" fontId="11331" fillId="11336" borderId="11283" xfId="0" applyFont="1" applyFill="1" applyBorder="1"/>
    <xf numFmtId="0" fontId="11332" fillId="11337" borderId="11284" xfId="0" applyFont="1" applyFill="1" applyBorder="1"/>
    <xf numFmtId="0" fontId="11333" fillId="11338" borderId="11285" xfId="0" applyFont="1" applyFill="1" applyBorder="1"/>
    <xf numFmtId="0" fontId="11334" fillId="11339" borderId="11286" xfId="0" applyFont="1" applyFill="1" applyBorder="1"/>
    <xf numFmtId="14" fontId="11335" fillId="11340" borderId="11287" xfId="0" applyNumberFormat="1" applyFont="1" applyFill="1" applyBorder="1"/>
    <xf numFmtId="0" fontId="11336" fillId="11341" borderId="11288" xfId="0" applyFont="1" applyFill="1" applyBorder="1"/>
    <xf numFmtId="14" fontId="11337" fillId="11342" borderId="11289" xfId="0" applyNumberFormat="1" applyFont="1" applyFill="1" applyBorder="1"/>
    <xf numFmtId="0" fontId="11338" fillId="11343" borderId="11290" xfId="0" applyFont="1" applyFill="1" applyBorder="1"/>
    <xf numFmtId="0" fontId="11339" fillId="11344" borderId="11291" xfId="0" applyFont="1" applyFill="1" applyBorder="1"/>
    <xf numFmtId="0" fontId="11340" fillId="11345" borderId="11292" xfId="0" applyFont="1" applyFill="1" applyBorder="1"/>
    <xf numFmtId="0" fontId="11341" fillId="11346" borderId="11293" xfId="0" applyFont="1" applyFill="1" applyBorder="1"/>
    <xf numFmtId="0" fontId="11342" fillId="11347" borderId="11294" xfId="0" applyFont="1" applyFill="1" applyBorder="1"/>
    <xf numFmtId="0" fontId="11343" fillId="11348" borderId="11295" xfId="0" applyFont="1" applyFill="1" applyBorder="1"/>
    <xf numFmtId="0" fontId="11344" fillId="11349" borderId="11296" xfId="0" applyFont="1" applyFill="1" applyBorder="1"/>
    <xf numFmtId="14" fontId="11345" fillId="11350" borderId="11297" xfId="0" applyNumberFormat="1" applyFont="1" applyFill="1" applyBorder="1"/>
    <xf numFmtId="0" fontId="11346" fillId="11351" borderId="11298" xfId="0" applyFont="1" applyFill="1" applyBorder="1"/>
    <xf numFmtId="14" fontId="11347" fillId="11352" borderId="11299" xfId="0" applyNumberFormat="1" applyFont="1" applyFill="1" applyBorder="1"/>
    <xf numFmtId="0" fontId="11348" fillId="11353" borderId="11300" xfId="0" applyFont="1" applyFill="1" applyBorder="1"/>
    <xf numFmtId="0" fontId="11349" fillId="11354" borderId="11301" xfId="0" applyFont="1" applyFill="1" applyBorder="1"/>
    <xf numFmtId="0" fontId="11350" fillId="11355" borderId="11302" xfId="0" applyFont="1" applyFill="1" applyBorder="1"/>
    <xf numFmtId="0" fontId="11351" fillId="11356" borderId="11303" xfId="0" applyFont="1" applyFill="1" applyBorder="1"/>
    <xf numFmtId="0" fontId="11352" fillId="11357" borderId="11304" xfId="0" applyFont="1" applyFill="1" applyBorder="1"/>
    <xf numFmtId="0" fontId="11353" fillId="11358" borderId="11305" xfId="0" applyFont="1" applyFill="1" applyBorder="1"/>
    <xf numFmtId="0" fontId="11354" fillId="11359" borderId="11306" xfId="0" applyFont="1" applyFill="1" applyBorder="1"/>
    <xf numFmtId="14" fontId="11355" fillId="11360" borderId="11307" xfId="0" applyNumberFormat="1" applyFont="1" applyFill="1" applyBorder="1"/>
    <xf numFmtId="0" fontId="11356" fillId="11361" borderId="11308" xfId="0" applyFont="1" applyFill="1" applyBorder="1"/>
    <xf numFmtId="14" fontId="11357" fillId="11362" borderId="11309" xfId="0" applyNumberFormat="1" applyFont="1" applyFill="1" applyBorder="1"/>
    <xf numFmtId="0" fontId="11358" fillId="11363" borderId="11310" xfId="0" applyFont="1" applyFill="1" applyBorder="1"/>
    <xf numFmtId="0" fontId="11359" fillId="11364" borderId="11311" xfId="0" applyFont="1" applyFill="1" applyBorder="1"/>
    <xf numFmtId="0" fontId="11360" fillId="11365" borderId="11312" xfId="0" applyFont="1" applyFill="1" applyBorder="1"/>
    <xf numFmtId="0" fontId="11361" fillId="11366" borderId="11313" xfId="0" applyFont="1" applyFill="1" applyBorder="1"/>
    <xf numFmtId="0" fontId="11362" fillId="11367" borderId="11314" xfId="0" applyFont="1" applyFill="1" applyBorder="1"/>
    <xf numFmtId="0" fontId="11363" fillId="11368" borderId="11315" xfId="0" applyFont="1" applyFill="1" applyBorder="1"/>
    <xf numFmtId="0" fontId="11364" fillId="11369" borderId="11316" xfId="0" applyFont="1" applyFill="1" applyBorder="1"/>
    <xf numFmtId="14" fontId="11365" fillId="11370" borderId="11317" xfId="0" applyNumberFormat="1" applyFont="1" applyFill="1" applyBorder="1"/>
    <xf numFmtId="0" fontId="11366" fillId="11371" borderId="11318" xfId="0" applyFont="1" applyFill="1" applyBorder="1"/>
    <xf numFmtId="14" fontId="11367" fillId="11372" borderId="11319" xfId="0" applyNumberFormat="1" applyFont="1" applyFill="1" applyBorder="1"/>
    <xf numFmtId="0" fontId="11368" fillId="11373" borderId="11320" xfId="0" applyFont="1" applyFill="1" applyBorder="1"/>
    <xf numFmtId="0" fontId="11369" fillId="11374" borderId="11321" xfId="0" applyFont="1" applyFill="1" applyBorder="1"/>
    <xf numFmtId="0" fontId="11370" fillId="11375" borderId="11322" xfId="0" applyFont="1" applyFill="1" applyBorder="1"/>
    <xf numFmtId="0" fontId="11371" fillId="11376" borderId="11323" xfId="0" applyFont="1" applyFill="1" applyBorder="1"/>
    <xf numFmtId="0" fontId="11372" fillId="11377" borderId="11324" xfId="0" applyFont="1" applyFill="1" applyBorder="1"/>
    <xf numFmtId="0" fontId="11373" fillId="11378" borderId="11325" xfId="0" applyFont="1" applyFill="1" applyBorder="1"/>
    <xf numFmtId="0" fontId="11374" fillId="11379" borderId="11326" xfId="0" applyFont="1" applyFill="1" applyBorder="1"/>
    <xf numFmtId="14" fontId="11375" fillId="11380" borderId="11327" xfId="0" applyNumberFormat="1" applyFont="1" applyFill="1" applyBorder="1"/>
    <xf numFmtId="0" fontId="11376" fillId="11381" borderId="11328" xfId="0" applyFont="1" applyFill="1" applyBorder="1"/>
    <xf numFmtId="14" fontId="11377" fillId="11382" borderId="11329" xfId="0" applyNumberFormat="1" applyFont="1" applyFill="1" applyBorder="1"/>
    <xf numFmtId="0" fontId="11378" fillId="11383" borderId="11330" xfId="0" applyFont="1" applyFill="1" applyBorder="1"/>
    <xf numFmtId="0" fontId="11379" fillId="11384" borderId="11331" xfId="0" applyFont="1" applyFill="1" applyBorder="1"/>
    <xf numFmtId="0" fontId="11380" fillId="11385" borderId="11332" xfId="0" applyFont="1" applyFill="1" applyBorder="1"/>
    <xf numFmtId="0" fontId="11381" fillId="11386" borderId="11333" xfId="0" applyFont="1" applyFill="1" applyBorder="1"/>
    <xf numFmtId="0" fontId="11382" fillId="11387" borderId="11334" xfId="0" applyFont="1" applyFill="1" applyBorder="1"/>
    <xf numFmtId="0" fontId="11383" fillId="11388" borderId="11335" xfId="0" applyFont="1" applyFill="1" applyBorder="1"/>
    <xf numFmtId="0" fontId="11384" fillId="11389" borderId="11336" xfId="0" applyFont="1" applyFill="1" applyBorder="1"/>
    <xf numFmtId="14" fontId="11385" fillId="11390" borderId="11337" xfId="0" applyNumberFormat="1" applyFont="1" applyFill="1" applyBorder="1"/>
    <xf numFmtId="0" fontId="11386" fillId="11391" borderId="11338" xfId="0" applyFont="1" applyFill="1" applyBorder="1"/>
    <xf numFmtId="14" fontId="11387" fillId="11392" borderId="11339" xfId="0" applyNumberFormat="1" applyFont="1" applyFill="1" applyBorder="1"/>
    <xf numFmtId="0" fontId="11388" fillId="11393" borderId="11340" xfId="0" applyFont="1" applyFill="1" applyBorder="1"/>
    <xf numFmtId="0" fontId="11389" fillId="11394" borderId="11341" xfId="0" applyFont="1" applyFill="1" applyBorder="1"/>
    <xf numFmtId="0" fontId="11390" fillId="11395" borderId="11342" xfId="0" applyFont="1" applyFill="1" applyBorder="1"/>
    <xf numFmtId="0" fontId="11391" fillId="11396" borderId="11343" xfId="0" applyFont="1" applyFill="1" applyBorder="1"/>
    <xf numFmtId="0" fontId="11392" fillId="11397" borderId="11344" xfId="0" applyFont="1" applyFill="1" applyBorder="1"/>
    <xf numFmtId="0" fontId="11393" fillId="11398" borderId="11345" xfId="0" applyFont="1" applyFill="1" applyBorder="1"/>
    <xf numFmtId="0" fontId="11394" fillId="11399" borderId="11346" xfId="0" applyFont="1" applyFill="1" applyBorder="1"/>
    <xf numFmtId="14" fontId="11395" fillId="11400" borderId="11347" xfId="0" applyNumberFormat="1" applyFont="1" applyFill="1" applyBorder="1"/>
    <xf numFmtId="0" fontId="11396" fillId="11401" borderId="11348" xfId="0" applyFont="1" applyFill="1" applyBorder="1"/>
    <xf numFmtId="14" fontId="11397" fillId="11402" borderId="11349" xfId="0" applyNumberFormat="1" applyFont="1" applyFill="1" applyBorder="1"/>
    <xf numFmtId="0" fontId="11398" fillId="11403" borderId="11350" xfId="0" applyFont="1" applyFill="1" applyBorder="1"/>
    <xf numFmtId="0" fontId="11399" fillId="11404" borderId="11351" xfId="0" applyFont="1" applyFill="1" applyBorder="1"/>
    <xf numFmtId="0" fontId="11400" fillId="11405" borderId="11352" xfId="0" applyFont="1" applyFill="1" applyBorder="1"/>
    <xf numFmtId="0" fontId="11401" fillId="11406" borderId="11353" xfId="0" applyFont="1" applyFill="1" applyBorder="1"/>
    <xf numFmtId="0" fontId="11402" fillId="11407" borderId="11354" xfId="0" applyFont="1" applyFill="1" applyBorder="1"/>
    <xf numFmtId="0" fontId="11403" fillId="11408" borderId="11355" xfId="0" applyFont="1" applyFill="1" applyBorder="1"/>
    <xf numFmtId="0" fontId="11404" fillId="11409" borderId="11356" xfId="0" applyFont="1" applyFill="1" applyBorder="1"/>
    <xf numFmtId="14" fontId="11405" fillId="11410" borderId="11357" xfId="0" applyNumberFormat="1" applyFont="1" applyFill="1" applyBorder="1"/>
    <xf numFmtId="0" fontId="11406" fillId="11411" borderId="11358" xfId="0" applyFont="1" applyFill="1" applyBorder="1"/>
    <xf numFmtId="14" fontId="11407" fillId="11412" borderId="11359" xfId="0" applyNumberFormat="1" applyFont="1" applyFill="1" applyBorder="1"/>
    <xf numFmtId="0" fontId="11408" fillId="11413" borderId="11360" xfId="0" applyFont="1" applyFill="1" applyBorder="1"/>
    <xf numFmtId="0" fontId="11409" fillId="11414" borderId="11361" xfId="0" applyFont="1" applyFill="1" applyBorder="1"/>
    <xf numFmtId="0" fontId="11410" fillId="11415" borderId="11362" xfId="0" applyFont="1" applyFill="1" applyBorder="1"/>
    <xf numFmtId="0" fontId="11411" fillId="11416" borderId="11363" xfId="0" applyFont="1" applyFill="1" applyBorder="1"/>
    <xf numFmtId="0" fontId="11412" fillId="11417" borderId="11364" xfId="0" applyFont="1" applyFill="1" applyBorder="1"/>
    <xf numFmtId="0" fontId="11413" fillId="11418" borderId="11365" xfId="0" applyFont="1" applyFill="1" applyBorder="1"/>
    <xf numFmtId="0" fontId="11414" fillId="11419" borderId="11366" xfId="0" applyFont="1" applyFill="1" applyBorder="1"/>
    <xf numFmtId="14" fontId="11415" fillId="11420" borderId="11367" xfId="0" applyNumberFormat="1" applyFont="1" applyFill="1" applyBorder="1"/>
    <xf numFmtId="0" fontId="11416" fillId="11421" borderId="11368" xfId="0" applyFont="1" applyFill="1" applyBorder="1"/>
    <xf numFmtId="14" fontId="11417" fillId="11422" borderId="11369" xfId="0" applyNumberFormat="1" applyFont="1" applyFill="1" applyBorder="1"/>
    <xf numFmtId="0" fontId="11418" fillId="11423" borderId="11370" xfId="0" applyFont="1" applyFill="1" applyBorder="1"/>
    <xf numFmtId="0" fontId="11419" fillId="11424" borderId="11371" xfId="0" applyFont="1" applyFill="1" applyBorder="1"/>
    <xf numFmtId="0" fontId="11420" fillId="11425" borderId="11372" xfId="0" applyFont="1" applyFill="1" applyBorder="1"/>
    <xf numFmtId="0" fontId="11421" fillId="11426" borderId="11373" xfId="0" applyFont="1" applyFill="1" applyBorder="1"/>
    <xf numFmtId="0" fontId="11422" fillId="11427" borderId="11374" xfId="0" applyFont="1" applyFill="1" applyBorder="1"/>
    <xf numFmtId="0" fontId="11423" fillId="11428" borderId="11375" xfId="0" applyFont="1" applyFill="1" applyBorder="1"/>
    <xf numFmtId="0" fontId="11424" fillId="11429" borderId="11376" xfId="0" applyFont="1" applyFill="1" applyBorder="1"/>
    <xf numFmtId="14" fontId="11425" fillId="11430" borderId="11377" xfId="0" applyNumberFormat="1" applyFont="1" applyFill="1" applyBorder="1"/>
    <xf numFmtId="0" fontId="11426" fillId="11431" borderId="11378" xfId="0" applyFont="1" applyFill="1" applyBorder="1"/>
    <xf numFmtId="14" fontId="11427" fillId="11432" borderId="11379" xfId="0" applyNumberFormat="1" applyFont="1" applyFill="1" applyBorder="1"/>
    <xf numFmtId="0" fontId="11428" fillId="11433" borderId="11380" xfId="0" applyFont="1" applyFill="1" applyBorder="1"/>
    <xf numFmtId="0" fontId="11429" fillId="11434" borderId="11381" xfId="0" applyFont="1" applyFill="1" applyBorder="1"/>
    <xf numFmtId="0" fontId="11430" fillId="11435" borderId="11382" xfId="0" applyFont="1" applyFill="1" applyBorder="1"/>
    <xf numFmtId="0" fontId="11431" fillId="11436" borderId="11383" xfId="0" applyFont="1" applyFill="1" applyBorder="1"/>
    <xf numFmtId="0" fontId="11432" fillId="11437" borderId="11384" xfId="0" applyFont="1" applyFill="1" applyBorder="1"/>
    <xf numFmtId="0" fontId="11433" fillId="11438" borderId="11385" xfId="0" applyFont="1" applyFill="1" applyBorder="1"/>
    <xf numFmtId="0" fontId="11434" fillId="11439" borderId="11386" xfId="0" applyFont="1" applyFill="1" applyBorder="1"/>
    <xf numFmtId="14" fontId="11435" fillId="11440" borderId="11387" xfId="0" applyNumberFormat="1" applyFont="1" applyFill="1" applyBorder="1"/>
    <xf numFmtId="0" fontId="11436" fillId="11441" borderId="11388" xfId="0" applyFont="1" applyFill="1" applyBorder="1"/>
    <xf numFmtId="14" fontId="11437" fillId="11442" borderId="11389" xfId="0" applyNumberFormat="1" applyFont="1" applyFill="1" applyBorder="1"/>
    <xf numFmtId="0" fontId="11438" fillId="11443" borderId="11390" xfId="0" applyFont="1" applyFill="1" applyBorder="1"/>
    <xf numFmtId="0" fontId="11439" fillId="11444" borderId="11391" xfId="0" applyFont="1" applyFill="1" applyBorder="1"/>
    <xf numFmtId="0" fontId="11440" fillId="11445" borderId="11392" xfId="0" applyFont="1" applyFill="1" applyBorder="1"/>
    <xf numFmtId="0" fontId="11441" fillId="11446" borderId="11393" xfId="0" applyFont="1" applyFill="1" applyBorder="1"/>
    <xf numFmtId="0" fontId="11442" fillId="11447" borderId="11394" xfId="0" applyFont="1" applyFill="1" applyBorder="1"/>
    <xf numFmtId="0" fontId="11443" fillId="11448" borderId="11395" xfId="0" applyFont="1" applyFill="1" applyBorder="1"/>
    <xf numFmtId="0" fontId="11444" fillId="11449" borderId="11396" xfId="0" applyFont="1" applyFill="1" applyBorder="1"/>
    <xf numFmtId="14" fontId="11445" fillId="11450" borderId="11397" xfId="0" applyNumberFormat="1" applyFont="1" applyFill="1" applyBorder="1"/>
    <xf numFmtId="0" fontId="11446" fillId="11451" borderId="11398" xfId="0" applyFont="1" applyFill="1" applyBorder="1"/>
    <xf numFmtId="14" fontId="11447" fillId="11452" borderId="11399" xfId="0" applyNumberFormat="1" applyFont="1" applyFill="1" applyBorder="1"/>
    <xf numFmtId="0" fontId="11448" fillId="11453" borderId="11400" xfId="0" applyFont="1" applyFill="1" applyBorder="1"/>
    <xf numFmtId="0" fontId="11449" fillId="11454" borderId="11401" xfId="0" applyFont="1" applyFill="1" applyBorder="1"/>
    <xf numFmtId="0" fontId="11450" fillId="11455" borderId="11402" xfId="0" applyFont="1" applyFill="1" applyBorder="1"/>
    <xf numFmtId="0" fontId="11451" fillId="11456" borderId="11403" xfId="0" applyFont="1" applyFill="1" applyBorder="1"/>
    <xf numFmtId="0" fontId="11452" fillId="11457" borderId="11404" xfId="0" applyFont="1" applyFill="1" applyBorder="1"/>
    <xf numFmtId="0" fontId="11453" fillId="11458" borderId="11405" xfId="0" applyFont="1" applyFill="1" applyBorder="1"/>
    <xf numFmtId="0" fontId="11454" fillId="11459" borderId="11406" xfId="0" applyFont="1" applyFill="1" applyBorder="1"/>
    <xf numFmtId="14" fontId="11455" fillId="11460" borderId="11407" xfId="0" applyNumberFormat="1" applyFont="1" applyFill="1" applyBorder="1"/>
    <xf numFmtId="0" fontId="11456" fillId="11461" borderId="11408" xfId="0" applyFont="1" applyFill="1" applyBorder="1"/>
    <xf numFmtId="14" fontId="11457" fillId="11462" borderId="11409" xfId="0" applyNumberFormat="1" applyFont="1" applyFill="1" applyBorder="1"/>
    <xf numFmtId="0" fontId="11458" fillId="11463" borderId="11410" xfId="0" applyFont="1" applyFill="1" applyBorder="1"/>
    <xf numFmtId="0" fontId="11459" fillId="11464" borderId="11411" xfId="0" applyFont="1" applyFill="1" applyBorder="1"/>
    <xf numFmtId="0" fontId="11460" fillId="11465" borderId="11412" xfId="0" applyFont="1" applyFill="1" applyBorder="1"/>
    <xf numFmtId="0" fontId="11461" fillId="11466" borderId="11413" xfId="0" applyFont="1" applyFill="1" applyBorder="1"/>
    <xf numFmtId="0" fontId="11462" fillId="11467" borderId="11414" xfId="0" applyFont="1" applyFill="1" applyBorder="1"/>
    <xf numFmtId="0" fontId="11463" fillId="11468" borderId="11415" xfId="0" applyFont="1" applyFill="1" applyBorder="1"/>
    <xf numFmtId="0" fontId="11464" fillId="11469" borderId="11416" xfId="0" applyFont="1" applyFill="1" applyBorder="1"/>
    <xf numFmtId="14" fontId="11465" fillId="11470" borderId="11417" xfId="0" applyNumberFormat="1" applyFont="1" applyFill="1" applyBorder="1"/>
    <xf numFmtId="0" fontId="11466" fillId="11471" borderId="11418" xfId="0" applyFont="1" applyFill="1" applyBorder="1"/>
    <xf numFmtId="14" fontId="11467" fillId="11472" borderId="11419" xfId="0" applyNumberFormat="1" applyFont="1" applyFill="1" applyBorder="1"/>
    <xf numFmtId="0" fontId="11468" fillId="11473" borderId="11420" xfId="0" applyFont="1" applyFill="1" applyBorder="1"/>
    <xf numFmtId="0" fontId="11469" fillId="11474" borderId="11421" xfId="0" applyFont="1" applyFill="1" applyBorder="1"/>
    <xf numFmtId="0" fontId="11470" fillId="11475" borderId="11422" xfId="0" applyFont="1" applyFill="1" applyBorder="1"/>
    <xf numFmtId="0" fontId="11471" fillId="11476" borderId="11423" xfId="0" applyFont="1" applyFill="1" applyBorder="1"/>
    <xf numFmtId="0" fontId="11472" fillId="11477" borderId="11424" xfId="0" applyFont="1" applyFill="1" applyBorder="1"/>
    <xf numFmtId="0" fontId="11473" fillId="11478" borderId="11425" xfId="0" applyFont="1" applyFill="1" applyBorder="1"/>
    <xf numFmtId="0" fontId="11474" fillId="11479" borderId="11426" xfId="0" applyFont="1" applyFill="1" applyBorder="1"/>
    <xf numFmtId="14" fontId="11475" fillId="11480" borderId="11427" xfId="0" applyNumberFormat="1" applyFont="1" applyFill="1" applyBorder="1"/>
    <xf numFmtId="0" fontId="11476" fillId="11481" borderId="11428" xfId="0" applyFont="1" applyFill="1" applyBorder="1"/>
    <xf numFmtId="14" fontId="11477" fillId="11482" borderId="11429" xfId="0" applyNumberFormat="1" applyFont="1" applyFill="1" applyBorder="1"/>
    <xf numFmtId="0" fontId="11478" fillId="11483" borderId="11430" xfId="0" applyFont="1" applyFill="1" applyBorder="1"/>
    <xf numFmtId="0" fontId="11479" fillId="11484" borderId="11431" xfId="0" applyFont="1" applyFill="1" applyBorder="1"/>
    <xf numFmtId="0" fontId="11480" fillId="11485" borderId="11432" xfId="0" applyFont="1" applyFill="1" applyBorder="1"/>
    <xf numFmtId="0" fontId="11481" fillId="11486" borderId="11433" xfId="0" applyFont="1" applyFill="1" applyBorder="1"/>
    <xf numFmtId="0" fontId="11482" fillId="11487" borderId="11434" xfId="0" applyFont="1" applyFill="1" applyBorder="1"/>
    <xf numFmtId="0" fontId="11483" fillId="11488" borderId="11435" xfId="0" applyFont="1" applyFill="1" applyBorder="1"/>
    <xf numFmtId="0" fontId="11484" fillId="11489" borderId="11436" xfId="0" applyFont="1" applyFill="1" applyBorder="1"/>
    <xf numFmtId="14" fontId="11485" fillId="11490" borderId="11437" xfId="0" applyNumberFormat="1" applyFont="1" applyFill="1" applyBorder="1"/>
    <xf numFmtId="0" fontId="11486" fillId="11491" borderId="11438" xfId="0" applyFont="1" applyFill="1" applyBorder="1"/>
    <xf numFmtId="14" fontId="11487" fillId="11492" borderId="11439" xfId="0" applyNumberFormat="1" applyFont="1" applyFill="1" applyBorder="1"/>
    <xf numFmtId="0" fontId="11488" fillId="11493" borderId="11440" xfId="0" applyFont="1" applyFill="1" applyBorder="1"/>
    <xf numFmtId="0" fontId="11489" fillId="11494" borderId="11441" xfId="0" applyFont="1" applyFill="1" applyBorder="1"/>
    <xf numFmtId="0" fontId="11490" fillId="11495" borderId="11442" xfId="0" applyFont="1" applyFill="1" applyBorder="1"/>
    <xf numFmtId="0" fontId="11491" fillId="11496" borderId="11443" xfId="0" applyFont="1" applyFill="1" applyBorder="1"/>
    <xf numFmtId="0" fontId="11492" fillId="11497" borderId="11444" xfId="0" applyFont="1" applyFill="1" applyBorder="1"/>
    <xf numFmtId="0" fontId="11493" fillId="11498" borderId="11445" xfId="0" applyFont="1" applyFill="1" applyBorder="1"/>
    <xf numFmtId="0" fontId="11494" fillId="11499" borderId="11446" xfId="0" applyFont="1" applyFill="1" applyBorder="1"/>
    <xf numFmtId="14" fontId="11495" fillId="11500" borderId="11447" xfId="0" applyNumberFormat="1" applyFont="1" applyFill="1" applyBorder="1"/>
    <xf numFmtId="0" fontId="11496" fillId="11501" borderId="11448" xfId="0" applyFont="1" applyFill="1" applyBorder="1"/>
    <xf numFmtId="14" fontId="11497" fillId="11502" borderId="11449" xfId="0" applyNumberFormat="1" applyFont="1" applyFill="1" applyBorder="1"/>
    <xf numFmtId="0" fontId="11498" fillId="11503" borderId="11450" xfId="0" applyFont="1" applyFill="1" applyBorder="1"/>
    <xf numFmtId="0" fontId="11499" fillId="11504" borderId="11451" xfId="0" applyFont="1" applyFill="1" applyBorder="1"/>
    <xf numFmtId="0" fontId="11500" fillId="11505" borderId="11452" xfId="0" applyFont="1" applyFill="1" applyBorder="1"/>
    <xf numFmtId="0" fontId="11501" fillId="11506" borderId="11453" xfId="0" applyFont="1" applyFill="1" applyBorder="1"/>
    <xf numFmtId="0" fontId="11502" fillId="11507" borderId="11454" xfId="0" applyFont="1" applyFill="1" applyBorder="1"/>
    <xf numFmtId="0" fontId="11503" fillId="11508" borderId="11455" xfId="0" applyFont="1" applyFill="1" applyBorder="1"/>
    <xf numFmtId="0" fontId="11504" fillId="11509" borderId="11456" xfId="0" applyFont="1" applyFill="1" applyBorder="1"/>
    <xf numFmtId="14" fontId="11505" fillId="11510" borderId="11457" xfId="0" applyNumberFormat="1" applyFont="1" applyFill="1" applyBorder="1"/>
    <xf numFmtId="0" fontId="11506" fillId="11511" borderId="11458" xfId="0" applyFont="1" applyFill="1" applyBorder="1"/>
    <xf numFmtId="14" fontId="11507" fillId="11512" borderId="11459" xfId="0" applyNumberFormat="1" applyFont="1" applyFill="1" applyBorder="1"/>
    <xf numFmtId="0" fontId="11508" fillId="11513" borderId="11460" xfId="0" applyFont="1" applyFill="1" applyBorder="1"/>
    <xf numFmtId="0" fontId="11509" fillId="11514" borderId="11461" xfId="0" applyFont="1" applyFill="1" applyBorder="1"/>
    <xf numFmtId="0" fontId="11510" fillId="11515" borderId="11462" xfId="0" applyFont="1" applyFill="1" applyBorder="1"/>
    <xf numFmtId="0" fontId="11511" fillId="11516" borderId="11463" xfId="0" applyFont="1" applyFill="1" applyBorder="1"/>
    <xf numFmtId="0" fontId="11512" fillId="11517" borderId="11464" xfId="0" applyFont="1" applyFill="1" applyBorder="1"/>
    <xf numFmtId="0" fontId="11513" fillId="11518" borderId="11465" xfId="0" applyFont="1" applyFill="1" applyBorder="1"/>
    <xf numFmtId="0" fontId="11514" fillId="11519" borderId="11466" xfId="0" applyFont="1" applyFill="1" applyBorder="1"/>
    <xf numFmtId="14" fontId="11515" fillId="11520" borderId="11467" xfId="0" applyNumberFormat="1" applyFont="1" applyFill="1" applyBorder="1"/>
    <xf numFmtId="0" fontId="11516" fillId="11521" borderId="11468" xfId="0" applyFont="1" applyFill="1" applyBorder="1"/>
    <xf numFmtId="14" fontId="11517" fillId="11522" borderId="11469" xfId="0" applyNumberFormat="1" applyFont="1" applyFill="1" applyBorder="1"/>
    <xf numFmtId="0" fontId="11518" fillId="11523" borderId="11470" xfId="0" applyFont="1" applyFill="1" applyBorder="1"/>
    <xf numFmtId="0" fontId="11519" fillId="11524" borderId="11471" xfId="0" applyFont="1" applyFill="1" applyBorder="1"/>
    <xf numFmtId="0" fontId="11520" fillId="11525" borderId="11472" xfId="0" applyFont="1" applyFill="1" applyBorder="1"/>
    <xf numFmtId="0" fontId="11521" fillId="11526" borderId="11473" xfId="0" applyFont="1" applyFill="1" applyBorder="1"/>
    <xf numFmtId="0" fontId="11522" fillId="11527" borderId="11474" xfId="0" applyFont="1" applyFill="1" applyBorder="1"/>
    <xf numFmtId="0" fontId="11523" fillId="11528" borderId="11475" xfId="0" applyFont="1" applyFill="1" applyBorder="1"/>
    <xf numFmtId="0" fontId="11524" fillId="11529" borderId="11476" xfId="0" applyFont="1" applyFill="1" applyBorder="1"/>
    <xf numFmtId="14" fontId="11525" fillId="11530" borderId="11477" xfId="0" applyNumberFormat="1" applyFont="1" applyFill="1" applyBorder="1"/>
    <xf numFmtId="0" fontId="11526" fillId="11531" borderId="11478" xfId="0" applyFont="1" applyFill="1" applyBorder="1"/>
    <xf numFmtId="14" fontId="11527" fillId="11532" borderId="11479" xfId="0" applyNumberFormat="1" applyFont="1" applyFill="1" applyBorder="1"/>
    <xf numFmtId="0" fontId="11528" fillId="11533" borderId="11480" xfId="0" applyFont="1" applyFill="1" applyBorder="1"/>
    <xf numFmtId="0" fontId="11529" fillId="11534" borderId="11481" xfId="0" applyFont="1" applyFill="1" applyBorder="1"/>
    <xf numFmtId="0" fontId="11530" fillId="11535" borderId="11482" xfId="0" applyFont="1" applyFill="1" applyBorder="1"/>
    <xf numFmtId="0" fontId="11531" fillId="11536" borderId="11483" xfId="0" applyFont="1" applyFill="1" applyBorder="1"/>
    <xf numFmtId="0" fontId="11532" fillId="11537" borderId="11484" xfId="0" applyFont="1" applyFill="1" applyBorder="1"/>
    <xf numFmtId="0" fontId="11533" fillId="11538" borderId="11485" xfId="0" applyFont="1" applyFill="1" applyBorder="1"/>
    <xf numFmtId="0" fontId="11534" fillId="11539" borderId="11486" xfId="0" applyFont="1" applyFill="1" applyBorder="1"/>
    <xf numFmtId="14" fontId="11535" fillId="11540" borderId="11487" xfId="0" applyNumberFormat="1" applyFont="1" applyFill="1" applyBorder="1"/>
    <xf numFmtId="0" fontId="11536" fillId="11541" borderId="11488" xfId="0" applyFont="1" applyFill="1" applyBorder="1"/>
    <xf numFmtId="14" fontId="11537" fillId="11542" borderId="11489" xfId="0" applyNumberFormat="1" applyFont="1" applyFill="1" applyBorder="1"/>
    <xf numFmtId="0" fontId="11538" fillId="11543" borderId="11490" xfId="0" applyFont="1" applyFill="1" applyBorder="1"/>
    <xf numFmtId="0" fontId="11539" fillId="11544" borderId="11491" xfId="0" applyFont="1" applyFill="1" applyBorder="1"/>
    <xf numFmtId="0" fontId="11540" fillId="11545" borderId="11492" xfId="0" applyFont="1" applyFill="1" applyBorder="1"/>
    <xf numFmtId="0" fontId="11541" fillId="11546" borderId="11493" xfId="0" applyFont="1" applyFill="1" applyBorder="1"/>
    <xf numFmtId="0" fontId="11542" fillId="11547" borderId="11494" xfId="0" applyFont="1" applyFill="1" applyBorder="1"/>
    <xf numFmtId="0" fontId="11543" fillId="11548" borderId="11495" xfId="0" applyFont="1" applyFill="1" applyBorder="1"/>
    <xf numFmtId="0" fontId="11544" fillId="11549" borderId="11496" xfId="0" applyFont="1" applyFill="1" applyBorder="1"/>
    <xf numFmtId="14" fontId="11545" fillId="11550" borderId="11497" xfId="0" applyNumberFormat="1" applyFont="1" applyFill="1" applyBorder="1"/>
    <xf numFmtId="0" fontId="11546" fillId="11551" borderId="11498" xfId="0" applyFont="1" applyFill="1" applyBorder="1"/>
    <xf numFmtId="14" fontId="11547" fillId="11552" borderId="11499" xfId="0" applyNumberFormat="1" applyFont="1" applyFill="1" applyBorder="1"/>
    <xf numFmtId="0" fontId="11548" fillId="11553" borderId="11500" xfId="0" applyFont="1" applyFill="1" applyBorder="1"/>
    <xf numFmtId="0" fontId="11549" fillId="11554" borderId="11501" xfId="0" applyFont="1" applyFill="1" applyBorder="1"/>
    <xf numFmtId="0" fontId="11550" fillId="11555" borderId="11502" xfId="0" applyFont="1" applyFill="1" applyBorder="1"/>
    <xf numFmtId="0" fontId="11551" fillId="11556" borderId="11503" xfId="0" applyFont="1" applyFill="1" applyBorder="1"/>
    <xf numFmtId="0" fontId="11552" fillId="11557" borderId="11504" xfId="0" applyFont="1" applyFill="1" applyBorder="1"/>
    <xf numFmtId="0" fontId="11553" fillId="11558" borderId="11505" xfId="0" applyFont="1" applyFill="1" applyBorder="1"/>
    <xf numFmtId="0" fontId="11554" fillId="11559" borderId="11506" xfId="0" applyFont="1" applyFill="1" applyBorder="1"/>
    <xf numFmtId="14" fontId="11555" fillId="11560" borderId="11507" xfId="0" applyNumberFormat="1" applyFont="1" applyFill="1" applyBorder="1"/>
    <xf numFmtId="0" fontId="11556" fillId="11561" borderId="11508" xfId="0" applyFont="1" applyFill="1" applyBorder="1"/>
    <xf numFmtId="14" fontId="11557" fillId="11562" borderId="11509" xfId="0" applyNumberFormat="1" applyFont="1" applyFill="1" applyBorder="1"/>
    <xf numFmtId="0" fontId="11558" fillId="11563" borderId="11510" xfId="0" applyFont="1" applyFill="1" applyBorder="1"/>
    <xf numFmtId="0" fontId="11559" fillId="11564" borderId="11511" xfId="0" applyFont="1" applyFill="1" applyBorder="1"/>
    <xf numFmtId="0" fontId="11560" fillId="11565" borderId="11512" xfId="0" applyFont="1" applyFill="1" applyBorder="1"/>
    <xf numFmtId="0" fontId="11561" fillId="11566" borderId="11513" xfId="0" applyFont="1" applyFill="1" applyBorder="1"/>
    <xf numFmtId="0" fontId="11562" fillId="11567" borderId="11514" xfId="0" applyFont="1" applyFill="1" applyBorder="1"/>
    <xf numFmtId="0" fontId="11563" fillId="11568" borderId="11515" xfId="0" applyFont="1" applyFill="1" applyBorder="1"/>
    <xf numFmtId="0" fontId="11564" fillId="11569" borderId="11516" xfId="0" applyFont="1" applyFill="1" applyBorder="1"/>
    <xf numFmtId="14" fontId="11565" fillId="11570" borderId="11517" xfId="0" applyNumberFormat="1" applyFont="1" applyFill="1" applyBorder="1"/>
    <xf numFmtId="0" fontId="11566" fillId="11571" borderId="11518" xfId="0" applyFont="1" applyFill="1" applyBorder="1"/>
    <xf numFmtId="14" fontId="11567" fillId="11572" borderId="11519" xfId="0" applyNumberFormat="1" applyFont="1" applyFill="1" applyBorder="1"/>
    <xf numFmtId="0" fontId="11568" fillId="11573" borderId="11520" xfId="0" applyFont="1" applyFill="1" applyBorder="1"/>
    <xf numFmtId="0" fontId="11569" fillId="11574" borderId="11521" xfId="0" applyFont="1" applyFill="1" applyBorder="1"/>
    <xf numFmtId="0" fontId="11570" fillId="11575" borderId="11522" xfId="0" applyFont="1" applyFill="1" applyBorder="1"/>
    <xf numFmtId="0" fontId="11571" fillId="11576" borderId="11523" xfId="0" applyFont="1" applyFill="1" applyBorder="1"/>
    <xf numFmtId="0" fontId="11572" fillId="11577" borderId="11524" xfId="0" applyFont="1" applyFill="1" applyBorder="1"/>
    <xf numFmtId="0" fontId="11573" fillId="11578" borderId="11525" xfId="0" applyFont="1" applyFill="1" applyBorder="1"/>
    <xf numFmtId="0" fontId="11574" fillId="11579" borderId="11526" xfId="0" applyFont="1" applyFill="1" applyBorder="1"/>
    <xf numFmtId="14" fontId="11575" fillId="11580" borderId="11527" xfId="0" applyNumberFormat="1" applyFont="1" applyFill="1" applyBorder="1"/>
    <xf numFmtId="0" fontId="11576" fillId="11581" borderId="11528" xfId="0" applyFont="1" applyFill="1" applyBorder="1"/>
    <xf numFmtId="14" fontId="11577" fillId="11582" borderId="11529" xfId="0" applyNumberFormat="1" applyFont="1" applyFill="1" applyBorder="1"/>
    <xf numFmtId="0" fontId="11578" fillId="11583" borderId="11530" xfId="0" applyFont="1" applyFill="1" applyBorder="1"/>
    <xf numFmtId="0" fontId="11579" fillId="11584" borderId="11531" xfId="0" applyFont="1" applyFill="1" applyBorder="1"/>
    <xf numFmtId="0" fontId="11580" fillId="11585" borderId="11532" xfId="0" applyFont="1" applyFill="1" applyBorder="1"/>
    <xf numFmtId="0" fontId="11581" fillId="11586" borderId="11533" xfId="0" applyFont="1" applyFill="1" applyBorder="1"/>
    <xf numFmtId="0" fontId="11582" fillId="11587" borderId="11534" xfId="0" applyFont="1" applyFill="1" applyBorder="1"/>
    <xf numFmtId="0" fontId="11585" fillId="11590" borderId="11537" xfId="0" applyFont="1" applyFill="1" applyBorder="1" applyAlignment="1">
      <alignment horizontal="center" wrapText="1"/>
    </xf>
    <xf numFmtId="0" fontId="11586" fillId="11591" borderId="11538" xfId="0" applyFont="1" applyFill="1" applyBorder="1" applyAlignment="1">
      <alignment horizontal="center" wrapText="1"/>
    </xf>
    <xf numFmtId="0" fontId="11587" fillId="11592" borderId="11539" xfId="0" applyFont="1" applyFill="1" applyBorder="1" applyAlignment="1">
      <alignment horizontal="center" wrapText="1"/>
    </xf>
    <xf numFmtId="0" fontId="11588" fillId="11593" borderId="11540" xfId="0" applyFont="1" applyFill="1" applyBorder="1" applyAlignment="1">
      <alignment horizontal="center" wrapText="1"/>
    </xf>
    <xf numFmtId="0" fontId="11589" fillId="11594" borderId="11541" xfId="0" applyFont="1" applyFill="1" applyBorder="1" applyAlignment="1">
      <alignment horizontal="center" wrapText="1"/>
    </xf>
    <xf numFmtId="0" fontId="11590" fillId="11595" borderId="11542" xfId="0" applyFont="1" applyFill="1" applyBorder="1" applyAlignment="1">
      <alignment horizontal="center" wrapText="1"/>
    </xf>
    <xf numFmtId="0" fontId="11591" fillId="11596" borderId="11543" xfId="0" applyFont="1" applyFill="1" applyBorder="1" applyAlignment="1">
      <alignment horizontal="center" wrapText="1"/>
    </xf>
    <xf numFmtId="0" fontId="11592" fillId="11597" borderId="11544" xfId="0" applyFont="1" applyFill="1" applyBorder="1" applyAlignment="1">
      <alignment horizontal="center" wrapText="1"/>
    </xf>
    <xf numFmtId="0" fontId="11593" fillId="11598" borderId="11545" xfId="0" applyFont="1" applyFill="1" applyBorder="1" applyAlignment="1">
      <alignment horizontal="center" wrapText="1"/>
    </xf>
    <xf numFmtId="0" fontId="11594" fillId="11599" borderId="11546" xfId="0" applyFont="1" applyFill="1" applyBorder="1" applyAlignment="1">
      <alignment horizontal="center" wrapText="1"/>
    </xf>
    <xf numFmtId="0" fontId="11595" fillId="11600" borderId="11547" xfId="0" applyFont="1" applyFill="1" applyBorder="1" applyAlignment="1">
      <alignment horizontal="center" wrapText="1"/>
    </xf>
    <xf numFmtId="0" fontId="11596" fillId="11601" borderId="11548" xfId="0" applyFont="1" applyFill="1" applyBorder="1" applyAlignment="1">
      <alignment horizontal="center" wrapText="1"/>
    </xf>
    <xf numFmtId="0" fontId="11597" fillId="11602" borderId="11549" xfId="0" applyFont="1" applyFill="1" applyBorder="1" applyAlignment="1">
      <alignment horizontal="center" wrapText="1"/>
    </xf>
    <xf numFmtId="0" fontId="11598" fillId="11603" borderId="11550" xfId="0" applyFont="1" applyFill="1" applyBorder="1"/>
    <xf numFmtId="0" fontId="11601" fillId="11606" borderId="11553" xfId="0" applyFont="1" applyFill="1" applyBorder="1" applyAlignment="1">
      <alignment horizontal="center" wrapText="1"/>
    </xf>
    <xf numFmtId="0" fontId="11602" fillId="11607" borderId="11554" xfId="0" applyFont="1" applyFill="1" applyBorder="1" applyAlignment="1">
      <alignment horizontal="center" wrapText="1"/>
    </xf>
    <xf numFmtId="0" fontId="11603" fillId="11608" borderId="11555" xfId="0" applyFont="1" applyFill="1" applyBorder="1" applyAlignment="1">
      <alignment horizontal="center" wrapText="1"/>
    </xf>
    <xf numFmtId="0" fontId="11604" fillId="11609" borderId="11556" xfId="0" applyFont="1" applyFill="1" applyBorder="1" applyAlignment="1">
      <alignment horizontal="center" wrapText="1"/>
    </xf>
    <xf numFmtId="0" fontId="11605" fillId="11610" borderId="11557" xfId="0" applyFont="1" applyFill="1" applyBorder="1" applyAlignment="1">
      <alignment horizontal="center" wrapText="1"/>
    </xf>
    <xf numFmtId="0" fontId="11606" fillId="11611" borderId="11558" xfId="0" applyFont="1" applyFill="1" applyBorder="1" applyAlignment="1">
      <alignment horizontal="center" wrapText="1"/>
    </xf>
    <xf numFmtId="0" fontId="11607" fillId="11612" borderId="11559" xfId="0" applyFont="1" applyFill="1" applyBorder="1" applyAlignment="1">
      <alignment horizontal="center" wrapText="1"/>
    </xf>
    <xf numFmtId="0" fontId="11608" fillId="11613" borderId="11560" xfId="0" applyFont="1" applyFill="1" applyBorder="1" applyAlignment="1">
      <alignment horizontal="center" wrapText="1"/>
    </xf>
    <xf numFmtId="0" fontId="11609" fillId="11614" borderId="11561" xfId="0" applyFont="1" applyFill="1" applyBorder="1" applyAlignment="1">
      <alignment horizontal="center" wrapText="1"/>
    </xf>
    <xf numFmtId="0" fontId="11610" fillId="11615" borderId="11562" xfId="0" applyFont="1" applyFill="1" applyBorder="1" applyAlignment="1">
      <alignment horizontal="center" wrapText="1"/>
    </xf>
    <xf numFmtId="0" fontId="11611" fillId="11616" borderId="11563" xfId="0" applyFont="1" applyFill="1" applyBorder="1" applyAlignment="1">
      <alignment horizontal="center" wrapText="1"/>
    </xf>
    <xf numFmtId="0" fontId="12074" fillId="12079" borderId="12026" xfId="0" applyFont="1" applyFill="1" applyBorder="1"/>
    <xf numFmtId="165" fontId="12075" fillId="12080" borderId="12027" xfId="0" applyNumberFormat="1" applyFont="1" applyFill="1" applyBorder="1"/>
    <xf numFmtId="165" fontId="12076" fillId="12081" borderId="12028" xfId="0" applyNumberFormat="1" applyFont="1" applyFill="1" applyBorder="1"/>
    <xf numFmtId="165" fontId="12077" fillId="12082" borderId="12029" xfId="0" applyNumberFormat="1" applyFont="1" applyFill="1" applyBorder="1"/>
    <xf numFmtId="4" fontId="12078" fillId="12083" borderId="12030" xfId="0" applyNumberFormat="1" applyFont="1" applyFill="1" applyBorder="1"/>
    <xf numFmtId="0" fontId="12080" fillId="12085" borderId="12032" xfId="0" applyFont="1" applyFill="1" applyBorder="1"/>
    <xf numFmtId="0" fontId="12081" fillId="12086" borderId="12033" xfId="0" applyFont="1" applyFill="1" applyBorder="1"/>
    <xf numFmtId="0" fontId="12082" fillId="12087" borderId="12034" xfId="0" applyFont="1" applyFill="1" applyBorder="1"/>
    <xf numFmtId="0" fontId="12083" fillId="12088" borderId="12035" xfId="0" applyFont="1" applyFill="1" applyBorder="1"/>
    <xf numFmtId="0" fontId="12084" fillId="12089" borderId="12036" xfId="0" applyFont="1" applyFill="1" applyBorder="1"/>
    <xf numFmtId="0" fontId="12085" fillId="12090" borderId="12037" xfId="0" applyFont="1" applyFill="1" applyBorder="1"/>
    <xf numFmtId="0" fontId="12086" fillId="12091" borderId="12038" xfId="0" applyFont="1" applyFill="1" applyBorder="1"/>
    <xf numFmtId="0" fontId="12087" fillId="12092" borderId="12039" xfId="0" applyFont="1" applyFill="1" applyBorder="1"/>
    <xf numFmtId="0" fontId="12088" fillId="12093" borderId="12040" xfId="0" applyFont="1" applyFill="1" applyBorder="1"/>
    <xf numFmtId="0" fontId="12089" fillId="12094" borderId="12041" xfId="0" applyFont="1" applyFill="1" applyBorder="1" applyAlignment="1">
      <alignment horizontal="center"/>
    </xf>
    <xf numFmtId="0" fontId="12090" fillId="12095" borderId="12042" xfId="0" applyFont="1" applyFill="1" applyBorder="1"/>
    <xf numFmtId="165" fontId="12091" fillId="12096" borderId="12043" xfId="0" applyNumberFormat="1" applyFont="1" applyFill="1" applyBorder="1"/>
    <xf numFmtId="165" fontId="12092" fillId="12097" borderId="12044" xfId="0" applyNumberFormat="1" applyFont="1" applyFill="1" applyBorder="1"/>
    <xf numFmtId="165" fontId="12093" fillId="12098" borderId="12045" xfId="0" applyNumberFormat="1" applyFont="1" applyFill="1" applyBorder="1"/>
    <xf numFmtId="4" fontId="12094" fillId="12099" borderId="12046" xfId="0" applyNumberFormat="1" applyFont="1" applyFill="1" applyBorder="1"/>
    <xf numFmtId="168" fontId="12095" fillId="12100" borderId="12047" xfId="0" applyNumberFormat="1" applyFont="1" applyFill="1" applyBorder="1"/>
    <xf numFmtId="4" fontId="12096" fillId="12101" borderId="12048" xfId="0" applyNumberFormat="1" applyFont="1" applyFill="1" applyBorder="1"/>
    <xf numFmtId="165" fontId="12097" fillId="12102" borderId="12049" xfId="0" applyNumberFormat="1" applyFont="1" applyFill="1" applyBorder="1"/>
    <xf numFmtId="0" fontId="12098" fillId="12103" borderId="12050" xfId="0" applyFont="1" applyFill="1" applyBorder="1" applyAlignment="1">
      <alignment horizontal="center"/>
    </xf>
    <xf numFmtId="0" fontId="12099" fillId="12104" borderId="12051" xfId="0" applyFont="1" applyFill="1" applyBorder="1"/>
    <xf numFmtId="165" fontId="12100" fillId="12105" borderId="12052" xfId="0" applyNumberFormat="1" applyFont="1" applyFill="1" applyBorder="1"/>
    <xf numFmtId="165" fontId="12101" fillId="12106" borderId="12053" xfId="0" applyNumberFormat="1" applyFont="1" applyFill="1" applyBorder="1"/>
    <xf numFmtId="165" fontId="12102" fillId="12107" borderId="12054" xfId="0" applyNumberFormat="1" applyFont="1" applyFill="1" applyBorder="1"/>
    <xf numFmtId="4" fontId="12103" fillId="12108" borderId="12055" xfId="0" applyNumberFormat="1" applyFont="1" applyFill="1" applyBorder="1"/>
    <xf numFmtId="168" fontId="12104" fillId="12109" borderId="12056" xfId="0" applyNumberFormat="1" applyFont="1" applyFill="1" applyBorder="1"/>
    <xf numFmtId="4" fontId="12105" fillId="12110" borderId="12057" xfId="0" applyNumberFormat="1" applyFont="1" applyFill="1" applyBorder="1"/>
    <xf numFmtId="165" fontId="12106" fillId="12111" borderId="12058" xfId="0" applyNumberFormat="1" applyFont="1" applyFill="1" applyBorder="1"/>
    <xf numFmtId="0" fontId="12107" fillId="12112" borderId="12059" xfId="0" applyFont="1" applyFill="1" applyBorder="1" applyAlignment="1">
      <alignment horizontal="center"/>
    </xf>
    <xf numFmtId="0" fontId="12108" fillId="12113" borderId="12060" xfId="0" applyFont="1" applyFill="1" applyBorder="1"/>
    <xf numFmtId="165" fontId="12109" fillId="12114" borderId="12061" xfId="0" applyNumberFormat="1" applyFont="1" applyFill="1" applyBorder="1"/>
    <xf numFmtId="165" fontId="12110" fillId="12115" borderId="12062" xfId="0" applyNumberFormat="1" applyFont="1" applyFill="1" applyBorder="1"/>
    <xf numFmtId="165" fontId="12111" fillId="12116" borderId="12063" xfId="0" applyNumberFormat="1" applyFont="1" applyFill="1" applyBorder="1"/>
    <xf numFmtId="4" fontId="12112" fillId="12117" borderId="12064" xfId="0" applyNumberFormat="1" applyFont="1" applyFill="1" applyBorder="1"/>
    <xf numFmtId="168" fontId="12113" fillId="12118" borderId="12065" xfId="0" applyNumberFormat="1" applyFont="1" applyFill="1" applyBorder="1"/>
    <xf numFmtId="4" fontId="12114" fillId="12119" borderId="12066" xfId="0" applyNumberFormat="1" applyFont="1" applyFill="1" applyBorder="1"/>
    <xf numFmtId="165" fontId="12115" fillId="12120" borderId="12067" xfId="0" applyNumberFormat="1" applyFont="1" applyFill="1" applyBorder="1"/>
    <xf numFmtId="0" fontId="12116" fillId="12121" borderId="12068" xfId="0" applyFont="1" applyFill="1" applyBorder="1" applyAlignment="1">
      <alignment horizontal="center"/>
    </xf>
    <xf numFmtId="0" fontId="12117" fillId="12122" borderId="12069" xfId="0" applyFont="1" applyFill="1" applyBorder="1"/>
    <xf numFmtId="165" fontId="12118" fillId="12123" borderId="12070" xfId="0" applyNumberFormat="1" applyFont="1" applyFill="1" applyBorder="1"/>
    <xf numFmtId="165" fontId="12119" fillId="12124" borderId="12071" xfId="0" applyNumberFormat="1" applyFont="1" applyFill="1" applyBorder="1"/>
    <xf numFmtId="165" fontId="12120" fillId="12125" borderId="12072" xfId="0" applyNumberFormat="1" applyFont="1" applyFill="1" applyBorder="1"/>
    <xf numFmtId="4" fontId="12121" fillId="12126" borderId="12073" xfId="0" applyNumberFormat="1" applyFont="1" applyFill="1" applyBorder="1"/>
    <xf numFmtId="168" fontId="12122" fillId="12127" borderId="12074" xfId="0" applyNumberFormat="1" applyFont="1" applyFill="1" applyBorder="1"/>
    <xf numFmtId="4" fontId="12123" fillId="12128" borderId="12075" xfId="0" applyNumberFormat="1" applyFont="1" applyFill="1" applyBorder="1"/>
    <xf numFmtId="165" fontId="12124" fillId="12129" borderId="12076" xfId="0" applyNumberFormat="1" applyFont="1" applyFill="1" applyBorder="1"/>
    <xf numFmtId="0" fontId="12125" fillId="12130" borderId="12077" xfId="0" applyFont="1" applyFill="1" applyBorder="1" applyAlignment="1">
      <alignment horizontal="center"/>
    </xf>
    <xf numFmtId="0" fontId="12126" fillId="12131" borderId="12078" xfId="0" applyFont="1" applyFill="1" applyBorder="1"/>
    <xf numFmtId="165" fontId="12127" fillId="12132" borderId="12079" xfId="0" applyNumberFormat="1" applyFont="1" applyFill="1" applyBorder="1"/>
    <xf numFmtId="165" fontId="12128" fillId="12133" borderId="12080" xfId="0" applyNumberFormat="1" applyFont="1" applyFill="1" applyBorder="1"/>
    <xf numFmtId="165" fontId="12129" fillId="12134" borderId="12081" xfId="0" applyNumberFormat="1" applyFont="1" applyFill="1" applyBorder="1"/>
    <xf numFmtId="4" fontId="12130" fillId="12135" borderId="12082" xfId="0" applyNumberFormat="1" applyFont="1" applyFill="1" applyBorder="1"/>
    <xf numFmtId="168" fontId="12131" fillId="12136" borderId="12083" xfId="0" applyNumberFormat="1" applyFont="1" applyFill="1" applyBorder="1"/>
    <xf numFmtId="4" fontId="12132" fillId="12137" borderId="12084" xfId="0" applyNumberFormat="1" applyFont="1" applyFill="1" applyBorder="1"/>
    <xf numFmtId="165" fontId="12133" fillId="12138" borderId="12085" xfId="0" applyNumberFormat="1" applyFont="1" applyFill="1" applyBorder="1"/>
    <xf numFmtId="0" fontId="12134" fillId="12139" borderId="12086" xfId="0" applyFont="1" applyFill="1" applyBorder="1" applyAlignment="1">
      <alignment horizontal="center"/>
    </xf>
    <xf numFmtId="0" fontId="12135" fillId="12140" borderId="12087" xfId="0" applyFont="1" applyFill="1" applyBorder="1"/>
    <xf numFmtId="165" fontId="12136" fillId="12141" borderId="12088" xfId="0" applyNumberFormat="1" applyFont="1" applyFill="1" applyBorder="1"/>
    <xf numFmtId="165" fontId="12137" fillId="12142" borderId="12089" xfId="0" applyNumberFormat="1" applyFont="1" applyFill="1" applyBorder="1"/>
    <xf numFmtId="165" fontId="12138" fillId="12143" borderId="12090" xfId="0" applyNumberFormat="1" applyFont="1" applyFill="1" applyBorder="1"/>
    <xf numFmtId="4" fontId="12139" fillId="12144" borderId="12091" xfId="0" applyNumberFormat="1" applyFont="1" applyFill="1" applyBorder="1"/>
    <xf numFmtId="168" fontId="12140" fillId="12145" borderId="12092" xfId="0" applyNumberFormat="1" applyFont="1" applyFill="1" applyBorder="1"/>
    <xf numFmtId="4" fontId="12141" fillId="12146" borderId="12093" xfId="0" applyNumberFormat="1" applyFont="1" applyFill="1" applyBorder="1"/>
    <xf numFmtId="165" fontId="12142" fillId="12147" borderId="12094" xfId="0" applyNumberFormat="1" applyFont="1" applyFill="1" applyBorder="1"/>
    <xf numFmtId="0" fontId="12143" fillId="12148" borderId="12095" xfId="0" applyFont="1" applyFill="1" applyBorder="1" applyAlignment="1">
      <alignment horizontal="center"/>
    </xf>
    <xf numFmtId="0" fontId="12144" fillId="12149" borderId="12096" xfId="0" applyFont="1" applyFill="1" applyBorder="1"/>
    <xf numFmtId="165" fontId="12145" fillId="12150" borderId="12097" xfId="0" applyNumberFormat="1" applyFont="1" applyFill="1" applyBorder="1"/>
    <xf numFmtId="165" fontId="12146" fillId="12151" borderId="12098" xfId="0" applyNumberFormat="1" applyFont="1" applyFill="1" applyBorder="1"/>
    <xf numFmtId="165" fontId="12147" fillId="12152" borderId="12099" xfId="0" applyNumberFormat="1" applyFont="1" applyFill="1" applyBorder="1"/>
    <xf numFmtId="4" fontId="12148" fillId="12153" borderId="12100" xfId="0" applyNumberFormat="1" applyFont="1" applyFill="1" applyBorder="1"/>
    <xf numFmtId="168" fontId="12149" fillId="12154" borderId="12101" xfId="0" applyNumberFormat="1" applyFont="1" applyFill="1" applyBorder="1"/>
    <xf numFmtId="4" fontId="12150" fillId="12155" borderId="12102" xfId="0" applyNumberFormat="1" applyFont="1" applyFill="1" applyBorder="1"/>
    <xf numFmtId="165" fontId="12151" fillId="12156" borderId="12103" xfId="0" applyNumberFormat="1" applyFont="1" applyFill="1" applyBorder="1"/>
    <xf numFmtId="0" fontId="12152" fillId="12157" borderId="12104" xfId="0" applyFont="1" applyFill="1" applyBorder="1" applyAlignment="1">
      <alignment horizontal="center"/>
    </xf>
    <xf numFmtId="0" fontId="12153" fillId="12158" borderId="12105" xfId="0" applyFont="1" applyFill="1" applyBorder="1"/>
    <xf numFmtId="165" fontId="12154" fillId="12159" borderId="12106" xfId="0" applyNumberFormat="1" applyFont="1" applyFill="1" applyBorder="1"/>
    <xf numFmtId="165" fontId="12155" fillId="12160" borderId="12107" xfId="0" applyNumberFormat="1" applyFont="1" applyFill="1" applyBorder="1"/>
    <xf numFmtId="165" fontId="12156" fillId="12161" borderId="12108" xfId="0" applyNumberFormat="1" applyFont="1" applyFill="1" applyBorder="1"/>
    <xf numFmtId="4" fontId="12157" fillId="12162" borderId="12109" xfId="0" applyNumberFormat="1" applyFont="1" applyFill="1" applyBorder="1"/>
    <xf numFmtId="168" fontId="12158" fillId="12163" borderId="12110" xfId="0" applyNumberFormat="1" applyFont="1" applyFill="1" applyBorder="1"/>
    <xf numFmtId="4" fontId="12159" fillId="12164" borderId="12111" xfId="0" applyNumberFormat="1" applyFont="1" applyFill="1" applyBorder="1"/>
    <xf numFmtId="165" fontId="12160" fillId="12165" borderId="12112" xfId="0" applyNumberFormat="1" applyFont="1" applyFill="1" applyBorder="1"/>
    <xf numFmtId="0" fontId="12161" fillId="12166" borderId="12113" xfId="0" applyFont="1" applyFill="1" applyBorder="1" applyAlignment="1">
      <alignment horizontal="center"/>
    </xf>
    <xf numFmtId="0" fontId="12162" fillId="12167" borderId="12114" xfId="0" applyFont="1" applyFill="1" applyBorder="1"/>
    <xf numFmtId="165" fontId="12163" fillId="12168" borderId="12115" xfId="0" applyNumberFormat="1" applyFont="1" applyFill="1" applyBorder="1"/>
    <xf numFmtId="165" fontId="12164" fillId="12169" borderId="12116" xfId="0" applyNumberFormat="1" applyFont="1" applyFill="1" applyBorder="1"/>
    <xf numFmtId="165" fontId="12165" fillId="12170" borderId="12117" xfId="0" applyNumberFormat="1" applyFont="1" applyFill="1" applyBorder="1"/>
    <xf numFmtId="4" fontId="12166" fillId="12171" borderId="12118" xfId="0" applyNumberFormat="1" applyFont="1" applyFill="1" applyBorder="1"/>
    <xf numFmtId="168" fontId="12167" fillId="12172" borderId="12119" xfId="0" applyNumberFormat="1" applyFont="1" applyFill="1" applyBorder="1"/>
    <xf numFmtId="4" fontId="12168" fillId="12173" borderId="12120" xfId="0" applyNumberFormat="1" applyFont="1" applyFill="1" applyBorder="1"/>
    <xf numFmtId="165" fontId="12169" fillId="12174" borderId="12121" xfId="0" applyNumberFormat="1" applyFont="1" applyFill="1" applyBorder="1"/>
    <xf numFmtId="0" fontId="12170" fillId="12175" borderId="12122" xfId="0" applyFont="1" applyFill="1" applyBorder="1" applyAlignment="1">
      <alignment horizontal="center"/>
    </xf>
    <xf numFmtId="0" fontId="12171" fillId="12176" borderId="12123" xfId="0" applyFont="1" applyFill="1" applyBorder="1"/>
    <xf numFmtId="165" fontId="12172" fillId="12177" borderId="12124" xfId="0" applyNumberFormat="1" applyFont="1" applyFill="1" applyBorder="1"/>
    <xf numFmtId="165" fontId="12173" fillId="12178" borderId="12125" xfId="0" applyNumberFormat="1" applyFont="1" applyFill="1" applyBorder="1"/>
    <xf numFmtId="165" fontId="12174" fillId="12179" borderId="12126" xfId="0" applyNumberFormat="1" applyFont="1" applyFill="1" applyBorder="1"/>
    <xf numFmtId="4" fontId="12175" fillId="12180" borderId="12127" xfId="0" applyNumberFormat="1" applyFont="1" applyFill="1" applyBorder="1"/>
    <xf numFmtId="168" fontId="12176" fillId="12181" borderId="12128" xfId="0" applyNumberFormat="1" applyFont="1" applyFill="1" applyBorder="1"/>
    <xf numFmtId="4" fontId="12177" fillId="12182" borderId="12129" xfId="0" applyNumberFormat="1" applyFont="1" applyFill="1" applyBorder="1"/>
    <xf numFmtId="165" fontId="12178" fillId="12183" borderId="12130" xfId="0" applyNumberFormat="1" applyFont="1" applyFill="1" applyBorder="1"/>
    <xf numFmtId="0" fontId="12179" fillId="12184" borderId="12131" xfId="0" applyFont="1" applyFill="1" applyBorder="1" applyAlignment="1">
      <alignment horizontal="center"/>
    </xf>
    <xf numFmtId="0" fontId="12180" fillId="12185" borderId="12132" xfId="0" applyFont="1" applyFill="1" applyBorder="1"/>
    <xf numFmtId="165" fontId="12181" fillId="12186" borderId="12133" xfId="0" applyNumberFormat="1" applyFont="1" applyFill="1" applyBorder="1"/>
    <xf numFmtId="165" fontId="12182" fillId="12187" borderId="12134" xfId="0" applyNumberFormat="1" applyFont="1" applyFill="1" applyBorder="1"/>
    <xf numFmtId="165" fontId="12183" fillId="12188" borderId="12135" xfId="0" applyNumberFormat="1" applyFont="1" applyFill="1" applyBorder="1"/>
    <xf numFmtId="4" fontId="12184" fillId="12189" borderId="12136" xfId="0" applyNumberFormat="1" applyFont="1" applyFill="1" applyBorder="1"/>
    <xf numFmtId="168" fontId="12185" fillId="12190" borderId="12137" xfId="0" applyNumberFormat="1" applyFont="1" applyFill="1" applyBorder="1"/>
    <xf numFmtId="4" fontId="12186" fillId="12191" borderId="12138" xfId="0" applyNumberFormat="1" applyFont="1" applyFill="1" applyBorder="1"/>
    <xf numFmtId="165" fontId="12187" fillId="12192" borderId="12139" xfId="0" applyNumberFormat="1" applyFont="1" applyFill="1" applyBorder="1"/>
    <xf numFmtId="0" fontId="12188" fillId="12193" borderId="12140" xfId="0" applyFont="1" applyFill="1" applyBorder="1" applyAlignment="1">
      <alignment horizontal="center"/>
    </xf>
    <xf numFmtId="0" fontId="12189" fillId="12194" borderId="12141" xfId="0" applyFont="1" applyFill="1" applyBorder="1"/>
    <xf numFmtId="165" fontId="12190" fillId="12195" borderId="12142" xfId="0" applyNumberFormat="1" applyFont="1" applyFill="1" applyBorder="1"/>
    <xf numFmtId="165" fontId="12191" fillId="12196" borderId="12143" xfId="0" applyNumberFormat="1" applyFont="1" applyFill="1" applyBorder="1"/>
    <xf numFmtId="165" fontId="12192" fillId="12197" borderId="12144" xfId="0" applyNumberFormat="1" applyFont="1" applyFill="1" applyBorder="1"/>
    <xf numFmtId="4" fontId="12193" fillId="12198" borderId="12145" xfId="0" applyNumberFormat="1" applyFont="1" applyFill="1" applyBorder="1"/>
    <xf numFmtId="168" fontId="12194" fillId="12199" borderId="12146" xfId="0" applyNumberFormat="1" applyFont="1" applyFill="1" applyBorder="1"/>
    <xf numFmtId="4" fontId="12195" fillId="12200" borderId="12147" xfId="0" applyNumberFormat="1" applyFont="1" applyFill="1" applyBorder="1"/>
    <xf numFmtId="165" fontId="12196" fillId="12201" borderId="12148" xfId="0" applyNumberFormat="1" applyFont="1" applyFill="1" applyBorder="1"/>
    <xf numFmtId="0" fontId="12197" fillId="12202" borderId="12149" xfId="0" applyFont="1" applyFill="1" applyBorder="1" applyAlignment="1">
      <alignment horizontal="center"/>
    </xf>
    <xf numFmtId="0" fontId="12198" fillId="12203" borderId="12150" xfId="0" applyFont="1" applyFill="1" applyBorder="1"/>
    <xf numFmtId="165" fontId="12199" fillId="12204" borderId="12151" xfId="0" applyNumberFormat="1" applyFont="1" applyFill="1" applyBorder="1"/>
    <xf numFmtId="165" fontId="12200" fillId="12205" borderId="12152" xfId="0" applyNumberFormat="1" applyFont="1" applyFill="1" applyBorder="1"/>
    <xf numFmtId="165" fontId="12201" fillId="12206" borderId="12153" xfId="0" applyNumberFormat="1" applyFont="1" applyFill="1" applyBorder="1"/>
    <xf numFmtId="4" fontId="12202" fillId="12207" borderId="12154" xfId="0" applyNumberFormat="1" applyFont="1" applyFill="1" applyBorder="1"/>
    <xf numFmtId="168" fontId="12203" fillId="12208" borderId="12155" xfId="0" applyNumberFormat="1" applyFont="1" applyFill="1" applyBorder="1"/>
    <xf numFmtId="4" fontId="12204" fillId="12209" borderId="12156" xfId="0" applyNumberFormat="1" applyFont="1" applyFill="1" applyBorder="1"/>
    <xf numFmtId="165" fontId="12205" fillId="12210" borderId="12157" xfId="0" applyNumberFormat="1" applyFont="1" applyFill="1" applyBorder="1"/>
    <xf numFmtId="0" fontId="12206" fillId="12211" borderId="12158" xfId="0" applyFont="1" applyFill="1" applyBorder="1" applyAlignment="1">
      <alignment horizontal="center"/>
    </xf>
    <xf numFmtId="0" fontId="12207" fillId="12212" borderId="12159" xfId="0" applyFont="1" applyFill="1" applyBorder="1"/>
    <xf numFmtId="165" fontId="12208" fillId="12213" borderId="12160" xfId="0" applyNumberFormat="1" applyFont="1" applyFill="1" applyBorder="1"/>
    <xf numFmtId="165" fontId="12209" fillId="12214" borderId="12161" xfId="0" applyNumberFormat="1" applyFont="1" applyFill="1" applyBorder="1"/>
    <xf numFmtId="165" fontId="12210" fillId="12215" borderId="12162" xfId="0" applyNumberFormat="1" applyFont="1" applyFill="1" applyBorder="1"/>
    <xf numFmtId="4" fontId="12211" fillId="12216" borderId="12163" xfId="0" applyNumberFormat="1" applyFont="1" applyFill="1" applyBorder="1"/>
    <xf numFmtId="168" fontId="12212" fillId="12217" borderId="12164" xfId="0" applyNumberFormat="1" applyFont="1" applyFill="1" applyBorder="1"/>
    <xf numFmtId="4" fontId="12213" fillId="12218" borderId="12165" xfId="0" applyNumberFormat="1" applyFont="1" applyFill="1" applyBorder="1"/>
    <xf numFmtId="165" fontId="12214" fillId="12219" borderId="12166" xfId="0" applyNumberFormat="1" applyFont="1" applyFill="1" applyBorder="1"/>
    <xf numFmtId="0" fontId="12218" fillId="12223" borderId="12170" xfId="0" applyFont="1" applyFill="1" applyBorder="1" applyAlignment="1">
      <alignment horizontal="center" wrapText="1"/>
    </xf>
    <xf numFmtId="0" fontId="12219" fillId="12224" borderId="12171" xfId="0" applyFont="1" applyFill="1" applyBorder="1" applyAlignment="1">
      <alignment horizontal="center" wrapText="1"/>
    </xf>
    <xf numFmtId="0" fontId="12220" fillId="12225" borderId="12172" xfId="0" applyFont="1" applyFill="1" applyBorder="1" applyAlignment="1">
      <alignment horizontal="center" wrapText="1"/>
    </xf>
    <xf numFmtId="0" fontId="12221" fillId="12226" borderId="12173" xfId="0" applyFont="1" applyFill="1" applyBorder="1" applyAlignment="1">
      <alignment horizontal="center" wrapText="1"/>
    </xf>
    <xf numFmtId="0" fontId="12222" fillId="12227" borderId="12174" xfId="0" applyFont="1" applyFill="1" applyBorder="1" applyAlignment="1">
      <alignment horizontal="center" wrapText="1"/>
    </xf>
    <xf numFmtId="0" fontId="12223" fillId="12228" borderId="12175" xfId="0" applyFont="1" applyFill="1" applyBorder="1" applyAlignment="1">
      <alignment horizontal="center" wrapText="1"/>
    </xf>
    <xf numFmtId="0" fontId="12224" fillId="12229" borderId="12176" xfId="0" applyFont="1" applyFill="1" applyBorder="1" applyAlignment="1">
      <alignment horizontal="center" wrapText="1"/>
    </xf>
    <xf numFmtId="0" fontId="12225" fillId="12230" borderId="12177" xfId="0" applyFont="1" applyFill="1" applyBorder="1" applyAlignment="1">
      <alignment horizontal="center" wrapText="1"/>
    </xf>
    <xf numFmtId="0" fontId="12226" fillId="12231" borderId="12178" xfId="0" applyFont="1" applyFill="1" applyBorder="1" applyAlignment="1">
      <alignment horizontal="center" wrapText="1"/>
    </xf>
    <xf numFmtId="0" fontId="12227" fillId="12232" borderId="12179" xfId="0" applyFont="1" applyFill="1" applyBorder="1" applyAlignment="1">
      <alignment horizontal="center" wrapText="1"/>
    </xf>
    <xf numFmtId="0" fontId="12229" fillId="12234" borderId="12181" xfId="0" applyFont="1" applyFill="1" applyBorder="1" applyAlignment="1">
      <alignment horizontal="center"/>
    </xf>
    <xf numFmtId="0" fontId="12230" fillId="12235" borderId="12182" xfId="0" applyFont="1" applyFill="1" applyBorder="1" applyAlignment="1">
      <alignment horizontal="center"/>
    </xf>
    <xf numFmtId="0" fontId="12231" fillId="12236" borderId="12183" xfId="0" applyFont="1" applyFill="1" applyBorder="1" applyAlignment="1">
      <alignment horizontal="center"/>
    </xf>
    <xf numFmtId="0" fontId="12232" fillId="12237" borderId="12184" xfId="0" applyFont="1" applyFill="1" applyBorder="1"/>
    <xf numFmtId="0" fontId="12233" fillId="12238" borderId="12185" xfId="0" applyFont="1" applyFill="1" applyBorder="1"/>
    <xf numFmtId="0" fontId="12234" fillId="12239" borderId="12186" xfId="0" applyFont="1" applyFill="1" applyBorder="1" applyAlignment="1">
      <alignment horizontal="center"/>
    </xf>
    <xf numFmtId="0" fontId="12235" fillId="12240" borderId="12187" xfId="0" applyFont="1" applyFill="1" applyBorder="1"/>
    <xf numFmtId="165" fontId="12236" fillId="12241" borderId="12188" xfId="0" applyNumberFormat="1" applyFont="1" applyFill="1" applyBorder="1"/>
    <xf numFmtId="0" fontId="12237" fillId="12242" borderId="12189" xfId="0" applyFont="1" applyFill="1" applyBorder="1" applyAlignment="1">
      <alignment horizontal="center"/>
    </xf>
    <xf numFmtId="0" fontId="12238" fillId="12243" borderId="12190" xfId="0" applyFont="1" applyFill="1" applyBorder="1" applyAlignment="1">
      <alignment wrapText="1"/>
    </xf>
    <xf numFmtId="0" fontId="12239" fillId="12244" borderId="12191" xfId="0" applyFont="1" applyFill="1" applyBorder="1" applyAlignment="1">
      <alignment horizontal="center"/>
    </xf>
    <xf numFmtId="0" fontId="12240" fillId="12245" borderId="12192" xfId="0" applyFont="1" applyFill="1" applyBorder="1" applyAlignment="1">
      <alignment horizontal="center"/>
    </xf>
    <xf numFmtId="0" fontId="12241" fillId="12246" borderId="12193" xfId="0" applyFont="1" applyFill="1" applyBorder="1" applyAlignment="1">
      <alignment horizontal="center"/>
    </xf>
    <xf numFmtId="0" fontId="12242" fillId="12247" borderId="12194" xfId="0" applyFont="1" applyFill="1" applyBorder="1"/>
    <xf numFmtId="0" fontId="12243" fillId="12248" borderId="12195" xfId="0" applyFont="1" applyFill="1" applyBorder="1"/>
    <xf numFmtId="0" fontId="12244" fillId="12249" borderId="12196" xfId="0" applyFont="1" applyFill="1" applyBorder="1" applyAlignment="1">
      <alignment horizontal="center"/>
    </xf>
    <xf numFmtId="0" fontId="12245" fillId="12250" borderId="12197" xfId="0" applyFont="1" applyFill="1" applyBorder="1"/>
    <xf numFmtId="165" fontId="12246" fillId="12251" borderId="12198" xfId="0" applyNumberFormat="1" applyFont="1" applyFill="1" applyBorder="1"/>
    <xf numFmtId="0" fontId="12247" fillId="12252" borderId="12199" xfId="0" applyFont="1" applyFill="1" applyBorder="1" applyAlignment="1">
      <alignment horizontal="center"/>
    </xf>
    <xf numFmtId="0" fontId="12248" fillId="12253" borderId="12200" xfId="0" applyFont="1" applyFill="1" applyBorder="1" applyAlignment="1">
      <alignment wrapText="1"/>
    </xf>
    <xf numFmtId="0" fontId="12249" fillId="12254" borderId="12201" xfId="0" applyFont="1" applyFill="1" applyBorder="1" applyAlignment="1">
      <alignment horizontal="center"/>
    </xf>
    <xf numFmtId="0" fontId="12250" fillId="12255" borderId="12202" xfId="0" applyFont="1" applyFill="1" applyBorder="1" applyAlignment="1">
      <alignment horizontal="center"/>
    </xf>
    <xf numFmtId="0" fontId="12251" fillId="12256" borderId="12203" xfId="0" applyFont="1" applyFill="1" applyBorder="1" applyAlignment="1">
      <alignment horizontal="center"/>
    </xf>
    <xf numFmtId="0" fontId="12252" fillId="12257" borderId="12204" xfId="0" applyFont="1" applyFill="1" applyBorder="1"/>
    <xf numFmtId="0" fontId="12253" fillId="12258" borderId="12205" xfId="0" applyFont="1" applyFill="1" applyBorder="1"/>
    <xf numFmtId="0" fontId="12254" fillId="12259" borderId="12206" xfId="0" applyFont="1" applyFill="1" applyBorder="1" applyAlignment="1">
      <alignment horizontal="center"/>
    </xf>
    <xf numFmtId="0" fontId="12255" fillId="12260" borderId="12207" xfId="0" applyFont="1" applyFill="1" applyBorder="1"/>
    <xf numFmtId="165" fontId="12256" fillId="12261" borderId="12208" xfId="0" applyNumberFormat="1" applyFont="1" applyFill="1" applyBorder="1"/>
    <xf numFmtId="0" fontId="12257" fillId="12262" borderId="12209" xfId="0" applyFont="1" applyFill="1" applyBorder="1" applyAlignment="1">
      <alignment horizontal="center"/>
    </xf>
    <xf numFmtId="0" fontId="12258" fillId="12263" borderId="12210" xfId="0" applyFont="1" applyFill="1" applyBorder="1" applyAlignment="1">
      <alignment wrapText="1"/>
    </xf>
    <xf numFmtId="0" fontId="12259" fillId="12264" borderId="12211" xfId="0" applyFont="1" applyFill="1" applyBorder="1" applyAlignment="1">
      <alignment horizontal="center"/>
    </xf>
    <xf numFmtId="0" fontId="12260" fillId="12265" borderId="12212" xfId="0" applyFont="1" applyFill="1" applyBorder="1" applyAlignment="1">
      <alignment horizontal="center"/>
    </xf>
    <xf numFmtId="0" fontId="12261" fillId="12266" borderId="12213" xfId="0" applyFont="1" applyFill="1" applyBorder="1" applyAlignment="1">
      <alignment horizontal="center"/>
    </xf>
    <xf numFmtId="0" fontId="12262" fillId="12267" borderId="12214" xfId="0" applyFont="1" applyFill="1" applyBorder="1"/>
    <xf numFmtId="0" fontId="12263" fillId="12268" borderId="12215" xfId="0" applyFont="1" applyFill="1" applyBorder="1"/>
    <xf numFmtId="0" fontId="12264" fillId="12269" borderId="12216" xfId="0" applyFont="1" applyFill="1" applyBorder="1" applyAlignment="1">
      <alignment horizontal="center"/>
    </xf>
    <xf numFmtId="0" fontId="12265" fillId="12270" borderId="12217" xfId="0" applyFont="1" applyFill="1" applyBorder="1"/>
    <xf numFmtId="165" fontId="12266" fillId="12271" borderId="12218" xfId="0" applyNumberFormat="1" applyFont="1" applyFill="1" applyBorder="1"/>
    <xf numFmtId="0" fontId="12267" fillId="12272" borderId="12219" xfId="0" applyFont="1" applyFill="1" applyBorder="1" applyAlignment="1">
      <alignment horizontal="center"/>
    </xf>
    <xf numFmtId="0" fontId="12268" fillId="12273" borderId="12220" xfId="0" applyFont="1" applyFill="1" applyBorder="1" applyAlignment="1">
      <alignment wrapText="1"/>
    </xf>
    <xf numFmtId="0" fontId="12269" fillId="12274" borderId="12221" xfId="0" applyFont="1" applyFill="1" applyBorder="1" applyAlignment="1">
      <alignment horizontal="center"/>
    </xf>
    <xf numFmtId="0" fontId="12270" fillId="12275" borderId="12222" xfId="0" applyFont="1" applyFill="1" applyBorder="1" applyAlignment="1">
      <alignment horizontal="center"/>
    </xf>
    <xf numFmtId="0" fontId="12271" fillId="12276" borderId="12223" xfId="0" applyFont="1" applyFill="1" applyBorder="1" applyAlignment="1">
      <alignment horizontal="center"/>
    </xf>
    <xf numFmtId="0" fontId="12272" fillId="12277" borderId="12224" xfId="0" applyFont="1" applyFill="1" applyBorder="1"/>
    <xf numFmtId="0" fontId="12273" fillId="12278" borderId="12225" xfId="0" applyFont="1" applyFill="1" applyBorder="1"/>
    <xf numFmtId="0" fontId="12274" fillId="12279" borderId="12226" xfId="0" applyFont="1" applyFill="1" applyBorder="1" applyAlignment="1">
      <alignment horizontal="center"/>
    </xf>
    <xf numFmtId="0" fontId="12275" fillId="12280" borderId="12227" xfId="0" applyFont="1" applyFill="1" applyBorder="1"/>
    <xf numFmtId="165" fontId="12276" fillId="12281" borderId="12228" xfId="0" applyNumberFormat="1" applyFont="1" applyFill="1" applyBorder="1"/>
    <xf numFmtId="0" fontId="12277" fillId="12282" borderId="12229" xfId="0" applyFont="1" applyFill="1" applyBorder="1" applyAlignment="1">
      <alignment horizontal="center"/>
    </xf>
    <xf numFmtId="0" fontId="12278" fillId="12283" borderId="12230" xfId="0" applyFont="1" applyFill="1" applyBorder="1" applyAlignment="1">
      <alignment wrapText="1"/>
    </xf>
    <xf numFmtId="0" fontId="12279" fillId="12284" borderId="12231" xfId="0" applyFont="1" applyFill="1" applyBorder="1" applyAlignment="1">
      <alignment horizontal="center"/>
    </xf>
    <xf numFmtId="0" fontId="12280" fillId="12285" borderId="12232" xfId="0" applyFont="1" applyFill="1" applyBorder="1" applyAlignment="1">
      <alignment horizontal="center"/>
    </xf>
    <xf numFmtId="0" fontId="12281" fillId="12286" borderId="12233" xfId="0" applyFont="1" applyFill="1" applyBorder="1" applyAlignment="1">
      <alignment horizontal="center"/>
    </xf>
    <xf numFmtId="0" fontId="12282" fillId="12287" borderId="12234" xfId="0" applyFont="1" applyFill="1" applyBorder="1"/>
    <xf numFmtId="0" fontId="12283" fillId="12288" borderId="12235" xfId="0" applyFont="1" applyFill="1" applyBorder="1"/>
    <xf numFmtId="0" fontId="12284" fillId="12289" borderId="12236" xfId="0" applyFont="1" applyFill="1" applyBorder="1" applyAlignment="1">
      <alignment horizontal="center"/>
    </xf>
    <xf numFmtId="0" fontId="12285" fillId="12290" borderId="12237" xfId="0" applyFont="1" applyFill="1" applyBorder="1"/>
    <xf numFmtId="165" fontId="12286" fillId="12291" borderId="12238" xfId="0" applyNumberFormat="1" applyFont="1" applyFill="1" applyBorder="1"/>
    <xf numFmtId="0" fontId="12287" fillId="12292" borderId="12239" xfId="0" applyFont="1" applyFill="1" applyBorder="1" applyAlignment="1">
      <alignment horizontal="center"/>
    </xf>
    <xf numFmtId="0" fontId="12288" fillId="12293" borderId="12240" xfId="0" applyFont="1" applyFill="1" applyBorder="1" applyAlignment="1">
      <alignment wrapText="1"/>
    </xf>
    <xf numFmtId="0" fontId="12289" fillId="12294" borderId="12241" xfId="0" applyFont="1" applyFill="1" applyBorder="1" applyAlignment="1">
      <alignment horizontal="center"/>
    </xf>
    <xf numFmtId="0" fontId="12290" fillId="12295" borderId="12242" xfId="0" applyFont="1" applyFill="1" applyBorder="1" applyAlignment="1">
      <alignment horizontal="center"/>
    </xf>
    <xf numFmtId="0" fontId="12291" fillId="12296" borderId="12243" xfId="0" applyFont="1" applyFill="1" applyBorder="1" applyAlignment="1">
      <alignment horizontal="center"/>
    </xf>
    <xf numFmtId="0" fontId="12292" fillId="12297" borderId="12244" xfId="0" applyFont="1" applyFill="1" applyBorder="1"/>
    <xf numFmtId="0" fontId="12293" fillId="12298" borderId="12245" xfId="0" applyFont="1" applyFill="1" applyBorder="1"/>
    <xf numFmtId="0" fontId="12294" fillId="12299" borderId="12246" xfId="0" applyFont="1" applyFill="1" applyBorder="1" applyAlignment="1">
      <alignment horizontal="center"/>
    </xf>
    <xf numFmtId="0" fontId="12295" fillId="12300" borderId="12247" xfId="0" applyFont="1" applyFill="1" applyBorder="1"/>
    <xf numFmtId="165" fontId="12296" fillId="12301" borderId="12248" xfId="0" applyNumberFormat="1" applyFont="1" applyFill="1" applyBorder="1"/>
    <xf numFmtId="0" fontId="12297" fillId="12302" borderId="12249" xfId="0" applyFont="1" applyFill="1" applyBorder="1" applyAlignment="1">
      <alignment horizontal="center"/>
    </xf>
    <xf numFmtId="0" fontId="12298" fillId="12303" borderId="12250" xfId="0" applyFont="1" applyFill="1" applyBorder="1" applyAlignment="1">
      <alignment wrapText="1"/>
    </xf>
    <xf numFmtId="0" fontId="12299" fillId="12304" borderId="12251" xfId="0" applyFont="1" applyFill="1" applyBorder="1" applyAlignment="1">
      <alignment horizontal="center"/>
    </xf>
    <xf numFmtId="0" fontId="12300" fillId="12305" borderId="12252" xfId="0" applyFont="1" applyFill="1" applyBorder="1" applyAlignment="1">
      <alignment horizontal="center"/>
    </xf>
    <xf numFmtId="0" fontId="12301" fillId="12306" borderId="12253" xfId="0" applyFont="1" applyFill="1" applyBorder="1" applyAlignment="1">
      <alignment horizontal="center"/>
    </xf>
    <xf numFmtId="0" fontId="12302" fillId="12307" borderId="12254" xfId="0" applyFont="1" applyFill="1" applyBorder="1"/>
    <xf numFmtId="0" fontId="12303" fillId="12308" borderId="12255" xfId="0" applyFont="1" applyFill="1" applyBorder="1"/>
    <xf numFmtId="0" fontId="12304" fillId="12309" borderId="12256" xfId="0" applyFont="1" applyFill="1" applyBorder="1" applyAlignment="1">
      <alignment horizontal="center"/>
    </xf>
    <xf numFmtId="0" fontId="12305" fillId="12310" borderId="12257" xfId="0" applyFont="1" applyFill="1" applyBorder="1"/>
    <xf numFmtId="165" fontId="12306" fillId="12311" borderId="12258" xfId="0" applyNumberFormat="1" applyFont="1" applyFill="1" applyBorder="1"/>
    <xf numFmtId="0" fontId="12307" fillId="12312" borderId="12259" xfId="0" applyFont="1" applyFill="1" applyBorder="1" applyAlignment="1">
      <alignment horizontal="center"/>
    </xf>
    <xf numFmtId="0" fontId="12308" fillId="12313" borderId="12260" xfId="0" applyFont="1" applyFill="1" applyBorder="1" applyAlignment="1">
      <alignment wrapText="1"/>
    </xf>
    <xf numFmtId="0" fontId="12309" fillId="12314" borderId="12261" xfId="0" applyFont="1" applyFill="1" applyBorder="1" applyAlignment="1">
      <alignment horizontal="center"/>
    </xf>
    <xf numFmtId="0" fontId="12310" fillId="12315" borderId="12262" xfId="0" applyFont="1" applyFill="1" applyBorder="1" applyAlignment="1">
      <alignment horizontal="center"/>
    </xf>
    <xf numFmtId="0" fontId="12311" fillId="12316" borderId="12263" xfId="0" applyFont="1" applyFill="1" applyBorder="1" applyAlignment="1">
      <alignment horizontal="center"/>
    </xf>
    <xf numFmtId="0" fontId="12312" fillId="12317" borderId="12264" xfId="0" applyFont="1" applyFill="1" applyBorder="1"/>
    <xf numFmtId="0" fontId="12313" fillId="12318" borderId="12265" xfId="0" applyFont="1" applyFill="1" applyBorder="1"/>
    <xf numFmtId="0" fontId="12314" fillId="12319" borderId="12266" xfId="0" applyFont="1" applyFill="1" applyBorder="1" applyAlignment="1">
      <alignment horizontal="center"/>
    </xf>
    <xf numFmtId="0" fontId="12315" fillId="12320" borderId="12267" xfId="0" applyFont="1" applyFill="1" applyBorder="1"/>
    <xf numFmtId="165" fontId="12316" fillId="12321" borderId="12268" xfId="0" applyNumberFormat="1" applyFont="1" applyFill="1" applyBorder="1"/>
    <xf numFmtId="0" fontId="12317" fillId="12322" borderId="12269" xfId="0" applyFont="1" applyFill="1" applyBorder="1" applyAlignment="1">
      <alignment horizontal="center"/>
    </xf>
    <xf numFmtId="0" fontId="12318" fillId="12323" borderId="12270" xfId="0" applyFont="1" applyFill="1" applyBorder="1" applyAlignment="1">
      <alignment wrapText="1"/>
    </xf>
    <xf numFmtId="0" fontId="12319" fillId="12324" borderId="12271" xfId="0" applyFont="1" applyFill="1" applyBorder="1" applyAlignment="1">
      <alignment horizontal="center"/>
    </xf>
    <xf numFmtId="0" fontId="12320" fillId="12325" borderId="12272" xfId="0" applyFont="1" applyFill="1" applyBorder="1" applyAlignment="1">
      <alignment horizontal="center"/>
    </xf>
    <xf numFmtId="0" fontId="12321" fillId="12326" borderId="12273" xfId="0" applyFont="1" applyFill="1" applyBorder="1" applyAlignment="1">
      <alignment horizontal="center"/>
    </xf>
    <xf numFmtId="0" fontId="12322" fillId="12327" borderId="12274" xfId="0" applyFont="1" applyFill="1" applyBorder="1"/>
    <xf numFmtId="0" fontId="12323" fillId="12328" borderId="12275" xfId="0" applyFont="1" applyFill="1" applyBorder="1"/>
    <xf numFmtId="0" fontId="12324" fillId="12329" borderId="12276" xfId="0" applyFont="1" applyFill="1" applyBorder="1" applyAlignment="1">
      <alignment horizontal="center"/>
    </xf>
    <xf numFmtId="0" fontId="12325" fillId="12330" borderId="12277" xfId="0" applyFont="1" applyFill="1" applyBorder="1"/>
    <xf numFmtId="165" fontId="12326" fillId="12331" borderId="12278" xfId="0" applyNumberFormat="1" applyFont="1" applyFill="1" applyBorder="1"/>
    <xf numFmtId="0" fontId="12327" fillId="12332" borderId="12279" xfId="0" applyFont="1" applyFill="1" applyBorder="1" applyAlignment="1">
      <alignment horizontal="center"/>
    </xf>
    <xf numFmtId="0" fontId="12328" fillId="12333" borderId="12280" xfId="0" applyFont="1" applyFill="1" applyBorder="1" applyAlignment="1">
      <alignment wrapText="1"/>
    </xf>
    <xf numFmtId="0" fontId="12329" fillId="12334" borderId="12281" xfId="0" applyFont="1" applyFill="1" applyBorder="1" applyAlignment="1">
      <alignment horizontal="center"/>
    </xf>
    <xf numFmtId="0" fontId="12330" fillId="12335" borderId="12282" xfId="0" applyFont="1" applyFill="1" applyBorder="1" applyAlignment="1">
      <alignment horizontal="center"/>
    </xf>
    <xf numFmtId="0" fontId="12331" fillId="12336" borderId="12283" xfId="0" applyFont="1" applyFill="1" applyBorder="1" applyAlignment="1">
      <alignment horizontal="center"/>
    </xf>
    <xf numFmtId="0" fontId="12332" fillId="12337" borderId="12284" xfId="0" applyFont="1" applyFill="1" applyBorder="1"/>
    <xf numFmtId="0" fontId="12333" fillId="12338" borderId="12285" xfId="0" applyFont="1" applyFill="1" applyBorder="1"/>
    <xf numFmtId="0" fontId="12334" fillId="12339" borderId="12286" xfId="0" applyFont="1" applyFill="1" applyBorder="1" applyAlignment="1">
      <alignment horizontal="center"/>
    </xf>
    <xf numFmtId="0" fontId="12335" fillId="12340" borderId="12287" xfId="0" applyFont="1" applyFill="1" applyBorder="1"/>
    <xf numFmtId="165" fontId="12336" fillId="12341" borderId="12288" xfId="0" applyNumberFormat="1" applyFont="1" applyFill="1" applyBorder="1"/>
    <xf numFmtId="0" fontId="12337" fillId="12342" borderId="12289" xfId="0" applyFont="1" applyFill="1" applyBorder="1" applyAlignment="1">
      <alignment horizontal="center"/>
    </xf>
    <xf numFmtId="0" fontId="12338" fillId="12343" borderId="12290" xfId="0" applyFont="1" applyFill="1" applyBorder="1" applyAlignment="1">
      <alignment wrapText="1"/>
    </xf>
    <xf numFmtId="0" fontId="12339" fillId="12344" borderId="12291" xfId="0" applyFont="1" applyFill="1" applyBorder="1" applyAlignment="1">
      <alignment horizontal="center"/>
    </xf>
    <xf numFmtId="0" fontId="12340" fillId="12345" borderId="12292" xfId="0" applyFont="1" applyFill="1" applyBorder="1" applyAlignment="1">
      <alignment horizontal="center"/>
    </xf>
    <xf numFmtId="0" fontId="12341" fillId="12346" borderId="12293" xfId="0" applyFont="1" applyFill="1" applyBorder="1" applyAlignment="1">
      <alignment horizontal="center"/>
    </xf>
    <xf numFmtId="0" fontId="12342" fillId="12347" borderId="12294" xfId="0" applyFont="1" applyFill="1" applyBorder="1"/>
    <xf numFmtId="0" fontId="12343" fillId="12348" borderId="12295" xfId="0" applyFont="1" applyFill="1" applyBorder="1"/>
    <xf numFmtId="0" fontId="12344" fillId="12349" borderId="12296" xfId="0" applyFont="1" applyFill="1" applyBorder="1" applyAlignment="1">
      <alignment horizontal="center"/>
    </xf>
    <xf numFmtId="0" fontId="12345" fillId="12350" borderId="12297" xfId="0" applyFont="1" applyFill="1" applyBorder="1"/>
    <xf numFmtId="165" fontId="12346" fillId="12351" borderId="12298" xfId="0" applyNumberFormat="1" applyFont="1" applyFill="1" applyBorder="1"/>
    <xf numFmtId="0" fontId="12347" fillId="12352" borderId="12299" xfId="0" applyFont="1" applyFill="1" applyBorder="1" applyAlignment="1">
      <alignment horizontal="center"/>
    </xf>
    <xf numFmtId="0" fontId="12348" fillId="12353" borderId="12300" xfId="0" applyFont="1" applyFill="1" applyBorder="1" applyAlignment="1">
      <alignment wrapText="1"/>
    </xf>
    <xf numFmtId="0" fontId="12349" fillId="12354" borderId="12301" xfId="0" applyFont="1" applyFill="1" applyBorder="1" applyAlignment="1">
      <alignment horizontal="center"/>
    </xf>
    <xf numFmtId="0" fontId="12350" fillId="12355" borderId="12302" xfId="0" applyFont="1" applyFill="1" applyBorder="1" applyAlignment="1">
      <alignment horizontal="center"/>
    </xf>
    <xf numFmtId="0" fontId="12351" fillId="12356" borderId="12303" xfId="0" applyFont="1" applyFill="1" applyBorder="1" applyAlignment="1">
      <alignment horizontal="center"/>
    </xf>
    <xf numFmtId="0" fontId="12352" fillId="12357" borderId="12304" xfId="0" applyFont="1" applyFill="1" applyBorder="1"/>
    <xf numFmtId="0" fontId="12353" fillId="12358" borderId="12305" xfId="0" applyFont="1" applyFill="1" applyBorder="1"/>
    <xf numFmtId="0" fontId="12354" fillId="12359" borderId="12306" xfId="0" applyFont="1" applyFill="1" applyBorder="1" applyAlignment="1">
      <alignment horizontal="center"/>
    </xf>
    <xf numFmtId="0" fontId="12355" fillId="12360" borderId="12307" xfId="0" applyFont="1" applyFill="1" applyBorder="1"/>
    <xf numFmtId="165" fontId="12356" fillId="12361" borderId="12308" xfId="0" applyNumberFormat="1" applyFont="1" applyFill="1" applyBorder="1"/>
    <xf numFmtId="0" fontId="12357" fillId="12362" borderId="12309" xfId="0" applyFont="1" applyFill="1" applyBorder="1" applyAlignment="1">
      <alignment horizontal="center"/>
    </xf>
    <xf numFmtId="0" fontId="12358" fillId="12363" borderId="12310" xfId="0" applyFont="1" applyFill="1" applyBorder="1" applyAlignment="1">
      <alignment wrapText="1"/>
    </xf>
    <xf numFmtId="0" fontId="12359" fillId="12364" borderId="12311" xfId="0" applyFont="1" applyFill="1" applyBorder="1" applyAlignment="1">
      <alignment horizontal="center"/>
    </xf>
    <xf numFmtId="0" fontId="12360" fillId="12365" borderId="12312" xfId="0" applyFont="1" applyFill="1" applyBorder="1" applyAlignment="1">
      <alignment horizontal="center"/>
    </xf>
    <xf numFmtId="0" fontId="12361" fillId="12366" borderId="12313" xfId="0" applyFont="1" applyFill="1" applyBorder="1" applyAlignment="1">
      <alignment horizontal="center"/>
    </xf>
    <xf numFmtId="0" fontId="12362" fillId="12367" borderId="12314" xfId="0" applyFont="1" applyFill="1" applyBorder="1"/>
    <xf numFmtId="0" fontId="12363" fillId="12368" borderId="12315" xfId="0" applyFont="1" applyFill="1" applyBorder="1"/>
    <xf numFmtId="0" fontId="12364" fillId="12369" borderId="12316" xfId="0" applyFont="1" applyFill="1" applyBorder="1" applyAlignment="1">
      <alignment horizontal="center"/>
    </xf>
    <xf numFmtId="0" fontId="12365" fillId="12370" borderId="12317" xfId="0" applyFont="1" applyFill="1" applyBorder="1"/>
    <xf numFmtId="165" fontId="12366" fillId="12371" borderId="12318" xfId="0" applyNumberFormat="1" applyFont="1" applyFill="1" applyBorder="1"/>
    <xf numFmtId="0" fontId="12367" fillId="12372" borderId="12319" xfId="0" applyFont="1" applyFill="1" applyBorder="1" applyAlignment="1">
      <alignment horizontal="center"/>
    </xf>
    <xf numFmtId="0" fontId="12368" fillId="12373" borderId="12320" xfId="0" applyFont="1" applyFill="1" applyBorder="1" applyAlignment="1">
      <alignment wrapText="1"/>
    </xf>
    <xf numFmtId="0" fontId="12369" fillId="12374" borderId="12321" xfId="0" applyFont="1" applyFill="1" applyBorder="1" applyAlignment="1">
      <alignment horizontal="center"/>
    </xf>
    <xf numFmtId="0" fontId="12370" fillId="12375" borderId="12322" xfId="0" applyFont="1" applyFill="1" applyBorder="1" applyAlignment="1">
      <alignment horizontal="center"/>
    </xf>
    <xf numFmtId="0" fontId="12371" fillId="12376" borderId="12323" xfId="0" applyFont="1" applyFill="1" applyBorder="1" applyAlignment="1">
      <alignment horizontal="center"/>
    </xf>
    <xf numFmtId="0" fontId="12372" fillId="12377" borderId="12324" xfId="0" applyFont="1" applyFill="1" applyBorder="1"/>
    <xf numFmtId="0" fontId="12373" fillId="12378" borderId="12325" xfId="0" applyFont="1" applyFill="1" applyBorder="1"/>
    <xf numFmtId="0" fontId="12374" fillId="12379" borderId="12326" xfId="0" applyFont="1" applyFill="1" applyBorder="1" applyAlignment="1">
      <alignment horizontal="center"/>
    </xf>
    <xf numFmtId="0" fontId="12375" fillId="12380" borderId="12327" xfId="0" applyFont="1" applyFill="1" applyBorder="1"/>
    <xf numFmtId="165" fontId="12376" fillId="12381" borderId="12328" xfId="0" applyNumberFormat="1" applyFont="1" applyFill="1" applyBorder="1"/>
    <xf numFmtId="0" fontId="12377" fillId="12382" borderId="12329" xfId="0" applyFont="1" applyFill="1" applyBorder="1" applyAlignment="1">
      <alignment horizontal="center"/>
    </xf>
    <xf numFmtId="0" fontId="12378" fillId="12383" borderId="12330" xfId="0" applyFont="1" applyFill="1" applyBorder="1" applyAlignment="1">
      <alignment wrapText="1"/>
    </xf>
    <xf numFmtId="0" fontId="12379" fillId="12384" borderId="12331" xfId="0" applyFont="1" applyFill="1" applyBorder="1" applyAlignment="1">
      <alignment horizontal="center"/>
    </xf>
    <xf numFmtId="0" fontId="12380" fillId="12385" borderId="12332" xfId="0" applyFont="1" applyFill="1" applyBorder="1" applyAlignment="1">
      <alignment horizontal="center"/>
    </xf>
    <xf numFmtId="0" fontId="12381" fillId="12386" borderId="12333" xfId="0" applyFont="1" applyFill="1" applyBorder="1" applyAlignment="1">
      <alignment horizontal="center"/>
    </xf>
    <xf numFmtId="0" fontId="12382" fillId="12387" borderId="12334" xfId="0" applyFont="1" applyFill="1" applyBorder="1"/>
    <xf numFmtId="0" fontId="12383" fillId="12388" borderId="12335" xfId="0" applyFont="1" applyFill="1" applyBorder="1"/>
    <xf numFmtId="0" fontId="12384" fillId="12389" borderId="12336" xfId="0" applyFont="1" applyFill="1" applyBorder="1" applyAlignment="1">
      <alignment horizontal="center"/>
    </xf>
    <xf numFmtId="0" fontId="12385" fillId="12390" borderId="12337" xfId="0" applyFont="1" applyFill="1" applyBorder="1"/>
    <xf numFmtId="165" fontId="12386" fillId="12391" borderId="12338" xfId="0" applyNumberFormat="1" applyFont="1" applyFill="1" applyBorder="1"/>
    <xf numFmtId="0" fontId="12387" fillId="12392" borderId="12339" xfId="0" applyFont="1" applyFill="1" applyBorder="1" applyAlignment="1">
      <alignment horizontal="center"/>
    </xf>
    <xf numFmtId="0" fontId="12388" fillId="12393" borderId="12340" xfId="0" applyFont="1" applyFill="1" applyBorder="1" applyAlignment="1">
      <alignment wrapText="1"/>
    </xf>
    <xf numFmtId="0" fontId="12389" fillId="12394" borderId="12341" xfId="0" applyFont="1" applyFill="1" applyBorder="1" applyAlignment="1">
      <alignment horizontal="center"/>
    </xf>
    <xf numFmtId="0" fontId="12390" fillId="12395" borderId="12342" xfId="0" applyFont="1" applyFill="1" applyBorder="1" applyAlignment="1">
      <alignment horizontal="center"/>
    </xf>
    <xf numFmtId="0" fontId="12391" fillId="12396" borderId="12343" xfId="0" applyFont="1" applyFill="1" applyBorder="1" applyAlignment="1">
      <alignment horizontal="center"/>
    </xf>
    <xf numFmtId="0" fontId="12392" fillId="12397" borderId="12344" xfId="0" applyFont="1" applyFill="1" applyBorder="1"/>
    <xf numFmtId="0" fontId="12393" fillId="12398" borderId="12345" xfId="0" applyFont="1" applyFill="1" applyBorder="1"/>
    <xf numFmtId="0" fontId="12394" fillId="12399" borderId="12346" xfId="0" applyFont="1" applyFill="1" applyBorder="1" applyAlignment="1">
      <alignment horizontal="center"/>
    </xf>
    <xf numFmtId="0" fontId="12395" fillId="12400" borderId="12347" xfId="0" applyFont="1" applyFill="1" applyBorder="1"/>
    <xf numFmtId="165" fontId="12396" fillId="12401" borderId="12348" xfId="0" applyNumberFormat="1" applyFont="1" applyFill="1" applyBorder="1"/>
    <xf numFmtId="0" fontId="12397" fillId="12402" borderId="12349" xfId="0" applyFont="1" applyFill="1" applyBorder="1" applyAlignment="1">
      <alignment horizontal="center"/>
    </xf>
    <xf numFmtId="0" fontId="12398" fillId="12403" borderId="12350" xfId="0" applyFont="1" applyFill="1" applyBorder="1" applyAlignment="1">
      <alignment wrapText="1"/>
    </xf>
    <xf numFmtId="0" fontId="12399" fillId="12404" borderId="12351" xfId="0" applyFont="1" applyFill="1" applyBorder="1" applyAlignment="1">
      <alignment horizontal="center"/>
    </xf>
    <xf numFmtId="0" fontId="12400" fillId="12405" borderId="12352" xfId="0" applyFont="1" applyFill="1" applyBorder="1" applyAlignment="1">
      <alignment horizontal="center"/>
    </xf>
    <xf numFmtId="0" fontId="12401" fillId="12406" borderId="12353" xfId="0" applyFont="1" applyFill="1" applyBorder="1" applyAlignment="1">
      <alignment horizontal="center"/>
    </xf>
    <xf numFmtId="0" fontId="12402" fillId="12407" borderId="12354" xfId="0" applyFont="1" applyFill="1" applyBorder="1"/>
    <xf numFmtId="0" fontId="12403" fillId="12408" borderId="12355" xfId="0" applyFont="1" applyFill="1" applyBorder="1"/>
    <xf numFmtId="0" fontId="12404" fillId="12409" borderId="12356" xfId="0" applyFont="1" applyFill="1" applyBorder="1" applyAlignment="1">
      <alignment horizontal="center"/>
    </xf>
    <xf numFmtId="0" fontId="12405" fillId="12410" borderId="12357" xfId="0" applyFont="1" applyFill="1" applyBorder="1"/>
    <xf numFmtId="165" fontId="12406" fillId="12411" borderId="12358" xfId="0" applyNumberFormat="1" applyFont="1" applyFill="1" applyBorder="1"/>
    <xf numFmtId="0" fontId="12407" fillId="12412" borderId="12359" xfId="0" applyFont="1" applyFill="1" applyBorder="1" applyAlignment="1">
      <alignment horizontal="center"/>
    </xf>
    <xf numFmtId="0" fontId="12408" fillId="12413" borderId="12360" xfId="0" applyFont="1" applyFill="1" applyBorder="1" applyAlignment="1">
      <alignment wrapText="1"/>
    </xf>
    <xf numFmtId="0" fontId="12409" fillId="12414" borderId="12361" xfId="0" applyFont="1" applyFill="1" applyBorder="1" applyAlignment="1">
      <alignment horizontal="center"/>
    </xf>
    <xf numFmtId="0" fontId="12410" fillId="12415" borderId="12362" xfId="0" applyFont="1" applyFill="1" applyBorder="1" applyAlignment="1">
      <alignment horizontal="center"/>
    </xf>
    <xf numFmtId="0" fontId="12411" fillId="12416" borderId="12363" xfId="0" applyFont="1" applyFill="1" applyBorder="1" applyAlignment="1">
      <alignment horizontal="center"/>
    </xf>
    <xf numFmtId="0" fontId="12412" fillId="12417" borderId="12364" xfId="0" applyFont="1" applyFill="1" applyBorder="1"/>
    <xf numFmtId="0" fontId="12413" fillId="12418" borderId="12365" xfId="0" applyFont="1" applyFill="1" applyBorder="1"/>
    <xf numFmtId="0" fontId="12414" fillId="12419" borderId="12366" xfId="0" applyFont="1" applyFill="1" applyBorder="1" applyAlignment="1">
      <alignment horizontal="center"/>
    </xf>
    <xf numFmtId="0" fontId="12415" fillId="12420" borderId="12367" xfId="0" applyFont="1" applyFill="1" applyBorder="1"/>
    <xf numFmtId="165" fontId="12416" fillId="12421" borderId="12368" xfId="0" applyNumberFormat="1" applyFont="1" applyFill="1" applyBorder="1"/>
    <xf numFmtId="0" fontId="12417" fillId="12422" borderId="12369" xfId="0" applyFont="1" applyFill="1" applyBorder="1" applyAlignment="1">
      <alignment horizontal="center"/>
    </xf>
    <xf numFmtId="0" fontId="12418" fillId="12423" borderId="12370" xfId="0" applyFont="1" applyFill="1" applyBorder="1" applyAlignment="1">
      <alignment wrapText="1"/>
    </xf>
    <xf numFmtId="0" fontId="12419" fillId="12424" borderId="12371" xfId="0" applyFont="1" applyFill="1" applyBorder="1" applyAlignment="1">
      <alignment horizontal="center"/>
    </xf>
    <xf numFmtId="0" fontId="12420" fillId="12425" borderId="12372" xfId="0" applyFont="1" applyFill="1" applyBorder="1" applyAlignment="1">
      <alignment horizontal="center"/>
    </xf>
    <xf numFmtId="0" fontId="12421" fillId="12426" borderId="12373" xfId="0" applyFont="1" applyFill="1" applyBorder="1" applyAlignment="1">
      <alignment horizontal="center"/>
    </xf>
    <xf numFmtId="0" fontId="12422" fillId="12427" borderId="12374" xfId="0" applyFont="1" applyFill="1" applyBorder="1"/>
    <xf numFmtId="0" fontId="12423" fillId="12428" borderId="12375" xfId="0" applyFont="1" applyFill="1" applyBorder="1"/>
    <xf numFmtId="0" fontId="12424" fillId="12429" borderId="12376" xfId="0" applyFont="1" applyFill="1" applyBorder="1" applyAlignment="1">
      <alignment horizontal="center"/>
    </xf>
    <xf numFmtId="0" fontId="12425" fillId="12430" borderId="12377" xfId="0" applyFont="1" applyFill="1" applyBorder="1"/>
    <xf numFmtId="165" fontId="12426" fillId="12431" borderId="12378" xfId="0" applyNumberFormat="1" applyFont="1" applyFill="1" applyBorder="1"/>
    <xf numFmtId="0" fontId="12427" fillId="12432" borderId="12379" xfId="0" applyFont="1" applyFill="1" applyBorder="1" applyAlignment="1">
      <alignment horizontal="center"/>
    </xf>
    <xf numFmtId="0" fontId="12428" fillId="12433" borderId="12380" xfId="0" applyFont="1" applyFill="1" applyBorder="1" applyAlignment="1">
      <alignment wrapText="1"/>
    </xf>
    <xf numFmtId="0" fontId="12429" fillId="12434" borderId="12381" xfId="0" applyFont="1" applyFill="1" applyBorder="1" applyAlignment="1">
      <alignment horizontal="center"/>
    </xf>
    <xf numFmtId="0" fontId="12430" fillId="12435" borderId="12382" xfId="0" applyFont="1" applyFill="1" applyBorder="1" applyAlignment="1">
      <alignment horizontal="center"/>
    </xf>
    <xf numFmtId="0" fontId="12431" fillId="12436" borderId="12383" xfId="0" applyFont="1" applyFill="1" applyBorder="1" applyAlignment="1">
      <alignment horizontal="center"/>
    </xf>
    <xf numFmtId="0" fontId="12432" fillId="12437" borderId="12384" xfId="0" applyFont="1" applyFill="1" applyBorder="1"/>
    <xf numFmtId="0" fontId="12433" fillId="12438" borderId="12385" xfId="0" applyFont="1" applyFill="1" applyBorder="1"/>
    <xf numFmtId="0" fontId="12434" fillId="12439" borderId="12386" xfId="0" applyFont="1" applyFill="1" applyBorder="1" applyAlignment="1">
      <alignment horizontal="center"/>
    </xf>
    <xf numFmtId="0" fontId="12435" fillId="12440" borderId="12387" xfId="0" applyFont="1" applyFill="1" applyBorder="1"/>
    <xf numFmtId="165" fontId="12436" fillId="12441" borderId="12388" xfId="0" applyNumberFormat="1" applyFont="1" applyFill="1" applyBorder="1"/>
    <xf numFmtId="0" fontId="12437" fillId="12442" borderId="12389" xfId="0" applyFont="1" applyFill="1" applyBorder="1" applyAlignment="1">
      <alignment horizontal="center"/>
    </xf>
    <xf numFmtId="0" fontId="12438" fillId="12443" borderId="12390" xfId="0" applyFont="1" applyFill="1" applyBorder="1" applyAlignment="1">
      <alignment wrapText="1"/>
    </xf>
    <xf numFmtId="0" fontId="12439" fillId="12444" borderId="12391" xfId="0" applyFont="1" applyFill="1" applyBorder="1" applyAlignment="1">
      <alignment horizontal="center"/>
    </xf>
    <xf numFmtId="0" fontId="12440" fillId="12445" borderId="12392" xfId="0" applyFont="1" applyFill="1" applyBorder="1" applyAlignment="1">
      <alignment horizontal="center"/>
    </xf>
    <xf numFmtId="0" fontId="12441" fillId="12446" borderId="12393" xfId="0" applyFont="1" applyFill="1" applyBorder="1" applyAlignment="1">
      <alignment horizontal="center"/>
    </xf>
    <xf numFmtId="0" fontId="12442" fillId="12447" borderId="12394" xfId="0" applyFont="1" applyFill="1" applyBorder="1"/>
    <xf numFmtId="0" fontId="12443" fillId="12448" borderId="12395" xfId="0" applyFont="1" applyFill="1" applyBorder="1"/>
    <xf numFmtId="0" fontId="12444" fillId="12449" borderId="12396" xfId="0" applyFont="1" applyFill="1" applyBorder="1" applyAlignment="1">
      <alignment horizontal="center"/>
    </xf>
    <xf numFmtId="0" fontId="12445" fillId="12450" borderId="12397" xfId="0" applyFont="1" applyFill="1" applyBorder="1"/>
    <xf numFmtId="165" fontId="12446" fillId="12451" borderId="12398" xfId="0" applyNumberFormat="1" applyFont="1" applyFill="1" applyBorder="1"/>
    <xf numFmtId="0" fontId="12447" fillId="12452" borderId="12399" xfId="0" applyFont="1" applyFill="1" applyBorder="1" applyAlignment="1">
      <alignment horizontal="center"/>
    </xf>
    <xf numFmtId="0" fontId="12448" fillId="12453" borderId="12400" xfId="0" applyFont="1" applyFill="1" applyBorder="1" applyAlignment="1">
      <alignment wrapText="1"/>
    </xf>
    <xf numFmtId="0" fontId="12449" fillId="12454" borderId="12401" xfId="0" applyFont="1" applyFill="1" applyBorder="1" applyAlignment="1">
      <alignment horizontal="center"/>
    </xf>
    <xf numFmtId="0" fontId="12450" fillId="12455" borderId="12402" xfId="0" applyFont="1" applyFill="1" applyBorder="1" applyAlignment="1">
      <alignment horizontal="center"/>
    </xf>
    <xf numFmtId="0" fontId="12451" fillId="12456" borderId="12403" xfId="0" applyFont="1" applyFill="1" applyBorder="1" applyAlignment="1">
      <alignment horizontal="center"/>
    </xf>
    <xf numFmtId="0" fontId="12452" fillId="12457" borderId="12404" xfId="0" applyFont="1" applyFill="1" applyBorder="1"/>
    <xf numFmtId="0" fontId="12453" fillId="12458" borderId="12405" xfId="0" applyFont="1" applyFill="1" applyBorder="1"/>
    <xf numFmtId="0" fontId="12454" fillId="12459" borderId="12406" xfId="0" applyFont="1" applyFill="1" applyBorder="1" applyAlignment="1">
      <alignment horizontal="center"/>
    </xf>
    <xf numFmtId="0" fontId="12455" fillId="12460" borderId="12407" xfId="0" applyFont="1" applyFill="1" applyBorder="1"/>
    <xf numFmtId="165" fontId="12456" fillId="12461" borderId="12408" xfId="0" applyNumberFormat="1" applyFont="1" applyFill="1" applyBorder="1"/>
    <xf numFmtId="0" fontId="12457" fillId="12462" borderId="12409" xfId="0" applyFont="1" applyFill="1" applyBorder="1" applyAlignment="1">
      <alignment horizontal="center"/>
    </xf>
    <xf numFmtId="0" fontId="12458" fillId="12463" borderId="12410" xfId="0" applyFont="1" applyFill="1" applyBorder="1" applyAlignment="1">
      <alignment wrapText="1"/>
    </xf>
    <xf numFmtId="0" fontId="12459" fillId="12464" borderId="12411" xfId="0" applyFont="1" applyFill="1" applyBorder="1" applyAlignment="1">
      <alignment horizontal="center"/>
    </xf>
    <xf numFmtId="0" fontId="12460" fillId="12465" borderId="12412" xfId="0" applyFont="1" applyFill="1" applyBorder="1" applyAlignment="1">
      <alignment horizontal="center"/>
    </xf>
    <xf numFmtId="0" fontId="12461" fillId="12466" borderId="12413" xfId="0" applyFont="1" applyFill="1" applyBorder="1" applyAlignment="1">
      <alignment horizontal="center"/>
    </xf>
    <xf numFmtId="0" fontId="12462" fillId="12467" borderId="12414" xfId="0" applyFont="1" applyFill="1" applyBorder="1"/>
    <xf numFmtId="0" fontId="12463" fillId="12468" borderId="12415" xfId="0" applyFont="1" applyFill="1" applyBorder="1"/>
    <xf numFmtId="0" fontId="12464" fillId="12469" borderId="12416" xfId="0" applyFont="1" applyFill="1" applyBorder="1" applyAlignment="1">
      <alignment horizontal="center"/>
    </xf>
    <xf numFmtId="0" fontId="12465" fillId="12470" borderId="12417" xfId="0" applyFont="1" applyFill="1" applyBorder="1"/>
    <xf numFmtId="165" fontId="12466" fillId="12471" borderId="12418" xfId="0" applyNumberFormat="1" applyFont="1" applyFill="1" applyBorder="1"/>
    <xf numFmtId="0" fontId="12467" fillId="12472" borderId="12419" xfId="0" applyFont="1" applyFill="1" applyBorder="1" applyAlignment="1">
      <alignment horizontal="center"/>
    </xf>
    <xf numFmtId="0" fontId="12468" fillId="12473" borderId="12420" xfId="0" applyFont="1" applyFill="1" applyBorder="1" applyAlignment="1">
      <alignment wrapText="1"/>
    </xf>
    <xf numFmtId="0" fontId="12469" fillId="12474" borderId="12421" xfId="0" applyFont="1" applyFill="1" applyBorder="1" applyAlignment="1">
      <alignment horizontal="center"/>
    </xf>
    <xf numFmtId="0" fontId="12470" fillId="12475" borderId="12422" xfId="0" applyFont="1" applyFill="1" applyBorder="1" applyAlignment="1">
      <alignment horizontal="center"/>
    </xf>
    <xf numFmtId="0" fontId="12471" fillId="12476" borderId="12423" xfId="0" applyFont="1" applyFill="1" applyBorder="1" applyAlignment="1">
      <alignment horizontal="center"/>
    </xf>
    <xf numFmtId="0" fontId="12472" fillId="12477" borderId="12424" xfId="0" applyFont="1" applyFill="1" applyBorder="1"/>
    <xf numFmtId="0" fontId="12473" fillId="12478" borderId="12425" xfId="0" applyFont="1" applyFill="1" applyBorder="1"/>
    <xf numFmtId="0" fontId="12474" fillId="12479" borderId="12426" xfId="0" applyFont="1" applyFill="1" applyBorder="1" applyAlignment="1">
      <alignment horizontal="center"/>
    </xf>
    <xf numFmtId="0" fontId="12475" fillId="12480" borderId="12427" xfId="0" applyFont="1" applyFill="1" applyBorder="1"/>
    <xf numFmtId="165" fontId="12476" fillId="12481" borderId="12428" xfId="0" applyNumberFormat="1" applyFont="1" applyFill="1" applyBorder="1"/>
    <xf numFmtId="0" fontId="12477" fillId="12482" borderId="12429" xfId="0" applyFont="1" applyFill="1" applyBorder="1" applyAlignment="1">
      <alignment horizontal="center"/>
    </xf>
    <xf numFmtId="0" fontId="12478" fillId="12483" borderId="12430" xfId="0" applyFont="1" applyFill="1" applyBorder="1" applyAlignment="1">
      <alignment wrapText="1"/>
    </xf>
    <xf numFmtId="0" fontId="12479" fillId="12484" borderId="12431" xfId="0" applyFont="1" applyFill="1" applyBorder="1" applyAlignment="1">
      <alignment horizontal="center"/>
    </xf>
    <xf numFmtId="0" fontId="12480" fillId="12485" borderId="12432" xfId="0" applyFont="1" applyFill="1" applyBorder="1" applyAlignment="1">
      <alignment horizontal="center"/>
    </xf>
    <xf numFmtId="0" fontId="12481" fillId="12486" borderId="12433" xfId="0" applyFont="1" applyFill="1" applyBorder="1" applyAlignment="1">
      <alignment horizontal="center"/>
    </xf>
    <xf numFmtId="0" fontId="12482" fillId="12487" borderId="12434" xfId="0" applyFont="1" applyFill="1" applyBorder="1"/>
    <xf numFmtId="0" fontId="12483" fillId="12488" borderId="12435" xfId="0" applyFont="1" applyFill="1" applyBorder="1"/>
    <xf numFmtId="0" fontId="12484" fillId="12489" borderId="12436" xfId="0" applyFont="1" applyFill="1" applyBorder="1" applyAlignment="1">
      <alignment horizontal="center"/>
    </xf>
    <xf numFmtId="0" fontId="12485" fillId="12490" borderId="12437" xfId="0" applyFont="1" applyFill="1" applyBorder="1"/>
    <xf numFmtId="165" fontId="12486" fillId="12491" borderId="12438" xfId="0" applyNumberFormat="1" applyFont="1" applyFill="1" applyBorder="1"/>
    <xf numFmtId="0" fontId="12487" fillId="12492" borderId="12439" xfId="0" applyFont="1" applyFill="1" applyBorder="1" applyAlignment="1">
      <alignment horizontal="center"/>
    </xf>
    <xf numFmtId="0" fontId="12488" fillId="12493" borderId="12440" xfId="0" applyFont="1" applyFill="1" applyBorder="1" applyAlignment="1">
      <alignment wrapText="1"/>
    </xf>
    <xf numFmtId="0" fontId="12489" fillId="12494" borderId="12441" xfId="0" applyFont="1" applyFill="1" applyBorder="1" applyAlignment="1">
      <alignment horizontal="center"/>
    </xf>
    <xf numFmtId="0" fontId="12490" fillId="12495" borderId="12442" xfId="0" applyFont="1" applyFill="1" applyBorder="1" applyAlignment="1">
      <alignment horizontal="center"/>
    </xf>
    <xf numFmtId="0" fontId="12491" fillId="12496" borderId="12443" xfId="0" applyFont="1" applyFill="1" applyBorder="1" applyAlignment="1">
      <alignment horizontal="center"/>
    </xf>
    <xf numFmtId="0" fontId="12492" fillId="12497" borderId="12444" xfId="0" applyFont="1" applyFill="1" applyBorder="1"/>
    <xf numFmtId="0" fontId="12493" fillId="12498" borderId="12445" xfId="0" applyFont="1" applyFill="1" applyBorder="1"/>
    <xf numFmtId="0" fontId="12494" fillId="12499" borderId="12446" xfId="0" applyFont="1" applyFill="1" applyBorder="1" applyAlignment="1">
      <alignment horizontal="center"/>
    </xf>
    <xf numFmtId="0" fontId="12495" fillId="12500" borderId="12447" xfId="0" applyFont="1" applyFill="1" applyBorder="1"/>
    <xf numFmtId="165" fontId="12496" fillId="12501" borderId="12448" xfId="0" applyNumberFormat="1" applyFont="1" applyFill="1" applyBorder="1"/>
    <xf numFmtId="0" fontId="12497" fillId="12502" borderId="12449" xfId="0" applyFont="1" applyFill="1" applyBorder="1" applyAlignment="1">
      <alignment horizontal="center"/>
    </xf>
    <xf numFmtId="0" fontId="12498" fillId="12503" borderId="12450" xfId="0" applyFont="1" applyFill="1" applyBorder="1" applyAlignment="1">
      <alignment wrapText="1"/>
    </xf>
    <xf numFmtId="0" fontId="12499" fillId="12504" borderId="12451" xfId="0" applyFont="1" applyFill="1" applyBorder="1"/>
    <xf numFmtId="165" fontId="12500" fillId="12505" borderId="12452" xfId="0" applyNumberFormat="1" applyFont="1" applyFill="1" applyBorder="1"/>
    <xf numFmtId="0" fontId="12502" fillId="12507" borderId="12454" xfId="0" applyFont="1" applyFill="1" applyBorder="1" applyAlignment="1">
      <alignment horizontal="center"/>
    </xf>
    <xf numFmtId="0" fontId="12503" fillId="12508" borderId="12455" xfId="0" applyFont="1" applyFill="1" applyBorder="1" applyAlignment="1">
      <alignment horizontal="center"/>
    </xf>
    <xf numFmtId="0" fontId="12504" fillId="12509" borderId="12456" xfId="0" applyFont="1" applyFill="1" applyBorder="1" applyAlignment="1">
      <alignment horizontal="center"/>
    </xf>
    <xf numFmtId="0" fontId="12505" fillId="12510" borderId="12457" xfId="0" applyFont="1" applyFill="1" applyBorder="1"/>
    <xf numFmtId="0" fontId="12506" fillId="12511" borderId="12458" xfId="0" applyFont="1" applyFill="1" applyBorder="1"/>
    <xf numFmtId="0" fontId="12507" fillId="12512" borderId="12459" xfId="0" applyFont="1" applyFill="1" applyBorder="1" applyAlignment="1">
      <alignment horizontal="center"/>
    </xf>
    <xf numFmtId="0" fontId="12508" fillId="12513" borderId="12460" xfId="0" applyFont="1" applyFill="1" applyBorder="1"/>
    <xf numFmtId="165" fontId="12509" fillId="12514" borderId="12461" xfId="0" applyNumberFormat="1" applyFont="1" applyFill="1" applyBorder="1"/>
    <xf numFmtId="0" fontId="12510" fillId="12515" borderId="12462" xfId="0" applyFont="1" applyFill="1" applyBorder="1" applyAlignment="1">
      <alignment horizontal="center"/>
    </xf>
    <xf numFmtId="0" fontId="12511" fillId="12516" borderId="12463" xfId="0" applyFont="1" applyFill="1" applyBorder="1" applyAlignment="1">
      <alignment wrapText="1"/>
    </xf>
    <xf numFmtId="0" fontId="12512" fillId="12517" borderId="12464" xfId="0" applyFont="1" applyFill="1" applyBorder="1" applyAlignment="1">
      <alignment horizontal="center"/>
    </xf>
    <xf numFmtId="0" fontId="12513" fillId="12518" borderId="12465" xfId="0" applyFont="1" applyFill="1" applyBorder="1" applyAlignment="1">
      <alignment horizontal="center"/>
    </xf>
    <xf numFmtId="0" fontId="12514" fillId="12519" borderId="12466" xfId="0" applyFont="1" applyFill="1" applyBorder="1" applyAlignment="1">
      <alignment horizontal="center"/>
    </xf>
    <xf numFmtId="0" fontId="12515" fillId="12520" borderId="12467" xfId="0" applyFont="1" applyFill="1" applyBorder="1"/>
    <xf numFmtId="0" fontId="12516" fillId="12521" borderId="12468" xfId="0" applyFont="1" applyFill="1" applyBorder="1"/>
    <xf numFmtId="0" fontId="12517" fillId="12522" borderId="12469" xfId="0" applyFont="1" applyFill="1" applyBorder="1" applyAlignment="1">
      <alignment horizontal="center"/>
    </xf>
    <xf numFmtId="0" fontId="12518" fillId="12523" borderId="12470" xfId="0" applyFont="1" applyFill="1" applyBorder="1"/>
    <xf numFmtId="165" fontId="12519" fillId="12524" borderId="12471" xfId="0" applyNumberFormat="1" applyFont="1" applyFill="1" applyBorder="1"/>
    <xf numFmtId="0" fontId="12520" fillId="12525" borderId="12472" xfId="0" applyFont="1" applyFill="1" applyBorder="1" applyAlignment="1">
      <alignment horizontal="center"/>
    </xf>
    <xf numFmtId="0" fontId="12521" fillId="12526" borderId="12473" xfId="0" applyFont="1" applyFill="1" applyBorder="1" applyAlignment="1">
      <alignment wrapText="1"/>
    </xf>
    <xf numFmtId="0" fontId="12522" fillId="12527" borderId="12474" xfId="0" applyFont="1" applyFill="1" applyBorder="1" applyAlignment="1">
      <alignment horizontal="center"/>
    </xf>
    <xf numFmtId="0" fontId="12523" fillId="12528" borderId="12475" xfId="0" applyFont="1" applyFill="1" applyBorder="1" applyAlignment="1">
      <alignment horizontal="center"/>
    </xf>
    <xf numFmtId="0" fontId="12524" fillId="12529" borderId="12476" xfId="0" applyFont="1" applyFill="1" applyBorder="1" applyAlignment="1">
      <alignment horizontal="center"/>
    </xf>
    <xf numFmtId="0" fontId="12525" fillId="12530" borderId="12477" xfId="0" applyFont="1" applyFill="1" applyBorder="1"/>
    <xf numFmtId="0" fontId="12526" fillId="12531" borderId="12478" xfId="0" applyFont="1" applyFill="1" applyBorder="1"/>
    <xf numFmtId="0" fontId="12527" fillId="12532" borderId="12479" xfId="0" applyFont="1" applyFill="1" applyBorder="1" applyAlignment="1">
      <alignment horizontal="center"/>
    </xf>
    <xf numFmtId="0" fontId="12528" fillId="12533" borderId="12480" xfId="0" applyFont="1" applyFill="1" applyBorder="1"/>
    <xf numFmtId="165" fontId="12529" fillId="12534" borderId="12481" xfId="0" applyNumberFormat="1" applyFont="1" applyFill="1" applyBorder="1"/>
    <xf numFmtId="0" fontId="12530" fillId="12535" borderId="12482" xfId="0" applyFont="1" applyFill="1" applyBorder="1" applyAlignment="1">
      <alignment horizontal="center"/>
    </xf>
    <xf numFmtId="0" fontId="12531" fillId="12536" borderId="12483" xfId="0" applyFont="1" applyFill="1" applyBorder="1" applyAlignment="1">
      <alignment wrapText="1"/>
    </xf>
    <xf numFmtId="0" fontId="12532" fillId="12537" borderId="12484" xfId="0" applyFont="1" applyFill="1" applyBorder="1" applyAlignment="1">
      <alignment horizontal="center"/>
    </xf>
    <xf numFmtId="0" fontId="12533" fillId="12538" borderId="12485" xfId="0" applyFont="1" applyFill="1" applyBorder="1" applyAlignment="1">
      <alignment horizontal="center"/>
    </xf>
    <xf numFmtId="0" fontId="12534" fillId="12539" borderId="12486" xfId="0" applyFont="1" applyFill="1" applyBorder="1" applyAlignment="1">
      <alignment horizontal="center"/>
    </xf>
    <xf numFmtId="0" fontId="12535" fillId="12540" borderId="12487" xfId="0" applyFont="1" applyFill="1" applyBorder="1"/>
    <xf numFmtId="0" fontId="12536" fillId="12541" borderId="12488" xfId="0" applyFont="1" applyFill="1" applyBorder="1"/>
    <xf numFmtId="0" fontId="12537" fillId="12542" borderId="12489" xfId="0" applyFont="1" applyFill="1" applyBorder="1" applyAlignment="1">
      <alignment horizontal="center"/>
    </xf>
    <xf numFmtId="0" fontId="12538" fillId="12543" borderId="12490" xfId="0" applyFont="1" applyFill="1" applyBorder="1"/>
    <xf numFmtId="165" fontId="12539" fillId="12544" borderId="12491" xfId="0" applyNumberFormat="1" applyFont="1" applyFill="1" applyBorder="1"/>
    <xf numFmtId="0" fontId="12540" fillId="12545" borderId="12492" xfId="0" applyFont="1" applyFill="1" applyBorder="1" applyAlignment="1">
      <alignment horizontal="center"/>
    </xf>
    <xf numFmtId="0" fontId="12541" fillId="12546" borderId="12493" xfId="0" applyFont="1" applyFill="1" applyBorder="1" applyAlignment="1">
      <alignment wrapText="1"/>
    </xf>
    <xf numFmtId="0" fontId="12542" fillId="12547" borderId="12494" xfId="0" applyFont="1" applyFill="1" applyBorder="1"/>
    <xf numFmtId="165" fontId="12543" fillId="12548" borderId="12495" xfId="0" applyNumberFormat="1" applyFont="1" applyFill="1" applyBorder="1"/>
    <xf numFmtId="0" fontId="12545" fillId="12550" borderId="12497" xfId="0" applyFont="1" applyFill="1" applyBorder="1" applyAlignment="1">
      <alignment horizontal="center"/>
    </xf>
    <xf numFmtId="0" fontId="12546" fillId="12551" borderId="12498" xfId="0" applyFont="1" applyFill="1" applyBorder="1" applyAlignment="1">
      <alignment horizontal="center"/>
    </xf>
    <xf numFmtId="0" fontId="12547" fillId="12552" borderId="12499" xfId="0" applyFont="1" applyFill="1" applyBorder="1" applyAlignment="1">
      <alignment horizontal="center"/>
    </xf>
    <xf numFmtId="0" fontId="12548" fillId="12553" borderId="12500" xfId="0" applyFont="1" applyFill="1" applyBorder="1"/>
    <xf numFmtId="0" fontId="12549" fillId="12554" borderId="12501" xfId="0" applyFont="1" applyFill="1" applyBorder="1"/>
    <xf numFmtId="0" fontId="12550" fillId="12555" borderId="12502" xfId="0" applyFont="1" applyFill="1" applyBorder="1" applyAlignment="1">
      <alignment horizontal="center"/>
    </xf>
    <xf numFmtId="0" fontId="12551" fillId="12556" borderId="12503" xfId="0" applyFont="1" applyFill="1" applyBorder="1"/>
    <xf numFmtId="165" fontId="12552" fillId="12557" borderId="12504" xfId="0" applyNumberFormat="1" applyFont="1" applyFill="1" applyBorder="1"/>
    <xf numFmtId="0" fontId="12553" fillId="12558" borderId="12505" xfId="0" applyFont="1" applyFill="1" applyBorder="1" applyAlignment="1">
      <alignment horizontal="center"/>
    </xf>
    <xf numFmtId="0" fontId="12554" fillId="12559" borderId="12506" xfId="0" applyFont="1" applyFill="1" applyBorder="1" applyAlignment="1">
      <alignment wrapText="1"/>
    </xf>
    <xf numFmtId="0" fontId="12555" fillId="12560" borderId="12507" xfId="0" applyFont="1" applyFill="1" applyBorder="1" applyAlignment="1">
      <alignment horizontal="center"/>
    </xf>
    <xf numFmtId="0" fontId="12556" fillId="12561" borderId="12508" xfId="0" applyFont="1" applyFill="1" applyBorder="1" applyAlignment="1">
      <alignment horizontal="center"/>
    </xf>
    <xf numFmtId="0" fontId="12557" fillId="12562" borderId="12509" xfId="0" applyFont="1" applyFill="1" applyBorder="1" applyAlignment="1">
      <alignment horizontal="center"/>
    </xf>
    <xf numFmtId="0" fontId="12558" fillId="12563" borderId="12510" xfId="0" applyFont="1" applyFill="1" applyBorder="1"/>
    <xf numFmtId="0" fontId="12559" fillId="12564" borderId="12511" xfId="0" applyFont="1" applyFill="1" applyBorder="1"/>
    <xf numFmtId="0" fontId="12560" fillId="12565" borderId="12512" xfId="0" applyFont="1" applyFill="1" applyBorder="1" applyAlignment="1">
      <alignment horizontal="center"/>
    </xf>
    <xf numFmtId="0" fontId="12561" fillId="12566" borderId="12513" xfId="0" applyFont="1" applyFill="1" applyBorder="1"/>
    <xf numFmtId="165" fontId="12562" fillId="12567" borderId="12514" xfId="0" applyNumberFormat="1" applyFont="1" applyFill="1" applyBorder="1"/>
    <xf numFmtId="0" fontId="12563" fillId="12568" borderId="12515" xfId="0" applyFont="1" applyFill="1" applyBorder="1" applyAlignment="1">
      <alignment horizontal="center"/>
    </xf>
    <xf numFmtId="0" fontId="12564" fillId="12569" borderId="12516" xfId="0" applyFont="1" applyFill="1" applyBorder="1" applyAlignment="1">
      <alignment wrapText="1"/>
    </xf>
    <xf numFmtId="0" fontId="12565" fillId="12570" borderId="12517" xfId="0" applyFont="1" applyFill="1" applyBorder="1" applyAlignment="1">
      <alignment horizontal="center"/>
    </xf>
    <xf numFmtId="0" fontId="12566" fillId="12571" borderId="12518" xfId="0" applyFont="1" applyFill="1" applyBorder="1" applyAlignment="1">
      <alignment horizontal="center"/>
    </xf>
    <xf numFmtId="0" fontId="12567" fillId="12572" borderId="12519" xfId="0" applyFont="1" applyFill="1" applyBorder="1" applyAlignment="1">
      <alignment horizontal="center"/>
    </xf>
    <xf numFmtId="0" fontId="12568" fillId="12573" borderId="12520" xfId="0" applyFont="1" applyFill="1" applyBorder="1"/>
    <xf numFmtId="0" fontId="12569" fillId="12574" borderId="12521" xfId="0" applyFont="1" applyFill="1" applyBorder="1"/>
    <xf numFmtId="0" fontId="12570" fillId="12575" borderId="12522" xfId="0" applyFont="1" applyFill="1" applyBorder="1" applyAlignment="1">
      <alignment horizontal="center"/>
    </xf>
    <xf numFmtId="0" fontId="12571" fillId="12576" borderId="12523" xfId="0" applyFont="1" applyFill="1" applyBorder="1"/>
    <xf numFmtId="165" fontId="12572" fillId="12577" borderId="12524" xfId="0" applyNumberFormat="1" applyFont="1" applyFill="1" applyBorder="1"/>
    <xf numFmtId="0" fontId="12573" fillId="12578" borderId="12525" xfId="0" applyFont="1" applyFill="1" applyBorder="1" applyAlignment="1">
      <alignment horizontal="center"/>
    </xf>
    <xf numFmtId="0" fontId="12574" fillId="12579" borderId="12526" xfId="0" applyFont="1" applyFill="1" applyBorder="1" applyAlignment="1">
      <alignment wrapText="1"/>
    </xf>
    <xf numFmtId="0" fontId="12575" fillId="12580" borderId="12527" xfId="0" applyFont="1" applyFill="1" applyBorder="1" applyAlignment="1">
      <alignment horizontal="center"/>
    </xf>
    <xf numFmtId="0" fontId="12576" fillId="12581" borderId="12528" xfId="0" applyFont="1" applyFill="1" applyBorder="1" applyAlignment="1">
      <alignment horizontal="center"/>
    </xf>
    <xf numFmtId="0" fontId="12577" fillId="12582" borderId="12529" xfId="0" applyFont="1" applyFill="1" applyBorder="1" applyAlignment="1">
      <alignment horizontal="center"/>
    </xf>
    <xf numFmtId="0" fontId="12578" fillId="12583" borderId="12530" xfId="0" applyFont="1" applyFill="1" applyBorder="1"/>
    <xf numFmtId="0" fontId="12579" fillId="12584" borderId="12531" xfId="0" applyFont="1" applyFill="1" applyBorder="1"/>
    <xf numFmtId="0" fontId="12580" fillId="12585" borderId="12532" xfId="0" applyFont="1" applyFill="1" applyBorder="1" applyAlignment="1">
      <alignment horizontal="center"/>
    </xf>
    <xf numFmtId="0" fontId="12581" fillId="12586" borderId="12533" xfId="0" applyFont="1" applyFill="1" applyBorder="1"/>
    <xf numFmtId="165" fontId="12582" fillId="12587" borderId="12534" xfId="0" applyNumberFormat="1" applyFont="1" applyFill="1" applyBorder="1"/>
    <xf numFmtId="0" fontId="12583" fillId="12588" borderId="12535" xfId="0" applyFont="1" applyFill="1" applyBorder="1" applyAlignment="1">
      <alignment horizontal="center"/>
    </xf>
    <xf numFmtId="0" fontId="12584" fillId="12589" borderId="12536" xfId="0" applyFont="1" applyFill="1" applyBorder="1" applyAlignment="1">
      <alignment wrapText="1"/>
    </xf>
    <xf numFmtId="0" fontId="12585" fillId="12590" borderId="12537" xfId="0" applyFont="1" applyFill="1" applyBorder="1" applyAlignment="1">
      <alignment horizontal="center"/>
    </xf>
    <xf numFmtId="0" fontId="12586" fillId="12591" borderId="12538" xfId="0" applyFont="1" applyFill="1" applyBorder="1" applyAlignment="1">
      <alignment horizontal="center"/>
    </xf>
    <xf numFmtId="0" fontId="12587" fillId="12592" borderId="12539" xfId="0" applyFont="1" applyFill="1" applyBorder="1" applyAlignment="1">
      <alignment horizontal="center"/>
    </xf>
    <xf numFmtId="0" fontId="12588" fillId="12593" borderId="12540" xfId="0" applyFont="1" applyFill="1" applyBorder="1"/>
    <xf numFmtId="0" fontId="12589" fillId="12594" borderId="12541" xfId="0" applyFont="1" applyFill="1" applyBorder="1"/>
    <xf numFmtId="0" fontId="12590" fillId="12595" borderId="12542" xfId="0" applyFont="1" applyFill="1" applyBorder="1" applyAlignment="1">
      <alignment horizontal="center"/>
    </xf>
    <xf numFmtId="0" fontId="12591" fillId="12596" borderId="12543" xfId="0" applyFont="1" applyFill="1" applyBorder="1"/>
    <xf numFmtId="165" fontId="12592" fillId="12597" borderId="12544" xfId="0" applyNumberFormat="1" applyFont="1" applyFill="1" applyBorder="1"/>
    <xf numFmtId="0" fontId="12593" fillId="12598" borderId="12545" xfId="0" applyFont="1" applyFill="1" applyBorder="1" applyAlignment="1">
      <alignment horizontal="center"/>
    </xf>
    <xf numFmtId="0" fontId="12594" fillId="12599" borderId="12546" xfId="0" applyFont="1" applyFill="1" applyBorder="1" applyAlignment="1">
      <alignment wrapText="1"/>
    </xf>
    <xf numFmtId="0" fontId="12595" fillId="12600" borderId="12547" xfId="0" applyFont="1" applyFill="1" applyBorder="1" applyAlignment="1">
      <alignment horizontal="center"/>
    </xf>
    <xf numFmtId="0" fontId="12596" fillId="12601" borderId="12548" xfId="0" applyFont="1" applyFill="1" applyBorder="1" applyAlignment="1">
      <alignment horizontal="center"/>
    </xf>
    <xf numFmtId="0" fontId="12597" fillId="12602" borderId="12549" xfId="0" applyFont="1" applyFill="1" applyBorder="1" applyAlignment="1">
      <alignment horizontal="center"/>
    </xf>
    <xf numFmtId="0" fontId="12598" fillId="12603" borderId="12550" xfId="0" applyFont="1" applyFill="1" applyBorder="1"/>
    <xf numFmtId="0" fontId="12599" fillId="12604" borderId="12551" xfId="0" applyFont="1" applyFill="1" applyBorder="1"/>
    <xf numFmtId="0" fontId="12600" fillId="12605" borderId="12552" xfId="0" applyFont="1" applyFill="1" applyBorder="1" applyAlignment="1">
      <alignment horizontal="center"/>
    </xf>
    <xf numFmtId="0" fontId="12601" fillId="12606" borderId="12553" xfId="0" applyFont="1" applyFill="1" applyBorder="1"/>
    <xf numFmtId="165" fontId="12602" fillId="12607" borderId="12554" xfId="0" applyNumberFormat="1" applyFont="1" applyFill="1" applyBorder="1"/>
    <xf numFmtId="0" fontId="12603" fillId="12608" borderId="12555" xfId="0" applyFont="1" applyFill="1" applyBorder="1" applyAlignment="1">
      <alignment horizontal="center"/>
    </xf>
    <xf numFmtId="0" fontId="12604" fillId="12609" borderId="12556" xfId="0" applyFont="1" applyFill="1" applyBorder="1" applyAlignment="1">
      <alignment wrapText="1"/>
    </xf>
    <xf numFmtId="0" fontId="12605" fillId="12610" borderId="12557" xfId="0" applyFont="1" applyFill="1" applyBorder="1"/>
    <xf numFmtId="165" fontId="12606" fillId="12611" borderId="12558" xfId="0" applyNumberFormat="1" applyFont="1" applyFill="1" applyBorder="1"/>
    <xf numFmtId="0" fontId="12607" fillId="12612" borderId="12559" xfId="0" applyFont="1" applyFill="1" applyBorder="1"/>
    <xf numFmtId="165" fontId="12608" fillId="12613" borderId="12560" xfId="0" applyNumberFormat="1" applyFont="1" applyFill="1" applyBorder="1"/>
    <xf numFmtId="0" fontId="12610" fillId="12615" borderId="12562" xfId="0" applyFont="1" applyFill="1" applyBorder="1" applyAlignment="1">
      <alignment horizontal="center" wrapText="1"/>
    </xf>
    <xf numFmtId="0" fontId="12611" fillId="12616" borderId="12563" xfId="0" applyFont="1" applyFill="1" applyBorder="1" applyAlignment="1">
      <alignment horizontal="center" wrapText="1"/>
    </xf>
    <xf numFmtId="0" fontId="12612" fillId="12617" borderId="12564" xfId="0" applyFont="1" applyFill="1" applyBorder="1" applyAlignment="1">
      <alignment horizontal="center" wrapText="1"/>
    </xf>
    <xf numFmtId="0" fontId="12613" fillId="12618" borderId="12565" xfId="0" applyFont="1" applyFill="1" applyBorder="1" applyAlignment="1">
      <alignment horizontal="center" wrapText="1"/>
    </xf>
    <xf numFmtId="0" fontId="12614" fillId="12619" borderId="12566" xfId="0" applyFont="1" applyFill="1" applyBorder="1" applyAlignment="1">
      <alignment horizontal="center" wrapText="1"/>
    </xf>
    <xf numFmtId="0" fontId="12615" fillId="12620" borderId="12567" xfId="0" applyFont="1" applyFill="1" applyBorder="1" applyAlignment="1">
      <alignment horizontal="center" wrapText="1"/>
    </xf>
    <xf numFmtId="0" fontId="12616" fillId="12621" borderId="12568" xfId="0" applyFont="1" applyFill="1" applyBorder="1" applyAlignment="1">
      <alignment horizontal="center" wrapText="1"/>
    </xf>
    <xf numFmtId="0" fontId="12617" fillId="12622" borderId="12569" xfId="0" applyFont="1" applyFill="1" applyBorder="1" applyAlignment="1">
      <alignment horizontal="center" wrapText="1"/>
    </xf>
    <xf numFmtId="0" fontId="12618" fillId="12623" borderId="12570" xfId="0" applyFont="1" applyFill="1" applyBorder="1" applyAlignment="1">
      <alignment horizontal="center" wrapText="1"/>
    </xf>
    <xf numFmtId="0" fontId="12619" fillId="12624" borderId="12571" xfId="0" applyFont="1" applyFill="1" applyBorder="1" applyAlignment="1">
      <alignment horizontal="center" wrapText="1"/>
    </xf>
    <xf numFmtId="0" fontId="12620" fillId="12625" borderId="12572" xfId="0" applyFont="1" applyFill="1" applyBorder="1" applyAlignment="1">
      <alignment horizontal="center" wrapText="1"/>
    </xf>
    <xf numFmtId="0" fontId="12621" fillId="12626" borderId="12573" xfId="0" applyFont="1" applyFill="1" applyBorder="1" applyAlignment="1">
      <alignment horizontal="center" wrapText="1"/>
    </xf>
    <xf numFmtId="0" fontId="12622" fillId="12627" borderId="12574" xfId="0" applyFont="1" applyFill="1" applyBorder="1" applyAlignment="1">
      <alignment horizontal="center" wrapText="1"/>
    </xf>
    <xf numFmtId="0" fontId="12623" fillId="12628" borderId="12575" xfId="0" applyFont="1" applyFill="1" applyBorder="1" applyAlignment="1">
      <alignment horizontal="center" wrapText="1"/>
    </xf>
    <xf numFmtId="0" fontId="12624" fillId="12629" borderId="12576" xfId="0" applyFont="1" applyFill="1" applyBorder="1" applyAlignment="1">
      <alignment horizontal="center" wrapText="1"/>
    </xf>
    <xf numFmtId="0" fontId="12625" fillId="12630" borderId="12577" xfId="0" applyFont="1" applyFill="1" applyBorder="1" applyAlignment="1">
      <alignment horizontal="center"/>
    </xf>
    <xf numFmtId="14" fontId="12626" fillId="12631" borderId="12578" xfId="0" applyNumberFormat="1" applyFont="1" applyFill="1" applyBorder="1"/>
    <xf numFmtId="0" fontId="12627" fillId="12632" borderId="12579" xfId="0" applyFont="1" applyFill="1" applyBorder="1" applyAlignment="1">
      <alignment horizontal="center"/>
    </xf>
    <xf numFmtId="0" fontId="12628" fillId="12633" borderId="12580" xfId="0" applyFont="1" applyFill="1" applyBorder="1"/>
    <xf numFmtId="0" fontId="12629" fillId="12634" borderId="12581" xfId="0" applyFont="1" applyFill="1" applyBorder="1"/>
    <xf numFmtId="165" fontId="12630" fillId="12635" borderId="12582" xfId="0" applyNumberFormat="1" applyFont="1" applyFill="1" applyBorder="1"/>
    <xf numFmtId="165" fontId="12631" fillId="12636" borderId="12583" xfId="0" applyNumberFormat="1" applyFont="1" applyFill="1" applyBorder="1"/>
    <xf numFmtId="169" fontId="12632" fillId="12637" borderId="12584" xfId="0" applyNumberFormat="1" applyFont="1" applyFill="1" applyBorder="1"/>
    <xf numFmtId="168" fontId="12633" fillId="12638" borderId="12585" xfId="0" applyNumberFormat="1" applyFont="1" applyFill="1" applyBorder="1"/>
    <xf numFmtId="165" fontId="12634" fillId="12639" borderId="12586" xfId="0" applyNumberFormat="1" applyFont="1" applyFill="1" applyBorder="1"/>
    <xf numFmtId="0" fontId="12635" fillId="12640" borderId="12587" xfId="0" applyFont="1" applyFill="1" applyBorder="1" applyAlignment="1">
      <alignment horizontal="center"/>
    </xf>
    <xf numFmtId="0" fontId="12636" fillId="12641" borderId="12588" xfId="0" applyFont="1" applyFill="1" applyBorder="1" applyAlignment="1">
      <alignment horizontal="center"/>
    </xf>
    <xf numFmtId="0" fontId="12637" fillId="12642" borderId="12589" xfId="0" applyFont="1" applyFill="1" applyBorder="1" applyAlignment="1">
      <alignment wrapText="1"/>
    </xf>
    <xf numFmtId="165" fontId="12638" fillId="12643" borderId="12590" xfId="0" applyNumberFormat="1" applyFont="1" applyFill="1" applyBorder="1"/>
    <xf numFmtId="0" fontId="12639" fillId="12644" borderId="12591" xfId="0" applyFont="1" applyFill="1" applyBorder="1" applyAlignment="1">
      <alignment wrapText="1"/>
    </xf>
    <xf numFmtId="0" fontId="12640" fillId="12645" borderId="12592" xfId="0" applyFont="1" applyFill="1" applyBorder="1" applyAlignment="1">
      <alignment horizontal="center"/>
    </xf>
    <xf numFmtId="14" fontId="12641" fillId="12646" borderId="12593" xfId="0" applyNumberFormat="1" applyFont="1" applyFill="1" applyBorder="1"/>
    <xf numFmtId="0" fontId="12642" fillId="12647" borderId="12594" xfId="0" applyFont="1" applyFill="1" applyBorder="1" applyAlignment="1">
      <alignment horizontal="center"/>
    </xf>
    <xf numFmtId="0" fontId="12643" fillId="12648" borderId="12595" xfId="0" applyFont="1" applyFill="1" applyBorder="1"/>
    <xf numFmtId="0" fontId="12644" fillId="12649" borderId="12596" xfId="0" applyFont="1" applyFill="1" applyBorder="1"/>
    <xf numFmtId="165" fontId="12645" fillId="12650" borderId="12597" xfId="0" applyNumberFormat="1" applyFont="1" applyFill="1" applyBorder="1"/>
    <xf numFmtId="165" fontId="12646" fillId="12651" borderId="12598" xfId="0" applyNumberFormat="1" applyFont="1" applyFill="1" applyBorder="1"/>
    <xf numFmtId="169" fontId="12647" fillId="12652" borderId="12599" xfId="0" applyNumberFormat="1" applyFont="1" applyFill="1" applyBorder="1"/>
    <xf numFmtId="168" fontId="12648" fillId="12653" borderId="12600" xfId="0" applyNumberFormat="1" applyFont="1" applyFill="1" applyBorder="1"/>
    <xf numFmtId="165" fontId="12649" fillId="12654" borderId="12601" xfId="0" applyNumberFormat="1" applyFont="1" applyFill="1" applyBorder="1"/>
    <xf numFmtId="0" fontId="12650" fillId="12655" borderId="12602" xfId="0" applyFont="1" applyFill="1" applyBorder="1" applyAlignment="1">
      <alignment horizontal="center"/>
    </xf>
    <xf numFmtId="0" fontId="12651" fillId="12656" borderId="12603" xfId="0" applyFont="1" applyFill="1" applyBorder="1" applyAlignment="1">
      <alignment horizontal="center"/>
    </xf>
    <xf numFmtId="0" fontId="12652" fillId="12657" borderId="12604" xfId="0" applyFont="1" applyFill="1" applyBorder="1" applyAlignment="1">
      <alignment wrapText="1"/>
    </xf>
    <xf numFmtId="165" fontId="12653" fillId="12658" borderId="12605" xfId="0" applyNumberFormat="1" applyFont="1" applyFill="1" applyBorder="1"/>
    <xf numFmtId="0" fontId="12654" fillId="12659" borderId="12606" xfId="0" applyFont="1" applyFill="1" applyBorder="1" applyAlignment="1">
      <alignment wrapText="1"/>
    </xf>
    <xf numFmtId="0" fontId="12655" fillId="12660" borderId="12607" xfId="0" applyFont="1" applyFill="1" applyBorder="1" applyAlignment="1">
      <alignment horizontal="center"/>
    </xf>
    <xf numFmtId="14" fontId="12656" fillId="12661" borderId="12608" xfId="0" applyNumberFormat="1" applyFont="1" applyFill="1" applyBorder="1"/>
    <xf numFmtId="0" fontId="12657" fillId="12662" borderId="12609" xfId="0" applyFont="1" applyFill="1" applyBorder="1" applyAlignment="1">
      <alignment horizontal="center"/>
    </xf>
    <xf numFmtId="0" fontId="12658" fillId="12663" borderId="12610" xfId="0" applyFont="1" applyFill="1" applyBorder="1"/>
    <xf numFmtId="0" fontId="12659" fillId="12664" borderId="12611" xfId="0" applyFont="1" applyFill="1" applyBorder="1"/>
    <xf numFmtId="165" fontId="12660" fillId="12665" borderId="12612" xfId="0" applyNumberFormat="1" applyFont="1" applyFill="1" applyBorder="1"/>
    <xf numFmtId="165" fontId="12661" fillId="12666" borderId="12613" xfId="0" applyNumberFormat="1" applyFont="1" applyFill="1" applyBorder="1"/>
    <xf numFmtId="169" fontId="12662" fillId="12667" borderId="12614" xfId="0" applyNumberFormat="1" applyFont="1" applyFill="1" applyBorder="1"/>
    <xf numFmtId="168" fontId="12663" fillId="12668" borderId="12615" xfId="0" applyNumberFormat="1" applyFont="1" applyFill="1" applyBorder="1"/>
    <xf numFmtId="165" fontId="12664" fillId="12669" borderId="12616" xfId="0" applyNumberFormat="1" applyFont="1" applyFill="1" applyBorder="1"/>
    <xf numFmtId="0" fontId="12665" fillId="12670" borderId="12617" xfId="0" applyFont="1" applyFill="1" applyBorder="1" applyAlignment="1">
      <alignment horizontal="center"/>
    </xf>
    <xf numFmtId="0" fontId="12666" fillId="12671" borderId="12618" xfId="0" applyFont="1" applyFill="1" applyBorder="1" applyAlignment="1">
      <alignment horizontal="center"/>
    </xf>
    <xf numFmtId="0" fontId="12667" fillId="12672" borderId="12619" xfId="0" applyFont="1" applyFill="1" applyBorder="1" applyAlignment="1">
      <alignment wrapText="1"/>
    </xf>
    <xf numFmtId="165" fontId="12668" fillId="12673" borderId="12620" xfId="0" applyNumberFormat="1" applyFont="1" applyFill="1" applyBorder="1"/>
    <xf numFmtId="0" fontId="12669" fillId="12674" borderId="12621" xfId="0" applyFont="1" applyFill="1" applyBorder="1" applyAlignment="1">
      <alignment wrapText="1"/>
    </xf>
    <xf numFmtId="0" fontId="12670" fillId="12675" borderId="12622" xfId="0" applyFont="1" applyFill="1" applyBorder="1" applyAlignment="1">
      <alignment horizontal="center"/>
    </xf>
    <xf numFmtId="14" fontId="12671" fillId="12676" borderId="12623" xfId="0" applyNumberFormat="1" applyFont="1" applyFill="1" applyBorder="1"/>
    <xf numFmtId="0" fontId="12672" fillId="12677" borderId="12624" xfId="0" applyFont="1" applyFill="1" applyBorder="1" applyAlignment="1">
      <alignment horizontal="center"/>
    </xf>
    <xf numFmtId="0" fontId="12673" fillId="12678" borderId="12625" xfId="0" applyFont="1" applyFill="1" applyBorder="1"/>
    <xf numFmtId="0" fontId="12674" fillId="12679" borderId="12626" xfId="0" applyFont="1" applyFill="1" applyBorder="1"/>
    <xf numFmtId="165" fontId="12675" fillId="12680" borderId="12627" xfId="0" applyNumberFormat="1" applyFont="1" applyFill="1" applyBorder="1"/>
    <xf numFmtId="165" fontId="12676" fillId="12681" borderId="12628" xfId="0" applyNumberFormat="1" applyFont="1" applyFill="1" applyBorder="1"/>
    <xf numFmtId="169" fontId="12677" fillId="12682" borderId="12629" xfId="0" applyNumberFormat="1" applyFont="1" applyFill="1" applyBorder="1"/>
    <xf numFmtId="168" fontId="12678" fillId="12683" borderId="12630" xfId="0" applyNumberFormat="1" applyFont="1" applyFill="1" applyBorder="1"/>
    <xf numFmtId="165" fontId="12679" fillId="12684" borderId="12631" xfId="0" applyNumberFormat="1" applyFont="1" applyFill="1" applyBorder="1"/>
    <xf numFmtId="0" fontId="12680" fillId="12685" borderId="12632" xfId="0" applyFont="1" applyFill="1" applyBorder="1" applyAlignment="1">
      <alignment horizontal="center"/>
    </xf>
    <xf numFmtId="0" fontId="12681" fillId="12686" borderId="12633" xfId="0" applyFont="1" applyFill="1" applyBorder="1" applyAlignment="1">
      <alignment horizontal="center"/>
    </xf>
    <xf numFmtId="0" fontId="12682" fillId="12687" borderId="12634" xfId="0" applyFont="1" applyFill="1" applyBorder="1" applyAlignment="1">
      <alignment wrapText="1"/>
    </xf>
    <xf numFmtId="165" fontId="12683" fillId="12688" borderId="12635" xfId="0" applyNumberFormat="1" applyFont="1" applyFill="1" applyBorder="1"/>
    <xf numFmtId="0" fontId="12684" fillId="12689" borderId="12636" xfId="0" applyFont="1" applyFill="1" applyBorder="1" applyAlignment="1">
      <alignment wrapText="1"/>
    </xf>
    <xf numFmtId="0" fontId="12685" fillId="12690" borderId="12637" xfId="0" applyFont="1" applyFill="1" applyBorder="1" applyAlignment="1">
      <alignment horizontal="center"/>
    </xf>
    <xf numFmtId="14" fontId="12686" fillId="12691" borderId="12638" xfId="0" applyNumberFormat="1" applyFont="1" applyFill="1" applyBorder="1"/>
    <xf numFmtId="0" fontId="12687" fillId="12692" borderId="12639" xfId="0" applyFont="1" applyFill="1" applyBorder="1" applyAlignment="1">
      <alignment horizontal="center"/>
    </xf>
    <xf numFmtId="0" fontId="12688" fillId="12693" borderId="12640" xfId="0" applyFont="1" applyFill="1" applyBorder="1"/>
    <xf numFmtId="0" fontId="12689" fillId="12694" borderId="12641" xfId="0" applyFont="1" applyFill="1" applyBorder="1"/>
    <xf numFmtId="165" fontId="12690" fillId="12695" borderId="12642" xfId="0" applyNumberFormat="1" applyFont="1" applyFill="1" applyBorder="1"/>
    <xf numFmtId="165" fontId="12691" fillId="12696" borderId="12643" xfId="0" applyNumberFormat="1" applyFont="1" applyFill="1" applyBorder="1"/>
    <xf numFmtId="169" fontId="12692" fillId="12697" borderId="12644" xfId="0" applyNumberFormat="1" applyFont="1" applyFill="1" applyBorder="1"/>
    <xf numFmtId="168" fontId="12693" fillId="12698" borderId="12645" xfId="0" applyNumberFormat="1" applyFont="1" applyFill="1" applyBorder="1"/>
    <xf numFmtId="165" fontId="12694" fillId="12699" borderId="12646" xfId="0" applyNumberFormat="1" applyFont="1" applyFill="1" applyBorder="1"/>
    <xf numFmtId="0" fontId="12695" fillId="12700" borderId="12647" xfId="0" applyFont="1" applyFill="1" applyBorder="1" applyAlignment="1">
      <alignment horizontal="center"/>
    </xf>
    <xf numFmtId="0" fontId="12696" fillId="12701" borderId="12648" xfId="0" applyFont="1" applyFill="1" applyBorder="1" applyAlignment="1">
      <alignment horizontal="center"/>
    </xf>
    <xf numFmtId="0" fontId="12697" fillId="12702" borderId="12649" xfId="0" applyFont="1" applyFill="1" applyBorder="1"/>
    <xf numFmtId="165" fontId="12698" fillId="12703" borderId="12650" xfId="0" applyNumberFormat="1" applyFont="1" applyFill="1" applyBorder="1"/>
    <xf numFmtId="0" fontId="12699" fillId="12704" borderId="12651" xfId="0" applyFont="1" applyFill="1" applyBorder="1"/>
    <xf numFmtId="0" fontId="12700" fillId="12705" borderId="12652" xfId="0" applyFont="1" applyFill="1" applyBorder="1" applyAlignment="1">
      <alignment horizontal="center"/>
    </xf>
    <xf numFmtId="14" fontId="12701" fillId="12706" borderId="12653" xfId="0" applyNumberFormat="1" applyFont="1" applyFill="1" applyBorder="1"/>
    <xf numFmtId="0" fontId="12702" fillId="12707" borderId="12654" xfId="0" applyFont="1" applyFill="1" applyBorder="1" applyAlignment="1">
      <alignment horizontal="center"/>
    </xf>
    <xf numFmtId="0" fontId="12703" fillId="12708" borderId="12655" xfId="0" applyFont="1" applyFill="1" applyBorder="1"/>
    <xf numFmtId="0" fontId="12704" fillId="12709" borderId="12656" xfId="0" applyFont="1" applyFill="1" applyBorder="1"/>
    <xf numFmtId="165" fontId="12705" fillId="12710" borderId="12657" xfId="0" applyNumberFormat="1" applyFont="1" applyFill="1" applyBorder="1"/>
    <xf numFmtId="165" fontId="12706" fillId="12711" borderId="12658" xfId="0" applyNumberFormat="1" applyFont="1" applyFill="1" applyBorder="1"/>
    <xf numFmtId="169" fontId="12707" fillId="12712" borderId="12659" xfId="0" applyNumberFormat="1" applyFont="1" applyFill="1" applyBorder="1"/>
    <xf numFmtId="168" fontId="12708" fillId="12713" borderId="12660" xfId="0" applyNumberFormat="1" applyFont="1" applyFill="1" applyBorder="1"/>
    <xf numFmtId="165" fontId="12709" fillId="12714" borderId="12661" xfId="0" applyNumberFormat="1" applyFont="1" applyFill="1" applyBorder="1"/>
    <xf numFmtId="0" fontId="12710" fillId="12715" borderId="12662" xfId="0" applyFont="1" applyFill="1" applyBorder="1" applyAlignment="1">
      <alignment horizontal="center"/>
    </xf>
    <xf numFmtId="0" fontId="12711" fillId="12716" borderId="12663" xfId="0" applyFont="1" applyFill="1" applyBorder="1" applyAlignment="1">
      <alignment horizontal="center"/>
    </xf>
    <xf numFmtId="0" fontId="12712" fillId="12717" borderId="12664" xfId="0" applyFont="1" applyFill="1" applyBorder="1"/>
    <xf numFmtId="165" fontId="12713" fillId="12718" borderId="12665" xfId="0" applyNumberFormat="1" applyFont="1" applyFill="1" applyBorder="1"/>
    <xf numFmtId="0" fontId="12714" fillId="12719" borderId="12666" xfId="0" applyFont="1" applyFill="1" applyBorder="1"/>
    <xf numFmtId="0" fontId="12715" fillId="12720" borderId="12667" xfId="0" applyFont="1" applyFill="1" applyBorder="1" applyAlignment="1">
      <alignment horizontal="center"/>
    </xf>
    <xf numFmtId="14" fontId="12716" fillId="12721" borderId="12668" xfId="0" applyNumberFormat="1" applyFont="1" applyFill="1" applyBorder="1"/>
    <xf numFmtId="0" fontId="12717" fillId="12722" borderId="12669" xfId="0" applyFont="1" applyFill="1" applyBorder="1" applyAlignment="1">
      <alignment horizontal="center"/>
    </xf>
    <xf numFmtId="0" fontId="12718" fillId="12723" borderId="12670" xfId="0" applyFont="1" applyFill="1" applyBorder="1"/>
    <xf numFmtId="0" fontId="12719" fillId="12724" borderId="12671" xfId="0" applyFont="1" applyFill="1" applyBorder="1"/>
    <xf numFmtId="165" fontId="12720" fillId="12725" borderId="12672" xfId="0" applyNumberFormat="1" applyFont="1" applyFill="1" applyBorder="1"/>
    <xf numFmtId="165" fontId="12721" fillId="12726" borderId="12673" xfId="0" applyNumberFormat="1" applyFont="1" applyFill="1" applyBorder="1"/>
    <xf numFmtId="169" fontId="12722" fillId="12727" borderId="12674" xfId="0" applyNumberFormat="1" applyFont="1" applyFill="1" applyBorder="1"/>
    <xf numFmtId="168" fontId="12723" fillId="12728" borderId="12675" xfId="0" applyNumberFormat="1" applyFont="1" applyFill="1" applyBorder="1"/>
    <xf numFmtId="165" fontId="12724" fillId="12729" borderId="12676" xfId="0" applyNumberFormat="1" applyFont="1" applyFill="1" applyBorder="1"/>
    <xf numFmtId="0" fontId="12725" fillId="12730" borderId="12677" xfId="0" applyFont="1" applyFill="1" applyBorder="1" applyAlignment="1">
      <alignment horizontal="center"/>
    </xf>
    <xf numFmtId="0" fontId="12726" fillId="12731" borderId="12678" xfId="0" applyFont="1" applyFill="1" applyBorder="1" applyAlignment="1">
      <alignment horizontal="center"/>
    </xf>
    <xf numFmtId="0" fontId="12727" fillId="12732" borderId="12679" xfId="0" applyFont="1" applyFill="1" applyBorder="1"/>
    <xf numFmtId="165" fontId="12728" fillId="12733" borderId="12680" xfId="0" applyNumberFormat="1" applyFont="1" applyFill="1" applyBorder="1"/>
    <xf numFmtId="0" fontId="12729" fillId="12734" borderId="12681" xfId="0" applyFont="1" applyFill="1" applyBorder="1"/>
    <xf numFmtId="0" fontId="12730" fillId="12735" borderId="12682" xfId="0" applyFont="1" applyFill="1" applyBorder="1" applyAlignment="1">
      <alignment horizontal="center"/>
    </xf>
    <xf numFmtId="14" fontId="12731" fillId="12736" borderId="12683" xfId="0" applyNumberFormat="1" applyFont="1" applyFill="1" applyBorder="1"/>
    <xf numFmtId="0" fontId="12732" fillId="12737" borderId="12684" xfId="0" applyFont="1" applyFill="1" applyBorder="1" applyAlignment="1">
      <alignment horizontal="center"/>
    </xf>
    <xf numFmtId="0" fontId="12733" fillId="12738" borderId="12685" xfId="0" applyFont="1" applyFill="1" applyBorder="1"/>
    <xf numFmtId="0" fontId="12734" fillId="12739" borderId="12686" xfId="0" applyFont="1" applyFill="1" applyBorder="1"/>
    <xf numFmtId="165" fontId="12735" fillId="12740" borderId="12687" xfId="0" applyNumberFormat="1" applyFont="1" applyFill="1" applyBorder="1"/>
    <xf numFmtId="165" fontId="12736" fillId="12741" borderId="12688" xfId="0" applyNumberFormat="1" applyFont="1" applyFill="1" applyBorder="1"/>
    <xf numFmtId="169" fontId="12737" fillId="12742" borderId="12689" xfId="0" applyNumberFormat="1" applyFont="1" applyFill="1" applyBorder="1"/>
    <xf numFmtId="168" fontId="12738" fillId="12743" borderId="12690" xfId="0" applyNumberFormat="1" applyFont="1" applyFill="1" applyBorder="1"/>
    <xf numFmtId="165" fontId="12739" fillId="12744" borderId="12691" xfId="0" applyNumberFormat="1" applyFont="1" applyFill="1" applyBorder="1"/>
    <xf numFmtId="0" fontId="12740" fillId="12745" borderId="12692" xfId="0" applyFont="1" applyFill="1" applyBorder="1" applyAlignment="1">
      <alignment horizontal="center"/>
    </xf>
    <xf numFmtId="0" fontId="12741" fillId="12746" borderId="12693" xfId="0" applyFont="1" applyFill="1" applyBorder="1" applyAlignment="1">
      <alignment horizontal="center"/>
    </xf>
    <xf numFmtId="0" fontId="12742" fillId="12747" borderId="12694" xfId="0" applyFont="1" applyFill="1" applyBorder="1"/>
    <xf numFmtId="165" fontId="12743" fillId="12748" borderId="12695" xfId="0" applyNumberFormat="1" applyFont="1" applyFill="1" applyBorder="1"/>
    <xf numFmtId="0" fontId="12744" fillId="12749" borderId="12696" xfId="0" applyFont="1" applyFill="1" applyBorder="1"/>
    <xf numFmtId="0" fontId="12745" fillId="12750" borderId="12697" xfId="0" applyFont="1" applyFill="1" applyBorder="1" applyAlignment="1">
      <alignment horizontal="center"/>
    </xf>
    <xf numFmtId="14" fontId="12746" fillId="12751" borderId="12698" xfId="0" applyNumberFormat="1" applyFont="1" applyFill="1" applyBorder="1"/>
    <xf numFmtId="0" fontId="12747" fillId="12752" borderId="12699" xfId="0" applyFont="1" applyFill="1" applyBorder="1" applyAlignment="1">
      <alignment horizontal="center"/>
    </xf>
    <xf numFmtId="0" fontId="12748" fillId="12753" borderId="12700" xfId="0" applyFont="1" applyFill="1" applyBorder="1"/>
    <xf numFmtId="0" fontId="12749" fillId="12754" borderId="12701" xfId="0" applyFont="1" applyFill="1" applyBorder="1"/>
    <xf numFmtId="165" fontId="12750" fillId="12755" borderId="12702" xfId="0" applyNumberFormat="1" applyFont="1" applyFill="1" applyBorder="1"/>
    <xf numFmtId="165" fontId="12751" fillId="12756" borderId="12703" xfId="0" applyNumberFormat="1" applyFont="1" applyFill="1" applyBorder="1"/>
    <xf numFmtId="169" fontId="12752" fillId="12757" borderId="12704" xfId="0" applyNumberFormat="1" applyFont="1" applyFill="1" applyBorder="1"/>
    <xf numFmtId="168" fontId="12753" fillId="12758" borderId="12705" xfId="0" applyNumberFormat="1" applyFont="1" applyFill="1" applyBorder="1"/>
    <xf numFmtId="165" fontId="12754" fillId="12759" borderId="12706" xfId="0" applyNumberFormat="1" applyFont="1" applyFill="1" applyBorder="1"/>
    <xf numFmtId="0" fontId="12755" fillId="12760" borderId="12707" xfId="0" applyFont="1" applyFill="1" applyBorder="1" applyAlignment="1">
      <alignment horizontal="center"/>
    </xf>
    <xf numFmtId="0" fontId="12756" fillId="12761" borderId="12708" xfId="0" applyFont="1" applyFill="1" applyBorder="1" applyAlignment="1">
      <alignment horizontal="center"/>
    </xf>
    <xf numFmtId="0" fontId="12757" fillId="12762" borderId="12709" xfId="0" applyFont="1" applyFill="1" applyBorder="1"/>
    <xf numFmtId="165" fontId="12758" fillId="12763" borderId="12710" xfId="0" applyNumberFormat="1" applyFont="1" applyFill="1" applyBorder="1"/>
    <xf numFmtId="0" fontId="12759" fillId="12764" borderId="12711" xfId="0" applyFont="1" applyFill="1" applyBorder="1"/>
    <xf numFmtId="0" fontId="12760" fillId="12765" borderId="12712" xfId="0" applyFont="1" applyFill="1" applyBorder="1" applyAlignment="1">
      <alignment horizontal="center"/>
    </xf>
    <xf numFmtId="14" fontId="12761" fillId="12766" borderId="12713" xfId="0" applyNumberFormat="1" applyFont="1" applyFill="1" applyBorder="1"/>
    <xf numFmtId="0" fontId="12762" fillId="12767" borderId="12714" xfId="0" applyFont="1" applyFill="1" applyBorder="1" applyAlignment="1">
      <alignment horizontal="center"/>
    </xf>
    <xf numFmtId="0" fontId="12763" fillId="12768" borderId="12715" xfId="0" applyFont="1" applyFill="1" applyBorder="1"/>
    <xf numFmtId="0" fontId="12764" fillId="12769" borderId="12716" xfId="0" applyFont="1" applyFill="1" applyBorder="1"/>
    <xf numFmtId="165" fontId="12765" fillId="12770" borderId="12717" xfId="0" applyNumberFormat="1" applyFont="1" applyFill="1" applyBorder="1"/>
    <xf numFmtId="165" fontId="12766" fillId="12771" borderId="12718" xfId="0" applyNumberFormat="1" applyFont="1" applyFill="1" applyBorder="1"/>
    <xf numFmtId="169" fontId="12767" fillId="12772" borderId="12719" xfId="0" applyNumberFormat="1" applyFont="1" applyFill="1" applyBorder="1"/>
    <xf numFmtId="168" fontId="12768" fillId="12773" borderId="12720" xfId="0" applyNumberFormat="1" applyFont="1" applyFill="1" applyBorder="1"/>
    <xf numFmtId="165" fontId="12769" fillId="12774" borderId="12721" xfId="0" applyNumberFormat="1" applyFont="1" applyFill="1" applyBorder="1"/>
    <xf numFmtId="0" fontId="12770" fillId="12775" borderId="12722" xfId="0" applyFont="1" applyFill="1" applyBorder="1" applyAlignment="1">
      <alignment horizontal="center"/>
    </xf>
    <xf numFmtId="0" fontId="12771" fillId="12776" borderId="12723" xfId="0" applyFont="1" applyFill="1" applyBorder="1" applyAlignment="1">
      <alignment horizontal="center"/>
    </xf>
    <xf numFmtId="0" fontId="12772" fillId="12777" borderId="12724" xfId="0" applyFont="1" applyFill="1" applyBorder="1"/>
    <xf numFmtId="165" fontId="12773" fillId="12778" borderId="12725" xfId="0" applyNumberFormat="1" applyFont="1" applyFill="1" applyBorder="1"/>
    <xf numFmtId="0" fontId="12774" fillId="12779" borderId="12726" xfId="0" applyFont="1" applyFill="1" applyBorder="1"/>
    <xf numFmtId="0" fontId="12775" fillId="12780" borderId="12727" xfId="0" applyFont="1" applyFill="1" applyBorder="1" applyAlignment="1">
      <alignment horizontal="center"/>
    </xf>
    <xf numFmtId="14" fontId="12776" fillId="12781" borderId="12728" xfId="0" applyNumberFormat="1" applyFont="1" applyFill="1" applyBorder="1"/>
    <xf numFmtId="0" fontId="12777" fillId="12782" borderId="12729" xfId="0" applyFont="1" applyFill="1" applyBorder="1" applyAlignment="1">
      <alignment horizontal="center"/>
    </xf>
    <xf numFmtId="0" fontId="12778" fillId="12783" borderId="12730" xfId="0" applyFont="1" applyFill="1" applyBorder="1"/>
    <xf numFmtId="0" fontId="12779" fillId="12784" borderId="12731" xfId="0" applyFont="1" applyFill="1" applyBorder="1"/>
    <xf numFmtId="165" fontId="12780" fillId="12785" borderId="12732" xfId="0" applyNumberFormat="1" applyFont="1" applyFill="1" applyBorder="1"/>
    <xf numFmtId="165" fontId="12781" fillId="12786" borderId="12733" xfId="0" applyNumberFormat="1" applyFont="1" applyFill="1" applyBorder="1"/>
    <xf numFmtId="169" fontId="12782" fillId="12787" borderId="12734" xfId="0" applyNumberFormat="1" applyFont="1" applyFill="1" applyBorder="1"/>
    <xf numFmtId="168" fontId="12783" fillId="12788" borderId="12735" xfId="0" applyNumberFormat="1" applyFont="1" applyFill="1" applyBorder="1"/>
    <xf numFmtId="165" fontId="12784" fillId="12789" borderId="12736" xfId="0" applyNumberFormat="1" applyFont="1" applyFill="1" applyBorder="1"/>
    <xf numFmtId="0" fontId="12785" fillId="12790" borderId="12737" xfId="0" applyFont="1" applyFill="1" applyBorder="1" applyAlignment="1">
      <alignment horizontal="center"/>
    </xf>
    <xf numFmtId="0" fontId="12786" fillId="12791" borderId="12738" xfId="0" applyFont="1" applyFill="1" applyBorder="1" applyAlignment="1">
      <alignment horizontal="center"/>
    </xf>
    <xf numFmtId="0" fontId="12787" fillId="12792" borderId="12739" xfId="0" applyFont="1" applyFill="1" applyBorder="1"/>
    <xf numFmtId="165" fontId="12788" fillId="12793" borderId="12740" xfId="0" applyNumberFormat="1" applyFont="1" applyFill="1" applyBorder="1"/>
    <xf numFmtId="0" fontId="12789" fillId="12794" borderId="12741" xfId="0" applyFont="1" applyFill="1" applyBorder="1"/>
    <xf numFmtId="0" fontId="12790" fillId="12795" borderId="12742" xfId="0" applyFont="1" applyFill="1" applyBorder="1" applyAlignment="1">
      <alignment horizontal="center"/>
    </xf>
    <xf numFmtId="14" fontId="12791" fillId="12796" borderId="12743" xfId="0" applyNumberFormat="1" applyFont="1" applyFill="1" applyBorder="1"/>
    <xf numFmtId="0" fontId="12792" fillId="12797" borderId="12744" xfId="0" applyFont="1" applyFill="1" applyBorder="1" applyAlignment="1">
      <alignment horizontal="center"/>
    </xf>
    <xf numFmtId="0" fontId="12793" fillId="12798" borderId="12745" xfId="0" applyFont="1" applyFill="1" applyBorder="1"/>
    <xf numFmtId="0" fontId="12794" fillId="12799" borderId="12746" xfId="0" applyFont="1" applyFill="1" applyBorder="1"/>
    <xf numFmtId="165" fontId="12795" fillId="12800" borderId="12747" xfId="0" applyNumberFormat="1" applyFont="1" applyFill="1" applyBorder="1"/>
    <xf numFmtId="165" fontId="12796" fillId="12801" borderId="12748" xfId="0" applyNumberFormat="1" applyFont="1" applyFill="1" applyBorder="1"/>
    <xf numFmtId="169" fontId="12797" fillId="12802" borderId="12749" xfId="0" applyNumberFormat="1" applyFont="1" applyFill="1" applyBorder="1"/>
    <xf numFmtId="168" fontId="12798" fillId="12803" borderId="12750" xfId="0" applyNumberFormat="1" applyFont="1" applyFill="1" applyBorder="1"/>
    <xf numFmtId="165" fontId="12799" fillId="12804" borderId="12751" xfId="0" applyNumberFormat="1" applyFont="1" applyFill="1" applyBorder="1"/>
    <xf numFmtId="0" fontId="12800" fillId="12805" borderId="12752" xfId="0" applyFont="1" applyFill="1" applyBorder="1" applyAlignment="1">
      <alignment horizontal="center"/>
    </xf>
    <xf numFmtId="0" fontId="12801" fillId="12806" borderId="12753" xfId="0" applyFont="1" applyFill="1" applyBorder="1" applyAlignment="1">
      <alignment horizontal="center"/>
    </xf>
    <xf numFmtId="0" fontId="12802" fillId="12807" borderId="12754" xfId="0" applyFont="1" applyFill="1" applyBorder="1"/>
    <xf numFmtId="165" fontId="12803" fillId="12808" borderId="12755" xfId="0" applyNumberFormat="1" applyFont="1" applyFill="1" applyBorder="1"/>
    <xf numFmtId="0" fontId="12804" fillId="12809" borderId="12756" xfId="0" applyFont="1" applyFill="1" applyBorder="1"/>
    <xf numFmtId="0" fontId="12805" fillId="12810" borderId="12757" xfId="0" applyFont="1" applyFill="1" applyBorder="1" applyAlignment="1">
      <alignment horizontal="center"/>
    </xf>
    <xf numFmtId="14" fontId="12806" fillId="12811" borderId="12758" xfId="0" applyNumberFormat="1" applyFont="1" applyFill="1" applyBorder="1"/>
    <xf numFmtId="0" fontId="12807" fillId="12812" borderId="12759" xfId="0" applyFont="1" applyFill="1" applyBorder="1" applyAlignment="1">
      <alignment horizontal="center"/>
    </xf>
    <xf numFmtId="0" fontId="12808" fillId="12813" borderId="12760" xfId="0" applyFont="1" applyFill="1" applyBorder="1"/>
    <xf numFmtId="0" fontId="12809" fillId="12814" borderId="12761" xfId="0" applyFont="1" applyFill="1" applyBorder="1"/>
    <xf numFmtId="165" fontId="12810" fillId="12815" borderId="12762" xfId="0" applyNumberFormat="1" applyFont="1" applyFill="1" applyBorder="1"/>
    <xf numFmtId="165" fontId="12811" fillId="12816" borderId="12763" xfId="0" applyNumberFormat="1" applyFont="1" applyFill="1" applyBorder="1"/>
    <xf numFmtId="169" fontId="12812" fillId="12817" borderId="12764" xfId="0" applyNumberFormat="1" applyFont="1" applyFill="1" applyBorder="1"/>
    <xf numFmtId="168" fontId="12813" fillId="12818" borderId="12765" xfId="0" applyNumberFormat="1" applyFont="1" applyFill="1" applyBorder="1"/>
    <xf numFmtId="165" fontId="12814" fillId="12819" borderId="12766" xfId="0" applyNumberFormat="1" applyFont="1" applyFill="1" applyBorder="1"/>
    <xf numFmtId="0" fontId="12815" fillId="12820" borderId="12767" xfId="0" applyFont="1" applyFill="1" applyBorder="1" applyAlignment="1">
      <alignment horizontal="center"/>
    </xf>
    <xf numFmtId="0" fontId="12816" fillId="12821" borderId="12768" xfId="0" applyFont="1" applyFill="1" applyBorder="1" applyAlignment="1">
      <alignment horizontal="center"/>
    </xf>
    <xf numFmtId="0" fontId="12817" fillId="12822" borderId="12769" xfId="0" applyFont="1" applyFill="1" applyBorder="1"/>
    <xf numFmtId="165" fontId="12818" fillId="12823" borderId="12770" xfId="0" applyNumberFormat="1" applyFont="1" applyFill="1" applyBorder="1"/>
    <xf numFmtId="0" fontId="12819" fillId="12824" borderId="12771" xfId="0" applyFont="1" applyFill="1" applyBorder="1"/>
    <xf numFmtId="0" fontId="12820" fillId="12825" borderId="12772" xfId="0" applyFont="1" applyFill="1" applyBorder="1" applyAlignment="1">
      <alignment horizontal="center"/>
    </xf>
    <xf numFmtId="14" fontId="12821" fillId="12826" borderId="12773" xfId="0" applyNumberFormat="1" applyFont="1" applyFill="1" applyBorder="1"/>
    <xf numFmtId="0" fontId="12822" fillId="12827" borderId="12774" xfId="0" applyFont="1" applyFill="1" applyBorder="1" applyAlignment="1">
      <alignment horizontal="center"/>
    </xf>
    <xf numFmtId="0" fontId="12823" fillId="12828" borderId="12775" xfId="0" applyFont="1" applyFill="1" applyBorder="1"/>
    <xf numFmtId="0" fontId="12824" fillId="12829" borderId="12776" xfId="0" applyFont="1" applyFill="1" applyBorder="1"/>
    <xf numFmtId="165" fontId="12825" fillId="12830" borderId="12777" xfId="0" applyNumberFormat="1" applyFont="1" applyFill="1" applyBorder="1"/>
    <xf numFmtId="165" fontId="12826" fillId="12831" borderId="12778" xfId="0" applyNumberFormat="1" applyFont="1" applyFill="1" applyBorder="1"/>
    <xf numFmtId="169" fontId="12827" fillId="12832" borderId="12779" xfId="0" applyNumberFormat="1" applyFont="1" applyFill="1" applyBorder="1"/>
    <xf numFmtId="168" fontId="12828" fillId="12833" borderId="12780" xfId="0" applyNumberFormat="1" applyFont="1" applyFill="1" applyBorder="1"/>
    <xf numFmtId="165" fontId="12829" fillId="12834" borderId="12781" xfId="0" applyNumberFormat="1" applyFont="1" applyFill="1" applyBorder="1"/>
    <xf numFmtId="0" fontId="12830" fillId="12835" borderId="12782" xfId="0" applyFont="1" applyFill="1" applyBorder="1" applyAlignment="1">
      <alignment horizontal="center"/>
    </xf>
    <xf numFmtId="0" fontId="12831" fillId="12836" borderId="12783" xfId="0" applyFont="1" applyFill="1" applyBorder="1" applyAlignment="1">
      <alignment horizontal="center"/>
    </xf>
    <xf numFmtId="0" fontId="12832" fillId="12837" borderId="12784" xfId="0" applyFont="1" applyFill="1" applyBorder="1"/>
    <xf numFmtId="165" fontId="12833" fillId="12838" borderId="12785" xfId="0" applyNumberFormat="1" applyFont="1" applyFill="1" applyBorder="1"/>
    <xf numFmtId="0" fontId="12834" fillId="12839" borderId="12786" xfId="0" applyFont="1" applyFill="1" applyBorder="1"/>
    <xf numFmtId="0" fontId="12835" fillId="12840" borderId="12787" xfId="0" applyFont="1" applyFill="1" applyBorder="1" applyAlignment="1">
      <alignment horizontal="center"/>
    </xf>
    <xf numFmtId="14" fontId="12836" fillId="12841" borderId="12788" xfId="0" applyNumberFormat="1" applyFont="1" applyFill="1" applyBorder="1"/>
    <xf numFmtId="0" fontId="12837" fillId="12842" borderId="12789" xfId="0" applyFont="1" applyFill="1" applyBorder="1" applyAlignment="1">
      <alignment horizontal="center"/>
    </xf>
    <xf numFmtId="0" fontId="12838" fillId="12843" borderId="12790" xfId="0" applyFont="1" applyFill="1" applyBorder="1"/>
    <xf numFmtId="0" fontId="12839" fillId="12844" borderId="12791" xfId="0" applyFont="1" applyFill="1" applyBorder="1"/>
    <xf numFmtId="165" fontId="12840" fillId="12845" borderId="12792" xfId="0" applyNumberFormat="1" applyFont="1" applyFill="1" applyBorder="1"/>
    <xf numFmtId="165" fontId="12841" fillId="12846" borderId="12793" xfId="0" applyNumberFormat="1" applyFont="1" applyFill="1" applyBorder="1"/>
    <xf numFmtId="169" fontId="12842" fillId="12847" borderId="12794" xfId="0" applyNumberFormat="1" applyFont="1" applyFill="1" applyBorder="1"/>
    <xf numFmtId="168" fontId="12843" fillId="12848" borderId="12795" xfId="0" applyNumberFormat="1" applyFont="1" applyFill="1" applyBorder="1"/>
    <xf numFmtId="165" fontId="12844" fillId="12849" borderId="12796" xfId="0" applyNumberFormat="1" applyFont="1" applyFill="1" applyBorder="1"/>
    <xf numFmtId="0" fontId="12845" fillId="12850" borderId="12797" xfId="0" applyFont="1" applyFill="1" applyBorder="1" applyAlignment="1">
      <alignment horizontal="center"/>
    </xf>
    <xf numFmtId="0" fontId="12846" fillId="12851" borderId="12798" xfId="0" applyFont="1" applyFill="1" applyBorder="1" applyAlignment="1">
      <alignment horizontal="center"/>
    </xf>
    <xf numFmtId="0" fontId="12847" fillId="12852" borderId="12799" xfId="0" applyFont="1" applyFill="1" applyBorder="1"/>
    <xf numFmtId="165" fontId="12848" fillId="12853" borderId="12800" xfId="0" applyNumberFormat="1" applyFont="1" applyFill="1" applyBorder="1"/>
    <xf numFmtId="0" fontId="12849" fillId="12854" borderId="12801" xfId="0" applyFont="1" applyFill="1" applyBorder="1"/>
    <xf numFmtId="0" fontId="12850" fillId="12855" borderId="12802" xfId="0" applyFont="1" applyFill="1" applyBorder="1" applyAlignment="1">
      <alignment horizontal="center"/>
    </xf>
    <xf numFmtId="14" fontId="12851" fillId="12856" borderId="12803" xfId="0" applyNumberFormat="1" applyFont="1" applyFill="1" applyBorder="1"/>
    <xf numFmtId="0" fontId="12852" fillId="12857" borderId="12804" xfId="0" applyFont="1" applyFill="1" applyBorder="1" applyAlignment="1">
      <alignment horizontal="center"/>
    </xf>
    <xf numFmtId="0" fontId="12853" fillId="12858" borderId="12805" xfId="0" applyFont="1" applyFill="1" applyBorder="1"/>
    <xf numFmtId="0" fontId="12854" fillId="12859" borderId="12806" xfId="0" applyFont="1" applyFill="1" applyBorder="1"/>
    <xf numFmtId="165" fontId="12855" fillId="12860" borderId="12807" xfId="0" applyNumberFormat="1" applyFont="1" applyFill="1" applyBorder="1"/>
    <xf numFmtId="165" fontId="12856" fillId="12861" borderId="12808" xfId="0" applyNumberFormat="1" applyFont="1" applyFill="1" applyBorder="1"/>
    <xf numFmtId="169" fontId="12857" fillId="12862" borderId="12809" xfId="0" applyNumberFormat="1" applyFont="1" applyFill="1" applyBorder="1"/>
    <xf numFmtId="168" fontId="12858" fillId="12863" borderId="12810" xfId="0" applyNumberFormat="1" applyFont="1" applyFill="1" applyBorder="1"/>
    <xf numFmtId="165" fontId="12859" fillId="12864" borderId="12811" xfId="0" applyNumberFormat="1" applyFont="1" applyFill="1" applyBorder="1"/>
    <xf numFmtId="0" fontId="12860" fillId="12865" borderId="12812" xfId="0" applyFont="1" applyFill="1" applyBorder="1" applyAlignment="1">
      <alignment horizontal="center"/>
    </xf>
    <xf numFmtId="0" fontId="12861" fillId="12866" borderId="12813" xfId="0" applyFont="1" applyFill="1" applyBorder="1" applyAlignment="1">
      <alignment horizontal="center"/>
    </xf>
    <xf numFmtId="0" fontId="12862" fillId="12867" borderId="12814" xfId="0" applyFont="1" applyFill="1" applyBorder="1"/>
    <xf numFmtId="165" fontId="12863" fillId="12868" borderId="12815" xfId="0" applyNumberFormat="1" applyFont="1" applyFill="1" applyBorder="1"/>
    <xf numFmtId="0" fontId="12864" fillId="12869" borderId="12816" xfId="0" applyFont="1" applyFill="1" applyBorder="1"/>
    <xf numFmtId="0" fontId="12865" fillId="12870" borderId="12817" xfId="0" applyFont="1" applyFill="1" applyBorder="1" applyAlignment="1">
      <alignment horizontal="center"/>
    </xf>
    <xf numFmtId="14" fontId="12866" fillId="12871" borderId="12818" xfId="0" applyNumberFormat="1" applyFont="1" applyFill="1" applyBorder="1"/>
    <xf numFmtId="0" fontId="12867" fillId="12872" borderId="12819" xfId="0" applyFont="1" applyFill="1" applyBorder="1" applyAlignment="1">
      <alignment horizontal="center"/>
    </xf>
    <xf numFmtId="0" fontId="12868" fillId="12873" borderId="12820" xfId="0" applyFont="1" applyFill="1" applyBorder="1"/>
    <xf numFmtId="0" fontId="12869" fillId="12874" borderId="12821" xfId="0" applyFont="1" applyFill="1" applyBorder="1"/>
    <xf numFmtId="165" fontId="12870" fillId="12875" borderId="12822" xfId="0" applyNumberFormat="1" applyFont="1" applyFill="1" applyBorder="1"/>
    <xf numFmtId="165" fontId="12871" fillId="12876" borderId="12823" xfId="0" applyNumberFormat="1" applyFont="1" applyFill="1" applyBorder="1"/>
    <xf numFmtId="169" fontId="12872" fillId="12877" borderId="12824" xfId="0" applyNumberFormat="1" applyFont="1" applyFill="1" applyBorder="1"/>
    <xf numFmtId="168" fontId="12873" fillId="12878" borderId="12825" xfId="0" applyNumberFormat="1" applyFont="1" applyFill="1" applyBorder="1"/>
    <xf numFmtId="165" fontId="12874" fillId="12879" borderId="12826" xfId="0" applyNumberFormat="1" applyFont="1" applyFill="1" applyBorder="1"/>
    <xf numFmtId="0" fontId="12875" fillId="12880" borderId="12827" xfId="0" applyFont="1" applyFill="1" applyBorder="1" applyAlignment="1">
      <alignment horizontal="center"/>
    </xf>
    <xf numFmtId="0" fontId="12876" fillId="12881" borderId="12828" xfId="0" applyFont="1" applyFill="1" applyBorder="1" applyAlignment="1">
      <alignment horizontal="center"/>
    </xf>
    <xf numFmtId="0" fontId="12877" fillId="12882" borderId="12829" xfId="0" applyFont="1" applyFill="1" applyBorder="1"/>
    <xf numFmtId="165" fontId="12878" fillId="12883" borderId="12830" xfId="0" applyNumberFormat="1" applyFont="1" applyFill="1" applyBorder="1"/>
    <xf numFmtId="0" fontId="12879" fillId="12884" borderId="12831" xfId="0" applyFont="1" applyFill="1" applyBorder="1"/>
    <xf numFmtId="0" fontId="12880" fillId="12885" borderId="12832" xfId="0" applyFont="1" applyFill="1" applyBorder="1" applyAlignment="1">
      <alignment horizontal="center"/>
    </xf>
    <xf numFmtId="14" fontId="12881" fillId="12886" borderId="12833" xfId="0" applyNumberFormat="1" applyFont="1" applyFill="1" applyBorder="1"/>
    <xf numFmtId="0" fontId="12882" fillId="12887" borderId="12834" xfId="0" applyFont="1" applyFill="1" applyBorder="1" applyAlignment="1">
      <alignment horizontal="center"/>
    </xf>
    <xf numFmtId="0" fontId="12883" fillId="12888" borderId="12835" xfId="0" applyFont="1" applyFill="1" applyBorder="1"/>
    <xf numFmtId="0" fontId="12884" fillId="12889" borderId="12836" xfId="0" applyFont="1" applyFill="1" applyBorder="1"/>
    <xf numFmtId="165" fontId="12885" fillId="12890" borderId="12837" xfId="0" applyNumberFormat="1" applyFont="1" applyFill="1" applyBorder="1"/>
    <xf numFmtId="165" fontId="12886" fillId="12891" borderId="12838" xfId="0" applyNumberFormat="1" applyFont="1" applyFill="1" applyBorder="1"/>
    <xf numFmtId="169" fontId="12887" fillId="12892" borderId="12839" xfId="0" applyNumberFormat="1" applyFont="1" applyFill="1" applyBorder="1"/>
    <xf numFmtId="168" fontId="12888" fillId="12893" borderId="12840" xfId="0" applyNumberFormat="1" applyFont="1" applyFill="1" applyBorder="1"/>
    <xf numFmtId="165" fontId="12889" fillId="12894" borderId="12841" xfId="0" applyNumberFormat="1" applyFont="1" applyFill="1" applyBorder="1"/>
    <xf numFmtId="0" fontId="12890" fillId="12895" borderId="12842" xfId="0" applyFont="1" applyFill="1" applyBorder="1" applyAlignment="1">
      <alignment horizontal="center"/>
    </xf>
    <xf numFmtId="0" fontId="12891" fillId="12896" borderId="12843" xfId="0" applyFont="1" applyFill="1" applyBorder="1" applyAlignment="1">
      <alignment horizontal="center"/>
    </xf>
    <xf numFmtId="0" fontId="12892" fillId="12897" borderId="12844" xfId="0" applyFont="1" applyFill="1" applyBorder="1"/>
    <xf numFmtId="165" fontId="12893" fillId="12898" borderId="12845" xfId="0" applyNumberFormat="1" applyFont="1" applyFill="1" applyBorder="1"/>
    <xf numFmtId="0" fontId="12894" fillId="12899" borderId="12846" xfId="0" applyFont="1" applyFill="1" applyBorder="1"/>
    <xf numFmtId="0" fontId="12895" fillId="12900" borderId="12847" xfId="0" applyFont="1" applyFill="1" applyBorder="1" applyAlignment="1">
      <alignment horizontal="center"/>
    </xf>
    <xf numFmtId="14" fontId="12896" fillId="12901" borderId="12848" xfId="0" applyNumberFormat="1" applyFont="1" applyFill="1" applyBorder="1"/>
    <xf numFmtId="0" fontId="12897" fillId="12902" borderId="12849" xfId="0" applyFont="1" applyFill="1" applyBorder="1" applyAlignment="1">
      <alignment horizontal="center"/>
    </xf>
    <xf numFmtId="0" fontId="12898" fillId="12903" borderId="12850" xfId="0" applyFont="1" applyFill="1" applyBorder="1"/>
    <xf numFmtId="0" fontId="12899" fillId="12904" borderId="12851" xfId="0" applyFont="1" applyFill="1" applyBorder="1"/>
    <xf numFmtId="165" fontId="12900" fillId="12905" borderId="12852" xfId="0" applyNumberFormat="1" applyFont="1" applyFill="1" applyBorder="1"/>
    <xf numFmtId="165" fontId="12901" fillId="12906" borderId="12853" xfId="0" applyNumberFormat="1" applyFont="1" applyFill="1" applyBorder="1"/>
    <xf numFmtId="169" fontId="12902" fillId="12907" borderId="12854" xfId="0" applyNumberFormat="1" applyFont="1" applyFill="1" applyBorder="1"/>
    <xf numFmtId="168" fontId="12903" fillId="12908" borderId="12855" xfId="0" applyNumberFormat="1" applyFont="1" applyFill="1" applyBorder="1"/>
    <xf numFmtId="165" fontId="12904" fillId="12909" borderId="12856" xfId="0" applyNumberFormat="1" applyFont="1" applyFill="1" applyBorder="1"/>
    <xf numFmtId="0" fontId="12905" fillId="12910" borderId="12857" xfId="0" applyFont="1" applyFill="1" applyBorder="1" applyAlignment="1">
      <alignment horizontal="center"/>
    </xf>
    <xf numFmtId="0" fontId="12906" fillId="12911" borderId="12858" xfId="0" applyFont="1" applyFill="1" applyBorder="1" applyAlignment="1">
      <alignment horizontal="center"/>
    </xf>
    <xf numFmtId="0" fontId="12907" fillId="12912" borderId="12859" xfId="0" applyFont="1" applyFill="1" applyBorder="1"/>
    <xf numFmtId="165" fontId="12908" fillId="12913" borderId="12860" xfId="0" applyNumberFormat="1" applyFont="1" applyFill="1" applyBorder="1"/>
    <xf numFmtId="0" fontId="12909" fillId="12914" borderId="12861" xfId="0" applyFont="1" applyFill="1" applyBorder="1"/>
    <xf numFmtId="0" fontId="12910" fillId="12915" borderId="12862" xfId="0" applyFont="1" applyFill="1" applyBorder="1" applyAlignment="1">
      <alignment horizontal="center"/>
    </xf>
    <xf numFmtId="14" fontId="12911" fillId="12916" borderId="12863" xfId="0" applyNumberFormat="1" applyFont="1" applyFill="1" applyBorder="1"/>
    <xf numFmtId="0" fontId="12912" fillId="12917" borderId="12864" xfId="0" applyFont="1" applyFill="1" applyBorder="1" applyAlignment="1">
      <alignment horizontal="center"/>
    </xf>
    <xf numFmtId="0" fontId="12913" fillId="12918" borderId="12865" xfId="0" applyFont="1" applyFill="1" applyBorder="1"/>
    <xf numFmtId="0" fontId="12914" fillId="12919" borderId="12866" xfId="0" applyFont="1" applyFill="1" applyBorder="1"/>
    <xf numFmtId="165" fontId="12915" fillId="12920" borderId="12867" xfId="0" applyNumberFormat="1" applyFont="1" applyFill="1" applyBorder="1"/>
    <xf numFmtId="165" fontId="12916" fillId="12921" borderId="12868" xfId="0" applyNumberFormat="1" applyFont="1" applyFill="1" applyBorder="1"/>
    <xf numFmtId="169" fontId="12917" fillId="12922" borderId="12869" xfId="0" applyNumberFormat="1" applyFont="1" applyFill="1" applyBorder="1"/>
    <xf numFmtId="168" fontId="12918" fillId="12923" borderId="12870" xfId="0" applyNumberFormat="1" applyFont="1" applyFill="1" applyBorder="1"/>
    <xf numFmtId="165" fontId="12919" fillId="12924" borderId="12871" xfId="0" applyNumberFormat="1" applyFont="1" applyFill="1" applyBorder="1"/>
    <xf numFmtId="0" fontId="12920" fillId="12925" borderId="12872" xfId="0" applyFont="1" applyFill="1" applyBorder="1" applyAlignment="1">
      <alignment horizontal="center"/>
    </xf>
    <xf numFmtId="0" fontId="12921" fillId="12926" borderId="12873" xfId="0" applyFont="1" applyFill="1" applyBorder="1" applyAlignment="1">
      <alignment horizontal="center"/>
    </xf>
    <xf numFmtId="0" fontId="12922" fillId="12927" borderId="12874" xfId="0" applyFont="1" applyFill="1" applyBorder="1"/>
    <xf numFmtId="165" fontId="12923" fillId="12928" borderId="12875" xfId="0" applyNumberFormat="1" applyFont="1" applyFill="1" applyBorder="1"/>
    <xf numFmtId="0" fontId="12924" fillId="12929" borderId="12876" xfId="0" applyFont="1" applyFill="1" applyBorder="1"/>
    <xf numFmtId="0" fontId="12925" fillId="12930" borderId="12877" xfId="0" applyFont="1" applyFill="1" applyBorder="1" applyAlignment="1">
      <alignment horizontal="center"/>
    </xf>
    <xf numFmtId="14" fontId="12926" fillId="12931" borderId="12878" xfId="0" applyNumberFormat="1" applyFont="1" applyFill="1" applyBorder="1"/>
    <xf numFmtId="0" fontId="12927" fillId="12932" borderId="12879" xfId="0" applyFont="1" applyFill="1" applyBorder="1" applyAlignment="1">
      <alignment horizontal="center"/>
    </xf>
    <xf numFmtId="0" fontId="12928" fillId="12933" borderId="12880" xfId="0" applyFont="1" applyFill="1" applyBorder="1"/>
    <xf numFmtId="0" fontId="12929" fillId="12934" borderId="12881" xfId="0" applyFont="1" applyFill="1" applyBorder="1"/>
    <xf numFmtId="165" fontId="12930" fillId="12935" borderId="12882" xfId="0" applyNumberFormat="1" applyFont="1" applyFill="1" applyBorder="1"/>
    <xf numFmtId="165" fontId="12931" fillId="12936" borderId="12883" xfId="0" applyNumberFormat="1" applyFont="1" applyFill="1" applyBorder="1"/>
    <xf numFmtId="169" fontId="12932" fillId="12937" borderId="12884" xfId="0" applyNumberFormat="1" applyFont="1" applyFill="1" applyBorder="1"/>
    <xf numFmtId="168" fontId="12933" fillId="12938" borderId="12885" xfId="0" applyNumberFormat="1" applyFont="1" applyFill="1" applyBorder="1"/>
    <xf numFmtId="165" fontId="12934" fillId="12939" borderId="12886" xfId="0" applyNumberFormat="1" applyFont="1" applyFill="1" applyBorder="1"/>
    <xf numFmtId="0" fontId="12935" fillId="12940" borderId="12887" xfId="0" applyFont="1" applyFill="1" applyBorder="1" applyAlignment="1">
      <alignment horizontal="center"/>
    </xf>
    <xf numFmtId="0" fontId="12936" fillId="12941" borderId="12888" xfId="0" applyFont="1" applyFill="1" applyBorder="1" applyAlignment="1">
      <alignment horizontal="center"/>
    </xf>
    <xf numFmtId="0" fontId="12937" fillId="12942" borderId="12889" xfId="0" applyFont="1" applyFill="1" applyBorder="1"/>
    <xf numFmtId="165" fontId="12938" fillId="12943" borderId="12890" xfId="0" applyNumberFormat="1" applyFont="1" applyFill="1" applyBorder="1"/>
    <xf numFmtId="0" fontId="12939" fillId="12944" borderId="12891" xfId="0" applyFont="1" applyFill="1" applyBorder="1"/>
    <xf numFmtId="0" fontId="12940" fillId="12945" borderId="12892" xfId="0" applyFont="1" applyFill="1" applyBorder="1" applyAlignment="1">
      <alignment horizontal="center"/>
    </xf>
    <xf numFmtId="14" fontId="12941" fillId="12946" borderId="12893" xfId="0" applyNumberFormat="1" applyFont="1" applyFill="1" applyBorder="1"/>
    <xf numFmtId="0" fontId="12942" fillId="12947" borderId="12894" xfId="0" applyFont="1" applyFill="1" applyBorder="1" applyAlignment="1">
      <alignment horizontal="center"/>
    </xf>
    <xf numFmtId="0" fontId="12943" fillId="12948" borderId="12895" xfId="0" applyFont="1" applyFill="1" applyBorder="1"/>
    <xf numFmtId="0" fontId="12944" fillId="12949" borderId="12896" xfId="0" applyFont="1" applyFill="1" applyBorder="1"/>
    <xf numFmtId="165" fontId="12945" fillId="12950" borderId="12897" xfId="0" applyNumberFormat="1" applyFont="1" applyFill="1" applyBorder="1"/>
    <xf numFmtId="165" fontId="12946" fillId="12951" borderId="12898" xfId="0" applyNumberFormat="1" applyFont="1" applyFill="1" applyBorder="1"/>
    <xf numFmtId="169" fontId="12947" fillId="12952" borderId="12899" xfId="0" applyNumberFormat="1" applyFont="1" applyFill="1" applyBorder="1"/>
    <xf numFmtId="168" fontId="12948" fillId="12953" borderId="12900" xfId="0" applyNumberFormat="1" applyFont="1" applyFill="1" applyBorder="1"/>
    <xf numFmtId="165" fontId="12949" fillId="12954" borderId="12901" xfId="0" applyNumberFormat="1" applyFont="1" applyFill="1" applyBorder="1"/>
    <xf numFmtId="0" fontId="12950" fillId="12955" borderId="12902" xfId="0" applyFont="1" applyFill="1" applyBorder="1" applyAlignment="1">
      <alignment horizontal="center"/>
    </xf>
    <xf numFmtId="0" fontId="12951" fillId="12956" borderId="12903" xfId="0" applyFont="1" applyFill="1" applyBorder="1" applyAlignment="1">
      <alignment horizontal="center"/>
    </xf>
    <xf numFmtId="0" fontId="12952" fillId="12957" borderId="12904" xfId="0" applyFont="1" applyFill="1" applyBorder="1"/>
    <xf numFmtId="165" fontId="12953" fillId="12958" borderId="12905" xfId="0" applyNumberFormat="1" applyFont="1" applyFill="1" applyBorder="1"/>
    <xf numFmtId="0" fontId="12954" fillId="12959" borderId="12906" xfId="0" applyFont="1" applyFill="1" applyBorder="1"/>
    <xf numFmtId="0" fontId="12955" fillId="12960" borderId="12907" xfId="0" applyFont="1" applyFill="1" applyBorder="1" applyAlignment="1">
      <alignment horizontal="center"/>
    </xf>
    <xf numFmtId="14" fontId="12956" fillId="12961" borderId="12908" xfId="0" applyNumberFormat="1" applyFont="1" applyFill="1" applyBorder="1"/>
    <xf numFmtId="0" fontId="12957" fillId="12962" borderId="12909" xfId="0" applyFont="1" applyFill="1" applyBorder="1" applyAlignment="1">
      <alignment horizontal="center"/>
    </xf>
    <xf numFmtId="0" fontId="12958" fillId="12963" borderId="12910" xfId="0" applyFont="1" applyFill="1" applyBorder="1"/>
    <xf numFmtId="0" fontId="12959" fillId="12964" borderId="12911" xfId="0" applyFont="1" applyFill="1" applyBorder="1"/>
    <xf numFmtId="165" fontId="12960" fillId="12965" borderId="12912" xfId="0" applyNumberFormat="1" applyFont="1" applyFill="1" applyBorder="1"/>
    <xf numFmtId="165" fontId="12961" fillId="12966" borderId="12913" xfId="0" applyNumberFormat="1" applyFont="1" applyFill="1" applyBorder="1"/>
    <xf numFmtId="169" fontId="12962" fillId="12967" borderId="12914" xfId="0" applyNumberFormat="1" applyFont="1" applyFill="1" applyBorder="1"/>
    <xf numFmtId="168" fontId="12963" fillId="12968" borderId="12915" xfId="0" applyNumberFormat="1" applyFont="1" applyFill="1" applyBorder="1"/>
    <xf numFmtId="165" fontId="12964" fillId="12969" borderId="12916" xfId="0" applyNumberFormat="1" applyFont="1" applyFill="1" applyBorder="1"/>
    <xf numFmtId="0" fontId="12965" fillId="12970" borderId="12917" xfId="0" applyFont="1" applyFill="1" applyBorder="1" applyAlignment="1">
      <alignment horizontal="center"/>
    </xf>
    <xf numFmtId="0" fontId="12966" fillId="12971" borderId="12918" xfId="0" applyFont="1" applyFill="1" applyBorder="1" applyAlignment="1">
      <alignment horizontal="center"/>
    </xf>
    <xf numFmtId="0" fontId="12967" fillId="12972" borderId="12919" xfId="0" applyFont="1" applyFill="1" applyBorder="1"/>
    <xf numFmtId="165" fontId="12968" fillId="12973" borderId="12920" xfId="0" applyNumberFormat="1" applyFont="1" applyFill="1" applyBorder="1"/>
    <xf numFmtId="0" fontId="12969" fillId="12974" borderId="12921" xfId="0" applyFont="1" applyFill="1" applyBorder="1"/>
    <xf numFmtId="0" fontId="12970" fillId="12975" borderId="12922" xfId="0" applyFont="1" applyFill="1" applyBorder="1" applyAlignment="1">
      <alignment horizontal="center"/>
    </xf>
    <xf numFmtId="14" fontId="12971" fillId="12976" borderId="12923" xfId="0" applyNumberFormat="1" applyFont="1" applyFill="1" applyBorder="1"/>
    <xf numFmtId="0" fontId="12972" fillId="12977" borderId="12924" xfId="0" applyFont="1" applyFill="1" applyBorder="1" applyAlignment="1">
      <alignment horizontal="center"/>
    </xf>
    <xf numFmtId="0" fontId="12973" fillId="12978" borderId="12925" xfId="0" applyFont="1" applyFill="1" applyBorder="1"/>
    <xf numFmtId="0" fontId="12974" fillId="12979" borderId="12926" xfId="0" applyFont="1" applyFill="1" applyBorder="1"/>
    <xf numFmtId="165" fontId="12975" fillId="12980" borderId="12927" xfId="0" applyNumberFormat="1" applyFont="1" applyFill="1" applyBorder="1"/>
    <xf numFmtId="165" fontId="12976" fillId="12981" borderId="12928" xfId="0" applyNumberFormat="1" applyFont="1" applyFill="1" applyBorder="1"/>
    <xf numFmtId="169" fontId="12977" fillId="12982" borderId="12929" xfId="0" applyNumberFormat="1" applyFont="1" applyFill="1" applyBorder="1"/>
    <xf numFmtId="168" fontId="12978" fillId="12983" borderId="12930" xfId="0" applyNumberFormat="1" applyFont="1" applyFill="1" applyBorder="1"/>
    <xf numFmtId="165" fontId="12979" fillId="12984" borderId="12931" xfId="0" applyNumberFormat="1" applyFont="1" applyFill="1" applyBorder="1"/>
    <xf numFmtId="0" fontId="12980" fillId="12985" borderId="12932" xfId="0" applyFont="1" applyFill="1" applyBorder="1" applyAlignment="1">
      <alignment horizontal="center"/>
    </xf>
    <xf numFmtId="0" fontId="12981" fillId="12986" borderId="12933" xfId="0" applyFont="1" applyFill="1" applyBorder="1" applyAlignment="1">
      <alignment horizontal="center"/>
    </xf>
    <xf numFmtId="0" fontId="12982" fillId="12987" borderId="12934" xfId="0" applyFont="1" applyFill="1" applyBorder="1"/>
    <xf numFmtId="165" fontId="12983" fillId="12988" borderId="12935" xfId="0" applyNumberFormat="1" applyFont="1" applyFill="1" applyBorder="1"/>
    <xf numFmtId="0" fontId="12984" fillId="12989" borderId="12936" xfId="0" applyFont="1" applyFill="1" applyBorder="1"/>
    <xf numFmtId="0" fontId="12985" fillId="12990" borderId="12937" xfId="0" applyFont="1" applyFill="1" applyBorder="1" applyAlignment="1">
      <alignment horizontal="center"/>
    </xf>
    <xf numFmtId="14" fontId="12986" fillId="12991" borderId="12938" xfId="0" applyNumberFormat="1" applyFont="1" applyFill="1" applyBorder="1"/>
    <xf numFmtId="0" fontId="12987" fillId="12992" borderId="12939" xfId="0" applyFont="1" applyFill="1" applyBorder="1" applyAlignment="1">
      <alignment horizontal="center"/>
    </xf>
    <xf numFmtId="0" fontId="12988" fillId="12993" borderId="12940" xfId="0" applyFont="1" applyFill="1" applyBorder="1"/>
    <xf numFmtId="0" fontId="12989" fillId="12994" borderId="12941" xfId="0" applyFont="1" applyFill="1" applyBorder="1"/>
    <xf numFmtId="165" fontId="12990" fillId="12995" borderId="12942" xfId="0" applyNumberFormat="1" applyFont="1" applyFill="1" applyBorder="1"/>
    <xf numFmtId="165" fontId="12991" fillId="12996" borderId="12943" xfId="0" applyNumberFormat="1" applyFont="1" applyFill="1" applyBorder="1"/>
    <xf numFmtId="169" fontId="12992" fillId="12997" borderId="12944" xfId="0" applyNumberFormat="1" applyFont="1" applyFill="1" applyBorder="1"/>
    <xf numFmtId="168" fontId="12993" fillId="12998" borderId="12945" xfId="0" applyNumberFormat="1" applyFont="1" applyFill="1" applyBorder="1"/>
    <xf numFmtId="165" fontId="12994" fillId="12999" borderId="12946" xfId="0" applyNumberFormat="1" applyFont="1" applyFill="1" applyBorder="1"/>
    <xf numFmtId="0" fontId="12995" fillId="13000" borderId="12947" xfId="0" applyFont="1" applyFill="1" applyBorder="1" applyAlignment="1">
      <alignment horizontal="center"/>
    </xf>
    <xf numFmtId="0" fontId="12996" fillId="13001" borderId="12948" xfId="0" applyFont="1" applyFill="1" applyBorder="1" applyAlignment="1">
      <alignment horizontal="center"/>
    </xf>
    <xf numFmtId="0" fontId="12997" fillId="13002" borderId="12949" xfId="0" applyFont="1" applyFill="1" applyBorder="1"/>
    <xf numFmtId="165" fontId="12998" fillId="13003" borderId="12950" xfId="0" applyNumberFormat="1" applyFont="1" applyFill="1" applyBorder="1"/>
    <xf numFmtId="0" fontId="12999" fillId="13004" borderId="12951" xfId="0" applyFont="1" applyFill="1" applyBorder="1"/>
    <xf numFmtId="0" fontId="13000" fillId="13005" borderId="12952" xfId="0" applyFont="1" applyFill="1" applyBorder="1" applyAlignment="1">
      <alignment horizontal="center"/>
    </xf>
    <xf numFmtId="14" fontId="13001" fillId="13006" borderId="12953" xfId="0" applyNumberFormat="1" applyFont="1" applyFill="1" applyBorder="1"/>
    <xf numFmtId="0" fontId="13002" fillId="13007" borderId="12954" xfId="0" applyFont="1" applyFill="1" applyBorder="1" applyAlignment="1">
      <alignment horizontal="center"/>
    </xf>
    <xf numFmtId="0" fontId="13003" fillId="13008" borderId="12955" xfId="0" applyFont="1" applyFill="1" applyBorder="1"/>
    <xf numFmtId="0" fontId="13004" fillId="13009" borderId="12956" xfId="0" applyFont="1" applyFill="1" applyBorder="1"/>
    <xf numFmtId="165" fontId="13005" fillId="13010" borderId="12957" xfId="0" applyNumberFormat="1" applyFont="1" applyFill="1" applyBorder="1"/>
    <xf numFmtId="165" fontId="13006" fillId="13011" borderId="12958" xfId="0" applyNumberFormat="1" applyFont="1" applyFill="1" applyBorder="1"/>
    <xf numFmtId="169" fontId="13007" fillId="13012" borderId="12959" xfId="0" applyNumberFormat="1" applyFont="1" applyFill="1" applyBorder="1"/>
    <xf numFmtId="168" fontId="13008" fillId="13013" borderId="12960" xfId="0" applyNumberFormat="1" applyFont="1" applyFill="1" applyBorder="1"/>
    <xf numFmtId="165" fontId="13009" fillId="13014" borderId="12961" xfId="0" applyNumberFormat="1" applyFont="1" applyFill="1" applyBorder="1"/>
    <xf numFmtId="0" fontId="13010" fillId="13015" borderId="12962" xfId="0" applyFont="1" applyFill="1" applyBorder="1" applyAlignment="1">
      <alignment horizontal="center"/>
    </xf>
    <xf numFmtId="0" fontId="13011" fillId="13016" borderId="12963" xfId="0" applyFont="1" applyFill="1" applyBorder="1" applyAlignment="1">
      <alignment horizontal="center"/>
    </xf>
    <xf numFmtId="0" fontId="13012" fillId="13017" borderId="12964" xfId="0" applyFont="1" applyFill="1" applyBorder="1"/>
    <xf numFmtId="165" fontId="13013" fillId="13018" borderId="12965" xfId="0" applyNumberFormat="1" applyFont="1" applyFill="1" applyBorder="1"/>
    <xf numFmtId="0" fontId="13014" fillId="13019" borderId="12966" xfId="0" applyFont="1" applyFill="1" applyBorder="1"/>
    <xf numFmtId="0" fontId="13015" fillId="13020" borderId="12967" xfId="0" applyFont="1" applyFill="1" applyBorder="1" applyAlignment="1">
      <alignment horizontal="center"/>
    </xf>
    <xf numFmtId="14" fontId="13016" fillId="13021" borderId="12968" xfId="0" applyNumberFormat="1" applyFont="1" applyFill="1" applyBorder="1"/>
    <xf numFmtId="0" fontId="13017" fillId="13022" borderId="12969" xfId="0" applyFont="1" applyFill="1" applyBorder="1" applyAlignment="1">
      <alignment horizontal="center"/>
    </xf>
    <xf numFmtId="0" fontId="13018" fillId="13023" borderId="12970" xfId="0" applyFont="1" applyFill="1" applyBorder="1"/>
    <xf numFmtId="0" fontId="13019" fillId="13024" borderId="12971" xfId="0" applyFont="1" applyFill="1" applyBorder="1"/>
    <xf numFmtId="165" fontId="13020" fillId="13025" borderId="12972" xfId="0" applyNumberFormat="1" applyFont="1" applyFill="1" applyBorder="1"/>
    <xf numFmtId="165" fontId="13021" fillId="13026" borderId="12973" xfId="0" applyNumberFormat="1" applyFont="1" applyFill="1" applyBorder="1"/>
    <xf numFmtId="169" fontId="13022" fillId="13027" borderId="12974" xfId="0" applyNumberFormat="1" applyFont="1" applyFill="1" applyBorder="1"/>
    <xf numFmtId="168" fontId="13023" fillId="13028" borderId="12975" xfId="0" applyNumberFormat="1" applyFont="1" applyFill="1" applyBorder="1"/>
    <xf numFmtId="165" fontId="13024" fillId="13029" borderId="12976" xfId="0" applyNumberFormat="1" applyFont="1" applyFill="1" applyBorder="1"/>
    <xf numFmtId="0" fontId="13025" fillId="13030" borderId="12977" xfId="0" applyFont="1" applyFill="1" applyBorder="1" applyAlignment="1">
      <alignment horizontal="center"/>
    </xf>
    <xf numFmtId="0" fontId="13026" fillId="13031" borderId="12978" xfId="0" applyFont="1" applyFill="1" applyBorder="1" applyAlignment="1">
      <alignment horizontal="center"/>
    </xf>
    <xf numFmtId="0" fontId="13027" fillId="13032" borderId="12979" xfId="0" applyFont="1" applyFill="1" applyBorder="1"/>
    <xf numFmtId="165" fontId="13028" fillId="13033" borderId="12980" xfId="0" applyNumberFormat="1" applyFont="1" applyFill="1" applyBorder="1"/>
    <xf numFmtId="0" fontId="13029" fillId="13034" borderId="12981" xfId="0" applyFont="1" applyFill="1" applyBorder="1"/>
    <xf numFmtId="0" fontId="13030" fillId="13035" borderId="12982" xfId="0" applyFont="1" applyFill="1" applyBorder="1" applyAlignment="1">
      <alignment horizontal="center"/>
    </xf>
    <xf numFmtId="14" fontId="13031" fillId="13036" borderId="12983" xfId="0" applyNumberFormat="1" applyFont="1" applyFill="1" applyBorder="1"/>
    <xf numFmtId="0" fontId="13032" fillId="13037" borderId="12984" xfId="0" applyFont="1" applyFill="1" applyBorder="1" applyAlignment="1">
      <alignment horizontal="center"/>
    </xf>
    <xf numFmtId="0" fontId="13033" fillId="13038" borderId="12985" xfId="0" applyFont="1" applyFill="1" applyBorder="1"/>
    <xf numFmtId="0" fontId="13034" fillId="13039" borderId="12986" xfId="0" applyFont="1" applyFill="1" applyBorder="1"/>
    <xf numFmtId="165" fontId="13035" fillId="13040" borderId="12987" xfId="0" applyNumberFormat="1" applyFont="1" applyFill="1" applyBorder="1"/>
    <xf numFmtId="165" fontId="13036" fillId="13041" borderId="12988" xfId="0" applyNumberFormat="1" applyFont="1" applyFill="1" applyBorder="1"/>
    <xf numFmtId="169" fontId="13037" fillId="13042" borderId="12989" xfId="0" applyNumberFormat="1" applyFont="1" applyFill="1" applyBorder="1"/>
    <xf numFmtId="168" fontId="13038" fillId="13043" borderId="12990" xfId="0" applyNumberFormat="1" applyFont="1" applyFill="1" applyBorder="1"/>
    <xf numFmtId="165" fontId="13039" fillId="13044" borderId="12991" xfId="0" applyNumberFormat="1" applyFont="1" applyFill="1" applyBorder="1"/>
    <xf numFmtId="0" fontId="13040" fillId="13045" borderId="12992" xfId="0" applyFont="1" applyFill="1" applyBorder="1" applyAlignment="1">
      <alignment horizontal="center"/>
    </xf>
    <xf numFmtId="0" fontId="13041" fillId="13046" borderId="12993" xfId="0" applyFont="1" applyFill="1" applyBorder="1" applyAlignment="1">
      <alignment horizontal="center"/>
    </xf>
    <xf numFmtId="0" fontId="13042" fillId="13047" borderId="12994" xfId="0" applyFont="1" applyFill="1" applyBorder="1"/>
    <xf numFmtId="165" fontId="13043" fillId="13048" borderId="12995" xfId="0" applyNumberFormat="1" applyFont="1" applyFill="1" applyBorder="1"/>
    <xf numFmtId="0" fontId="13044" fillId="13049" borderId="12996" xfId="0" applyFont="1" applyFill="1" applyBorder="1"/>
    <xf numFmtId="0" fontId="13045" fillId="13050" borderId="12997" xfId="0" applyFont="1" applyFill="1" applyBorder="1" applyAlignment="1">
      <alignment horizontal="center"/>
    </xf>
    <xf numFmtId="14" fontId="13046" fillId="13051" borderId="12998" xfId="0" applyNumberFormat="1" applyFont="1" applyFill="1" applyBorder="1"/>
    <xf numFmtId="0" fontId="13047" fillId="13052" borderId="12999" xfId="0" applyFont="1" applyFill="1" applyBorder="1" applyAlignment="1">
      <alignment horizontal="center"/>
    </xf>
    <xf numFmtId="0" fontId="13048" fillId="13053" borderId="13000" xfId="0" applyFont="1" applyFill="1" applyBorder="1"/>
    <xf numFmtId="0" fontId="13049" fillId="13054" borderId="13001" xfId="0" applyFont="1" applyFill="1" applyBorder="1"/>
    <xf numFmtId="165" fontId="13050" fillId="13055" borderId="13002" xfId="0" applyNumberFormat="1" applyFont="1" applyFill="1" applyBorder="1"/>
    <xf numFmtId="165" fontId="13051" fillId="13056" borderId="13003" xfId="0" applyNumberFormat="1" applyFont="1" applyFill="1" applyBorder="1"/>
    <xf numFmtId="169" fontId="13052" fillId="13057" borderId="13004" xfId="0" applyNumberFormat="1" applyFont="1" applyFill="1" applyBorder="1"/>
    <xf numFmtId="168" fontId="13053" fillId="13058" borderId="13005" xfId="0" applyNumberFormat="1" applyFont="1" applyFill="1" applyBorder="1"/>
    <xf numFmtId="165" fontId="13054" fillId="13059" borderId="13006" xfId="0" applyNumberFormat="1" applyFont="1" applyFill="1" applyBorder="1"/>
    <xf numFmtId="0" fontId="13055" fillId="13060" borderId="13007" xfId="0" applyFont="1" applyFill="1" applyBorder="1" applyAlignment="1">
      <alignment horizontal="center"/>
    </xf>
    <xf numFmtId="0" fontId="13056" fillId="13061" borderId="13008" xfId="0" applyFont="1" applyFill="1" applyBorder="1" applyAlignment="1">
      <alignment horizontal="center"/>
    </xf>
    <xf numFmtId="0" fontId="13057" fillId="13062" borderId="13009" xfId="0" applyFont="1" applyFill="1" applyBorder="1"/>
    <xf numFmtId="165" fontId="13058" fillId="13063" borderId="13010" xfId="0" applyNumberFormat="1" applyFont="1" applyFill="1" applyBorder="1"/>
    <xf numFmtId="0" fontId="13059" fillId="13064" borderId="13011" xfId="0" applyFont="1" applyFill="1" applyBorder="1"/>
    <xf numFmtId="0" fontId="13060" fillId="13065" borderId="13012" xfId="0" applyFont="1" applyFill="1" applyBorder="1" applyAlignment="1">
      <alignment horizontal="center"/>
    </xf>
    <xf numFmtId="14" fontId="13061" fillId="13066" borderId="13013" xfId="0" applyNumberFormat="1" applyFont="1" applyFill="1" applyBorder="1"/>
    <xf numFmtId="0" fontId="13062" fillId="13067" borderId="13014" xfId="0" applyFont="1" applyFill="1" applyBorder="1" applyAlignment="1">
      <alignment horizontal="center"/>
    </xf>
    <xf numFmtId="0" fontId="13063" fillId="13068" borderId="13015" xfId="0" applyFont="1" applyFill="1" applyBorder="1"/>
    <xf numFmtId="0" fontId="13064" fillId="13069" borderId="13016" xfId="0" applyFont="1" applyFill="1" applyBorder="1"/>
    <xf numFmtId="165" fontId="13065" fillId="13070" borderId="13017" xfId="0" applyNumberFormat="1" applyFont="1" applyFill="1" applyBorder="1"/>
    <xf numFmtId="165" fontId="13066" fillId="13071" borderId="13018" xfId="0" applyNumberFormat="1" applyFont="1" applyFill="1" applyBorder="1"/>
    <xf numFmtId="169" fontId="13067" fillId="13072" borderId="13019" xfId="0" applyNumberFormat="1" applyFont="1" applyFill="1" applyBorder="1"/>
    <xf numFmtId="168" fontId="13068" fillId="13073" borderId="13020" xfId="0" applyNumberFormat="1" applyFont="1" applyFill="1" applyBorder="1"/>
    <xf numFmtId="165" fontId="13069" fillId="13074" borderId="13021" xfId="0" applyNumberFormat="1" applyFont="1" applyFill="1" applyBorder="1"/>
    <xf numFmtId="0" fontId="13070" fillId="13075" borderId="13022" xfId="0" applyFont="1" applyFill="1" applyBorder="1" applyAlignment="1">
      <alignment horizontal="center"/>
    </xf>
    <xf numFmtId="0" fontId="13071" fillId="13076" borderId="13023" xfId="0" applyFont="1" applyFill="1" applyBorder="1" applyAlignment="1">
      <alignment horizontal="center"/>
    </xf>
    <xf numFmtId="0" fontId="13072" fillId="13077" borderId="13024" xfId="0" applyFont="1" applyFill="1" applyBorder="1"/>
    <xf numFmtId="165" fontId="13073" fillId="13078" borderId="13025" xfId="0" applyNumberFormat="1" applyFont="1" applyFill="1" applyBorder="1"/>
    <xf numFmtId="0" fontId="13074" fillId="13079" borderId="13026" xfId="0" applyFont="1" applyFill="1" applyBorder="1"/>
    <xf numFmtId="0" fontId="13075" fillId="13080" borderId="13027" xfId="0" applyFont="1" applyFill="1" applyBorder="1" applyAlignment="1">
      <alignment horizontal="center"/>
    </xf>
    <xf numFmtId="14" fontId="13076" fillId="13081" borderId="13028" xfId="0" applyNumberFormat="1" applyFont="1" applyFill="1" applyBorder="1"/>
    <xf numFmtId="0" fontId="13077" fillId="13082" borderId="13029" xfId="0" applyFont="1" applyFill="1" applyBorder="1" applyAlignment="1">
      <alignment horizontal="center"/>
    </xf>
    <xf numFmtId="0" fontId="13078" fillId="13083" borderId="13030" xfId="0" applyFont="1" applyFill="1" applyBorder="1"/>
    <xf numFmtId="0" fontId="13079" fillId="13084" borderId="13031" xfId="0" applyFont="1" applyFill="1" applyBorder="1"/>
    <xf numFmtId="165" fontId="13080" fillId="13085" borderId="13032" xfId="0" applyNumberFormat="1" applyFont="1" applyFill="1" applyBorder="1"/>
    <xf numFmtId="165" fontId="13081" fillId="13086" borderId="13033" xfId="0" applyNumberFormat="1" applyFont="1" applyFill="1" applyBorder="1"/>
    <xf numFmtId="169" fontId="13082" fillId="13087" borderId="13034" xfId="0" applyNumberFormat="1" applyFont="1" applyFill="1" applyBorder="1"/>
    <xf numFmtId="168" fontId="13083" fillId="13088" borderId="13035" xfId="0" applyNumberFormat="1" applyFont="1" applyFill="1" applyBorder="1"/>
    <xf numFmtId="165" fontId="13084" fillId="13089" borderId="13036" xfId="0" applyNumberFormat="1" applyFont="1" applyFill="1" applyBorder="1"/>
    <xf numFmtId="0" fontId="13085" fillId="13090" borderId="13037" xfId="0" applyFont="1" applyFill="1" applyBorder="1" applyAlignment="1">
      <alignment horizontal="center"/>
    </xf>
    <xf numFmtId="0" fontId="13086" fillId="13091" borderId="13038" xfId="0" applyFont="1" applyFill="1" applyBorder="1" applyAlignment="1">
      <alignment horizontal="center"/>
    </xf>
    <xf numFmtId="0" fontId="13087" fillId="13092" borderId="13039" xfId="0" applyFont="1" applyFill="1" applyBorder="1"/>
    <xf numFmtId="165" fontId="13088" fillId="13093" borderId="13040" xfId="0" applyNumberFormat="1" applyFont="1" applyFill="1" applyBorder="1"/>
    <xf numFmtId="0" fontId="13089" fillId="13094" borderId="13041" xfId="0" applyFont="1" applyFill="1" applyBorder="1"/>
    <xf numFmtId="0" fontId="13090" fillId="13095" borderId="13042" xfId="0" applyFont="1" applyFill="1" applyBorder="1" applyAlignment="1">
      <alignment horizontal="center"/>
    </xf>
    <xf numFmtId="14" fontId="13091" fillId="13096" borderId="13043" xfId="0" applyNumberFormat="1" applyFont="1" applyFill="1" applyBorder="1"/>
    <xf numFmtId="0" fontId="13092" fillId="13097" borderId="13044" xfId="0" applyFont="1" applyFill="1" applyBorder="1" applyAlignment="1">
      <alignment horizontal="center"/>
    </xf>
    <xf numFmtId="0" fontId="13093" fillId="13098" borderId="13045" xfId="0" applyFont="1" applyFill="1" applyBorder="1"/>
    <xf numFmtId="0" fontId="13094" fillId="13099" borderId="13046" xfId="0" applyFont="1" applyFill="1" applyBorder="1"/>
    <xf numFmtId="165" fontId="13095" fillId="13100" borderId="13047" xfId="0" applyNumberFormat="1" applyFont="1" applyFill="1" applyBorder="1"/>
    <xf numFmtId="165" fontId="13096" fillId="13101" borderId="13048" xfId="0" applyNumberFormat="1" applyFont="1" applyFill="1" applyBorder="1"/>
    <xf numFmtId="169" fontId="13097" fillId="13102" borderId="13049" xfId="0" applyNumberFormat="1" applyFont="1" applyFill="1" applyBorder="1"/>
    <xf numFmtId="168" fontId="13098" fillId="13103" borderId="13050" xfId="0" applyNumberFormat="1" applyFont="1" applyFill="1" applyBorder="1"/>
    <xf numFmtId="165" fontId="13099" fillId="13104" borderId="13051" xfId="0" applyNumberFormat="1" applyFont="1" applyFill="1" applyBorder="1"/>
    <xf numFmtId="0" fontId="13100" fillId="13105" borderId="13052" xfId="0" applyFont="1" applyFill="1" applyBorder="1" applyAlignment="1">
      <alignment horizontal="center"/>
    </xf>
    <xf numFmtId="0" fontId="13101" fillId="13106" borderId="13053" xfId="0" applyFont="1" applyFill="1" applyBorder="1" applyAlignment="1">
      <alignment horizontal="center"/>
    </xf>
    <xf numFmtId="0" fontId="13102" fillId="13107" borderId="13054" xfId="0" applyFont="1" applyFill="1" applyBorder="1"/>
    <xf numFmtId="165" fontId="13103" fillId="13108" borderId="13055" xfId="0" applyNumberFormat="1" applyFont="1" applyFill="1" applyBorder="1"/>
    <xf numFmtId="0" fontId="13104" fillId="13109" borderId="13056" xfId="0" applyFont="1" applyFill="1" applyBorder="1"/>
    <xf numFmtId="0" fontId="13105" fillId="13110" borderId="13057" xfId="0" applyFont="1" applyFill="1" applyBorder="1" applyAlignment="1">
      <alignment horizontal="center"/>
    </xf>
    <xf numFmtId="14" fontId="13106" fillId="13111" borderId="13058" xfId="0" applyNumberFormat="1" applyFont="1" applyFill="1" applyBorder="1"/>
    <xf numFmtId="0" fontId="13107" fillId="13112" borderId="13059" xfId="0" applyFont="1" applyFill="1" applyBorder="1" applyAlignment="1">
      <alignment horizontal="center"/>
    </xf>
    <xf numFmtId="0" fontId="13108" fillId="13113" borderId="13060" xfId="0" applyFont="1" applyFill="1" applyBorder="1"/>
    <xf numFmtId="0" fontId="13109" fillId="13114" borderId="13061" xfId="0" applyFont="1" applyFill="1" applyBorder="1"/>
    <xf numFmtId="165" fontId="13110" fillId="13115" borderId="13062" xfId="0" applyNumberFormat="1" applyFont="1" applyFill="1" applyBorder="1"/>
    <xf numFmtId="165" fontId="13111" fillId="13116" borderId="13063" xfId="0" applyNumberFormat="1" applyFont="1" applyFill="1" applyBorder="1"/>
    <xf numFmtId="169" fontId="13112" fillId="13117" borderId="13064" xfId="0" applyNumberFormat="1" applyFont="1" applyFill="1" applyBorder="1"/>
    <xf numFmtId="168" fontId="13113" fillId="13118" borderId="13065" xfId="0" applyNumberFormat="1" applyFont="1" applyFill="1" applyBorder="1"/>
    <xf numFmtId="165" fontId="13114" fillId="13119" borderId="13066" xfId="0" applyNumberFormat="1" applyFont="1" applyFill="1" applyBorder="1"/>
    <xf numFmtId="0" fontId="13115" fillId="13120" borderId="13067" xfId="0" applyFont="1" applyFill="1" applyBorder="1" applyAlignment="1">
      <alignment horizontal="center"/>
    </xf>
    <xf numFmtId="0" fontId="13116" fillId="13121" borderId="13068" xfId="0" applyFont="1" applyFill="1" applyBorder="1" applyAlignment="1">
      <alignment horizontal="center"/>
    </xf>
    <xf numFmtId="0" fontId="13117" fillId="13122" borderId="13069" xfId="0" applyFont="1" applyFill="1" applyBorder="1"/>
    <xf numFmtId="165" fontId="13118" fillId="13123" borderId="13070" xfId="0" applyNumberFormat="1" applyFont="1" applyFill="1" applyBorder="1"/>
    <xf numFmtId="0" fontId="13119" fillId="13124" borderId="13071" xfId="0" applyFont="1" applyFill="1" applyBorder="1"/>
    <xf numFmtId="0" fontId="13120" fillId="13125" borderId="13072" xfId="0" applyFont="1" applyFill="1" applyBorder="1" applyAlignment="1">
      <alignment horizontal="center"/>
    </xf>
    <xf numFmtId="14" fontId="13121" fillId="13126" borderId="13073" xfId="0" applyNumberFormat="1" applyFont="1" applyFill="1" applyBorder="1"/>
    <xf numFmtId="0" fontId="13122" fillId="13127" borderId="13074" xfId="0" applyFont="1" applyFill="1" applyBorder="1" applyAlignment="1">
      <alignment horizontal="center"/>
    </xf>
    <xf numFmtId="0" fontId="13123" fillId="13128" borderId="13075" xfId="0" applyFont="1" applyFill="1" applyBorder="1"/>
    <xf numFmtId="0" fontId="13124" fillId="13129" borderId="13076" xfId="0" applyFont="1" applyFill="1" applyBorder="1"/>
    <xf numFmtId="165" fontId="13125" fillId="13130" borderId="13077" xfId="0" applyNumberFormat="1" applyFont="1" applyFill="1" applyBorder="1"/>
    <xf numFmtId="165" fontId="13126" fillId="13131" borderId="13078" xfId="0" applyNumberFormat="1" applyFont="1" applyFill="1" applyBorder="1"/>
    <xf numFmtId="169" fontId="13127" fillId="13132" borderId="13079" xfId="0" applyNumberFormat="1" applyFont="1" applyFill="1" applyBorder="1"/>
    <xf numFmtId="168" fontId="13128" fillId="13133" borderId="13080" xfId="0" applyNumberFormat="1" applyFont="1" applyFill="1" applyBorder="1"/>
    <xf numFmtId="165" fontId="13129" fillId="13134" borderId="13081" xfId="0" applyNumberFormat="1" applyFont="1" applyFill="1" applyBorder="1"/>
    <xf numFmtId="0" fontId="13130" fillId="13135" borderId="13082" xfId="0" applyFont="1" applyFill="1" applyBorder="1" applyAlignment="1">
      <alignment horizontal="center"/>
    </xf>
    <xf numFmtId="0" fontId="13131" fillId="13136" borderId="13083" xfId="0" applyFont="1" applyFill="1" applyBorder="1" applyAlignment="1">
      <alignment horizontal="center"/>
    </xf>
    <xf numFmtId="0" fontId="13132" fillId="13137" borderId="13084" xfId="0" applyFont="1" applyFill="1" applyBorder="1"/>
    <xf numFmtId="165" fontId="13133" fillId="13138" borderId="13085" xfId="0" applyNumberFormat="1" applyFont="1" applyFill="1" applyBorder="1"/>
    <xf numFmtId="0" fontId="13134" fillId="13139" borderId="13086" xfId="0" applyFont="1" applyFill="1" applyBorder="1"/>
    <xf numFmtId="0" fontId="13135" fillId="13140" borderId="13087" xfId="0" applyFont="1" applyFill="1" applyBorder="1" applyAlignment="1">
      <alignment horizontal="center"/>
    </xf>
    <xf numFmtId="14" fontId="13136" fillId="13141" borderId="13088" xfId="0" applyNumberFormat="1" applyFont="1" applyFill="1" applyBorder="1"/>
    <xf numFmtId="0" fontId="13137" fillId="13142" borderId="13089" xfId="0" applyFont="1" applyFill="1" applyBorder="1" applyAlignment="1">
      <alignment horizontal="center"/>
    </xf>
    <xf numFmtId="0" fontId="13138" fillId="13143" borderId="13090" xfId="0" applyFont="1" applyFill="1" applyBorder="1"/>
    <xf numFmtId="0" fontId="13139" fillId="13144" borderId="13091" xfId="0" applyFont="1" applyFill="1" applyBorder="1"/>
    <xf numFmtId="165" fontId="13140" fillId="13145" borderId="13092" xfId="0" applyNumberFormat="1" applyFont="1" applyFill="1" applyBorder="1"/>
    <xf numFmtId="165" fontId="13141" fillId="13146" borderId="13093" xfId="0" applyNumberFormat="1" applyFont="1" applyFill="1" applyBorder="1"/>
    <xf numFmtId="169" fontId="13142" fillId="13147" borderId="13094" xfId="0" applyNumberFormat="1" applyFont="1" applyFill="1" applyBorder="1"/>
    <xf numFmtId="168" fontId="13143" fillId="13148" borderId="13095" xfId="0" applyNumberFormat="1" applyFont="1" applyFill="1" applyBorder="1"/>
    <xf numFmtId="165" fontId="13144" fillId="13149" borderId="13096" xfId="0" applyNumberFormat="1" applyFont="1" applyFill="1" applyBorder="1"/>
    <xf numFmtId="0" fontId="13145" fillId="13150" borderId="13097" xfId="0" applyFont="1" applyFill="1" applyBorder="1" applyAlignment="1">
      <alignment horizontal="center"/>
    </xf>
    <xf numFmtId="0" fontId="13146" fillId="13151" borderId="13098" xfId="0" applyFont="1" applyFill="1" applyBorder="1" applyAlignment="1">
      <alignment horizontal="center"/>
    </xf>
    <xf numFmtId="0" fontId="13147" fillId="13152" borderId="13099" xfId="0" applyFont="1" applyFill="1" applyBorder="1"/>
    <xf numFmtId="165" fontId="13148" fillId="13153" borderId="13100" xfId="0" applyNumberFormat="1" applyFont="1" applyFill="1" applyBorder="1"/>
    <xf numFmtId="0" fontId="13149" fillId="13154" borderId="13101" xfId="0" applyFont="1" applyFill="1" applyBorder="1"/>
    <xf numFmtId="0" fontId="13150" fillId="13155" borderId="13102" xfId="0" applyFont="1" applyFill="1" applyBorder="1" applyAlignment="1">
      <alignment horizontal="center"/>
    </xf>
    <xf numFmtId="14" fontId="13151" fillId="13156" borderId="13103" xfId="0" applyNumberFormat="1" applyFont="1" applyFill="1" applyBorder="1"/>
    <xf numFmtId="0" fontId="13152" fillId="13157" borderId="13104" xfId="0" applyFont="1" applyFill="1" applyBorder="1" applyAlignment="1">
      <alignment horizontal="center"/>
    </xf>
    <xf numFmtId="0" fontId="13153" fillId="13158" borderId="13105" xfId="0" applyFont="1" applyFill="1" applyBorder="1"/>
    <xf numFmtId="0" fontId="13154" fillId="13159" borderId="13106" xfId="0" applyFont="1" applyFill="1" applyBorder="1"/>
    <xf numFmtId="165" fontId="13155" fillId="13160" borderId="13107" xfId="0" applyNumberFormat="1" applyFont="1" applyFill="1" applyBorder="1"/>
    <xf numFmtId="165" fontId="13156" fillId="13161" borderId="13108" xfId="0" applyNumberFormat="1" applyFont="1" applyFill="1" applyBorder="1"/>
    <xf numFmtId="169" fontId="13157" fillId="13162" borderId="13109" xfId="0" applyNumberFormat="1" applyFont="1" applyFill="1" applyBorder="1"/>
    <xf numFmtId="168" fontId="13158" fillId="13163" borderId="13110" xfId="0" applyNumberFormat="1" applyFont="1" applyFill="1" applyBorder="1"/>
    <xf numFmtId="165" fontId="13159" fillId="13164" borderId="13111" xfId="0" applyNumberFormat="1" applyFont="1" applyFill="1" applyBorder="1"/>
    <xf numFmtId="0" fontId="13160" fillId="13165" borderId="13112" xfId="0" applyFont="1" applyFill="1" applyBorder="1" applyAlignment="1">
      <alignment horizontal="center"/>
    </xf>
    <xf numFmtId="0" fontId="13161" fillId="13166" borderId="13113" xfId="0" applyFont="1" applyFill="1" applyBorder="1" applyAlignment="1">
      <alignment horizontal="center"/>
    </xf>
    <xf numFmtId="0" fontId="13162" fillId="13167" borderId="13114" xfId="0" applyFont="1" applyFill="1" applyBorder="1"/>
    <xf numFmtId="165" fontId="13163" fillId="13168" borderId="13115" xfId="0" applyNumberFormat="1" applyFont="1" applyFill="1" applyBorder="1"/>
    <xf numFmtId="0" fontId="13164" fillId="13169" borderId="13116" xfId="0" applyFont="1" applyFill="1" applyBorder="1"/>
    <xf numFmtId="0" fontId="13165" fillId="13170" borderId="13117" xfId="0" applyFont="1" applyFill="1" applyBorder="1" applyAlignment="1">
      <alignment horizontal="center"/>
    </xf>
    <xf numFmtId="14" fontId="13166" fillId="13171" borderId="13118" xfId="0" applyNumberFormat="1" applyFont="1" applyFill="1" applyBorder="1"/>
    <xf numFmtId="0" fontId="13167" fillId="13172" borderId="13119" xfId="0" applyFont="1" applyFill="1" applyBorder="1" applyAlignment="1">
      <alignment horizontal="center"/>
    </xf>
    <xf numFmtId="0" fontId="13168" fillId="13173" borderId="13120" xfId="0" applyFont="1" applyFill="1" applyBorder="1"/>
    <xf numFmtId="0" fontId="13169" fillId="13174" borderId="13121" xfId="0" applyFont="1" applyFill="1" applyBorder="1"/>
    <xf numFmtId="165" fontId="13170" fillId="13175" borderId="13122" xfId="0" applyNumberFormat="1" applyFont="1" applyFill="1" applyBorder="1"/>
    <xf numFmtId="165" fontId="13171" fillId="13176" borderId="13123" xfId="0" applyNumberFormat="1" applyFont="1" applyFill="1" applyBorder="1"/>
    <xf numFmtId="169" fontId="13172" fillId="13177" borderId="13124" xfId="0" applyNumberFormat="1" applyFont="1" applyFill="1" applyBorder="1"/>
    <xf numFmtId="168" fontId="13173" fillId="13178" borderId="13125" xfId="0" applyNumberFormat="1" applyFont="1" applyFill="1" applyBorder="1"/>
    <xf numFmtId="165" fontId="13174" fillId="13179" borderId="13126" xfId="0" applyNumberFormat="1" applyFont="1" applyFill="1" applyBorder="1"/>
    <xf numFmtId="0" fontId="13175" fillId="13180" borderId="13127" xfId="0" applyFont="1" applyFill="1" applyBorder="1" applyAlignment="1">
      <alignment horizontal="center"/>
    </xf>
    <xf numFmtId="0" fontId="13176" fillId="13181" borderId="13128" xfId="0" applyFont="1" applyFill="1" applyBorder="1" applyAlignment="1">
      <alignment horizontal="center"/>
    </xf>
    <xf numFmtId="0" fontId="13177" fillId="13182" borderId="13129" xfId="0" applyFont="1" applyFill="1" applyBorder="1"/>
    <xf numFmtId="165" fontId="13178" fillId="13183" borderId="13130" xfId="0" applyNumberFormat="1" applyFont="1" applyFill="1" applyBorder="1"/>
    <xf numFmtId="0" fontId="13179" fillId="13184" borderId="13131" xfId="0" applyFont="1" applyFill="1" applyBorder="1"/>
    <xf numFmtId="0" fontId="13180" fillId="13185" borderId="13132" xfId="0" applyFont="1" applyFill="1" applyBorder="1" applyAlignment="1">
      <alignment horizontal="center"/>
    </xf>
    <xf numFmtId="14" fontId="13181" fillId="13186" borderId="13133" xfId="0" applyNumberFormat="1" applyFont="1" applyFill="1" applyBorder="1"/>
    <xf numFmtId="0" fontId="13182" fillId="13187" borderId="13134" xfId="0" applyFont="1" applyFill="1" applyBorder="1" applyAlignment="1">
      <alignment horizontal="center"/>
    </xf>
    <xf numFmtId="0" fontId="13183" fillId="13188" borderId="13135" xfId="0" applyFont="1" applyFill="1" applyBorder="1"/>
    <xf numFmtId="0" fontId="13184" fillId="13189" borderId="13136" xfId="0" applyFont="1" applyFill="1" applyBorder="1"/>
    <xf numFmtId="165" fontId="13185" fillId="13190" borderId="13137" xfId="0" applyNumberFormat="1" applyFont="1" applyFill="1" applyBorder="1"/>
    <xf numFmtId="165" fontId="13186" fillId="13191" borderId="13138" xfId="0" applyNumberFormat="1" applyFont="1" applyFill="1" applyBorder="1"/>
    <xf numFmtId="169" fontId="13187" fillId="13192" borderId="13139" xfId="0" applyNumberFormat="1" applyFont="1" applyFill="1" applyBorder="1"/>
    <xf numFmtId="168" fontId="13188" fillId="13193" borderId="13140" xfId="0" applyNumberFormat="1" applyFont="1" applyFill="1" applyBorder="1"/>
    <xf numFmtId="165" fontId="13189" fillId="13194" borderId="13141" xfId="0" applyNumberFormat="1" applyFont="1" applyFill="1" applyBorder="1"/>
    <xf numFmtId="0" fontId="13190" fillId="13195" borderId="13142" xfId="0" applyFont="1" applyFill="1" applyBorder="1" applyAlignment="1">
      <alignment horizontal="center"/>
    </xf>
    <xf numFmtId="0" fontId="13191" fillId="13196" borderId="13143" xfId="0" applyFont="1" applyFill="1" applyBorder="1" applyAlignment="1">
      <alignment horizontal="center"/>
    </xf>
    <xf numFmtId="0" fontId="13192" fillId="13197" borderId="13144" xfId="0" applyFont="1" applyFill="1" applyBorder="1"/>
    <xf numFmtId="165" fontId="13193" fillId="13198" borderId="13145" xfId="0" applyNumberFormat="1" applyFont="1" applyFill="1" applyBorder="1"/>
    <xf numFmtId="0" fontId="13194" fillId="13199" borderId="13146" xfId="0" applyFont="1" applyFill="1" applyBorder="1"/>
    <xf numFmtId="0" fontId="13195" fillId="13200" borderId="13147" xfId="0" applyFont="1" applyFill="1" applyBorder="1" applyAlignment="1">
      <alignment horizontal="center"/>
    </xf>
    <xf numFmtId="14" fontId="13196" fillId="13201" borderId="13148" xfId="0" applyNumberFormat="1" applyFont="1" applyFill="1" applyBorder="1"/>
    <xf numFmtId="0" fontId="13197" fillId="13202" borderId="13149" xfId="0" applyFont="1" applyFill="1" applyBorder="1" applyAlignment="1">
      <alignment horizontal="center"/>
    </xf>
    <xf numFmtId="0" fontId="13198" fillId="13203" borderId="13150" xfId="0" applyFont="1" applyFill="1" applyBorder="1"/>
    <xf numFmtId="0" fontId="13199" fillId="13204" borderId="13151" xfId="0" applyFont="1" applyFill="1" applyBorder="1"/>
    <xf numFmtId="165" fontId="13200" fillId="13205" borderId="13152" xfId="0" applyNumberFormat="1" applyFont="1" applyFill="1" applyBorder="1"/>
    <xf numFmtId="165" fontId="13201" fillId="13206" borderId="13153" xfId="0" applyNumberFormat="1" applyFont="1" applyFill="1" applyBorder="1"/>
    <xf numFmtId="169" fontId="13202" fillId="13207" borderId="13154" xfId="0" applyNumberFormat="1" applyFont="1" applyFill="1" applyBorder="1"/>
    <xf numFmtId="168" fontId="13203" fillId="13208" borderId="13155" xfId="0" applyNumberFormat="1" applyFont="1" applyFill="1" applyBorder="1"/>
    <xf numFmtId="165" fontId="13204" fillId="13209" borderId="13156" xfId="0" applyNumberFormat="1" applyFont="1" applyFill="1" applyBorder="1"/>
    <xf numFmtId="0" fontId="13205" fillId="13210" borderId="13157" xfId="0" applyFont="1" applyFill="1" applyBorder="1" applyAlignment="1">
      <alignment horizontal="center"/>
    </xf>
    <xf numFmtId="0" fontId="13206" fillId="13211" borderId="13158" xfId="0" applyFont="1" applyFill="1" applyBorder="1" applyAlignment="1">
      <alignment horizontal="center"/>
    </xf>
    <xf numFmtId="0" fontId="13207" fillId="13212" borderId="13159" xfId="0" applyFont="1" applyFill="1" applyBorder="1"/>
    <xf numFmtId="165" fontId="13208" fillId="13213" borderId="13160" xfId="0" applyNumberFormat="1" applyFont="1" applyFill="1" applyBorder="1"/>
    <xf numFmtId="0" fontId="13209" fillId="13214" borderId="13161" xfId="0" applyFont="1" applyFill="1" applyBorder="1"/>
    <xf numFmtId="0" fontId="13210" fillId="13215" borderId="13162" xfId="0" applyFont="1" applyFill="1" applyBorder="1" applyAlignment="1">
      <alignment horizontal="center"/>
    </xf>
    <xf numFmtId="14" fontId="13211" fillId="13216" borderId="13163" xfId="0" applyNumberFormat="1" applyFont="1" applyFill="1" applyBorder="1"/>
    <xf numFmtId="0" fontId="13212" fillId="13217" borderId="13164" xfId="0" applyFont="1" applyFill="1" applyBorder="1" applyAlignment="1">
      <alignment horizontal="center"/>
    </xf>
    <xf numFmtId="0" fontId="13213" fillId="13218" borderId="13165" xfId="0" applyFont="1" applyFill="1" applyBorder="1"/>
    <xf numFmtId="0" fontId="13214" fillId="13219" borderId="13166" xfId="0" applyFont="1" applyFill="1" applyBorder="1"/>
    <xf numFmtId="165" fontId="13215" fillId="13220" borderId="13167" xfId="0" applyNumberFormat="1" applyFont="1" applyFill="1" applyBorder="1"/>
    <xf numFmtId="165" fontId="13216" fillId="13221" borderId="13168" xfId="0" applyNumberFormat="1" applyFont="1" applyFill="1" applyBorder="1"/>
    <xf numFmtId="169" fontId="13217" fillId="13222" borderId="13169" xfId="0" applyNumberFormat="1" applyFont="1" applyFill="1" applyBorder="1"/>
    <xf numFmtId="168" fontId="13218" fillId="13223" borderId="13170" xfId="0" applyNumberFormat="1" applyFont="1" applyFill="1" applyBorder="1"/>
    <xf numFmtId="165" fontId="13219" fillId="13224" borderId="13171" xfId="0" applyNumberFormat="1" applyFont="1" applyFill="1" applyBorder="1"/>
    <xf numFmtId="0" fontId="13220" fillId="13225" borderId="13172" xfId="0" applyFont="1" applyFill="1" applyBorder="1" applyAlignment="1">
      <alignment horizontal="center"/>
    </xf>
    <xf numFmtId="0" fontId="13221" fillId="13226" borderId="13173" xfId="0" applyFont="1" applyFill="1" applyBorder="1" applyAlignment="1">
      <alignment horizontal="center"/>
    </xf>
    <xf numFmtId="0" fontId="13222" fillId="13227" borderId="13174" xfId="0" applyFont="1" applyFill="1" applyBorder="1"/>
    <xf numFmtId="165" fontId="13223" fillId="13228" borderId="13175" xfId="0" applyNumberFormat="1" applyFont="1" applyFill="1" applyBorder="1"/>
    <xf numFmtId="0" fontId="13224" fillId="13229" borderId="13176" xfId="0" applyFont="1" applyFill="1" applyBorder="1"/>
    <xf numFmtId="0" fontId="13225" fillId="13230" borderId="13177" xfId="0" applyFont="1" applyFill="1" applyBorder="1" applyAlignment="1">
      <alignment horizontal="center"/>
    </xf>
    <xf numFmtId="14" fontId="13226" fillId="13231" borderId="13178" xfId="0" applyNumberFormat="1" applyFont="1" applyFill="1" applyBorder="1"/>
    <xf numFmtId="0" fontId="13227" fillId="13232" borderId="13179" xfId="0" applyFont="1" applyFill="1" applyBorder="1" applyAlignment="1">
      <alignment horizontal="center"/>
    </xf>
    <xf numFmtId="0" fontId="13228" fillId="13233" borderId="13180" xfId="0" applyFont="1" applyFill="1" applyBorder="1"/>
    <xf numFmtId="0" fontId="13229" fillId="13234" borderId="13181" xfId="0" applyFont="1" applyFill="1" applyBorder="1"/>
    <xf numFmtId="165" fontId="13230" fillId="13235" borderId="13182" xfId="0" applyNumberFormat="1" applyFont="1" applyFill="1" applyBorder="1"/>
    <xf numFmtId="165" fontId="13231" fillId="13236" borderId="13183" xfId="0" applyNumberFormat="1" applyFont="1" applyFill="1" applyBorder="1"/>
    <xf numFmtId="169" fontId="13232" fillId="13237" borderId="13184" xfId="0" applyNumberFormat="1" applyFont="1" applyFill="1" applyBorder="1"/>
    <xf numFmtId="168" fontId="13233" fillId="13238" borderId="13185" xfId="0" applyNumberFormat="1" applyFont="1" applyFill="1" applyBorder="1"/>
    <xf numFmtId="165" fontId="13234" fillId="13239" borderId="13186" xfId="0" applyNumberFormat="1" applyFont="1" applyFill="1" applyBorder="1"/>
    <xf numFmtId="0" fontId="13235" fillId="13240" borderId="13187" xfId="0" applyFont="1" applyFill="1" applyBorder="1" applyAlignment="1">
      <alignment horizontal="center"/>
    </xf>
    <xf numFmtId="0" fontId="13236" fillId="13241" borderId="13188" xfId="0" applyFont="1" applyFill="1" applyBorder="1" applyAlignment="1">
      <alignment horizontal="center"/>
    </xf>
    <xf numFmtId="0" fontId="13237" fillId="13242" borderId="13189" xfId="0" applyFont="1" applyFill="1" applyBorder="1"/>
    <xf numFmtId="165" fontId="13238" fillId="13243" borderId="13190" xfId="0" applyNumberFormat="1" applyFont="1" applyFill="1" applyBorder="1"/>
    <xf numFmtId="0" fontId="13239" fillId="13244" borderId="13191" xfId="0" applyFont="1" applyFill="1" applyBorder="1"/>
    <xf numFmtId="0" fontId="13240" fillId="13245" borderId="13192" xfId="0" applyFont="1" applyFill="1" applyBorder="1" applyAlignment="1">
      <alignment horizontal="center"/>
    </xf>
    <xf numFmtId="14" fontId="13241" fillId="13246" borderId="13193" xfId="0" applyNumberFormat="1" applyFont="1" applyFill="1" applyBorder="1"/>
    <xf numFmtId="0" fontId="13242" fillId="13247" borderId="13194" xfId="0" applyFont="1" applyFill="1" applyBorder="1" applyAlignment="1">
      <alignment horizontal="center"/>
    </xf>
    <xf numFmtId="0" fontId="13243" fillId="13248" borderId="13195" xfId="0" applyFont="1" applyFill="1" applyBorder="1"/>
    <xf numFmtId="0" fontId="13244" fillId="13249" borderId="13196" xfId="0" applyFont="1" applyFill="1" applyBorder="1"/>
    <xf numFmtId="165" fontId="13245" fillId="13250" borderId="13197" xfId="0" applyNumberFormat="1" applyFont="1" applyFill="1" applyBorder="1"/>
    <xf numFmtId="165" fontId="13246" fillId="13251" borderId="13198" xfId="0" applyNumberFormat="1" applyFont="1" applyFill="1" applyBorder="1"/>
    <xf numFmtId="169" fontId="13247" fillId="13252" borderId="13199" xfId="0" applyNumberFormat="1" applyFont="1" applyFill="1" applyBorder="1"/>
    <xf numFmtId="168" fontId="13248" fillId="13253" borderId="13200" xfId="0" applyNumberFormat="1" applyFont="1" applyFill="1" applyBorder="1"/>
    <xf numFmtId="165" fontId="13249" fillId="13254" borderId="13201" xfId="0" applyNumberFormat="1" applyFont="1" applyFill="1" applyBorder="1"/>
    <xf numFmtId="0" fontId="13250" fillId="13255" borderId="13202" xfId="0" applyFont="1" applyFill="1" applyBorder="1" applyAlignment="1">
      <alignment horizontal="center"/>
    </xf>
    <xf numFmtId="0" fontId="13251" fillId="13256" borderId="13203" xfId="0" applyFont="1" applyFill="1" applyBorder="1" applyAlignment="1">
      <alignment horizontal="center"/>
    </xf>
    <xf numFmtId="0" fontId="13252" fillId="13257" borderId="13204" xfId="0" applyFont="1" applyFill="1" applyBorder="1"/>
    <xf numFmtId="165" fontId="13253" fillId="13258" borderId="13205" xfId="0" applyNumberFormat="1" applyFont="1" applyFill="1" applyBorder="1"/>
    <xf numFmtId="0" fontId="13254" fillId="13259" borderId="13206" xfId="0" applyFont="1" applyFill="1" applyBorder="1"/>
    <xf numFmtId="0" fontId="13255" fillId="13260" borderId="13207" xfId="0" applyFont="1" applyFill="1" applyBorder="1" applyAlignment="1">
      <alignment horizontal="center"/>
    </xf>
    <xf numFmtId="14" fontId="13256" fillId="13261" borderId="13208" xfId="0" applyNumberFormat="1" applyFont="1" applyFill="1" applyBorder="1"/>
    <xf numFmtId="0" fontId="13257" fillId="13262" borderId="13209" xfId="0" applyFont="1" applyFill="1" applyBorder="1" applyAlignment="1">
      <alignment horizontal="center"/>
    </xf>
    <xf numFmtId="0" fontId="13258" fillId="13263" borderId="13210" xfId="0" applyFont="1" applyFill="1" applyBorder="1"/>
    <xf numFmtId="0" fontId="13259" fillId="13264" borderId="13211" xfId="0" applyFont="1" applyFill="1" applyBorder="1"/>
    <xf numFmtId="165" fontId="13260" fillId="13265" borderId="13212" xfId="0" applyNumberFormat="1" applyFont="1" applyFill="1" applyBorder="1"/>
    <xf numFmtId="165" fontId="13261" fillId="13266" borderId="13213" xfId="0" applyNumberFormat="1" applyFont="1" applyFill="1" applyBorder="1"/>
    <xf numFmtId="169" fontId="13262" fillId="13267" borderId="13214" xfId="0" applyNumberFormat="1" applyFont="1" applyFill="1" applyBorder="1"/>
    <xf numFmtId="168" fontId="13263" fillId="13268" borderId="13215" xfId="0" applyNumberFormat="1" applyFont="1" applyFill="1" applyBorder="1"/>
    <xf numFmtId="165" fontId="13264" fillId="13269" borderId="13216" xfId="0" applyNumberFormat="1" applyFont="1" applyFill="1" applyBorder="1"/>
    <xf numFmtId="0" fontId="13265" fillId="13270" borderId="13217" xfId="0" applyFont="1" applyFill="1" applyBorder="1" applyAlignment="1">
      <alignment horizontal="center"/>
    </xf>
    <xf numFmtId="0" fontId="13266" fillId="13271" borderId="13218" xfId="0" applyFont="1" applyFill="1" applyBorder="1" applyAlignment="1">
      <alignment horizontal="center"/>
    </xf>
    <xf numFmtId="0" fontId="13267" fillId="13272" borderId="13219" xfId="0" applyFont="1" applyFill="1" applyBorder="1"/>
    <xf numFmtId="165" fontId="13268" fillId="13273" borderId="13220" xfId="0" applyNumberFormat="1" applyFont="1" applyFill="1" applyBorder="1"/>
    <xf numFmtId="0" fontId="13269" fillId="13274" borderId="13221" xfId="0" applyFont="1" applyFill="1" applyBorder="1"/>
    <xf numFmtId="0" fontId="13270" fillId="13275" borderId="13222" xfId="0" applyFont="1" applyFill="1" applyBorder="1" applyAlignment="1">
      <alignment horizontal="center"/>
    </xf>
    <xf numFmtId="14" fontId="13271" fillId="13276" borderId="13223" xfId="0" applyNumberFormat="1" applyFont="1" applyFill="1" applyBorder="1"/>
    <xf numFmtId="0" fontId="13272" fillId="13277" borderId="13224" xfId="0" applyFont="1" applyFill="1" applyBorder="1" applyAlignment="1">
      <alignment horizontal="center"/>
    </xf>
    <xf numFmtId="0" fontId="13273" fillId="13278" borderId="13225" xfId="0" applyFont="1" applyFill="1" applyBorder="1"/>
    <xf numFmtId="0" fontId="13274" fillId="13279" borderId="13226" xfId="0" applyFont="1" applyFill="1" applyBorder="1"/>
    <xf numFmtId="165" fontId="13275" fillId="13280" borderId="13227" xfId="0" applyNumberFormat="1" applyFont="1" applyFill="1" applyBorder="1"/>
    <xf numFmtId="165" fontId="13276" fillId="13281" borderId="13228" xfId="0" applyNumberFormat="1" applyFont="1" applyFill="1" applyBorder="1"/>
    <xf numFmtId="169" fontId="13277" fillId="13282" borderId="13229" xfId="0" applyNumberFormat="1" applyFont="1" applyFill="1" applyBorder="1"/>
    <xf numFmtId="168" fontId="13278" fillId="13283" borderId="13230" xfId="0" applyNumberFormat="1" applyFont="1" applyFill="1" applyBorder="1"/>
    <xf numFmtId="165" fontId="13279" fillId="13284" borderId="13231" xfId="0" applyNumberFormat="1" applyFont="1" applyFill="1" applyBorder="1"/>
    <xf numFmtId="0" fontId="13280" fillId="13285" borderId="13232" xfId="0" applyFont="1" applyFill="1" applyBorder="1" applyAlignment="1">
      <alignment horizontal="center"/>
    </xf>
    <xf numFmtId="0" fontId="13281" fillId="13286" borderId="13233" xfId="0" applyFont="1" applyFill="1" applyBorder="1" applyAlignment="1">
      <alignment horizontal="center"/>
    </xf>
    <xf numFmtId="0" fontId="13282" fillId="13287" borderId="13234" xfId="0" applyFont="1" applyFill="1" applyBorder="1"/>
    <xf numFmtId="165" fontId="13283" fillId="13288" borderId="13235" xfId="0" applyNumberFormat="1" applyFont="1" applyFill="1" applyBorder="1"/>
    <xf numFmtId="0" fontId="13284" fillId="13289" borderId="13236" xfId="0" applyFont="1" applyFill="1" applyBorder="1"/>
    <xf numFmtId="0" fontId="13285" fillId="13290" borderId="13237" xfId="0" applyFont="1" applyFill="1" applyBorder="1" applyAlignment="1">
      <alignment horizontal="center"/>
    </xf>
    <xf numFmtId="14" fontId="13286" fillId="13291" borderId="13238" xfId="0" applyNumberFormat="1" applyFont="1" applyFill="1" applyBorder="1"/>
    <xf numFmtId="0" fontId="13287" fillId="13292" borderId="13239" xfId="0" applyFont="1" applyFill="1" applyBorder="1" applyAlignment="1">
      <alignment horizontal="center"/>
    </xf>
    <xf numFmtId="0" fontId="13288" fillId="13293" borderId="13240" xfId="0" applyFont="1" applyFill="1" applyBorder="1"/>
    <xf numFmtId="0" fontId="13289" fillId="13294" borderId="13241" xfId="0" applyFont="1" applyFill="1" applyBorder="1"/>
    <xf numFmtId="165" fontId="13290" fillId="13295" borderId="13242" xfId="0" applyNumberFormat="1" applyFont="1" applyFill="1" applyBorder="1"/>
    <xf numFmtId="165" fontId="13291" fillId="13296" borderId="13243" xfId="0" applyNumberFormat="1" applyFont="1" applyFill="1" applyBorder="1"/>
    <xf numFmtId="169" fontId="13292" fillId="13297" borderId="13244" xfId="0" applyNumberFormat="1" applyFont="1" applyFill="1" applyBorder="1"/>
    <xf numFmtId="168" fontId="13293" fillId="13298" borderId="13245" xfId="0" applyNumberFormat="1" applyFont="1" applyFill="1" applyBorder="1"/>
    <xf numFmtId="165" fontId="13294" fillId="13299" borderId="13246" xfId="0" applyNumberFormat="1" applyFont="1" applyFill="1" applyBorder="1"/>
    <xf numFmtId="0" fontId="13295" fillId="13300" borderId="13247" xfId="0" applyFont="1" applyFill="1" applyBorder="1" applyAlignment="1">
      <alignment horizontal="center"/>
    </xf>
    <xf numFmtId="0" fontId="13296" fillId="13301" borderId="13248" xfId="0" applyFont="1" applyFill="1" applyBorder="1" applyAlignment="1">
      <alignment horizontal="center"/>
    </xf>
    <xf numFmtId="0" fontId="13297" fillId="13302" borderId="13249" xfId="0" applyFont="1" applyFill="1" applyBorder="1"/>
    <xf numFmtId="165" fontId="13298" fillId="13303" borderId="13250" xfId="0" applyNumberFormat="1" applyFont="1" applyFill="1" applyBorder="1"/>
    <xf numFmtId="0" fontId="13299" fillId="13304" borderId="13251" xfId="0" applyFont="1" applyFill="1" applyBorder="1"/>
    <xf numFmtId="0" fontId="13300" fillId="13305" borderId="13252" xfId="0" applyFont="1" applyFill="1" applyBorder="1" applyAlignment="1">
      <alignment horizontal="center"/>
    </xf>
    <xf numFmtId="14" fontId="13301" fillId="13306" borderId="13253" xfId="0" applyNumberFormat="1" applyFont="1" applyFill="1" applyBorder="1"/>
    <xf numFmtId="0" fontId="13302" fillId="13307" borderId="13254" xfId="0" applyFont="1" applyFill="1" applyBorder="1" applyAlignment="1">
      <alignment horizontal="center"/>
    </xf>
    <xf numFmtId="0" fontId="13303" fillId="13308" borderId="13255" xfId="0" applyFont="1" applyFill="1" applyBorder="1"/>
    <xf numFmtId="0" fontId="13304" fillId="13309" borderId="13256" xfId="0" applyFont="1" applyFill="1" applyBorder="1"/>
    <xf numFmtId="165" fontId="13305" fillId="13310" borderId="13257" xfId="0" applyNumberFormat="1" applyFont="1" applyFill="1" applyBorder="1"/>
    <xf numFmtId="165" fontId="13306" fillId="13311" borderId="13258" xfId="0" applyNumberFormat="1" applyFont="1" applyFill="1" applyBorder="1"/>
    <xf numFmtId="169" fontId="13307" fillId="13312" borderId="13259" xfId="0" applyNumberFormat="1" applyFont="1" applyFill="1" applyBorder="1"/>
    <xf numFmtId="168" fontId="13308" fillId="13313" borderId="13260" xfId="0" applyNumberFormat="1" applyFont="1" applyFill="1" applyBorder="1"/>
    <xf numFmtId="165" fontId="13309" fillId="13314" borderId="13261" xfId="0" applyNumberFormat="1" applyFont="1" applyFill="1" applyBorder="1"/>
    <xf numFmtId="0" fontId="13310" fillId="13315" borderId="13262" xfId="0" applyFont="1" applyFill="1" applyBorder="1" applyAlignment="1">
      <alignment horizontal="center"/>
    </xf>
    <xf numFmtId="0" fontId="13311" fillId="13316" borderId="13263" xfId="0" applyFont="1" applyFill="1" applyBorder="1" applyAlignment="1">
      <alignment horizontal="center"/>
    </xf>
    <xf numFmtId="0" fontId="13312" fillId="13317" borderId="13264" xfId="0" applyFont="1" applyFill="1" applyBorder="1"/>
    <xf numFmtId="165" fontId="13313" fillId="13318" borderId="13265" xfId="0" applyNumberFormat="1" applyFont="1" applyFill="1" applyBorder="1"/>
    <xf numFmtId="0" fontId="13314" fillId="13319" borderId="13266" xfId="0" applyFont="1" applyFill="1" applyBorder="1"/>
    <xf numFmtId="0" fontId="13315" fillId="13320" borderId="13267" xfId="0" applyFont="1" applyFill="1" applyBorder="1" applyAlignment="1">
      <alignment horizontal="center"/>
    </xf>
    <xf numFmtId="14" fontId="13316" fillId="13321" borderId="13268" xfId="0" applyNumberFormat="1" applyFont="1" applyFill="1" applyBorder="1"/>
    <xf numFmtId="0" fontId="13317" fillId="13322" borderId="13269" xfId="0" applyFont="1" applyFill="1" applyBorder="1" applyAlignment="1">
      <alignment horizontal="center"/>
    </xf>
    <xf numFmtId="0" fontId="13318" fillId="13323" borderId="13270" xfId="0" applyFont="1" applyFill="1" applyBorder="1"/>
    <xf numFmtId="0" fontId="13319" fillId="13324" borderId="13271" xfId="0" applyFont="1" applyFill="1" applyBorder="1"/>
    <xf numFmtId="165" fontId="13320" fillId="13325" borderId="13272" xfId="0" applyNumberFormat="1" applyFont="1" applyFill="1" applyBorder="1"/>
    <xf numFmtId="165" fontId="13321" fillId="13326" borderId="13273" xfId="0" applyNumberFormat="1" applyFont="1" applyFill="1" applyBorder="1"/>
    <xf numFmtId="169" fontId="13322" fillId="13327" borderId="13274" xfId="0" applyNumberFormat="1" applyFont="1" applyFill="1" applyBorder="1"/>
    <xf numFmtId="168" fontId="13323" fillId="13328" borderId="13275" xfId="0" applyNumberFormat="1" applyFont="1" applyFill="1" applyBorder="1"/>
    <xf numFmtId="165" fontId="13324" fillId="13329" borderId="13276" xfId="0" applyNumberFormat="1" applyFont="1" applyFill="1" applyBorder="1"/>
    <xf numFmtId="0" fontId="13325" fillId="13330" borderId="13277" xfId="0" applyFont="1" applyFill="1" applyBorder="1" applyAlignment="1">
      <alignment horizontal="center"/>
    </xf>
    <xf numFmtId="0" fontId="13326" fillId="13331" borderId="13278" xfId="0" applyFont="1" applyFill="1" applyBorder="1" applyAlignment="1">
      <alignment horizontal="center"/>
    </xf>
    <xf numFmtId="0" fontId="13327" fillId="13332" borderId="13279" xfId="0" applyFont="1" applyFill="1" applyBorder="1"/>
    <xf numFmtId="165" fontId="13328" fillId="13333" borderId="13280" xfId="0" applyNumberFormat="1" applyFont="1" applyFill="1" applyBorder="1"/>
    <xf numFmtId="0" fontId="13329" fillId="13334" borderId="13281" xfId="0" applyFont="1" applyFill="1" applyBorder="1"/>
    <xf numFmtId="0" fontId="13330" fillId="13335" borderId="13282" xfId="0" applyFont="1" applyFill="1" applyBorder="1" applyAlignment="1">
      <alignment horizontal="center"/>
    </xf>
    <xf numFmtId="14" fontId="13331" fillId="13336" borderId="13283" xfId="0" applyNumberFormat="1" applyFont="1" applyFill="1" applyBorder="1"/>
    <xf numFmtId="0" fontId="13332" fillId="13337" borderId="13284" xfId="0" applyFont="1" applyFill="1" applyBorder="1" applyAlignment="1">
      <alignment horizontal="center"/>
    </xf>
    <xf numFmtId="0" fontId="13333" fillId="13338" borderId="13285" xfId="0" applyFont="1" applyFill="1" applyBorder="1"/>
    <xf numFmtId="0" fontId="13334" fillId="13339" borderId="13286" xfId="0" applyFont="1" applyFill="1" applyBorder="1"/>
    <xf numFmtId="165" fontId="13335" fillId="13340" borderId="13287" xfId="0" applyNumberFormat="1" applyFont="1" applyFill="1" applyBorder="1"/>
    <xf numFmtId="165" fontId="13336" fillId="13341" borderId="13288" xfId="0" applyNumberFormat="1" applyFont="1" applyFill="1" applyBorder="1"/>
    <xf numFmtId="169" fontId="13337" fillId="13342" borderId="13289" xfId="0" applyNumberFormat="1" applyFont="1" applyFill="1" applyBorder="1"/>
    <xf numFmtId="168" fontId="13338" fillId="13343" borderId="13290" xfId="0" applyNumberFormat="1" applyFont="1" applyFill="1" applyBorder="1"/>
    <xf numFmtId="165" fontId="13339" fillId="13344" borderId="13291" xfId="0" applyNumberFormat="1" applyFont="1" applyFill="1" applyBorder="1"/>
    <xf numFmtId="0" fontId="13340" fillId="13345" borderId="13292" xfId="0" applyFont="1" applyFill="1" applyBorder="1" applyAlignment="1">
      <alignment horizontal="center"/>
    </xf>
    <xf numFmtId="0" fontId="13341" fillId="13346" borderId="13293" xfId="0" applyFont="1" applyFill="1" applyBorder="1" applyAlignment="1">
      <alignment horizontal="center"/>
    </xf>
    <xf numFmtId="0" fontId="13342" fillId="13347" borderId="13294" xfId="0" applyFont="1" applyFill="1" applyBorder="1"/>
    <xf numFmtId="165" fontId="13343" fillId="13348" borderId="13295" xfId="0" applyNumberFormat="1" applyFont="1" applyFill="1" applyBorder="1"/>
    <xf numFmtId="0" fontId="13344" fillId="13349" borderId="13296" xfId="0" applyFont="1" applyFill="1" applyBorder="1"/>
    <xf numFmtId="0" fontId="13345" fillId="13350" borderId="13297" xfId="0" applyFont="1" applyFill="1" applyBorder="1" applyAlignment="1">
      <alignment horizontal="center"/>
    </xf>
    <xf numFmtId="14" fontId="13346" fillId="13351" borderId="13298" xfId="0" applyNumberFormat="1" applyFont="1" applyFill="1" applyBorder="1"/>
    <xf numFmtId="0" fontId="13347" fillId="13352" borderId="13299" xfId="0" applyFont="1" applyFill="1" applyBorder="1" applyAlignment="1">
      <alignment horizontal="center"/>
    </xf>
    <xf numFmtId="0" fontId="13348" fillId="13353" borderId="13300" xfId="0" applyFont="1" applyFill="1" applyBorder="1"/>
    <xf numFmtId="0" fontId="13349" fillId="13354" borderId="13301" xfId="0" applyFont="1" applyFill="1" applyBorder="1"/>
    <xf numFmtId="165" fontId="13350" fillId="13355" borderId="13302" xfId="0" applyNumberFormat="1" applyFont="1" applyFill="1" applyBorder="1"/>
    <xf numFmtId="165" fontId="13351" fillId="13356" borderId="13303" xfId="0" applyNumberFormat="1" applyFont="1" applyFill="1" applyBorder="1"/>
    <xf numFmtId="169" fontId="13352" fillId="13357" borderId="13304" xfId="0" applyNumberFormat="1" applyFont="1" applyFill="1" applyBorder="1"/>
    <xf numFmtId="168" fontId="13353" fillId="13358" borderId="13305" xfId="0" applyNumberFormat="1" applyFont="1" applyFill="1" applyBorder="1"/>
    <xf numFmtId="165" fontId="13354" fillId="13359" borderId="13306" xfId="0" applyNumberFormat="1" applyFont="1" applyFill="1" applyBorder="1"/>
    <xf numFmtId="0" fontId="13355" fillId="13360" borderId="13307" xfId="0" applyFont="1" applyFill="1" applyBorder="1" applyAlignment="1">
      <alignment horizontal="center"/>
    </xf>
    <xf numFmtId="0" fontId="13356" fillId="13361" borderId="13308" xfId="0" applyFont="1" applyFill="1" applyBorder="1" applyAlignment="1">
      <alignment horizontal="center"/>
    </xf>
    <xf numFmtId="0" fontId="13357" fillId="13362" borderId="13309" xfId="0" applyFont="1" applyFill="1" applyBorder="1"/>
    <xf numFmtId="165" fontId="13358" fillId="13363" borderId="13310" xfId="0" applyNumberFormat="1" applyFont="1" applyFill="1" applyBorder="1"/>
    <xf numFmtId="0" fontId="13359" fillId="13364" borderId="13311" xfId="0" applyFont="1" applyFill="1" applyBorder="1"/>
    <xf numFmtId="0" fontId="13360" fillId="13365" borderId="13312" xfId="0" applyFont="1" applyFill="1" applyBorder="1" applyAlignment="1">
      <alignment horizontal="center"/>
    </xf>
    <xf numFmtId="14" fontId="13361" fillId="13366" borderId="13313" xfId="0" applyNumberFormat="1" applyFont="1" applyFill="1" applyBorder="1"/>
    <xf numFmtId="0" fontId="13362" fillId="13367" borderId="13314" xfId="0" applyFont="1" applyFill="1" applyBorder="1" applyAlignment="1">
      <alignment horizontal="center"/>
    </xf>
    <xf numFmtId="0" fontId="13363" fillId="13368" borderId="13315" xfId="0" applyFont="1" applyFill="1" applyBorder="1"/>
    <xf numFmtId="0" fontId="13364" fillId="13369" borderId="13316" xfId="0" applyFont="1" applyFill="1" applyBorder="1"/>
    <xf numFmtId="165" fontId="13365" fillId="13370" borderId="13317" xfId="0" applyNumberFormat="1" applyFont="1" applyFill="1" applyBorder="1"/>
    <xf numFmtId="165" fontId="13366" fillId="13371" borderId="13318" xfId="0" applyNumberFormat="1" applyFont="1" applyFill="1" applyBorder="1"/>
    <xf numFmtId="169" fontId="13367" fillId="13372" borderId="13319" xfId="0" applyNumberFormat="1" applyFont="1" applyFill="1" applyBorder="1"/>
    <xf numFmtId="168" fontId="13368" fillId="13373" borderId="13320" xfId="0" applyNumberFormat="1" applyFont="1" applyFill="1" applyBorder="1"/>
    <xf numFmtId="165" fontId="13369" fillId="13374" borderId="13321" xfId="0" applyNumberFormat="1" applyFont="1" applyFill="1" applyBorder="1"/>
    <xf numFmtId="0" fontId="13370" fillId="13375" borderId="13322" xfId="0" applyFont="1" applyFill="1" applyBorder="1" applyAlignment="1">
      <alignment horizontal="center"/>
    </xf>
    <xf numFmtId="0" fontId="13371" fillId="13376" borderId="13323" xfId="0" applyFont="1" applyFill="1" applyBorder="1" applyAlignment="1">
      <alignment horizontal="center"/>
    </xf>
    <xf numFmtId="0" fontId="13372" fillId="13377" borderId="13324" xfId="0" applyFont="1" applyFill="1" applyBorder="1"/>
    <xf numFmtId="165" fontId="13373" fillId="13378" borderId="13325" xfId="0" applyNumberFormat="1" applyFont="1" applyFill="1" applyBorder="1"/>
    <xf numFmtId="0" fontId="13374" fillId="13379" borderId="13326" xfId="0" applyFont="1" applyFill="1" applyBorder="1"/>
    <xf numFmtId="0" fontId="13375" fillId="13380" borderId="13327" xfId="0" applyFont="1" applyFill="1" applyBorder="1" applyAlignment="1">
      <alignment horizontal="center"/>
    </xf>
    <xf numFmtId="14" fontId="13376" fillId="13381" borderId="13328" xfId="0" applyNumberFormat="1" applyFont="1" applyFill="1" applyBorder="1"/>
    <xf numFmtId="0" fontId="13377" fillId="13382" borderId="13329" xfId="0" applyFont="1" applyFill="1" applyBorder="1" applyAlignment="1">
      <alignment horizontal="center"/>
    </xf>
    <xf numFmtId="0" fontId="13378" fillId="13383" borderId="13330" xfId="0" applyFont="1" applyFill="1" applyBorder="1"/>
    <xf numFmtId="0" fontId="13379" fillId="13384" borderId="13331" xfId="0" applyFont="1" applyFill="1" applyBorder="1"/>
    <xf numFmtId="165" fontId="13380" fillId="13385" borderId="13332" xfId="0" applyNumberFormat="1" applyFont="1" applyFill="1" applyBorder="1"/>
    <xf numFmtId="165" fontId="13381" fillId="13386" borderId="13333" xfId="0" applyNumberFormat="1" applyFont="1" applyFill="1" applyBorder="1"/>
    <xf numFmtId="169" fontId="13382" fillId="13387" borderId="13334" xfId="0" applyNumberFormat="1" applyFont="1" applyFill="1" applyBorder="1"/>
    <xf numFmtId="168" fontId="13383" fillId="13388" borderId="13335" xfId="0" applyNumberFormat="1" applyFont="1" applyFill="1" applyBorder="1"/>
    <xf numFmtId="165" fontId="13384" fillId="13389" borderId="13336" xfId="0" applyNumberFormat="1" applyFont="1" applyFill="1" applyBorder="1"/>
    <xf numFmtId="0" fontId="13385" fillId="13390" borderId="13337" xfId="0" applyFont="1" applyFill="1" applyBorder="1" applyAlignment="1">
      <alignment horizontal="center"/>
    </xf>
    <xf numFmtId="0" fontId="13386" fillId="13391" borderId="13338" xfId="0" applyFont="1" applyFill="1" applyBorder="1" applyAlignment="1">
      <alignment horizontal="center"/>
    </xf>
    <xf numFmtId="0" fontId="13387" fillId="13392" borderId="13339" xfId="0" applyFont="1" applyFill="1" applyBorder="1"/>
    <xf numFmtId="165" fontId="13388" fillId="13393" borderId="13340" xfId="0" applyNumberFormat="1" applyFont="1" applyFill="1" applyBorder="1"/>
    <xf numFmtId="0" fontId="13389" fillId="13394" borderId="13341" xfId="0" applyFont="1" applyFill="1" applyBorder="1"/>
    <xf numFmtId="0" fontId="13390" fillId="13395" borderId="13342" xfId="0" applyFont="1" applyFill="1" applyBorder="1" applyAlignment="1">
      <alignment horizontal="center"/>
    </xf>
    <xf numFmtId="14" fontId="13391" fillId="13396" borderId="13343" xfId="0" applyNumberFormat="1" applyFont="1" applyFill="1" applyBorder="1"/>
    <xf numFmtId="0" fontId="13392" fillId="13397" borderId="13344" xfId="0" applyFont="1" applyFill="1" applyBorder="1" applyAlignment="1">
      <alignment horizontal="center"/>
    </xf>
    <xf numFmtId="0" fontId="13393" fillId="13398" borderId="13345" xfId="0" applyFont="1" applyFill="1" applyBorder="1"/>
    <xf numFmtId="0" fontId="13394" fillId="13399" borderId="13346" xfId="0" applyFont="1" applyFill="1" applyBorder="1"/>
    <xf numFmtId="165" fontId="13395" fillId="13400" borderId="13347" xfId="0" applyNumberFormat="1" applyFont="1" applyFill="1" applyBorder="1"/>
    <xf numFmtId="165" fontId="13396" fillId="13401" borderId="13348" xfId="0" applyNumberFormat="1" applyFont="1" applyFill="1" applyBorder="1"/>
    <xf numFmtId="169" fontId="13397" fillId="13402" borderId="13349" xfId="0" applyNumberFormat="1" applyFont="1" applyFill="1" applyBorder="1"/>
    <xf numFmtId="168" fontId="13398" fillId="13403" borderId="13350" xfId="0" applyNumberFormat="1" applyFont="1" applyFill="1" applyBorder="1"/>
    <xf numFmtId="165" fontId="13399" fillId="13404" borderId="13351" xfId="0" applyNumberFormat="1" applyFont="1" applyFill="1" applyBorder="1"/>
    <xf numFmtId="0" fontId="13400" fillId="13405" borderId="13352" xfId="0" applyFont="1" applyFill="1" applyBorder="1" applyAlignment="1">
      <alignment horizontal="center"/>
    </xf>
    <xf numFmtId="0" fontId="13401" fillId="13406" borderId="13353" xfId="0" applyFont="1" applyFill="1" applyBorder="1" applyAlignment="1">
      <alignment horizontal="center"/>
    </xf>
    <xf numFmtId="0" fontId="13402" fillId="13407" borderId="13354" xfId="0" applyFont="1" applyFill="1" applyBorder="1"/>
    <xf numFmtId="165" fontId="13403" fillId="13408" borderId="13355" xfId="0" applyNumberFormat="1" applyFont="1" applyFill="1" applyBorder="1"/>
    <xf numFmtId="0" fontId="13404" fillId="13409" borderId="13356" xfId="0" applyFont="1" applyFill="1" applyBorder="1"/>
    <xf numFmtId="0" fontId="13405" fillId="13410" borderId="13357" xfId="0" applyFont="1" applyFill="1" applyBorder="1" applyAlignment="1">
      <alignment horizontal="center"/>
    </xf>
    <xf numFmtId="14" fontId="13406" fillId="13411" borderId="13358" xfId="0" applyNumberFormat="1" applyFont="1" applyFill="1" applyBorder="1"/>
    <xf numFmtId="0" fontId="13407" fillId="13412" borderId="13359" xfId="0" applyFont="1" applyFill="1" applyBorder="1" applyAlignment="1">
      <alignment horizontal="center"/>
    </xf>
    <xf numFmtId="0" fontId="13408" fillId="13413" borderId="13360" xfId="0" applyFont="1" applyFill="1" applyBorder="1"/>
    <xf numFmtId="0" fontId="13409" fillId="13414" borderId="13361" xfId="0" applyFont="1" applyFill="1" applyBorder="1"/>
    <xf numFmtId="165" fontId="13410" fillId="13415" borderId="13362" xfId="0" applyNumberFormat="1" applyFont="1" applyFill="1" applyBorder="1"/>
    <xf numFmtId="165" fontId="13411" fillId="13416" borderId="13363" xfId="0" applyNumberFormat="1" applyFont="1" applyFill="1" applyBorder="1"/>
    <xf numFmtId="169" fontId="13412" fillId="13417" borderId="13364" xfId="0" applyNumberFormat="1" applyFont="1" applyFill="1" applyBorder="1"/>
    <xf numFmtId="168" fontId="13413" fillId="13418" borderId="13365" xfId="0" applyNumberFormat="1" applyFont="1" applyFill="1" applyBorder="1"/>
    <xf numFmtId="165" fontId="13414" fillId="13419" borderId="13366" xfId="0" applyNumberFormat="1" applyFont="1" applyFill="1" applyBorder="1"/>
    <xf numFmtId="0" fontId="13415" fillId="13420" borderId="13367" xfId="0" applyFont="1" applyFill="1" applyBorder="1" applyAlignment="1">
      <alignment horizontal="center"/>
    </xf>
    <xf numFmtId="0" fontId="13416" fillId="13421" borderId="13368" xfId="0" applyFont="1" applyFill="1" applyBorder="1" applyAlignment="1">
      <alignment horizontal="center"/>
    </xf>
    <xf numFmtId="0" fontId="13417" fillId="13422" borderId="13369" xfId="0" applyFont="1" applyFill="1" applyBorder="1"/>
    <xf numFmtId="165" fontId="13418" fillId="13423" borderId="13370" xfId="0" applyNumberFormat="1" applyFont="1" applyFill="1" applyBorder="1"/>
    <xf numFmtId="0" fontId="13419" fillId="13424" borderId="13371" xfId="0" applyFont="1" applyFill="1" applyBorder="1"/>
    <xf numFmtId="0" fontId="13420" fillId="13425" borderId="13372" xfId="0" applyFont="1" applyFill="1" applyBorder="1" applyAlignment="1">
      <alignment horizontal="center"/>
    </xf>
    <xf numFmtId="14" fontId="13421" fillId="13426" borderId="13373" xfId="0" applyNumberFormat="1" applyFont="1" applyFill="1" applyBorder="1"/>
    <xf numFmtId="0" fontId="13422" fillId="13427" borderId="13374" xfId="0" applyFont="1" applyFill="1" applyBorder="1" applyAlignment="1">
      <alignment horizontal="center"/>
    </xf>
    <xf numFmtId="0" fontId="13423" fillId="13428" borderId="13375" xfId="0" applyFont="1" applyFill="1" applyBorder="1"/>
    <xf numFmtId="0" fontId="13424" fillId="13429" borderId="13376" xfId="0" applyFont="1" applyFill="1" applyBorder="1"/>
    <xf numFmtId="165" fontId="13425" fillId="13430" borderId="13377" xfId="0" applyNumberFormat="1" applyFont="1" applyFill="1" applyBorder="1"/>
    <xf numFmtId="165" fontId="13426" fillId="13431" borderId="13378" xfId="0" applyNumberFormat="1" applyFont="1" applyFill="1" applyBorder="1"/>
    <xf numFmtId="169" fontId="13427" fillId="13432" borderId="13379" xfId="0" applyNumberFormat="1" applyFont="1" applyFill="1" applyBorder="1"/>
    <xf numFmtId="168" fontId="13428" fillId="13433" borderId="13380" xfId="0" applyNumberFormat="1" applyFont="1" applyFill="1" applyBorder="1"/>
    <xf numFmtId="165" fontId="13429" fillId="13434" borderId="13381" xfId="0" applyNumberFormat="1" applyFont="1" applyFill="1" applyBorder="1"/>
    <xf numFmtId="0" fontId="13430" fillId="13435" borderId="13382" xfId="0" applyFont="1" applyFill="1" applyBorder="1" applyAlignment="1">
      <alignment horizontal="center"/>
    </xf>
    <xf numFmtId="0" fontId="13431" fillId="13436" borderId="13383" xfId="0" applyFont="1" applyFill="1" applyBorder="1" applyAlignment="1">
      <alignment horizontal="center"/>
    </xf>
    <xf numFmtId="0" fontId="13432" fillId="13437" borderId="13384" xfId="0" applyFont="1" applyFill="1" applyBorder="1"/>
    <xf numFmtId="165" fontId="13433" fillId="13438" borderId="13385" xfId="0" applyNumberFormat="1" applyFont="1" applyFill="1" applyBorder="1"/>
    <xf numFmtId="0" fontId="13434" fillId="13439" borderId="13386" xfId="0" applyFont="1" applyFill="1" applyBorder="1"/>
    <xf numFmtId="0" fontId="13435" fillId="13440" borderId="13387" xfId="0" applyFont="1" applyFill="1" applyBorder="1" applyAlignment="1">
      <alignment horizontal="center"/>
    </xf>
    <xf numFmtId="14" fontId="13436" fillId="13441" borderId="13388" xfId="0" applyNumberFormat="1" applyFont="1" applyFill="1" applyBorder="1"/>
    <xf numFmtId="0" fontId="13437" fillId="13442" borderId="13389" xfId="0" applyFont="1" applyFill="1" applyBorder="1" applyAlignment="1">
      <alignment horizontal="center"/>
    </xf>
    <xf numFmtId="0" fontId="13438" fillId="13443" borderId="13390" xfId="0" applyFont="1" applyFill="1" applyBorder="1"/>
    <xf numFmtId="0" fontId="13439" fillId="13444" borderId="13391" xfId="0" applyFont="1" applyFill="1" applyBorder="1"/>
    <xf numFmtId="165" fontId="13440" fillId="13445" borderId="13392" xfId="0" applyNumberFormat="1" applyFont="1" applyFill="1" applyBorder="1"/>
    <xf numFmtId="165" fontId="13441" fillId="13446" borderId="13393" xfId="0" applyNumberFormat="1" applyFont="1" applyFill="1" applyBorder="1"/>
    <xf numFmtId="169" fontId="13442" fillId="13447" borderId="13394" xfId="0" applyNumberFormat="1" applyFont="1" applyFill="1" applyBorder="1"/>
    <xf numFmtId="168" fontId="13443" fillId="13448" borderId="13395" xfId="0" applyNumberFormat="1" applyFont="1" applyFill="1" applyBorder="1"/>
    <xf numFmtId="165" fontId="13444" fillId="13449" borderId="13396" xfId="0" applyNumberFormat="1" applyFont="1" applyFill="1" applyBorder="1"/>
    <xf numFmtId="0" fontId="13445" fillId="13450" borderId="13397" xfId="0" applyFont="1" applyFill="1" applyBorder="1" applyAlignment="1">
      <alignment horizontal="center"/>
    </xf>
    <xf numFmtId="0" fontId="13446" fillId="13451" borderId="13398" xfId="0" applyFont="1" applyFill="1" applyBorder="1" applyAlignment="1">
      <alignment horizontal="center"/>
    </xf>
    <xf numFmtId="0" fontId="13447" fillId="13452" borderId="13399" xfId="0" applyFont="1" applyFill="1" applyBorder="1"/>
    <xf numFmtId="165" fontId="13448" fillId="13453" borderId="13400" xfId="0" applyNumberFormat="1" applyFont="1" applyFill="1" applyBorder="1"/>
    <xf numFmtId="0" fontId="13449" fillId="13454" borderId="13401" xfId="0" applyFont="1" applyFill="1" applyBorder="1"/>
    <xf numFmtId="0" fontId="13450" fillId="13455" borderId="13402" xfId="0" applyFont="1" applyFill="1" applyBorder="1" applyAlignment="1">
      <alignment horizontal="center"/>
    </xf>
    <xf numFmtId="14" fontId="13451" fillId="13456" borderId="13403" xfId="0" applyNumberFormat="1" applyFont="1" applyFill="1" applyBorder="1"/>
    <xf numFmtId="0" fontId="13452" fillId="13457" borderId="13404" xfId="0" applyFont="1" applyFill="1" applyBorder="1" applyAlignment="1">
      <alignment horizontal="center"/>
    </xf>
    <xf numFmtId="0" fontId="13453" fillId="13458" borderId="13405" xfId="0" applyFont="1" applyFill="1" applyBorder="1"/>
    <xf numFmtId="0" fontId="13454" fillId="13459" borderId="13406" xfId="0" applyFont="1" applyFill="1" applyBorder="1"/>
    <xf numFmtId="165" fontId="13455" fillId="13460" borderId="13407" xfId="0" applyNumberFormat="1" applyFont="1" applyFill="1" applyBorder="1"/>
    <xf numFmtId="165" fontId="13456" fillId="13461" borderId="13408" xfId="0" applyNumberFormat="1" applyFont="1" applyFill="1" applyBorder="1"/>
    <xf numFmtId="169" fontId="13457" fillId="13462" borderId="13409" xfId="0" applyNumberFormat="1" applyFont="1" applyFill="1" applyBorder="1"/>
    <xf numFmtId="168" fontId="13458" fillId="13463" borderId="13410" xfId="0" applyNumberFormat="1" applyFont="1" applyFill="1" applyBorder="1"/>
    <xf numFmtId="165" fontId="13459" fillId="13464" borderId="13411" xfId="0" applyNumberFormat="1" applyFont="1" applyFill="1" applyBorder="1"/>
    <xf numFmtId="0" fontId="13460" fillId="13465" borderId="13412" xfId="0" applyFont="1" applyFill="1" applyBorder="1" applyAlignment="1">
      <alignment horizontal="center"/>
    </xf>
    <xf numFmtId="0" fontId="13461" fillId="13466" borderId="13413" xfId="0" applyFont="1" applyFill="1" applyBorder="1" applyAlignment="1">
      <alignment horizontal="center"/>
    </xf>
    <xf numFmtId="0" fontId="13462" fillId="13467" borderId="13414" xfId="0" applyFont="1" applyFill="1" applyBorder="1"/>
    <xf numFmtId="165" fontId="13463" fillId="13468" borderId="13415" xfId="0" applyNumberFormat="1" applyFont="1" applyFill="1" applyBorder="1"/>
    <xf numFmtId="0" fontId="13464" fillId="13469" borderId="13416" xfId="0" applyFont="1" applyFill="1" applyBorder="1"/>
    <xf numFmtId="0" fontId="13465" fillId="13470" borderId="13417" xfId="0" applyFont="1" applyFill="1" applyBorder="1" applyAlignment="1">
      <alignment horizontal="center"/>
    </xf>
    <xf numFmtId="14" fontId="13466" fillId="13471" borderId="13418" xfId="0" applyNumberFormat="1" applyFont="1" applyFill="1" applyBorder="1"/>
    <xf numFmtId="0" fontId="13467" fillId="13472" borderId="13419" xfId="0" applyFont="1" applyFill="1" applyBorder="1" applyAlignment="1">
      <alignment horizontal="center"/>
    </xf>
    <xf numFmtId="0" fontId="13468" fillId="13473" borderId="13420" xfId="0" applyFont="1" applyFill="1" applyBorder="1"/>
    <xf numFmtId="0" fontId="13469" fillId="13474" borderId="13421" xfId="0" applyFont="1" applyFill="1" applyBorder="1"/>
    <xf numFmtId="165" fontId="13470" fillId="13475" borderId="13422" xfId="0" applyNumberFormat="1" applyFont="1" applyFill="1" applyBorder="1"/>
    <xf numFmtId="165" fontId="13471" fillId="13476" borderId="13423" xfId="0" applyNumberFormat="1" applyFont="1" applyFill="1" applyBorder="1"/>
    <xf numFmtId="169" fontId="13472" fillId="13477" borderId="13424" xfId="0" applyNumberFormat="1" applyFont="1" applyFill="1" applyBorder="1"/>
    <xf numFmtId="168" fontId="13473" fillId="13478" borderId="13425" xfId="0" applyNumberFormat="1" applyFont="1" applyFill="1" applyBorder="1"/>
    <xf numFmtId="165" fontId="13474" fillId="13479" borderId="13426" xfId="0" applyNumberFormat="1" applyFont="1" applyFill="1" applyBorder="1"/>
    <xf numFmtId="0" fontId="13475" fillId="13480" borderId="13427" xfId="0" applyFont="1" applyFill="1" applyBorder="1" applyAlignment="1">
      <alignment horizontal="center"/>
    </xf>
    <xf numFmtId="0" fontId="13476" fillId="13481" borderId="13428" xfId="0" applyFont="1" applyFill="1" applyBorder="1" applyAlignment="1">
      <alignment horizontal="center"/>
    </xf>
    <xf numFmtId="0" fontId="13477" fillId="13482" borderId="13429" xfId="0" applyFont="1" applyFill="1" applyBorder="1"/>
    <xf numFmtId="165" fontId="13478" fillId="13483" borderId="13430" xfId="0" applyNumberFormat="1" applyFont="1" applyFill="1" applyBorder="1"/>
    <xf numFmtId="0" fontId="13479" fillId="13484" borderId="13431" xfId="0" applyFont="1" applyFill="1" applyBorder="1"/>
    <xf numFmtId="0" fontId="13480" fillId="13485" borderId="13432" xfId="0" applyFont="1" applyFill="1" applyBorder="1" applyAlignment="1">
      <alignment horizontal="center"/>
    </xf>
    <xf numFmtId="14" fontId="13481" fillId="13486" borderId="13433" xfId="0" applyNumberFormat="1" applyFont="1" applyFill="1" applyBorder="1"/>
    <xf numFmtId="0" fontId="13482" fillId="13487" borderId="13434" xfId="0" applyFont="1" applyFill="1" applyBorder="1" applyAlignment="1">
      <alignment horizontal="center"/>
    </xf>
    <xf numFmtId="0" fontId="13483" fillId="13488" borderId="13435" xfId="0" applyFont="1" applyFill="1" applyBorder="1"/>
    <xf numFmtId="0" fontId="13484" fillId="13489" borderId="13436" xfId="0" applyFont="1" applyFill="1" applyBorder="1"/>
    <xf numFmtId="165" fontId="13485" fillId="13490" borderId="13437" xfId="0" applyNumberFormat="1" applyFont="1" applyFill="1" applyBorder="1"/>
    <xf numFmtId="165" fontId="13486" fillId="13491" borderId="13438" xfId="0" applyNumberFormat="1" applyFont="1" applyFill="1" applyBorder="1"/>
    <xf numFmtId="169" fontId="13487" fillId="13492" borderId="13439" xfId="0" applyNumberFormat="1" applyFont="1" applyFill="1" applyBorder="1"/>
    <xf numFmtId="168" fontId="13488" fillId="13493" borderId="13440" xfId="0" applyNumberFormat="1" applyFont="1" applyFill="1" applyBorder="1"/>
    <xf numFmtId="165" fontId="13489" fillId="13494" borderId="13441" xfId="0" applyNumberFormat="1" applyFont="1" applyFill="1" applyBorder="1"/>
    <xf numFmtId="0" fontId="13490" fillId="13495" borderId="13442" xfId="0" applyFont="1" applyFill="1" applyBorder="1" applyAlignment="1">
      <alignment horizontal="center"/>
    </xf>
    <xf numFmtId="0" fontId="13491" fillId="13496" borderId="13443" xfId="0" applyFont="1" applyFill="1" applyBorder="1" applyAlignment="1">
      <alignment horizontal="center"/>
    </xf>
    <xf numFmtId="0" fontId="13492" fillId="13497" borderId="13444" xfId="0" applyFont="1" applyFill="1" applyBorder="1"/>
    <xf numFmtId="165" fontId="13493" fillId="13498" borderId="13445" xfId="0" applyNumberFormat="1" applyFont="1" applyFill="1" applyBorder="1"/>
    <xf numFmtId="0" fontId="13494" fillId="13499" borderId="13446" xfId="0" applyFont="1" applyFill="1" applyBorder="1"/>
    <xf numFmtId="0" fontId="13495" fillId="13500" borderId="13447" xfId="0" applyFont="1" applyFill="1" applyBorder="1" applyAlignment="1">
      <alignment horizontal="center"/>
    </xf>
    <xf numFmtId="14" fontId="13496" fillId="13501" borderId="13448" xfId="0" applyNumberFormat="1" applyFont="1" applyFill="1" applyBorder="1"/>
    <xf numFmtId="0" fontId="13497" fillId="13502" borderId="13449" xfId="0" applyFont="1" applyFill="1" applyBorder="1" applyAlignment="1">
      <alignment horizontal="center"/>
    </xf>
    <xf numFmtId="0" fontId="13498" fillId="13503" borderId="13450" xfId="0" applyFont="1" applyFill="1" applyBorder="1"/>
    <xf numFmtId="0" fontId="13499" fillId="13504" borderId="13451" xfId="0" applyFont="1" applyFill="1" applyBorder="1"/>
    <xf numFmtId="165" fontId="13500" fillId="13505" borderId="13452" xfId="0" applyNumberFormat="1" applyFont="1" applyFill="1" applyBorder="1"/>
    <xf numFmtId="165" fontId="13501" fillId="13506" borderId="13453" xfId="0" applyNumberFormat="1" applyFont="1" applyFill="1" applyBorder="1"/>
    <xf numFmtId="169" fontId="13502" fillId="13507" borderId="13454" xfId="0" applyNumberFormat="1" applyFont="1" applyFill="1" applyBorder="1"/>
    <xf numFmtId="168" fontId="13503" fillId="13508" borderId="13455" xfId="0" applyNumberFormat="1" applyFont="1" applyFill="1" applyBorder="1"/>
    <xf numFmtId="165" fontId="13504" fillId="13509" borderId="13456" xfId="0" applyNumberFormat="1" applyFont="1" applyFill="1" applyBorder="1"/>
    <xf numFmtId="0" fontId="13505" fillId="13510" borderId="13457" xfId="0" applyFont="1" applyFill="1" applyBorder="1" applyAlignment="1">
      <alignment horizontal="center"/>
    </xf>
    <xf numFmtId="0" fontId="13506" fillId="13511" borderId="13458" xfId="0" applyFont="1" applyFill="1" applyBorder="1" applyAlignment="1">
      <alignment horizontal="center"/>
    </xf>
    <xf numFmtId="0" fontId="13507" fillId="13512" borderId="13459" xfId="0" applyFont="1" applyFill="1" applyBorder="1"/>
    <xf numFmtId="165" fontId="13508" fillId="13513" borderId="13460" xfId="0" applyNumberFormat="1" applyFont="1" applyFill="1" applyBorder="1"/>
    <xf numFmtId="0" fontId="13509" fillId="13514" borderId="13461" xfId="0" applyFont="1" applyFill="1" applyBorder="1"/>
    <xf numFmtId="0" fontId="13510" fillId="13515" borderId="13462" xfId="0" applyFont="1" applyFill="1" applyBorder="1" applyAlignment="1">
      <alignment horizontal="center"/>
    </xf>
    <xf numFmtId="14" fontId="13511" fillId="13516" borderId="13463" xfId="0" applyNumberFormat="1" applyFont="1" applyFill="1" applyBorder="1"/>
    <xf numFmtId="0" fontId="13512" fillId="13517" borderId="13464" xfId="0" applyFont="1" applyFill="1" applyBorder="1" applyAlignment="1">
      <alignment horizontal="center"/>
    </xf>
    <xf numFmtId="0" fontId="13513" fillId="13518" borderId="13465" xfId="0" applyFont="1" applyFill="1" applyBorder="1"/>
    <xf numFmtId="0" fontId="13514" fillId="13519" borderId="13466" xfId="0" applyFont="1" applyFill="1" applyBorder="1"/>
    <xf numFmtId="165" fontId="13515" fillId="13520" borderId="13467" xfId="0" applyNumberFormat="1" applyFont="1" applyFill="1" applyBorder="1"/>
    <xf numFmtId="165" fontId="13516" fillId="13521" borderId="13468" xfId="0" applyNumberFormat="1" applyFont="1" applyFill="1" applyBorder="1"/>
    <xf numFmtId="169" fontId="13517" fillId="13522" borderId="13469" xfId="0" applyNumberFormat="1" applyFont="1" applyFill="1" applyBorder="1"/>
    <xf numFmtId="168" fontId="13518" fillId="13523" borderId="13470" xfId="0" applyNumberFormat="1" applyFont="1" applyFill="1" applyBorder="1"/>
    <xf numFmtId="165" fontId="13519" fillId="13524" borderId="13471" xfId="0" applyNumberFormat="1" applyFont="1" applyFill="1" applyBorder="1"/>
    <xf numFmtId="0" fontId="13520" fillId="13525" borderId="13472" xfId="0" applyFont="1" applyFill="1" applyBorder="1" applyAlignment="1">
      <alignment horizontal="center"/>
    </xf>
    <xf numFmtId="0" fontId="13521" fillId="13526" borderId="13473" xfId="0" applyFont="1" applyFill="1" applyBorder="1" applyAlignment="1">
      <alignment horizontal="center"/>
    </xf>
    <xf numFmtId="0" fontId="13522" fillId="13527" borderId="13474" xfId="0" applyFont="1" applyFill="1" applyBorder="1"/>
    <xf numFmtId="165" fontId="13523" fillId="13528" borderId="13475" xfId="0" applyNumberFormat="1" applyFont="1" applyFill="1" applyBorder="1"/>
    <xf numFmtId="0" fontId="13524" fillId="13529" borderId="13476" xfId="0" applyFont="1" applyFill="1" applyBorder="1"/>
    <xf numFmtId="0" fontId="13525" fillId="13530" borderId="13477" xfId="0" applyFont="1" applyFill="1" applyBorder="1" applyAlignment="1">
      <alignment horizontal="center"/>
    </xf>
    <xf numFmtId="14" fontId="13526" fillId="13531" borderId="13478" xfId="0" applyNumberFormat="1" applyFont="1" applyFill="1" applyBorder="1"/>
    <xf numFmtId="0" fontId="13527" fillId="13532" borderId="13479" xfId="0" applyFont="1" applyFill="1" applyBorder="1" applyAlignment="1">
      <alignment horizontal="center"/>
    </xf>
    <xf numFmtId="0" fontId="13528" fillId="13533" borderId="13480" xfId="0" applyFont="1" applyFill="1" applyBorder="1"/>
    <xf numFmtId="0" fontId="13529" fillId="13534" borderId="13481" xfId="0" applyFont="1" applyFill="1" applyBorder="1"/>
    <xf numFmtId="165" fontId="13530" fillId="13535" borderId="13482" xfId="0" applyNumberFormat="1" applyFont="1" applyFill="1" applyBorder="1"/>
    <xf numFmtId="165" fontId="13531" fillId="13536" borderId="13483" xfId="0" applyNumberFormat="1" applyFont="1" applyFill="1" applyBorder="1"/>
    <xf numFmtId="169" fontId="13532" fillId="13537" borderId="13484" xfId="0" applyNumberFormat="1" applyFont="1" applyFill="1" applyBorder="1"/>
    <xf numFmtId="168" fontId="13533" fillId="13538" borderId="13485" xfId="0" applyNumberFormat="1" applyFont="1" applyFill="1" applyBorder="1"/>
    <xf numFmtId="165" fontId="13534" fillId="13539" borderId="13486" xfId="0" applyNumberFormat="1" applyFont="1" applyFill="1" applyBorder="1"/>
    <xf numFmtId="0" fontId="13535" fillId="13540" borderId="13487" xfId="0" applyFont="1" applyFill="1" applyBorder="1" applyAlignment="1">
      <alignment horizontal="center"/>
    </xf>
    <xf numFmtId="0" fontId="13536" fillId="13541" borderId="13488" xfId="0" applyFont="1" applyFill="1" applyBorder="1" applyAlignment="1">
      <alignment horizontal="center"/>
    </xf>
    <xf numFmtId="0" fontId="13537" fillId="13542" borderId="13489" xfId="0" applyFont="1" applyFill="1" applyBorder="1"/>
    <xf numFmtId="165" fontId="13538" fillId="13543" borderId="13490" xfId="0" applyNumberFormat="1" applyFont="1" applyFill="1" applyBorder="1"/>
    <xf numFmtId="0" fontId="13539" fillId="13544" borderId="13491" xfId="0" applyFont="1" applyFill="1" applyBorder="1"/>
    <xf numFmtId="0" fontId="13540" fillId="13545" borderId="13492" xfId="0" applyFont="1" applyFill="1" applyBorder="1" applyAlignment="1">
      <alignment horizontal="center"/>
    </xf>
    <xf numFmtId="14" fontId="13541" fillId="13546" borderId="13493" xfId="0" applyNumberFormat="1" applyFont="1" applyFill="1" applyBorder="1"/>
    <xf numFmtId="0" fontId="13542" fillId="13547" borderId="13494" xfId="0" applyFont="1" applyFill="1" applyBorder="1" applyAlignment="1">
      <alignment horizontal="center"/>
    </xf>
    <xf numFmtId="0" fontId="13543" fillId="13548" borderId="13495" xfId="0" applyFont="1" applyFill="1" applyBorder="1"/>
    <xf numFmtId="0" fontId="13544" fillId="13549" borderId="13496" xfId="0" applyFont="1" applyFill="1" applyBorder="1"/>
    <xf numFmtId="165" fontId="13545" fillId="13550" borderId="13497" xfId="0" applyNumberFormat="1" applyFont="1" applyFill="1" applyBorder="1"/>
    <xf numFmtId="165" fontId="13546" fillId="13551" borderId="13498" xfId="0" applyNumberFormat="1" applyFont="1" applyFill="1" applyBorder="1"/>
    <xf numFmtId="169" fontId="13547" fillId="13552" borderId="13499" xfId="0" applyNumberFormat="1" applyFont="1" applyFill="1" applyBorder="1"/>
    <xf numFmtId="168" fontId="13548" fillId="13553" borderId="13500" xfId="0" applyNumberFormat="1" applyFont="1" applyFill="1" applyBorder="1"/>
    <xf numFmtId="165" fontId="13549" fillId="13554" borderId="13501" xfId="0" applyNumberFormat="1" applyFont="1" applyFill="1" applyBorder="1"/>
    <xf numFmtId="0" fontId="13550" fillId="13555" borderId="13502" xfId="0" applyFont="1" applyFill="1" applyBorder="1" applyAlignment="1">
      <alignment horizontal="center"/>
    </xf>
    <xf numFmtId="0" fontId="13551" fillId="13556" borderId="13503" xfId="0" applyFont="1" applyFill="1" applyBorder="1" applyAlignment="1">
      <alignment horizontal="center"/>
    </xf>
    <xf numFmtId="0" fontId="13552" fillId="13557" borderId="13504" xfId="0" applyFont="1" applyFill="1" applyBorder="1"/>
    <xf numFmtId="165" fontId="13553" fillId="13558" borderId="13505" xfId="0" applyNumberFormat="1" applyFont="1" applyFill="1" applyBorder="1"/>
    <xf numFmtId="0" fontId="13554" fillId="13559" borderId="13506" xfId="0" applyFont="1" applyFill="1" applyBorder="1"/>
    <xf numFmtId="0" fontId="13555" fillId="13560" borderId="13507" xfId="0" applyFont="1" applyFill="1" applyBorder="1" applyAlignment="1">
      <alignment horizontal="center"/>
    </xf>
    <xf numFmtId="14" fontId="13556" fillId="13561" borderId="13508" xfId="0" applyNumberFormat="1" applyFont="1" applyFill="1" applyBorder="1"/>
    <xf numFmtId="0" fontId="13557" fillId="13562" borderId="13509" xfId="0" applyFont="1" applyFill="1" applyBorder="1" applyAlignment="1">
      <alignment horizontal="center"/>
    </xf>
    <xf numFmtId="0" fontId="13558" fillId="13563" borderId="13510" xfId="0" applyFont="1" applyFill="1" applyBorder="1"/>
    <xf numFmtId="0" fontId="13559" fillId="13564" borderId="13511" xfId="0" applyFont="1" applyFill="1" applyBorder="1"/>
    <xf numFmtId="165" fontId="13560" fillId="13565" borderId="13512" xfId="0" applyNumberFormat="1" applyFont="1" applyFill="1" applyBorder="1"/>
    <xf numFmtId="165" fontId="13561" fillId="13566" borderId="13513" xfId="0" applyNumberFormat="1" applyFont="1" applyFill="1" applyBorder="1"/>
    <xf numFmtId="169" fontId="13562" fillId="13567" borderId="13514" xfId="0" applyNumberFormat="1" applyFont="1" applyFill="1" applyBorder="1"/>
    <xf numFmtId="168" fontId="13563" fillId="13568" borderId="13515" xfId="0" applyNumberFormat="1" applyFont="1" applyFill="1" applyBorder="1"/>
    <xf numFmtId="165" fontId="13564" fillId="13569" borderId="13516" xfId="0" applyNumberFormat="1" applyFont="1" applyFill="1" applyBorder="1"/>
    <xf numFmtId="0" fontId="13565" fillId="13570" borderId="13517" xfId="0" applyFont="1" applyFill="1" applyBorder="1" applyAlignment="1">
      <alignment horizontal="center"/>
    </xf>
    <xf numFmtId="0" fontId="13566" fillId="13571" borderId="13518" xfId="0" applyFont="1" applyFill="1" applyBorder="1" applyAlignment="1">
      <alignment horizontal="center"/>
    </xf>
    <xf numFmtId="0" fontId="13567" fillId="13572" borderId="13519" xfId="0" applyFont="1" applyFill="1" applyBorder="1"/>
    <xf numFmtId="165" fontId="13568" fillId="13573" borderId="13520" xfId="0" applyNumberFormat="1" applyFont="1" applyFill="1" applyBorder="1"/>
    <xf numFmtId="0" fontId="13569" fillId="13574" borderId="13521" xfId="0" applyFont="1" applyFill="1" applyBorder="1"/>
    <xf numFmtId="0" fontId="13570" fillId="13575" borderId="13522" xfId="0" applyFont="1" applyFill="1" applyBorder="1" applyAlignment="1">
      <alignment horizontal="center"/>
    </xf>
    <xf numFmtId="14" fontId="13571" fillId="13576" borderId="13523" xfId="0" applyNumberFormat="1" applyFont="1" applyFill="1" applyBorder="1"/>
    <xf numFmtId="0" fontId="13572" fillId="13577" borderId="13524" xfId="0" applyFont="1" applyFill="1" applyBorder="1" applyAlignment="1">
      <alignment horizontal="center"/>
    </xf>
    <xf numFmtId="0" fontId="13573" fillId="13578" borderId="13525" xfId="0" applyFont="1" applyFill="1" applyBorder="1"/>
    <xf numFmtId="0" fontId="13574" fillId="13579" borderId="13526" xfId="0" applyFont="1" applyFill="1" applyBorder="1"/>
    <xf numFmtId="165" fontId="13575" fillId="13580" borderId="13527" xfId="0" applyNumberFormat="1" applyFont="1" applyFill="1" applyBorder="1"/>
    <xf numFmtId="165" fontId="13576" fillId="13581" borderId="13528" xfId="0" applyNumberFormat="1" applyFont="1" applyFill="1" applyBorder="1"/>
    <xf numFmtId="169" fontId="13577" fillId="13582" borderId="13529" xfId="0" applyNumberFormat="1" applyFont="1" applyFill="1" applyBorder="1"/>
    <xf numFmtId="168" fontId="13578" fillId="13583" borderId="13530" xfId="0" applyNumberFormat="1" applyFont="1" applyFill="1" applyBorder="1"/>
    <xf numFmtId="165" fontId="13579" fillId="13584" borderId="13531" xfId="0" applyNumberFormat="1" applyFont="1" applyFill="1" applyBorder="1"/>
    <xf numFmtId="0" fontId="13580" fillId="13585" borderId="13532" xfId="0" applyFont="1" applyFill="1" applyBorder="1" applyAlignment="1">
      <alignment horizontal="center"/>
    </xf>
    <xf numFmtId="0" fontId="13581" fillId="13586" borderId="13533" xfId="0" applyFont="1" applyFill="1" applyBorder="1" applyAlignment="1">
      <alignment horizontal="center"/>
    </xf>
    <xf numFmtId="0" fontId="13582" fillId="13587" borderId="13534" xfId="0" applyFont="1" applyFill="1" applyBorder="1"/>
    <xf numFmtId="165" fontId="13583" fillId="13588" borderId="13535" xfId="0" applyNumberFormat="1" applyFont="1" applyFill="1" applyBorder="1"/>
    <xf numFmtId="0" fontId="13584" fillId="13589" borderId="13536" xfId="0" applyFont="1" applyFill="1" applyBorder="1"/>
    <xf numFmtId="0" fontId="13585" fillId="13590" borderId="13537" xfId="0" applyFont="1" applyFill="1" applyBorder="1" applyAlignment="1">
      <alignment horizontal="center"/>
    </xf>
    <xf numFmtId="14" fontId="13586" fillId="13591" borderId="13538" xfId="0" applyNumberFormat="1" applyFont="1" applyFill="1" applyBorder="1"/>
    <xf numFmtId="0" fontId="13587" fillId="13592" borderId="13539" xfId="0" applyFont="1" applyFill="1" applyBorder="1" applyAlignment="1">
      <alignment horizontal="center"/>
    </xf>
    <xf numFmtId="0" fontId="13588" fillId="13593" borderId="13540" xfId="0" applyFont="1" applyFill="1" applyBorder="1"/>
    <xf numFmtId="0" fontId="13589" fillId="13594" borderId="13541" xfId="0" applyFont="1" applyFill="1" applyBorder="1"/>
    <xf numFmtId="165" fontId="13590" fillId="13595" borderId="13542" xfId="0" applyNumberFormat="1" applyFont="1" applyFill="1" applyBorder="1"/>
    <xf numFmtId="165" fontId="13591" fillId="13596" borderId="13543" xfId="0" applyNumberFormat="1" applyFont="1" applyFill="1" applyBorder="1"/>
    <xf numFmtId="169" fontId="13592" fillId="13597" borderId="13544" xfId="0" applyNumberFormat="1" applyFont="1" applyFill="1" applyBorder="1"/>
    <xf numFmtId="168" fontId="13593" fillId="13598" borderId="13545" xfId="0" applyNumberFormat="1" applyFont="1" applyFill="1" applyBorder="1"/>
    <xf numFmtId="165" fontId="13594" fillId="13599" borderId="13546" xfId="0" applyNumberFormat="1" applyFont="1" applyFill="1" applyBorder="1"/>
    <xf numFmtId="0" fontId="13595" fillId="13600" borderId="13547" xfId="0" applyFont="1" applyFill="1" applyBorder="1" applyAlignment="1">
      <alignment horizontal="center"/>
    </xf>
    <xf numFmtId="0" fontId="13596" fillId="13601" borderId="13548" xfId="0" applyFont="1" applyFill="1" applyBorder="1" applyAlignment="1">
      <alignment horizontal="center"/>
    </xf>
    <xf numFmtId="0" fontId="13597" fillId="13602" borderId="13549" xfId="0" applyFont="1" applyFill="1" applyBorder="1"/>
    <xf numFmtId="165" fontId="13598" fillId="13603" borderId="13550" xfId="0" applyNumberFormat="1" applyFont="1" applyFill="1" applyBorder="1"/>
    <xf numFmtId="0" fontId="13599" fillId="13604" borderId="13551" xfId="0" applyFont="1" applyFill="1" applyBorder="1"/>
    <xf numFmtId="0" fontId="13600" fillId="13605" borderId="13552" xfId="0" applyFont="1" applyFill="1" applyBorder="1" applyAlignment="1">
      <alignment horizontal="center"/>
    </xf>
    <xf numFmtId="14" fontId="13601" fillId="13606" borderId="13553" xfId="0" applyNumberFormat="1" applyFont="1" applyFill="1" applyBorder="1"/>
    <xf numFmtId="0" fontId="13602" fillId="13607" borderId="13554" xfId="0" applyFont="1" applyFill="1" applyBorder="1" applyAlignment="1">
      <alignment horizontal="center"/>
    </xf>
    <xf numFmtId="0" fontId="13603" fillId="13608" borderId="13555" xfId="0" applyFont="1" applyFill="1" applyBorder="1"/>
    <xf numFmtId="0" fontId="13604" fillId="13609" borderId="13556" xfId="0" applyFont="1" applyFill="1" applyBorder="1"/>
    <xf numFmtId="165" fontId="13605" fillId="13610" borderId="13557" xfId="0" applyNumberFormat="1" applyFont="1" applyFill="1" applyBorder="1"/>
    <xf numFmtId="165" fontId="13606" fillId="13611" borderId="13558" xfId="0" applyNumberFormat="1" applyFont="1" applyFill="1" applyBorder="1"/>
    <xf numFmtId="169" fontId="13607" fillId="13612" borderId="13559" xfId="0" applyNumberFormat="1" applyFont="1" applyFill="1" applyBorder="1"/>
    <xf numFmtId="168" fontId="13608" fillId="13613" borderId="13560" xfId="0" applyNumberFormat="1" applyFont="1" applyFill="1" applyBorder="1"/>
    <xf numFmtId="165" fontId="13609" fillId="13614" borderId="13561" xfId="0" applyNumberFormat="1" applyFont="1" applyFill="1" applyBorder="1"/>
    <xf numFmtId="0" fontId="13610" fillId="13615" borderId="13562" xfId="0" applyFont="1" applyFill="1" applyBorder="1" applyAlignment="1">
      <alignment horizontal="center"/>
    </xf>
    <xf numFmtId="0" fontId="13611" fillId="13616" borderId="13563" xfId="0" applyFont="1" applyFill="1" applyBorder="1" applyAlignment="1">
      <alignment horizontal="center"/>
    </xf>
    <xf numFmtId="0" fontId="13612" fillId="13617" borderId="13564" xfId="0" applyFont="1" applyFill="1" applyBorder="1"/>
    <xf numFmtId="165" fontId="13613" fillId="13618" borderId="13565" xfId="0" applyNumberFormat="1" applyFont="1" applyFill="1" applyBorder="1"/>
    <xf numFmtId="0" fontId="13614" fillId="13619" borderId="13566" xfId="0" applyFont="1" applyFill="1" applyBorder="1"/>
    <xf numFmtId="0" fontId="13615" fillId="13620" borderId="13567" xfId="0" applyFont="1" applyFill="1" applyBorder="1" applyAlignment="1">
      <alignment horizontal="center"/>
    </xf>
    <xf numFmtId="14" fontId="13616" fillId="13621" borderId="13568" xfId="0" applyNumberFormat="1" applyFont="1" applyFill="1" applyBorder="1"/>
    <xf numFmtId="0" fontId="13617" fillId="13622" borderId="13569" xfId="0" applyFont="1" applyFill="1" applyBorder="1" applyAlignment="1">
      <alignment horizontal="center"/>
    </xf>
    <xf numFmtId="0" fontId="13618" fillId="13623" borderId="13570" xfId="0" applyFont="1" applyFill="1" applyBorder="1"/>
    <xf numFmtId="0" fontId="13619" fillId="13624" borderId="13571" xfId="0" applyFont="1" applyFill="1" applyBorder="1"/>
    <xf numFmtId="165" fontId="13620" fillId="13625" borderId="13572" xfId="0" applyNumberFormat="1" applyFont="1" applyFill="1" applyBorder="1"/>
    <xf numFmtId="165" fontId="13621" fillId="13626" borderId="13573" xfId="0" applyNumberFormat="1" applyFont="1" applyFill="1" applyBorder="1"/>
    <xf numFmtId="169" fontId="13622" fillId="13627" borderId="13574" xfId="0" applyNumberFormat="1" applyFont="1" applyFill="1" applyBorder="1"/>
    <xf numFmtId="168" fontId="13623" fillId="13628" borderId="13575" xfId="0" applyNumberFormat="1" applyFont="1" applyFill="1" applyBorder="1"/>
    <xf numFmtId="165" fontId="13624" fillId="13629" borderId="13576" xfId="0" applyNumberFormat="1" applyFont="1" applyFill="1" applyBorder="1"/>
    <xf numFmtId="0" fontId="13625" fillId="13630" borderId="13577" xfId="0" applyFont="1" applyFill="1" applyBorder="1" applyAlignment="1">
      <alignment horizontal="center"/>
    </xf>
    <xf numFmtId="0" fontId="13626" fillId="13631" borderId="13578" xfId="0" applyFont="1" applyFill="1" applyBorder="1" applyAlignment="1">
      <alignment horizontal="center"/>
    </xf>
    <xf numFmtId="0" fontId="13627" fillId="13632" borderId="13579" xfId="0" applyFont="1" applyFill="1" applyBorder="1"/>
    <xf numFmtId="165" fontId="13628" fillId="13633" borderId="13580" xfId="0" applyNumberFormat="1" applyFont="1" applyFill="1" applyBorder="1"/>
    <xf numFmtId="0" fontId="13629" fillId="13634" borderId="13581" xfId="0" applyFont="1" applyFill="1" applyBorder="1"/>
    <xf numFmtId="0" fontId="13630" fillId="13635" borderId="13582" xfId="0" applyFont="1" applyFill="1" applyBorder="1" applyAlignment="1">
      <alignment horizontal="center"/>
    </xf>
    <xf numFmtId="14" fontId="13631" fillId="13636" borderId="13583" xfId="0" applyNumberFormat="1" applyFont="1" applyFill="1" applyBorder="1"/>
    <xf numFmtId="0" fontId="13632" fillId="13637" borderId="13584" xfId="0" applyFont="1" applyFill="1" applyBorder="1" applyAlignment="1">
      <alignment horizontal="center"/>
    </xf>
    <xf numFmtId="0" fontId="13633" fillId="13638" borderId="13585" xfId="0" applyFont="1" applyFill="1" applyBorder="1"/>
    <xf numFmtId="0" fontId="13634" fillId="13639" borderId="13586" xfId="0" applyFont="1" applyFill="1" applyBorder="1"/>
    <xf numFmtId="165" fontId="13635" fillId="13640" borderId="13587" xfId="0" applyNumberFormat="1" applyFont="1" applyFill="1" applyBorder="1"/>
    <xf numFmtId="165" fontId="13636" fillId="13641" borderId="13588" xfId="0" applyNumberFormat="1" applyFont="1" applyFill="1" applyBorder="1"/>
    <xf numFmtId="169" fontId="13637" fillId="13642" borderId="13589" xfId="0" applyNumberFormat="1" applyFont="1" applyFill="1" applyBorder="1"/>
    <xf numFmtId="168" fontId="13638" fillId="13643" borderId="13590" xfId="0" applyNumberFormat="1" applyFont="1" applyFill="1" applyBorder="1"/>
    <xf numFmtId="165" fontId="13639" fillId="13644" borderId="13591" xfId="0" applyNumberFormat="1" applyFont="1" applyFill="1" applyBorder="1"/>
    <xf numFmtId="0" fontId="13640" fillId="13645" borderId="13592" xfId="0" applyFont="1" applyFill="1" applyBorder="1" applyAlignment="1">
      <alignment horizontal="center"/>
    </xf>
    <xf numFmtId="0" fontId="13641" fillId="13646" borderId="13593" xfId="0" applyFont="1" applyFill="1" applyBorder="1" applyAlignment="1">
      <alignment horizontal="center"/>
    </xf>
    <xf numFmtId="0" fontId="13642" fillId="13647" borderId="13594" xfId="0" applyFont="1" applyFill="1" applyBorder="1"/>
    <xf numFmtId="165" fontId="13643" fillId="13648" borderId="13595" xfId="0" applyNumberFormat="1" applyFont="1" applyFill="1" applyBorder="1"/>
    <xf numFmtId="0" fontId="13644" fillId="13649" borderId="13596" xfId="0" applyFont="1" applyFill="1" applyBorder="1"/>
    <xf numFmtId="0" fontId="13645" fillId="13650" borderId="13597" xfId="0" applyFont="1" applyFill="1" applyBorder="1" applyAlignment="1">
      <alignment horizontal="center"/>
    </xf>
    <xf numFmtId="14" fontId="13646" fillId="13651" borderId="13598" xfId="0" applyNumberFormat="1" applyFont="1" applyFill="1" applyBorder="1"/>
    <xf numFmtId="0" fontId="13647" fillId="13652" borderId="13599" xfId="0" applyFont="1" applyFill="1" applyBorder="1" applyAlignment="1">
      <alignment horizontal="center"/>
    </xf>
    <xf numFmtId="0" fontId="13648" fillId="13653" borderId="13600" xfId="0" applyFont="1" applyFill="1" applyBorder="1"/>
    <xf numFmtId="0" fontId="13649" fillId="13654" borderId="13601" xfId="0" applyFont="1" applyFill="1" applyBorder="1"/>
    <xf numFmtId="165" fontId="13650" fillId="13655" borderId="13602" xfId="0" applyNumberFormat="1" applyFont="1" applyFill="1" applyBorder="1"/>
    <xf numFmtId="165" fontId="13651" fillId="13656" borderId="13603" xfId="0" applyNumberFormat="1" applyFont="1" applyFill="1" applyBorder="1"/>
    <xf numFmtId="169" fontId="13652" fillId="13657" borderId="13604" xfId="0" applyNumberFormat="1" applyFont="1" applyFill="1" applyBorder="1"/>
    <xf numFmtId="168" fontId="13653" fillId="13658" borderId="13605" xfId="0" applyNumberFormat="1" applyFont="1" applyFill="1" applyBorder="1"/>
    <xf numFmtId="165" fontId="13654" fillId="13659" borderId="13606" xfId="0" applyNumberFormat="1" applyFont="1" applyFill="1" applyBorder="1"/>
    <xf numFmtId="0" fontId="13655" fillId="13660" borderId="13607" xfId="0" applyFont="1" applyFill="1" applyBorder="1" applyAlignment="1">
      <alignment horizontal="center"/>
    </xf>
    <xf numFmtId="0" fontId="13656" fillId="13661" borderId="13608" xfId="0" applyFont="1" applyFill="1" applyBorder="1" applyAlignment="1">
      <alignment horizontal="center"/>
    </xf>
    <xf numFmtId="0" fontId="13657" fillId="13662" borderId="13609" xfId="0" applyFont="1" applyFill="1" applyBorder="1"/>
    <xf numFmtId="165" fontId="13658" fillId="13663" borderId="13610" xfId="0" applyNumberFormat="1" applyFont="1" applyFill="1" applyBorder="1"/>
    <xf numFmtId="0" fontId="13659" fillId="13664" borderId="13611" xfId="0" applyFont="1" applyFill="1" applyBorder="1"/>
    <xf numFmtId="0" fontId="13660" fillId="13665" borderId="13612" xfId="0" applyFont="1" applyFill="1" applyBorder="1" applyAlignment="1">
      <alignment horizontal="center"/>
    </xf>
    <xf numFmtId="14" fontId="13661" fillId="13666" borderId="13613" xfId="0" applyNumberFormat="1" applyFont="1" applyFill="1" applyBorder="1"/>
    <xf numFmtId="0" fontId="13662" fillId="13667" borderId="13614" xfId="0" applyFont="1" applyFill="1" applyBorder="1" applyAlignment="1">
      <alignment horizontal="center"/>
    </xf>
    <xf numFmtId="0" fontId="13663" fillId="13668" borderId="13615" xfId="0" applyFont="1" applyFill="1" applyBorder="1"/>
    <xf numFmtId="0" fontId="13664" fillId="13669" borderId="13616" xfId="0" applyFont="1" applyFill="1" applyBorder="1"/>
    <xf numFmtId="165" fontId="13665" fillId="13670" borderId="13617" xfId="0" applyNumberFormat="1" applyFont="1" applyFill="1" applyBorder="1"/>
    <xf numFmtId="165" fontId="13666" fillId="13671" borderId="13618" xfId="0" applyNumberFormat="1" applyFont="1" applyFill="1" applyBorder="1"/>
    <xf numFmtId="169" fontId="13667" fillId="13672" borderId="13619" xfId="0" applyNumberFormat="1" applyFont="1" applyFill="1" applyBorder="1"/>
    <xf numFmtId="168" fontId="13668" fillId="13673" borderId="13620" xfId="0" applyNumberFormat="1" applyFont="1" applyFill="1" applyBorder="1"/>
    <xf numFmtId="165" fontId="13669" fillId="13674" borderId="13621" xfId="0" applyNumberFormat="1" applyFont="1" applyFill="1" applyBorder="1"/>
    <xf numFmtId="0" fontId="13670" fillId="13675" borderId="13622" xfId="0" applyFont="1" applyFill="1" applyBorder="1" applyAlignment="1">
      <alignment horizontal="center"/>
    </xf>
    <xf numFmtId="0" fontId="13671" fillId="13676" borderId="13623" xfId="0" applyFont="1" applyFill="1" applyBorder="1" applyAlignment="1">
      <alignment horizontal="center"/>
    </xf>
    <xf numFmtId="0" fontId="13672" fillId="13677" borderId="13624" xfId="0" applyFont="1" applyFill="1" applyBorder="1"/>
    <xf numFmtId="165" fontId="13673" fillId="13678" borderId="13625" xfId="0" applyNumberFormat="1" applyFont="1" applyFill="1" applyBorder="1"/>
    <xf numFmtId="0" fontId="13674" fillId="13679" borderId="13626" xfId="0" applyFont="1" applyFill="1" applyBorder="1"/>
    <xf numFmtId="0" fontId="13675" fillId="13680" borderId="13627" xfId="0" applyFont="1" applyFill="1" applyBorder="1" applyAlignment="1">
      <alignment horizontal="center"/>
    </xf>
    <xf numFmtId="14" fontId="13676" fillId="13681" borderId="13628" xfId="0" applyNumberFormat="1" applyFont="1" applyFill="1" applyBorder="1"/>
    <xf numFmtId="0" fontId="13677" fillId="13682" borderId="13629" xfId="0" applyFont="1" applyFill="1" applyBorder="1" applyAlignment="1">
      <alignment horizontal="center"/>
    </xf>
    <xf numFmtId="0" fontId="13678" fillId="13683" borderId="13630" xfId="0" applyFont="1" applyFill="1" applyBorder="1"/>
    <xf numFmtId="0" fontId="13679" fillId="13684" borderId="13631" xfId="0" applyFont="1" applyFill="1" applyBorder="1"/>
    <xf numFmtId="165" fontId="13680" fillId="13685" borderId="13632" xfId="0" applyNumberFormat="1" applyFont="1" applyFill="1" applyBorder="1"/>
    <xf numFmtId="165" fontId="13681" fillId="13686" borderId="13633" xfId="0" applyNumberFormat="1" applyFont="1" applyFill="1" applyBorder="1"/>
    <xf numFmtId="169" fontId="13682" fillId="13687" borderId="13634" xfId="0" applyNumberFormat="1" applyFont="1" applyFill="1" applyBorder="1"/>
    <xf numFmtId="168" fontId="13683" fillId="13688" borderId="13635" xfId="0" applyNumberFormat="1" applyFont="1" applyFill="1" applyBorder="1"/>
    <xf numFmtId="165" fontId="13684" fillId="13689" borderId="13636" xfId="0" applyNumberFormat="1" applyFont="1" applyFill="1" applyBorder="1"/>
    <xf numFmtId="0" fontId="13685" fillId="13690" borderId="13637" xfId="0" applyFont="1" applyFill="1" applyBorder="1" applyAlignment="1">
      <alignment horizontal="center"/>
    </xf>
    <xf numFmtId="0" fontId="13686" fillId="13691" borderId="13638" xfId="0" applyFont="1" applyFill="1" applyBorder="1" applyAlignment="1">
      <alignment horizontal="center"/>
    </xf>
    <xf numFmtId="0" fontId="13687" fillId="13692" borderId="13639" xfId="0" applyFont="1" applyFill="1" applyBorder="1"/>
    <xf numFmtId="165" fontId="13688" fillId="13693" borderId="13640" xfId="0" applyNumberFormat="1" applyFont="1" applyFill="1" applyBorder="1"/>
    <xf numFmtId="0" fontId="13689" fillId="13694" borderId="13641" xfId="0" applyFont="1" applyFill="1" applyBorder="1"/>
    <xf numFmtId="0" fontId="13690" fillId="13695" borderId="13642" xfId="0" applyFont="1" applyFill="1" applyBorder="1" applyAlignment="1">
      <alignment horizontal="center"/>
    </xf>
    <xf numFmtId="14" fontId="13691" fillId="13696" borderId="13643" xfId="0" applyNumberFormat="1" applyFont="1" applyFill="1" applyBorder="1"/>
    <xf numFmtId="0" fontId="13692" fillId="13697" borderId="13644" xfId="0" applyFont="1" applyFill="1" applyBorder="1" applyAlignment="1">
      <alignment horizontal="center"/>
    </xf>
    <xf numFmtId="0" fontId="13693" fillId="13698" borderId="13645" xfId="0" applyFont="1" applyFill="1" applyBorder="1"/>
    <xf numFmtId="0" fontId="13694" fillId="13699" borderId="13646" xfId="0" applyFont="1" applyFill="1" applyBorder="1"/>
    <xf numFmtId="165" fontId="13695" fillId="13700" borderId="13647" xfId="0" applyNumberFormat="1" applyFont="1" applyFill="1" applyBorder="1"/>
    <xf numFmtId="165" fontId="13696" fillId="13701" borderId="13648" xfId="0" applyNumberFormat="1" applyFont="1" applyFill="1" applyBorder="1"/>
    <xf numFmtId="169" fontId="13697" fillId="13702" borderId="13649" xfId="0" applyNumberFormat="1" applyFont="1" applyFill="1" applyBorder="1"/>
    <xf numFmtId="168" fontId="13698" fillId="13703" borderId="13650" xfId="0" applyNumberFormat="1" applyFont="1" applyFill="1" applyBorder="1"/>
    <xf numFmtId="165" fontId="13699" fillId="13704" borderId="13651" xfId="0" applyNumberFormat="1" applyFont="1" applyFill="1" applyBorder="1"/>
    <xf numFmtId="0" fontId="13700" fillId="13705" borderId="13652" xfId="0" applyFont="1" applyFill="1" applyBorder="1" applyAlignment="1">
      <alignment horizontal="center"/>
    </xf>
    <xf numFmtId="0" fontId="13701" fillId="13706" borderId="13653" xfId="0" applyFont="1" applyFill="1" applyBorder="1" applyAlignment="1">
      <alignment horizontal="center"/>
    </xf>
    <xf numFmtId="0" fontId="13702" fillId="13707" borderId="13654" xfId="0" applyFont="1" applyFill="1" applyBorder="1"/>
    <xf numFmtId="165" fontId="13703" fillId="13708" borderId="13655" xfId="0" applyNumberFormat="1" applyFont="1" applyFill="1" applyBorder="1"/>
    <xf numFmtId="0" fontId="13704" fillId="13709" borderId="13656" xfId="0" applyFont="1" applyFill="1" applyBorder="1"/>
    <xf numFmtId="0" fontId="13705" fillId="13710" borderId="13657" xfId="0" applyFont="1" applyFill="1" applyBorder="1" applyAlignment="1">
      <alignment horizontal="center"/>
    </xf>
    <xf numFmtId="14" fontId="13706" fillId="13711" borderId="13658" xfId="0" applyNumberFormat="1" applyFont="1" applyFill="1" applyBorder="1"/>
    <xf numFmtId="0" fontId="13707" fillId="13712" borderId="13659" xfId="0" applyFont="1" applyFill="1" applyBorder="1" applyAlignment="1">
      <alignment horizontal="center"/>
    </xf>
    <xf numFmtId="0" fontId="13708" fillId="13713" borderId="13660" xfId="0" applyFont="1" applyFill="1" applyBorder="1"/>
    <xf numFmtId="0" fontId="13709" fillId="13714" borderId="13661" xfId="0" applyFont="1" applyFill="1" applyBorder="1"/>
    <xf numFmtId="165" fontId="13710" fillId="13715" borderId="13662" xfId="0" applyNumberFormat="1" applyFont="1" applyFill="1" applyBorder="1"/>
    <xf numFmtId="165" fontId="13711" fillId="13716" borderId="13663" xfId="0" applyNumberFormat="1" applyFont="1" applyFill="1" applyBorder="1"/>
    <xf numFmtId="169" fontId="13712" fillId="13717" borderId="13664" xfId="0" applyNumberFormat="1" applyFont="1" applyFill="1" applyBorder="1"/>
    <xf numFmtId="168" fontId="13713" fillId="13718" borderId="13665" xfId="0" applyNumberFormat="1" applyFont="1" applyFill="1" applyBorder="1"/>
    <xf numFmtId="165" fontId="13714" fillId="13719" borderId="13666" xfId="0" applyNumberFormat="1" applyFont="1" applyFill="1" applyBorder="1"/>
    <xf numFmtId="0" fontId="13715" fillId="13720" borderId="13667" xfId="0" applyFont="1" applyFill="1" applyBorder="1" applyAlignment="1">
      <alignment horizontal="center"/>
    </xf>
    <xf numFmtId="0" fontId="13716" fillId="13721" borderId="13668" xfId="0" applyFont="1" applyFill="1" applyBorder="1" applyAlignment="1">
      <alignment horizontal="center"/>
    </xf>
    <xf numFmtId="0" fontId="13717" fillId="13722" borderId="13669" xfId="0" applyFont="1" applyFill="1" applyBorder="1"/>
    <xf numFmtId="165" fontId="13718" fillId="13723" borderId="13670" xfId="0" applyNumberFormat="1" applyFont="1" applyFill="1" applyBorder="1"/>
    <xf numFmtId="0" fontId="13719" fillId="13724" borderId="13671" xfId="0" applyFont="1" applyFill="1" applyBorder="1"/>
    <xf numFmtId="0" fontId="13720" fillId="13725" borderId="13672" xfId="0" applyFont="1" applyFill="1" applyBorder="1" applyAlignment="1">
      <alignment horizontal="center"/>
    </xf>
    <xf numFmtId="14" fontId="13721" fillId="13726" borderId="13673" xfId="0" applyNumberFormat="1" applyFont="1" applyFill="1" applyBorder="1"/>
    <xf numFmtId="0" fontId="13722" fillId="13727" borderId="13674" xfId="0" applyFont="1" applyFill="1" applyBorder="1" applyAlignment="1">
      <alignment horizontal="center"/>
    </xf>
    <xf numFmtId="0" fontId="13723" fillId="13728" borderId="13675" xfId="0" applyFont="1" applyFill="1" applyBorder="1"/>
    <xf numFmtId="0" fontId="13724" fillId="13729" borderId="13676" xfId="0" applyFont="1" applyFill="1" applyBorder="1"/>
    <xf numFmtId="165" fontId="13725" fillId="13730" borderId="13677" xfId="0" applyNumberFormat="1" applyFont="1" applyFill="1" applyBorder="1"/>
    <xf numFmtId="165" fontId="13726" fillId="13731" borderId="13678" xfId="0" applyNumberFormat="1" applyFont="1" applyFill="1" applyBorder="1"/>
    <xf numFmtId="169" fontId="13727" fillId="13732" borderId="13679" xfId="0" applyNumberFormat="1" applyFont="1" applyFill="1" applyBorder="1"/>
    <xf numFmtId="168" fontId="13728" fillId="13733" borderId="13680" xfId="0" applyNumberFormat="1" applyFont="1" applyFill="1" applyBorder="1"/>
    <xf numFmtId="165" fontId="13729" fillId="13734" borderId="13681" xfId="0" applyNumberFormat="1" applyFont="1" applyFill="1" applyBorder="1"/>
    <xf numFmtId="0" fontId="13730" fillId="13735" borderId="13682" xfId="0" applyFont="1" applyFill="1" applyBorder="1" applyAlignment="1">
      <alignment horizontal="center"/>
    </xf>
    <xf numFmtId="0" fontId="13731" fillId="13736" borderId="13683" xfId="0" applyFont="1" applyFill="1" applyBorder="1" applyAlignment="1">
      <alignment horizontal="center"/>
    </xf>
    <xf numFmtId="0" fontId="13732" fillId="13737" borderId="13684" xfId="0" applyFont="1" applyFill="1" applyBorder="1"/>
    <xf numFmtId="165" fontId="13733" fillId="13738" borderId="13685" xfId="0" applyNumberFormat="1" applyFont="1" applyFill="1" applyBorder="1"/>
    <xf numFmtId="0" fontId="13734" fillId="13739" borderId="13686" xfId="0" applyFont="1" applyFill="1" applyBorder="1"/>
    <xf numFmtId="0" fontId="13735" fillId="13740" borderId="13687" xfId="0" applyFont="1" applyFill="1" applyBorder="1" applyAlignment="1">
      <alignment horizontal="center"/>
    </xf>
    <xf numFmtId="14" fontId="13736" fillId="13741" borderId="13688" xfId="0" applyNumberFormat="1" applyFont="1" applyFill="1" applyBorder="1"/>
    <xf numFmtId="0" fontId="13737" fillId="13742" borderId="13689" xfId="0" applyFont="1" applyFill="1" applyBorder="1" applyAlignment="1">
      <alignment horizontal="center"/>
    </xf>
    <xf numFmtId="0" fontId="13738" fillId="13743" borderId="13690" xfId="0" applyFont="1" applyFill="1" applyBorder="1"/>
    <xf numFmtId="0" fontId="13739" fillId="13744" borderId="13691" xfId="0" applyFont="1" applyFill="1" applyBorder="1"/>
    <xf numFmtId="165" fontId="13740" fillId="13745" borderId="13692" xfId="0" applyNumberFormat="1" applyFont="1" applyFill="1" applyBorder="1"/>
    <xf numFmtId="165" fontId="13741" fillId="13746" borderId="13693" xfId="0" applyNumberFormat="1" applyFont="1" applyFill="1" applyBorder="1"/>
    <xf numFmtId="169" fontId="13742" fillId="13747" borderId="13694" xfId="0" applyNumberFormat="1" applyFont="1" applyFill="1" applyBorder="1"/>
    <xf numFmtId="168" fontId="13743" fillId="13748" borderId="13695" xfId="0" applyNumberFormat="1" applyFont="1" applyFill="1" applyBorder="1"/>
    <xf numFmtId="165" fontId="13744" fillId="13749" borderId="13696" xfId="0" applyNumberFormat="1" applyFont="1" applyFill="1" applyBorder="1"/>
    <xf numFmtId="0" fontId="13745" fillId="13750" borderId="13697" xfId="0" applyFont="1" applyFill="1" applyBorder="1" applyAlignment="1">
      <alignment horizontal="center"/>
    </xf>
    <xf numFmtId="0" fontId="13746" fillId="13751" borderId="13698" xfId="0" applyFont="1" applyFill="1" applyBorder="1" applyAlignment="1">
      <alignment horizontal="center"/>
    </xf>
    <xf numFmtId="0" fontId="13747" fillId="13752" borderId="13699" xfId="0" applyFont="1" applyFill="1" applyBorder="1"/>
    <xf numFmtId="165" fontId="13748" fillId="13753" borderId="13700" xfId="0" applyNumberFormat="1" applyFont="1" applyFill="1" applyBorder="1"/>
    <xf numFmtId="0" fontId="13749" fillId="13754" borderId="13701" xfId="0" applyFont="1" applyFill="1" applyBorder="1"/>
    <xf numFmtId="0" fontId="13750" fillId="13755" borderId="13702" xfId="0" applyFont="1" applyFill="1" applyBorder="1" applyAlignment="1">
      <alignment horizontal="center"/>
    </xf>
    <xf numFmtId="14" fontId="13751" fillId="13756" borderId="13703" xfId="0" applyNumberFormat="1" applyFont="1" applyFill="1" applyBorder="1"/>
    <xf numFmtId="0" fontId="13752" fillId="13757" borderId="13704" xfId="0" applyFont="1" applyFill="1" applyBorder="1" applyAlignment="1">
      <alignment horizontal="center"/>
    </xf>
    <xf numFmtId="0" fontId="13753" fillId="13758" borderId="13705" xfId="0" applyFont="1" applyFill="1" applyBorder="1"/>
    <xf numFmtId="0" fontId="13754" fillId="13759" borderId="13706" xfId="0" applyFont="1" applyFill="1" applyBorder="1"/>
    <xf numFmtId="165" fontId="13755" fillId="13760" borderId="13707" xfId="0" applyNumberFormat="1" applyFont="1" applyFill="1" applyBorder="1"/>
    <xf numFmtId="165" fontId="13756" fillId="13761" borderId="13708" xfId="0" applyNumberFormat="1" applyFont="1" applyFill="1" applyBorder="1"/>
    <xf numFmtId="169" fontId="13757" fillId="13762" borderId="13709" xfId="0" applyNumberFormat="1" applyFont="1" applyFill="1" applyBorder="1"/>
    <xf numFmtId="168" fontId="13758" fillId="13763" borderId="13710" xfId="0" applyNumberFormat="1" applyFont="1" applyFill="1" applyBorder="1"/>
    <xf numFmtId="165" fontId="13759" fillId="13764" borderId="13711" xfId="0" applyNumberFormat="1" applyFont="1" applyFill="1" applyBorder="1"/>
    <xf numFmtId="0" fontId="13760" fillId="13765" borderId="13712" xfId="0" applyFont="1" applyFill="1" applyBorder="1" applyAlignment="1">
      <alignment horizontal="center"/>
    </xf>
    <xf numFmtId="0" fontId="13761" fillId="13766" borderId="13713" xfId="0" applyFont="1" applyFill="1" applyBorder="1" applyAlignment="1">
      <alignment horizontal="center"/>
    </xf>
    <xf numFmtId="0" fontId="13762" fillId="13767" borderId="13714" xfId="0" applyFont="1" applyFill="1" applyBorder="1"/>
    <xf numFmtId="165" fontId="13763" fillId="13768" borderId="13715" xfId="0" applyNumberFormat="1" applyFont="1" applyFill="1" applyBorder="1"/>
    <xf numFmtId="0" fontId="13764" fillId="13769" borderId="13716" xfId="0" applyFont="1" applyFill="1" applyBorder="1"/>
    <xf numFmtId="0" fontId="13765" fillId="13770" borderId="13717" xfId="0" applyFont="1" applyFill="1" applyBorder="1" applyAlignment="1">
      <alignment horizontal="center"/>
    </xf>
    <xf numFmtId="14" fontId="13766" fillId="13771" borderId="13718" xfId="0" applyNumberFormat="1" applyFont="1" applyFill="1" applyBorder="1"/>
    <xf numFmtId="0" fontId="13767" fillId="13772" borderId="13719" xfId="0" applyFont="1" applyFill="1" applyBorder="1" applyAlignment="1">
      <alignment horizontal="center"/>
    </xf>
    <xf numFmtId="0" fontId="13768" fillId="13773" borderId="13720" xfId="0" applyFont="1" applyFill="1" applyBorder="1"/>
    <xf numFmtId="0" fontId="13769" fillId="13774" borderId="13721" xfId="0" applyFont="1" applyFill="1" applyBorder="1"/>
    <xf numFmtId="165" fontId="13770" fillId="13775" borderId="13722" xfId="0" applyNumberFormat="1" applyFont="1" applyFill="1" applyBorder="1"/>
    <xf numFmtId="165" fontId="13771" fillId="13776" borderId="13723" xfId="0" applyNumberFormat="1" applyFont="1" applyFill="1" applyBorder="1"/>
    <xf numFmtId="169" fontId="13772" fillId="13777" borderId="13724" xfId="0" applyNumberFormat="1" applyFont="1" applyFill="1" applyBorder="1"/>
    <xf numFmtId="168" fontId="13773" fillId="13778" borderId="13725" xfId="0" applyNumberFormat="1" applyFont="1" applyFill="1" applyBorder="1"/>
    <xf numFmtId="165" fontId="13774" fillId="13779" borderId="13726" xfId="0" applyNumberFormat="1" applyFont="1" applyFill="1" applyBorder="1"/>
    <xf numFmtId="0" fontId="13775" fillId="13780" borderId="13727" xfId="0" applyFont="1" applyFill="1" applyBorder="1" applyAlignment="1">
      <alignment horizontal="center"/>
    </xf>
    <xf numFmtId="0" fontId="13776" fillId="13781" borderId="13728" xfId="0" applyFont="1" applyFill="1" applyBorder="1" applyAlignment="1">
      <alignment horizontal="center"/>
    </xf>
    <xf numFmtId="0" fontId="13777" fillId="13782" borderId="13729" xfId="0" applyFont="1" applyFill="1" applyBorder="1"/>
    <xf numFmtId="165" fontId="13778" fillId="13783" borderId="13730" xfId="0" applyNumberFormat="1" applyFont="1" applyFill="1" applyBorder="1"/>
    <xf numFmtId="0" fontId="13779" fillId="13784" borderId="13731" xfId="0" applyFont="1" applyFill="1" applyBorder="1"/>
    <xf numFmtId="0" fontId="13780" fillId="13785" borderId="13732" xfId="0" applyFont="1" applyFill="1" applyBorder="1" applyAlignment="1">
      <alignment horizontal="center"/>
    </xf>
    <xf numFmtId="14" fontId="13781" fillId="13786" borderId="13733" xfId="0" applyNumberFormat="1" applyFont="1" applyFill="1" applyBorder="1"/>
    <xf numFmtId="0" fontId="13782" fillId="13787" borderId="13734" xfId="0" applyFont="1" applyFill="1" applyBorder="1" applyAlignment="1">
      <alignment horizontal="center"/>
    </xf>
    <xf numFmtId="0" fontId="13783" fillId="13788" borderId="13735" xfId="0" applyFont="1" applyFill="1" applyBorder="1"/>
    <xf numFmtId="0" fontId="13784" fillId="13789" borderId="13736" xfId="0" applyFont="1" applyFill="1" applyBorder="1"/>
    <xf numFmtId="165" fontId="13785" fillId="13790" borderId="13737" xfId="0" applyNumberFormat="1" applyFont="1" applyFill="1" applyBorder="1"/>
    <xf numFmtId="165" fontId="13786" fillId="13791" borderId="13738" xfId="0" applyNumberFormat="1" applyFont="1" applyFill="1" applyBorder="1"/>
    <xf numFmtId="169" fontId="13787" fillId="13792" borderId="13739" xfId="0" applyNumberFormat="1" applyFont="1" applyFill="1" applyBorder="1"/>
    <xf numFmtId="168" fontId="13788" fillId="13793" borderId="13740" xfId="0" applyNumberFormat="1" applyFont="1" applyFill="1" applyBorder="1"/>
    <xf numFmtId="165" fontId="13789" fillId="13794" borderId="13741" xfId="0" applyNumberFormat="1" applyFont="1" applyFill="1" applyBorder="1"/>
    <xf numFmtId="0" fontId="13790" fillId="13795" borderId="13742" xfId="0" applyFont="1" applyFill="1" applyBorder="1" applyAlignment="1">
      <alignment horizontal="center"/>
    </xf>
    <xf numFmtId="0" fontId="13791" fillId="13796" borderId="13743" xfId="0" applyFont="1" applyFill="1" applyBorder="1" applyAlignment="1">
      <alignment horizontal="center"/>
    </xf>
    <xf numFmtId="0" fontId="13792" fillId="13797" borderId="13744" xfId="0" applyFont="1" applyFill="1" applyBorder="1"/>
    <xf numFmtId="165" fontId="13793" fillId="13798" borderId="13745" xfId="0" applyNumberFormat="1" applyFont="1" applyFill="1" applyBorder="1"/>
    <xf numFmtId="0" fontId="13794" fillId="13799" borderId="13746" xfId="0" applyFont="1" applyFill="1" applyBorder="1"/>
    <xf numFmtId="0" fontId="13795" fillId="13800" borderId="13747" xfId="0" applyFont="1" applyFill="1" applyBorder="1" applyAlignment="1">
      <alignment horizontal="center"/>
    </xf>
    <xf numFmtId="14" fontId="13796" fillId="13801" borderId="13748" xfId="0" applyNumberFormat="1" applyFont="1" applyFill="1" applyBorder="1"/>
    <xf numFmtId="0" fontId="13797" fillId="13802" borderId="13749" xfId="0" applyFont="1" applyFill="1" applyBorder="1" applyAlignment="1">
      <alignment horizontal="center"/>
    </xf>
    <xf numFmtId="0" fontId="13798" fillId="13803" borderId="13750" xfId="0" applyFont="1" applyFill="1" applyBorder="1"/>
    <xf numFmtId="0" fontId="13799" fillId="13804" borderId="13751" xfId="0" applyFont="1" applyFill="1" applyBorder="1"/>
    <xf numFmtId="165" fontId="13800" fillId="13805" borderId="13752" xfId="0" applyNumberFormat="1" applyFont="1" applyFill="1" applyBorder="1"/>
    <xf numFmtId="165" fontId="13801" fillId="13806" borderId="13753" xfId="0" applyNumberFormat="1" applyFont="1" applyFill="1" applyBorder="1"/>
    <xf numFmtId="169" fontId="13802" fillId="13807" borderId="13754" xfId="0" applyNumberFormat="1" applyFont="1" applyFill="1" applyBorder="1"/>
    <xf numFmtId="168" fontId="13803" fillId="13808" borderId="13755" xfId="0" applyNumberFormat="1" applyFont="1" applyFill="1" applyBorder="1"/>
    <xf numFmtId="165" fontId="13804" fillId="13809" borderId="13756" xfId="0" applyNumberFormat="1" applyFont="1" applyFill="1" applyBorder="1"/>
    <xf numFmtId="0" fontId="13805" fillId="13810" borderId="13757" xfId="0" applyFont="1" applyFill="1" applyBorder="1" applyAlignment="1">
      <alignment horizontal="center"/>
    </xf>
    <xf numFmtId="0" fontId="13806" fillId="13811" borderId="13758" xfId="0" applyFont="1" applyFill="1" applyBorder="1" applyAlignment="1">
      <alignment horizontal="center"/>
    </xf>
    <xf numFmtId="0" fontId="13807" fillId="13812" borderId="13759" xfId="0" applyFont="1" applyFill="1" applyBorder="1"/>
    <xf numFmtId="165" fontId="13808" fillId="13813" borderId="13760" xfId="0" applyNumberFormat="1" applyFont="1" applyFill="1" applyBorder="1"/>
    <xf numFmtId="0" fontId="13809" fillId="13814" borderId="13761" xfId="0" applyFont="1" applyFill="1" applyBorder="1"/>
    <xf numFmtId="0" fontId="13810" fillId="13815" borderId="13762" xfId="0" applyFont="1" applyFill="1" applyBorder="1" applyAlignment="1">
      <alignment horizontal="center"/>
    </xf>
    <xf numFmtId="14" fontId="13811" fillId="13816" borderId="13763" xfId="0" applyNumberFormat="1" applyFont="1" applyFill="1" applyBorder="1"/>
    <xf numFmtId="0" fontId="13812" fillId="13817" borderId="13764" xfId="0" applyFont="1" applyFill="1" applyBorder="1" applyAlignment="1">
      <alignment horizontal="center"/>
    </xf>
    <xf numFmtId="0" fontId="13813" fillId="13818" borderId="13765" xfId="0" applyFont="1" applyFill="1" applyBorder="1"/>
    <xf numFmtId="0" fontId="13814" fillId="13819" borderId="13766" xfId="0" applyFont="1" applyFill="1" applyBorder="1"/>
    <xf numFmtId="165" fontId="13815" fillId="13820" borderId="13767" xfId="0" applyNumberFormat="1" applyFont="1" applyFill="1" applyBorder="1"/>
    <xf numFmtId="165" fontId="13816" fillId="13821" borderId="13768" xfId="0" applyNumberFormat="1" applyFont="1" applyFill="1" applyBorder="1"/>
    <xf numFmtId="169" fontId="13817" fillId="13822" borderId="13769" xfId="0" applyNumberFormat="1" applyFont="1" applyFill="1" applyBorder="1"/>
    <xf numFmtId="168" fontId="13818" fillId="13823" borderId="13770" xfId="0" applyNumberFormat="1" applyFont="1" applyFill="1" applyBorder="1"/>
    <xf numFmtId="165" fontId="13819" fillId="13824" borderId="13771" xfId="0" applyNumberFormat="1" applyFont="1" applyFill="1" applyBorder="1"/>
    <xf numFmtId="0" fontId="13820" fillId="13825" borderId="13772" xfId="0" applyFont="1" applyFill="1" applyBorder="1" applyAlignment="1">
      <alignment horizontal="center"/>
    </xf>
    <xf numFmtId="0" fontId="13821" fillId="13826" borderId="13773" xfId="0" applyFont="1" applyFill="1" applyBorder="1" applyAlignment="1">
      <alignment horizontal="center"/>
    </xf>
    <xf numFmtId="0" fontId="13822" fillId="13827" borderId="13774" xfId="0" applyFont="1" applyFill="1" applyBorder="1"/>
    <xf numFmtId="165" fontId="13823" fillId="13828" borderId="13775" xfId="0" applyNumberFormat="1" applyFont="1" applyFill="1" applyBorder="1"/>
    <xf numFmtId="0" fontId="13824" fillId="13829" borderId="13776" xfId="0" applyFont="1" applyFill="1" applyBorder="1"/>
    <xf numFmtId="0" fontId="13825" fillId="13830" borderId="13777" xfId="0" applyFont="1" applyFill="1" applyBorder="1" applyAlignment="1">
      <alignment horizontal="center"/>
    </xf>
    <xf numFmtId="14" fontId="13826" fillId="13831" borderId="13778" xfId="0" applyNumberFormat="1" applyFont="1" applyFill="1" applyBorder="1"/>
    <xf numFmtId="0" fontId="13827" fillId="13832" borderId="13779" xfId="0" applyFont="1" applyFill="1" applyBorder="1" applyAlignment="1">
      <alignment horizontal="center"/>
    </xf>
    <xf numFmtId="0" fontId="13828" fillId="13833" borderId="13780" xfId="0" applyFont="1" applyFill="1" applyBorder="1"/>
    <xf numFmtId="0" fontId="13829" fillId="13834" borderId="13781" xfId="0" applyFont="1" applyFill="1" applyBorder="1"/>
    <xf numFmtId="165" fontId="13830" fillId="13835" borderId="13782" xfId="0" applyNumberFormat="1" applyFont="1" applyFill="1" applyBorder="1"/>
    <xf numFmtId="165" fontId="13831" fillId="13836" borderId="13783" xfId="0" applyNumberFormat="1" applyFont="1" applyFill="1" applyBorder="1"/>
    <xf numFmtId="169" fontId="13832" fillId="13837" borderId="13784" xfId="0" applyNumberFormat="1" applyFont="1" applyFill="1" applyBorder="1"/>
    <xf numFmtId="168" fontId="13833" fillId="13838" borderId="13785" xfId="0" applyNumberFormat="1" applyFont="1" applyFill="1" applyBorder="1"/>
    <xf numFmtId="165" fontId="13834" fillId="13839" borderId="13786" xfId="0" applyNumberFormat="1" applyFont="1" applyFill="1" applyBorder="1"/>
    <xf numFmtId="0" fontId="13835" fillId="13840" borderId="13787" xfId="0" applyFont="1" applyFill="1" applyBorder="1" applyAlignment="1">
      <alignment horizontal="center"/>
    </xf>
    <xf numFmtId="0" fontId="13836" fillId="13841" borderId="13788" xfId="0" applyFont="1" applyFill="1" applyBorder="1" applyAlignment="1">
      <alignment horizontal="center"/>
    </xf>
    <xf numFmtId="0" fontId="13837" fillId="13842" borderId="13789" xfId="0" applyFont="1" applyFill="1" applyBorder="1"/>
    <xf numFmtId="165" fontId="13838" fillId="13843" borderId="13790" xfId="0" applyNumberFormat="1" applyFont="1" applyFill="1" applyBorder="1"/>
    <xf numFmtId="0" fontId="13839" fillId="13844" borderId="13791" xfId="0" applyFont="1" applyFill="1" applyBorder="1"/>
    <xf numFmtId="0" fontId="13840" fillId="13845" borderId="13792" xfId="0" applyFont="1" applyFill="1" applyBorder="1" applyAlignment="1">
      <alignment horizontal="center"/>
    </xf>
    <xf numFmtId="14" fontId="13841" fillId="13846" borderId="13793" xfId="0" applyNumberFormat="1" applyFont="1" applyFill="1" applyBorder="1"/>
    <xf numFmtId="0" fontId="13842" fillId="13847" borderId="13794" xfId="0" applyFont="1" applyFill="1" applyBorder="1" applyAlignment="1">
      <alignment horizontal="center"/>
    </xf>
    <xf numFmtId="0" fontId="13843" fillId="13848" borderId="13795" xfId="0" applyFont="1" applyFill="1" applyBorder="1"/>
    <xf numFmtId="0" fontId="13844" fillId="13849" borderId="13796" xfId="0" applyFont="1" applyFill="1" applyBorder="1"/>
    <xf numFmtId="165" fontId="13845" fillId="13850" borderId="13797" xfId="0" applyNumberFormat="1" applyFont="1" applyFill="1" applyBorder="1"/>
    <xf numFmtId="165" fontId="13846" fillId="13851" borderId="13798" xfId="0" applyNumberFormat="1" applyFont="1" applyFill="1" applyBorder="1"/>
    <xf numFmtId="169" fontId="13847" fillId="13852" borderId="13799" xfId="0" applyNumberFormat="1" applyFont="1" applyFill="1" applyBorder="1"/>
    <xf numFmtId="168" fontId="13848" fillId="13853" borderId="13800" xfId="0" applyNumberFormat="1" applyFont="1" applyFill="1" applyBorder="1"/>
    <xf numFmtId="165" fontId="13849" fillId="13854" borderId="13801" xfId="0" applyNumberFormat="1" applyFont="1" applyFill="1" applyBorder="1"/>
    <xf numFmtId="0" fontId="13850" fillId="13855" borderId="13802" xfId="0" applyFont="1" applyFill="1" applyBorder="1" applyAlignment="1">
      <alignment horizontal="center"/>
    </xf>
    <xf numFmtId="0" fontId="13851" fillId="13856" borderId="13803" xfId="0" applyFont="1" applyFill="1" applyBorder="1" applyAlignment="1">
      <alignment horizontal="center"/>
    </xf>
    <xf numFmtId="0" fontId="13852" fillId="13857" borderId="13804" xfId="0" applyFont="1" applyFill="1" applyBorder="1"/>
    <xf numFmtId="165" fontId="13853" fillId="13858" borderId="13805" xfId="0" applyNumberFormat="1" applyFont="1" applyFill="1" applyBorder="1"/>
    <xf numFmtId="0" fontId="13854" fillId="13859" borderId="13806" xfId="0" applyFont="1" applyFill="1" applyBorder="1"/>
    <xf numFmtId="0" fontId="13855" fillId="13860" borderId="13807" xfId="0" applyFont="1" applyFill="1" applyBorder="1" applyAlignment="1">
      <alignment horizontal="center"/>
    </xf>
    <xf numFmtId="14" fontId="13856" fillId="13861" borderId="13808" xfId="0" applyNumberFormat="1" applyFont="1" applyFill="1" applyBorder="1"/>
    <xf numFmtId="0" fontId="13857" fillId="13862" borderId="13809" xfId="0" applyFont="1" applyFill="1" applyBorder="1" applyAlignment="1">
      <alignment horizontal="center"/>
    </xf>
    <xf numFmtId="0" fontId="13858" fillId="13863" borderId="13810" xfId="0" applyFont="1" applyFill="1" applyBorder="1"/>
    <xf numFmtId="0" fontId="13859" fillId="13864" borderId="13811" xfId="0" applyFont="1" applyFill="1" applyBorder="1"/>
    <xf numFmtId="165" fontId="13860" fillId="13865" borderId="13812" xfId="0" applyNumberFormat="1" applyFont="1" applyFill="1" applyBorder="1"/>
    <xf numFmtId="165" fontId="13861" fillId="13866" borderId="13813" xfId="0" applyNumberFormat="1" applyFont="1" applyFill="1" applyBorder="1"/>
    <xf numFmtId="169" fontId="13862" fillId="13867" borderId="13814" xfId="0" applyNumberFormat="1" applyFont="1" applyFill="1" applyBorder="1"/>
    <xf numFmtId="168" fontId="13863" fillId="13868" borderId="13815" xfId="0" applyNumberFormat="1" applyFont="1" applyFill="1" applyBorder="1"/>
    <xf numFmtId="165" fontId="13864" fillId="13869" borderId="13816" xfId="0" applyNumberFormat="1" applyFont="1" applyFill="1" applyBorder="1"/>
    <xf numFmtId="0" fontId="13865" fillId="13870" borderId="13817" xfId="0" applyFont="1" applyFill="1" applyBorder="1" applyAlignment="1">
      <alignment horizontal="center"/>
    </xf>
    <xf numFmtId="0" fontId="13866" fillId="13871" borderId="13818" xfId="0" applyFont="1" applyFill="1" applyBorder="1" applyAlignment="1">
      <alignment horizontal="center"/>
    </xf>
    <xf numFmtId="0" fontId="13867" fillId="13872" borderId="13819" xfId="0" applyFont="1" applyFill="1" applyBorder="1"/>
    <xf numFmtId="165" fontId="13868" fillId="13873" borderId="13820" xfId="0" applyNumberFormat="1" applyFont="1" applyFill="1" applyBorder="1"/>
    <xf numFmtId="0" fontId="13869" fillId="13874" borderId="13821" xfId="0" applyFont="1" applyFill="1" applyBorder="1"/>
    <xf numFmtId="0" fontId="13870" fillId="13875" borderId="13822" xfId="0" applyFont="1" applyFill="1" applyBorder="1" applyAlignment="1">
      <alignment horizontal="center"/>
    </xf>
    <xf numFmtId="14" fontId="13871" fillId="13876" borderId="13823" xfId="0" applyNumberFormat="1" applyFont="1" applyFill="1" applyBorder="1"/>
    <xf numFmtId="0" fontId="13872" fillId="13877" borderId="13824" xfId="0" applyFont="1" applyFill="1" applyBorder="1" applyAlignment="1">
      <alignment horizontal="center"/>
    </xf>
    <xf numFmtId="0" fontId="13873" fillId="13878" borderId="13825" xfId="0" applyFont="1" applyFill="1" applyBorder="1"/>
    <xf numFmtId="0" fontId="13874" fillId="13879" borderId="13826" xfId="0" applyFont="1" applyFill="1" applyBorder="1"/>
    <xf numFmtId="165" fontId="13875" fillId="13880" borderId="13827" xfId="0" applyNumberFormat="1" applyFont="1" applyFill="1" applyBorder="1"/>
    <xf numFmtId="165" fontId="13876" fillId="13881" borderId="13828" xfId="0" applyNumberFormat="1" applyFont="1" applyFill="1" applyBorder="1"/>
    <xf numFmtId="169" fontId="13877" fillId="13882" borderId="13829" xfId="0" applyNumberFormat="1" applyFont="1" applyFill="1" applyBorder="1"/>
    <xf numFmtId="168" fontId="13878" fillId="13883" borderId="13830" xfId="0" applyNumberFormat="1" applyFont="1" applyFill="1" applyBorder="1"/>
    <xf numFmtId="165" fontId="13879" fillId="13884" borderId="13831" xfId="0" applyNumberFormat="1" applyFont="1" applyFill="1" applyBorder="1"/>
    <xf numFmtId="0" fontId="13880" fillId="13885" borderId="13832" xfId="0" applyFont="1" applyFill="1" applyBorder="1" applyAlignment="1">
      <alignment horizontal="center"/>
    </xf>
    <xf numFmtId="0" fontId="13881" fillId="13886" borderId="13833" xfId="0" applyFont="1" applyFill="1" applyBorder="1" applyAlignment="1">
      <alignment horizontal="center"/>
    </xf>
    <xf numFmtId="0" fontId="13882" fillId="13887" borderId="13834" xfId="0" applyFont="1" applyFill="1" applyBorder="1"/>
    <xf numFmtId="165" fontId="13883" fillId="13888" borderId="13835" xfId="0" applyNumberFormat="1" applyFont="1" applyFill="1" applyBorder="1"/>
    <xf numFmtId="0" fontId="13884" fillId="13889" borderId="13836" xfId="0" applyFont="1" applyFill="1" applyBorder="1"/>
    <xf numFmtId="0" fontId="13885" fillId="13890" borderId="13837" xfId="0" applyFont="1" applyFill="1" applyBorder="1" applyAlignment="1">
      <alignment horizontal="center"/>
    </xf>
    <xf numFmtId="14" fontId="13886" fillId="13891" borderId="13838" xfId="0" applyNumberFormat="1" applyFont="1" applyFill="1" applyBorder="1"/>
    <xf numFmtId="0" fontId="13887" fillId="13892" borderId="13839" xfId="0" applyFont="1" applyFill="1" applyBorder="1" applyAlignment="1">
      <alignment horizontal="center"/>
    </xf>
    <xf numFmtId="0" fontId="13888" fillId="13893" borderId="13840" xfId="0" applyFont="1" applyFill="1" applyBorder="1"/>
    <xf numFmtId="0" fontId="13889" fillId="13894" borderId="13841" xfId="0" applyFont="1" applyFill="1" applyBorder="1"/>
    <xf numFmtId="165" fontId="13890" fillId="13895" borderId="13842" xfId="0" applyNumberFormat="1" applyFont="1" applyFill="1" applyBorder="1"/>
    <xf numFmtId="165" fontId="13891" fillId="13896" borderId="13843" xfId="0" applyNumberFormat="1" applyFont="1" applyFill="1" applyBorder="1"/>
    <xf numFmtId="169" fontId="13892" fillId="13897" borderId="13844" xfId="0" applyNumberFormat="1" applyFont="1" applyFill="1" applyBorder="1"/>
    <xf numFmtId="168" fontId="13893" fillId="13898" borderId="13845" xfId="0" applyNumberFormat="1" applyFont="1" applyFill="1" applyBorder="1"/>
    <xf numFmtId="165" fontId="13894" fillId="13899" borderId="13846" xfId="0" applyNumberFormat="1" applyFont="1" applyFill="1" applyBorder="1"/>
    <xf numFmtId="0" fontId="13895" fillId="13900" borderId="13847" xfId="0" applyFont="1" applyFill="1" applyBorder="1" applyAlignment="1">
      <alignment horizontal="center"/>
    </xf>
    <xf numFmtId="0" fontId="13896" fillId="13901" borderId="13848" xfId="0" applyFont="1" applyFill="1" applyBorder="1" applyAlignment="1">
      <alignment horizontal="center"/>
    </xf>
    <xf numFmtId="0" fontId="13897" fillId="13902" borderId="13849" xfId="0" applyFont="1" applyFill="1" applyBorder="1"/>
    <xf numFmtId="165" fontId="13898" fillId="13903" borderId="13850" xfId="0" applyNumberFormat="1" applyFont="1" applyFill="1" applyBorder="1"/>
    <xf numFmtId="0" fontId="13899" fillId="13904" borderId="13851" xfId="0" applyFont="1" applyFill="1" applyBorder="1"/>
    <xf numFmtId="0" fontId="13900" fillId="13905" borderId="13852" xfId="0" applyFont="1" applyFill="1" applyBorder="1" applyAlignment="1">
      <alignment horizontal="center"/>
    </xf>
    <xf numFmtId="14" fontId="13901" fillId="13906" borderId="13853" xfId="0" applyNumberFormat="1" applyFont="1" applyFill="1" applyBorder="1"/>
    <xf numFmtId="0" fontId="13902" fillId="13907" borderId="13854" xfId="0" applyFont="1" applyFill="1" applyBorder="1" applyAlignment="1">
      <alignment horizontal="center"/>
    </xf>
    <xf numFmtId="0" fontId="13903" fillId="13908" borderId="13855" xfId="0" applyFont="1" applyFill="1" applyBorder="1"/>
    <xf numFmtId="0" fontId="13904" fillId="13909" borderId="13856" xfId="0" applyFont="1" applyFill="1" applyBorder="1"/>
    <xf numFmtId="165" fontId="13905" fillId="13910" borderId="13857" xfId="0" applyNumberFormat="1" applyFont="1" applyFill="1" applyBorder="1"/>
    <xf numFmtId="165" fontId="13906" fillId="13911" borderId="13858" xfId="0" applyNumberFormat="1" applyFont="1" applyFill="1" applyBorder="1"/>
    <xf numFmtId="169" fontId="13907" fillId="13912" borderId="13859" xfId="0" applyNumberFormat="1" applyFont="1" applyFill="1" applyBorder="1"/>
    <xf numFmtId="168" fontId="13908" fillId="13913" borderId="13860" xfId="0" applyNumberFormat="1" applyFont="1" applyFill="1" applyBorder="1"/>
    <xf numFmtId="165" fontId="13909" fillId="13914" borderId="13861" xfId="0" applyNumberFormat="1" applyFont="1" applyFill="1" applyBorder="1"/>
    <xf numFmtId="0" fontId="13910" fillId="13915" borderId="13862" xfId="0" applyFont="1" applyFill="1" applyBorder="1" applyAlignment="1">
      <alignment horizontal="center"/>
    </xf>
    <xf numFmtId="0" fontId="13911" fillId="13916" borderId="13863" xfId="0" applyFont="1" applyFill="1" applyBorder="1" applyAlignment="1">
      <alignment horizontal="center"/>
    </xf>
    <xf numFmtId="0" fontId="13912" fillId="13917" borderId="13864" xfId="0" applyFont="1" applyFill="1" applyBorder="1"/>
    <xf numFmtId="165" fontId="13913" fillId="13918" borderId="13865" xfId="0" applyNumberFormat="1" applyFont="1" applyFill="1" applyBorder="1"/>
    <xf numFmtId="0" fontId="13914" fillId="13919" borderId="13866" xfId="0" applyFont="1" applyFill="1" applyBorder="1"/>
    <xf numFmtId="0" fontId="13915" fillId="13920" borderId="13867" xfId="0" applyFont="1" applyFill="1" applyBorder="1" applyAlignment="1">
      <alignment horizontal="center"/>
    </xf>
    <xf numFmtId="14" fontId="13916" fillId="13921" borderId="13868" xfId="0" applyNumberFormat="1" applyFont="1" applyFill="1" applyBorder="1"/>
    <xf numFmtId="0" fontId="13917" fillId="13922" borderId="13869" xfId="0" applyFont="1" applyFill="1" applyBorder="1" applyAlignment="1">
      <alignment horizontal="center"/>
    </xf>
    <xf numFmtId="0" fontId="13918" fillId="13923" borderId="13870" xfId="0" applyFont="1" applyFill="1" applyBorder="1"/>
    <xf numFmtId="0" fontId="13919" fillId="13924" borderId="13871" xfId="0" applyFont="1" applyFill="1" applyBorder="1"/>
    <xf numFmtId="165" fontId="13920" fillId="13925" borderId="13872" xfId="0" applyNumberFormat="1" applyFont="1" applyFill="1" applyBorder="1"/>
    <xf numFmtId="165" fontId="13921" fillId="13926" borderId="13873" xfId="0" applyNumberFormat="1" applyFont="1" applyFill="1" applyBorder="1"/>
    <xf numFmtId="169" fontId="13922" fillId="13927" borderId="13874" xfId="0" applyNumberFormat="1" applyFont="1" applyFill="1" applyBorder="1"/>
    <xf numFmtId="168" fontId="13923" fillId="13928" borderId="13875" xfId="0" applyNumberFormat="1" applyFont="1" applyFill="1" applyBorder="1"/>
    <xf numFmtId="165" fontId="13924" fillId="13929" borderId="13876" xfId="0" applyNumberFormat="1" applyFont="1" applyFill="1" applyBorder="1"/>
    <xf numFmtId="0" fontId="13925" fillId="13930" borderId="13877" xfId="0" applyFont="1" applyFill="1" applyBorder="1" applyAlignment="1">
      <alignment horizontal="center"/>
    </xf>
    <xf numFmtId="0" fontId="13926" fillId="13931" borderId="13878" xfId="0" applyFont="1" applyFill="1" applyBorder="1" applyAlignment="1">
      <alignment horizontal="center"/>
    </xf>
    <xf numFmtId="0" fontId="13927" fillId="13932" borderId="13879" xfId="0" applyFont="1" applyFill="1" applyBorder="1"/>
    <xf numFmtId="165" fontId="13928" fillId="13933" borderId="13880" xfId="0" applyNumberFormat="1" applyFont="1" applyFill="1" applyBorder="1"/>
    <xf numFmtId="0" fontId="13929" fillId="13934" borderId="13881" xfId="0" applyFont="1" applyFill="1" applyBorder="1"/>
    <xf numFmtId="0" fontId="13930" fillId="13935" borderId="13882" xfId="0" applyFont="1" applyFill="1" applyBorder="1" applyAlignment="1">
      <alignment horizontal="center"/>
    </xf>
    <xf numFmtId="14" fontId="13931" fillId="13936" borderId="13883" xfId="0" applyNumberFormat="1" applyFont="1" applyFill="1" applyBorder="1"/>
    <xf numFmtId="0" fontId="13932" fillId="13937" borderId="13884" xfId="0" applyFont="1" applyFill="1" applyBorder="1" applyAlignment="1">
      <alignment horizontal="center"/>
    </xf>
    <xf numFmtId="0" fontId="13933" fillId="13938" borderId="13885" xfId="0" applyFont="1" applyFill="1" applyBorder="1"/>
    <xf numFmtId="0" fontId="13934" fillId="13939" borderId="13886" xfId="0" applyFont="1" applyFill="1" applyBorder="1"/>
    <xf numFmtId="165" fontId="13935" fillId="13940" borderId="13887" xfId="0" applyNumberFormat="1" applyFont="1" applyFill="1" applyBorder="1"/>
    <xf numFmtId="165" fontId="13936" fillId="13941" borderId="13888" xfId="0" applyNumberFormat="1" applyFont="1" applyFill="1" applyBorder="1"/>
    <xf numFmtId="169" fontId="13937" fillId="13942" borderId="13889" xfId="0" applyNumberFormat="1" applyFont="1" applyFill="1" applyBorder="1"/>
    <xf numFmtId="168" fontId="13938" fillId="13943" borderId="13890" xfId="0" applyNumberFormat="1" applyFont="1" applyFill="1" applyBorder="1"/>
    <xf numFmtId="165" fontId="13939" fillId="13944" borderId="13891" xfId="0" applyNumberFormat="1" applyFont="1" applyFill="1" applyBorder="1"/>
    <xf numFmtId="0" fontId="13940" fillId="13945" borderId="13892" xfId="0" applyFont="1" applyFill="1" applyBorder="1" applyAlignment="1">
      <alignment horizontal="center"/>
    </xf>
    <xf numFmtId="0" fontId="13941" fillId="13946" borderId="13893" xfId="0" applyFont="1" applyFill="1" applyBorder="1" applyAlignment="1">
      <alignment horizontal="center"/>
    </xf>
    <xf numFmtId="0" fontId="13942" fillId="13947" borderId="13894" xfId="0" applyFont="1" applyFill="1" applyBorder="1"/>
    <xf numFmtId="165" fontId="13943" fillId="13948" borderId="13895" xfId="0" applyNumberFormat="1" applyFont="1" applyFill="1" applyBorder="1"/>
    <xf numFmtId="0" fontId="13944" fillId="13949" borderId="13896" xfId="0" applyFont="1" applyFill="1" applyBorder="1"/>
    <xf numFmtId="0" fontId="13945" fillId="13950" borderId="13897" xfId="0" applyFont="1" applyFill="1" applyBorder="1" applyAlignment="1">
      <alignment horizontal="center"/>
    </xf>
    <xf numFmtId="14" fontId="13946" fillId="13951" borderId="13898" xfId="0" applyNumberFormat="1" applyFont="1" applyFill="1" applyBorder="1"/>
    <xf numFmtId="0" fontId="13947" fillId="13952" borderId="13899" xfId="0" applyFont="1" applyFill="1" applyBorder="1" applyAlignment="1">
      <alignment horizontal="center"/>
    </xf>
    <xf numFmtId="0" fontId="13948" fillId="13953" borderId="13900" xfId="0" applyFont="1" applyFill="1" applyBorder="1"/>
    <xf numFmtId="0" fontId="13949" fillId="13954" borderId="13901" xfId="0" applyFont="1" applyFill="1" applyBorder="1"/>
    <xf numFmtId="165" fontId="13950" fillId="13955" borderId="13902" xfId="0" applyNumberFormat="1" applyFont="1" applyFill="1" applyBorder="1"/>
    <xf numFmtId="165" fontId="13951" fillId="13956" borderId="13903" xfId="0" applyNumberFormat="1" applyFont="1" applyFill="1" applyBorder="1"/>
    <xf numFmtId="169" fontId="13952" fillId="13957" borderId="13904" xfId="0" applyNumberFormat="1" applyFont="1" applyFill="1" applyBorder="1"/>
    <xf numFmtId="168" fontId="13953" fillId="13958" borderId="13905" xfId="0" applyNumberFormat="1" applyFont="1" applyFill="1" applyBorder="1"/>
    <xf numFmtId="165" fontId="13954" fillId="13959" borderId="13906" xfId="0" applyNumberFormat="1" applyFont="1" applyFill="1" applyBorder="1"/>
    <xf numFmtId="0" fontId="13955" fillId="13960" borderId="13907" xfId="0" applyFont="1" applyFill="1" applyBorder="1" applyAlignment="1">
      <alignment horizontal="center"/>
    </xf>
    <xf numFmtId="0" fontId="13956" fillId="13961" borderId="13908" xfId="0" applyFont="1" applyFill="1" applyBorder="1" applyAlignment="1">
      <alignment horizontal="center"/>
    </xf>
    <xf numFmtId="0" fontId="13957" fillId="13962" borderId="13909" xfId="0" applyFont="1" applyFill="1" applyBorder="1"/>
    <xf numFmtId="165" fontId="13958" fillId="13963" borderId="13910" xfId="0" applyNumberFormat="1" applyFont="1" applyFill="1" applyBorder="1"/>
    <xf numFmtId="0" fontId="13959" fillId="13964" borderId="13911" xfId="0" applyFont="1" applyFill="1" applyBorder="1"/>
    <xf numFmtId="0" fontId="13960" fillId="13965" borderId="13912" xfId="0" applyFont="1" applyFill="1" applyBorder="1" applyAlignment="1">
      <alignment horizontal="center"/>
    </xf>
    <xf numFmtId="14" fontId="13961" fillId="13966" borderId="13913" xfId="0" applyNumberFormat="1" applyFont="1" applyFill="1" applyBorder="1"/>
    <xf numFmtId="0" fontId="13962" fillId="13967" borderId="13914" xfId="0" applyFont="1" applyFill="1" applyBorder="1" applyAlignment="1">
      <alignment horizontal="center"/>
    </xf>
    <xf numFmtId="0" fontId="13963" fillId="13968" borderId="13915" xfId="0" applyFont="1" applyFill="1" applyBorder="1"/>
    <xf numFmtId="0" fontId="13964" fillId="13969" borderId="13916" xfId="0" applyFont="1" applyFill="1" applyBorder="1"/>
    <xf numFmtId="165" fontId="13965" fillId="13970" borderId="13917" xfId="0" applyNumberFormat="1" applyFont="1" applyFill="1" applyBorder="1"/>
    <xf numFmtId="165" fontId="13966" fillId="13971" borderId="13918" xfId="0" applyNumberFormat="1" applyFont="1" applyFill="1" applyBorder="1"/>
    <xf numFmtId="169" fontId="13967" fillId="13972" borderId="13919" xfId="0" applyNumberFormat="1" applyFont="1" applyFill="1" applyBorder="1"/>
    <xf numFmtId="168" fontId="13968" fillId="13973" borderId="13920" xfId="0" applyNumberFormat="1" applyFont="1" applyFill="1" applyBorder="1"/>
    <xf numFmtId="165" fontId="13969" fillId="13974" borderId="13921" xfId="0" applyNumberFormat="1" applyFont="1" applyFill="1" applyBorder="1"/>
    <xf numFmtId="0" fontId="13970" fillId="13975" borderId="13922" xfId="0" applyFont="1" applyFill="1" applyBorder="1" applyAlignment="1">
      <alignment horizontal="center"/>
    </xf>
    <xf numFmtId="0" fontId="13971" fillId="13976" borderId="13923" xfId="0" applyFont="1" applyFill="1" applyBorder="1" applyAlignment="1">
      <alignment horizontal="center"/>
    </xf>
    <xf numFmtId="0" fontId="13972" fillId="13977" borderId="13924" xfId="0" applyFont="1" applyFill="1" applyBorder="1"/>
    <xf numFmtId="165" fontId="13973" fillId="13978" borderId="13925" xfId="0" applyNumberFormat="1" applyFont="1" applyFill="1" applyBorder="1"/>
    <xf numFmtId="0" fontId="13974" fillId="13979" borderId="13926" xfId="0" applyFont="1" applyFill="1" applyBorder="1"/>
    <xf numFmtId="0" fontId="13975" fillId="13980" borderId="13927" xfId="0" applyFont="1" applyFill="1" applyBorder="1" applyAlignment="1">
      <alignment horizontal="center"/>
    </xf>
    <xf numFmtId="14" fontId="13976" fillId="13981" borderId="13928" xfId="0" applyNumberFormat="1" applyFont="1" applyFill="1" applyBorder="1"/>
    <xf numFmtId="0" fontId="13977" fillId="13982" borderId="13929" xfId="0" applyFont="1" applyFill="1" applyBorder="1" applyAlignment="1">
      <alignment horizontal="center"/>
    </xf>
    <xf numFmtId="0" fontId="13978" fillId="13983" borderId="13930" xfId="0" applyFont="1" applyFill="1" applyBorder="1"/>
    <xf numFmtId="0" fontId="13979" fillId="13984" borderId="13931" xfId="0" applyFont="1" applyFill="1" applyBorder="1"/>
    <xf numFmtId="165" fontId="13980" fillId="13985" borderId="13932" xfId="0" applyNumberFormat="1" applyFont="1" applyFill="1" applyBorder="1"/>
    <xf numFmtId="165" fontId="13981" fillId="13986" borderId="13933" xfId="0" applyNumberFormat="1" applyFont="1" applyFill="1" applyBorder="1"/>
    <xf numFmtId="169" fontId="13982" fillId="13987" borderId="13934" xfId="0" applyNumberFormat="1" applyFont="1" applyFill="1" applyBorder="1"/>
    <xf numFmtId="168" fontId="13983" fillId="13988" borderId="13935" xfId="0" applyNumberFormat="1" applyFont="1" applyFill="1" applyBorder="1"/>
    <xf numFmtId="165" fontId="13984" fillId="13989" borderId="13936" xfId="0" applyNumberFormat="1" applyFont="1" applyFill="1" applyBorder="1"/>
    <xf numFmtId="0" fontId="13985" fillId="13990" borderId="13937" xfId="0" applyFont="1" applyFill="1" applyBorder="1" applyAlignment="1">
      <alignment horizontal="center"/>
    </xf>
    <xf numFmtId="0" fontId="13986" fillId="13991" borderId="13938" xfId="0" applyFont="1" applyFill="1" applyBorder="1" applyAlignment="1">
      <alignment horizontal="center"/>
    </xf>
    <xf numFmtId="0" fontId="13987" fillId="13992" borderId="13939" xfId="0" applyFont="1" applyFill="1" applyBorder="1"/>
    <xf numFmtId="165" fontId="13988" fillId="13993" borderId="13940" xfId="0" applyNumberFormat="1" applyFont="1" applyFill="1" applyBorder="1"/>
    <xf numFmtId="0" fontId="13989" fillId="13994" borderId="13941" xfId="0" applyFont="1" applyFill="1" applyBorder="1"/>
    <xf numFmtId="0" fontId="13990" fillId="13995" borderId="13942" xfId="0" applyFont="1" applyFill="1" applyBorder="1" applyAlignment="1">
      <alignment horizontal="center"/>
    </xf>
    <xf numFmtId="14" fontId="13991" fillId="13996" borderId="13943" xfId="0" applyNumberFormat="1" applyFont="1" applyFill="1" applyBorder="1"/>
    <xf numFmtId="0" fontId="13992" fillId="13997" borderId="13944" xfId="0" applyFont="1" applyFill="1" applyBorder="1" applyAlignment="1">
      <alignment horizontal="center"/>
    </xf>
    <xf numFmtId="0" fontId="13993" fillId="13998" borderId="13945" xfId="0" applyFont="1" applyFill="1" applyBorder="1"/>
    <xf numFmtId="0" fontId="13994" fillId="13999" borderId="13946" xfId="0" applyFont="1" applyFill="1" applyBorder="1"/>
    <xf numFmtId="165" fontId="13995" fillId="14000" borderId="13947" xfId="0" applyNumberFormat="1" applyFont="1" applyFill="1" applyBorder="1"/>
    <xf numFmtId="165" fontId="13996" fillId="14001" borderId="13948" xfId="0" applyNumberFormat="1" applyFont="1" applyFill="1" applyBorder="1"/>
    <xf numFmtId="169" fontId="13997" fillId="14002" borderId="13949" xfId="0" applyNumberFormat="1" applyFont="1" applyFill="1" applyBorder="1"/>
    <xf numFmtId="168" fontId="13998" fillId="14003" borderId="13950" xfId="0" applyNumberFormat="1" applyFont="1" applyFill="1" applyBorder="1"/>
    <xf numFmtId="165" fontId="13999" fillId="14004" borderId="13951" xfId="0" applyNumberFormat="1" applyFont="1" applyFill="1" applyBorder="1"/>
    <xf numFmtId="0" fontId="14000" fillId="14005" borderId="13952" xfId="0" applyFont="1" applyFill="1" applyBorder="1" applyAlignment="1">
      <alignment horizontal="center"/>
    </xf>
    <xf numFmtId="0" fontId="14001" fillId="14006" borderId="13953" xfId="0" applyFont="1" applyFill="1" applyBorder="1" applyAlignment="1">
      <alignment horizontal="center"/>
    </xf>
    <xf numFmtId="0" fontId="14002" fillId="14007" borderId="13954" xfId="0" applyFont="1" applyFill="1" applyBorder="1"/>
    <xf numFmtId="165" fontId="14003" fillId="14008" borderId="13955" xfId="0" applyNumberFormat="1" applyFont="1" applyFill="1" applyBorder="1"/>
    <xf numFmtId="0" fontId="14004" fillId="14009" borderId="13956" xfId="0" applyFont="1" applyFill="1" applyBorder="1"/>
    <xf numFmtId="0" fontId="14005" fillId="14010" borderId="13957" xfId="0" applyFont="1" applyFill="1" applyBorder="1" applyAlignment="1">
      <alignment horizontal="center"/>
    </xf>
    <xf numFmtId="14" fontId="14006" fillId="14011" borderId="13958" xfId="0" applyNumberFormat="1" applyFont="1" applyFill="1" applyBorder="1"/>
    <xf numFmtId="0" fontId="14007" fillId="14012" borderId="13959" xfId="0" applyFont="1" applyFill="1" applyBorder="1" applyAlignment="1">
      <alignment horizontal="center"/>
    </xf>
    <xf numFmtId="0" fontId="14008" fillId="14013" borderId="13960" xfId="0" applyFont="1" applyFill="1" applyBorder="1"/>
    <xf numFmtId="0" fontId="14009" fillId="14014" borderId="13961" xfId="0" applyFont="1" applyFill="1" applyBorder="1"/>
    <xf numFmtId="165" fontId="14010" fillId="14015" borderId="13962" xfId="0" applyNumberFormat="1" applyFont="1" applyFill="1" applyBorder="1"/>
    <xf numFmtId="165" fontId="14011" fillId="14016" borderId="13963" xfId="0" applyNumberFormat="1" applyFont="1" applyFill="1" applyBorder="1"/>
    <xf numFmtId="169" fontId="14012" fillId="14017" borderId="13964" xfId="0" applyNumberFormat="1" applyFont="1" applyFill="1" applyBorder="1"/>
    <xf numFmtId="168" fontId="14013" fillId="14018" borderId="13965" xfId="0" applyNumberFormat="1" applyFont="1" applyFill="1" applyBorder="1"/>
    <xf numFmtId="165" fontId="14014" fillId="14019" borderId="13966" xfId="0" applyNumberFormat="1" applyFont="1" applyFill="1" applyBorder="1"/>
    <xf numFmtId="0" fontId="14015" fillId="14020" borderId="13967" xfId="0" applyFont="1" applyFill="1" applyBorder="1" applyAlignment="1">
      <alignment horizontal="center"/>
    </xf>
    <xf numFmtId="0" fontId="14016" fillId="14021" borderId="13968" xfId="0" applyFont="1" applyFill="1" applyBorder="1" applyAlignment="1">
      <alignment horizontal="center"/>
    </xf>
    <xf numFmtId="0" fontId="14017" fillId="14022" borderId="13969" xfId="0" applyFont="1" applyFill="1" applyBorder="1"/>
    <xf numFmtId="165" fontId="14018" fillId="14023" borderId="13970" xfId="0" applyNumberFormat="1" applyFont="1" applyFill="1" applyBorder="1"/>
    <xf numFmtId="0" fontId="14019" fillId="14024" borderId="13971" xfId="0" applyFont="1" applyFill="1" applyBorder="1"/>
    <xf numFmtId="0" fontId="14020" fillId="14025" borderId="13972" xfId="0" applyFont="1" applyFill="1" applyBorder="1" applyAlignment="1">
      <alignment horizontal="center"/>
    </xf>
    <xf numFmtId="14" fontId="14021" fillId="14026" borderId="13973" xfId="0" applyNumberFormat="1" applyFont="1" applyFill="1" applyBorder="1"/>
    <xf numFmtId="0" fontId="14022" fillId="14027" borderId="13974" xfId="0" applyFont="1" applyFill="1" applyBorder="1" applyAlignment="1">
      <alignment horizontal="center"/>
    </xf>
    <xf numFmtId="0" fontId="14023" fillId="14028" borderId="13975" xfId="0" applyFont="1" applyFill="1" applyBorder="1"/>
    <xf numFmtId="0" fontId="14024" fillId="14029" borderId="13976" xfId="0" applyFont="1" applyFill="1" applyBorder="1"/>
    <xf numFmtId="165" fontId="14025" fillId="14030" borderId="13977" xfId="0" applyNumberFormat="1" applyFont="1" applyFill="1" applyBorder="1"/>
    <xf numFmtId="165" fontId="14026" fillId="14031" borderId="13978" xfId="0" applyNumberFormat="1" applyFont="1" applyFill="1" applyBorder="1"/>
    <xf numFmtId="169" fontId="14027" fillId="14032" borderId="13979" xfId="0" applyNumberFormat="1" applyFont="1" applyFill="1" applyBorder="1"/>
    <xf numFmtId="168" fontId="14028" fillId="14033" borderId="13980" xfId="0" applyNumberFormat="1" applyFont="1" applyFill="1" applyBorder="1"/>
    <xf numFmtId="165" fontId="14029" fillId="14034" borderId="13981" xfId="0" applyNumberFormat="1" applyFont="1" applyFill="1" applyBorder="1"/>
    <xf numFmtId="0" fontId="14030" fillId="14035" borderId="13982" xfId="0" applyFont="1" applyFill="1" applyBorder="1" applyAlignment="1">
      <alignment horizontal="center"/>
    </xf>
    <xf numFmtId="0" fontId="14031" fillId="14036" borderId="13983" xfId="0" applyFont="1" applyFill="1" applyBorder="1" applyAlignment="1">
      <alignment horizontal="center"/>
    </xf>
    <xf numFmtId="0" fontId="14032" fillId="14037" borderId="13984" xfId="0" applyFont="1" applyFill="1" applyBorder="1"/>
    <xf numFmtId="165" fontId="14033" fillId="14038" borderId="13985" xfId="0" applyNumberFormat="1" applyFont="1" applyFill="1" applyBorder="1"/>
    <xf numFmtId="0" fontId="14034" fillId="14039" borderId="13986" xfId="0" applyFont="1" applyFill="1" applyBorder="1"/>
    <xf numFmtId="0" fontId="14035" fillId="14040" borderId="13987" xfId="0" applyFont="1" applyFill="1" applyBorder="1" applyAlignment="1">
      <alignment horizontal="center"/>
    </xf>
    <xf numFmtId="14" fontId="14036" fillId="14041" borderId="13988" xfId="0" applyNumberFormat="1" applyFont="1" applyFill="1" applyBorder="1"/>
    <xf numFmtId="0" fontId="14037" fillId="14042" borderId="13989" xfId="0" applyFont="1" applyFill="1" applyBorder="1" applyAlignment="1">
      <alignment horizontal="center"/>
    </xf>
    <xf numFmtId="0" fontId="14038" fillId="14043" borderId="13990" xfId="0" applyFont="1" applyFill="1" applyBorder="1"/>
    <xf numFmtId="0" fontId="14039" fillId="14044" borderId="13991" xfId="0" applyFont="1" applyFill="1" applyBorder="1"/>
    <xf numFmtId="165" fontId="14040" fillId="14045" borderId="13992" xfId="0" applyNumberFormat="1" applyFont="1" applyFill="1" applyBorder="1"/>
    <xf numFmtId="165" fontId="14041" fillId="14046" borderId="13993" xfId="0" applyNumberFormat="1" applyFont="1" applyFill="1" applyBorder="1"/>
    <xf numFmtId="169" fontId="14042" fillId="14047" borderId="13994" xfId="0" applyNumberFormat="1" applyFont="1" applyFill="1" applyBorder="1"/>
    <xf numFmtId="168" fontId="14043" fillId="14048" borderId="13995" xfId="0" applyNumberFormat="1" applyFont="1" applyFill="1" applyBorder="1"/>
    <xf numFmtId="165" fontId="14044" fillId="14049" borderId="13996" xfId="0" applyNumberFormat="1" applyFont="1" applyFill="1" applyBorder="1"/>
    <xf numFmtId="0" fontId="14045" fillId="14050" borderId="13997" xfId="0" applyFont="1" applyFill="1" applyBorder="1" applyAlignment="1">
      <alignment horizontal="center"/>
    </xf>
    <xf numFmtId="0" fontId="14046" fillId="14051" borderId="13998" xfId="0" applyFont="1" applyFill="1" applyBorder="1" applyAlignment="1">
      <alignment horizontal="center"/>
    </xf>
    <xf numFmtId="0" fontId="14047" fillId="14052" borderId="13999" xfId="0" applyFont="1" applyFill="1" applyBorder="1"/>
    <xf numFmtId="165" fontId="14048" fillId="14053" borderId="14000" xfId="0" applyNumberFormat="1" applyFont="1" applyFill="1" applyBorder="1"/>
    <xf numFmtId="0" fontId="14049" fillId="14054" borderId="14001" xfId="0" applyFont="1" applyFill="1" applyBorder="1"/>
    <xf numFmtId="0" fontId="14050" fillId="14055" borderId="14002" xfId="0" applyFont="1" applyFill="1" applyBorder="1" applyAlignment="1">
      <alignment horizontal="center"/>
    </xf>
    <xf numFmtId="14" fontId="14051" fillId="14056" borderId="14003" xfId="0" applyNumberFormat="1" applyFont="1" applyFill="1" applyBorder="1"/>
    <xf numFmtId="0" fontId="14052" fillId="14057" borderId="14004" xfId="0" applyFont="1" applyFill="1" applyBorder="1" applyAlignment="1">
      <alignment horizontal="center"/>
    </xf>
    <xf numFmtId="0" fontId="14053" fillId="14058" borderId="14005" xfId="0" applyFont="1" applyFill="1" applyBorder="1"/>
    <xf numFmtId="0" fontId="14054" fillId="14059" borderId="14006" xfId="0" applyFont="1" applyFill="1" applyBorder="1"/>
    <xf numFmtId="165" fontId="14055" fillId="14060" borderId="14007" xfId="0" applyNumberFormat="1" applyFont="1" applyFill="1" applyBorder="1"/>
    <xf numFmtId="165" fontId="14056" fillId="14061" borderId="14008" xfId="0" applyNumberFormat="1" applyFont="1" applyFill="1" applyBorder="1"/>
    <xf numFmtId="169" fontId="14057" fillId="14062" borderId="14009" xfId="0" applyNumberFormat="1" applyFont="1" applyFill="1" applyBorder="1"/>
    <xf numFmtId="168" fontId="14058" fillId="14063" borderId="14010" xfId="0" applyNumberFormat="1" applyFont="1" applyFill="1" applyBorder="1"/>
    <xf numFmtId="165" fontId="14059" fillId="14064" borderId="14011" xfId="0" applyNumberFormat="1" applyFont="1" applyFill="1" applyBorder="1"/>
    <xf numFmtId="0" fontId="14060" fillId="14065" borderId="14012" xfId="0" applyFont="1" applyFill="1" applyBorder="1" applyAlignment="1">
      <alignment horizontal="center"/>
    </xf>
    <xf numFmtId="0" fontId="14061" fillId="14066" borderId="14013" xfId="0" applyFont="1" applyFill="1" applyBorder="1" applyAlignment="1">
      <alignment horizontal="center"/>
    </xf>
    <xf numFmtId="0" fontId="14062" fillId="14067" borderId="14014" xfId="0" applyFont="1" applyFill="1" applyBorder="1"/>
    <xf numFmtId="165" fontId="14063" fillId="14068" borderId="14015" xfId="0" applyNumberFormat="1" applyFont="1" applyFill="1" applyBorder="1"/>
    <xf numFmtId="0" fontId="14064" fillId="14069" borderId="14016" xfId="0" applyFont="1" applyFill="1" applyBorder="1"/>
    <xf numFmtId="0" fontId="14065" fillId="14070" borderId="14017" xfId="0" applyFont="1" applyFill="1" applyBorder="1" applyAlignment="1">
      <alignment horizontal="center"/>
    </xf>
    <xf numFmtId="14" fontId="14066" fillId="14071" borderId="14018" xfId="0" applyNumberFormat="1" applyFont="1" applyFill="1" applyBorder="1"/>
    <xf numFmtId="0" fontId="14067" fillId="14072" borderId="14019" xfId="0" applyFont="1" applyFill="1" applyBorder="1" applyAlignment="1">
      <alignment horizontal="center"/>
    </xf>
    <xf numFmtId="0" fontId="14068" fillId="14073" borderId="14020" xfId="0" applyFont="1" applyFill="1" applyBorder="1"/>
    <xf numFmtId="0" fontId="14069" fillId="14074" borderId="14021" xfId="0" applyFont="1" applyFill="1" applyBorder="1"/>
    <xf numFmtId="165" fontId="14070" fillId="14075" borderId="14022" xfId="0" applyNumberFormat="1" applyFont="1" applyFill="1" applyBorder="1"/>
    <xf numFmtId="165" fontId="14071" fillId="14076" borderId="14023" xfId="0" applyNumberFormat="1" applyFont="1" applyFill="1" applyBorder="1"/>
    <xf numFmtId="169" fontId="14072" fillId="14077" borderId="14024" xfId="0" applyNumberFormat="1" applyFont="1" applyFill="1" applyBorder="1"/>
    <xf numFmtId="168" fontId="14073" fillId="14078" borderId="14025" xfId="0" applyNumberFormat="1" applyFont="1" applyFill="1" applyBorder="1"/>
    <xf numFmtId="165" fontId="14074" fillId="14079" borderId="14026" xfId="0" applyNumberFormat="1" applyFont="1" applyFill="1" applyBorder="1"/>
    <xf numFmtId="0" fontId="14075" fillId="14080" borderId="14027" xfId="0" applyFont="1" applyFill="1" applyBorder="1" applyAlignment="1">
      <alignment horizontal="center"/>
    </xf>
    <xf numFmtId="0" fontId="14076" fillId="14081" borderId="14028" xfId="0" applyFont="1" applyFill="1" applyBorder="1" applyAlignment="1">
      <alignment horizontal="center"/>
    </xf>
    <xf numFmtId="0" fontId="14077" fillId="14082" borderId="14029" xfId="0" applyFont="1" applyFill="1" applyBorder="1"/>
    <xf numFmtId="165" fontId="14078" fillId="14083" borderId="14030" xfId="0" applyNumberFormat="1" applyFont="1" applyFill="1" applyBorder="1"/>
    <xf numFmtId="0" fontId="14079" fillId="14084" borderId="14031" xfId="0" applyFont="1" applyFill="1" applyBorder="1"/>
    <xf numFmtId="0" fontId="14080" fillId="14085" borderId="14032" xfId="0" applyFont="1" applyFill="1" applyBorder="1" applyAlignment="1">
      <alignment horizontal="center"/>
    </xf>
    <xf numFmtId="14" fontId="14081" fillId="14086" borderId="14033" xfId="0" applyNumberFormat="1" applyFont="1" applyFill="1" applyBorder="1"/>
    <xf numFmtId="0" fontId="14082" fillId="14087" borderId="14034" xfId="0" applyFont="1" applyFill="1" applyBorder="1" applyAlignment="1">
      <alignment horizontal="center"/>
    </xf>
    <xf numFmtId="0" fontId="14083" fillId="14088" borderId="14035" xfId="0" applyFont="1" applyFill="1" applyBorder="1"/>
    <xf numFmtId="0" fontId="14084" fillId="14089" borderId="14036" xfId="0" applyFont="1" applyFill="1" applyBorder="1"/>
    <xf numFmtId="165" fontId="14085" fillId="14090" borderId="14037" xfId="0" applyNumberFormat="1" applyFont="1" applyFill="1" applyBorder="1"/>
    <xf numFmtId="165" fontId="14086" fillId="14091" borderId="14038" xfId="0" applyNumberFormat="1" applyFont="1" applyFill="1" applyBorder="1"/>
    <xf numFmtId="169" fontId="14087" fillId="14092" borderId="14039" xfId="0" applyNumberFormat="1" applyFont="1" applyFill="1" applyBorder="1"/>
    <xf numFmtId="168" fontId="14088" fillId="14093" borderId="14040" xfId="0" applyNumberFormat="1" applyFont="1" applyFill="1" applyBorder="1"/>
    <xf numFmtId="165" fontId="14089" fillId="14094" borderId="14041" xfId="0" applyNumberFormat="1" applyFont="1" applyFill="1" applyBorder="1"/>
    <xf numFmtId="0" fontId="14090" fillId="14095" borderId="14042" xfId="0" applyFont="1" applyFill="1" applyBorder="1" applyAlignment="1">
      <alignment horizontal="center"/>
    </xf>
    <xf numFmtId="0" fontId="14091" fillId="14096" borderId="14043" xfId="0" applyFont="1" applyFill="1" applyBorder="1" applyAlignment="1">
      <alignment horizontal="center"/>
    </xf>
    <xf numFmtId="0" fontId="14092" fillId="14097" borderId="14044" xfId="0" applyFont="1" applyFill="1" applyBorder="1"/>
    <xf numFmtId="165" fontId="14093" fillId="14098" borderId="14045" xfId="0" applyNumberFormat="1" applyFont="1" applyFill="1" applyBorder="1"/>
    <xf numFmtId="0" fontId="14094" fillId="14099" borderId="14046" xfId="0" applyFont="1" applyFill="1" applyBorder="1"/>
    <xf numFmtId="0" fontId="14095" fillId="14100" borderId="14047" xfId="0" applyFont="1" applyFill="1" applyBorder="1" applyAlignment="1">
      <alignment horizontal="center"/>
    </xf>
    <xf numFmtId="14" fontId="14096" fillId="14101" borderId="14048" xfId="0" applyNumberFormat="1" applyFont="1" applyFill="1" applyBorder="1"/>
    <xf numFmtId="0" fontId="14097" fillId="14102" borderId="14049" xfId="0" applyFont="1" applyFill="1" applyBorder="1" applyAlignment="1">
      <alignment horizontal="center"/>
    </xf>
    <xf numFmtId="0" fontId="14098" fillId="14103" borderId="14050" xfId="0" applyFont="1" applyFill="1" applyBorder="1"/>
    <xf numFmtId="0" fontId="14099" fillId="14104" borderId="14051" xfId="0" applyFont="1" applyFill="1" applyBorder="1"/>
    <xf numFmtId="165" fontId="14100" fillId="14105" borderId="14052" xfId="0" applyNumberFormat="1" applyFont="1" applyFill="1" applyBorder="1"/>
    <xf numFmtId="165" fontId="14101" fillId="14106" borderId="14053" xfId="0" applyNumberFormat="1" applyFont="1" applyFill="1" applyBorder="1"/>
    <xf numFmtId="169" fontId="14102" fillId="14107" borderId="14054" xfId="0" applyNumberFormat="1" applyFont="1" applyFill="1" applyBorder="1"/>
    <xf numFmtId="168" fontId="14103" fillId="14108" borderId="14055" xfId="0" applyNumberFormat="1" applyFont="1" applyFill="1" applyBorder="1"/>
    <xf numFmtId="165" fontId="14104" fillId="14109" borderId="14056" xfId="0" applyNumberFormat="1" applyFont="1" applyFill="1" applyBorder="1"/>
    <xf numFmtId="0" fontId="14105" fillId="14110" borderId="14057" xfId="0" applyFont="1" applyFill="1" applyBorder="1" applyAlignment="1">
      <alignment horizontal="center"/>
    </xf>
    <xf numFmtId="0" fontId="14106" fillId="14111" borderId="14058" xfId="0" applyFont="1" applyFill="1" applyBorder="1" applyAlignment="1">
      <alignment horizontal="center"/>
    </xf>
    <xf numFmtId="0" fontId="14107" fillId="14112" borderId="14059" xfId="0" applyFont="1" applyFill="1" applyBorder="1"/>
    <xf numFmtId="165" fontId="14108" fillId="14113" borderId="14060" xfId="0" applyNumberFormat="1" applyFont="1" applyFill="1" applyBorder="1"/>
    <xf numFmtId="0" fontId="14109" fillId="14114" borderId="14061" xfId="0" applyFont="1" applyFill="1" applyBorder="1"/>
    <xf numFmtId="0" fontId="14110" fillId="14115" borderId="14062" xfId="0" applyFont="1" applyFill="1" applyBorder="1" applyAlignment="1">
      <alignment horizontal="center"/>
    </xf>
    <xf numFmtId="14" fontId="14111" fillId="14116" borderId="14063" xfId="0" applyNumberFormat="1" applyFont="1" applyFill="1" applyBorder="1"/>
    <xf numFmtId="0" fontId="14112" fillId="14117" borderId="14064" xfId="0" applyFont="1" applyFill="1" applyBorder="1" applyAlignment="1">
      <alignment horizontal="center"/>
    </xf>
    <xf numFmtId="0" fontId="14113" fillId="14118" borderId="14065" xfId="0" applyFont="1" applyFill="1" applyBorder="1"/>
    <xf numFmtId="0" fontId="14114" fillId="14119" borderId="14066" xfId="0" applyFont="1" applyFill="1" applyBorder="1"/>
    <xf numFmtId="165" fontId="14115" fillId="14120" borderId="14067" xfId="0" applyNumberFormat="1" applyFont="1" applyFill="1" applyBorder="1"/>
    <xf numFmtId="165" fontId="14116" fillId="14121" borderId="14068" xfId="0" applyNumberFormat="1" applyFont="1" applyFill="1" applyBorder="1"/>
    <xf numFmtId="169" fontId="14117" fillId="14122" borderId="14069" xfId="0" applyNumberFormat="1" applyFont="1" applyFill="1" applyBorder="1"/>
    <xf numFmtId="168" fontId="14118" fillId="14123" borderId="14070" xfId="0" applyNumberFormat="1" applyFont="1" applyFill="1" applyBorder="1"/>
    <xf numFmtId="165" fontId="14119" fillId="14124" borderId="14071" xfId="0" applyNumberFormat="1" applyFont="1" applyFill="1" applyBorder="1"/>
    <xf numFmtId="0" fontId="14120" fillId="14125" borderId="14072" xfId="0" applyFont="1" applyFill="1" applyBorder="1" applyAlignment="1">
      <alignment horizontal="center"/>
    </xf>
    <xf numFmtId="0" fontId="14121" fillId="14126" borderId="14073" xfId="0" applyFont="1" applyFill="1" applyBorder="1" applyAlignment="1">
      <alignment horizontal="center"/>
    </xf>
    <xf numFmtId="0" fontId="14122" fillId="14127" borderId="14074" xfId="0" applyFont="1" applyFill="1" applyBorder="1"/>
    <xf numFmtId="165" fontId="14123" fillId="14128" borderId="14075" xfId="0" applyNumberFormat="1" applyFont="1" applyFill="1" applyBorder="1"/>
    <xf numFmtId="0" fontId="14124" fillId="14129" borderId="14076" xfId="0" applyFont="1" applyFill="1" applyBorder="1"/>
    <xf numFmtId="0" fontId="14125" fillId="14130" borderId="14077" xfId="0" applyFont="1" applyFill="1" applyBorder="1" applyAlignment="1">
      <alignment horizontal="center"/>
    </xf>
    <xf numFmtId="14" fontId="14126" fillId="14131" borderId="14078" xfId="0" applyNumberFormat="1" applyFont="1" applyFill="1" applyBorder="1"/>
    <xf numFmtId="0" fontId="14127" fillId="14132" borderId="14079" xfId="0" applyFont="1" applyFill="1" applyBorder="1" applyAlignment="1">
      <alignment horizontal="center"/>
    </xf>
    <xf numFmtId="0" fontId="14128" fillId="14133" borderId="14080" xfId="0" applyFont="1" applyFill="1" applyBorder="1"/>
    <xf numFmtId="0" fontId="14129" fillId="14134" borderId="14081" xfId="0" applyFont="1" applyFill="1" applyBorder="1"/>
    <xf numFmtId="165" fontId="14130" fillId="14135" borderId="14082" xfId="0" applyNumberFormat="1" applyFont="1" applyFill="1" applyBorder="1"/>
    <xf numFmtId="165" fontId="14131" fillId="14136" borderId="14083" xfId="0" applyNumberFormat="1" applyFont="1" applyFill="1" applyBorder="1"/>
    <xf numFmtId="169" fontId="14132" fillId="14137" borderId="14084" xfId="0" applyNumberFormat="1" applyFont="1" applyFill="1" applyBorder="1"/>
    <xf numFmtId="168" fontId="14133" fillId="14138" borderId="14085" xfId="0" applyNumberFormat="1" applyFont="1" applyFill="1" applyBorder="1"/>
    <xf numFmtId="165" fontId="14134" fillId="14139" borderId="14086" xfId="0" applyNumberFormat="1" applyFont="1" applyFill="1" applyBorder="1"/>
    <xf numFmtId="0" fontId="14135" fillId="14140" borderId="14087" xfId="0" applyFont="1" applyFill="1" applyBorder="1" applyAlignment="1">
      <alignment horizontal="center"/>
    </xf>
    <xf numFmtId="0" fontId="14136" fillId="14141" borderId="14088" xfId="0" applyFont="1" applyFill="1" applyBorder="1" applyAlignment="1">
      <alignment horizontal="center"/>
    </xf>
    <xf numFmtId="0" fontId="14137" fillId="14142" borderId="14089" xfId="0" applyFont="1" applyFill="1" applyBorder="1"/>
    <xf numFmtId="165" fontId="14138" fillId="14143" borderId="14090" xfId="0" applyNumberFormat="1" applyFont="1" applyFill="1" applyBorder="1"/>
    <xf numFmtId="0" fontId="14139" fillId="14144" borderId="14091" xfId="0" applyFont="1" applyFill="1" applyBorder="1"/>
    <xf numFmtId="0" fontId="14140" fillId="14145" borderId="14092" xfId="0" applyFont="1" applyFill="1" applyBorder="1" applyAlignment="1">
      <alignment horizontal="center"/>
    </xf>
    <xf numFmtId="14" fontId="14141" fillId="14146" borderId="14093" xfId="0" applyNumberFormat="1" applyFont="1" applyFill="1" applyBorder="1"/>
    <xf numFmtId="0" fontId="14142" fillId="14147" borderId="14094" xfId="0" applyFont="1" applyFill="1" applyBorder="1" applyAlignment="1">
      <alignment horizontal="center"/>
    </xf>
    <xf numFmtId="0" fontId="14143" fillId="14148" borderId="14095" xfId="0" applyFont="1" applyFill="1" applyBorder="1"/>
    <xf numFmtId="0" fontId="14144" fillId="14149" borderId="14096" xfId="0" applyFont="1" applyFill="1" applyBorder="1"/>
    <xf numFmtId="165" fontId="14145" fillId="14150" borderId="14097" xfId="0" applyNumberFormat="1" applyFont="1" applyFill="1" applyBorder="1"/>
    <xf numFmtId="165" fontId="14146" fillId="14151" borderId="14098" xfId="0" applyNumberFormat="1" applyFont="1" applyFill="1" applyBorder="1"/>
    <xf numFmtId="169" fontId="14147" fillId="14152" borderId="14099" xfId="0" applyNumberFormat="1" applyFont="1" applyFill="1" applyBorder="1"/>
    <xf numFmtId="168" fontId="14148" fillId="14153" borderId="14100" xfId="0" applyNumberFormat="1" applyFont="1" applyFill="1" applyBorder="1"/>
    <xf numFmtId="165" fontId="14149" fillId="14154" borderId="14101" xfId="0" applyNumberFormat="1" applyFont="1" applyFill="1" applyBorder="1"/>
    <xf numFmtId="0" fontId="14150" fillId="14155" borderId="14102" xfId="0" applyFont="1" applyFill="1" applyBorder="1" applyAlignment="1">
      <alignment horizontal="center"/>
    </xf>
    <xf numFmtId="0" fontId="14151" fillId="14156" borderId="14103" xfId="0" applyFont="1" applyFill="1" applyBorder="1" applyAlignment="1">
      <alignment horizontal="center"/>
    </xf>
    <xf numFmtId="0" fontId="14152" fillId="14157" borderId="14104" xfId="0" applyFont="1" applyFill="1" applyBorder="1"/>
    <xf numFmtId="165" fontId="14153" fillId="14158" borderId="14105" xfId="0" applyNumberFormat="1" applyFont="1" applyFill="1" applyBorder="1"/>
    <xf numFmtId="0" fontId="14154" fillId="14159" borderId="14106" xfId="0" applyFont="1" applyFill="1" applyBorder="1"/>
    <xf numFmtId="0" fontId="14155" fillId="14160" borderId="14107" xfId="0" applyFont="1" applyFill="1" applyBorder="1" applyAlignment="1">
      <alignment horizontal="center"/>
    </xf>
    <xf numFmtId="14" fontId="14156" fillId="14161" borderId="14108" xfId="0" applyNumberFormat="1" applyFont="1" applyFill="1" applyBorder="1"/>
    <xf numFmtId="0" fontId="14157" fillId="14162" borderId="14109" xfId="0" applyFont="1" applyFill="1" applyBorder="1" applyAlignment="1">
      <alignment horizontal="center"/>
    </xf>
    <xf numFmtId="0" fontId="14158" fillId="14163" borderId="14110" xfId="0" applyFont="1" applyFill="1" applyBorder="1"/>
    <xf numFmtId="0" fontId="14159" fillId="14164" borderId="14111" xfId="0" applyFont="1" applyFill="1" applyBorder="1"/>
    <xf numFmtId="165" fontId="14160" fillId="14165" borderId="14112" xfId="0" applyNumberFormat="1" applyFont="1" applyFill="1" applyBorder="1"/>
    <xf numFmtId="165" fontId="14161" fillId="14166" borderId="14113" xfId="0" applyNumberFormat="1" applyFont="1" applyFill="1" applyBorder="1"/>
    <xf numFmtId="169" fontId="14162" fillId="14167" borderId="14114" xfId="0" applyNumberFormat="1" applyFont="1" applyFill="1" applyBorder="1"/>
    <xf numFmtId="168" fontId="14163" fillId="14168" borderId="14115" xfId="0" applyNumberFormat="1" applyFont="1" applyFill="1" applyBorder="1"/>
    <xf numFmtId="165" fontId="14164" fillId="14169" borderId="14116" xfId="0" applyNumberFormat="1" applyFont="1" applyFill="1" applyBorder="1"/>
    <xf numFmtId="0" fontId="14165" fillId="14170" borderId="14117" xfId="0" applyFont="1" applyFill="1" applyBorder="1" applyAlignment="1">
      <alignment horizontal="center"/>
    </xf>
    <xf numFmtId="0" fontId="14166" fillId="14171" borderId="14118" xfId="0" applyFont="1" applyFill="1" applyBorder="1" applyAlignment="1">
      <alignment horizontal="center"/>
    </xf>
    <xf numFmtId="0" fontId="14167" fillId="14172" borderId="14119" xfId="0" applyFont="1" applyFill="1" applyBorder="1"/>
    <xf numFmtId="165" fontId="14168" fillId="14173" borderId="14120" xfId="0" applyNumberFormat="1" applyFont="1" applyFill="1" applyBorder="1"/>
    <xf numFmtId="0" fontId="14169" fillId="14174" borderId="14121" xfId="0" applyFont="1" applyFill="1" applyBorder="1"/>
    <xf numFmtId="0" fontId="14170" fillId="14175" borderId="14122" xfId="0" applyFont="1" applyFill="1" applyBorder="1" applyAlignment="1">
      <alignment horizontal="center"/>
    </xf>
    <xf numFmtId="14" fontId="14171" fillId="14176" borderId="14123" xfId="0" applyNumberFormat="1" applyFont="1" applyFill="1" applyBorder="1"/>
    <xf numFmtId="0" fontId="14172" fillId="14177" borderId="14124" xfId="0" applyFont="1" applyFill="1" applyBorder="1" applyAlignment="1">
      <alignment horizontal="center"/>
    </xf>
    <xf numFmtId="0" fontId="14173" fillId="14178" borderId="14125" xfId="0" applyFont="1" applyFill="1" applyBorder="1"/>
    <xf numFmtId="0" fontId="14174" fillId="14179" borderId="14126" xfId="0" applyFont="1" applyFill="1" applyBorder="1"/>
    <xf numFmtId="165" fontId="14175" fillId="14180" borderId="14127" xfId="0" applyNumberFormat="1" applyFont="1" applyFill="1" applyBorder="1"/>
    <xf numFmtId="165" fontId="14176" fillId="14181" borderId="14128" xfId="0" applyNumberFormat="1" applyFont="1" applyFill="1" applyBorder="1"/>
    <xf numFmtId="169" fontId="14177" fillId="14182" borderId="14129" xfId="0" applyNumberFormat="1" applyFont="1" applyFill="1" applyBorder="1"/>
    <xf numFmtId="168" fontId="14178" fillId="14183" borderId="14130" xfId="0" applyNumberFormat="1" applyFont="1" applyFill="1" applyBorder="1"/>
    <xf numFmtId="165" fontId="14179" fillId="14184" borderId="14131" xfId="0" applyNumberFormat="1" applyFont="1" applyFill="1" applyBorder="1"/>
    <xf numFmtId="0" fontId="14180" fillId="14185" borderId="14132" xfId="0" applyFont="1" applyFill="1" applyBorder="1" applyAlignment="1">
      <alignment horizontal="center"/>
    </xf>
    <xf numFmtId="0" fontId="14181" fillId="14186" borderId="14133" xfId="0" applyFont="1" applyFill="1" applyBorder="1" applyAlignment="1">
      <alignment horizontal="center"/>
    </xf>
    <xf numFmtId="0" fontId="14182" fillId="14187" borderId="14134" xfId="0" applyFont="1" applyFill="1" applyBorder="1"/>
    <xf numFmtId="165" fontId="14183" fillId="14188" borderId="14135" xfId="0" applyNumberFormat="1" applyFont="1" applyFill="1" applyBorder="1"/>
    <xf numFmtId="0" fontId="14184" fillId="14189" borderId="14136" xfId="0" applyFont="1" applyFill="1" applyBorder="1"/>
    <xf numFmtId="0" fontId="14185" fillId="14190" borderId="14137" xfId="0" applyFont="1" applyFill="1" applyBorder="1" applyAlignment="1">
      <alignment horizontal="center"/>
    </xf>
    <xf numFmtId="14" fontId="14186" fillId="14191" borderId="14138" xfId="0" applyNumberFormat="1" applyFont="1" applyFill="1" applyBorder="1"/>
    <xf numFmtId="0" fontId="14187" fillId="14192" borderId="14139" xfId="0" applyFont="1" applyFill="1" applyBorder="1" applyAlignment="1">
      <alignment horizontal="center"/>
    </xf>
    <xf numFmtId="0" fontId="14188" fillId="14193" borderId="14140" xfId="0" applyFont="1" applyFill="1" applyBorder="1"/>
    <xf numFmtId="0" fontId="14189" fillId="14194" borderId="14141" xfId="0" applyFont="1" applyFill="1" applyBorder="1"/>
    <xf numFmtId="165" fontId="14190" fillId="14195" borderId="14142" xfId="0" applyNumberFormat="1" applyFont="1" applyFill="1" applyBorder="1"/>
    <xf numFmtId="165" fontId="14191" fillId="14196" borderId="14143" xfId="0" applyNumberFormat="1" applyFont="1" applyFill="1" applyBorder="1"/>
    <xf numFmtId="169" fontId="14192" fillId="14197" borderId="14144" xfId="0" applyNumberFormat="1" applyFont="1" applyFill="1" applyBorder="1"/>
    <xf numFmtId="168" fontId="14193" fillId="14198" borderId="14145" xfId="0" applyNumberFormat="1" applyFont="1" applyFill="1" applyBorder="1"/>
    <xf numFmtId="165" fontId="14194" fillId="14199" borderId="14146" xfId="0" applyNumberFormat="1" applyFont="1" applyFill="1" applyBorder="1"/>
    <xf numFmtId="0" fontId="14195" fillId="14200" borderId="14147" xfId="0" applyFont="1" applyFill="1" applyBorder="1" applyAlignment="1">
      <alignment horizontal="center"/>
    </xf>
    <xf numFmtId="0" fontId="14196" fillId="14201" borderId="14148" xfId="0" applyFont="1" applyFill="1" applyBorder="1" applyAlignment="1">
      <alignment horizontal="center"/>
    </xf>
    <xf numFmtId="0" fontId="14197" fillId="14202" borderId="14149" xfId="0" applyFont="1" applyFill="1" applyBorder="1"/>
    <xf numFmtId="165" fontId="14198" fillId="14203" borderId="14150" xfId="0" applyNumberFormat="1" applyFont="1" applyFill="1" applyBorder="1"/>
    <xf numFmtId="0" fontId="14199" fillId="14204" borderId="14151" xfId="0" applyFont="1" applyFill="1" applyBorder="1"/>
    <xf numFmtId="0" fontId="14200" fillId="14205" borderId="14152" xfId="0" applyFont="1" applyFill="1" applyBorder="1" applyAlignment="1">
      <alignment horizontal="center"/>
    </xf>
    <xf numFmtId="14" fontId="14201" fillId="14206" borderId="14153" xfId="0" applyNumberFormat="1" applyFont="1" applyFill="1" applyBorder="1"/>
    <xf numFmtId="0" fontId="14202" fillId="14207" borderId="14154" xfId="0" applyFont="1" applyFill="1" applyBorder="1" applyAlignment="1">
      <alignment horizontal="center"/>
    </xf>
    <xf numFmtId="0" fontId="14203" fillId="14208" borderId="14155" xfId="0" applyFont="1" applyFill="1" applyBorder="1"/>
    <xf numFmtId="0" fontId="14204" fillId="14209" borderId="14156" xfId="0" applyFont="1" applyFill="1" applyBorder="1"/>
    <xf numFmtId="165" fontId="14205" fillId="14210" borderId="14157" xfId="0" applyNumberFormat="1" applyFont="1" applyFill="1" applyBorder="1"/>
    <xf numFmtId="165" fontId="14206" fillId="14211" borderId="14158" xfId="0" applyNumberFormat="1" applyFont="1" applyFill="1" applyBorder="1"/>
    <xf numFmtId="169" fontId="14207" fillId="14212" borderId="14159" xfId="0" applyNumberFormat="1" applyFont="1" applyFill="1" applyBorder="1"/>
    <xf numFmtId="168" fontId="14208" fillId="14213" borderId="14160" xfId="0" applyNumberFormat="1" applyFont="1" applyFill="1" applyBorder="1"/>
    <xf numFmtId="165" fontId="14209" fillId="14214" borderId="14161" xfId="0" applyNumberFormat="1" applyFont="1" applyFill="1" applyBorder="1"/>
    <xf numFmtId="0" fontId="14210" fillId="14215" borderId="14162" xfId="0" applyFont="1" applyFill="1" applyBorder="1" applyAlignment="1">
      <alignment horizontal="center"/>
    </xf>
    <xf numFmtId="0" fontId="14211" fillId="14216" borderId="14163" xfId="0" applyFont="1" applyFill="1" applyBorder="1" applyAlignment="1">
      <alignment horizontal="center"/>
    </xf>
    <xf numFmtId="0" fontId="14212" fillId="14217" borderId="14164" xfId="0" applyFont="1" applyFill="1" applyBorder="1"/>
    <xf numFmtId="165" fontId="14213" fillId="14218" borderId="14165" xfId="0" applyNumberFormat="1" applyFont="1" applyFill="1" applyBorder="1"/>
    <xf numFmtId="0" fontId="14214" fillId="14219" borderId="14166" xfId="0" applyFont="1" applyFill="1" applyBorder="1"/>
    <xf numFmtId="0" fontId="14215" fillId="14220" borderId="14167" xfId="0" applyFont="1" applyFill="1" applyBorder="1" applyAlignment="1">
      <alignment horizontal="center"/>
    </xf>
    <xf numFmtId="14" fontId="14216" fillId="14221" borderId="14168" xfId="0" applyNumberFormat="1" applyFont="1" applyFill="1" applyBorder="1"/>
    <xf numFmtId="0" fontId="14217" fillId="14222" borderId="14169" xfId="0" applyFont="1" applyFill="1" applyBorder="1" applyAlignment="1">
      <alignment horizontal="center"/>
    </xf>
    <xf numFmtId="0" fontId="14218" fillId="14223" borderId="14170" xfId="0" applyFont="1" applyFill="1" applyBorder="1"/>
    <xf numFmtId="0" fontId="14219" fillId="14224" borderId="14171" xfId="0" applyFont="1" applyFill="1" applyBorder="1"/>
    <xf numFmtId="165" fontId="14220" fillId="14225" borderId="14172" xfId="0" applyNumberFormat="1" applyFont="1" applyFill="1" applyBorder="1"/>
    <xf numFmtId="165" fontId="14221" fillId="14226" borderId="14173" xfId="0" applyNumberFormat="1" applyFont="1" applyFill="1" applyBorder="1"/>
    <xf numFmtId="169" fontId="14222" fillId="14227" borderId="14174" xfId="0" applyNumberFormat="1" applyFont="1" applyFill="1" applyBorder="1"/>
    <xf numFmtId="168" fontId="14223" fillId="14228" borderId="14175" xfId="0" applyNumberFormat="1" applyFont="1" applyFill="1" applyBorder="1"/>
    <xf numFmtId="165" fontId="14224" fillId="14229" borderId="14176" xfId="0" applyNumberFormat="1" applyFont="1" applyFill="1" applyBorder="1"/>
    <xf numFmtId="0" fontId="14225" fillId="14230" borderId="14177" xfId="0" applyFont="1" applyFill="1" applyBorder="1" applyAlignment="1">
      <alignment horizontal="center"/>
    </xf>
    <xf numFmtId="0" fontId="14226" fillId="14231" borderId="14178" xfId="0" applyFont="1" applyFill="1" applyBorder="1" applyAlignment="1">
      <alignment horizontal="center"/>
    </xf>
    <xf numFmtId="0" fontId="14227" fillId="14232" borderId="14179" xfId="0" applyFont="1" applyFill="1" applyBorder="1"/>
    <xf numFmtId="165" fontId="14228" fillId="14233" borderId="14180" xfId="0" applyNumberFormat="1" applyFont="1" applyFill="1" applyBorder="1"/>
    <xf numFmtId="0" fontId="14229" fillId="14234" borderId="14181" xfId="0" applyFont="1" applyFill="1" applyBorder="1"/>
    <xf numFmtId="0" fontId="14230" fillId="14235" borderId="14182" xfId="0" applyFont="1" applyFill="1" applyBorder="1" applyAlignment="1">
      <alignment horizontal="center"/>
    </xf>
    <xf numFmtId="14" fontId="14231" fillId="14236" borderId="14183" xfId="0" applyNumberFormat="1" applyFont="1" applyFill="1" applyBorder="1"/>
    <xf numFmtId="0" fontId="14232" fillId="14237" borderId="14184" xfId="0" applyFont="1" applyFill="1" applyBorder="1" applyAlignment="1">
      <alignment horizontal="center"/>
    </xf>
    <xf numFmtId="0" fontId="14233" fillId="14238" borderId="14185" xfId="0" applyFont="1" applyFill="1" applyBorder="1"/>
    <xf numFmtId="0" fontId="14234" fillId="14239" borderId="14186" xfId="0" applyFont="1" applyFill="1" applyBorder="1"/>
    <xf numFmtId="165" fontId="14235" fillId="14240" borderId="14187" xfId="0" applyNumberFormat="1" applyFont="1" applyFill="1" applyBorder="1"/>
    <xf numFmtId="165" fontId="14236" fillId="14241" borderId="14188" xfId="0" applyNumberFormat="1" applyFont="1" applyFill="1" applyBorder="1"/>
    <xf numFmtId="169" fontId="14237" fillId="14242" borderId="14189" xfId="0" applyNumberFormat="1" applyFont="1" applyFill="1" applyBorder="1"/>
    <xf numFmtId="168" fontId="14238" fillId="14243" borderId="14190" xfId="0" applyNumberFormat="1" applyFont="1" applyFill="1" applyBorder="1"/>
    <xf numFmtId="165" fontId="14239" fillId="14244" borderId="14191" xfId="0" applyNumberFormat="1" applyFont="1" applyFill="1" applyBorder="1"/>
    <xf numFmtId="0" fontId="14240" fillId="14245" borderId="14192" xfId="0" applyFont="1" applyFill="1" applyBorder="1" applyAlignment="1">
      <alignment horizontal="center"/>
    </xf>
    <xf numFmtId="0" fontId="14241" fillId="14246" borderId="14193" xfId="0" applyFont="1" applyFill="1" applyBorder="1" applyAlignment="1">
      <alignment horizontal="center"/>
    </xf>
    <xf numFmtId="0" fontId="14242" fillId="14247" borderId="14194" xfId="0" applyFont="1" applyFill="1" applyBorder="1"/>
    <xf numFmtId="165" fontId="14243" fillId="14248" borderId="14195" xfId="0" applyNumberFormat="1" applyFont="1" applyFill="1" applyBorder="1"/>
    <xf numFmtId="0" fontId="14244" fillId="14249" borderId="14196" xfId="0" applyFont="1" applyFill="1" applyBorder="1"/>
    <xf numFmtId="0" fontId="14245" fillId="14250" borderId="14197" xfId="0" applyFont="1" applyFill="1" applyBorder="1" applyAlignment="1">
      <alignment horizontal="center"/>
    </xf>
    <xf numFmtId="14" fontId="14246" fillId="14251" borderId="14198" xfId="0" applyNumberFormat="1" applyFont="1" applyFill="1" applyBorder="1"/>
    <xf numFmtId="0" fontId="14247" fillId="14252" borderId="14199" xfId="0" applyFont="1" applyFill="1" applyBorder="1" applyAlignment="1">
      <alignment horizontal="center"/>
    </xf>
    <xf numFmtId="0" fontId="14248" fillId="14253" borderId="14200" xfId="0" applyFont="1" applyFill="1" applyBorder="1"/>
    <xf numFmtId="0" fontId="14249" fillId="14254" borderId="14201" xfId="0" applyFont="1" applyFill="1" applyBorder="1"/>
    <xf numFmtId="165" fontId="14250" fillId="14255" borderId="14202" xfId="0" applyNumberFormat="1" applyFont="1" applyFill="1" applyBorder="1"/>
    <xf numFmtId="165" fontId="14251" fillId="14256" borderId="14203" xfId="0" applyNumberFormat="1" applyFont="1" applyFill="1" applyBorder="1"/>
    <xf numFmtId="169" fontId="14252" fillId="14257" borderId="14204" xfId="0" applyNumberFormat="1" applyFont="1" applyFill="1" applyBorder="1"/>
    <xf numFmtId="168" fontId="14253" fillId="14258" borderId="14205" xfId="0" applyNumberFormat="1" applyFont="1" applyFill="1" applyBorder="1"/>
    <xf numFmtId="165" fontId="14254" fillId="14259" borderId="14206" xfId="0" applyNumberFormat="1" applyFont="1" applyFill="1" applyBorder="1"/>
    <xf numFmtId="0" fontId="14255" fillId="14260" borderId="14207" xfId="0" applyFont="1" applyFill="1" applyBorder="1" applyAlignment="1">
      <alignment horizontal="center"/>
    </xf>
    <xf numFmtId="0" fontId="14256" fillId="14261" borderId="14208" xfId="0" applyFont="1" applyFill="1" applyBorder="1" applyAlignment="1">
      <alignment horizontal="center"/>
    </xf>
    <xf numFmtId="0" fontId="14257" fillId="14262" borderId="14209" xfId="0" applyFont="1" applyFill="1" applyBorder="1"/>
    <xf numFmtId="165" fontId="14258" fillId="14263" borderId="14210" xfId="0" applyNumberFormat="1" applyFont="1" applyFill="1" applyBorder="1"/>
    <xf numFmtId="0" fontId="14259" fillId="14264" borderId="14211" xfId="0" applyFont="1" applyFill="1" applyBorder="1"/>
    <xf numFmtId="0" fontId="14260" fillId="14265" borderId="14212" xfId="0" applyFont="1" applyFill="1" applyBorder="1" applyAlignment="1">
      <alignment horizontal="center"/>
    </xf>
    <xf numFmtId="14" fontId="14261" fillId="14266" borderId="14213" xfId="0" applyNumberFormat="1" applyFont="1" applyFill="1" applyBorder="1"/>
    <xf numFmtId="0" fontId="14262" fillId="14267" borderId="14214" xfId="0" applyFont="1" applyFill="1" applyBorder="1" applyAlignment="1">
      <alignment horizontal="center"/>
    </xf>
    <xf numFmtId="0" fontId="14263" fillId="14268" borderId="14215" xfId="0" applyFont="1" applyFill="1" applyBorder="1"/>
    <xf numFmtId="0" fontId="14264" fillId="14269" borderId="14216" xfId="0" applyFont="1" applyFill="1" applyBorder="1"/>
    <xf numFmtId="165" fontId="14265" fillId="14270" borderId="14217" xfId="0" applyNumberFormat="1" applyFont="1" applyFill="1" applyBorder="1"/>
    <xf numFmtId="165" fontId="14266" fillId="14271" borderId="14218" xfId="0" applyNumberFormat="1" applyFont="1" applyFill="1" applyBorder="1"/>
    <xf numFmtId="169" fontId="14267" fillId="14272" borderId="14219" xfId="0" applyNumberFormat="1" applyFont="1" applyFill="1" applyBorder="1"/>
    <xf numFmtId="168" fontId="14268" fillId="14273" borderId="14220" xfId="0" applyNumberFormat="1" applyFont="1" applyFill="1" applyBorder="1"/>
    <xf numFmtId="165" fontId="14269" fillId="14274" borderId="14221" xfId="0" applyNumberFormat="1" applyFont="1" applyFill="1" applyBorder="1"/>
    <xf numFmtId="0" fontId="14270" fillId="14275" borderId="14222" xfId="0" applyFont="1" applyFill="1" applyBorder="1" applyAlignment="1">
      <alignment horizontal="center"/>
    </xf>
    <xf numFmtId="0" fontId="14271" fillId="14276" borderId="14223" xfId="0" applyFont="1" applyFill="1" applyBorder="1" applyAlignment="1">
      <alignment horizontal="center"/>
    </xf>
    <xf numFmtId="0" fontId="14272" fillId="14277" borderId="14224" xfId="0" applyFont="1" applyFill="1" applyBorder="1"/>
    <xf numFmtId="165" fontId="14273" fillId="14278" borderId="14225" xfId="0" applyNumberFormat="1" applyFont="1" applyFill="1" applyBorder="1"/>
    <xf numFmtId="0" fontId="14274" fillId="14279" borderId="14226" xfId="0" applyFont="1" applyFill="1" applyBorder="1"/>
    <xf numFmtId="0" fontId="14275" fillId="14280" borderId="14227" xfId="0" applyFont="1" applyFill="1" applyBorder="1" applyAlignment="1">
      <alignment horizontal="center"/>
    </xf>
    <xf numFmtId="14" fontId="14276" fillId="14281" borderId="14228" xfId="0" applyNumberFormat="1" applyFont="1" applyFill="1" applyBorder="1"/>
    <xf numFmtId="0" fontId="14277" fillId="14282" borderId="14229" xfId="0" applyFont="1" applyFill="1" applyBorder="1" applyAlignment="1">
      <alignment horizontal="center"/>
    </xf>
    <xf numFmtId="0" fontId="14278" fillId="14283" borderId="14230" xfId="0" applyFont="1" applyFill="1" applyBorder="1"/>
    <xf numFmtId="0" fontId="14279" fillId="14284" borderId="14231" xfId="0" applyFont="1" applyFill="1" applyBorder="1"/>
    <xf numFmtId="165" fontId="14280" fillId="14285" borderId="14232" xfId="0" applyNumberFormat="1" applyFont="1" applyFill="1" applyBorder="1"/>
    <xf numFmtId="165" fontId="14281" fillId="14286" borderId="14233" xfId="0" applyNumberFormat="1" applyFont="1" applyFill="1" applyBorder="1"/>
    <xf numFmtId="169" fontId="14282" fillId="14287" borderId="14234" xfId="0" applyNumberFormat="1" applyFont="1" applyFill="1" applyBorder="1"/>
    <xf numFmtId="168" fontId="14283" fillId="14288" borderId="14235" xfId="0" applyNumberFormat="1" applyFont="1" applyFill="1" applyBorder="1"/>
    <xf numFmtId="165" fontId="14284" fillId="14289" borderId="14236" xfId="0" applyNumberFormat="1" applyFont="1" applyFill="1" applyBorder="1"/>
    <xf numFmtId="0" fontId="14285" fillId="14290" borderId="14237" xfId="0" applyFont="1" applyFill="1" applyBorder="1" applyAlignment="1">
      <alignment horizontal="center"/>
    </xf>
    <xf numFmtId="0" fontId="14286" fillId="14291" borderId="14238" xfId="0" applyFont="1" applyFill="1" applyBorder="1" applyAlignment="1">
      <alignment horizontal="center"/>
    </xf>
    <xf numFmtId="0" fontId="14287" fillId="14292" borderId="14239" xfId="0" applyFont="1" applyFill="1" applyBorder="1"/>
    <xf numFmtId="165" fontId="14288" fillId="14293" borderId="14240" xfId="0" applyNumberFormat="1" applyFont="1" applyFill="1" applyBorder="1"/>
    <xf numFmtId="0" fontId="14289" fillId="14294" borderId="14241" xfId="0" applyFont="1" applyFill="1" applyBorder="1"/>
    <xf numFmtId="0" fontId="14290" fillId="14295" borderId="14242" xfId="0" applyFont="1" applyFill="1" applyBorder="1" applyAlignment="1">
      <alignment horizontal="center"/>
    </xf>
    <xf numFmtId="14" fontId="14291" fillId="14296" borderId="14243" xfId="0" applyNumberFormat="1" applyFont="1" applyFill="1" applyBorder="1"/>
    <xf numFmtId="0" fontId="14292" fillId="14297" borderId="14244" xfId="0" applyFont="1" applyFill="1" applyBorder="1" applyAlignment="1">
      <alignment horizontal="center"/>
    </xf>
    <xf numFmtId="0" fontId="14293" fillId="14298" borderId="14245" xfId="0" applyFont="1" applyFill="1" applyBorder="1"/>
    <xf numFmtId="0" fontId="14294" fillId="14299" borderId="14246" xfId="0" applyFont="1" applyFill="1" applyBorder="1"/>
    <xf numFmtId="165" fontId="14295" fillId="14300" borderId="14247" xfId="0" applyNumberFormat="1" applyFont="1" applyFill="1" applyBorder="1"/>
    <xf numFmtId="165" fontId="14296" fillId="14301" borderId="14248" xfId="0" applyNumberFormat="1" applyFont="1" applyFill="1" applyBorder="1"/>
    <xf numFmtId="169" fontId="14297" fillId="14302" borderId="14249" xfId="0" applyNumberFormat="1" applyFont="1" applyFill="1" applyBorder="1"/>
    <xf numFmtId="168" fontId="14298" fillId="14303" borderId="14250" xfId="0" applyNumberFormat="1" applyFont="1" applyFill="1" applyBorder="1"/>
    <xf numFmtId="165" fontId="14299" fillId="14304" borderId="14251" xfId="0" applyNumberFormat="1" applyFont="1" applyFill="1" applyBorder="1"/>
    <xf numFmtId="0" fontId="14300" fillId="14305" borderId="14252" xfId="0" applyFont="1" applyFill="1" applyBorder="1" applyAlignment="1">
      <alignment horizontal="center"/>
    </xf>
    <xf numFmtId="0" fontId="14301" fillId="14306" borderId="14253" xfId="0" applyFont="1" applyFill="1" applyBorder="1" applyAlignment="1">
      <alignment horizontal="center"/>
    </xf>
    <xf numFmtId="0" fontId="14302" fillId="14307" borderId="14254" xfId="0" applyFont="1" applyFill="1" applyBorder="1"/>
    <xf numFmtId="165" fontId="14303" fillId="14308" borderId="14255" xfId="0" applyNumberFormat="1" applyFont="1" applyFill="1" applyBorder="1"/>
    <xf numFmtId="0" fontId="14304" fillId="14309" borderId="14256" xfId="0" applyFont="1" applyFill="1" applyBorder="1"/>
    <xf numFmtId="0" fontId="14305" fillId="14310" borderId="14257" xfId="0" applyFont="1" applyFill="1" applyBorder="1" applyAlignment="1">
      <alignment horizontal="center"/>
    </xf>
    <xf numFmtId="14" fontId="14306" fillId="14311" borderId="14258" xfId="0" applyNumberFormat="1" applyFont="1" applyFill="1" applyBorder="1"/>
    <xf numFmtId="0" fontId="14307" fillId="14312" borderId="14259" xfId="0" applyFont="1" applyFill="1" applyBorder="1" applyAlignment="1">
      <alignment horizontal="center"/>
    </xf>
    <xf numFmtId="0" fontId="14308" fillId="14313" borderId="14260" xfId="0" applyFont="1" applyFill="1" applyBorder="1"/>
    <xf numFmtId="0" fontId="14309" fillId="14314" borderId="14261" xfId="0" applyFont="1" applyFill="1" applyBorder="1"/>
    <xf numFmtId="165" fontId="14310" fillId="14315" borderId="14262" xfId="0" applyNumberFormat="1" applyFont="1" applyFill="1" applyBorder="1"/>
    <xf numFmtId="165" fontId="14311" fillId="14316" borderId="14263" xfId="0" applyNumberFormat="1" applyFont="1" applyFill="1" applyBorder="1"/>
    <xf numFmtId="169" fontId="14312" fillId="14317" borderId="14264" xfId="0" applyNumberFormat="1" applyFont="1" applyFill="1" applyBorder="1"/>
    <xf numFmtId="168" fontId="14313" fillId="14318" borderId="14265" xfId="0" applyNumberFormat="1" applyFont="1" applyFill="1" applyBorder="1"/>
    <xf numFmtId="165" fontId="14314" fillId="14319" borderId="14266" xfId="0" applyNumberFormat="1" applyFont="1" applyFill="1" applyBorder="1"/>
    <xf numFmtId="0" fontId="14315" fillId="14320" borderId="14267" xfId="0" applyFont="1" applyFill="1" applyBorder="1" applyAlignment="1">
      <alignment horizontal="center"/>
    </xf>
    <xf numFmtId="0" fontId="14316" fillId="14321" borderId="14268" xfId="0" applyFont="1" applyFill="1" applyBorder="1" applyAlignment="1">
      <alignment horizontal="center"/>
    </xf>
    <xf numFmtId="0" fontId="14317" fillId="14322" borderId="14269" xfId="0" applyFont="1" applyFill="1" applyBorder="1"/>
    <xf numFmtId="165" fontId="14318" fillId="14323" borderId="14270" xfId="0" applyNumberFormat="1" applyFont="1" applyFill="1" applyBorder="1"/>
    <xf numFmtId="0" fontId="14319" fillId="14324" borderId="14271" xfId="0" applyFont="1" applyFill="1" applyBorder="1"/>
    <xf numFmtId="0" fontId="14320" fillId="14325" borderId="14272" xfId="0" applyFont="1" applyFill="1" applyBorder="1" applyAlignment="1">
      <alignment horizontal="center"/>
    </xf>
    <xf numFmtId="14" fontId="14321" fillId="14326" borderId="14273" xfId="0" applyNumberFormat="1" applyFont="1" applyFill="1" applyBorder="1"/>
    <xf numFmtId="0" fontId="14322" fillId="14327" borderId="14274" xfId="0" applyFont="1" applyFill="1" applyBorder="1" applyAlignment="1">
      <alignment horizontal="center"/>
    </xf>
    <xf numFmtId="0" fontId="14323" fillId="14328" borderId="14275" xfId="0" applyFont="1" applyFill="1" applyBorder="1"/>
    <xf numFmtId="0" fontId="14324" fillId="14329" borderId="14276" xfId="0" applyFont="1" applyFill="1" applyBorder="1"/>
    <xf numFmtId="165" fontId="14325" fillId="14330" borderId="14277" xfId="0" applyNumberFormat="1" applyFont="1" applyFill="1" applyBorder="1"/>
    <xf numFmtId="165" fontId="14326" fillId="14331" borderId="14278" xfId="0" applyNumberFormat="1" applyFont="1" applyFill="1" applyBorder="1"/>
    <xf numFmtId="169" fontId="14327" fillId="14332" borderId="14279" xfId="0" applyNumberFormat="1" applyFont="1" applyFill="1" applyBorder="1"/>
    <xf numFmtId="168" fontId="14328" fillId="14333" borderId="14280" xfId="0" applyNumberFormat="1" applyFont="1" applyFill="1" applyBorder="1"/>
    <xf numFmtId="165" fontId="14329" fillId="14334" borderId="14281" xfId="0" applyNumberFormat="1" applyFont="1" applyFill="1" applyBorder="1"/>
    <xf numFmtId="0" fontId="14330" fillId="14335" borderId="14282" xfId="0" applyFont="1" applyFill="1" applyBorder="1" applyAlignment="1">
      <alignment horizontal="center"/>
    </xf>
    <xf numFmtId="0" fontId="14331" fillId="14336" borderId="14283" xfId="0" applyFont="1" applyFill="1" applyBorder="1" applyAlignment="1">
      <alignment horizontal="center"/>
    </xf>
    <xf numFmtId="0" fontId="14332" fillId="14337" borderId="14284" xfId="0" applyFont="1" applyFill="1" applyBorder="1"/>
    <xf numFmtId="165" fontId="14333" fillId="14338" borderId="14285" xfId="0" applyNumberFormat="1" applyFont="1" applyFill="1" applyBorder="1"/>
    <xf numFmtId="0" fontId="14334" fillId="14339" borderId="14286" xfId="0" applyFont="1" applyFill="1" applyBorder="1"/>
    <xf numFmtId="0" fontId="14335" fillId="14340" borderId="14287" xfId="0" applyFont="1" applyFill="1" applyBorder="1" applyAlignment="1">
      <alignment horizontal="center"/>
    </xf>
    <xf numFmtId="14" fontId="14336" fillId="14341" borderId="14288" xfId="0" applyNumberFormat="1" applyFont="1" applyFill="1" applyBorder="1"/>
    <xf numFmtId="0" fontId="14337" fillId="14342" borderId="14289" xfId="0" applyFont="1" applyFill="1" applyBorder="1" applyAlignment="1">
      <alignment horizontal="center"/>
    </xf>
    <xf numFmtId="0" fontId="14338" fillId="14343" borderId="14290" xfId="0" applyFont="1" applyFill="1" applyBorder="1"/>
    <xf numFmtId="0" fontId="14339" fillId="14344" borderId="14291" xfId="0" applyFont="1" applyFill="1" applyBorder="1"/>
    <xf numFmtId="165" fontId="14340" fillId="14345" borderId="14292" xfId="0" applyNumberFormat="1" applyFont="1" applyFill="1" applyBorder="1"/>
    <xf numFmtId="165" fontId="14341" fillId="14346" borderId="14293" xfId="0" applyNumberFormat="1" applyFont="1" applyFill="1" applyBorder="1"/>
    <xf numFmtId="169" fontId="14342" fillId="14347" borderId="14294" xfId="0" applyNumberFormat="1" applyFont="1" applyFill="1" applyBorder="1"/>
    <xf numFmtId="168" fontId="14343" fillId="14348" borderId="14295" xfId="0" applyNumberFormat="1" applyFont="1" applyFill="1" applyBorder="1"/>
    <xf numFmtId="165" fontId="14344" fillId="14349" borderId="14296" xfId="0" applyNumberFormat="1" applyFont="1" applyFill="1" applyBorder="1"/>
    <xf numFmtId="0" fontId="14345" fillId="14350" borderId="14297" xfId="0" applyFont="1" applyFill="1" applyBorder="1" applyAlignment="1">
      <alignment horizontal="center"/>
    </xf>
    <xf numFmtId="0" fontId="14346" fillId="14351" borderId="14298" xfId="0" applyFont="1" applyFill="1" applyBorder="1" applyAlignment="1">
      <alignment horizontal="center"/>
    </xf>
    <xf numFmtId="0" fontId="14347" fillId="14352" borderId="14299" xfId="0" applyFont="1" applyFill="1" applyBorder="1"/>
    <xf numFmtId="165" fontId="14348" fillId="14353" borderId="14300" xfId="0" applyNumberFormat="1" applyFont="1" applyFill="1" applyBorder="1"/>
    <xf numFmtId="0" fontId="14349" fillId="14354" borderId="14301" xfId="0" applyFont="1" applyFill="1" applyBorder="1"/>
    <xf numFmtId="0" fontId="14350" fillId="14355" borderId="14302" xfId="0" applyFont="1" applyFill="1" applyBorder="1" applyAlignment="1">
      <alignment horizontal="center"/>
    </xf>
    <xf numFmtId="14" fontId="14351" fillId="14356" borderId="14303" xfId="0" applyNumberFormat="1" applyFont="1" applyFill="1" applyBorder="1"/>
    <xf numFmtId="0" fontId="14352" fillId="14357" borderId="14304" xfId="0" applyFont="1" applyFill="1" applyBorder="1" applyAlignment="1">
      <alignment horizontal="center"/>
    </xf>
    <xf numFmtId="0" fontId="14353" fillId="14358" borderId="14305" xfId="0" applyFont="1" applyFill="1" applyBorder="1"/>
    <xf numFmtId="0" fontId="14354" fillId="14359" borderId="14306" xfId="0" applyFont="1" applyFill="1" applyBorder="1"/>
    <xf numFmtId="165" fontId="14355" fillId="14360" borderId="14307" xfId="0" applyNumberFormat="1" applyFont="1" applyFill="1" applyBorder="1"/>
    <xf numFmtId="165" fontId="14356" fillId="14361" borderId="14308" xfId="0" applyNumberFormat="1" applyFont="1" applyFill="1" applyBorder="1"/>
    <xf numFmtId="169" fontId="14357" fillId="14362" borderId="14309" xfId="0" applyNumberFormat="1" applyFont="1" applyFill="1" applyBorder="1"/>
    <xf numFmtId="168" fontId="14358" fillId="14363" borderId="14310" xfId="0" applyNumberFormat="1" applyFont="1" applyFill="1" applyBorder="1"/>
    <xf numFmtId="165" fontId="14359" fillId="14364" borderId="14311" xfId="0" applyNumberFormat="1" applyFont="1" applyFill="1" applyBorder="1"/>
    <xf numFmtId="0" fontId="14360" fillId="14365" borderId="14312" xfId="0" applyFont="1" applyFill="1" applyBorder="1" applyAlignment="1">
      <alignment horizontal="center"/>
    </xf>
    <xf numFmtId="0" fontId="14361" fillId="14366" borderId="14313" xfId="0" applyFont="1" applyFill="1" applyBorder="1" applyAlignment="1">
      <alignment horizontal="center"/>
    </xf>
    <xf numFmtId="0" fontId="14362" fillId="14367" borderId="14314" xfId="0" applyFont="1" applyFill="1" applyBorder="1"/>
    <xf numFmtId="165" fontId="14363" fillId="14368" borderId="14315" xfId="0" applyNumberFormat="1" applyFont="1" applyFill="1" applyBorder="1"/>
    <xf numFmtId="0" fontId="14364" fillId="14369" borderId="14316" xfId="0" applyFont="1" applyFill="1" applyBorder="1"/>
    <xf numFmtId="0" fontId="14365" fillId="14370" borderId="14317" xfId="0" applyFont="1" applyFill="1" applyBorder="1" applyAlignment="1">
      <alignment horizontal="center"/>
    </xf>
    <xf numFmtId="14" fontId="14366" fillId="14371" borderId="14318" xfId="0" applyNumberFormat="1" applyFont="1" applyFill="1" applyBorder="1"/>
    <xf numFmtId="0" fontId="14367" fillId="14372" borderId="14319" xfId="0" applyFont="1" applyFill="1" applyBorder="1" applyAlignment="1">
      <alignment horizontal="center"/>
    </xf>
    <xf numFmtId="0" fontId="14368" fillId="14373" borderId="14320" xfId="0" applyFont="1" applyFill="1" applyBorder="1"/>
    <xf numFmtId="0" fontId="14369" fillId="14374" borderId="14321" xfId="0" applyFont="1" applyFill="1" applyBorder="1"/>
    <xf numFmtId="165" fontId="14370" fillId="14375" borderId="14322" xfId="0" applyNumberFormat="1" applyFont="1" applyFill="1" applyBorder="1"/>
    <xf numFmtId="165" fontId="14371" fillId="14376" borderId="14323" xfId="0" applyNumberFormat="1" applyFont="1" applyFill="1" applyBorder="1"/>
    <xf numFmtId="169" fontId="14372" fillId="14377" borderId="14324" xfId="0" applyNumberFormat="1" applyFont="1" applyFill="1" applyBorder="1"/>
    <xf numFmtId="168" fontId="14373" fillId="14378" borderId="14325" xfId="0" applyNumberFormat="1" applyFont="1" applyFill="1" applyBorder="1"/>
    <xf numFmtId="165" fontId="14374" fillId="14379" borderId="14326" xfId="0" applyNumberFormat="1" applyFont="1" applyFill="1" applyBorder="1"/>
    <xf numFmtId="0" fontId="14375" fillId="14380" borderId="14327" xfId="0" applyFont="1" applyFill="1" applyBorder="1" applyAlignment="1">
      <alignment horizontal="center"/>
    </xf>
    <xf numFmtId="0" fontId="14376" fillId="14381" borderId="14328" xfId="0" applyFont="1" applyFill="1" applyBorder="1" applyAlignment="1">
      <alignment horizontal="center"/>
    </xf>
    <xf numFmtId="0" fontId="14377" fillId="14382" borderId="14329" xfId="0" applyFont="1" applyFill="1" applyBorder="1"/>
    <xf numFmtId="165" fontId="14378" fillId="14383" borderId="14330" xfId="0" applyNumberFormat="1" applyFont="1" applyFill="1" applyBorder="1"/>
    <xf numFmtId="0" fontId="14379" fillId="14384" borderId="14331" xfId="0" applyFont="1" applyFill="1" applyBorder="1"/>
    <xf numFmtId="0" fontId="14380" fillId="14385" borderId="14332" xfId="0" applyFont="1" applyFill="1" applyBorder="1" applyAlignment="1">
      <alignment horizontal="center"/>
    </xf>
    <xf numFmtId="14" fontId="14381" fillId="14386" borderId="14333" xfId="0" applyNumberFormat="1" applyFont="1" applyFill="1" applyBorder="1"/>
    <xf numFmtId="0" fontId="14382" fillId="14387" borderId="14334" xfId="0" applyFont="1" applyFill="1" applyBorder="1" applyAlignment="1">
      <alignment horizontal="center"/>
    </xf>
    <xf numFmtId="0" fontId="14383" fillId="14388" borderId="14335" xfId="0" applyFont="1" applyFill="1" applyBorder="1"/>
    <xf numFmtId="0" fontId="14384" fillId="14389" borderId="14336" xfId="0" applyFont="1" applyFill="1" applyBorder="1"/>
    <xf numFmtId="165" fontId="14385" fillId="14390" borderId="14337" xfId="0" applyNumberFormat="1" applyFont="1" applyFill="1" applyBorder="1"/>
    <xf numFmtId="165" fontId="14386" fillId="14391" borderId="14338" xfId="0" applyNumberFormat="1" applyFont="1" applyFill="1" applyBorder="1"/>
    <xf numFmtId="169" fontId="14387" fillId="14392" borderId="14339" xfId="0" applyNumberFormat="1" applyFont="1" applyFill="1" applyBorder="1"/>
    <xf numFmtId="168" fontId="14388" fillId="14393" borderId="14340" xfId="0" applyNumberFormat="1" applyFont="1" applyFill="1" applyBorder="1"/>
    <xf numFmtId="165" fontId="14389" fillId="14394" borderId="14341" xfId="0" applyNumberFormat="1" applyFont="1" applyFill="1" applyBorder="1"/>
    <xf numFmtId="0" fontId="14390" fillId="14395" borderId="14342" xfId="0" applyFont="1" applyFill="1" applyBorder="1" applyAlignment="1">
      <alignment horizontal="center"/>
    </xf>
    <xf numFmtId="0" fontId="14391" fillId="14396" borderId="14343" xfId="0" applyFont="1" applyFill="1" applyBorder="1" applyAlignment="1">
      <alignment horizontal="center"/>
    </xf>
    <xf numFmtId="0" fontId="14392" fillId="14397" borderId="14344" xfId="0" applyFont="1" applyFill="1" applyBorder="1"/>
    <xf numFmtId="165" fontId="14393" fillId="14398" borderId="14345" xfId="0" applyNumberFormat="1" applyFont="1" applyFill="1" applyBorder="1"/>
    <xf numFmtId="0" fontId="14394" fillId="14399" borderId="14346" xfId="0" applyFont="1" applyFill="1" applyBorder="1"/>
    <xf numFmtId="0" fontId="14395" fillId="14400" borderId="14347" xfId="0" applyFont="1" applyFill="1" applyBorder="1" applyAlignment="1">
      <alignment horizontal="center"/>
    </xf>
    <xf numFmtId="14" fontId="14396" fillId="14401" borderId="14348" xfId="0" applyNumberFormat="1" applyFont="1" applyFill="1" applyBorder="1"/>
    <xf numFmtId="0" fontId="14397" fillId="14402" borderId="14349" xfId="0" applyFont="1" applyFill="1" applyBorder="1" applyAlignment="1">
      <alignment horizontal="center"/>
    </xf>
    <xf numFmtId="0" fontId="14398" fillId="14403" borderId="14350" xfId="0" applyFont="1" applyFill="1" applyBorder="1"/>
    <xf numFmtId="0" fontId="14399" fillId="14404" borderId="14351" xfId="0" applyFont="1" applyFill="1" applyBorder="1"/>
    <xf numFmtId="165" fontId="14400" fillId="14405" borderId="14352" xfId="0" applyNumberFormat="1" applyFont="1" applyFill="1" applyBorder="1"/>
    <xf numFmtId="165" fontId="14401" fillId="14406" borderId="14353" xfId="0" applyNumberFormat="1" applyFont="1" applyFill="1" applyBorder="1"/>
    <xf numFmtId="169" fontId="14402" fillId="14407" borderId="14354" xfId="0" applyNumberFormat="1" applyFont="1" applyFill="1" applyBorder="1"/>
    <xf numFmtId="168" fontId="14403" fillId="14408" borderId="14355" xfId="0" applyNumberFormat="1" applyFont="1" applyFill="1" applyBorder="1"/>
    <xf numFmtId="165" fontId="14404" fillId="14409" borderId="14356" xfId="0" applyNumberFormat="1" applyFont="1" applyFill="1" applyBorder="1"/>
    <xf numFmtId="0" fontId="14405" fillId="14410" borderId="14357" xfId="0" applyFont="1" applyFill="1" applyBorder="1" applyAlignment="1">
      <alignment horizontal="center"/>
    </xf>
    <xf numFmtId="0" fontId="14406" fillId="14411" borderId="14358" xfId="0" applyFont="1" applyFill="1" applyBorder="1" applyAlignment="1">
      <alignment horizontal="center"/>
    </xf>
    <xf numFmtId="0" fontId="14407" fillId="14412" borderId="14359" xfId="0" applyFont="1" applyFill="1" applyBorder="1"/>
    <xf numFmtId="165" fontId="14408" fillId="14413" borderId="14360" xfId="0" applyNumberFormat="1" applyFont="1" applyFill="1" applyBorder="1"/>
    <xf numFmtId="0" fontId="14409" fillId="14414" borderId="14361" xfId="0" applyFont="1" applyFill="1" applyBorder="1"/>
    <xf numFmtId="0" fontId="14410" fillId="14415" borderId="14362" xfId="0" applyFont="1" applyFill="1" applyBorder="1" applyAlignment="1">
      <alignment horizontal="center"/>
    </xf>
    <xf numFmtId="14" fontId="14411" fillId="14416" borderId="14363" xfId="0" applyNumberFormat="1" applyFont="1" applyFill="1" applyBorder="1"/>
    <xf numFmtId="0" fontId="14412" fillId="14417" borderId="14364" xfId="0" applyFont="1" applyFill="1" applyBorder="1" applyAlignment="1">
      <alignment horizontal="center"/>
    </xf>
    <xf numFmtId="0" fontId="14413" fillId="14418" borderId="14365" xfId="0" applyFont="1" applyFill="1" applyBorder="1"/>
    <xf numFmtId="0" fontId="14414" fillId="14419" borderId="14366" xfId="0" applyFont="1" applyFill="1" applyBorder="1"/>
    <xf numFmtId="165" fontId="14415" fillId="14420" borderId="14367" xfId="0" applyNumberFormat="1" applyFont="1" applyFill="1" applyBorder="1"/>
    <xf numFmtId="165" fontId="14416" fillId="14421" borderId="14368" xfId="0" applyNumberFormat="1" applyFont="1" applyFill="1" applyBorder="1"/>
    <xf numFmtId="169" fontId="14417" fillId="14422" borderId="14369" xfId="0" applyNumberFormat="1" applyFont="1" applyFill="1" applyBorder="1"/>
    <xf numFmtId="168" fontId="14418" fillId="14423" borderId="14370" xfId="0" applyNumberFormat="1" applyFont="1" applyFill="1" applyBorder="1"/>
    <xf numFmtId="165" fontId="14419" fillId="14424" borderId="14371" xfId="0" applyNumberFormat="1" applyFont="1" applyFill="1" applyBorder="1"/>
    <xf numFmtId="0" fontId="14420" fillId="14425" borderId="14372" xfId="0" applyFont="1" applyFill="1" applyBorder="1" applyAlignment="1">
      <alignment horizontal="center"/>
    </xf>
    <xf numFmtId="0" fontId="14421" fillId="14426" borderId="14373" xfId="0" applyFont="1" applyFill="1" applyBorder="1" applyAlignment="1">
      <alignment horizontal="center"/>
    </xf>
    <xf numFmtId="0" fontId="14422" fillId="14427" borderId="14374" xfId="0" applyFont="1" applyFill="1" applyBorder="1"/>
    <xf numFmtId="165" fontId="14423" fillId="14428" borderId="14375" xfId="0" applyNumberFormat="1" applyFont="1" applyFill="1" applyBorder="1"/>
    <xf numFmtId="0" fontId="14424" fillId="14429" borderId="14376" xfId="0" applyFont="1" applyFill="1" applyBorder="1"/>
    <xf numFmtId="0" fontId="14425" fillId="14430" borderId="14377" xfId="0" applyFont="1" applyFill="1" applyBorder="1" applyAlignment="1">
      <alignment horizontal="center"/>
    </xf>
    <xf numFmtId="14" fontId="14426" fillId="14431" borderId="14378" xfId="0" applyNumberFormat="1" applyFont="1" applyFill="1" applyBorder="1"/>
    <xf numFmtId="0" fontId="14427" fillId="14432" borderId="14379" xfId="0" applyFont="1" applyFill="1" applyBorder="1" applyAlignment="1">
      <alignment horizontal="center"/>
    </xf>
    <xf numFmtId="0" fontId="14428" fillId="14433" borderId="14380" xfId="0" applyFont="1" applyFill="1" applyBorder="1"/>
    <xf numFmtId="0" fontId="14429" fillId="14434" borderId="14381" xfId="0" applyFont="1" applyFill="1" applyBorder="1"/>
    <xf numFmtId="165" fontId="14430" fillId="14435" borderId="14382" xfId="0" applyNumberFormat="1" applyFont="1" applyFill="1" applyBorder="1"/>
    <xf numFmtId="165" fontId="14431" fillId="14436" borderId="14383" xfId="0" applyNumberFormat="1" applyFont="1" applyFill="1" applyBorder="1"/>
    <xf numFmtId="169" fontId="14432" fillId="14437" borderId="14384" xfId="0" applyNumberFormat="1" applyFont="1" applyFill="1" applyBorder="1"/>
    <xf numFmtId="168" fontId="14433" fillId="14438" borderId="14385" xfId="0" applyNumberFormat="1" applyFont="1" applyFill="1" applyBorder="1"/>
    <xf numFmtId="165" fontId="14434" fillId="14439" borderId="14386" xfId="0" applyNumberFormat="1" applyFont="1" applyFill="1" applyBorder="1"/>
    <xf numFmtId="0" fontId="14435" fillId="14440" borderId="14387" xfId="0" applyFont="1" applyFill="1" applyBorder="1" applyAlignment="1">
      <alignment horizontal="center"/>
    </xf>
    <xf numFmtId="0" fontId="14436" fillId="14441" borderId="14388" xfId="0" applyFont="1" applyFill="1" applyBorder="1" applyAlignment="1">
      <alignment horizontal="center"/>
    </xf>
    <xf numFmtId="0" fontId="14437" fillId="14442" borderId="14389" xfId="0" applyFont="1" applyFill="1" applyBorder="1"/>
    <xf numFmtId="165" fontId="14438" fillId="14443" borderId="14390" xfId="0" applyNumberFormat="1" applyFont="1" applyFill="1" applyBorder="1"/>
    <xf numFmtId="0" fontId="14439" fillId="14444" borderId="14391" xfId="0" applyFont="1" applyFill="1" applyBorder="1"/>
    <xf numFmtId="0" fontId="14440" fillId="14445" borderId="14392" xfId="0" applyFont="1" applyFill="1" applyBorder="1" applyAlignment="1">
      <alignment horizontal="center"/>
    </xf>
    <xf numFmtId="14" fontId="14441" fillId="14446" borderId="14393" xfId="0" applyNumberFormat="1" applyFont="1" applyFill="1" applyBorder="1"/>
    <xf numFmtId="0" fontId="14442" fillId="14447" borderId="14394" xfId="0" applyFont="1" applyFill="1" applyBorder="1" applyAlignment="1">
      <alignment horizontal="center"/>
    </xf>
    <xf numFmtId="0" fontId="14443" fillId="14448" borderId="14395" xfId="0" applyFont="1" applyFill="1" applyBorder="1"/>
    <xf numFmtId="0" fontId="14444" fillId="14449" borderId="14396" xfId="0" applyFont="1" applyFill="1" applyBorder="1"/>
    <xf numFmtId="165" fontId="14445" fillId="14450" borderId="14397" xfId="0" applyNumberFormat="1" applyFont="1" applyFill="1" applyBorder="1"/>
    <xf numFmtId="165" fontId="14446" fillId="14451" borderId="14398" xfId="0" applyNumberFormat="1" applyFont="1" applyFill="1" applyBorder="1"/>
    <xf numFmtId="169" fontId="14447" fillId="14452" borderId="14399" xfId="0" applyNumberFormat="1" applyFont="1" applyFill="1" applyBorder="1"/>
    <xf numFmtId="168" fontId="14448" fillId="14453" borderId="14400" xfId="0" applyNumberFormat="1" applyFont="1" applyFill="1" applyBorder="1"/>
    <xf numFmtId="165" fontId="14449" fillId="14454" borderId="14401" xfId="0" applyNumberFormat="1" applyFont="1" applyFill="1" applyBorder="1"/>
    <xf numFmtId="0" fontId="14450" fillId="14455" borderId="14402" xfId="0" applyFont="1" applyFill="1" applyBorder="1" applyAlignment="1">
      <alignment horizontal="center"/>
    </xf>
    <xf numFmtId="0" fontId="14451" fillId="14456" borderId="14403" xfId="0" applyFont="1" applyFill="1" applyBorder="1" applyAlignment="1">
      <alignment horizontal="center"/>
    </xf>
    <xf numFmtId="0" fontId="14452" fillId="14457" borderId="14404" xfId="0" applyFont="1" applyFill="1" applyBorder="1"/>
    <xf numFmtId="165" fontId="14453" fillId="14458" borderId="14405" xfId="0" applyNumberFormat="1" applyFont="1" applyFill="1" applyBorder="1"/>
    <xf numFmtId="0" fontId="14454" fillId="14459" borderId="14406" xfId="0" applyFont="1" applyFill="1" applyBorder="1"/>
    <xf numFmtId="0" fontId="14455" fillId="14460" borderId="14407" xfId="0" applyFont="1" applyFill="1" applyBorder="1" applyAlignment="1">
      <alignment horizontal="center"/>
    </xf>
    <xf numFmtId="14" fontId="14456" fillId="14461" borderId="14408" xfId="0" applyNumberFormat="1" applyFont="1" applyFill="1" applyBorder="1"/>
    <xf numFmtId="0" fontId="14457" fillId="14462" borderId="14409" xfId="0" applyFont="1" applyFill="1" applyBorder="1" applyAlignment="1">
      <alignment horizontal="center"/>
    </xf>
    <xf numFmtId="0" fontId="14458" fillId="14463" borderId="14410" xfId="0" applyFont="1" applyFill="1" applyBorder="1"/>
    <xf numFmtId="0" fontId="14459" fillId="14464" borderId="14411" xfId="0" applyFont="1" applyFill="1" applyBorder="1"/>
    <xf numFmtId="165" fontId="14460" fillId="14465" borderId="14412" xfId="0" applyNumberFormat="1" applyFont="1" applyFill="1" applyBorder="1"/>
    <xf numFmtId="165" fontId="14461" fillId="14466" borderId="14413" xfId="0" applyNumberFormat="1" applyFont="1" applyFill="1" applyBorder="1"/>
    <xf numFmtId="169" fontId="14462" fillId="14467" borderId="14414" xfId="0" applyNumberFormat="1" applyFont="1" applyFill="1" applyBorder="1"/>
    <xf numFmtId="168" fontId="14463" fillId="14468" borderId="14415" xfId="0" applyNumberFormat="1" applyFont="1" applyFill="1" applyBorder="1"/>
    <xf numFmtId="165" fontId="14464" fillId="14469" borderId="14416" xfId="0" applyNumberFormat="1" applyFont="1" applyFill="1" applyBorder="1"/>
    <xf numFmtId="0" fontId="14465" fillId="14470" borderId="14417" xfId="0" applyFont="1" applyFill="1" applyBorder="1" applyAlignment="1">
      <alignment horizontal="center"/>
    </xf>
    <xf numFmtId="0" fontId="14466" fillId="14471" borderId="14418" xfId="0" applyFont="1" applyFill="1" applyBorder="1" applyAlignment="1">
      <alignment horizontal="center"/>
    </xf>
    <xf numFmtId="0" fontId="14467" fillId="14472" borderId="14419" xfId="0" applyFont="1" applyFill="1" applyBorder="1"/>
    <xf numFmtId="165" fontId="14468" fillId="14473" borderId="14420" xfId="0" applyNumberFormat="1" applyFont="1" applyFill="1" applyBorder="1"/>
    <xf numFmtId="0" fontId="14469" fillId="14474" borderId="14421" xfId="0" applyFont="1" applyFill="1" applyBorder="1"/>
    <xf numFmtId="0" fontId="14470" fillId="14475" borderId="14422" xfId="0" applyFont="1" applyFill="1" applyBorder="1" applyAlignment="1">
      <alignment horizontal="center"/>
    </xf>
    <xf numFmtId="14" fontId="14471" fillId="14476" borderId="14423" xfId="0" applyNumberFormat="1" applyFont="1" applyFill="1" applyBorder="1"/>
    <xf numFmtId="0" fontId="14472" fillId="14477" borderId="14424" xfId="0" applyFont="1" applyFill="1" applyBorder="1" applyAlignment="1">
      <alignment horizontal="center"/>
    </xf>
    <xf numFmtId="0" fontId="14473" fillId="14478" borderId="14425" xfId="0" applyFont="1" applyFill="1" applyBorder="1"/>
    <xf numFmtId="0" fontId="14474" fillId="14479" borderId="14426" xfId="0" applyFont="1" applyFill="1" applyBorder="1"/>
    <xf numFmtId="165" fontId="14475" fillId="14480" borderId="14427" xfId="0" applyNumberFormat="1" applyFont="1" applyFill="1" applyBorder="1"/>
    <xf numFmtId="165" fontId="14476" fillId="14481" borderId="14428" xfId="0" applyNumberFormat="1" applyFont="1" applyFill="1" applyBorder="1"/>
    <xf numFmtId="169" fontId="14477" fillId="14482" borderId="14429" xfId="0" applyNumberFormat="1" applyFont="1" applyFill="1" applyBorder="1"/>
    <xf numFmtId="168" fontId="14478" fillId="14483" borderId="14430" xfId="0" applyNumberFormat="1" applyFont="1" applyFill="1" applyBorder="1"/>
    <xf numFmtId="165" fontId="14479" fillId="14484" borderId="14431" xfId="0" applyNumberFormat="1" applyFont="1" applyFill="1" applyBorder="1"/>
    <xf numFmtId="0" fontId="14480" fillId="14485" borderId="14432" xfId="0" applyFont="1" applyFill="1" applyBorder="1" applyAlignment="1">
      <alignment horizontal="center"/>
    </xf>
    <xf numFmtId="0" fontId="14481" fillId="14486" borderId="14433" xfId="0" applyFont="1" applyFill="1" applyBorder="1" applyAlignment="1">
      <alignment horizontal="center"/>
    </xf>
    <xf numFmtId="0" fontId="14482" fillId="14487" borderId="14434" xfId="0" applyFont="1" applyFill="1" applyBorder="1"/>
    <xf numFmtId="165" fontId="14483" fillId="14488" borderId="14435" xfId="0" applyNumberFormat="1" applyFont="1" applyFill="1" applyBorder="1"/>
    <xf numFmtId="0" fontId="14484" fillId="14489" borderId="14436" xfId="0" applyFont="1" applyFill="1" applyBorder="1"/>
    <xf numFmtId="0" fontId="14485" fillId="14490" borderId="14437" xfId="0" applyFont="1" applyFill="1" applyBorder="1" applyAlignment="1">
      <alignment horizontal="center"/>
    </xf>
    <xf numFmtId="14" fontId="14486" fillId="14491" borderId="14438" xfId="0" applyNumberFormat="1" applyFont="1" applyFill="1" applyBorder="1"/>
    <xf numFmtId="0" fontId="14487" fillId="14492" borderId="14439" xfId="0" applyFont="1" applyFill="1" applyBorder="1" applyAlignment="1">
      <alignment horizontal="center"/>
    </xf>
    <xf numFmtId="0" fontId="14488" fillId="14493" borderId="14440" xfId="0" applyFont="1" applyFill="1" applyBorder="1"/>
    <xf numFmtId="0" fontId="14489" fillId="14494" borderId="14441" xfId="0" applyFont="1" applyFill="1" applyBorder="1"/>
    <xf numFmtId="165" fontId="14490" fillId="14495" borderId="14442" xfId="0" applyNumberFormat="1" applyFont="1" applyFill="1" applyBorder="1"/>
    <xf numFmtId="165" fontId="14491" fillId="14496" borderId="14443" xfId="0" applyNumberFormat="1" applyFont="1" applyFill="1" applyBorder="1"/>
    <xf numFmtId="169" fontId="14492" fillId="14497" borderId="14444" xfId="0" applyNumberFormat="1" applyFont="1" applyFill="1" applyBorder="1"/>
    <xf numFmtId="168" fontId="14493" fillId="14498" borderId="14445" xfId="0" applyNumberFormat="1" applyFont="1" applyFill="1" applyBorder="1"/>
    <xf numFmtId="165" fontId="14494" fillId="14499" borderId="14446" xfId="0" applyNumberFormat="1" applyFont="1" applyFill="1" applyBorder="1"/>
    <xf numFmtId="0" fontId="14495" fillId="14500" borderId="14447" xfId="0" applyFont="1" applyFill="1" applyBorder="1" applyAlignment="1">
      <alignment horizontal="center"/>
    </xf>
    <xf numFmtId="0" fontId="14496" fillId="14501" borderId="14448" xfId="0" applyFont="1" applyFill="1" applyBorder="1" applyAlignment="1">
      <alignment horizontal="center"/>
    </xf>
    <xf numFmtId="0" fontId="14497" fillId="14502" borderId="14449" xfId="0" applyFont="1" applyFill="1" applyBorder="1"/>
    <xf numFmtId="165" fontId="14498" fillId="14503" borderId="14450" xfId="0" applyNumberFormat="1" applyFont="1" applyFill="1" applyBorder="1"/>
    <xf numFmtId="0" fontId="14499" fillId="14504" borderId="14451" xfId="0" applyFont="1" applyFill="1" applyBorder="1"/>
    <xf numFmtId="0" fontId="14500" fillId="14505" borderId="14452" xfId="0" applyFont="1" applyFill="1" applyBorder="1" applyAlignment="1">
      <alignment horizontal="center"/>
    </xf>
    <xf numFmtId="14" fontId="14501" fillId="14506" borderId="14453" xfId="0" applyNumberFormat="1" applyFont="1" applyFill="1" applyBorder="1"/>
    <xf numFmtId="0" fontId="14502" fillId="14507" borderId="14454" xfId="0" applyFont="1" applyFill="1" applyBorder="1" applyAlignment="1">
      <alignment horizontal="center"/>
    </xf>
    <xf numFmtId="0" fontId="14503" fillId="14508" borderId="14455" xfId="0" applyFont="1" applyFill="1" applyBorder="1"/>
    <xf numFmtId="0" fontId="14504" fillId="14509" borderId="14456" xfId="0" applyFont="1" applyFill="1" applyBorder="1"/>
    <xf numFmtId="165" fontId="14505" fillId="14510" borderId="14457" xfId="0" applyNumberFormat="1" applyFont="1" applyFill="1" applyBorder="1"/>
    <xf numFmtId="165" fontId="14506" fillId="14511" borderId="14458" xfId="0" applyNumberFormat="1" applyFont="1" applyFill="1" applyBorder="1"/>
    <xf numFmtId="169" fontId="14507" fillId="14512" borderId="14459" xfId="0" applyNumberFormat="1" applyFont="1" applyFill="1" applyBorder="1"/>
    <xf numFmtId="168" fontId="14508" fillId="14513" borderId="14460" xfId="0" applyNumberFormat="1" applyFont="1" applyFill="1" applyBorder="1"/>
    <xf numFmtId="165" fontId="14509" fillId="14514" borderId="14461" xfId="0" applyNumberFormat="1" applyFont="1" applyFill="1" applyBorder="1"/>
    <xf numFmtId="0" fontId="14510" fillId="14515" borderId="14462" xfId="0" applyFont="1" applyFill="1" applyBorder="1" applyAlignment="1">
      <alignment horizontal="center"/>
    </xf>
    <xf numFmtId="0" fontId="14511" fillId="14516" borderId="14463" xfId="0" applyFont="1" applyFill="1" applyBorder="1" applyAlignment="1">
      <alignment horizontal="center"/>
    </xf>
    <xf numFmtId="0" fontId="14512" fillId="14517" borderId="14464" xfId="0" applyFont="1" applyFill="1" applyBorder="1"/>
    <xf numFmtId="165" fontId="14513" fillId="14518" borderId="14465" xfId="0" applyNumberFormat="1" applyFont="1" applyFill="1" applyBorder="1"/>
    <xf numFmtId="0" fontId="14514" fillId="14519" borderId="14466" xfId="0" applyFont="1" applyFill="1" applyBorder="1"/>
    <xf numFmtId="0" fontId="14515" fillId="14520" borderId="14467" xfId="0" applyFont="1" applyFill="1" applyBorder="1" applyAlignment="1">
      <alignment horizontal="center"/>
    </xf>
    <xf numFmtId="14" fontId="14516" fillId="14521" borderId="14468" xfId="0" applyNumberFormat="1" applyFont="1" applyFill="1" applyBorder="1"/>
    <xf numFmtId="0" fontId="14517" fillId="14522" borderId="14469" xfId="0" applyFont="1" applyFill="1" applyBorder="1" applyAlignment="1">
      <alignment horizontal="center"/>
    </xf>
    <xf numFmtId="0" fontId="14518" fillId="14523" borderId="14470" xfId="0" applyFont="1" applyFill="1" applyBorder="1"/>
    <xf numFmtId="0" fontId="14519" fillId="14524" borderId="14471" xfId="0" applyFont="1" applyFill="1" applyBorder="1"/>
    <xf numFmtId="165" fontId="14520" fillId="14525" borderId="14472" xfId="0" applyNumberFormat="1" applyFont="1" applyFill="1" applyBorder="1"/>
    <xf numFmtId="165" fontId="14521" fillId="14526" borderId="14473" xfId="0" applyNumberFormat="1" applyFont="1" applyFill="1" applyBorder="1"/>
    <xf numFmtId="169" fontId="14522" fillId="14527" borderId="14474" xfId="0" applyNumberFormat="1" applyFont="1" applyFill="1" applyBorder="1"/>
    <xf numFmtId="168" fontId="14523" fillId="14528" borderId="14475" xfId="0" applyNumberFormat="1" applyFont="1" applyFill="1" applyBorder="1"/>
    <xf numFmtId="165" fontId="14524" fillId="14529" borderId="14476" xfId="0" applyNumberFormat="1" applyFont="1" applyFill="1" applyBorder="1"/>
    <xf numFmtId="0" fontId="14525" fillId="14530" borderId="14477" xfId="0" applyFont="1" applyFill="1" applyBorder="1" applyAlignment="1">
      <alignment horizontal="center"/>
    </xf>
    <xf numFmtId="0" fontId="14526" fillId="14531" borderId="14478" xfId="0" applyFont="1" applyFill="1" applyBorder="1" applyAlignment="1">
      <alignment horizontal="center"/>
    </xf>
    <xf numFmtId="0" fontId="14527" fillId="14532" borderId="14479" xfId="0" applyFont="1" applyFill="1" applyBorder="1"/>
    <xf numFmtId="165" fontId="14528" fillId="14533" borderId="14480" xfId="0" applyNumberFormat="1" applyFont="1" applyFill="1" applyBorder="1"/>
    <xf numFmtId="0" fontId="14529" fillId="14534" borderId="14481" xfId="0" applyFont="1" applyFill="1" applyBorder="1"/>
    <xf numFmtId="0" fontId="14530" fillId="14535" borderId="14482" xfId="0" applyFont="1" applyFill="1" applyBorder="1" applyAlignment="1">
      <alignment horizontal="center"/>
    </xf>
    <xf numFmtId="14" fontId="14531" fillId="14536" borderId="14483" xfId="0" applyNumberFormat="1" applyFont="1" applyFill="1" applyBorder="1"/>
    <xf numFmtId="0" fontId="14532" fillId="14537" borderId="14484" xfId="0" applyFont="1" applyFill="1" applyBorder="1" applyAlignment="1">
      <alignment horizontal="center"/>
    </xf>
    <xf numFmtId="0" fontId="14533" fillId="14538" borderId="14485" xfId="0" applyFont="1" applyFill="1" applyBorder="1"/>
    <xf numFmtId="0" fontId="14534" fillId="14539" borderId="14486" xfId="0" applyFont="1" applyFill="1" applyBorder="1"/>
    <xf numFmtId="165" fontId="14535" fillId="14540" borderId="14487" xfId="0" applyNumberFormat="1" applyFont="1" applyFill="1" applyBorder="1"/>
    <xf numFmtId="165" fontId="14536" fillId="14541" borderId="14488" xfId="0" applyNumberFormat="1" applyFont="1" applyFill="1" applyBorder="1"/>
    <xf numFmtId="169" fontId="14537" fillId="14542" borderId="14489" xfId="0" applyNumberFormat="1" applyFont="1" applyFill="1" applyBorder="1"/>
    <xf numFmtId="168" fontId="14538" fillId="14543" borderId="14490" xfId="0" applyNumberFormat="1" applyFont="1" applyFill="1" applyBorder="1"/>
    <xf numFmtId="165" fontId="14539" fillId="14544" borderId="14491" xfId="0" applyNumberFormat="1" applyFont="1" applyFill="1" applyBorder="1"/>
    <xf numFmtId="0" fontId="14540" fillId="14545" borderId="14492" xfId="0" applyFont="1" applyFill="1" applyBorder="1" applyAlignment="1">
      <alignment horizontal="center"/>
    </xf>
    <xf numFmtId="0" fontId="14541" fillId="14546" borderId="14493" xfId="0" applyFont="1" applyFill="1" applyBorder="1" applyAlignment="1">
      <alignment horizontal="center"/>
    </xf>
    <xf numFmtId="0" fontId="14542" fillId="14547" borderId="14494" xfId="0" applyFont="1" applyFill="1" applyBorder="1"/>
    <xf numFmtId="165" fontId="14543" fillId="14548" borderId="14495" xfId="0" applyNumberFormat="1" applyFont="1" applyFill="1" applyBorder="1"/>
    <xf numFmtId="0" fontId="14544" fillId="14549" borderId="14496" xfId="0" applyFont="1" applyFill="1" applyBorder="1"/>
    <xf numFmtId="0" fontId="14545" fillId="14550" borderId="14497" xfId="0" applyFont="1" applyFill="1" applyBorder="1" applyAlignment="1">
      <alignment horizontal="center"/>
    </xf>
    <xf numFmtId="14" fontId="14546" fillId="14551" borderId="14498" xfId="0" applyNumberFormat="1" applyFont="1" applyFill="1" applyBorder="1"/>
    <xf numFmtId="0" fontId="14547" fillId="14552" borderId="14499" xfId="0" applyFont="1" applyFill="1" applyBorder="1" applyAlignment="1">
      <alignment horizontal="center"/>
    </xf>
    <xf numFmtId="0" fontId="14548" fillId="14553" borderId="14500" xfId="0" applyFont="1" applyFill="1" applyBorder="1"/>
    <xf numFmtId="0" fontId="14549" fillId="14554" borderId="14501" xfId="0" applyFont="1" applyFill="1" applyBorder="1"/>
    <xf numFmtId="165" fontId="14550" fillId="14555" borderId="14502" xfId="0" applyNumberFormat="1" applyFont="1" applyFill="1" applyBorder="1"/>
    <xf numFmtId="165" fontId="14551" fillId="14556" borderId="14503" xfId="0" applyNumberFormat="1" applyFont="1" applyFill="1" applyBorder="1"/>
    <xf numFmtId="169" fontId="14552" fillId="14557" borderId="14504" xfId="0" applyNumberFormat="1" applyFont="1" applyFill="1" applyBorder="1"/>
    <xf numFmtId="168" fontId="14553" fillId="14558" borderId="14505" xfId="0" applyNumberFormat="1" applyFont="1" applyFill="1" applyBorder="1"/>
    <xf numFmtId="165" fontId="14554" fillId="14559" borderId="14506" xfId="0" applyNumberFormat="1" applyFont="1" applyFill="1" applyBorder="1"/>
    <xf numFmtId="0" fontId="14555" fillId="14560" borderId="14507" xfId="0" applyFont="1" applyFill="1" applyBorder="1" applyAlignment="1">
      <alignment horizontal="center"/>
    </xf>
    <xf numFmtId="0" fontId="14556" fillId="14561" borderId="14508" xfId="0" applyFont="1" applyFill="1" applyBorder="1" applyAlignment="1">
      <alignment horizontal="center"/>
    </xf>
    <xf numFmtId="0" fontId="14557" fillId="14562" borderId="14509" xfId="0" applyFont="1" applyFill="1" applyBorder="1"/>
    <xf numFmtId="165" fontId="14558" fillId="14563" borderId="14510" xfId="0" applyNumberFormat="1" applyFont="1" applyFill="1" applyBorder="1"/>
    <xf numFmtId="0" fontId="14559" fillId="14564" borderId="14511" xfId="0" applyFont="1" applyFill="1" applyBorder="1"/>
    <xf numFmtId="0" fontId="14560" fillId="14565" borderId="14512" xfId="0" applyFont="1" applyFill="1" applyBorder="1" applyAlignment="1">
      <alignment horizontal="center"/>
    </xf>
    <xf numFmtId="14" fontId="14561" fillId="14566" borderId="14513" xfId="0" applyNumberFormat="1" applyFont="1" applyFill="1" applyBorder="1"/>
    <xf numFmtId="0" fontId="14562" fillId="14567" borderId="14514" xfId="0" applyFont="1" applyFill="1" applyBorder="1" applyAlignment="1">
      <alignment horizontal="center"/>
    </xf>
    <xf numFmtId="0" fontId="14563" fillId="14568" borderId="14515" xfId="0" applyFont="1" applyFill="1" applyBorder="1"/>
    <xf numFmtId="0" fontId="14564" fillId="14569" borderId="14516" xfId="0" applyFont="1" applyFill="1" applyBorder="1"/>
    <xf numFmtId="165" fontId="14565" fillId="14570" borderId="14517" xfId="0" applyNumberFormat="1" applyFont="1" applyFill="1" applyBorder="1"/>
    <xf numFmtId="165" fontId="14566" fillId="14571" borderId="14518" xfId="0" applyNumberFormat="1" applyFont="1" applyFill="1" applyBorder="1"/>
    <xf numFmtId="169" fontId="14567" fillId="14572" borderId="14519" xfId="0" applyNumberFormat="1" applyFont="1" applyFill="1" applyBorder="1"/>
    <xf numFmtId="168" fontId="14568" fillId="14573" borderId="14520" xfId="0" applyNumberFormat="1" applyFont="1" applyFill="1" applyBorder="1"/>
    <xf numFmtId="165" fontId="14569" fillId="14574" borderId="14521" xfId="0" applyNumberFormat="1" applyFont="1" applyFill="1" applyBorder="1"/>
    <xf numFmtId="0" fontId="14570" fillId="14575" borderId="14522" xfId="0" applyFont="1" applyFill="1" applyBorder="1" applyAlignment="1">
      <alignment horizontal="center"/>
    </xf>
    <xf numFmtId="0" fontId="14571" fillId="14576" borderId="14523" xfId="0" applyFont="1" applyFill="1" applyBorder="1" applyAlignment="1">
      <alignment horizontal="center"/>
    </xf>
    <xf numFmtId="0" fontId="14572" fillId="14577" borderId="14524" xfId="0" applyFont="1" applyFill="1" applyBorder="1"/>
    <xf numFmtId="165" fontId="14573" fillId="14578" borderId="14525" xfId="0" applyNumberFormat="1" applyFont="1" applyFill="1" applyBorder="1"/>
    <xf numFmtId="0" fontId="14574" fillId="14579" borderId="14526" xfId="0" applyFont="1" applyFill="1" applyBorder="1"/>
    <xf numFmtId="0" fontId="14575" fillId="14580" borderId="14527" xfId="0" applyFont="1" applyFill="1" applyBorder="1" applyAlignment="1">
      <alignment horizontal="center"/>
    </xf>
    <xf numFmtId="14" fontId="14576" fillId="14581" borderId="14528" xfId="0" applyNumberFormat="1" applyFont="1" applyFill="1" applyBorder="1"/>
    <xf numFmtId="0" fontId="14577" fillId="14582" borderId="14529" xfId="0" applyFont="1" applyFill="1" applyBorder="1" applyAlignment="1">
      <alignment horizontal="center"/>
    </xf>
    <xf numFmtId="0" fontId="14578" fillId="14583" borderId="14530" xfId="0" applyFont="1" applyFill="1" applyBorder="1"/>
    <xf numFmtId="0" fontId="14579" fillId="14584" borderId="14531" xfId="0" applyFont="1" applyFill="1" applyBorder="1"/>
    <xf numFmtId="165" fontId="14580" fillId="14585" borderId="14532" xfId="0" applyNumberFormat="1" applyFont="1" applyFill="1" applyBorder="1"/>
    <xf numFmtId="165" fontId="14581" fillId="14586" borderId="14533" xfId="0" applyNumberFormat="1" applyFont="1" applyFill="1" applyBorder="1"/>
    <xf numFmtId="169" fontId="14582" fillId="14587" borderId="14534" xfId="0" applyNumberFormat="1" applyFont="1" applyFill="1" applyBorder="1"/>
    <xf numFmtId="168" fontId="14583" fillId="14588" borderId="14535" xfId="0" applyNumberFormat="1" applyFont="1" applyFill="1" applyBorder="1"/>
    <xf numFmtId="165" fontId="14584" fillId="14589" borderId="14536" xfId="0" applyNumberFormat="1" applyFont="1" applyFill="1" applyBorder="1"/>
    <xf numFmtId="0" fontId="14585" fillId="14590" borderId="14537" xfId="0" applyFont="1" applyFill="1" applyBorder="1" applyAlignment="1">
      <alignment horizontal="center"/>
    </xf>
    <xf numFmtId="0" fontId="14586" fillId="14591" borderId="14538" xfId="0" applyFont="1" applyFill="1" applyBorder="1" applyAlignment="1">
      <alignment horizontal="center"/>
    </xf>
    <xf numFmtId="0" fontId="14587" fillId="14592" borderId="14539" xfId="0" applyFont="1" applyFill="1" applyBorder="1"/>
    <xf numFmtId="165" fontId="14588" fillId="14593" borderId="14540" xfId="0" applyNumberFormat="1" applyFont="1" applyFill="1" applyBorder="1"/>
    <xf numFmtId="0" fontId="14589" fillId="14594" borderId="14541" xfId="0" applyFont="1" applyFill="1" applyBorder="1"/>
    <xf numFmtId="0" fontId="14590" fillId="14595" borderId="14542" xfId="0" applyFont="1" applyFill="1" applyBorder="1" applyAlignment="1">
      <alignment horizontal="center"/>
    </xf>
    <xf numFmtId="14" fontId="14591" fillId="14596" borderId="14543" xfId="0" applyNumberFormat="1" applyFont="1" applyFill="1" applyBorder="1"/>
    <xf numFmtId="0" fontId="14592" fillId="14597" borderId="14544" xfId="0" applyFont="1" applyFill="1" applyBorder="1" applyAlignment="1">
      <alignment horizontal="center"/>
    </xf>
    <xf numFmtId="0" fontId="14593" fillId="14598" borderId="14545" xfId="0" applyFont="1" applyFill="1" applyBorder="1"/>
    <xf numFmtId="0" fontId="14594" fillId="14599" borderId="14546" xfId="0" applyFont="1" applyFill="1" applyBorder="1"/>
    <xf numFmtId="165" fontId="14595" fillId="14600" borderId="14547" xfId="0" applyNumberFormat="1" applyFont="1" applyFill="1" applyBorder="1"/>
    <xf numFmtId="165" fontId="14596" fillId="14601" borderId="14548" xfId="0" applyNumberFormat="1" applyFont="1" applyFill="1" applyBorder="1"/>
    <xf numFmtId="169" fontId="14597" fillId="14602" borderId="14549" xfId="0" applyNumberFormat="1" applyFont="1" applyFill="1" applyBorder="1"/>
    <xf numFmtId="168" fontId="14598" fillId="14603" borderId="14550" xfId="0" applyNumberFormat="1" applyFont="1" applyFill="1" applyBorder="1"/>
    <xf numFmtId="165" fontId="14599" fillId="14604" borderId="14551" xfId="0" applyNumberFormat="1" applyFont="1" applyFill="1" applyBorder="1"/>
    <xf numFmtId="0" fontId="14600" fillId="14605" borderId="14552" xfId="0" applyFont="1" applyFill="1" applyBorder="1" applyAlignment="1">
      <alignment horizontal="center"/>
    </xf>
    <xf numFmtId="0" fontId="14601" fillId="14606" borderId="14553" xfId="0" applyFont="1" applyFill="1" applyBorder="1" applyAlignment="1">
      <alignment horizontal="center"/>
    </xf>
    <xf numFmtId="0" fontId="14602" fillId="14607" borderId="14554" xfId="0" applyFont="1" applyFill="1" applyBorder="1"/>
    <xf numFmtId="165" fontId="14603" fillId="14608" borderId="14555" xfId="0" applyNumberFormat="1" applyFont="1" applyFill="1" applyBorder="1"/>
    <xf numFmtId="0" fontId="14604" fillId="14609" borderId="14556" xfId="0" applyFont="1" applyFill="1" applyBorder="1"/>
    <xf numFmtId="0" fontId="14605" fillId="14610" borderId="14557" xfId="0" applyFont="1" applyFill="1" applyBorder="1" applyAlignment="1">
      <alignment horizontal="center"/>
    </xf>
    <xf numFmtId="14" fontId="14606" fillId="14611" borderId="14558" xfId="0" applyNumberFormat="1" applyFont="1" applyFill="1" applyBorder="1"/>
    <xf numFmtId="0" fontId="14607" fillId="14612" borderId="14559" xfId="0" applyFont="1" applyFill="1" applyBorder="1" applyAlignment="1">
      <alignment horizontal="center"/>
    </xf>
    <xf numFmtId="0" fontId="14608" fillId="14613" borderId="14560" xfId="0" applyFont="1" applyFill="1" applyBorder="1"/>
    <xf numFmtId="0" fontId="14609" fillId="14614" borderId="14561" xfId="0" applyFont="1" applyFill="1" applyBorder="1"/>
    <xf numFmtId="165" fontId="14610" fillId="14615" borderId="14562" xfId="0" applyNumberFormat="1" applyFont="1" applyFill="1" applyBorder="1"/>
    <xf numFmtId="165" fontId="14611" fillId="14616" borderId="14563" xfId="0" applyNumberFormat="1" applyFont="1" applyFill="1" applyBorder="1"/>
    <xf numFmtId="169" fontId="14612" fillId="14617" borderId="14564" xfId="0" applyNumberFormat="1" applyFont="1" applyFill="1" applyBorder="1"/>
    <xf numFmtId="168" fontId="14613" fillId="14618" borderId="14565" xfId="0" applyNumberFormat="1" applyFont="1" applyFill="1" applyBorder="1"/>
    <xf numFmtId="165" fontId="14614" fillId="14619" borderId="14566" xfId="0" applyNumberFormat="1" applyFont="1" applyFill="1" applyBorder="1"/>
    <xf numFmtId="0" fontId="14615" fillId="14620" borderId="14567" xfId="0" applyFont="1" applyFill="1" applyBorder="1" applyAlignment="1">
      <alignment horizontal="center"/>
    </xf>
    <xf numFmtId="0" fontId="14616" fillId="14621" borderId="14568" xfId="0" applyFont="1" applyFill="1" applyBorder="1" applyAlignment="1">
      <alignment horizontal="center"/>
    </xf>
    <xf numFmtId="0" fontId="14617" fillId="14622" borderId="14569" xfId="0" applyFont="1" applyFill="1" applyBorder="1"/>
    <xf numFmtId="165" fontId="14618" fillId="14623" borderId="14570" xfId="0" applyNumberFormat="1" applyFont="1" applyFill="1" applyBorder="1"/>
    <xf numFmtId="0" fontId="14619" fillId="14624" borderId="14571" xfId="0" applyFont="1" applyFill="1" applyBorder="1"/>
    <xf numFmtId="0" fontId="14620" fillId="14625" borderId="14572" xfId="0" applyFont="1" applyFill="1" applyBorder="1" applyAlignment="1">
      <alignment horizontal="center"/>
    </xf>
    <xf numFmtId="14" fontId="14621" fillId="14626" borderId="14573" xfId="0" applyNumberFormat="1" applyFont="1" applyFill="1" applyBorder="1"/>
    <xf numFmtId="0" fontId="14622" fillId="14627" borderId="14574" xfId="0" applyFont="1" applyFill="1" applyBorder="1" applyAlignment="1">
      <alignment horizontal="center"/>
    </xf>
    <xf numFmtId="0" fontId="14623" fillId="14628" borderId="14575" xfId="0" applyFont="1" applyFill="1" applyBorder="1"/>
    <xf numFmtId="0" fontId="14624" fillId="14629" borderId="14576" xfId="0" applyFont="1" applyFill="1" applyBorder="1"/>
    <xf numFmtId="165" fontId="14625" fillId="14630" borderId="14577" xfId="0" applyNumberFormat="1" applyFont="1" applyFill="1" applyBorder="1"/>
    <xf numFmtId="165" fontId="14626" fillId="14631" borderId="14578" xfId="0" applyNumberFormat="1" applyFont="1" applyFill="1" applyBorder="1"/>
    <xf numFmtId="169" fontId="14627" fillId="14632" borderId="14579" xfId="0" applyNumberFormat="1" applyFont="1" applyFill="1" applyBorder="1"/>
    <xf numFmtId="168" fontId="14628" fillId="14633" borderId="14580" xfId="0" applyNumberFormat="1" applyFont="1" applyFill="1" applyBorder="1"/>
    <xf numFmtId="165" fontId="14629" fillId="14634" borderId="14581" xfId="0" applyNumberFormat="1" applyFont="1" applyFill="1" applyBorder="1"/>
    <xf numFmtId="0" fontId="14630" fillId="14635" borderId="14582" xfId="0" applyFont="1" applyFill="1" applyBorder="1" applyAlignment="1">
      <alignment horizontal="center"/>
    </xf>
    <xf numFmtId="0" fontId="14631" fillId="14636" borderId="14583" xfId="0" applyFont="1" applyFill="1" applyBorder="1" applyAlignment="1">
      <alignment horizontal="center"/>
    </xf>
    <xf numFmtId="0" fontId="14632" fillId="14637" borderId="14584" xfId="0" applyFont="1" applyFill="1" applyBorder="1"/>
    <xf numFmtId="165" fontId="14633" fillId="14638" borderId="14585" xfId="0" applyNumberFormat="1" applyFont="1" applyFill="1" applyBorder="1"/>
    <xf numFmtId="0" fontId="14634" fillId="14639" borderId="14586" xfId="0" applyFont="1" applyFill="1" applyBorder="1"/>
    <xf numFmtId="0" fontId="14635" fillId="14640" borderId="14587" xfId="0" applyFont="1" applyFill="1" applyBorder="1" applyAlignment="1">
      <alignment horizontal="center"/>
    </xf>
    <xf numFmtId="14" fontId="14636" fillId="14641" borderId="14588" xfId="0" applyNumberFormat="1" applyFont="1" applyFill="1" applyBorder="1"/>
    <xf numFmtId="0" fontId="14637" fillId="14642" borderId="14589" xfId="0" applyFont="1" applyFill="1" applyBorder="1" applyAlignment="1">
      <alignment horizontal="center"/>
    </xf>
    <xf numFmtId="0" fontId="14638" fillId="14643" borderId="14590" xfId="0" applyFont="1" applyFill="1" applyBorder="1"/>
    <xf numFmtId="0" fontId="14639" fillId="14644" borderId="14591" xfId="0" applyFont="1" applyFill="1" applyBorder="1"/>
    <xf numFmtId="165" fontId="14640" fillId="14645" borderId="14592" xfId="0" applyNumberFormat="1" applyFont="1" applyFill="1" applyBorder="1"/>
    <xf numFmtId="165" fontId="14641" fillId="14646" borderId="14593" xfId="0" applyNumberFormat="1" applyFont="1" applyFill="1" applyBorder="1"/>
    <xf numFmtId="169" fontId="14642" fillId="14647" borderId="14594" xfId="0" applyNumberFormat="1" applyFont="1" applyFill="1" applyBorder="1"/>
    <xf numFmtId="168" fontId="14643" fillId="14648" borderId="14595" xfId="0" applyNumberFormat="1" applyFont="1" applyFill="1" applyBorder="1"/>
    <xf numFmtId="165" fontId="14644" fillId="14649" borderId="14596" xfId="0" applyNumberFormat="1" applyFont="1" applyFill="1" applyBorder="1"/>
    <xf numFmtId="0" fontId="14645" fillId="14650" borderId="14597" xfId="0" applyFont="1" applyFill="1" applyBorder="1" applyAlignment="1">
      <alignment horizontal="center"/>
    </xf>
    <xf numFmtId="0" fontId="14646" fillId="14651" borderId="14598" xfId="0" applyFont="1" applyFill="1" applyBorder="1" applyAlignment="1">
      <alignment horizontal="center"/>
    </xf>
    <xf numFmtId="0" fontId="14647" fillId="14652" borderId="14599" xfId="0" applyFont="1" applyFill="1" applyBorder="1"/>
    <xf numFmtId="165" fontId="14648" fillId="14653" borderId="14600" xfId="0" applyNumberFormat="1" applyFont="1" applyFill="1" applyBorder="1"/>
    <xf numFmtId="0" fontId="14649" fillId="14654" borderId="14601" xfId="0" applyFont="1" applyFill="1" applyBorder="1"/>
    <xf numFmtId="0" fontId="14650" fillId="14655" borderId="14602" xfId="0" applyFont="1" applyFill="1" applyBorder="1" applyAlignment="1">
      <alignment horizontal="center"/>
    </xf>
    <xf numFmtId="14" fontId="14651" fillId="14656" borderId="14603" xfId="0" applyNumberFormat="1" applyFont="1" applyFill="1" applyBorder="1"/>
    <xf numFmtId="0" fontId="14652" fillId="14657" borderId="14604" xfId="0" applyFont="1" applyFill="1" applyBorder="1" applyAlignment="1">
      <alignment horizontal="center"/>
    </xf>
    <xf numFmtId="0" fontId="14653" fillId="14658" borderId="14605" xfId="0" applyFont="1" applyFill="1" applyBorder="1"/>
    <xf numFmtId="0" fontId="14654" fillId="14659" borderId="14606" xfId="0" applyFont="1" applyFill="1" applyBorder="1"/>
    <xf numFmtId="165" fontId="14655" fillId="14660" borderId="14607" xfId="0" applyNumberFormat="1" applyFont="1" applyFill="1" applyBorder="1"/>
    <xf numFmtId="165" fontId="14656" fillId="14661" borderId="14608" xfId="0" applyNumberFormat="1" applyFont="1" applyFill="1" applyBorder="1"/>
    <xf numFmtId="169" fontId="14657" fillId="14662" borderId="14609" xfId="0" applyNumberFormat="1" applyFont="1" applyFill="1" applyBorder="1"/>
    <xf numFmtId="168" fontId="14658" fillId="14663" borderId="14610" xfId="0" applyNumberFormat="1" applyFont="1" applyFill="1" applyBorder="1"/>
    <xf numFmtId="165" fontId="14659" fillId="14664" borderId="14611" xfId="0" applyNumberFormat="1" applyFont="1" applyFill="1" applyBorder="1"/>
    <xf numFmtId="0" fontId="14660" fillId="14665" borderId="14612" xfId="0" applyFont="1" applyFill="1" applyBorder="1" applyAlignment="1">
      <alignment horizontal="center"/>
    </xf>
    <xf numFmtId="0" fontId="14661" fillId="14666" borderId="14613" xfId="0" applyFont="1" applyFill="1" applyBorder="1" applyAlignment="1">
      <alignment horizontal="center"/>
    </xf>
    <xf numFmtId="0" fontId="14662" fillId="14667" borderId="14614" xfId="0" applyFont="1" applyFill="1" applyBorder="1"/>
    <xf numFmtId="165" fontId="14663" fillId="14668" borderId="14615" xfId="0" applyNumberFormat="1" applyFont="1" applyFill="1" applyBorder="1"/>
    <xf numFmtId="0" fontId="14664" fillId="14669" borderId="14616" xfId="0" applyFont="1" applyFill="1" applyBorder="1"/>
    <xf numFmtId="0" fontId="14665" fillId="14670" borderId="14617" xfId="0" applyFont="1" applyFill="1" applyBorder="1" applyAlignment="1">
      <alignment horizontal="center"/>
    </xf>
    <xf numFmtId="14" fontId="14666" fillId="14671" borderId="14618" xfId="0" applyNumberFormat="1" applyFont="1" applyFill="1" applyBorder="1"/>
    <xf numFmtId="0" fontId="14667" fillId="14672" borderId="14619" xfId="0" applyFont="1" applyFill="1" applyBorder="1" applyAlignment="1">
      <alignment horizontal="center"/>
    </xf>
    <xf numFmtId="0" fontId="14668" fillId="14673" borderId="14620" xfId="0" applyFont="1" applyFill="1" applyBorder="1"/>
    <xf numFmtId="0" fontId="14669" fillId="14674" borderId="14621" xfId="0" applyFont="1" applyFill="1" applyBorder="1"/>
    <xf numFmtId="165" fontId="14670" fillId="14675" borderId="14622" xfId="0" applyNumberFormat="1" applyFont="1" applyFill="1" applyBorder="1"/>
    <xf numFmtId="165" fontId="14671" fillId="14676" borderId="14623" xfId="0" applyNumberFormat="1" applyFont="1" applyFill="1" applyBorder="1"/>
    <xf numFmtId="169" fontId="14672" fillId="14677" borderId="14624" xfId="0" applyNumberFormat="1" applyFont="1" applyFill="1" applyBorder="1"/>
    <xf numFmtId="168" fontId="14673" fillId="14678" borderId="14625" xfId="0" applyNumberFormat="1" applyFont="1" applyFill="1" applyBorder="1"/>
    <xf numFmtId="165" fontId="14674" fillId="14679" borderId="14626" xfId="0" applyNumberFormat="1" applyFont="1" applyFill="1" applyBorder="1"/>
    <xf numFmtId="0" fontId="14675" fillId="14680" borderId="14627" xfId="0" applyFont="1" applyFill="1" applyBorder="1" applyAlignment="1">
      <alignment horizontal="center"/>
    </xf>
    <xf numFmtId="0" fontId="14676" fillId="14681" borderId="14628" xfId="0" applyFont="1" applyFill="1" applyBorder="1" applyAlignment="1">
      <alignment horizontal="center"/>
    </xf>
    <xf numFmtId="0" fontId="14677" fillId="14682" borderId="14629" xfId="0" applyFont="1" applyFill="1" applyBorder="1"/>
    <xf numFmtId="165" fontId="14678" fillId="14683" borderId="14630" xfId="0" applyNumberFormat="1" applyFont="1" applyFill="1" applyBorder="1"/>
    <xf numFmtId="0" fontId="14679" fillId="14684" borderId="14631" xfId="0" applyFont="1" applyFill="1" applyBorder="1"/>
    <xf numFmtId="0" fontId="14680" fillId="14685" borderId="14632" xfId="0" applyFont="1" applyFill="1" applyBorder="1" applyAlignment="1">
      <alignment horizontal="center"/>
    </xf>
    <xf numFmtId="14" fontId="14681" fillId="14686" borderId="14633" xfId="0" applyNumberFormat="1" applyFont="1" applyFill="1" applyBorder="1"/>
    <xf numFmtId="0" fontId="14682" fillId="14687" borderId="14634" xfId="0" applyFont="1" applyFill="1" applyBorder="1" applyAlignment="1">
      <alignment horizontal="center"/>
    </xf>
    <xf numFmtId="0" fontId="14683" fillId="14688" borderId="14635" xfId="0" applyFont="1" applyFill="1" applyBorder="1"/>
    <xf numFmtId="0" fontId="14684" fillId="14689" borderId="14636" xfId="0" applyFont="1" applyFill="1" applyBorder="1"/>
    <xf numFmtId="165" fontId="14685" fillId="14690" borderId="14637" xfId="0" applyNumberFormat="1" applyFont="1" applyFill="1" applyBorder="1"/>
    <xf numFmtId="165" fontId="14686" fillId="14691" borderId="14638" xfId="0" applyNumberFormat="1" applyFont="1" applyFill="1" applyBorder="1"/>
    <xf numFmtId="169" fontId="14687" fillId="14692" borderId="14639" xfId="0" applyNumberFormat="1" applyFont="1" applyFill="1" applyBorder="1"/>
    <xf numFmtId="168" fontId="14688" fillId="14693" borderId="14640" xfId="0" applyNumberFormat="1" applyFont="1" applyFill="1" applyBorder="1"/>
    <xf numFmtId="165" fontId="14689" fillId="14694" borderId="14641" xfId="0" applyNumberFormat="1" applyFont="1" applyFill="1" applyBorder="1"/>
    <xf numFmtId="0" fontId="14690" fillId="14695" borderId="14642" xfId="0" applyFont="1" applyFill="1" applyBorder="1" applyAlignment="1">
      <alignment horizontal="center"/>
    </xf>
    <xf numFmtId="0" fontId="14691" fillId="14696" borderId="14643" xfId="0" applyFont="1" applyFill="1" applyBorder="1" applyAlignment="1">
      <alignment horizontal="center"/>
    </xf>
    <xf numFmtId="0" fontId="14692" fillId="14697" borderId="14644" xfId="0" applyFont="1" applyFill="1" applyBorder="1"/>
    <xf numFmtId="165" fontId="14693" fillId="14698" borderId="14645" xfId="0" applyNumberFormat="1" applyFont="1" applyFill="1" applyBorder="1"/>
    <xf numFmtId="0" fontId="14694" fillId="14699" borderId="14646" xfId="0" applyFont="1" applyFill="1" applyBorder="1"/>
    <xf numFmtId="0" fontId="14695" fillId="14700" borderId="14647" xfId="0" applyFont="1" applyFill="1" applyBorder="1" applyAlignment="1">
      <alignment horizontal="center"/>
    </xf>
    <xf numFmtId="14" fontId="14696" fillId="14701" borderId="14648" xfId="0" applyNumberFormat="1" applyFont="1" applyFill="1" applyBorder="1"/>
    <xf numFmtId="0" fontId="14697" fillId="14702" borderId="14649" xfId="0" applyFont="1" applyFill="1" applyBorder="1" applyAlignment="1">
      <alignment horizontal="center"/>
    </xf>
    <xf numFmtId="0" fontId="14698" fillId="14703" borderId="14650" xfId="0" applyFont="1" applyFill="1" applyBorder="1"/>
    <xf numFmtId="0" fontId="14699" fillId="14704" borderId="14651" xfId="0" applyFont="1" applyFill="1" applyBorder="1"/>
    <xf numFmtId="165" fontId="14700" fillId="14705" borderId="14652" xfId="0" applyNumberFormat="1" applyFont="1" applyFill="1" applyBorder="1"/>
    <xf numFmtId="165" fontId="14701" fillId="14706" borderId="14653" xfId="0" applyNumberFormat="1" applyFont="1" applyFill="1" applyBorder="1"/>
    <xf numFmtId="169" fontId="14702" fillId="14707" borderId="14654" xfId="0" applyNumberFormat="1" applyFont="1" applyFill="1" applyBorder="1"/>
    <xf numFmtId="168" fontId="14703" fillId="14708" borderId="14655" xfId="0" applyNumberFormat="1" applyFont="1" applyFill="1" applyBorder="1"/>
    <xf numFmtId="165" fontId="14704" fillId="14709" borderId="14656" xfId="0" applyNumberFormat="1" applyFont="1" applyFill="1" applyBorder="1"/>
    <xf numFmtId="0" fontId="14705" fillId="14710" borderId="14657" xfId="0" applyFont="1" applyFill="1" applyBorder="1" applyAlignment="1">
      <alignment horizontal="center"/>
    </xf>
    <xf numFmtId="0" fontId="14706" fillId="14711" borderId="14658" xfId="0" applyFont="1" applyFill="1" applyBorder="1" applyAlignment="1">
      <alignment horizontal="center"/>
    </xf>
    <xf numFmtId="0" fontId="14707" fillId="14712" borderId="14659" xfId="0" applyFont="1" applyFill="1" applyBorder="1"/>
    <xf numFmtId="165" fontId="14708" fillId="14713" borderId="14660" xfId="0" applyNumberFormat="1" applyFont="1" applyFill="1" applyBorder="1"/>
    <xf numFmtId="0" fontId="14709" fillId="14714" borderId="14661" xfId="0" applyFont="1" applyFill="1" applyBorder="1"/>
    <xf numFmtId="0" fontId="14710" fillId="14715" borderId="14662" xfId="0" applyFont="1" applyFill="1" applyBorder="1" applyAlignment="1">
      <alignment horizontal="center"/>
    </xf>
    <xf numFmtId="14" fontId="14711" fillId="14716" borderId="14663" xfId="0" applyNumberFormat="1" applyFont="1" applyFill="1" applyBorder="1"/>
    <xf numFmtId="0" fontId="14712" fillId="14717" borderId="14664" xfId="0" applyFont="1" applyFill="1" applyBorder="1" applyAlignment="1">
      <alignment horizontal="center"/>
    </xf>
    <xf numFmtId="0" fontId="14713" fillId="14718" borderId="14665" xfId="0" applyFont="1" applyFill="1" applyBorder="1"/>
    <xf numFmtId="0" fontId="14714" fillId="14719" borderId="14666" xfId="0" applyFont="1" applyFill="1" applyBorder="1"/>
    <xf numFmtId="165" fontId="14715" fillId="14720" borderId="14667" xfId="0" applyNumberFormat="1" applyFont="1" applyFill="1" applyBorder="1"/>
    <xf numFmtId="165" fontId="14716" fillId="14721" borderId="14668" xfId="0" applyNumberFormat="1" applyFont="1" applyFill="1" applyBorder="1"/>
    <xf numFmtId="169" fontId="14717" fillId="14722" borderId="14669" xfId="0" applyNumberFormat="1" applyFont="1" applyFill="1" applyBorder="1"/>
    <xf numFmtId="168" fontId="14718" fillId="14723" borderId="14670" xfId="0" applyNumberFormat="1" applyFont="1" applyFill="1" applyBorder="1"/>
    <xf numFmtId="165" fontId="14719" fillId="14724" borderId="14671" xfId="0" applyNumberFormat="1" applyFont="1" applyFill="1" applyBorder="1"/>
    <xf numFmtId="0" fontId="14720" fillId="14725" borderId="14672" xfId="0" applyFont="1" applyFill="1" applyBorder="1" applyAlignment="1">
      <alignment horizontal="center"/>
    </xf>
    <xf numFmtId="0" fontId="14721" fillId="14726" borderId="14673" xfId="0" applyFont="1" applyFill="1" applyBorder="1" applyAlignment="1">
      <alignment horizontal="center"/>
    </xf>
    <xf numFmtId="0" fontId="14722" fillId="14727" borderId="14674" xfId="0" applyFont="1" applyFill="1" applyBorder="1"/>
    <xf numFmtId="165" fontId="14723" fillId="14728" borderId="14675" xfId="0" applyNumberFormat="1" applyFont="1" applyFill="1" applyBorder="1"/>
    <xf numFmtId="0" fontId="14724" fillId="14729" borderId="14676" xfId="0" applyFont="1" applyFill="1" applyBorder="1"/>
    <xf numFmtId="0" fontId="14725" fillId="14730" borderId="14677" xfId="0" applyFont="1" applyFill="1" applyBorder="1" applyAlignment="1">
      <alignment horizontal="center"/>
    </xf>
    <xf numFmtId="14" fontId="14726" fillId="14731" borderId="14678" xfId="0" applyNumberFormat="1" applyFont="1" applyFill="1" applyBorder="1"/>
    <xf numFmtId="0" fontId="14727" fillId="14732" borderId="14679" xfId="0" applyFont="1" applyFill="1" applyBorder="1" applyAlignment="1">
      <alignment horizontal="center"/>
    </xf>
    <xf numFmtId="0" fontId="14728" fillId="14733" borderId="14680" xfId="0" applyFont="1" applyFill="1" applyBorder="1"/>
    <xf numFmtId="0" fontId="14729" fillId="14734" borderId="14681" xfId="0" applyFont="1" applyFill="1" applyBorder="1"/>
    <xf numFmtId="165" fontId="14730" fillId="14735" borderId="14682" xfId="0" applyNumberFormat="1" applyFont="1" applyFill="1" applyBorder="1"/>
    <xf numFmtId="165" fontId="14731" fillId="14736" borderId="14683" xfId="0" applyNumberFormat="1" applyFont="1" applyFill="1" applyBorder="1"/>
    <xf numFmtId="169" fontId="14732" fillId="14737" borderId="14684" xfId="0" applyNumberFormat="1" applyFont="1" applyFill="1" applyBorder="1"/>
    <xf numFmtId="168" fontId="14733" fillId="14738" borderId="14685" xfId="0" applyNumberFormat="1" applyFont="1" applyFill="1" applyBorder="1"/>
    <xf numFmtId="165" fontId="14734" fillId="14739" borderId="14686" xfId="0" applyNumberFormat="1" applyFont="1" applyFill="1" applyBorder="1"/>
    <xf numFmtId="0" fontId="14735" fillId="14740" borderId="14687" xfId="0" applyFont="1" applyFill="1" applyBorder="1" applyAlignment="1">
      <alignment horizontal="center"/>
    </xf>
    <xf numFmtId="0" fontId="14736" fillId="14741" borderId="14688" xfId="0" applyFont="1" applyFill="1" applyBorder="1" applyAlignment="1">
      <alignment horizontal="center"/>
    </xf>
    <xf numFmtId="0" fontId="14737" fillId="14742" borderId="14689" xfId="0" applyFont="1" applyFill="1" applyBorder="1"/>
    <xf numFmtId="165" fontId="14738" fillId="14743" borderId="14690" xfId="0" applyNumberFormat="1" applyFont="1" applyFill="1" applyBorder="1"/>
    <xf numFmtId="0" fontId="14739" fillId="14744" borderId="14691" xfId="0" applyFont="1" applyFill="1" applyBorder="1"/>
    <xf numFmtId="0" fontId="14740" fillId="14745" borderId="14692" xfId="0" applyFont="1" applyFill="1" applyBorder="1" applyAlignment="1">
      <alignment horizontal="center"/>
    </xf>
    <xf numFmtId="14" fontId="14741" fillId="14746" borderId="14693" xfId="0" applyNumberFormat="1" applyFont="1" applyFill="1" applyBorder="1"/>
    <xf numFmtId="0" fontId="14742" fillId="14747" borderId="14694" xfId="0" applyFont="1" applyFill="1" applyBorder="1" applyAlignment="1">
      <alignment horizontal="center"/>
    </xf>
    <xf numFmtId="0" fontId="14743" fillId="14748" borderId="14695" xfId="0" applyFont="1" applyFill="1" applyBorder="1"/>
    <xf numFmtId="0" fontId="14744" fillId="14749" borderId="14696" xfId="0" applyFont="1" applyFill="1" applyBorder="1"/>
    <xf numFmtId="165" fontId="14745" fillId="14750" borderId="14697" xfId="0" applyNumberFormat="1" applyFont="1" applyFill="1" applyBorder="1"/>
    <xf numFmtId="165" fontId="14746" fillId="14751" borderId="14698" xfId="0" applyNumberFormat="1" applyFont="1" applyFill="1" applyBorder="1"/>
    <xf numFmtId="169" fontId="14747" fillId="14752" borderId="14699" xfId="0" applyNumberFormat="1" applyFont="1" applyFill="1" applyBorder="1"/>
    <xf numFmtId="168" fontId="14748" fillId="14753" borderId="14700" xfId="0" applyNumberFormat="1" applyFont="1" applyFill="1" applyBorder="1"/>
    <xf numFmtId="165" fontId="14749" fillId="14754" borderId="14701" xfId="0" applyNumberFormat="1" applyFont="1" applyFill="1" applyBorder="1"/>
    <xf numFmtId="0" fontId="14750" fillId="14755" borderId="14702" xfId="0" applyFont="1" applyFill="1" applyBorder="1" applyAlignment="1">
      <alignment horizontal="center"/>
    </xf>
    <xf numFmtId="0" fontId="14751" fillId="14756" borderId="14703" xfId="0" applyFont="1" applyFill="1" applyBorder="1" applyAlignment="1">
      <alignment horizontal="center"/>
    </xf>
    <xf numFmtId="0" fontId="14752" fillId="14757" borderId="14704" xfId="0" applyFont="1" applyFill="1" applyBorder="1"/>
    <xf numFmtId="165" fontId="14753" fillId="14758" borderId="14705" xfId="0" applyNumberFormat="1" applyFont="1" applyFill="1" applyBorder="1"/>
    <xf numFmtId="0" fontId="14754" fillId="14759" borderId="14706" xfId="0" applyFont="1" applyFill="1" applyBorder="1"/>
    <xf numFmtId="0" fontId="14755" fillId="14760" borderId="14707" xfId="0" applyFont="1" applyFill="1" applyBorder="1" applyAlignment="1">
      <alignment horizontal="center"/>
    </xf>
    <xf numFmtId="14" fontId="14756" fillId="14761" borderId="14708" xfId="0" applyNumberFormat="1" applyFont="1" applyFill="1" applyBorder="1"/>
    <xf numFmtId="0" fontId="14757" fillId="14762" borderId="14709" xfId="0" applyFont="1" applyFill="1" applyBorder="1" applyAlignment="1">
      <alignment horizontal="center"/>
    </xf>
    <xf numFmtId="0" fontId="14758" fillId="14763" borderId="14710" xfId="0" applyFont="1" applyFill="1" applyBorder="1"/>
    <xf numFmtId="0" fontId="14759" fillId="14764" borderId="14711" xfId="0" applyFont="1" applyFill="1" applyBorder="1"/>
    <xf numFmtId="165" fontId="14760" fillId="14765" borderId="14712" xfId="0" applyNumberFormat="1" applyFont="1" applyFill="1" applyBorder="1"/>
    <xf numFmtId="165" fontId="14761" fillId="14766" borderId="14713" xfId="0" applyNumberFormat="1" applyFont="1" applyFill="1" applyBorder="1"/>
    <xf numFmtId="169" fontId="14762" fillId="14767" borderId="14714" xfId="0" applyNumberFormat="1" applyFont="1" applyFill="1" applyBorder="1"/>
    <xf numFmtId="168" fontId="14763" fillId="14768" borderId="14715" xfId="0" applyNumberFormat="1" applyFont="1" applyFill="1" applyBorder="1"/>
    <xf numFmtId="165" fontId="14764" fillId="14769" borderId="14716" xfId="0" applyNumberFormat="1" applyFont="1" applyFill="1" applyBorder="1"/>
    <xf numFmtId="0" fontId="14765" fillId="14770" borderId="14717" xfId="0" applyFont="1" applyFill="1" applyBorder="1" applyAlignment="1">
      <alignment horizontal="center"/>
    </xf>
    <xf numFmtId="0" fontId="14766" fillId="14771" borderId="14718" xfId="0" applyFont="1" applyFill="1" applyBorder="1" applyAlignment="1">
      <alignment horizontal="center"/>
    </xf>
    <xf numFmtId="0" fontId="14767" fillId="14772" borderId="14719" xfId="0" applyFont="1" applyFill="1" applyBorder="1"/>
    <xf numFmtId="165" fontId="14768" fillId="14773" borderId="14720" xfId="0" applyNumberFormat="1" applyFont="1" applyFill="1" applyBorder="1"/>
    <xf numFmtId="0" fontId="14769" fillId="14774" borderId="14721" xfId="0" applyFont="1" applyFill="1" applyBorder="1"/>
    <xf numFmtId="0" fontId="14770" fillId="14775" borderId="14722" xfId="0" applyFont="1" applyFill="1" applyBorder="1" applyAlignment="1">
      <alignment horizontal="center"/>
    </xf>
    <xf numFmtId="14" fontId="14771" fillId="14776" borderId="14723" xfId="0" applyNumberFormat="1" applyFont="1" applyFill="1" applyBorder="1"/>
    <xf numFmtId="0" fontId="14772" fillId="14777" borderId="14724" xfId="0" applyFont="1" applyFill="1" applyBorder="1" applyAlignment="1">
      <alignment horizontal="center"/>
    </xf>
    <xf numFmtId="0" fontId="14773" fillId="14778" borderId="14725" xfId="0" applyFont="1" applyFill="1" applyBorder="1"/>
    <xf numFmtId="0" fontId="14774" fillId="14779" borderId="14726" xfId="0" applyFont="1" applyFill="1" applyBorder="1"/>
    <xf numFmtId="165" fontId="14775" fillId="14780" borderId="14727" xfId="0" applyNumberFormat="1" applyFont="1" applyFill="1" applyBorder="1"/>
    <xf numFmtId="165" fontId="14776" fillId="14781" borderId="14728" xfId="0" applyNumberFormat="1" applyFont="1" applyFill="1" applyBorder="1"/>
    <xf numFmtId="169" fontId="14777" fillId="14782" borderId="14729" xfId="0" applyNumberFormat="1" applyFont="1" applyFill="1" applyBorder="1"/>
    <xf numFmtId="168" fontId="14778" fillId="14783" borderId="14730" xfId="0" applyNumberFormat="1" applyFont="1" applyFill="1" applyBorder="1"/>
    <xf numFmtId="165" fontId="14779" fillId="14784" borderId="14731" xfId="0" applyNumberFormat="1" applyFont="1" applyFill="1" applyBorder="1"/>
    <xf numFmtId="0" fontId="14780" fillId="14785" borderId="14732" xfId="0" applyFont="1" applyFill="1" applyBorder="1" applyAlignment="1">
      <alignment horizontal="center"/>
    </xf>
    <xf numFmtId="0" fontId="14781" fillId="14786" borderId="14733" xfId="0" applyFont="1" applyFill="1" applyBorder="1" applyAlignment="1">
      <alignment horizontal="center"/>
    </xf>
    <xf numFmtId="0" fontId="14782" fillId="14787" borderId="14734" xfId="0" applyFont="1" applyFill="1" applyBorder="1"/>
    <xf numFmtId="165" fontId="14783" fillId="14788" borderId="14735" xfId="0" applyNumberFormat="1" applyFont="1" applyFill="1" applyBorder="1"/>
    <xf numFmtId="0" fontId="14784" fillId="14789" borderId="14736" xfId="0" applyFont="1" applyFill="1" applyBorder="1"/>
    <xf numFmtId="0" fontId="14785" fillId="14790" borderId="14737" xfId="0" applyFont="1" applyFill="1" applyBorder="1" applyAlignment="1">
      <alignment horizontal="center"/>
    </xf>
    <xf numFmtId="14" fontId="14786" fillId="14791" borderId="14738" xfId="0" applyNumberFormat="1" applyFont="1" applyFill="1" applyBorder="1"/>
    <xf numFmtId="0" fontId="14787" fillId="14792" borderId="14739" xfId="0" applyFont="1" applyFill="1" applyBorder="1" applyAlignment="1">
      <alignment horizontal="center"/>
    </xf>
    <xf numFmtId="0" fontId="14788" fillId="14793" borderId="14740" xfId="0" applyFont="1" applyFill="1" applyBorder="1"/>
    <xf numFmtId="0" fontId="14789" fillId="14794" borderId="14741" xfId="0" applyFont="1" applyFill="1" applyBorder="1"/>
    <xf numFmtId="165" fontId="14790" fillId="14795" borderId="14742" xfId="0" applyNumberFormat="1" applyFont="1" applyFill="1" applyBorder="1"/>
    <xf numFmtId="165" fontId="14791" fillId="14796" borderId="14743" xfId="0" applyNumberFormat="1" applyFont="1" applyFill="1" applyBorder="1"/>
    <xf numFmtId="169" fontId="14792" fillId="14797" borderId="14744" xfId="0" applyNumberFormat="1" applyFont="1" applyFill="1" applyBorder="1"/>
    <xf numFmtId="168" fontId="14793" fillId="14798" borderId="14745" xfId="0" applyNumberFormat="1" applyFont="1" applyFill="1" applyBorder="1"/>
    <xf numFmtId="165" fontId="14794" fillId="14799" borderId="14746" xfId="0" applyNumberFormat="1" applyFont="1" applyFill="1" applyBorder="1"/>
    <xf numFmtId="0" fontId="14795" fillId="14800" borderId="14747" xfId="0" applyFont="1" applyFill="1" applyBorder="1" applyAlignment="1">
      <alignment horizontal="center"/>
    </xf>
    <xf numFmtId="0" fontId="14796" fillId="14801" borderId="14748" xfId="0" applyFont="1" applyFill="1" applyBorder="1" applyAlignment="1">
      <alignment horizontal="center"/>
    </xf>
    <xf numFmtId="0" fontId="14797" fillId="14802" borderId="14749" xfId="0" applyFont="1" applyFill="1" applyBorder="1"/>
    <xf numFmtId="165" fontId="14798" fillId="14803" borderId="14750" xfId="0" applyNumberFormat="1" applyFont="1" applyFill="1" applyBorder="1"/>
    <xf numFmtId="0" fontId="14799" fillId="14804" borderId="14751" xfId="0" applyFont="1" applyFill="1" applyBorder="1"/>
    <xf numFmtId="0" fontId="14800" fillId="14805" borderId="14752" xfId="0" applyFont="1" applyFill="1" applyBorder="1" applyAlignment="1">
      <alignment horizontal="center"/>
    </xf>
    <xf numFmtId="14" fontId="14801" fillId="14806" borderId="14753" xfId="0" applyNumberFormat="1" applyFont="1" applyFill="1" applyBorder="1"/>
    <xf numFmtId="0" fontId="14802" fillId="14807" borderId="14754" xfId="0" applyFont="1" applyFill="1" applyBorder="1" applyAlignment="1">
      <alignment horizontal="center"/>
    </xf>
    <xf numFmtId="0" fontId="14803" fillId="14808" borderId="14755" xfId="0" applyFont="1" applyFill="1" applyBorder="1"/>
    <xf numFmtId="0" fontId="14804" fillId="14809" borderId="14756" xfId="0" applyFont="1" applyFill="1" applyBorder="1"/>
    <xf numFmtId="165" fontId="14805" fillId="14810" borderId="14757" xfId="0" applyNumberFormat="1" applyFont="1" applyFill="1" applyBorder="1"/>
    <xf numFmtId="165" fontId="14806" fillId="14811" borderId="14758" xfId="0" applyNumberFormat="1" applyFont="1" applyFill="1" applyBorder="1"/>
    <xf numFmtId="169" fontId="14807" fillId="14812" borderId="14759" xfId="0" applyNumberFormat="1" applyFont="1" applyFill="1" applyBorder="1"/>
    <xf numFmtId="168" fontId="14808" fillId="14813" borderId="14760" xfId="0" applyNumberFormat="1" applyFont="1" applyFill="1" applyBorder="1"/>
    <xf numFmtId="165" fontId="14809" fillId="14814" borderId="14761" xfId="0" applyNumberFormat="1" applyFont="1" applyFill="1" applyBorder="1"/>
    <xf numFmtId="0" fontId="14810" fillId="14815" borderId="14762" xfId="0" applyFont="1" applyFill="1" applyBorder="1" applyAlignment="1">
      <alignment horizontal="center"/>
    </xf>
    <xf numFmtId="0" fontId="14811" fillId="14816" borderId="14763" xfId="0" applyFont="1" applyFill="1" applyBorder="1" applyAlignment="1">
      <alignment horizontal="center"/>
    </xf>
    <xf numFmtId="0" fontId="14812" fillId="14817" borderId="14764" xfId="0" applyFont="1" applyFill="1" applyBorder="1"/>
    <xf numFmtId="165" fontId="14813" fillId="14818" borderId="14765" xfId="0" applyNumberFormat="1" applyFont="1" applyFill="1" applyBorder="1"/>
    <xf numFmtId="0" fontId="14814" fillId="14819" borderId="14766" xfId="0" applyFont="1" applyFill="1" applyBorder="1"/>
    <xf numFmtId="0" fontId="14815" fillId="14820" borderId="14767" xfId="0" applyFont="1" applyFill="1" applyBorder="1" applyAlignment="1">
      <alignment horizontal="center"/>
    </xf>
    <xf numFmtId="14" fontId="14816" fillId="14821" borderId="14768" xfId="0" applyNumberFormat="1" applyFont="1" applyFill="1" applyBorder="1"/>
    <xf numFmtId="0" fontId="14817" fillId="14822" borderId="14769" xfId="0" applyFont="1" applyFill="1" applyBorder="1" applyAlignment="1">
      <alignment horizontal="center"/>
    </xf>
    <xf numFmtId="0" fontId="14818" fillId="14823" borderId="14770" xfId="0" applyFont="1" applyFill="1" applyBorder="1"/>
    <xf numFmtId="0" fontId="14819" fillId="14824" borderId="14771" xfId="0" applyFont="1" applyFill="1" applyBorder="1"/>
    <xf numFmtId="165" fontId="14820" fillId="14825" borderId="14772" xfId="0" applyNumberFormat="1" applyFont="1" applyFill="1" applyBorder="1"/>
    <xf numFmtId="165" fontId="14821" fillId="14826" borderId="14773" xfId="0" applyNumberFormat="1" applyFont="1" applyFill="1" applyBorder="1"/>
    <xf numFmtId="169" fontId="14822" fillId="14827" borderId="14774" xfId="0" applyNumberFormat="1" applyFont="1" applyFill="1" applyBorder="1"/>
    <xf numFmtId="168" fontId="14823" fillId="14828" borderId="14775" xfId="0" applyNumberFormat="1" applyFont="1" applyFill="1" applyBorder="1"/>
    <xf numFmtId="165" fontId="14824" fillId="14829" borderId="14776" xfId="0" applyNumberFormat="1" applyFont="1" applyFill="1" applyBorder="1"/>
    <xf numFmtId="0" fontId="14825" fillId="14830" borderId="14777" xfId="0" applyFont="1" applyFill="1" applyBorder="1" applyAlignment="1">
      <alignment horizontal="center"/>
    </xf>
    <xf numFmtId="0" fontId="14826" fillId="14831" borderId="14778" xfId="0" applyFont="1" applyFill="1" applyBorder="1" applyAlignment="1">
      <alignment horizontal="center"/>
    </xf>
    <xf numFmtId="0" fontId="14827" fillId="14832" borderId="14779" xfId="0" applyFont="1" applyFill="1" applyBorder="1"/>
    <xf numFmtId="165" fontId="14828" fillId="14833" borderId="14780" xfId="0" applyNumberFormat="1" applyFont="1" applyFill="1" applyBorder="1"/>
    <xf numFmtId="0" fontId="14829" fillId="14834" borderId="14781" xfId="0" applyFont="1" applyFill="1" applyBorder="1"/>
    <xf numFmtId="0" fontId="14830" fillId="14835" borderId="14782" xfId="0" applyFont="1" applyFill="1" applyBorder="1" applyAlignment="1">
      <alignment horizontal="center"/>
    </xf>
    <xf numFmtId="14" fontId="14831" fillId="14836" borderId="14783" xfId="0" applyNumberFormat="1" applyFont="1" applyFill="1" applyBorder="1"/>
    <xf numFmtId="0" fontId="14832" fillId="14837" borderId="14784" xfId="0" applyFont="1" applyFill="1" applyBorder="1" applyAlignment="1">
      <alignment horizontal="center"/>
    </xf>
    <xf numFmtId="0" fontId="14833" fillId="14838" borderId="14785" xfId="0" applyFont="1" applyFill="1" applyBorder="1"/>
    <xf numFmtId="0" fontId="14834" fillId="14839" borderId="14786" xfId="0" applyFont="1" applyFill="1" applyBorder="1"/>
    <xf numFmtId="165" fontId="14835" fillId="14840" borderId="14787" xfId="0" applyNumberFormat="1" applyFont="1" applyFill="1" applyBorder="1"/>
    <xf numFmtId="165" fontId="14836" fillId="14841" borderId="14788" xfId="0" applyNumberFormat="1" applyFont="1" applyFill="1" applyBorder="1"/>
    <xf numFmtId="169" fontId="14837" fillId="14842" borderId="14789" xfId="0" applyNumberFormat="1" applyFont="1" applyFill="1" applyBorder="1"/>
    <xf numFmtId="168" fontId="14838" fillId="14843" borderId="14790" xfId="0" applyNumberFormat="1" applyFont="1" applyFill="1" applyBorder="1"/>
    <xf numFmtId="165" fontId="14839" fillId="14844" borderId="14791" xfId="0" applyNumberFormat="1" applyFont="1" applyFill="1" applyBorder="1"/>
    <xf numFmtId="0" fontId="14840" fillId="14845" borderId="14792" xfId="0" applyFont="1" applyFill="1" applyBorder="1" applyAlignment="1">
      <alignment horizontal="center"/>
    </xf>
    <xf numFmtId="0" fontId="14841" fillId="14846" borderId="14793" xfId="0" applyFont="1" applyFill="1" applyBorder="1" applyAlignment="1">
      <alignment horizontal="center"/>
    </xf>
    <xf numFmtId="0" fontId="14842" fillId="14847" borderId="14794" xfId="0" applyFont="1" applyFill="1" applyBorder="1"/>
    <xf numFmtId="165" fontId="14843" fillId="14848" borderId="14795" xfId="0" applyNumberFormat="1" applyFont="1" applyFill="1" applyBorder="1"/>
    <xf numFmtId="0" fontId="14844" fillId="14849" borderId="14796" xfId="0" applyFont="1" applyFill="1" applyBorder="1"/>
    <xf numFmtId="0" fontId="14845" fillId="14850" borderId="14797" xfId="0" applyFont="1" applyFill="1" applyBorder="1" applyAlignment="1">
      <alignment horizontal="center"/>
    </xf>
    <xf numFmtId="14" fontId="14846" fillId="14851" borderId="14798" xfId="0" applyNumberFormat="1" applyFont="1" applyFill="1" applyBorder="1"/>
    <xf numFmtId="0" fontId="14847" fillId="14852" borderId="14799" xfId="0" applyFont="1" applyFill="1" applyBorder="1" applyAlignment="1">
      <alignment horizontal="center"/>
    </xf>
    <xf numFmtId="0" fontId="14848" fillId="14853" borderId="14800" xfId="0" applyFont="1" applyFill="1" applyBorder="1"/>
    <xf numFmtId="0" fontId="14849" fillId="14854" borderId="14801" xfId="0" applyFont="1" applyFill="1" applyBorder="1"/>
    <xf numFmtId="165" fontId="14850" fillId="14855" borderId="14802" xfId="0" applyNumberFormat="1" applyFont="1" applyFill="1" applyBorder="1"/>
    <xf numFmtId="165" fontId="14851" fillId="14856" borderId="14803" xfId="0" applyNumberFormat="1" applyFont="1" applyFill="1" applyBorder="1"/>
    <xf numFmtId="169" fontId="14852" fillId="14857" borderId="14804" xfId="0" applyNumberFormat="1" applyFont="1" applyFill="1" applyBorder="1"/>
    <xf numFmtId="168" fontId="14853" fillId="14858" borderId="14805" xfId="0" applyNumberFormat="1" applyFont="1" applyFill="1" applyBorder="1"/>
    <xf numFmtId="165" fontId="14854" fillId="14859" borderId="14806" xfId="0" applyNumberFormat="1" applyFont="1" applyFill="1" applyBorder="1"/>
    <xf numFmtId="0" fontId="14855" fillId="14860" borderId="14807" xfId="0" applyFont="1" applyFill="1" applyBorder="1" applyAlignment="1">
      <alignment horizontal="center"/>
    </xf>
    <xf numFmtId="0" fontId="14856" fillId="14861" borderId="14808" xfId="0" applyFont="1" applyFill="1" applyBorder="1" applyAlignment="1">
      <alignment horizontal="center"/>
    </xf>
    <xf numFmtId="0" fontId="14857" fillId="14862" borderId="14809" xfId="0" applyFont="1" applyFill="1" applyBorder="1"/>
    <xf numFmtId="165" fontId="14858" fillId="14863" borderId="14810" xfId="0" applyNumberFormat="1" applyFont="1" applyFill="1" applyBorder="1"/>
    <xf numFmtId="0" fontId="14859" fillId="14864" borderId="14811" xfId="0" applyFont="1" applyFill="1" applyBorder="1"/>
    <xf numFmtId="0" fontId="14860" fillId="14865" borderId="14812" xfId="0" applyFont="1" applyFill="1" applyBorder="1" applyAlignment="1">
      <alignment horizontal="center"/>
    </xf>
    <xf numFmtId="14" fontId="14861" fillId="14866" borderId="14813" xfId="0" applyNumberFormat="1" applyFont="1" applyFill="1" applyBorder="1"/>
    <xf numFmtId="0" fontId="14862" fillId="14867" borderId="14814" xfId="0" applyFont="1" applyFill="1" applyBorder="1" applyAlignment="1">
      <alignment horizontal="center"/>
    </xf>
    <xf numFmtId="0" fontId="14863" fillId="14868" borderId="14815" xfId="0" applyFont="1" applyFill="1" applyBorder="1"/>
    <xf numFmtId="0" fontId="14864" fillId="14869" borderId="14816" xfId="0" applyFont="1" applyFill="1" applyBorder="1"/>
    <xf numFmtId="165" fontId="14865" fillId="14870" borderId="14817" xfId="0" applyNumberFormat="1" applyFont="1" applyFill="1" applyBorder="1"/>
    <xf numFmtId="165" fontId="14866" fillId="14871" borderId="14818" xfId="0" applyNumberFormat="1" applyFont="1" applyFill="1" applyBorder="1"/>
    <xf numFmtId="169" fontId="14867" fillId="14872" borderId="14819" xfId="0" applyNumberFormat="1" applyFont="1" applyFill="1" applyBorder="1"/>
    <xf numFmtId="168" fontId="14868" fillId="14873" borderId="14820" xfId="0" applyNumberFormat="1" applyFont="1" applyFill="1" applyBorder="1"/>
    <xf numFmtId="165" fontId="14869" fillId="14874" borderId="14821" xfId="0" applyNumberFormat="1" applyFont="1" applyFill="1" applyBorder="1"/>
    <xf numFmtId="0" fontId="14870" fillId="14875" borderId="14822" xfId="0" applyFont="1" applyFill="1" applyBorder="1" applyAlignment="1">
      <alignment horizontal="center"/>
    </xf>
    <xf numFmtId="0" fontId="14871" fillId="14876" borderId="14823" xfId="0" applyFont="1" applyFill="1" applyBorder="1" applyAlignment="1">
      <alignment horizontal="center"/>
    </xf>
    <xf numFmtId="0" fontId="14872" fillId="14877" borderId="14824" xfId="0" applyFont="1" applyFill="1" applyBorder="1"/>
    <xf numFmtId="165" fontId="14873" fillId="14878" borderId="14825" xfId="0" applyNumberFormat="1" applyFont="1" applyFill="1" applyBorder="1"/>
    <xf numFmtId="0" fontId="14874" fillId="14879" borderId="14826" xfId="0" applyFont="1" applyFill="1" applyBorder="1"/>
    <xf numFmtId="0" fontId="14875" fillId="14880" borderId="14827" xfId="0" applyFont="1" applyFill="1" applyBorder="1" applyAlignment="1">
      <alignment horizontal="center"/>
    </xf>
    <xf numFmtId="14" fontId="14876" fillId="14881" borderId="14828" xfId="0" applyNumberFormat="1" applyFont="1" applyFill="1" applyBorder="1"/>
    <xf numFmtId="0" fontId="14877" fillId="14882" borderId="14829" xfId="0" applyFont="1" applyFill="1" applyBorder="1" applyAlignment="1">
      <alignment horizontal="center"/>
    </xf>
    <xf numFmtId="0" fontId="14878" fillId="14883" borderId="14830" xfId="0" applyFont="1" applyFill="1" applyBorder="1"/>
    <xf numFmtId="0" fontId="14879" fillId="14884" borderId="14831" xfId="0" applyFont="1" applyFill="1" applyBorder="1"/>
    <xf numFmtId="165" fontId="14880" fillId="14885" borderId="14832" xfId="0" applyNumberFormat="1" applyFont="1" applyFill="1" applyBorder="1"/>
    <xf numFmtId="165" fontId="14881" fillId="14886" borderId="14833" xfId="0" applyNumberFormat="1" applyFont="1" applyFill="1" applyBorder="1"/>
    <xf numFmtId="169" fontId="14882" fillId="14887" borderId="14834" xfId="0" applyNumberFormat="1" applyFont="1" applyFill="1" applyBorder="1"/>
    <xf numFmtId="168" fontId="14883" fillId="14888" borderId="14835" xfId="0" applyNumberFormat="1" applyFont="1" applyFill="1" applyBorder="1"/>
    <xf numFmtId="165" fontId="14884" fillId="14889" borderId="14836" xfId="0" applyNumberFormat="1" applyFont="1" applyFill="1" applyBorder="1"/>
    <xf numFmtId="0" fontId="14885" fillId="14890" borderId="14837" xfId="0" applyFont="1" applyFill="1" applyBorder="1" applyAlignment="1">
      <alignment horizontal="center"/>
    </xf>
    <xf numFmtId="0" fontId="14886" fillId="14891" borderId="14838" xfId="0" applyFont="1" applyFill="1" applyBorder="1" applyAlignment="1">
      <alignment horizontal="center"/>
    </xf>
    <xf numFmtId="0" fontId="14887" fillId="14892" borderId="14839" xfId="0" applyFont="1" applyFill="1" applyBorder="1"/>
    <xf numFmtId="165" fontId="14888" fillId="14893" borderId="14840" xfId="0" applyNumberFormat="1" applyFont="1" applyFill="1" applyBorder="1"/>
    <xf numFmtId="0" fontId="14889" fillId="14894" borderId="14841" xfId="0" applyFont="1" applyFill="1" applyBorder="1"/>
    <xf numFmtId="0" fontId="14890" fillId="14895" borderId="14842" xfId="0" applyFont="1" applyFill="1" applyBorder="1" applyAlignment="1">
      <alignment horizontal="center"/>
    </xf>
    <xf numFmtId="14" fontId="14891" fillId="14896" borderId="14843" xfId="0" applyNumberFormat="1" applyFont="1" applyFill="1" applyBorder="1"/>
    <xf numFmtId="0" fontId="14892" fillId="14897" borderId="14844" xfId="0" applyFont="1" applyFill="1" applyBorder="1" applyAlignment="1">
      <alignment horizontal="center"/>
    </xf>
    <xf numFmtId="0" fontId="14893" fillId="14898" borderId="14845" xfId="0" applyFont="1" applyFill="1" applyBorder="1"/>
    <xf numFmtId="0" fontId="14894" fillId="14899" borderId="14846" xfId="0" applyFont="1" applyFill="1" applyBorder="1"/>
    <xf numFmtId="165" fontId="14895" fillId="14900" borderId="14847" xfId="0" applyNumberFormat="1" applyFont="1" applyFill="1" applyBorder="1"/>
    <xf numFmtId="165" fontId="14896" fillId="14901" borderId="14848" xfId="0" applyNumberFormat="1" applyFont="1" applyFill="1" applyBorder="1"/>
    <xf numFmtId="169" fontId="14897" fillId="14902" borderId="14849" xfId="0" applyNumberFormat="1" applyFont="1" applyFill="1" applyBorder="1"/>
    <xf numFmtId="168" fontId="14898" fillId="14903" borderId="14850" xfId="0" applyNumberFormat="1" applyFont="1" applyFill="1" applyBorder="1"/>
    <xf numFmtId="165" fontId="14899" fillId="14904" borderId="14851" xfId="0" applyNumberFormat="1" applyFont="1" applyFill="1" applyBorder="1"/>
    <xf numFmtId="0" fontId="14900" fillId="14905" borderId="14852" xfId="0" applyFont="1" applyFill="1" applyBorder="1" applyAlignment="1">
      <alignment horizontal="center"/>
    </xf>
    <xf numFmtId="0" fontId="14901" fillId="14906" borderId="14853" xfId="0" applyFont="1" applyFill="1" applyBorder="1" applyAlignment="1">
      <alignment horizontal="center"/>
    </xf>
    <xf numFmtId="0" fontId="14902" fillId="14907" borderId="14854" xfId="0" applyFont="1" applyFill="1" applyBorder="1"/>
    <xf numFmtId="165" fontId="14903" fillId="14908" borderId="14855" xfId="0" applyNumberFormat="1" applyFont="1" applyFill="1" applyBorder="1"/>
    <xf numFmtId="0" fontId="14904" fillId="14909" borderId="14856" xfId="0" applyFont="1" applyFill="1" applyBorder="1"/>
    <xf numFmtId="0" fontId="14905" fillId="14910" borderId="14857" xfId="0" applyFont="1" applyFill="1" applyBorder="1" applyAlignment="1">
      <alignment horizontal="center"/>
    </xf>
    <xf numFmtId="14" fontId="14906" fillId="14911" borderId="14858" xfId="0" applyNumberFormat="1" applyFont="1" applyFill="1" applyBorder="1"/>
    <xf numFmtId="0" fontId="14907" fillId="14912" borderId="14859" xfId="0" applyFont="1" applyFill="1" applyBorder="1" applyAlignment="1">
      <alignment horizontal="center"/>
    </xf>
    <xf numFmtId="0" fontId="14908" fillId="14913" borderId="14860" xfId="0" applyFont="1" applyFill="1" applyBorder="1"/>
    <xf numFmtId="0" fontId="14909" fillId="14914" borderId="14861" xfId="0" applyFont="1" applyFill="1" applyBorder="1"/>
    <xf numFmtId="165" fontId="14910" fillId="14915" borderId="14862" xfId="0" applyNumberFormat="1" applyFont="1" applyFill="1" applyBorder="1"/>
    <xf numFmtId="165" fontId="14911" fillId="14916" borderId="14863" xfId="0" applyNumberFormat="1" applyFont="1" applyFill="1" applyBorder="1"/>
    <xf numFmtId="169" fontId="14912" fillId="14917" borderId="14864" xfId="0" applyNumberFormat="1" applyFont="1" applyFill="1" applyBorder="1"/>
    <xf numFmtId="168" fontId="14913" fillId="14918" borderId="14865" xfId="0" applyNumberFormat="1" applyFont="1" applyFill="1" applyBorder="1"/>
    <xf numFmtId="165" fontId="14914" fillId="14919" borderId="14866" xfId="0" applyNumberFormat="1" applyFont="1" applyFill="1" applyBorder="1"/>
    <xf numFmtId="0" fontId="14915" fillId="14920" borderId="14867" xfId="0" applyFont="1" applyFill="1" applyBorder="1" applyAlignment="1">
      <alignment horizontal="center"/>
    </xf>
    <xf numFmtId="0" fontId="14916" fillId="14921" borderId="14868" xfId="0" applyFont="1" applyFill="1" applyBorder="1" applyAlignment="1">
      <alignment horizontal="center"/>
    </xf>
    <xf numFmtId="0" fontId="14917" fillId="14922" borderId="14869" xfId="0" applyFont="1" applyFill="1" applyBorder="1"/>
    <xf numFmtId="165" fontId="14918" fillId="14923" borderId="14870" xfId="0" applyNumberFormat="1" applyFont="1" applyFill="1" applyBorder="1"/>
    <xf numFmtId="0" fontId="14919" fillId="14924" borderId="14871" xfId="0" applyFont="1" applyFill="1" applyBorder="1"/>
    <xf numFmtId="0" fontId="14920" fillId="14925" borderId="14872" xfId="0" applyFont="1" applyFill="1" applyBorder="1" applyAlignment="1">
      <alignment horizontal="center"/>
    </xf>
    <xf numFmtId="14" fontId="14921" fillId="14926" borderId="14873" xfId="0" applyNumberFormat="1" applyFont="1" applyFill="1" applyBorder="1"/>
    <xf numFmtId="0" fontId="14922" fillId="14927" borderId="14874" xfId="0" applyFont="1" applyFill="1" applyBorder="1" applyAlignment="1">
      <alignment horizontal="center"/>
    </xf>
    <xf numFmtId="0" fontId="14923" fillId="14928" borderId="14875" xfId="0" applyFont="1" applyFill="1" applyBorder="1"/>
    <xf numFmtId="0" fontId="14924" fillId="14929" borderId="14876" xfId="0" applyFont="1" applyFill="1" applyBorder="1"/>
    <xf numFmtId="165" fontId="14925" fillId="14930" borderId="14877" xfId="0" applyNumberFormat="1" applyFont="1" applyFill="1" applyBorder="1"/>
    <xf numFmtId="165" fontId="14926" fillId="14931" borderId="14878" xfId="0" applyNumberFormat="1" applyFont="1" applyFill="1" applyBorder="1"/>
    <xf numFmtId="169" fontId="14927" fillId="14932" borderId="14879" xfId="0" applyNumberFormat="1" applyFont="1" applyFill="1" applyBorder="1"/>
    <xf numFmtId="168" fontId="14928" fillId="14933" borderId="14880" xfId="0" applyNumberFormat="1" applyFont="1" applyFill="1" applyBorder="1"/>
    <xf numFmtId="165" fontId="14929" fillId="14934" borderId="14881" xfId="0" applyNumberFormat="1" applyFont="1" applyFill="1" applyBorder="1"/>
    <xf numFmtId="0" fontId="14930" fillId="14935" borderId="14882" xfId="0" applyFont="1" applyFill="1" applyBorder="1" applyAlignment="1">
      <alignment horizontal="center"/>
    </xf>
    <xf numFmtId="0" fontId="14931" fillId="14936" borderId="14883" xfId="0" applyFont="1" applyFill="1" applyBorder="1" applyAlignment="1">
      <alignment horizontal="center"/>
    </xf>
    <xf numFmtId="0" fontId="14932" fillId="14937" borderId="14884" xfId="0" applyFont="1" applyFill="1" applyBorder="1"/>
    <xf numFmtId="165" fontId="14933" fillId="14938" borderId="14885" xfId="0" applyNumberFormat="1" applyFont="1" applyFill="1" applyBorder="1"/>
    <xf numFmtId="0" fontId="14934" fillId="14939" borderId="14886" xfId="0" applyFont="1" applyFill="1" applyBorder="1"/>
    <xf numFmtId="0" fontId="14936" fillId="14941" borderId="14888" xfId="0" applyFont="1" applyFill="1" applyBorder="1" applyAlignment="1">
      <alignment wrapText="1"/>
    </xf>
    <xf numFmtId="0" fontId="14937" fillId="14942" borderId="14889" xfId="0" applyFont="1" applyFill="1" applyBorder="1" applyAlignment="1">
      <alignment wrapText="1"/>
    </xf>
    <xf numFmtId="0" fontId="14938" fillId="14943" borderId="14890" xfId="0" applyFont="1" applyFill="1" applyBorder="1" applyAlignment="1">
      <alignment wrapText="1"/>
    </xf>
    <xf numFmtId="0" fontId="14939" fillId="14944" borderId="14891" xfId="0" applyFont="1" applyFill="1" applyBorder="1" applyAlignment="1">
      <alignment wrapText="1"/>
    </xf>
    <xf numFmtId="0" fontId="14940" fillId="14945" borderId="14892" xfId="0" applyFont="1" applyFill="1" applyBorder="1" applyAlignment="1">
      <alignment wrapText="1"/>
    </xf>
    <xf numFmtId="0" fontId="14941" fillId="14946" borderId="14893" xfId="0" applyFont="1" applyFill="1" applyBorder="1" applyAlignment="1">
      <alignment wrapText="1"/>
    </xf>
    <xf numFmtId="0" fontId="14942" fillId="14947" borderId="14894" xfId="0" applyFont="1" applyFill="1" applyBorder="1" applyAlignment="1">
      <alignment wrapText="1"/>
    </xf>
    <xf numFmtId="0" fontId="14943" fillId="14948" borderId="14895" xfId="0" applyFont="1" applyFill="1" applyBorder="1" applyAlignment="1">
      <alignment wrapText="1"/>
    </xf>
    <xf numFmtId="0" fontId="14944" fillId="14949" borderId="14896" xfId="0" applyFont="1" applyFill="1" applyBorder="1" applyAlignment="1">
      <alignment wrapText="1"/>
    </xf>
    <xf numFmtId="0" fontId="14945" fillId="14950" borderId="14897" xfId="0" applyFont="1" applyFill="1" applyBorder="1" applyAlignment="1">
      <alignment wrapText="1"/>
    </xf>
    <xf numFmtId="0" fontId="14946" fillId="14951" borderId="14898" xfId="0" applyFont="1" applyFill="1" applyBorder="1" applyAlignment="1">
      <alignment horizontal="center"/>
    </xf>
    <xf numFmtId="0" fontId="14947" fillId="14952" borderId="14899" xfId="0" applyFont="1" applyFill="1" applyBorder="1"/>
    <xf numFmtId="0" fontId="14948" fillId="14953" borderId="14900" xfId="0" applyFont="1" applyFill="1" applyBorder="1"/>
    <xf numFmtId="0" fontId="14949" fillId="14954" borderId="14901" xfId="0" applyFont="1" applyFill="1" applyBorder="1"/>
    <xf numFmtId="3" fontId="14950" fillId="14955" borderId="14902" xfId="0" applyNumberFormat="1" applyFont="1" applyFill="1" applyBorder="1"/>
    <xf numFmtId="3" fontId="14951" fillId="14956" borderId="14903" xfId="0" applyNumberFormat="1" applyFont="1" applyFill="1" applyBorder="1"/>
    <xf numFmtId="14" fontId="14952" fillId="14957" borderId="14904" xfId="0" applyNumberFormat="1" applyFont="1" applyFill="1" applyBorder="1"/>
    <xf numFmtId="4" fontId="14953" fillId="14958" borderId="14905" xfId="0" applyNumberFormat="1" applyFont="1" applyFill="1" applyBorder="1"/>
    <xf numFmtId="4" fontId="14954" fillId="14959" borderId="14906" xfId="0" applyNumberFormat="1" applyFont="1" applyFill="1" applyBorder="1"/>
    <xf numFmtId="0" fontId="14955" fillId="14960" borderId="14907" xfId="0" applyFont="1" applyFill="1" applyBorder="1"/>
    <xf numFmtId="0" fontId="14956" fillId="14961" borderId="14908" xfId="0" applyFont="1" applyFill="1" applyBorder="1" applyAlignment="1">
      <alignment horizontal="center"/>
    </xf>
    <xf numFmtId="0" fontId="14957" fillId="14962" borderId="14909" xfId="0" applyFont="1" applyFill="1" applyBorder="1"/>
    <xf numFmtId="0" fontId="14958" fillId="14963" borderId="14910" xfId="0" applyFont="1" applyFill="1" applyBorder="1"/>
    <xf numFmtId="0" fontId="14959" fillId="14964" borderId="14911" xfId="0" applyFont="1" applyFill="1" applyBorder="1"/>
    <xf numFmtId="3" fontId="14960" fillId="14965" borderId="14912" xfId="0" applyNumberFormat="1" applyFont="1" applyFill="1" applyBorder="1"/>
    <xf numFmtId="3" fontId="14961" fillId="14966" borderId="14913" xfId="0" applyNumberFormat="1" applyFont="1" applyFill="1" applyBorder="1"/>
    <xf numFmtId="14" fontId="14962" fillId="14967" borderId="14914" xfId="0" applyNumberFormat="1" applyFont="1" applyFill="1" applyBorder="1"/>
    <xf numFmtId="4" fontId="14963" fillId="14968" borderId="14915" xfId="0" applyNumberFormat="1" applyFont="1" applyFill="1" applyBorder="1"/>
    <xf numFmtId="4" fontId="14964" fillId="14969" borderId="14916" xfId="0" applyNumberFormat="1" applyFont="1" applyFill="1" applyBorder="1"/>
    <xf numFmtId="0" fontId="14965" fillId="14970" borderId="14917" xfId="0" applyFont="1" applyFill="1" applyBorder="1"/>
    <xf numFmtId="0" fontId="14966" fillId="14971" borderId="14918" xfId="0" applyFont="1" applyFill="1" applyBorder="1" applyAlignment="1">
      <alignment horizontal="center"/>
    </xf>
    <xf numFmtId="0" fontId="14967" fillId="14972" borderId="14919" xfId="0" applyFont="1" applyFill="1" applyBorder="1"/>
    <xf numFmtId="0" fontId="14968" fillId="14973" borderId="14920" xfId="0" applyFont="1" applyFill="1" applyBorder="1"/>
    <xf numFmtId="0" fontId="14969" fillId="14974" borderId="14921" xfId="0" applyFont="1" applyFill="1" applyBorder="1"/>
    <xf numFmtId="3" fontId="14970" fillId="14975" borderId="14922" xfId="0" applyNumberFormat="1" applyFont="1" applyFill="1" applyBorder="1"/>
    <xf numFmtId="3" fontId="14971" fillId="14976" borderId="14923" xfId="0" applyNumberFormat="1" applyFont="1" applyFill="1" applyBorder="1"/>
    <xf numFmtId="14" fontId="14972" fillId="14977" borderId="14924" xfId="0" applyNumberFormat="1" applyFont="1" applyFill="1" applyBorder="1"/>
    <xf numFmtId="4" fontId="14973" fillId="14978" borderId="14925" xfId="0" applyNumberFormat="1" applyFont="1" applyFill="1" applyBorder="1"/>
    <xf numFmtId="4" fontId="14974" fillId="14979" borderId="14926" xfId="0" applyNumberFormat="1" applyFont="1" applyFill="1" applyBorder="1"/>
    <xf numFmtId="0" fontId="14975" fillId="14980" borderId="14927" xfId="0" applyFont="1" applyFill="1" applyBorder="1"/>
    <xf numFmtId="0" fontId="14976" fillId="14981" borderId="14928" xfId="0" applyFont="1" applyFill="1" applyBorder="1" applyAlignment="1">
      <alignment horizontal="center"/>
    </xf>
    <xf numFmtId="0" fontId="14977" fillId="14982" borderId="14929" xfId="0" applyFont="1" applyFill="1" applyBorder="1"/>
    <xf numFmtId="0" fontId="14978" fillId="14983" borderId="14930" xfId="0" applyFont="1" applyFill="1" applyBorder="1"/>
    <xf numFmtId="0" fontId="14979" fillId="14984" borderId="14931" xfId="0" applyFont="1" applyFill="1" applyBorder="1"/>
    <xf numFmtId="3" fontId="14980" fillId="14985" borderId="14932" xfId="0" applyNumberFormat="1" applyFont="1" applyFill="1" applyBorder="1"/>
    <xf numFmtId="3" fontId="14981" fillId="14986" borderId="14933" xfId="0" applyNumberFormat="1" applyFont="1" applyFill="1" applyBorder="1"/>
    <xf numFmtId="14" fontId="14982" fillId="14987" borderId="14934" xfId="0" applyNumberFormat="1" applyFont="1" applyFill="1" applyBorder="1"/>
    <xf numFmtId="4" fontId="14983" fillId="14988" borderId="14935" xfId="0" applyNumberFormat="1" applyFont="1" applyFill="1" applyBorder="1"/>
    <xf numFmtId="4" fontId="14984" fillId="14989" borderId="14936" xfId="0" applyNumberFormat="1" applyFont="1" applyFill="1" applyBorder="1"/>
    <xf numFmtId="0" fontId="14985" fillId="14990" borderId="14937" xfId="0" applyFont="1" applyFill="1" applyBorder="1"/>
    <xf numFmtId="0" fontId="14986" fillId="14991" borderId="14938" xfId="0" applyFont="1" applyFill="1" applyBorder="1" applyAlignment="1">
      <alignment horizontal="center"/>
    </xf>
    <xf numFmtId="0" fontId="14987" fillId="14992" borderId="14939" xfId="0" applyFont="1" applyFill="1" applyBorder="1"/>
    <xf numFmtId="0" fontId="14988" fillId="14993" borderId="14940" xfId="0" applyFont="1" applyFill="1" applyBorder="1"/>
    <xf numFmtId="0" fontId="14989" fillId="14994" borderId="14941" xfId="0" applyFont="1" applyFill="1" applyBorder="1"/>
    <xf numFmtId="3" fontId="14990" fillId="14995" borderId="14942" xfId="0" applyNumberFormat="1" applyFont="1" applyFill="1" applyBorder="1"/>
    <xf numFmtId="3" fontId="14991" fillId="14996" borderId="14943" xfId="0" applyNumberFormat="1" applyFont="1" applyFill="1" applyBorder="1"/>
    <xf numFmtId="14" fontId="14992" fillId="14997" borderId="14944" xfId="0" applyNumberFormat="1" applyFont="1" applyFill="1" applyBorder="1"/>
    <xf numFmtId="4" fontId="14993" fillId="14998" borderId="14945" xfId="0" applyNumberFormat="1" applyFont="1" applyFill="1" applyBorder="1"/>
    <xf numFmtId="4" fontId="14994" fillId="14999" borderId="14946" xfId="0" applyNumberFormat="1" applyFont="1" applyFill="1" applyBorder="1"/>
    <xf numFmtId="0" fontId="14995" fillId="15000" borderId="14947" xfId="0" applyFont="1" applyFill="1" applyBorder="1"/>
    <xf numFmtId="0" fontId="14996" fillId="15001" borderId="14948" xfId="0" applyFont="1" applyFill="1" applyBorder="1"/>
    <xf numFmtId="3" fontId="14997" fillId="15002" borderId="14949" xfId="0" applyNumberFormat="1" applyFont="1" applyFill="1" applyBorder="1"/>
    <xf numFmtId="0" fontId="14998" fillId="15003" borderId="14950" xfId="0" applyFont="1" applyFill="1" applyBorder="1" applyAlignment="1">
      <alignment horizontal="center"/>
    </xf>
    <xf numFmtId="14" fontId="14999" fillId="15004" borderId="14951" xfId="0" applyNumberFormat="1" applyFont="1" applyFill="1" applyBorder="1"/>
    <xf numFmtId="0" fontId="15000" fillId="15005" borderId="14952" xfId="0" applyFont="1" applyFill="1" applyBorder="1" applyAlignment="1">
      <alignment horizontal="center"/>
    </xf>
    <xf numFmtId="0" fontId="15001" fillId="15006" borderId="14953" xfId="0" applyFont="1" applyFill="1" applyBorder="1"/>
    <xf numFmtId="4" fontId="15002" fillId="15007" borderId="14954" xfId="0" applyNumberFormat="1" applyFont="1" applyFill="1" applyBorder="1"/>
    <xf numFmtId="168" fontId="15003" fillId="15008" borderId="14955" xfId="0" applyNumberFormat="1" applyFont="1" applyFill="1" applyBorder="1"/>
    <xf numFmtId="165" fontId="15004" fillId="15009" borderId="14956" xfId="0" applyNumberFormat="1" applyFont="1" applyFill="1" applyBorder="1"/>
    <xf numFmtId="4" fontId="15005" fillId="15010" borderId="14957" xfId="0" applyNumberFormat="1" applyFont="1" applyFill="1" applyBorder="1"/>
    <xf numFmtId="4" fontId="15006" fillId="15011" borderId="14958" xfId="0" applyNumberFormat="1" applyFont="1" applyFill="1" applyBorder="1"/>
    <xf numFmtId="167" fontId="15007" fillId="15012" borderId="14959" xfId="0" applyNumberFormat="1" applyFont="1" applyFill="1" applyBorder="1"/>
    <xf numFmtId="168" fontId="15008" fillId="15013" borderId="14960" xfId="0" applyNumberFormat="1" applyFont="1" applyFill="1" applyBorder="1"/>
    <xf numFmtId="0" fontId="15009" fillId="15014" borderId="14961" xfId="0" applyFont="1" applyFill="1" applyBorder="1"/>
    <xf numFmtId="0" fontId="15010" fillId="15015" borderId="14962" xfId="0" applyFont="1" applyFill="1" applyBorder="1" applyAlignment="1">
      <alignment wrapText="1"/>
    </xf>
    <xf numFmtId="0" fontId="15011" fillId="15016" borderId="14963" xfId="0" applyFont="1" applyFill="1" applyBorder="1" applyAlignment="1">
      <alignment horizontal="center"/>
    </xf>
    <xf numFmtId="0" fontId="15040" fillId="15045" borderId="14992" xfId="0" applyFont="1" applyFill="1" applyBorder="1" applyAlignment="1">
      <alignment horizontal="center"/>
    </xf>
    <xf numFmtId="14" fontId="15041" fillId="15046" borderId="14993" xfId="0" applyNumberFormat="1" applyFont="1" applyFill="1" applyBorder="1"/>
    <xf numFmtId="0" fontId="15042" fillId="15047" borderId="14994" xfId="0" applyFont="1" applyFill="1" applyBorder="1" applyAlignment="1">
      <alignment horizontal="center"/>
    </xf>
    <xf numFmtId="0" fontId="15043" fillId="15048" borderId="14995" xfId="0" applyFont="1" applyFill="1" applyBorder="1"/>
    <xf numFmtId="4" fontId="15044" fillId="15049" borderId="14996" xfId="0" applyNumberFormat="1" applyFont="1" applyFill="1" applyBorder="1"/>
    <xf numFmtId="168" fontId="15045" fillId="15050" borderId="14997" xfId="0" applyNumberFormat="1" applyFont="1" applyFill="1" applyBorder="1"/>
    <xf numFmtId="165" fontId="15046" fillId="15051" borderId="14998" xfId="0" applyNumberFormat="1" applyFont="1" applyFill="1" applyBorder="1"/>
    <xf numFmtId="4" fontId="15047" fillId="15052" borderId="14999" xfId="0" applyNumberFormat="1" applyFont="1" applyFill="1" applyBorder="1"/>
    <xf numFmtId="4" fontId="15048" fillId="15053" borderId="15000" xfId="0" applyNumberFormat="1" applyFont="1" applyFill="1" applyBorder="1"/>
    <xf numFmtId="167" fontId="15049" fillId="15054" borderId="15001" xfId="0" applyNumberFormat="1" applyFont="1" applyFill="1" applyBorder="1"/>
    <xf numFmtId="168" fontId="15050" fillId="15055" borderId="15002" xfId="0" applyNumberFormat="1" applyFont="1" applyFill="1" applyBorder="1"/>
    <xf numFmtId="0" fontId="15051" fillId="15056" borderId="15003" xfId="0" applyFont="1" applyFill="1" applyBorder="1"/>
    <xf numFmtId="0" fontId="15052" fillId="15057" borderId="15004" xfId="0" applyFont="1" applyFill="1" applyBorder="1" applyAlignment="1">
      <alignment wrapText="1"/>
    </xf>
    <xf numFmtId="0" fontId="15053" fillId="15058" borderId="15005" xfId="0" applyFont="1" applyFill="1" applyBorder="1" applyAlignment="1">
      <alignment horizontal="center"/>
    </xf>
    <xf numFmtId="0" fontId="15054" fillId="15059" borderId="15006" xfId="0" applyFont="1" applyFill="1" applyBorder="1" applyAlignment="1">
      <alignment horizontal="center"/>
    </xf>
    <xf numFmtId="14" fontId="15055" fillId="15060" borderId="15007" xfId="0" applyNumberFormat="1" applyFont="1" applyFill="1" applyBorder="1"/>
    <xf numFmtId="0" fontId="15056" fillId="15061" borderId="15008" xfId="0" applyFont="1" applyFill="1" applyBorder="1" applyAlignment="1">
      <alignment horizontal="center"/>
    </xf>
    <xf numFmtId="0" fontId="15057" fillId="15062" borderId="15009" xfId="0" applyFont="1" applyFill="1" applyBorder="1"/>
    <xf numFmtId="4" fontId="15058" fillId="15063" borderId="15010" xfId="0" applyNumberFormat="1" applyFont="1" applyFill="1" applyBorder="1"/>
    <xf numFmtId="168" fontId="15059" fillId="15064" borderId="15011" xfId="0" applyNumberFormat="1" applyFont="1" applyFill="1" applyBorder="1"/>
    <xf numFmtId="165" fontId="15060" fillId="15065" borderId="15012" xfId="0" applyNumberFormat="1" applyFont="1" applyFill="1" applyBorder="1"/>
    <xf numFmtId="4" fontId="15061" fillId="15066" borderId="15013" xfId="0" applyNumberFormat="1" applyFont="1" applyFill="1" applyBorder="1"/>
    <xf numFmtId="4" fontId="15062" fillId="15067" borderId="15014" xfId="0" applyNumberFormat="1" applyFont="1" applyFill="1" applyBorder="1"/>
    <xf numFmtId="167" fontId="15063" fillId="15068" borderId="15015" xfId="0" applyNumberFormat="1" applyFont="1" applyFill="1" applyBorder="1"/>
    <xf numFmtId="168" fontId="15064" fillId="15069" borderId="15016" xfId="0" applyNumberFormat="1" applyFont="1" applyFill="1" applyBorder="1"/>
    <xf numFmtId="0" fontId="15065" fillId="15070" borderId="15017" xfId="0" applyFont="1" applyFill="1" applyBorder="1"/>
    <xf numFmtId="0" fontId="15066" fillId="15071" borderId="15018" xfId="0" applyFont="1" applyFill="1" applyBorder="1" applyAlignment="1">
      <alignment wrapText="1"/>
    </xf>
    <xf numFmtId="0" fontId="15067" fillId="15072" borderId="15019" xfId="0" applyFont="1" applyFill="1" applyBorder="1" applyAlignment="1">
      <alignment horizontal="center"/>
    </xf>
    <xf numFmtId="0" fontId="15068" fillId="15073" borderId="15020" xfId="0" applyFont="1" applyFill="1" applyBorder="1" applyAlignment="1">
      <alignment horizontal="center"/>
    </xf>
    <xf numFmtId="14" fontId="15069" fillId="15074" borderId="15021" xfId="0" applyNumberFormat="1" applyFont="1" applyFill="1" applyBorder="1"/>
    <xf numFmtId="0" fontId="15070" fillId="15075" borderId="15022" xfId="0" applyFont="1" applyFill="1" applyBorder="1" applyAlignment="1">
      <alignment horizontal="center"/>
    </xf>
    <xf numFmtId="0" fontId="15071" fillId="15076" borderId="15023" xfId="0" applyFont="1" applyFill="1" applyBorder="1"/>
    <xf numFmtId="4" fontId="15072" fillId="15077" borderId="15024" xfId="0" applyNumberFormat="1" applyFont="1" applyFill="1" applyBorder="1"/>
    <xf numFmtId="168" fontId="15073" fillId="15078" borderId="15025" xfId="0" applyNumberFormat="1" applyFont="1" applyFill="1" applyBorder="1"/>
    <xf numFmtId="165" fontId="15074" fillId="15079" borderId="15026" xfId="0" applyNumberFormat="1" applyFont="1" applyFill="1" applyBorder="1"/>
    <xf numFmtId="4" fontId="15075" fillId="15080" borderId="15027" xfId="0" applyNumberFormat="1" applyFont="1" applyFill="1" applyBorder="1"/>
    <xf numFmtId="4" fontId="15076" fillId="15081" borderId="15028" xfId="0" applyNumberFormat="1" applyFont="1" applyFill="1" applyBorder="1"/>
    <xf numFmtId="167" fontId="15077" fillId="15082" borderId="15029" xfId="0" applyNumberFormat="1" applyFont="1" applyFill="1" applyBorder="1"/>
    <xf numFmtId="168" fontId="15078" fillId="15083" borderId="15030" xfId="0" applyNumberFormat="1" applyFont="1" applyFill="1" applyBorder="1"/>
    <xf numFmtId="0" fontId="15079" fillId="15084" borderId="15031" xfId="0" applyFont="1" applyFill="1" applyBorder="1"/>
    <xf numFmtId="0" fontId="15080" fillId="15085" borderId="15032" xfId="0" applyFont="1" applyFill="1" applyBorder="1" applyAlignment="1">
      <alignment wrapText="1"/>
    </xf>
    <xf numFmtId="0" fontId="15081" fillId="15086" borderId="15033" xfId="0" applyFont="1" applyFill="1" applyBorder="1" applyAlignment="1">
      <alignment horizontal="center"/>
    </xf>
    <xf numFmtId="0" fontId="15082" fillId="15087" borderId="15034" xfId="0" applyFont="1" applyFill="1" applyBorder="1" applyAlignment="1">
      <alignment horizontal="center"/>
    </xf>
    <xf numFmtId="14" fontId="15083" fillId="15088" borderId="15035" xfId="0" applyNumberFormat="1" applyFont="1" applyFill="1" applyBorder="1"/>
    <xf numFmtId="0" fontId="15084" fillId="15089" borderId="15036" xfId="0" applyFont="1" applyFill="1" applyBorder="1" applyAlignment="1">
      <alignment horizontal="center"/>
    </xf>
    <xf numFmtId="0" fontId="15085" fillId="15090" borderId="15037" xfId="0" applyFont="1" applyFill="1" applyBorder="1"/>
    <xf numFmtId="4" fontId="15086" fillId="15091" borderId="15038" xfId="0" applyNumberFormat="1" applyFont="1" applyFill="1" applyBorder="1"/>
    <xf numFmtId="168" fontId="15087" fillId="15092" borderId="15039" xfId="0" applyNumberFormat="1" applyFont="1" applyFill="1" applyBorder="1"/>
    <xf numFmtId="165" fontId="15088" fillId="15093" borderId="15040" xfId="0" applyNumberFormat="1" applyFont="1" applyFill="1" applyBorder="1"/>
    <xf numFmtId="4" fontId="15089" fillId="15094" borderId="15041" xfId="0" applyNumberFormat="1" applyFont="1" applyFill="1" applyBorder="1"/>
    <xf numFmtId="4" fontId="15090" fillId="15095" borderId="15042" xfId="0" applyNumberFormat="1" applyFont="1" applyFill="1" applyBorder="1"/>
    <xf numFmtId="167" fontId="15091" fillId="15096" borderId="15043" xfId="0" applyNumberFormat="1" applyFont="1" applyFill="1" applyBorder="1"/>
    <xf numFmtId="168" fontId="15092" fillId="15097" borderId="15044" xfId="0" applyNumberFormat="1" applyFont="1" applyFill="1" applyBorder="1"/>
    <xf numFmtId="0" fontId="15093" fillId="15098" borderId="15045" xfId="0" applyFont="1" applyFill="1" applyBorder="1"/>
    <xf numFmtId="0" fontId="15094" fillId="15099" borderId="15046" xfId="0" applyFont="1" applyFill="1" applyBorder="1" applyAlignment="1">
      <alignment wrapText="1"/>
    </xf>
    <xf numFmtId="0" fontId="15095" fillId="15100" borderId="15047" xfId="0" applyFont="1" applyFill="1" applyBorder="1" applyAlignment="1">
      <alignment horizontal="center"/>
    </xf>
    <xf numFmtId="0" fontId="15096" fillId="15101" borderId="15048" xfId="0" applyFont="1" applyFill="1" applyBorder="1" applyAlignment="1">
      <alignment horizontal="center"/>
    </xf>
    <xf numFmtId="14" fontId="15097" fillId="15102" borderId="15049" xfId="0" applyNumberFormat="1" applyFont="1" applyFill="1" applyBorder="1"/>
    <xf numFmtId="0" fontId="15098" fillId="15103" borderId="15050" xfId="0" applyFont="1" applyFill="1" applyBorder="1" applyAlignment="1">
      <alignment horizontal="center"/>
    </xf>
    <xf numFmtId="0" fontId="15099" fillId="15104" borderId="15051" xfId="0" applyFont="1" applyFill="1" applyBorder="1"/>
    <xf numFmtId="4" fontId="15100" fillId="15105" borderId="15052" xfId="0" applyNumberFormat="1" applyFont="1" applyFill="1" applyBorder="1"/>
    <xf numFmtId="168" fontId="15101" fillId="15106" borderId="15053" xfId="0" applyNumberFormat="1" applyFont="1" applyFill="1" applyBorder="1"/>
    <xf numFmtId="165" fontId="15102" fillId="15107" borderId="15054" xfId="0" applyNumberFormat="1" applyFont="1" applyFill="1" applyBorder="1"/>
    <xf numFmtId="4" fontId="15103" fillId="15108" borderId="15055" xfId="0" applyNumberFormat="1" applyFont="1" applyFill="1" applyBorder="1"/>
    <xf numFmtId="4" fontId="15104" fillId="15109" borderId="15056" xfId="0" applyNumberFormat="1" applyFont="1" applyFill="1" applyBorder="1"/>
    <xf numFmtId="167" fontId="15105" fillId="15110" borderId="15057" xfId="0" applyNumberFormat="1" applyFont="1" applyFill="1" applyBorder="1"/>
    <xf numFmtId="168" fontId="15106" fillId="15111" borderId="15058" xfId="0" applyNumberFormat="1" applyFont="1" applyFill="1" applyBorder="1"/>
    <xf numFmtId="0" fontId="15107" fillId="15112" borderId="15059" xfId="0" applyFont="1" applyFill="1" applyBorder="1"/>
    <xf numFmtId="0" fontId="15108" fillId="15113" borderId="15060" xfId="0" applyFont="1" applyFill="1" applyBorder="1" applyAlignment="1">
      <alignment wrapText="1"/>
    </xf>
    <xf numFmtId="0" fontId="15109" fillId="15114" borderId="15061" xfId="0" applyFont="1" applyFill="1" applyBorder="1" applyAlignment="1">
      <alignment horizontal="center"/>
    </xf>
    <xf numFmtId="0" fontId="15110" fillId="15115" borderId="15062" xfId="0" applyFont="1" applyFill="1" applyBorder="1" applyAlignment="1">
      <alignment horizontal="center"/>
    </xf>
    <xf numFmtId="14" fontId="15111" fillId="15116" borderId="15063" xfId="0" applyNumberFormat="1" applyFont="1" applyFill="1" applyBorder="1"/>
    <xf numFmtId="0" fontId="15112" fillId="15117" borderId="15064" xfId="0" applyFont="1" applyFill="1" applyBorder="1" applyAlignment="1">
      <alignment horizontal="center"/>
    </xf>
    <xf numFmtId="0" fontId="15113" fillId="15118" borderId="15065" xfId="0" applyFont="1" applyFill="1" applyBorder="1"/>
    <xf numFmtId="4" fontId="15114" fillId="15119" borderId="15066" xfId="0" applyNumberFormat="1" applyFont="1" applyFill="1" applyBorder="1"/>
    <xf numFmtId="168" fontId="15115" fillId="15120" borderId="15067" xfId="0" applyNumberFormat="1" applyFont="1" applyFill="1" applyBorder="1"/>
    <xf numFmtId="165" fontId="15116" fillId="15121" borderId="15068" xfId="0" applyNumberFormat="1" applyFont="1" applyFill="1" applyBorder="1"/>
    <xf numFmtId="4" fontId="15117" fillId="15122" borderId="15069" xfId="0" applyNumberFormat="1" applyFont="1" applyFill="1" applyBorder="1"/>
    <xf numFmtId="4" fontId="15118" fillId="15123" borderId="15070" xfId="0" applyNumberFormat="1" applyFont="1" applyFill="1" applyBorder="1"/>
    <xf numFmtId="167" fontId="15119" fillId="15124" borderId="15071" xfId="0" applyNumberFormat="1" applyFont="1" applyFill="1" applyBorder="1"/>
    <xf numFmtId="168" fontId="15120" fillId="15125" borderId="15072" xfId="0" applyNumberFormat="1" applyFont="1" applyFill="1" applyBorder="1"/>
    <xf numFmtId="0" fontId="15121" fillId="15126" borderId="15073" xfId="0" applyFont="1" applyFill="1" applyBorder="1"/>
    <xf numFmtId="0" fontId="15122" fillId="15127" borderId="15074" xfId="0" applyFont="1" applyFill="1" applyBorder="1" applyAlignment="1">
      <alignment wrapText="1"/>
    </xf>
    <xf numFmtId="0" fontId="15123" fillId="15128" borderId="15075" xfId="0" applyFont="1" applyFill="1" applyBorder="1" applyAlignment="1">
      <alignment horizontal="center"/>
    </xf>
    <xf numFmtId="0" fontId="15124" fillId="15129" borderId="15076" xfId="0" applyFont="1" applyFill="1" applyBorder="1" applyAlignment="1">
      <alignment horizontal="center"/>
    </xf>
    <xf numFmtId="14" fontId="15125" fillId="15130" borderId="15077" xfId="0" applyNumberFormat="1" applyFont="1" applyFill="1" applyBorder="1"/>
    <xf numFmtId="0" fontId="15126" fillId="15131" borderId="15078" xfId="0" applyFont="1" applyFill="1" applyBorder="1" applyAlignment="1">
      <alignment horizontal="center"/>
    </xf>
    <xf numFmtId="0" fontId="15127" fillId="15132" borderId="15079" xfId="0" applyFont="1" applyFill="1" applyBorder="1"/>
    <xf numFmtId="4" fontId="15128" fillId="15133" borderId="15080" xfId="0" applyNumberFormat="1" applyFont="1" applyFill="1" applyBorder="1"/>
    <xf numFmtId="168" fontId="15129" fillId="15134" borderId="15081" xfId="0" applyNumberFormat="1" applyFont="1" applyFill="1" applyBorder="1"/>
    <xf numFmtId="165" fontId="15130" fillId="15135" borderId="15082" xfId="0" applyNumberFormat="1" applyFont="1" applyFill="1" applyBorder="1"/>
    <xf numFmtId="4" fontId="15131" fillId="15136" borderId="15083" xfId="0" applyNumberFormat="1" applyFont="1" applyFill="1" applyBorder="1"/>
    <xf numFmtId="4" fontId="15132" fillId="15137" borderId="15084" xfId="0" applyNumberFormat="1" applyFont="1" applyFill="1" applyBorder="1"/>
    <xf numFmtId="167" fontId="15133" fillId="15138" borderId="15085" xfId="0" applyNumberFormat="1" applyFont="1" applyFill="1" applyBorder="1"/>
    <xf numFmtId="168" fontId="15134" fillId="15139" borderId="15086" xfId="0" applyNumberFormat="1" applyFont="1" applyFill="1" applyBorder="1"/>
    <xf numFmtId="0" fontId="15135" fillId="15140" borderId="15087" xfId="0" applyFont="1" applyFill="1" applyBorder="1"/>
    <xf numFmtId="0" fontId="15136" fillId="15141" borderId="15088" xfId="0" applyFont="1" applyFill="1" applyBorder="1" applyAlignment="1">
      <alignment wrapText="1"/>
    </xf>
    <xf numFmtId="0" fontId="15137" fillId="15142" borderId="15089" xfId="0" applyFont="1" applyFill="1" applyBorder="1" applyAlignment="1">
      <alignment horizontal="center"/>
    </xf>
    <xf numFmtId="0" fontId="15138" fillId="15143" borderId="15090" xfId="0" applyFont="1" applyFill="1" applyBorder="1" applyAlignment="1">
      <alignment horizontal="center"/>
    </xf>
    <xf numFmtId="14" fontId="15139" fillId="15144" borderId="15091" xfId="0" applyNumberFormat="1" applyFont="1" applyFill="1" applyBorder="1"/>
    <xf numFmtId="0" fontId="15140" fillId="15145" borderId="15092" xfId="0" applyFont="1" applyFill="1" applyBorder="1" applyAlignment="1">
      <alignment horizontal="center"/>
    </xf>
    <xf numFmtId="0" fontId="15141" fillId="15146" borderId="15093" xfId="0" applyFont="1" applyFill="1" applyBorder="1"/>
    <xf numFmtId="4" fontId="15142" fillId="15147" borderId="15094" xfId="0" applyNumberFormat="1" applyFont="1" applyFill="1" applyBorder="1"/>
    <xf numFmtId="168" fontId="15143" fillId="15148" borderId="15095" xfId="0" applyNumberFormat="1" applyFont="1" applyFill="1" applyBorder="1"/>
    <xf numFmtId="165" fontId="15144" fillId="15149" borderId="15096" xfId="0" applyNumberFormat="1" applyFont="1" applyFill="1" applyBorder="1"/>
    <xf numFmtId="4" fontId="15145" fillId="15150" borderId="15097" xfId="0" applyNumberFormat="1" applyFont="1" applyFill="1" applyBorder="1"/>
    <xf numFmtId="4" fontId="15146" fillId="15151" borderId="15098" xfId="0" applyNumberFormat="1" applyFont="1" applyFill="1" applyBorder="1"/>
    <xf numFmtId="167" fontId="15147" fillId="15152" borderId="15099" xfId="0" applyNumberFormat="1" applyFont="1" applyFill="1" applyBorder="1"/>
    <xf numFmtId="168" fontId="15148" fillId="15153" borderId="15100" xfId="0" applyNumberFormat="1" applyFont="1" applyFill="1" applyBorder="1"/>
    <xf numFmtId="0" fontId="15149" fillId="15154" borderId="15101" xfId="0" applyFont="1" applyFill="1" applyBorder="1"/>
    <xf numFmtId="0" fontId="15150" fillId="15155" borderId="15102" xfId="0" applyFont="1" applyFill="1" applyBorder="1" applyAlignment="1">
      <alignment wrapText="1"/>
    </xf>
    <xf numFmtId="0" fontId="15151" fillId="15156" borderId="15103" xfId="0" applyFont="1" applyFill="1" applyBorder="1" applyAlignment="1">
      <alignment horizontal="center"/>
    </xf>
    <xf numFmtId="0" fontId="15152" fillId="15157" borderId="15104" xfId="0" applyFont="1" applyFill="1" applyBorder="1" applyAlignment="1">
      <alignment horizontal="center"/>
    </xf>
    <xf numFmtId="14" fontId="15153" fillId="15158" borderId="15105" xfId="0" applyNumberFormat="1" applyFont="1" applyFill="1" applyBorder="1"/>
    <xf numFmtId="0" fontId="15154" fillId="15159" borderId="15106" xfId="0" applyFont="1" applyFill="1" applyBorder="1" applyAlignment="1">
      <alignment horizontal="center"/>
    </xf>
    <xf numFmtId="0" fontId="15155" fillId="15160" borderId="15107" xfId="0" applyFont="1" applyFill="1" applyBorder="1"/>
    <xf numFmtId="4" fontId="15156" fillId="15161" borderId="15108" xfId="0" applyNumberFormat="1" applyFont="1" applyFill="1" applyBorder="1"/>
    <xf numFmtId="168" fontId="15157" fillId="15162" borderId="15109" xfId="0" applyNumberFormat="1" applyFont="1" applyFill="1" applyBorder="1"/>
    <xf numFmtId="165" fontId="15158" fillId="15163" borderId="15110" xfId="0" applyNumberFormat="1" applyFont="1" applyFill="1" applyBorder="1"/>
    <xf numFmtId="4" fontId="15159" fillId="15164" borderId="15111" xfId="0" applyNumberFormat="1" applyFont="1" applyFill="1" applyBorder="1"/>
    <xf numFmtId="4" fontId="15160" fillId="15165" borderId="15112" xfId="0" applyNumberFormat="1" applyFont="1" applyFill="1" applyBorder="1"/>
    <xf numFmtId="167" fontId="15161" fillId="15166" borderId="15113" xfId="0" applyNumberFormat="1" applyFont="1" applyFill="1" applyBorder="1"/>
    <xf numFmtId="168" fontId="15162" fillId="15167" borderId="15114" xfId="0" applyNumberFormat="1" applyFont="1" applyFill="1" applyBorder="1"/>
    <xf numFmtId="0" fontId="15163" fillId="15168" borderId="15115" xfId="0" applyFont="1" applyFill="1" applyBorder="1"/>
    <xf numFmtId="0" fontId="15164" fillId="15169" borderId="15116" xfId="0" applyFont="1" applyFill="1" applyBorder="1" applyAlignment="1">
      <alignment wrapText="1"/>
    </xf>
    <xf numFmtId="0" fontId="15165" fillId="15170" borderId="15117" xfId="0" applyFont="1" applyFill="1" applyBorder="1" applyAlignment="1">
      <alignment horizontal="center"/>
    </xf>
    <xf numFmtId="0" fontId="15166" fillId="15171" borderId="15118" xfId="0" applyFont="1" applyFill="1" applyBorder="1" applyAlignment="1">
      <alignment horizontal="center"/>
    </xf>
    <xf numFmtId="14" fontId="15167" fillId="15172" borderId="15119" xfId="0" applyNumberFormat="1" applyFont="1" applyFill="1" applyBorder="1"/>
    <xf numFmtId="0" fontId="15168" fillId="15173" borderId="15120" xfId="0" applyFont="1" applyFill="1" applyBorder="1" applyAlignment="1">
      <alignment horizontal="center"/>
    </xf>
    <xf numFmtId="0" fontId="15169" fillId="15174" borderId="15121" xfId="0" applyFont="1" applyFill="1" applyBorder="1"/>
    <xf numFmtId="4" fontId="15170" fillId="15175" borderId="15122" xfId="0" applyNumberFormat="1" applyFont="1" applyFill="1" applyBorder="1"/>
    <xf numFmtId="168" fontId="15171" fillId="15176" borderId="15123" xfId="0" applyNumberFormat="1" applyFont="1" applyFill="1" applyBorder="1"/>
    <xf numFmtId="165" fontId="15172" fillId="15177" borderId="15124" xfId="0" applyNumberFormat="1" applyFont="1" applyFill="1" applyBorder="1"/>
    <xf numFmtId="4" fontId="15173" fillId="15178" borderId="15125" xfId="0" applyNumberFormat="1" applyFont="1" applyFill="1" applyBorder="1"/>
    <xf numFmtId="4" fontId="15174" fillId="15179" borderId="15126" xfId="0" applyNumberFormat="1" applyFont="1" applyFill="1" applyBorder="1"/>
    <xf numFmtId="167" fontId="15175" fillId="15180" borderId="15127" xfId="0" applyNumberFormat="1" applyFont="1" applyFill="1" applyBorder="1"/>
    <xf numFmtId="168" fontId="15176" fillId="15181" borderId="15128" xfId="0" applyNumberFormat="1" applyFont="1" applyFill="1" applyBorder="1"/>
    <xf numFmtId="0" fontId="15177" fillId="15182" borderId="15129" xfId="0" applyFont="1" applyFill="1" applyBorder="1"/>
    <xf numFmtId="0" fontId="15178" fillId="15183" borderId="15130" xfId="0" applyFont="1" applyFill="1" applyBorder="1" applyAlignment="1">
      <alignment wrapText="1"/>
    </xf>
    <xf numFmtId="0" fontId="15179" fillId="15184" borderId="15131" xfId="0" applyFont="1" applyFill="1" applyBorder="1" applyAlignment="1">
      <alignment horizontal="center"/>
    </xf>
    <xf numFmtId="0" fontId="15180" fillId="15185" borderId="15132" xfId="0" applyFont="1" applyFill="1" applyBorder="1" applyAlignment="1">
      <alignment horizontal="center"/>
    </xf>
    <xf numFmtId="14" fontId="15181" fillId="15186" borderId="15133" xfId="0" applyNumberFormat="1" applyFont="1" applyFill="1" applyBorder="1"/>
    <xf numFmtId="0" fontId="15182" fillId="15187" borderId="15134" xfId="0" applyFont="1" applyFill="1" applyBorder="1" applyAlignment="1">
      <alignment horizontal="center"/>
    </xf>
    <xf numFmtId="0" fontId="15183" fillId="15188" borderId="15135" xfId="0" applyFont="1" applyFill="1" applyBorder="1"/>
    <xf numFmtId="4" fontId="15184" fillId="15189" borderId="15136" xfId="0" applyNumberFormat="1" applyFont="1" applyFill="1" applyBorder="1"/>
    <xf numFmtId="168" fontId="15185" fillId="15190" borderId="15137" xfId="0" applyNumberFormat="1" applyFont="1" applyFill="1" applyBorder="1"/>
    <xf numFmtId="165" fontId="15186" fillId="15191" borderId="15138" xfId="0" applyNumberFormat="1" applyFont="1" applyFill="1" applyBorder="1"/>
    <xf numFmtId="4" fontId="15187" fillId="15192" borderId="15139" xfId="0" applyNumberFormat="1" applyFont="1" applyFill="1" applyBorder="1"/>
    <xf numFmtId="4" fontId="15188" fillId="15193" borderId="15140" xfId="0" applyNumberFormat="1" applyFont="1" applyFill="1" applyBorder="1"/>
    <xf numFmtId="167" fontId="15189" fillId="15194" borderId="15141" xfId="0" applyNumberFormat="1" applyFont="1" applyFill="1" applyBorder="1"/>
    <xf numFmtId="168" fontId="15190" fillId="15195" borderId="15142" xfId="0" applyNumberFormat="1" applyFont="1" applyFill="1" applyBorder="1"/>
    <xf numFmtId="0" fontId="15191" fillId="15196" borderId="15143" xfId="0" applyFont="1" applyFill="1" applyBorder="1" applyAlignment="1">
      <alignment wrapText="1"/>
    </xf>
    <xf numFmtId="0" fontId="15192" fillId="15197" borderId="15144" xfId="0" applyFont="1" applyFill="1" applyBorder="1" applyAlignment="1">
      <alignment horizontal="center"/>
    </xf>
    <xf numFmtId="0" fontId="15193" fillId="15198" borderId="15145" xfId="0" applyFont="1" applyFill="1" applyBorder="1" applyAlignment="1">
      <alignment horizontal="center"/>
    </xf>
    <xf numFmtId="14" fontId="15194" fillId="15199" borderId="15146" xfId="0" applyNumberFormat="1" applyFont="1" applyFill="1" applyBorder="1"/>
    <xf numFmtId="0" fontId="15195" fillId="15200" borderId="15147" xfId="0" applyFont="1" applyFill="1" applyBorder="1" applyAlignment="1">
      <alignment horizontal="center"/>
    </xf>
    <xf numFmtId="0" fontId="15196" fillId="15201" borderId="15148" xfId="0" applyFont="1" applyFill="1" applyBorder="1"/>
    <xf numFmtId="4" fontId="15197" fillId="15202" borderId="15149" xfId="0" applyNumberFormat="1" applyFont="1" applyFill="1" applyBorder="1"/>
    <xf numFmtId="168" fontId="15198" fillId="15203" borderId="15150" xfId="0" applyNumberFormat="1" applyFont="1" applyFill="1" applyBorder="1"/>
    <xf numFmtId="165" fontId="15199" fillId="15204" borderId="15151" xfId="0" applyNumberFormat="1" applyFont="1" applyFill="1" applyBorder="1"/>
    <xf numFmtId="4" fontId="15200" fillId="15205" borderId="15152" xfId="0" applyNumberFormat="1" applyFont="1" applyFill="1" applyBorder="1"/>
    <xf numFmtId="4" fontId="15201" fillId="15206" borderId="15153" xfId="0" applyNumberFormat="1" applyFont="1" applyFill="1" applyBorder="1"/>
    <xf numFmtId="167" fontId="15202" fillId="15207" borderId="15154" xfId="0" applyNumberFormat="1" applyFont="1" applyFill="1" applyBorder="1"/>
    <xf numFmtId="168" fontId="15203" fillId="15208" borderId="15155" xfId="0" applyNumberFormat="1" applyFont="1" applyFill="1" applyBorder="1"/>
    <xf numFmtId="0" fontId="15204" fillId="15209" borderId="15156" xfId="0" applyFont="1" applyFill="1" applyBorder="1"/>
    <xf numFmtId="0" fontId="15205" fillId="15210" borderId="15157" xfId="0" applyFont="1" applyFill="1" applyBorder="1" applyAlignment="1">
      <alignment wrapText="1"/>
    </xf>
    <xf numFmtId="0" fontId="15206" fillId="15211" borderId="15158" xfId="0" applyFont="1" applyFill="1" applyBorder="1" applyAlignment="1">
      <alignment horizontal="center"/>
    </xf>
    <xf numFmtId="0" fontId="15207" fillId="15212" borderId="15159" xfId="0" applyFont="1" applyFill="1" applyBorder="1" applyAlignment="1">
      <alignment horizontal="center"/>
    </xf>
    <xf numFmtId="14" fontId="15208" fillId="15213" borderId="15160" xfId="0" applyNumberFormat="1" applyFont="1" applyFill="1" applyBorder="1"/>
    <xf numFmtId="0" fontId="15209" fillId="15214" borderId="15161" xfId="0" applyFont="1" applyFill="1" applyBorder="1" applyAlignment="1">
      <alignment horizontal="center"/>
    </xf>
    <xf numFmtId="0" fontId="15210" fillId="15215" borderId="15162" xfId="0" applyFont="1" applyFill="1" applyBorder="1"/>
    <xf numFmtId="4" fontId="15211" fillId="15216" borderId="15163" xfId="0" applyNumberFormat="1" applyFont="1" applyFill="1" applyBorder="1"/>
    <xf numFmtId="168" fontId="15212" fillId="15217" borderId="15164" xfId="0" applyNumberFormat="1" applyFont="1" applyFill="1" applyBorder="1"/>
    <xf numFmtId="165" fontId="15213" fillId="15218" borderId="15165" xfId="0" applyNumberFormat="1" applyFont="1" applyFill="1" applyBorder="1"/>
    <xf numFmtId="4" fontId="15214" fillId="15219" borderId="15166" xfId="0" applyNumberFormat="1" applyFont="1" applyFill="1" applyBorder="1"/>
    <xf numFmtId="4" fontId="15215" fillId="15220" borderId="15167" xfId="0" applyNumberFormat="1" applyFont="1" applyFill="1" applyBorder="1"/>
    <xf numFmtId="167" fontId="15216" fillId="15221" borderId="15168" xfId="0" applyNumberFormat="1" applyFont="1" applyFill="1" applyBorder="1"/>
    <xf numFmtId="168" fontId="15217" fillId="15222" borderId="15169" xfId="0" applyNumberFormat="1" applyFont="1" applyFill="1" applyBorder="1"/>
    <xf numFmtId="0" fontId="15218" fillId="15223" borderId="15170" xfId="0" applyFont="1" applyFill="1" applyBorder="1"/>
    <xf numFmtId="0" fontId="15219" fillId="15224" borderId="15171" xfId="0" applyFont="1" applyFill="1" applyBorder="1" applyAlignment="1">
      <alignment wrapText="1"/>
    </xf>
    <xf numFmtId="0" fontId="15220" fillId="15225" borderId="15172" xfId="0" applyFont="1" applyFill="1" applyBorder="1" applyAlignment="1">
      <alignment horizontal="center"/>
    </xf>
    <xf numFmtId="0" fontId="15263" fillId="15268" borderId="15215" xfId="0" applyFont="1" applyFill="1" applyBorder="1" applyAlignment="1">
      <alignment horizontal="center"/>
    </xf>
    <xf numFmtId="14" fontId="15264" fillId="15269" borderId="15216" xfId="0" applyNumberFormat="1" applyFont="1" applyFill="1" applyBorder="1"/>
    <xf numFmtId="0" fontId="15265" fillId="15270" borderId="15217" xfId="0" applyFont="1" applyFill="1" applyBorder="1" applyAlignment="1">
      <alignment horizontal="center"/>
    </xf>
    <xf numFmtId="0" fontId="15266" fillId="15271" borderId="15218" xfId="0" applyFont="1" applyFill="1" applyBorder="1"/>
    <xf numFmtId="4" fontId="15267" fillId="15272" borderId="15219" xfId="0" applyNumberFormat="1" applyFont="1" applyFill="1" applyBorder="1"/>
    <xf numFmtId="168" fontId="15268" fillId="15273" borderId="15220" xfId="0" applyNumberFormat="1" applyFont="1" applyFill="1" applyBorder="1"/>
    <xf numFmtId="165" fontId="15269" fillId="15274" borderId="15221" xfId="0" applyNumberFormat="1" applyFont="1" applyFill="1" applyBorder="1"/>
    <xf numFmtId="0" fontId="15270" fillId="15275" borderId="15222" xfId="0" applyFont="1" applyFill="1" applyBorder="1"/>
    <xf numFmtId="0" fontId="15271" fillId="15276" borderId="15223" xfId="0" applyFont="1" applyFill="1" applyBorder="1"/>
    <xf numFmtId="0" fontId="15272" fillId="15277" borderId="15224" xfId="0" applyFont="1" applyFill="1" applyBorder="1"/>
    <xf numFmtId="0" fontId="15273" fillId="15278" borderId="15225" xfId="0" applyFont="1" applyFill="1" applyBorder="1"/>
    <xf numFmtId="0" fontId="15274" fillId="15279" borderId="15226" xfId="0" applyFont="1" applyFill="1" applyBorder="1"/>
    <xf numFmtId="0" fontId="15275" fillId="15280" borderId="15227" xfId="0" applyFont="1" applyFill="1" applyBorder="1"/>
    <xf numFmtId="0" fontId="15276" fillId="15281" borderId="15228" xfId="0" applyFont="1" applyFill="1" applyBorder="1" applyAlignment="1">
      <alignment horizontal="center"/>
    </xf>
    <xf numFmtId="0" fontId="15305" fillId="15310" borderId="15257" xfId="0" applyFont="1" applyFill="1" applyBorder="1" applyAlignment="1">
      <alignment horizontal="center"/>
    </xf>
    <xf numFmtId="14" fontId="15306" fillId="15311" borderId="15258" xfId="0" applyNumberFormat="1" applyFont="1" applyFill="1" applyBorder="1"/>
    <xf numFmtId="0" fontId="15307" fillId="15312" borderId="15259" xfId="0" applyFont="1" applyFill="1" applyBorder="1" applyAlignment="1">
      <alignment horizontal="center"/>
    </xf>
    <xf numFmtId="0" fontId="15308" fillId="15313" borderId="15260" xfId="0" applyFont="1" applyFill="1" applyBorder="1"/>
    <xf numFmtId="4" fontId="15309" fillId="15314" borderId="15261" xfId="0" applyNumberFormat="1" applyFont="1" applyFill="1" applyBorder="1"/>
    <xf numFmtId="168" fontId="15310" fillId="15315" borderId="15262" xfId="0" applyNumberFormat="1" applyFont="1" applyFill="1" applyBorder="1"/>
    <xf numFmtId="165" fontId="15311" fillId="15316" borderId="15263" xfId="0" applyNumberFormat="1" applyFont="1" applyFill="1" applyBorder="1"/>
    <xf numFmtId="0" fontId="15312" fillId="15317" borderId="15264" xfId="0" applyFont="1" applyFill="1" applyBorder="1"/>
    <xf numFmtId="0" fontId="15313" fillId="15318" borderId="15265" xfId="0" applyFont="1" applyFill="1" applyBorder="1"/>
    <xf numFmtId="0" fontId="15314" fillId="15319" borderId="15266" xfId="0" applyFont="1" applyFill="1" applyBorder="1"/>
    <xf numFmtId="0" fontId="15315" fillId="15320" borderId="15267" xfId="0" applyFont="1" applyFill="1" applyBorder="1"/>
    <xf numFmtId="0" fontId="15316" fillId="15321" borderId="15268" xfId="0" applyFont="1" applyFill="1" applyBorder="1"/>
    <xf numFmtId="0" fontId="15317" fillId="15322" borderId="15269" xfId="0" applyFont="1" applyFill="1" applyBorder="1"/>
    <xf numFmtId="0" fontId="15318" fillId="15323" borderId="15270" xfId="0" applyFont="1" applyFill="1" applyBorder="1" applyAlignment="1">
      <alignment horizontal="center"/>
    </xf>
    <xf numFmtId="0" fontId="15319" fillId="15324" borderId="15271" xfId="0" applyFont="1" applyFill="1" applyBorder="1" applyAlignment="1">
      <alignment horizontal="center"/>
    </xf>
    <xf numFmtId="14" fontId="15320" fillId="15325" borderId="15272" xfId="0" applyNumberFormat="1" applyFont="1" applyFill="1" applyBorder="1"/>
    <xf numFmtId="0" fontId="15321" fillId="15326" borderId="15273" xfId="0" applyFont="1" applyFill="1" applyBorder="1" applyAlignment="1">
      <alignment horizontal="center"/>
    </xf>
    <xf numFmtId="0" fontId="15322" fillId="15327" borderId="15274" xfId="0" applyFont="1" applyFill="1" applyBorder="1"/>
    <xf numFmtId="4" fontId="15323" fillId="15328" borderId="15275" xfId="0" applyNumberFormat="1" applyFont="1" applyFill="1" applyBorder="1"/>
    <xf numFmtId="168" fontId="15324" fillId="15329" borderId="15276" xfId="0" applyNumberFormat="1" applyFont="1" applyFill="1" applyBorder="1"/>
    <xf numFmtId="165" fontId="15325" fillId="15330" borderId="15277" xfId="0" applyNumberFormat="1" applyFont="1" applyFill="1" applyBorder="1"/>
    <xf numFmtId="0" fontId="15326" fillId="15331" borderId="15278" xfId="0" applyFont="1" applyFill="1" applyBorder="1"/>
    <xf numFmtId="0" fontId="15327" fillId="15332" borderId="15279" xfId="0" applyFont="1" applyFill="1" applyBorder="1"/>
    <xf numFmtId="0" fontId="15328" fillId="15333" borderId="15280" xfId="0" applyFont="1" applyFill="1" applyBorder="1"/>
    <xf numFmtId="0" fontId="15329" fillId="15334" borderId="15281" xfId="0" applyFont="1" applyFill="1" applyBorder="1"/>
    <xf numFmtId="0" fontId="15330" fillId="15335" borderId="15282" xfId="0" applyFont="1" applyFill="1" applyBorder="1"/>
    <xf numFmtId="0" fontId="15331" fillId="15336" borderId="15283" xfId="0" applyFont="1" applyFill="1" applyBorder="1"/>
    <xf numFmtId="0" fontId="15332" fillId="15337" borderId="15284" xfId="0" applyFont="1" applyFill="1" applyBorder="1" applyAlignment="1">
      <alignment horizontal="center"/>
    </xf>
    <xf numFmtId="0" fontId="15333" fillId="15338" borderId="15285" xfId="0" applyFont="1" applyFill="1" applyBorder="1" applyAlignment="1">
      <alignment horizontal="center"/>
    </xf>
    <xf numFmtId="14" fontId="15334" fillId="15339" borderId="15286" xfId="0" applyNumberFormat="1" applyFont="1" applyFill="1" applyBorder="1"/>
    <xf numFmtId="0" fontId="15335" fillId="15340" borderId="15287" xfId="0" applyFont="1" applyFill="1" applyBorder="1" applyAlignment="1">
      <alignment horizontal="center"/>
    </xf>
    <xf numFmtId="0" fontId="15336" fillId="15341" borderId="15288" xfId="0" applyFont="1" applyFill="1" applyBorder="1"/>
    <xf numFmtId="4" fontId="15337" fillId="15342" borderId="15289" xfId="0" applyNumberFormat="1" applyFont="1" applyFill="1" applyBorder="1"/>
    <xf numFmtId="168" fontId="15338" fillId="15343" borderId="15290" xfId="0" applyNumberFormat="1" applyFont="1" applyFill="1" applyBorder="1"/>
    <xf numFmtId="165" fontId="15339" fillId="15344" borderId="15291" xfId="0" applyNumberFormat="1" applyFont="1" applyFill="1" applyBorder="1"/>
    <xf numFmtId="0" fontId="15340" fillId="15345" borderId="15292" xfId="0" applyFont="1" applyFill="1" applyBorder="1"/>
    <xf numFmtId="0" fontId="15341" fillId="15346" borderId="15293" xfId="0" applyFont="1" applyFill="1" applyBorder="1"/>
    <xf numFmtId="0" fontId="15342" fillId="15347" borderId="15294" xfId="0" applyFont="1" applyFill="1" applyBorder="1"/>
    <xf numFmtId="0" fontId="15343" fillId="15348" borderId="15295" xfId="0" applyFont="1" applyFill="1" applyBorder="1"/>
    <xf numFmtId="0" fontId="15344" fillId="15349" borderId="15296" xfId="0" applyFont="1" applyFill="1" applyBorder="1"/>
    <xf numFmtId="0" fontId="15345" fillId="15350" borderId="15297" xfId="0" applyFont="1" applyFill="1" applyBorder="1"/>
    <xf numFmtId="0" fontId="15346" fillId="15351" borderId="15298" xfId="0" applyFont="1" applyFill="1" applyBorder="1" applyAlignment="1">
      <alignment horizontal="center"/>
    </xf>
    <xf numFmtId="0" fontId="15347" fillId="15352" borderId="15299" xfId="0" applyFont="1" applyFill="1" applyBorder="1" applyAlignment="1">
      <alignment horizontal="center"/>
    </xf>
    <xf numFmtId="14" fontId="15348" fillId="15353" borderId="15300" xfId="0" applyNumberFormat="1" applyFont="1" applyFill="1" applyBorder="1"/>
    <xf numFmtId="0" fontId="15349" fillId="15354" borderId="15301" xfId="0" applyFont="1" applyFill="1" applyBorder="1" applyAlignment="1">
      <alignment horizontal="center"/>
    </xf>
    <xf numFmtId="0" fontId="15350" fillId="15355" borderId="15302" xfId="0" applyFont="1" applyFill="1" applyBorder="1"/>
    <xf numFmtId="4" fontId="15351" fillId="15356" borderId="15303" xfId="0" applyNumberFormat="1" applyFont="1" applyFill="1" applyBorder="1"/>
    <xf numFmtId="168" fontId="15352" fillId="15357" borderId="15304" xfId="0" applyNumberFormat="1" applyFont="1" applyFill="1" applyBorder="1"/>
    <xf numFmtId="165" fontId="15353" fillId="15358" borderId="15305" xfId="0" applyNumberFormat="1" applyFont="1" applyFill="1" applyBorder="1"/>
    <xf numFmtId="0" fontId="15354" fillId="15359" borderId="15306" xfId="0" applyFont="1" applyFill="1" applyBorder="1"/>
    <xf numFmtId="0" fontId="15355" fillId="15360" borderId="15307" xfId="0" applyFont="1" applyFill="1" applyBorder="1"/>
    <xf numFmtId="0" fontId="15356" fillId="15361" borderId="15308" xfId="0" applyFont="1" applyFill="1" applyBorder="1"/>
    <xf numFmtId="0" fontId="15357" fillId="15362" borderId="15309" xfId="0" applyFont="1" applyFill="1" applyBorder="1"/>
    <xf numFmtId="0" fontId="15358" fillId="15363" borderId="15310" xfId="0" applyFont="1" applyFill="1" applyBorder="1"/>
    <xf numFmtId="0" fontId="15359" fillId="15364" borderId="15311" xfId="0" applyFont="1" applyFill="1" applyBorder="1"/>
    <xf numFmtId="0" fontId="15360" fillId="15365" borderId="15312" xfId="0" applyFont="1" applyFill="1" applyBorder="1" applyAlignment="1">
      <alignment horizontal="center"/>
    </xf>
    <xf numFmtId="0" fontId="15361" fillId="15366" borderId="15313" xfId="0" applyFont="1" applyFill="1" applyBorder="1" applyAlignment="1">
      <alignment horizontal="center"/>
    </xf>
    <xf numFmtId="14" fontId="15362" fillId="15367" borderId="15314" xfId="0" applyNumberFormat="1" applyFont="1" applyFill="1" applyBorder="1"/>
    <xf numFmtId="0" fontId="15363" fillId="15368" borderId="15315" xfId="0" applyFont="1" applyFill="1" applyBorder="1" applyAlignment="1">
      <alignment horizontal="center"/>
    </xf>
    <xf numFmtId="0" fontId="15364" fillId="15369" borderId="15316" xfId="0" applyFont="1" applyFill="1" applyBorder="1"/>
    <xf numFmtId="4" fontId="15365" fillId="15370" borderId="15317" xfId="0" applyNumberFormat="1" applyFont="1" applyFill="1" applyBorder="1"/>
    <xf numFmtId="168" fontId="15366" fillId="15371" borderId="15318" xfId="0" applyNumberFormat="1" applyFont="1" applyFill="1" applyBorder="1"/>
    <xf numFmtId="165" fontId="15367" fillId="15372" borderId="15319" xfId="0" applyNumberFormat="1" applyFont="1" applyFill="1" applyBorder="1"/>
    <xf numFmtId="0" fontId="15368" fillId="15373" borderId="15320" xfId="0" applyFont="1" applyFill="1" applyBorder="1"/>
    <xf numFmtId="0" fontId="15369" fillId="15374" borderId="15321" xfId="0" applyFont="1" applyFill="1" applyBorder="1"/>
    <xf numFmtId="0" fontId="15370" fillId="15375" borderId="15322" xfId="0" applyFont="1" applyFill="1" applyBorder="1"/>
    <xf numFmtId="0" fontId="15371" fillId="15376" borderId="15323" xfId="0" applyFont="1" applyFill="1" applyBorder="1"/>
    <xf numFmtId="0" fontId="15372" fillId="15377" borderId="15324" xfId="0" applyFont="1" applyFill="1" applyBorder="1"/>
    <xf numFmtId="0" fontId="15373" fillId="15378" borderId="15325" xfId="0" applyFont="1" applyFill="1" applyBorder="1"/>
    <xf numFmtId="0" fontId="15374" fillId="15379" borderId="15326" xfId="0" applyFont="1" applyFill="1" applyBorder="1" applyAlignment="1">
      <alignment horizontal="center"/>
    </xf>
    <xf numFmtId="0" fontId="15389" fillId="15394" borderId="15341" xfId="0" applyFont="1" applyFill="1" applyBorder="1" applyAlignment="1">
      <alignment horizontal="center"/>
    </xf>
    <xf numFmtId="14" fontId="15390" fillId="15395" borderId="15342" xfId="0" applyNumberFormat="1" applyFont="1" applyFill="1" applyBorder="1"/>
    <xf numFmtId="0" fontId="15391" fillId="15396" borderId="15343" xfId="0" applyFont="1" applyFill="1" applyBorder="1" applyAlignment="1">
      <alignment horizontal="center"/>
    </xf>
    <xf numFmtId="0" fontId="15392" fillId="15397" borderId="15344" xfId="0" applyFont="1" applyFill="1" applyBorder="1"/>
    <xf numFmtId="4" fontId="15393" fillId="15398" borderId="15345" xfId="0" applyNumberFormat="1" applyFont="1" applyFill="1" applyBorder="1"/>
    <xf numFmtId="168" fontId="15394" fillId="15399" borderId="15346" xfId="0" applyNumberFormat="1" applyFont="1" applyFill="1" applyBorder="1"/>
    <xf numFmtId="165" fontId="15395" fillId="15400" borderId="15347" xfId="0" applyNumberFormat="1" applyFont="1" applyFill="1" applyBorder="1"/>
    <xf numFmtId="0" fontId="15396" fillId="15401" borderId="15348" xfId="0" applyFont="1" applyFill="1" applyBorder="1"/>
    <xf numFmtId="0" fontId="15397" fillId="15402" borderId="15349" xfId="0" applyFont="1" applyFill="1" applyBorder="1"/>
    <xf numFmtId="0" fontId="15398" fillId="15403" borderId="15350" xfId="0" applyFont="1" applyFill="1" applyBorder="1"/>
    <xf numFmtId="0" fontId="15399" fillId="15404" borderId="15351" xfId="0" applyFont="1" applyFill="1" applyBorder="1"/>
    <xf numFmtId="0" fontId="15400" fillId="15405" borderId="15352" xfId="0" applyFont="1" applyFill="1" applyBorder="1"/>
    <xf numFmtId="0" fontId="15401" fillId="15406" borderId="15353" xfId="0" applyFont="1" applyFill="1" applyBorder="1"/>
    <xf numFmtId="0" fontId="15402" fillId="15407" borderId="15354" xfId="0" applyFont="1" applyFill="1" applyBorder="1" applyAlignment="1">
      <alignment horizontal="center"/>
    </xf>
    <xf numFmtId="0" fontId="15403" fillId="15408" borderId="15355" xfId="0" applyFont="1" applyFill="1" applyBorder="1" applyAlignment="1">
      <alignment horizontal="center"/>
    </xf>
    <xf numFmtId="14" fontId="15404" fillId="15409" borderId="15356" xfId="0" applyNumberFormat="1" applyFont="1" applyFill="1" applyBorder="1"/>
    <xf numFmtId="0" fontId="15405" fillId="15410" borderId="15357" xfId="0" applyFont="1" applyFill="1" applyBorder="1" applyAlignment="1">
      <alignment horizontal="center"/>
    </xf>
    <xf numFmtId="0" fontId="15406" fillId="15411" borderId="15358" xfId="0" applyFont="1" applyFill="1" applyBorder="1"/>
    <xf numFmtId="4" fontId="15407" fillId="15412" borderId="15359" xfId="0" applyNumberFormat="1" applyFont="1" applyFill="1" applyBorder="1"/>
    <xf numFmtId="168" fontId="15408" fillId="15413" borderId="15360" xfId="0" applyNumberFormat="1" applyFont="1" applyFill="1" applyBorder="1"/>
    <xf numFmtId="165" fontId="15409" fillId="15414" borderId="15361" xfId="0" applyNumberFormat="1" applyFont="1" applyFill="1" applyBorder="1"/>
    <xf numFmtId="0" fontId="15410" fillId="15415" borderId="15362" xfId="0" applyFont="1" applyFill="1" applyBorder="1"/>
    <xf numFmtId="0" fontId="15411" fillId="15416" borderId="15363" xfId="0" applyFont="1" applyFill="1" applyBorder="1"/>
    <xf numFmtId="0" fontId="15412" fillId="15417" borderId="15364" xfId="0" applyFont="1" applyFill="1" applyBorder="1"/>
    <xf numFmtId="0" fontId="15413" fillId="15418" borderId="15365" xfId="0" applyFont="1" applyFill="1" applyBorder="1"/>
    <xf numFmtId="0" fontId="15414" fillId="15419" borderId="15366" xfId="0" applyFont="1" applyFill="1" applyBorder="1"/>
    <xf numFmtId="0" fontId="15415" fillId="15420" borderId="15367" xfId="0" applyFont="1" applyFill="1" applyBorder="1"/>
    <xf numFmtId="0" fontId="15416" fillId="15421" borderId="15368" xfId="0" applyFont="1" applyFill="1" applyBorder="1" applyAlignment="1">
      <alignment horizontal="center"/>
    </xf>
    <xf numFmtId="0" fontId="15417" fillId="15422" borderId="15369" xfId="0" applyFont="1" applyFill="1" applyBorder="1" applyAlignment="1">
      <alignment horizontal="center"/>
    </xf>
    <xf numFmtId="14" fontId="15418" fillId="15423" borderId="15370" xfId="0" applyNumberFormat="1" applyFont="1" applyFill="1" applyBorder="1"/>
    <xf numFmtId="0" fontId="15419" fillId="15424" borderId="15371" xfId="0" applyFont="1" applyFill="1" applyBorder="1" applyAlignment="1">
      <alignment horizontal="center"/>
    </xf>
    <xf numFmtId="0" fontId="15420" fillId="15425" borderId="15372" xfId="0" applyFont="1" applyFill="1" applyBorder="1"/>
    <xf numFmtId="4" fontId="15421" fillId="15426" borderId="15373" xfId="0" applyNumberFormat="1" applyFont="1" applyFill="1" applyBorder="1"/>
    <xf numFmtId="168" fontId="15422" fillId="15427" borderId="15374" xfId="0" applyNumberFormat="1" applyFont="1" applyFill="1" applyBorder="1"/>
    <xf numFmtId="165" fontId="15423" fillId="15428" borderId="15375" xfId="0" applyNumberFormat="1" applyFont="1" applyFill="1" applyBorder="1"/>
    <xf numFmtId="0" fontId="15424" fillId="15429" borderId="15376" xfId="0" applyFont="1" applyFill="1" applyBorder="1"/>
    <xf numFmtId="0" fontId="15425" fillId="15430" borderId="15377" xfId="0" applyFont="1" applyFill="1" applyBorder="1"/>
    <xf numFmtId="0" fontId="15426" fillId="15431" borderId="15378" xfId="0" applyFont="1" applyFill="1" applyBorder="1"/>
    <xf numFmtId="0" fontId="15427" fillId="15432" borderId="15379" xfId="0" applyFont="1" applyFill="1" applyBorder="1"/>
    <xf numFmtId="0" fontId="15428" fillId="15433" borderId="15380" xfId="0" applyFont="1" applyFill="1" applyBorder="1"/>
    <xf numFmtId="0" fontId="15429" fillId="15434" borderId="15381" xfId="0" applyFont="1" applyFill="1" applyBorder="1"/>
    <xf numFmtId="0" fontId="15430" fillId="15435" borderId="15382" xfId="0" applyFont="1" applyFill="1" applyBorder="1" applyAlignment="1">
      <alignment horizontal="center"/>
    </xf>
    <xf numFmtId="0" fontId="15431" fillId="15436" borderId="15383" xfId="0" applyFont="1" applyFill="1" applyBorder="1" applyAlignment="1">
      <alignment horizontal="center"/>
    </xf>
    <xf numFmtId="14" fontId="15432" fillId="15437" borderId="15384" xfId="0" applyNumberFormat="1" applyFont="1" applyFill="1" applyBorder="1"/>
    <xf numFmtId="0" fontId="15433" fillId="15438" borderId="15385" xfId="0" applyFont="1" applyFill="1" applyBorder="1" applyAlignment="1">
      <alignment horizontal="center"/>
    </xf>
    <xf numFmtId="0" fontId="15434" fillId="15439" borderId="15386" xfId="0" applyFont="1" applyFill="1" applyBorder="1"/>
    <xf numFmtId="4" fontId="15435" fillId="15440" borderId="15387" xfId="0" applyNumberFormat="1" applyFont="1" applyFill="1" applyBorder="1"/>
    <xf numFmtId="168" fontId="15436" fillId="15441" borderId="15388" xfId="0" applyNumberFormat="1" applyFont="1" applyFill="1" applyBorder="1"/>
    <xf numFmtId="165" fontId="15437" fillId="15442" borderId="15389" xfId="0" applyNumberFormat="1" applyFont="1" applyFill="1" applyBorder="1"/>
    <xf numFmtId="0" fontId="15438" fillId="15443" borderId="15390" xfId="0" applyFont="1" applyFill="1" applyBorder="1"/>
    <xf numFmtId="0" fontId="15439" fillId="15444" borderId="15391" xfId="0" applyFont="1" applyFill="1" applyBorder="1"/>
    <xf numFmtId="0" fontId="15440" fillId="15445" borderId="15392" xfId="0" applyFont="1" applyFill="1" applyBorder="1"/>
    <xf numFmtId="0" fontId="15441" fillId="15446" borderId="15393" xfId="0" applyFont="1" applyFill="1" applyBorder="1"/>
    <xf numFmtId="0" fontId="15442" fillId="15447" borderId="15394" xfId="0" applyFont="1" applyFill="1" applyBorder="1"/>
    <xf numFmtId="0" fontId="15443" fillId="15448" borderId="15395" xfId="0" applyFont="1" applyFill="1" applyBorder="1"/>
    <xf numFmtId="0" fontId="15444" fillId="15449" borderId="15396" xfId="0" applyFont="1" applyFill="1" applyBorder="1" applyAlignment="1">
      <alignment horizontal="center"/>
    </xf>
    <xf numFmtId="0" fontId="15445" fillId="15450" borderId="15397" xfId="0" applyFont="1" applyFill="1" applyBorder="1" applyAlignment="1">
      <alignment horizontal="center"/>
    </xf>
    <xf numFmtId="14" fontId="15446" fillId="15451" borderId="15398" xfId="0" applyNumberFormat="1" applyFont="1" applyFill="1" applyBorder="1"/>
    <xf numFmtId="0" fontId="15447" fillId="15452" borderId="15399" xfId="0" applyFont="1" applyFill="1" applyBorder="1" applyAlignment="1">
      <alignment horizontal="center"/>
    </xf>
    <xf numFmtId="0" fontId="15448" fillId="15453" borderId="15400" xfId="0" applyFont="1" applyFill="1" applyBorder="1"/>
    <xf numFmtId="4" fontId="15449" fillId="15454" borderId="15401" xfId="0" applyNumberFormat="1" applyFont="1" applyFill="1" applyBorder="1"/>
    <xf numFmtId="168" fontId="15450" fillId="15455" borderId="15402" xfId="0" applyNumberFormat="1" applyFont="1" applyFill="1" applyBorder="1"/>
    <xf numFmtId="165" fontId="15451" fillId="15456" borderId="15403" xfId="0" applyNumberFormat="1" applyFont="1" applyFill="1" applyBorder="1"/>
    <xf numFmtId="0" fontId="15452" fillId="15457" borderId="15404" xfId="0" applyFont="1" applyFill="1" applyBorder="1"/>
    <xf numFmtId="0" fontId="15453" fillId="15458" borderId="15405" xfId="0" applyFont="1" applyFill="1" applyBorder="1"/>
    <xf numFmtId="0" fontId="15454" fillId="15459" borderId="15406" xfId="0" applyFont="1" applyFill="1" applyBorder="1"/>
    <xf numFmtId="0" fontId="15455" fillId="15460" borderId="15407" xfId="0" applyFont="1" applyFill="1" applyBorder="1"/>
    <xf numFmtId="0" fontId="15456" fillId="15461" borderId="15408" xfId="0" applyFont="1" applyFill="1" applyBorder="1"/>
    <xf numFmtId="0" fontId="15457" fillId="15462" borderId="15409" xfId="0" applyFont="1" applyFill="1" applyBorder="1"/>
    <xf numFmtId="0" fontId="15458" fillId="15463" borderId="15410" xfId="0" applyFont="1" applyFill="1" applyBorder="1" applyAlignment="1">
      <alignment horizontal="center"/>
    </xf>
    <xf numFmtId="0" fontId="15459" fillId="15464" borderId="15411" xfId="0" applyFont="1" applyFill="1" applyBorder="1" applyAlignment="1">
      <alignment horizontal="center"/>
    </xf>
    <xf numFmtId="14" fontId="15460" fillId="15465" borderId="15412" xfId="0" applyNumberFormat="1" applyFont="1" applyFill="1" applyBorder="1"/>
    <xf numFmtId="0" fontId="15461" fillId="15466" borderId="15413" xfId="0" applyFont="1" applyFill="1" applyBorder="1" applyAlignment="1">
      <alignment horizontal="center"/>
    </xf>
    <xf numFmtId="0" fontId="15462" fillId="15467" borderId="15414" xfId="0" applyFont="1" applyFill="1" applyBorder="1"/>
    <xf numFmtId="4" fontId="15463" fillId="15468" borderId="15415" xfId="0" applyNumberFormat="1" applyFont="1" applyFill="1" applyBorder="1"/>
    <xf numFmtId="168" fontId="15464" fillId="15469" borderId="15416" xfId="0" applyNumberFormat="1" applyFont="1" applyFill="1" applyBorder="1"/>
    <xf numFmtId="165" fontId="15465" fillId="15470" borderId="15417" xfId="0" applyNumberFormat="1" applyFont="1" applyFill="1" applyBorder="1"/>
    <xf numFmtId="0" fontId="15466" fillId="15471" borderId="15418" xfId="0" applyFont="1" applyFill="1" applyBorder="1"/>
    <xf numFmtId="0" fontId="15467" fillId="15472" borderId="15419" xfId="0" applyFont="1" applyFill="1" applyBorder="1"/>
    <xf numFmtId="0" fontId="15468" fillId="15473" borderId="15420" xfId="0" applyFont="1" applyFill="1" applyBorder="1"/>
    <xf numFmtId="0" fontId="15469" fillId="15474" borderId="15421" xfId="0" applyFont="1" applyFill="1" applyBorder="1"/>
    <xf numFmtId="0" fontId="15470" fillId="15475" borderId="15422" xfId="0" applyFont="1" applyFill="1" applyBorder="1"/>
    <xf numFmtId="0" fontId="15471" fillId="15476" borderId="15423" xfId="0" applyFont="1" applyFill="1" applyBorder="1"/>
    <xf numFmtId="0" fontId="15472" fillId="15477" borderId="15424" xfId="0" applyFont="1" applyFill="1" applyBorder="1" applyAlignment="1">
      <alignment horizontal="center"/>
    </xf>
    <xf numFmtId="0" fontId="15473" fillId="15478" borderId="15425" xfId="0" applyFont="1" applyFill="1" applyBorder="1" applyAlignment="1">
      <alignment horizontal="center"/>
    </xf>
    <xf numFmtId="14" fontId="15474" fillId="15479" borderId="15426" xfId="0" applyNumberFormat="1" applyFont="1" applyFill="1" applyBorder="1"/>
    <xf numFmtId="0" fontId="15475" fillId="15480" borderId="15427" xfId="0" applyFont="1" applyFill="1" applyBorder="1" applyAlignment="1">
      <alignment horizontal="center"/>
    </xf>
    <xf numFmtId="0" fontId="15476" fillId="15481" borderId="15428" xfId="0" applyFont="1" applyFill="1" applyBorder="1"/>
    <xf numFmtId="4" fontId="15477" fillId="15482" borderId="15429" xfId="0" applyNumberFormat="1" applyFont="1" applyFill="1" applyBorder="1"/>
    <xf numFmtId="168" fontId="15478" fillId="15483" borderId="15430" xfId="0" applyNumberFormat="1" applyFont="1" applyFill="1" applyBorder="1"/>
    <xf numFmtId="165" fontId="15479" fillId="15484" borderId="15431" xfId="0" applyNumberFormat="1" applyFont="1" applyFill="1" applyBorder="1"/>
    <xf numFmtId="0" fontId="15480" fillId="15485" borderId="15432" xfId="0" applyFont="1" applyFill="1" applyBorder="1"/>
    <xf numFmtId="0" fontId="15481" fillId="15486" borderId="15433" xfId="0" applyFont="1" applyFill="1" applyBorder="1"/>
    <xf numFmtId="0" fontId="15482" fillId="15487" borderId="15434" xfId="0" applyFont="1" applyFill="1" applyBorder="1"/>
    <xf numFmtId="0" fontId="15483" fillId="15488" borderId="15435" xfId="0" applyFont="1" applyFill="1" applyBorder="1"/>
    <xf numFmtId="0" fontId="15484" fillId="15489" borderId="15436" xfId="0" applyFont="1" applyFill="1" applyBorder="1"/>
    <xf numFmtId="0" fontId="15485" fillId="15490" borderId="15437" xfId="0" applyFont="1" applyFill="1" applyBorder="1"/>
    <xf numFmtId="0" fontId="15486" fillId="15491" borderId="15438" xfId="0" applyFont="1" applyFill="1" applyBorder="1" applyAlignment="1">
      <alignment horizontal="center"/>
    </xf>
    <xf numFmtId="0" fontId="15487" fillId="15492" borderId="15439" xfId="0" applyFont="1" applyFill="1" applyBorder="1" applyAlignment="1">
      <alignment horizontal="center"/>
    </xf>
    <xf numFmtId="14" fontId="15488" fillId="15493" borderId="15440" xfId="0" applyNumberFormat="1" applyFont="1" applyFill="1" applyBorder="1"/>
    <xf numFmtId="0" fontId="15489" fillId="15494" borderId="15441" xfId="0" applyFont="1" applyFill="1" applyBorder="1" applyAlignment="1">
      <alignment horizontal="center"/>
    </xf>
    <xf numFmtId="0" fontId="15490" fillId="15495" borderId="15442" xfId="0" applyFont="1" applyFill="1" applyBorder="1"/>
    <xf numFmtId="4" fontId="15491" fillId="15496" borderId="15443" xfId="0" applyNumberFormat="1" applyFont="1" applyFill="1" applyBorder="1"/>
    <xf numFmtId="168" fontId="15492" fillId="15497" borderId="15444" xfId="0" applyNumberFormat="1" applyFont="1" applyFill="1" applyBorder="1"/>
    <xf numFmtId="165" fontId="15493" fillId="15498" borderId="15445" xfId="0" applyNumberFormat="1" applyFont="1" applyFill="1" applyBorder="1"/>
    <xf numFmtId="0" fontId="15494" fillId="15499" borderId="15446" xfId="0" applyFont="1" applyFill="1" applyBorder="1"/>
    <xf numFmtId="0" fontId="15495" fillId="15500" borderId="15447" xfId="0" applyFont="1" applyFill="1" applyBorder="1"/>
    <xf numFmtId="0" fontId="15496" fillId="15501" borderId="15448" xfId="0" applyFont="1" applyFill="1" applyBorder="1"/>
    <xf numFmtId="0" fontId="15497" fillId="15502" borderId="15449" xfId="0" applyFont="1" applyFill="1" applyBorder="1"/>
    <xf numFmtId="0" fontId="15498" fillId="15503" borderId="15450" xfId="0" applyFont="1" applyFill="1" applyBorder="1"/>
    <xf numFmtId="0" fontId="15499" fillId="15504" borderId="15451" xfId="0" applyFont="1" applyFill="1" applyBorder="1"/>
    <xf numFmtId="0" fontId="15500" fillId="15505" borderId="15452" xfId="0" applyFont="1" applyFill="1" applyBorder="1" applyAlignment="1">
      <alignment horizontal="center"/>
    </xf>
    <xf numFmtId="0" fontId="15501" fillId="15506" borderId="15453" xfId="0" applyFont="1" applyFill="1" applyBorder="1" applyAlignment="1">
      <alignment horizontal="center"/>
    </xf>
    <xf numFmtId="14" fontId="15502" fillId="15507" borderId="15454" xfId="0" applyNumberFormat="1" applyFont="1" applyFill="1" applyBorder="1"/>
    <xf numFmtId="0" fontId="15503" fillId="15508" borderId="15455" xfId="0" applyFont="1" applyFill="1" applyBorder="1" applyAlignment="1">
      <alignment horizontal="center"/>
    </xf>
    <xf numFmtId="0" fontId="15504" fillId="15509" borderId="15456" xfId="0" applyFont="1" applyFill="1" applyBorder="1"/>
    <xf numFmtId="4" fontId="15505" fillId="15510" borderId="15457" xfId="0" applyNumberFormat="1" applyFont="1" applyFill="1" applyBorder="1"/>
    <xf numFmtId="168" fontId="15506" fillId="15511" borderId="15458" xfId="0" applyNumberFormat="1" applyFont="1" applyFill="1" applyBorder="1"/>
    <xf numFmtId="165" fontId="15507" fillId="15512" borderId="15459" xfId="0" applyNumberFormat="1" applyFont="1" applyFill="1" applyBorder="1"/>
    <xf numFmtId="0" fontId="15508" fillId="15513" borderId="15460" xfId="0" applyFont="1" applyFill="1" applyBorder="1"/>
    <xf numFmtId="0" fontId="15509" fillId="15514" borderId="15461" xfId="0" applyFont="1" applyFill="1" applyBorder="1"/>
    <xf numFmtId="0" fontId="15510" fillId="15515" borderId="15462" xfId="0" applyFont="1" applyFill="1" applyBorder="1"/>
    <xf numFmtId="0" fontId="15511" fillId="15516" borderId="15463" xfId="0" applyFont="1" applyFill="1" applyBorder="1"/>
    <xf numFmtId="0" fontId="15512" fillId="15517" borderId="15464" xfId="0" applyFont="1" applyFill="1" applyBorder="1"/>
    <xf numFmtId="0" fontId="15513" fillId="15518" borderId="15465" xfId="0" applyFont="1" applyFill="1" applyBorder="1"/>
    <xf numFmtId="0" fontId="15514" fillId="15519" borderId="15466" xfId="0" applyFont="1" applyFill="1" applyBorder="1" applyAlignment="1">
      <alignment horizontal="center"/>
    </xf>
    <xf numFmtId="0" fontId="15515" fillId="15520" borderId="15467" xfId="0" applyFont="1" applyFill="1" applyBorder="1" applyAlignment="1">
      <alignment horizontal="center"/>
    </xf>
    <xf numFmtId="14" fontId="15516" fillId="15521" borderId="15468" xfId="0" applyNumberFormat="1" applyFont="1" applyFill="1" applyBorder="1"/>
    <xf numFmtId="0" fontId="15517" fillId="15522" borderId="15469" xfId="0" applyFont="1" applyFill="1" applyBorder="1" applyAlignment="1">
      <alignment horizontal="center"/>
    </xf>
    <xf numFmtId="0" fontId="15518" fillId="15523" borderId="15470" xfId="0" applyFont="1" applyFill="1" applyBorder="1"/>
    <xf numFmtId="4" fontId="15519" fillId="15524" borderId="15471" xfId="0" applyNumberFormat="1" applyFont="1" applyFill="1" applyBorder="1"/>
    <xf numFmtId="168" fontId="15520" fillId="15525" borderId="15472" xfId="0" applyNumberFormat="1" applyFont="1" applyFill="1" applyBorder="1"/>
    <xf numFmtId="165" fontId="15521" fillId="15526" borderId="15473" xfId="0" applyNumberFormat="1" applyFont="1" applyFill="1" applyBorder="1"/>
    <xf numFmtId="0" fontId="15522" fillId="15527" borderId="15474" xfId="0" applyFont="1" applyFill="1" applyBorder="1"/>
    <xf numFmtId="0" fontId="15523" fillId="15528" borderId="15475" xfId="0" applyFont="1" applyFill="1" applyBorder="1"/>
    <xf numFmtId="0" fontId="15524" fillId="15529" borderId="15476" xfId="0" applyFont="1" applyFill="1" applyBorder="1"/>
    <xf numFmtId="0" fontId="15525" fillId="15530" borderId="15477" xfId="0" applyFont="1" applyFill="1" applyBorder="1"/>
    <xf numFmtId="0" fontId="15526" fillId="15531" borderId="15478" xfId="0" applyFont="1" applyFill="1" applyBorder="1"/>
    <xf numFmtId="0" fontId="15527" fillId="15532" borderId="15479" xfId="0" applyFont="1" applyFill="1" applyBorder="1"/>
    <xf numFmtId="0" fontId="15528" fillId="15533" borderId="15480" xfId="0" applyFont="1" applyFill="1" applyBorder="1" applyAlignment="1">
      <alignment horizontal="center"/>
    </xf>
    <xf numFmtId="0" fontId="15529" fillId="15534" borderId="15481" xfId="0" applyFont="1" applyFill="1" applyBorder="1" applyAlignment="1">
      <alignment horizontal="center"/>
    </xf>
    <xf numFmtId="14" fontId="15530" fillId="15535" borderId="15482" xfId="0" applyNumberFormat="1" applyFont="1" applyFill="1" applyBorder="1"/>
    <xf numFmtId="0" fontId="15531" fillId="15536" borderId="15483" xfId="0" applyFont="1" applyFill="1" applyBorder="1" applyAlignment="1">
      <alignment horizontal="center"/>
    </xf>
    <xf numFmtId="0" fontId="15532" fillId="15537" borderId="15484" xfId="0" applyFont="1" applyFill="1" applyBorder="1"/>
    <xf numFmtId="4" fontId="15533" fillId="15538" borderId="15485" xfId="0" applyNumberFormat="1" applyFont="1" applyFill="1" applyBorder="1"/>
    <xf numFmtId="168" fontId="15534" fillId="15539" borderId="15486" xfId="0" applyNumberFormat="1" applyFont="1" applyFill="1" applyBorder="1"/>
    <xf numFmtId="165" fontId="15535" fillId="15540" borderId="15487" xfId="0" applyNumberFormat="1" applyFont="1" applyFill="1" applyBorder="1"/>
    <xf numFmtId="0" fontId="15536" fillId="15541" borderId="15488" xfId="0" applyFont="1" applyFill="1" applyBorder="1"/>
    <xf numFmtId="0" fontId="15537" fillId="15542" borderId="15489" xfId="0" applyFont="1" applyFill="1" applyBorder="1"/>
    <xf numFmtId="0" fontId="15538" fillId="15543" borderId="15490" xfId="0" applyFont="1" applyFill="1" applyBorder="1"/>
    <xf numFmtId="0" fontId="15539" fillId="15544" borderId="15491" xfId="0" applyFont="1" applyFill="1" applyBorder="1"/>
    <xf numFmtId="0" fontId="15540" fillId="15545" borderId="15492" xfId="0" applyFont="1" applyFill="1" applyBorder="1"/>
    <xf numFmtId="0" fontId="15541" fillId="15546" borderId="15493" xfId="0" applyFont="1" applyFill="1" applyBorder="1"/>
    <xf numFmtId="0" fontId="15542" fillId="15547" borderId="15494" xfId="0" applyFont="1" applyFill="1" applyBorder="1" applyAlignment="1">
      <alignment horizontal="center"/>
    </xf>
    <xf numFmtId="0" fontId="15543" fillId="15548" borderId="15495" xfId="0" applyFont="1" applyFill="1" applyBorder="1" applyAlignment="1">
      <alignment horizontal="center"/>
    </xf>
    <xf numFmtId="14" fontId="15544" fillId="15549" borderId="15496" xfId="0" applyNumberFormat="1" applyFont="1" applyFill="1" applyBorder="1"/>
    <xf numFmtId="0" fontId="15545" fillId="15550" borderId="15497" xfId="0" applyFont="1" applyFill="1" applyBorder="1" applyAlignment="1">
      <alignment horizontal="center"/>
    </xf>
    <xf numFmtId="0" fontId="15546" fillId="15551" borderId="15498" xfId="0" applyFont="1" applyFill="1" applyBorder="1"/>
    <xf numFmtId="4" fontId="15547" fillId="15552" borderId="15499" xfId="0" applyNumberFormat="1" applyFont="1" applyFill="1" applyBorder="1"/>
    <xf numFmtId="168" fontId="15548" fillId="15553" borderId="15500" xfId="0" applyNumberFormat="1" applyFont="1" applyFill="1" applyBorder="1"/>
    <xf numFmtId="165" fontId="15549" fillId="15554" borderId="15501" xfId="0" applyNumberFormat="1" applyFont="1" applyFill="1" applyBorder="1"/>
    <xf numFmtId="0" fontId="15550" fillId="15555" borderId="15502" xfId="0" applyFont="1" applyFill="1" applyBorder="1"/>
    <xf numFmtId="0" fontId="15551" fillId="15556" borderId="15503" xfId="0" applyFont="1" applyFill="1" applyBorder="1"/>
    <xf numFmtId="0" fontId="15552" fillId="15557" borderId="15504" xfId="0" applyFont="1" applyFill="1" applyBorder="1"/>
    <xf numFmtId="0" fontId="15553" fillId="15558" borderId="15505" xfId="0" applyFont="1" applyFill="1" applyBorder="1"/>
    <xf numFmtId="0" fontId="15554" fillId="15559" borderId="15506" xfId="0" applyFont="1" applyFill="1" applyBorder="1"/>
    <xf numFmtId="0" fontId="15555" fillId="15560" borderId="15507" xfId="0" applyFont="1" applyFill="1" applyBorder="1"/>
    <xf numFmtId="0" fontId="15556" fillId="15561" borderId="15508" xfId="0" applyFont="1" applyFill="1" applyBorder="1" applyAlignment="1">
      <alignment horizontal="center"/>
    </xf>
    <xf numFmtId="0" fontId="15557" fillId="15562" borderId="15509" xfId="0" applyFont="1" applyFill="1" applyBorder="1" applyAlignment="1">
      <alignment horizontal="center"/>
    </xf>
    <xf numFmtId="14" fontId="15558" fillId="15563" borderId="15510" xfId="0" applyNumberFormat="1" applyFont="1" applyFill="1" applyBorder="1"/>
    <xf numFmtId="0" fontId="15559" fillId="15564" borderId="15511" xfId="0" applyFont="1" applyFill="1" applyBorder="1" applyAlignment="1">
      <alignment horizontal="center"/>
    </xf>
    <xf numFmtId="0" fontId="15560" fillId="15565" borderId="15512" xfId="0" applyFont="1" applyFill="1" applyBorder="1"/>
    <xf numFmtId="4" fontId="15561" fillId="15566" borderId="15513" xfId="0" applyNumberFormat="1" applyFont="1" applyFill="1" applyBorder="1"/>
    <xf numFmtId="168" fontId="15562" fillId="15567" borderId="15514" xfId="0" applyNumberFormat="1" applyFont="1" applyFill="1" applyBorder="1"/>
    <xf numFmtId="165" fontId="15563" fillId="15568" borderId="15515" xfId="0" applyNumberFormat="1" applyFont="1" applyFill="1" applyBorder="1"/>
    <xf numFmtId="0" fontId="15564" fillId="15569" borderId="15516" xfId="0" applyFont="1" applyFill="1" applyBorder="1"/>
    <xf numFmtId="0" fontId="15565" fillId="15570" borderId="15517" xfId="0" applyFont="1" applyFill="1" applyBorder="1"/>
    <xf numFmtId="0" fontId="15566" fillId="15571" borderId="15518" xfId="0" applyFont="1" applyFill="1" applyBorder="1"/>
    <xf numFmtId="0" fontId="15567" fillId="15572" borderId="15519" xfId="0" applyFont="1" applyFill="1" applyBorder="1"/>
    <xf numFmtId="0" fontId="15568" fillId="15573" borderId="15520" xfId="0" applyFont="1" applyFill="1" applyBorder="1"/>
    <xf numFmtId="0" fontId="15569" fillId="15574" borderId="15521" xfId="0" applyFont="1" applyFill="1" applyBorder="1"/>
    <xf numFmtId="0" fontId="15570" fillId="15575" borderId="15522" xfId="0" applyFont="1" applyFill="1" applyBorder="1" applyAlignment="1">
      <alignment horizontal="center"/>
    </xf>
    <xf numFmtId="0" fontId="15571" fillId="15576" borderId="15523" xfId="0" applyFont="1" applyFill="1" applyBorder="1" applyAlignment="1">
      <alignment horizontal="center"/>
    </xf>
    <xf numFmtId="14" fontId="15572" fillId="15577" borderId="15524" xfId="0" applyNumberFormat="1" applyFont="1" applyFill="1" applyBorder="1"/>
    <xf numFmtId="0" fontId="15573" fillId="15578" borderId="15525" xfId="0" applyFont="1" applyFill="1" applyBorder="1" applyAlignment="1">
      <alignment horizontal="center"/>
    </xf>
    <xf numFmtId="0" fontId="15574" fillId="15579" borderId="15526" xfId="0" applyFont="1" applyFill="1" applyBorder="1"/>
    <xf numFmtId="4" fontId="15575" fillId="15580" borderId="15527" xfId="0" applyNumberFormat="1" applyFont="1" applyFill="1" applyBorder="1"/>
    <xf numFmtId="168" fontId="15576" fillId="15581" borderId="15528" xfId="0" applyNumberFormat="1" applyFont="1" applyFill="1" applyBorder="1"/>
    <xf numFmtId="165" fontId="15577" fillId="15582" borderId="15529" xfId="0" applyNumberFormat="1" applyFont="1" applyFill="1" applyBorder="1"/>
    <xf numFmtId="0" fontId="15578" fillId="15583" borderId="15530" xfId="0" applyFont="1" applyFill="1" applyBorder="1"/>
    <xf numFmtId="0" fontId="15579" fillId="15584" borderId="15531" xfId="0" applyFont="1" applyFill="1" applyBorder="1"/>
    <xf numFmtId="0" fontId="15580" fillId="15585" borderId="15532" xfId="0" applyFont="1" applyFill="1" applyBorder="1"/>
    <xf numFmtId="0" fontId="15581" fillId="15586" borderId="15533" xfId="0" applyFont="1" applyFill="1" applyBorder="1"/>
    <xf numFmtId="0" fontId="15582" fillId="15587" borderId="15534" xfId="0" applyFont="1" applyFill="1" applyBorder="1"/>
    <xf numFmtId="0" fontId="15583" fillId="15588" borderId="15535" xfId="0" applyFont="1" applyFill="1" applyBorder="1"/>
    <xf numFmtId="0" fontId="15584" fillId="15589" borderId="15536" xfId="0" applyFont="1" applyFill="1" applyBorder="1" applyAlignment="1">
      <alignment horizontal="center"/>
    </xf>
    <xf numFmtId="0" fontId="15655" fillId="15660" borderId="15607" xfId="0" applyFont="1" applyFill="1" applyBorder="1" applyAlignment="1">
      <alignment horizontal="center"/>
    </xf>
    <xf numFmtId="14" fontId="15656" fillId="15661" borderId="15608" xfId="0" applyNumberFormat="1" applyFont="1" applyFill="1" applyBorder="1"/>
    <xf numFmtId="0" fontId="15657" fillId="15662" borderId="15609" xfId="0" applyFont="1" applyFill="1" applyBorder="1" applyAlignment="1">
      <alignment horizontal="center"/>
    </xf>
    <xf numFmtId="0" fontId="15658" fillId="15663" borderId="15610" xfId="0" applyFont="1" applyFill="1" applyBorder="1"/>
    <xf numFmtId="4" fontId="15659" fillId="15664" borderId="15611" xfId="0" applyNumberFormat="1" applyFont="1" applyFill="1" applyBorder="1"/>
    <xf numFmtId="168" fontId="15660" fillId="15665" borderId="15612" xfId="0" applyNumberFormat="1" applyFont="1" applyFill="1" applyBorder="1"/>
    <xf numFmtId="165" fontId="15661" fillId="15666" borderId="15613" xfId="0" applyNumberFormat="1" applyFont="1" applyFill="1" applyBorder="1"/>
    <xf numFmtId="0" fontId="15662" fillId="15667" borderId="15614" xfId="0" applyFont="1" applyFill="1" applyBorder="1"/>
    <xf numFmtId="0" fontId="15663" fillId="15668" borderId="15615" xfId="0" applyFont="1" applyFill="1" applyBorder="1"/>
    <xf numFmtId="0" fontId="15664" fillId="15669" borderId="15616" xfId="0" applyFont="1" applyFill="1" applyBorder="1"/>
    <xf numFmtId="0" fontId="15665" fillId="15670" borderId="15617" xfId="0" applyFont="1" applyFill="1" applyBorder="1"/>
    <xf numFmtId="0" fontId="15666" fillId="15671" borderId="15618" xfId="0" applyFont="1" applyFill="1" applyBorder="1"/>
    <xf numFmtId="0" fontId="15667" fillId="15672" borderId="15619" xfId="0" applyFont="1" applyFill="1" applyBorder="1"/>
    <xf numFmtId="0" fontId="15668" fillId="15673" borderId="15620" xfId="0" applyFont="1" applyFill="1" applyBorder="1" applyAlignment="1">
      <alignment horizontal="center"/>
    </xf>
    <xf numFmtId="0" fontId="15669" fillId="15674" borderId="15621" xfId="0" applyFont="1" applyFill="1" applyBorder="1" applyAlignment="1">
      <alignment horizontal="center"/>
    </xf>
    <xf numFmtId="14" fontId="15670" fillId="15675" borderId="15622" xfId="0" applyNumberFormat="1" applyFont="1" applyFill="1" applyBorder="1"/>
    <xf numFmtId="0" fontId="15671" fillId="15676" borderId="15623" xfId="0" applyFont="1" applyFill="1" applyBorder="1" applyAlignment="1">
      <alignment horizontal="center"/>
    </xf>
    <xf numFmtId="0" fontId="15672" fillId="15677" borderId="15624" xfId="0" applyFont="1" applyFill="1" applyBorder="1"/>
    <xf numFmtId="4" fontId="15673" fillId="15678" borderId="15625" xfId="0" applyNumberFormat="1" applyFont="1" applyFill="1" applyBorder="1"/>
    <xf numFmtId="168" fontId="15674" fillId="15679" borderId="15626" xfId="0" applyNumberFormat="1" applyFont="1" applyFill="1" applyBorder="1"/>
    <xf numFmtId="165" fontId="15675" fillId="15680" borderId="15627" xfId="0" applyNumberFormat="1" applyFont="1" applyFill="1" applyBorder="1"/>
    <xf numFmtId="0" fontId="15676" fillId="15681" borderId="15628" xfId="0" applyFont="1" applyFill="1" applyBorder="1"/>
    <xf numFmtId="0" fontId="15677" fillId="15682" borderId="15629" xfId="0" applyFont="1" applyFill="1" applyBorder="1"/>
    <xf numFmtId="0" fontId="15678" fillId="15683" borderId="15630" xfId="0" applyFont="1" applyFill="1" applyBorder="1"/>
    <xf numFmtId="0" fontId="15679" fillId="15684" borderId="15631" xfId="0" applyFont="1" applyFill="1" applyBorder="1"/>
    <xf numFmtId="0" fontId="15680" fillId="15685" borderId="15632" xfId="0" applyFont="1" applyFill="1" applyBorder="1"/>
    <xf numFmtId="0" fontId="15681" fillId="15686" borderId="15633" xfId="0" applyFont="1" applyFill="1" applyBorder="1"/>
    <xf numFmtId="0" fontId="15682" fillId="15687" borderId="15634" xfId="0" applyFont="1" applyFill="1" applyBorder="1" applyAlignment="1">
      <alignment horizontal="center"/>
    </xf>
    <xf numFmtId="0" fontId="15683" fillId="15688" borderId="15635" xfId="0" applyFont="1" applyFill="1" applyBorder="1" applyAlignment="1">
      <alignment horizontal="center"/>
    </xf>
    <xf numFmtId="14" fontId="15684" fillId="15689" borderId="15636" xfId="0" applyNumberFormat="1" applyFont="1" applyFill="1" applyBorder="1"/>
    <xf numFmtId="0" fontId="15685" fillId="15690" borderId="15637" xfId="0" applyFont="1" applyFill="1" applyBorder="1" applyAlignment="1">
      <alignment horizontal="center"/>
    </xf>
    <xf numFmtId="0" fontId="15686" fillId="15691" borderId="15638" xfId="0" applyFont="1" applyFill="1" applyBorder="1"/>
    <xf numFmtId="4" fontId="15687" fillId="15692" borderId="15639" xfId="0" applyNumberFormat="1" applyFont="1" applyFill="1" applyBorder="1"/>
    <xf numFmtId="168" fontId="15688" fillId="15693" borderId="15640" xfId="0" applyNumberFormat="1" applyFont="1" applyFill="1" applyBorder="1"/>
    <xf numFmtId="165" fontId="15689" fillId="15694" borderId="15641" xfId="0" applyNumberFormat="1" applyFont="1" applyFill="1" applyBorder="1"/>
    <xf numFmtId="0" fontId="15690" fillId="15695" borderId="15642" xfId="0" applyFont="1" applyFill="1" applyBorder="1"/>
    <xf numFmtId="0" fontId="15691" fillId="15696" borderId="15643" xfId="0" applyFont="1" applyFill="1" applyBorder="1"/>
    <xf numFmtId="0" fontId="15692" fillId="15697" borderId="15644" xfId="0" applyFont="1" applyFill="1" applyBorder="1"/>
    <xf numFmtId="0" fontId="15693" fillId="15698" borderId="15645" xfId="0" applyFont="1" applyFill="1" applyBorder="1"/>
    <xf numFmtId="0" fontId="15694" fillId="15699" borderId="15646" xfId="0" applyFont="1" applyFill="1" applyBorder="1"/>
    <xf numFmtId="0" fontId="15695" fillId="15700" borderId="15647" xfId="0" applyFont="1" applyFill="1" applyBorder="1"/>
    <xf numFmtId="0" fontId="15696" fillId="15701" borderId="15648" xfId="0" applyFont="1" applyFill="1" applyBorder="1" applyAlignment="1">
      <alignment horizontal="center"/>
    </xf>
    <xf numFmtId="0" fontId="15697" fillId="15702" borderId="15649" xfId="0" applyFont="1" applyFill="1" applyBorder="1" applyAlignment="1">
      <alignment horizontal="center"/>
    </xf>
    <xf numFmtId="14" fontId="15698" fillId="15703" borderId="15650" xfId="0" applyNumberFormat="1" applyFont="1" applyFill="1" applyBorder="1"/>
    <xf numFmtId="0" fontId="15699" fillId="15704" borderId="15651" xfId="0" applyFont="1" applyFill="1" applyBorder="1" applyAlignment="1">
      <alignment horizontal="center"/>
    </xf>
    <xf numFmtId="0" fontId="15700" fillId="15705" borderId="15652" xfId="0" applyFont="1" applyFill="1" applyBorder="1"/>
    <xf numFmtId="4" fontId="15701" fillId="15706" borderId="15653" xfId="0" applyNumberFormat="1" applyFont="1" applyFill="1" applyBorder="1"/>
    <xf numFmtId="168" fontId="15702" fillId="15707" borderId="15654" xfId="0" applyNumberFormat="1" applyFont="1" applyFill="1" applyBorder="1"/>
    <xf numFmtId="165" fontId="15703" fillId="15708" borderId="15655" xfId="0" applyNumberFormat="1" applyFont="1" applyFill="1" applyBorder="1"/>
    <xf numFmtId="0" fontId="15704" fillId="15709" borderId="15656" xfId="0" applyFont="1" applyFill="1" applyBorder="1"/>
    <xf numFmtId="0" fontId="15705" fillId="15710" borderId="15657" xfId="0" applyFont="1" applyFill="1" applyBorder="1"/>
    <xf numFmtId="0" fontId="15706" fillId="15711" borderId="15658" xfId="0" applyFont="1" applyFill="1" applyBorder="1"/>
    <xf numFmtId="0" fontId="15707" fillId="15712" borderId="15659" xfId="0" applyFont="1" applyFill="1" applyBorder="1"/>
    <xf numFmtId="0" fontId="15708" fillId="15713" borderId="15660" xfId="0" applyFont="1" applyFill="1" applyBorder="1"/>
    <xf numFmtId="0" fontId="15709" fillId="15714" borderId="15661" xfId="0" applyFont="1" applyFill="1" applyBorder="1"/>
    <xf numFmtId="0" fontId="15710" fillId="15715" borderId="15662" xfId="0" applyFont="1" applyFill="1" applyBorder="1" applyAlignment="1">
      <alignment horizontal="center"/>
    </xf>
    <xf numFmtId="0" fontId="15711" fillId="15716" borderId="15663" xfId="0" applyFont="1" applyFill="1" applyBorder="1"/>
    <xf numFmtId="0" fontId="15249" fillId="15254" borderId="14964" xfId="0" applyFont="1" applyFill="1" applyBorder="1" applyAlignment="1">
      <alignment horizontal="center"/>
    </xf>
    <xf numFmtId="0" fontId="15599" fillId="15604" borderId="15201" xfId="0" applyFont="1" applyFill="1" applyBorder="1" applyAlignment="1">
      <alignment horizontal="center"/>
    </xf>
    <xf numFmtId="0" fontId="15277" fillId="15282" borderId="15551" xfId="0" applyFont="1" applyFill="1" applyBorder="1" applyAlignment="1">
      <alignment horizontal="center"/>
    </xf>
    <xf numFmtId="0" fontId="15235" fillId="15240" borderId="15229" xfId="0" applyFont="1" applyFill="1" applyBorder="1" applyAlignment="1">
      <alignment horizontal="center"/>
    </xf>
    <xf numFmtId="0" fontId="15641" fillId="15646" borderId="15187" xfId="0" applyFont="1" applyFill="1" applyBorder="1" applyAlignment="1">
      <alignment horizontal="center"/>
    </xf>
    <xf numFmtId="0" fontId="15291" fillId="15296" borderId="15593" xfId="0" applyFont="1" applyFill="1" applyBorder="1" applyAlignment="1">
      <alignment horizontal="center"/>
    </xf>
    <xf numFmtId="0" fontId="15012" fillId="15017" borderId="15243" xfId="0" applyFont="1" applyFill="1" applyBorder="1" applyAlignment="1">
      <alignment horizontal="center"/>
    </xf>
    <xf numFmtId="0" fontId="15375" fillId="15380" borderId="14978" xfId="0" applyFont="1" applyFill="1" applyBorder="1" applyAlignment="1">
      <alignment horizontal="center"/>
    </xf>
    <xf numFmtId="0" fontId="15026" fillId="15031" borderId="15327" xfId="0" applyFont="1" applyFill="1" applyBorder="1" applyAlignment="1">
      <alignment horizontal="center"/>
    </xf>
    <xf numFmtId="0" fontId="15585" fillId="15590" borderId="15173" xfId="0" applyFont="1" applyFill="1" applyBorder="1" applyAlignment="1">
      <alignment horizontal="center"/>
    </xf>
    <xf numFmtId="0" fontId="15613" fillId="15618" borderId="15537" xfId="0" applyFont="1" applyFill="1" applyBorder="1" applyAlignment="1">
      <alignment horizontal="center"/>
    </xf>
    <xf numFmtId="0" fontId="15627" fillId="15632" borderId="15565" xfId="0" applyFont="1" applyFill="1" applyBorder="1" applyAlignment="1">
      <alignment horizontal="center"/>
    </xf>
    <xf numFmtId="0" fontId="15221" fillId="15226" borderId="15579" xfId="0" applyFont="1" applyFill="1" applyBorder="1" applyAlignment="1">
      <alignment horizontal="center"/>
    </xf>
    <xf numFmtId="14" fontId="15250" fillId="15255" borderId="14965" xfId="0" applyNumberFormat="1" applyFont="1" applyFill="1" applyBorder="1"/>
    <xf numFmtId="14" fontId="15600" fillId="15605" borderId="15202" xfId="0" applyNumberFormat="1" applyFont="1" applyFill="1" applyBorder="1"/>
    <xf numFmtId="14" fontId="15278" fillId="15283" borderId="15552" xfId="0" applyNumberFormat="1" applyFont="1" applyFill="1" applyBorder="1"/>
    <xf numFmtId="14" fontId="15236" fillId="15241" borderId="15230" xfId="0" applyNumberFormat="1" applyFont="1" applyFill="1" applyBorder="1"/>
    <xf numFmtId="14" fontId="15642" fillId="15647" borderId="15188" xfId="0" applyNumberFormat="1" applyFont="1" applyFill="1" applyBorder="1"/>
    <xf numFmtId="14" fontId="15292" fillId="15297" borderId="15594" xfId="0" applyNumberFormat="1" applyFont="1" applyFill="1" applyBorder="1"/>
    <xf numFmtId="14" fontId="15013" fillId="15018" borderId="15244" xfId="0" applyNumberFormat="1" applyFont="1" applyFill="1" applyBorder="1"/>
    <xf numFmtId="14" fontId="15376" fillId="15381" borderId="14979" xfId="0" applyNumberFormat="1" applyFont="1" applyFill="1" applyBorder="1"/>
    <xf numFmtId="14" fontId="15027" fillId="15032" borderId="15328" xfId="0" applyNumberFormat="1" applyFont="1" applyFill="1" applyBorder="1"/>
    <xf numFmtId="14" fontId="15586" fillId="15591" borderId="15174" xfId="0" applyNumberFormat="1" applyFont="1" applyFill="1" applyBorder="1"/>
    <xf numFmtId="14" fontId="15614" fillId="15619" borderId="15538" xfId="0" applyNumberFormat="1" applyFont="1" applyFill="1" applyBorder="1"/>
    <xf numFmtId="14" fontId="15628" fillId="15633" borderId="15566" xfId="0" applyNumberFormat="1" applyFont="1" applyFill="1" applyBorder="1"/>
    <xf numFmtId="14" fontId="15222" fillId="15227" borderId="15580" xfId="0" applyNumberFormat="1" applyFont="1" applyFill="1" applyBorder="1"/>
    <xf numFmtId="0" fontId="15251" fillId="15256" borderId="14966" xfId="0" applyFont="1" applyFill="1" applyBorder="1" applyAlignment="1">
      <alignment horizontal="center"/>
    </xf>
    <xf numFmtId="0" fontId="15601" fillId="15606" borderId="15203" xfId="0" applyFont="1" applyFill="1" applyBorder="1" applyAlignment="1">
      <alignment horizontal="center"/>
    </xf>
    <xf numFmtId="0" fontId="15279" fillId="15284" borderId="15553" xfId="0" applyFont="1" applyFill="1" applyBorder="1" applyAlignment="1">
      <alignment horizontal="center"/>
    </xf>
    <xf numFmtId="0" fontId="15237" fillId="15242" borderId="15231" xfId="0" applyFont="1" applyFill="1" applyBorder="1" applyAlignment="1">
      <alignment horizontal="center"/>
    </xf>
    <xf numFmtId="0" fontId="15643" fillId="15648" borderId="15189" xfId="0" applyFont="1" applyFill="1" applyBorder="1" applyAlignment="1">
      <alignment horizontal="center"/>
    </xf>
    <xf numFmtId="0" fontId="15293" fillId="15298" borderId="15595" xfId="0" applyFont="1" applyFill="1" applyBorder="1" applyAlignment="1">
      <alignment horizontal="center"/>
    </xf>
    <xf numFmtId="0" fontId="15014" fillId="15019" borderId="15245" xfId="0" applyFont="1" applyFill="1" applyBorder="1" applyAlignment="1">
      <alignment horizontal="center"/>
    </xf>
    <xf numFmtId="0" fontId="15377" fillId="15382" borderId="14980" xfId="0" applyFont="1" applyFill="1" applyBorder="1" applyAlignment="1">
      <alignment horizontal="center"/>
    </xf>
    <xf numFmtId="0" fontId="15028" fillId="15033" borderId="15329" xfId="0" applyFont="1" applyFill="1" applyBorder="1" applyAlignment="1">
      <alignment horizontal="center"/>
    </xf>
    <xf numFmtId="0" fontId="15587" fillId="15592" borderId="15175" xfId="0" applyFont="1" applyFill="1" applyBorder="1" applyAlignment="1">
      <alignment horizontal="center"/>
    </xf>
    <xf numFmtId="0" fontId="15615" fillId="15620" borderId="15539" xfId="0" applyFont="1" applyFill="1" applyBorder="1" applyAlignment="1">
      <alignment horizontal="center"/>
    </xf>
    <xf numFmtId="0" fontId="15629" fillId="15634" borderId="15567" xfId="0" applyFont="1" applyFill="1" applyBorder="1" applyAlignment="1">
      <alignment horizontal="center"/>
    </xf>
    <xf numFmtId="0" fontId="15223" fillId="15228" borderId="15581" xfId="0" applyFont="1" applyFill="1" applyBorder="1" applyAlignment="1">
      <alignment horizontal="center"/>
    </xf>
    <xf numFmtId="0" fontId="15252" fillId="15257" borderId="14967" xfId="0" applyFont="1" applyFill="1" applyBorder="1"/>
    <xf numFmtId="0" fontId="15602" fillId="15607" borderId="15204" xfId="0" applyFont="1" applyFill="1" applyBorder="1"/>
    <xf numFmtId="0" fontId="15280" fillId="15285" borderId="15554" xfId="0" applyFont="1" applyFill="1" applyBorder="1"/>
    <xf numFmtId="0" fontId="15238" fillId="15243" borderId="15232" xfId="0" applyFont="1" applyFill="1" applyBorder="1"/>
    <xf numFmtId="0" fontId="15644" fillId="15649" borderId="15190" xfId="0" applyFont="1" applyFill="1" applyBorder="1"/>
    <xf numFmtId="0" fontId="15294" fillId="15299" borderId="15596" xfId="0" applyFont="1" applyFill="1" applyBorder="1"/>
    <xf numFmtId="0" fontId="15015" fillId="15020" borderId="15246" xfId="0" applyFont="1" applyFill="1" applyBorder="1"/>
    <xf numFmtId="0" fontId="15378" fillId="15383" borderId="14981" xfId="0" applyFont="1" applyFill="1" applyBorder="1"/>
    <xf numFmtId="0" fontId="15029" fillId="15034" borderId="15330" xfId="0" applyFont="1" applyFill="1" applyBorder="1"/>
    <xf numFmtId="0" fontId="15588" fillId="15593" borderId="15176" xfId="0" applyFont="1" applyFill="1" applyBorder="1"/>
    <xf numFmtId="0" fontId="15616" fillId="15621" borderId="15540" xfId="0" applyFont="1" applyFill="1" applyBorder="1"/>
    <xf numFmtId="0" fontId="15630" fillId="15635" borderId="15568" xfId="0" applyFont="1" applyFill="1" applyBorder="1"/>
    <xf numFmtId="0" fontId="15224" fillId="15229" borderId="15582" xfId="0" applyFont="1" applyFill="1" applyBorder="1"/>
    <xf numFmtId="4" fontId="15253" fillId="15258" borderId="14968" xfId="0" applyNumberFormat="1" applyFont="1" applyFill="1" applyBorder="1"/>
    <xf numFmtId="4" fontId="15603" fillId="15608" borderId="15205" xfId="0" applyNumberFormat="1" applyFont="1" applyFill="1" applyBorder="1"/>
    <xf numFmtId="4" fontId="15281" fillId="15286" borderId="15555" xfId="0" applyNumberFormat="1" applyFont="1" applyFill="1" applyBorder="1"/>
    <xf numFmtId="4" fontId="15239" fillId="15244" borderId="15233" xfId="0" applyNumberFormat="1" applyFont="1" applyFill="1" applyBorder="1"/>
    <xf numFmtId="4" fontId="15645" fillId="15650" borderId="15191" xfId="0" applyNumberFormat="1" applyFont="1" applyFill="1" applyBorder="1"/>
    <xf numFmtId="4" fontId="15295" fillId="15300" borderId="15597" xfId="0" applyNumberFormat="1" applyFont="1" applyFill="1" applyBorder="1"/>
    <xf numFmtId="4" fontId="15016" fillId="15021" borderId="15247" xfId="0" applyNumberFormat="1" applyFont="1" applyFill="1" applyBorder="1"/>
    <xf numFmtId="4" fontId="15379" fillId="15384" borderId="14982" xfId="0" applyNumberFormat="1" applyFont="1" applyFill="1" applyBorder="1"/>
    <xf numFmtId="4" fontId="15030" fillId="15035" borderId="15331" xfId="0" applyNumberFormat="1" applyFont="1" applyFill="1" applyBorder="1"/>
    <xf numFmtId="4" fontId="15589" fillId="15594" borderId="15177" xfId="0" applyNumberFormat="1" applyFont="1" applyFill="1" applyBorder="1"/>
    <xf numFmtId="4" fontId="15617" fillId="15622" borderId="15541" xfId="0" applyNumberFormat="1" applyFont="1" applyFill="1" applyBorder="1"/>
    <xf numFmtId="4" fontId="15631" fillId="15636" borderId="15569" xfId="0" applyNumberFormat="1" applyFont="1" applyFill="1" applyBorder="1"/>
    <xf numFmtId="4" fontId="15225" fillId="15230" borderId="15583" xfId="0" applyNumberFormat="1" applyFont="1" applyFill="1" applyBorder="1"/>
    <xf numFmtId="168" fontId="15254" fillId="15259" borderId="14969" xfId="0" applyNumberFormat="1" applyFont="1" applyFill="1" applyBorder="1"/>
    <xf numFmtId="168" fontId="15604" fillId="15609" borderId="15206" xfId="0" applyNumberFormat="1" applyFont="1" applyFill="1" applyBorder="1"/>
    <xf numFmtId="168" fontId="15282" fillId="15287" borderId="15556" xfId="0" applyNumberFormat="1" applyFont="1" applyFill="1" applyBorder="1"/>
    <xf numFmtId="168" fontId="15240" fillId="15245" borderId="15234" xfId="0" applyNumberFormat="1" applyFont="1" applyFill="1" applyBorder="1"/>
    <xf numFmtId="168" fontId="15646" fillId="15651" borderId="15192" xfId="0" applyNumberFormat="1" applyFont="1" applyFill="1" applyBorder="1"/>
    <xf numFmtId="168" fontId="15296" fillId="15301" borderId="15598" xfId="0" applyNumberFormat="1" applyFont="1" applyFill="1" applyBorder="1"/>
    <xf numFmtId="168" fontId="15017" fillId="15022" borderId="15248" xfId="0" applyNumberFormat="1" applyFont="1" applyFill="1" applyBorder="1"/>
    <xf numFmtId="168" fontId="15380" fillId="15385" borderId="14983" xfId="0" applyNumberFormat="1" applyFont="1" applyFill="1" applyBorder="1"/>
    <xf numFmtId="168" fontId="15031" fillId="15036" borderId="15332" xfId="0" applyNumberFormat="1" applyFont="1" applyFill="1" applyBorder="1"/>
    <xf numFmtId="168" fontId="15590" fillId="15595" borderId="15178" xfId="0" applyNumberFormat="1" applyFont="1" applyFill="1" applyBorder="1"/>
    <xf numFmtId="168" fontId="15618" fillId="15623" borderId="15542" xfId="0" applyNumberFormat="1" applyFont="1" applyFill="1" applyBorder="1"/>
    <xf numFmtId="168" fontId="15632" fillId="15637" borderId="15570" xfId="0" applyNumberFormat="1" applyFont="1" applyFill="1" applyBorder="1"/>
    <xf numFmtId="168" fontId="15226" fillId="15231" borderId="15584" xfId="0" applyNumberFormat="1" applyFont="1" applyFill="1" applyBorder="1"/>
    <xf numFmtId="165" fontId="15255" fillId="15260" borderId="14970" xfId="0" applyNumberFormat="1" applyFont="1" applyFill="1" applyBorder="1"/>
    <xf numFmtId="165" fontId="15605" fillId="15610" borderId="15207" xfId="0" applyNumberFormat="1" applyFont="1" applyFill="1" applyBorder="1"/>
    <xf numFmtId="165" fontId="15283" fillId="15288" borderId="15557" xfId="0" applyNumberFormat="1" applyFont="1" applyFill="1" applyBorder="1"/>
    <xf numFmtId="165" fontId="15241" fillId="15246" borderId="15235" xfId="0" applyNumberFormat="1" applyFont="1" applyFill="1" applyBorder="1"/>
    <xf numFmtId="165" fontId="15647" fillId="15652" borderId="15193" xfId="0" applyNumberFormat="1" applyFont="1" applyFill="1" applyBorder="1"/>
    <xf numFmtId="165" fontId="15297" fillId="15302" borderId="15599" xfId="0" applyNumberFormat="1" applyFont="1" applyFill="1" applyBorder="1"/>
    <xf numFmtId="165" fontId="15018" fillId="15023" borderId="15249" xfId="0" applyNumberFormat="1" applyFont="1" applyFill="1" applyBorder="1"/>
    <xf numFmtId="165" fontId="15381" fillId="15386" borderId="14984" xfId="0" applyNumberFormat="1" applyFont="1" applyFill="1" applyBorder="1"/>
    <xf numFmtId="165" fontId="15032" fillId="15037" borderId="15333" xfId="0" applyNumberFormat="1" applyFont="1" applyFill="1" applyBorder="1"/>
    <xf numFmtId="165" fontId="15591" fillId="15596" borderId="15179" xfId="0" applyNumberFormat="1" applyFont="1" applyFill="1" applyBorder="1"/>
    <xf numFmtId="165" fontId="15619" fillId="15624" borderId="15543" xfId="0" applyNumberFormat="1" applyFont="1" applyFill="1" applyBorder="1"/>
    <xf numFmtId="165" fontId="15633" fillId="15638" borderId="15571" xfId="0" applyNumberFormat="1" applyFont="1" applyFill="1" applyBorder="1"/>
    <xf numFmtId="165" fontId="15227" fillId="15232" borderId="15585" xfId="0" applyNumberFormat="1" applyFont="1" applyFill="1" applyBorder="1"/>
    <xf numFmtId="0" fontId="15256" fillId="15261" borderId="14971" xfId="0" applyFont="1" applyFill="1" applyBorder="1"/>
    <xf numFmtId="0" fontId="15606" fillId="15611" borderId="15208" xfId="0" applyFont="1" applyFill="1" applyBorder="1"/>
    <xf numFmtId="0" fontId="15284" fillId="15289" borderId="15558" xfId="0" applyFont="1" applyFill="1" applyBorder="1"/>
    <xf numFmtId="0" fontId="15242" fillId="15247" borderId="15236" xfId="0" applyFont="1" applyFill="1" applyBorder="1"/>
    <xf numFmtId="0" fontId="15648" fillId="15653" borderId="15194" xfId="0" applyFont="1" applyFill="1" applyBorder="1"/>
    <xf numFmtId="0" fontId="15298" fillId="15303" borderId="15600" xfId="0" applyFont="1" applyFill="1" applyBorder="1"/>
    <xf numFmtId="4" fontId="15019" fillId="15024" borderId="15250" xfId="0" applyNumberFormat="1" applyFont="1" applyFill="1" applyBorder="1"/>
    <xf numFmtId="0" fontId="15382" fillId="15387" borderId="14985" xfId="0" applyFont="1" applyFill="1" applyBorder="1"/>
    <xf numFmtId="4" fontId="15033" fillId="15038" borderId="15334" xfId="0" applyNumberFormat="1" applyFont="1" applyFill="1" applyBorder="1"/>
    <xf numFmtId="0" fontId="15592" fillId="15597" borderId="15180" xfId="0" applyFont="1" applyFill="1" applyBorder="1"/>
    <xf numFmtId="0" fontId="15620" fillId="15625" borderId="15544" xfId="0" applyFont="1" applyFill="1" applyBorder="1"/>
    <xf numFmtId="0" fontId="15634" fillId="15639" borderId="15572" xfId="0" applyFont="1" applyFill="1" applyBorder="1"/>
    <xf numFmtId="4" fontId="15228" fillId="15233" borderId="15586" xfId="0" applyNumberFormat="1" applyFont="1" applyFill="1" applyBorder="1"/>
    <xf numFmtId="0" fontId="15257" fillId="15262" borderId="14972" xfId="0" applyFont="1" applyFill="1" applyBorder="1"/>
    <xf numFmtId="0" fontId="15607" fillId="15612" borderId="15209" xfId="0" applyFont="1" applyFill="1" applyBorder="1"/>
    <xf numFmtId="0" fontId="15285" fillId="15290" borderId="15559" xfId="0" applyFont="1" applyFill="1" applyBorder="1"/>
    <xf numFmtId="0" fontId="15243" fillId="15248" borderId="15237" xfId="0" applyFont="1" applyFill="1" applyBorder="1"/>
    <xf numFmtId="0" fontId="15649" fillId="15654" borderId="15195" xfId="0" applyFont="1" applyFill="1" applyBorder="1"/>
    <xf numFmtId="0" fontId="15299" fillId="15304" borderId="15601" xfId="0" applyFont="1" applyFill="1" applyBorder="1"/>
    <xf numFmtId="4" fontId="15020" fillId="15025" borderId="15251" xfId="0" applyNumberFormat="1" applyFont="1" applyFill="1" applyBorder="1"/>
    <xf numFmtId="0" fontId="15383" fillId="15388" borderId="14986" xfId="0" applyFont="1" applyFill="1" applyBorder="1"/>
    <xf numFmtId="4" fontId="15034" fillId="15039" borderId="15335" xfId="0" applyNumberFormat="1" applyFont="1" applyFill="1" applyBorder="1"/>
    <xf numFmtId="0" fontId="15593" fillId="15598" borderId="15181" xfId="0" applyFont="1" applyFill="1" applyBorder="1"/>
    <xf numFmtId="0" fontId="15621" fillId="15626" borderId="15545" xfId="0" applyFont="1" applyFill="1" applyBorder="1"/>
    <xf numFmtId="0" fontId="15635" fillId="15640" borderId="15573" xfId="0" applyFont="1" applyFill="1" applyBorder="1"/>
    <xf numFmtId="4" fontId="15229" fillId="15234" borderId="15587" xfId="0" applyNumberFormat="1" applyFont="1" applyFill="1" applyBorder="1"/>
    <xf numFmtId="0" fontId="15258" fillId="15263" borderId="14973" xfId="0" applyFont="1" applyFill="1" applyBorder="1"/>
    <xf numFmtId="0" fontId="15608" fillId="15613" borderId="15210" xfId="0" applyFont="1" applyFill="1" applyBorder="1"/>
    <xf numFmtId="0" fontId="15286" fillId="15291" borderId="15560" xfId="0" applyFont="1" applyFill="1" applyBorder="1"/>
    <xf numFmtId="0" fontId="15244" fillId="15249" borderId="15238" xfId="0" applyFont="1" applyFill="1" applyBorder="1"/>
    <xf numFmtId="0" fontId="15650" fillId="15655" borderId="15196" xfId="0" applyFont="1" applyFill="1" applyBorder="1"/>
    <xf numFmtId="0" fontId="15300" fillId="15305" borderId="15602" xfId="0" applyFont="1" applyFill="1" applyBorder="1"/>
    <xf numFmtId="167" fontId="15021" fillId="15026" borderId="15252" xfId="0" applyNumberFormat="1" applyFont="1" applyFill="1" applyBorder="1"/>
    <xf numFmtId="0" fontId="15384" fillId="15389" borderId="14987" xfId="0" applyFont="1" applyFill="1" applyBorder="1"/>
    <xf numFmtId="167" fontId="15035" fillId="15040" borderId="15336" xfId="0" applyNumberFormat="1" applyFont="1" applyFill="1" applyBorder="1"/>
    <xf numFmtId="0" fontId="15594" fillId="15599" borderId="15182" xfId="0" applyFont="1" applyFill="1" applyBorder="1"/>
    <xf numFmtId="0" fontId="15622" fillId="15627" borderId="15546" xfId="0" applyFont="1" applyFill="1" applyBorder="1"/>
    <xf numFmtId="0" fontId="15636" fillId="15641" borderId="15574" xfId="0" applyFont="1" applyFill="1" applyBorder="1"/>
    <xf numFmtId="0" fontId="15230" fillId="15235" borderId="15588" xfId="0" applyFont="1" applyFill="1" applyBorder="1"/>
    <xf numFmtId="0" fontId="15259" fillId="15264" borderId="14974" xfId="0" applyFont="1" applyFill="1" applyBorder="1"/>
    <xf numFmtId="0" fontId="15609" fillId="15614" borderId="15211" xfId="0" applyFont="1" applyFill="1" applyBorder="1"/>
    <xf numFmtId="0" fontId="15287" fillId="15292" borderId="15561" xfId="0" applyFont="1" applyFill="1" applyBorder="1"/>
    <xf numFmtId="0" fontId="15245" fillId="15250" borderId="15239" xfId="0" applyFont="1" applyFill="1" applyBorder="1"/>
    <xf numFmtId="0" fontId="15651" fillId="15656" borderId="15197" xfId="0" applyFont="1" applyFill="1" applyBorder="1"/>
    <xf numFmtId="0" fontId="15301" fillId="15306" borderId="15603" xfId="0" applyFont="1" applyFill="1" applyBorder="1"/>
    <xf numFmtId="168" fontId="15022" fillId="15027" borderId="15253" xfId="0" applyNumberFormat="1" applyFont="1" applyFill="1" applyBorder="1"/>
    <xf numFmtId="0" fontId="15385" fillId="15390" borderId="14988" xfId="0" applyFont="1" applyFill="1" applyBorder="1"/>
    <xf numFmtId="168" fontId="15036" fillId="15041" borderId="15337" xfId="0" applyNumberFormat="1" applyFont="1" applyFill="1" applyBorder="1"/>
    <xf numFmtId="0" fontId="15595" fillId="15600" borderId="15183" xfId="0" applyFont="1" applyFill="1" applyBorder="1"/>
    <xf numFmtId="0" fontId="15623" fillId="15628" borderId="15547" xfId="0" applyFont="1" applyFill="1" applyBorder="1"/>
    <xf numFmtId="0" fontId="15637" fillId="15642" borderId="15575" xfId="0" applyFont="1" applyFill="1" applyBorder="1"/>
    <xf numFmtId="168" fontId="15231" fillId="15236" borderId="15589" xfId="0" applyNumberFormat="1" applyFont="1" applyFill="1" applyBorder="1"/>
    <xf numFmtId="0" fontId="15260" fillId="15265" borderId="14975" xfId="0" applyFont="1" applyFill="1" applyBorder="1"/>
    <xf numFmtId="0" fontId="15610" fillId="15615" borderId="15212" xfId="0" applyFont="1" applyFill="1" applyBorder="1"/>
    <xf numFmtId="0" fontId="15288" fillId="15293" borderId="15562" xfId="0" applyFont="1" applyFill="1" applyBorder="1"/>
    <xf numFmtId="0" fontId="15246" fillId="15251" borderId="15240" xfId="0" applyFont="1" applyFill="1" applyBorder="1"/>
    <xf numFmtId="0" fontId="15652" fillId="15657" borderId="15198" xfId="0" applyFont="1" applyFill="1" applyBorder="1"/>
    <xf numFmtId="0" fontId="15302" fillId="15307" borderId="15604" xfId="0" applyFont="1" applyFill="1" applyBorder="1"/>
    <xf numFmtId="0" fontId="15023" fillId="15028" borderId="15254" xfId="0" applyFont="1" applyFill="1" applyBorder="1"/>
    <xf numFmtId="0" fontId="15386" fillId="15391" borderId="14989" xfId="0" applyFont="1" applyFill="1" applyBorder="1"/>
    <xf numFmtId="0" fontId="15037" fillId="15042" borderId="15338" xfId="0" applyFont="1" applyFill="1" applyBorder="1"/>
    <xf numFmtId="0" fontId="15596" fillId="15601" borderId="15184" xfId="0" applyFont="1" applyFill="1" applyBorder="1"/>
    <xf numFmtId="0" fontId="15624" fillId="15629" borderId="15548" xfId="0" applyFont="1" applyFill="1" applyBorder="1"/>
    <xf numFmtId="0" fontId="15638" fillId="15643" borderId="15576" xfId="0" applyFont="1" applyFill="1" applyBorder="1"/>
    <xf numFmtId="0" fontId="15232" fillId="15237" borderId="15590" xfId="0" applyFont="1" applyFill="1" applyBorder="1"/>
    <xf numFmtId="0" fontId="15261" fillId="15266" borderId="14976" xfId="0" applyFont="1" applyFill="1" applyBorder="1"/>
    <xf numFmtId="0" fontId="15611" fillId="15616" borderId="15213" xfId="0" applyFont="1" applyFill="1" applyBorder="1"/>
    <xf numFmtId="0" fontId="15289" fillId="15294" borderId="15563" xfId="0" applyFont="1" applyFill="1" applyBorder="1"/>
    <xf numFmtId="0" fontId="15247" fillId="15252" borderId="15241" xfId="0" applyFont="1" applyFill="1" applyBorder="1"/>
    <xf numFmtId="0" fontId="15653" fillId="15658" borderId="15199" xfId="0" applyFont="1" applyFill="1" applyBorder="1"/>
    <xf numFmtId="0" fontId="15303" fillId="15308" borderId="15605" xfId="0" applyFont="1" applyFill="1" applyBorder="1"/>
    <xf numFmtId="0" fontId="15024" fillId="15029" borderId="15255" xfId="0" applyFont="1" applyFill="1" applyBorder="1" applyAlignment="1">
      <alignment wrapText="1"/>
    </xf>
    <xf numFmtId="0" fontId="15387" fillId="15392" borderId="14990" xfId="0" applyFont="1" applyFill="1" applyBorder="1"/>
    <xf numFmtId="0" fontId="15038" fillId="15043" borderId="15339" xfId="0" applyFont="1" applyFill="1" applyBorder="1" applyAlignment="1">
      <alignment wrapText="1"/>
    </xf>
    <xf numFmtId="0" fontId="15597" fillId="15602" borderId="15185" xfId="0" applyFont="1" applyFill="1" applyBorder="1"/>
    <xf numFmtId="0" fontId="15625" fillId="15630" borderId="15549" xfId="0" applyFont="1" applyFill="1" applyBorder="1"/>
    <xf numFmtId="0" fontId="15639" fillId="15644" borderId="15577" xfId="0" applyFont="1" applyFill="1" applyBorder="1"/>
    <xf numFmtId="0" fontId="15233" fillId="15238" borderId="15591" xfId="0" applyFont="1" applyFill="1" applyBorder="1"/>
    <xf numFmtId="0" fontId="15262" fillId="15267" borderId="14977" xfId="0" applyFont="1" applyFill="1" applyBorder="1" applyAlignment="1">
      <alignment horizontal="center"/>
    </xf>
    <xf numFmtId="0" fontId="15612" fillId="15617" borderId="15214" xfId="0" applyFont="1" applyFill="1" applyBorder="1" applyAlignment="1">
      <alignment horizontal="center"/>
    </xf>
    <xf numFmtId="0" fontId="15290" fillId="15295" borderId="15564" xfId="0" applyFont="1" applyFill="1" applyBorder="1" applyAlignment="1">
      <alignment horizontal="center"/>
    </xf>
    <xf numFmtId="0" fontId="15248" fillId="15253" borderId="15242" xfId="0" applyFont="1" applyFill="1" applyBorder="1" applyAlignment="1">
      <alignment horizontal="center"/>
    </xf>
    <xf numFmtId="0" fontId="15654" fillId="15659" borderId="15200" xfId="0" applyFont="1" applyFill="1" applyBorder="1" applyAlignment="1">
      <alignment horizontal="center"/>
    </xf>
    <xf numFmtId="0" fontId="15304" fillId="15309" borderId="15606" xfId="0" applyFont="1" applyFill="1" applyBorder="1" applyAlignment="1">
      <alignment horizontal="center"/>
    </xf>
    <xf numFmtId="0" fontId="15025" fillId="15030" borderId="15256" xfId="0" applyFont="1" applyFill="1" applyBorder="1" applyAlignment="1">
      <alignment horizontal="center"/>
    </xf>
    <xf numFmtId="0" fontId="15388" fillId="15393" borderId="14991" xfId="0" applyFont="1" applyFill="1" applyBorder="1" applyAlignment="1">
      <alignment horizontal="center"/>
    </xf>
    <xf numFmtId="0" fontId="15039" fillId="15044" borderId="15340" xfId="0" applyFont="1" applyFill="1" applyBorder="1" applyAlignment="1">
      <alignment horizontal="center"/>
    </xf>
    <xf numFmtId="0" fontId="15598" fillId="15603" borderId="15186" xfId="0" applyFont="1" applyFill="1" applyBorder="1" applyAlignment="1">
      <alignment horizontal="center"/>
    </xf>
    <xf numFmtId="0" fontId="15626" fillId="15631" borderId="15550" xfId="0" applyFont="1" applyFill="1" applyBorder="1" applyAlignment="1">
      <alignment horizontal="center"/>
    </xf>
    <xf numFmtId="0" fontId="15640" fillId="15645" borderId="15578" xfId="0" applyFont="1" applyFill="1" applyBorder="1" applyAlignment="1">
      <alignment horizontal="center"/>
    </xf>
    <xf numFmtId="0" fontId="15234" fillId="15239" borderId="15592" xfId="0" applyFont="1" applyFill="1" applyBorder="1" applyAlignment="1">
      <alignment horizontal="center"/>
    </xf>
    <xf numFmtId="0" fontId="15721" fillId="15726" borderId="15673" xfId="0" applyFont="1" applyFill="1" applyBorder="1" applyAlignment="1">
      <alignment horizontal="center" wrapText="1"/>
    </xf>
    <xf numFmtId="0" fontId="15722" fillId="15727" borderId="15674" xfId="0" applyFont="1" applyFill="1" applyBorder="1" applyAlignment="1">
      <alignment horizontal="center" wrapText="1"/>
    </xf>
    <xf numFmtId="0" fontId="15723" fillId="15728" borderId="15675" xfId="0" applyFont="1" applyFill="1" applyBorder="1" applyAlignment="1">
      <alignment horizontal="center" wrapText="1"/>
    </xf>
    <xf numFmtId="0" fontId="15724" fillId="15729" borderId="15676" xfId="0" applyFont="1" applyFill="1" applyBorder="1" applyAlignment="1">
      <alignment horizontal="center" wrapText="1"/>
    </xf>
    <xf numFmtId="0" fontId="15725" fillId="15730" borderId="15677" xfId="0" applyFont="1" applyFill="1" applyBorder="1" applyAlignment="1">
      <alignment horizontal="center" wrapText="1"/>
    </xf>
    <xf numFmtId="165" fontId="15726" fillId="15731" borderId="15678" xfId="0" applyNumberFormat="1" applyFont="1" applyFill="1" applyBorder="1"/>
    <xf numFmtId="165" fontId="15727" fillId="15732" borderId="15679" xfId="0" applyNumberFormat="1" applyFont="1" applyFill="1" applyBorder="1"/>
    <xf numFmtId="165" fontId="15728" fillId="15733" borderId="15680" xfId="0" applyNumberFormat="1" applyFont="1" applyFill="1" applyBorder="1"/>
    <xf numFmtId="165" fontId="15729" fillId="15734" borderId="15681" xfId="0" applyNumberFormat="1" applyFont="1" applyFill="1" applyBorder="1"/>
    <xf numFmtId="165" fontId="15730" fillId="15735" borderId="15682" xfId="0" applyNumberFormat="1" applyFont="1" applyFill="1" applyBorder="1"/>
    <xf numFmtId="165" fontId="15731" fillId="15736" borderId="15683" xfId="0" applyNumberFormat="1" applyFont="1" applyFill="1" applyBorder="1"/>
    <xf numFmtId="165" fontId="15732" fillId="15737" borderId="15684" xfId="0" applyNumberFormat="1" applyFont="1" applyFill="1" applyBorder="1"/>
    <xf numFmtId="165" fontId="15733" fillId="15738" borderId="15685" xfId="0" applyNumberFormat="1" applyFont="1" applyFill="1" applyBorder="1"/>
    <xf numFmtId="165" fontId="15734" fillId="15739" borderId="15686" xfId="0" applyNumberFormat="1" applyFont="1" applyFill="1" applyBorder="1"/>
    <xf numFmtId="165" fontId="15735" fillId="15740" borderId="15687" xfId="0" applyNumberFormat="1" applyFont="1" applyFill="1" applyBorder="1"/>
    <xf numFmtId="165" fontId="15736" fillId="15741" borderId="15688" xfId="0" applyNumberFormat="1" applyFont="1" applyFill="1" applyBorder="1"/>
    <xf numFmtId="165" fontId="15737" fillId="15742" borderId="15689" xfId="0" applyNumberFormat="1" applyFont="1" applyFill="1" applyBorder="1"/>
    <xf numFmtId="165" fontId="15738" fillId="15743" borderId="15690" xfId="0" applyNumberFormat="1" applyFont="1" applyFill="1" applyBorder="1"/>
    <xf numFmtId="165" fontId="15739" fillId="15744" borderId="15691" xfId="0" applyNumberFormat="1" applyFont="1" applyFill="1" applyBorder="1"/>
    <xf numFmtId="165" fontId="15740" fillId="15745" borderId="15692" xfId="0" applyNumberFormat="1" applyFont="1" applyFill="1" applyBorder="1"/>
    <xf numFmtId="165" fontId="15741" fillId="15746" borderId="15693" xfId="0" applyNumberFormat="1" applyFont="1" applyFill="1" applyBorder="1"/>
    <xf numFmtId="165" fontId="15742" fillId="15747" borderId="15694" xfId="0" applyNumberFormat="1" applyFont="1" applyFill="1" applyBorder="1"/>
    <xf numFmtId="165" fontId="15743" fillId="15748" borderId="15695" xfId="0" applyNumberFormat="1" applyFont="1" applyFill="1" applyBorder="1"/>
    <xf numFmtId="165" fontId="15744" fillId="15749" borderId="15696" xfId="0" applyNumberFormat="1" applyFont="1" applyFill="1" applyBorder="1"/>
    <xf numFmtId="165" fontId="15745" fillId="15750" borderId="15697" xfId="0" applyNumberFormat="1" applyFont="1" applyFill="1" applyBorder="1"/>
    <xf numFmtId="165" fontId="15746" fillId="15751" borderId="15698" xfId="0" applyNumberFormat="1" applyFont="1" applyFill="1" applyBorder="1"/>
    <xf numFmtId="165" fontId="15747" fillId="15752" borderId="15699" xfId="0" applyNumberFormat="1" applyFont="1" applyFill="1" applyBorder="1"/>
    <xf numFmtId="165" fontId="15748" fillId="15753" borderId="15700" xfId="0" applyNumberFormat="1" applyFont="1" applyFill="1" applyBorder="1"/>
    <xf numFmtId="165" fontId="15749" fillId="15754" borderId="15701" xfId="0" applyNumberFormat="1" applyFont="1" applyFill="1" applyBorder="1"/>
    <xf numFmtId="165" fontId="15750" fillId="15755" borderId="15702" xfId="0" applyNumberFormat="1" applyFont="1" applyFill="1" applyBorder="1"/>
    <xf numFmtId="165" fontId="15751" fillId="15756" borderId="15703" xfId="0" applyNumberFormat="1" applyFont="1" applyFill="1" applyBorder="1"/>
    <xf numFmtId="165" fontId="15752" fillId="15757" borderId="15704" xfId="0" applyNumberFormat="1" applyFont="1" applyFill="1" applyBorder="1"/>
    <xf numFmtId="165" fontId="15753" fillId="15758" borderId="15705" xfId="0" applyNumberFormat="1" applyFont="1" applyFill="1" applyBorder="1"/>
    <xf numFmtId="165" fontId="15754" fillId="15759" borderId="15706" xfId="0" applyNumberFormat="1" applyFont="1" applyFill="1" applyBorder="1"/>
    <xf numFmtId="165" fontId="15755" fillId="15760" borderId="15707" xfId="0" applyNumberFormat="1" applyFont="1" applyFill="1" applyBorder="1"/>
    <xf numFmtId="165" fontId="15756" fillId="15761" borderId="15708" xfId="0" applyNumberFormat="1" applyFont="1" applyFill="1" applyBorder="1"/>
    <xf numFmtId="165" fontId="15757" fillId="15762" borderId="15709" xfId="0" applyNumberFormat="1" applyFont="1" applyFill="1" applyBorder="1"/>
    <xf numFmtId="165" fontId="15758" fillId="15763" borderId="15710" xfId="0" applyNumberFormat="1" applyFont="1" applyFill="1" applyBorder="1"/>
    <xf numFmtId="165" fontId="15759" fillId="15764" borderId="15711" xfId="0" applyNumberFormat="1" applyFont="1" applyFill="1" applyBorder="1"/>
    <xf numFmtId="165" fontId="15760" fillId="15765" borderId="15712" xfId="0" applyNumberFormat="1" applyFont="1" applyFill="1" applyBorder="1"/>
    <xf numFmtId="165" fontId="15761" fillId="15766" borderId="15713" xfId="0" applyNumberFormat="1" applyFont="1" applyFill="1" applyBorder="1"/>
    <xf numFmtId="165" fontId="15762" fillId="15767" borderId="15714" xfId="0" applyNumberFormat="1" applyFont="1" applyFill="1" applyBorder="1"/>
    <xf numFmtId="165" fontId="15770" fillId="15775" borderId="15722" xfId="0" applyNumberFormat="1" applyFont="1" applyFill="1" applyBorder="1"/>
    <xf numFmtId="0" fontId="15771" fillId="15776" borderId="15723" xfId="0" applyFont="1" applyFill="1" applyBorder="1" applyAlignment="1">
      <alignment horizontal="center"/>
    </xf>
    <xf numFmtId="0" fontId="15772" fillId="15777" borderId="15724" xfId="0" applyFont="1" applyFill="1" applyBorder="1"/>
    <xf numFmtId="4" fontId="15773" fillId="15778" borderId="15725" xfId="0" applyNumberFormat="1" applyFont="1" applyFill="1" applyBorder="1"/>
    <xf numFmtId="165" fontId="15774" fillId="15779" borderId="15726" xfId="0" applyNumberFormat="1" applyFont="1" applyFill="1" applyBorder="1"/>
    <xf numFmtId="4" fontId="15775" fillId="15780" borderId="15727" xfId="0" applyNumberFormat="1" applyFont="1" applyFill="1" applyBorder="1"/>
    <xf numFmtId="168" fontId="15776" fillId="15781" borderId="15728" xfId="0" applyNumberFormat="1" applyFont="1" applyFill="1" applyBorder="1"/>
    <xf numFmtId="165" fontId="15777" fillId="15782" borderId="15729" xfId="0" applyNumberFormat="1" applyFont="1" applyFill="1" applyBorder="1"/>
    <xf numFmtId="4" fontId="15778" fillId="15783" borderId="15730" xfId="0" applyNumberFormat="1" applyFont="1" applyFill="1" applyBorder="1"/>
    <xf numFmtId="165" fontId="15779" fillId="15784" borderId="15731" xfId="0" applyNumberFormat="1" applyFont="1" applyFill="1" applyBorder="1"/>
    <xf numFmtId="0" fontId="15780" fillId="15785" borderId="15732" xfId="0" applyFont="1" applyFill="1" applyBorder="1" applyAlignment="1">
      <alignment horizontal="center"/>
    </xf>
    <xf numFmtId="0" fontId="15781" fillId="15786" borderId="15733" xfId="0" applyFont="1" applyFill="1" applyBorder="1"/>
    <xf numFmtId="4" fontId="15782" fillId="15787" borderId="15734" xfId="0" applyNumberFormat="1" applyFont="1" applyFill="1" applyBorder="1"/>
    <xf numFmtId="165" fontId="15783" fillId="15788" borderId="15735" xfId="0" applyNumberFormat="1" applyFont="1" applyFill="1" applyBorder="1"/>
    <xf numFmtId="4" fontId="15784" fillId="15789" borderId="15736" xfId="0" applyNumberFormat="1" applyFont="1" applyFill="1" applyBorder="1"/>
    <xf numFmtId="168" fontId="15785" fillId="15790" borderId="15737" xfId="0" applyNumberFormat="1" applyFont="1" applyFill="1" applyBorder="1"/>
    <xf numFmtId="165" fontId="15786" fillId="15791" borderId="15738" xfId="0" applyNumberFormat="1" applyFont="1" applyFill="1" applyBorder="1"/>
    <xf numFmtId="4" fontId="15787" fillId="15792" borderId="15739" xfId="0" applyNumberFormat="1" applyFont="1" applyFill="1" applyBorder="1"/>
    <xf numFmtId="165" fontId="15788" fillId="15793" borderId="15740" xfId="0" applyNumberFormat="1" applyFont="1" applyFill="1" applyBorder="1"/>
    <xf numFmtId="0" fontId="15789" fillId="15794" borderId="15741" xfId="0" applyFont="1" applyFill="1" applyBorder="1" applyAlignment="1">
      <alignment horizontal="center"/>
    </xf>
    <xf numFmtId="0" fontId="15790" fillId="15795" borderId="15742" xfId="0" applyFont="1" applyFill="1" applyBorder="1"/>
    <xf numFmtId="4" fontId="15791" fillId="15796" borderId="15743" xfId="0" applyNumberFormat="1" applyFont="1" applyFill="1" applyBorder="1"/>
    <xf numFmtId="165" fontId="15792" fillId="15797" borderId="15744" xfId="0" applyNumberFormat="1" applyFont="1" applyFill="1" applyBorder="1"/>
    <xf numFmtId="4" fontId="15793" fillId="15798" borderId="15745" xfId="0" applyNumberFormat="1" applyFont="1" applyFill="1" applyBorder="1"/>
    <xf numFmtId="168" fontId="15794" fillId="15799" borderId="15746" xfId="0" applyNumberFormat="1" applyFont="1" applyFill="1" applyBorder="1"/>
    <xf numFmtId="165" fontId="15795" fillId="15800" borderId="15747" xfId="0" applyNumberFormat="1" applyFont="1" applyFill="1" applyBorder="1"/>
    <xf numFmtId="4" fontId="15796" fillId="15801" borderId="15748" xfId="0" applyNumberFormat="1" applyFont="1" applyFill="1" applyBorder="1"/>
    <xf numFmtId="165" fontId="15797" fillId="15802" borderId="15749" xfId="0" applyNumberFormat="1" applyFont="1" applyFill="1" applyBorder="1"/>
    <xf numFmtId="0" fontId="15798" fillId="15803" borderId="15750" xfId="0" applyFont="1" applyFill="1" applyBorder="1" applyAlignment="1">
      <alignment horizontal="center"/>
    </xf>
    <xf numFmtId="0" fontId="15799" fillId="15804" borderId="15751" xfId="0" applyFont="1" applyFill="1" applyBorder="1"/>
    <xf numFmtId="4" fontId="15800" fillId="15805" borderId="15752" xfId="0" applyNumberFormat="1" applyFont="1" applyFill="1" applyBorder="1"/>
    <xf numFmtId="165" fontId="15801" fillId="15806" borderId="15753" xfId="0" applyNumberFormat="1" applyFont="1" applyFill="1" applyBorder="1"/>
    <xf numFmtId="4" fontId="15802" fillId="15807" borderId="15754" xfId="0" applyNumberFormat="1" applyFont="1" applyFill="1" applyBorder="1"/>
    <xf numFmtId="168" fontId="15803" fillId="15808" borderId="15755" xfId="0" applyNumberFormat="1" applyFont="1" applyFill="1" applyBorder="1"/>
    <xf numFmtId="165" fontId="15804" fillId="15809" borderId="15756" xfId="0" applyNumberFormat="1" applyFont="1" applyFill="1" applyBorder="1"/>
    <xf numFmtId="4" fontId="15805" fillId="15810" borderId="15757" xfId="0" applyNumberFormat="1" applyFont="1" applyFill="1" applyBorder="1"/>
    <xf numFmtId="165" fontId="15806" fillId="15811" borderId="15758" xfId="0" applyNumberFormat="1" applyFont="1" applyFill="1" applyBorder="1"/>
    <xf numFmtId="0" fontId="15807" fillId="15812" borderId="15759" xfId="0" applyFont="1" applyFill="1" applyBorder="1" applyAlignment="1">
      <alignment horizontal="center"/>
    </xf>
    <xf numFmtId="0" fontId="15808" fillId="15813" borderId="15760" xfId="0" applyFont="1" applyFill="1" applyBorder="1"/>
    <xf numFmtId="4" fontId="15809" fillId="15814" borderId="15761" xfId="0" applyNumberFormat="1" applyFont="1" applyFill="1" applyBorder="1"/>
    <xf numFmtId="165" fontId="15810" fillId="15815" borderId="15762" xfId="0" applyNumberFormat="1" applyFont="1" applyFill="1" applyBorder="1"/>
    <xf numFmtId="4" fontId="15811" fillId="15816" borderId="15763" xfId="0" applyNumberFormat="1" applyFont="1" applyFill="1" applyBorder="1"/>
    <xf numFmtId="168" fontId="15812" fillId="15817" borderId="15764" xfId="0" applyNumberFormat="1" applyFont="1" applyFill="1" applyBorder="1"/>
    <xf numFmtId="165" fontId="15813" fillId="15818" borderId="15765" xfId="0" applyNumberFormat="1" applyFont="1" applyFill="1" applyBorder="1"/>
    <xf numFmtId="4" fontId="15814" fillId="15819" borderId="15766" xfId="0" applyNumberFormat="1" applyFont="1" applyFill="1" applyBorder="1"/>
    <xf numFmtId="165" fontId="15815" fillId="15820" borderId="15767" xfId="0" applyNumberFormat="1" applyFont="1" applyFill="1" applyBorder="1"/>
    <xf numFmtId="0" fontId="15816" fillId="15821" borderId="15768" xfId="0" applyFont="1" applyFill="1" applyBorder="1" applyAlignment="1">
      <alignment horizontal="center"/>
    </xf>
    <xf numFmtId="0" fontId="15817" fillId="15822" borderId="15769" xfId="0" applyFont="1" applyFill="1" applyBorder="1"/>
    <xf numFmtId="4" fontId="15818" fillId="15823" borderId="15770" xfId="0" applyNumberFormat="1" applyFont="1" applyFill="1" applyBorder="1"/>
    <xf numFmtId="165" fontId="15819" fillId="15824" borderId="15771" xfId="0" applyNumberFormat="1" applyFont="1" applyFill="1" applyBorder="1"/>
    <xf numFmtId="4" fontId="15820" fillId="15825" borderId="15772" xfId="0" applyNumberFormat="1" applyFont="1" applyFill="1" applyBorder="1"/>
    <xf numFmtId="168" fontId="15821" fillId="15826" borderId="15773" xfId="0" applyNumberFormat="1" applyFont="1" applyFill="1" applyBorder="1"/>
    <xf numFmtId="165" fontId="15822" fillId="15827" borderId="15774" xfId="0" applyNumberFormat="1" applyFont="1" applyFill="1" applyBorder="1"/>
    <xf numFmtId="4" fontId="15823" fillId="15828" borderId="15775" xfId="0" applyNumberFormat="1" applyFont="1" applyFill="1" applyBorder="1"/>
    <xf numFmtId="165" fontId="15824" fillId="15829" borderId="15776" xfId="0" applyNumberFormat="1" applyFont="1" applyFill="1" applyBorder="1"/>
    <xf numFmtId="0" fontId="15825" fillId="15830" borderId="15777" xfId="0" applyFont="1" applyFill="1" applyBorder="1" applyAlignment="1">
      <alignment horizontal="center"/>
    </xf>
    <xf numFmtId="0" fontId="15826" fillId="15831" borderId="15778" xfId="0" applyFont="1" applyFill="1" applyBorder="1"/>
    <xf numFmtId="4" fontId="15827" fillId="15832" borderId="15779" xfId="0" applyNumberFormat="1" applyFont="1" applyFill="1" applyBorder="1"/>
    <xf numFmtId="165" fontId="15828" fillId="15833" borderId="15780" xfId="0" applyNumberFormat="1" applyFont="1" applyFill="1" applyBorder="1"/>
    <xf numFmtId="4" fontId="15829" fillId="15834" borderId="15781" xfId="0" applyNumberFormat="1" applyFont="1" applyFill="1" applyBorder="1"/>
    <xf numFmtId="168" fontId="15830" fillId="15835" borderId="15782" xfId="0" applyNumberFormat="1" applyFont="1" applyFill="1" applyBorder="1"/>
    <xf numFmtId="165" fontId="15831" fillId="15836" borderId="15783" xfId="0" applyNumberFormat="1" applyFont="1" applyFill="1" applyBorder="1"/>
    <xf numFmtId="4" fontId="15832" fillId="15837" borderId="15784" xfId="0" applyNumberFormat="1" applyFont="1" applyFill="1" applyBorder="1"/>
    <xf numFmtId="165" fontId="15833" fillId="15838" borderId="15785" xfId="0" applyNumberFormat="1" applyFont="1" applyFill="1" applyBorder="1"/>
    <xf numFmtId="0" fontId="15834" fillId="15839" borderId="15786" xfId="0" applyFont="1" applyFill="1" applyBorder="1" applyAlignment="1">
      <alignment horizontal="center"/>
    </xf>
    <xf numFmtId="0" fontId="15835" fillId="15840" borderId="15787" xfId="0" applyFont="1" applyFill="1" applyBorder="1"/>
    <xf numFmtId="4" fontId="15836" fillId="15841" borderId="15788" xfId="0" applyNumberFormat="1" applyFont="1" applyFill="1" applyBorder="1"/>
    <xf numFmtId="165" fontId="15837" fillId="15842" borderId="15789" xfId="0" applyNumberFormat="1" applyFont="1" applyFill="1" applyBorder="1"/>
    <xf numFmtId="4" fontId="15838" fillId="15843" borderId="15790" xfId="0" applyNumberFormat="1" applyFont="1" applyFill="1" applyBorder="1"/>
    <xf numFmtId="168" fontId="15839" fillId="15844" borderId="15791" xfId="0" applyNumberFormat="1" applyFont="1" applyFill="1" applyBorder="1"/>
    <xf numFmtId="165" fontId="15840" fillId="15845" borderId="15792" xfId="0" applyNumberFormat="1" applyFont="1" applyFill="1" applyBorder="1"/>
    <xf numFmtId="4" fontId="15841" fillId="15846" borderId="15793" xfId="0" applyNumberFormat="1" applyFont="1" applyFill="1" applyBorder="1"/>
    <xf numFmtId="165" fontId="15842" fillId="15847" borderId="15794" xfId="0" applyNumberFormat="1" applyFont="1" applyFill="1" applyBorder="1"/>
    <xf numFmtId="0" fontId="15843" fillId="15848" borderId="15795" xfId="0" applyFont="1" applyFill="1" applyBorder="1" applyAlignment="1">
      <alignment horizontal="center"/>
    </xf>
    <xf numFmtId="0" fontId="15844" fillId="15849" borderId="15796" xfId="0" applyFont="1" applyFill="1" applyBorder="1"/>
    <xf numFmtId="4" fontId="15845" fillId="15850" borderId="15797" xfId="0" applyNumberFormat="1" applyFont="1" applyFill="1" applyBorder="1"/>
    <xf numFmtId="165" fontId="15846" fillId="15851" borderId="15798" xfId="0" applyNumberFormat="1" applyFont="1" applyFill="1" applyBorder="1"/>
    <xf numFmtId="4" fontId="15847" fillId="15852" borderId="15799" xfId="0" applyNumberFormat="1" applyFont="1" applyFill="1" applyBorder="1"/>
    <xf numFmtId="168" fontId="15848" fillId="15853" borderId="15800" xfId="0" applyNumberFormat="1" applyFont="1" applyFill="1" applyBorder="1"/>
    <xf numFmtId="165" fontId="15849" fillId="15854" borderId="15801" xfId="0" applyNumberFormat="1" applyFont="1" applyFill="1" applyBorder="1"/>
    <xf numFmtId="4" fontId="15850" fillId="15855" borderId="15802" xfId="0" applyNumberFormat="1" applyFont="1" applyFill="1" applyBorder="1"/>
    <xf numFmtId="165" fontId="15851" fillId="15856" borderId="15803" xfId="0" applyNumberFormat="1" applyFont="1" applyFill="1" applyBorder="1"/>
    <xf numFmtId="0" fontId="15852" fillId="15857" borderId="15804" xfId="0" applyFont="1" applyFill="1" applyBorder="1" applyAlignment="1">
      <alignment horizontal="center"/>
    </xf>
    <xf numFmtId="0" fontId="15853" fillId="15858" borderId="15805" xfId="0" applyFont="1" applyFill="1" applyBorder="1"/>
    <xf numFmtId="4" fontId="15854" fillId="15859" borderId="15806" xfId="0" applyNumberFormat="1" applyFont="1" applyFill="1" applyBorder="1"/>
    <xf numFmtId="165" fontId="15855" fillId="15860" borderId="15807" xfId="0" applyNumberFormat="1" applyFont="1" applyFill="1" applyBorder="1"/>
    <xf numFmtId="4" fontId="15856" fillId="15861" borderId="15808" xfId="0" applyNumberFormat="1" applyFont="1" applyFill="1" applyBorder="1"/>
    <xf numFmtId="168" fontId="15857" fillId="15862" borderId="15809" xfId="0" applyNumberFormat="1" applyFont="1" applyFill="1" applyBorder="1"/>
    <xf numFmtId="165" fontId="15858" fillId="15863" borderId="15810" xfId="0" applyNumberFormat="1" applyFont="1" applyFill="1" applyBorder="1"/>
    <xf numFmtId="4" fontId="15859" fillId="15864" borderId="15811" xfId="0" applyNumberFormat="1" applyFont="1" applyFill="1" applyBorder="1"/>
    <xf numFmtId="165" fontId="15860" fillId="15865" borderId="15812" xfId="0" applyNumberFormat="1" applyFont="1" applyFill="1" applyBorder="1"/>
    <xf numFmtId="0" fontId="15861" fillId="15866" borderId="15813" xfId="0" applyFont="1" applyFill="1" applyBorder="1" applyAlignment="1">
      <alignment horizontal="center"/>
    </xf>
    <xf numFmtId="0" fontId="15862" fillId="15867" borderId="15814" xfId="0" applyFont="1" applyFill="1" applyBorder="1"/>
    <xf numFmtId="4" fontId="15863" fillId="15868" borderId="15815" xfId="0" applyNumberFormat="1" applyFont="1" applyFill="1" applyBorder="1"/>
    <xf numFmtId="165" fontId="15864" fillId="15869" borderId="15816" xfId="0" applyNumberFormat="1" applyFont="1" applyFill="1" applyBorder="1"/>
    <xf numFmtId="4" fontId="15865" fillId="15870" borderId="15817" xfId="0" applyNumberFormat="1" applyFont="1" applyFill="1" applyBorder="1"/>
    <xf numFmtId="168" fontId="15866" fillId="15871" borderId="15818" xfId="0" applyNumberFormat="1" applyFont="1" applyFill="1" applyBorder="1"/>
    <xf numFmtId="165" fontId="15867" fillId="15872" borderId="15819" xfId="0" applyNumberFormat="1" applyFont="1" applyFill="1" applyBorder="1"/>
    <xf numFmtId="4" fontId="15868" fillId="15873" borderId="15820" xfId="0" applyNumberFormat="1" applyFont="1" applyFill="1" applyBorder="1"/>
    <xf numFmtId="165" fontId="15869" fillId="15874" borderId="15821" xfId="0" applyNumberFormat="1" applyFont="1" applyFill="1" applyBorder="1"/>
    <xf numFmtId="0" fontId="15870" fillId="15875" borderId="15822" xfId="0" applyFont="1" applyFill="1" applyBorder="1" applyAlignment="1">
      <alignment horizontal="center"/>
    </xf>
    <xf numFmtId="0" fontId="15871" fillId="15876" borderId="15823" xfId="0" applyFont="1" applyFill="1" applyBorder="1"/>
    <xf numFmtId="4" fontId="15872" fillId="15877" borderId="15824" xfId="0" applyNumberFormat="1" applyFont="1" applyFill="1" applyBorder="1"/>
    <xf numFmtId="165" fontId="15873" fillId="15878" borderId="15825" xfId="0" applyNumberFormat="1" applyFont="1" applyFill="1" applyBorder="1"/>
    <xf numFmtId="4" fontId="15874" fillId="15879" borderId="15826" xfId="0" applyNumberFormat="1" applyFont="1" applyFill="1" applyBorder="1"/>
    <xf numFmtId="168" fontId="15875" fillId="15880" borderId="15827" xfId="0" applyNumberFormat="1" applyFont="1" applyFill="1" applyBorder="1"/>
    <xf numFmtId="165" fontId="15876" fillId="15881" borderId="15828" xfId="0" applyNumberFormat="1" applyFont="1" applyFill="1" applyBorder="1"/>
    <xf numFmtId="4" fontId="15877" fillId="15882" borderId="15829" xfId="0" applyNumberFormat="1" applyFont="1" applyFill="1" applyBorder="1"/>
    <xf numFmtId="165" fontId="15878" fillId="15883" borderId="15830" xfId="0" applyNumberFormat="1" applyFont="1" applyFill="1" applyBorder="1"/>
    <xf numFmtId="0" fontId="15879" fillId="15884" borderId="15831" xfId="0" applyFont="1" applyFill="1" applyBorder="1" applyAlignment="1">
      <alignment horizontal="center"/>
    </xf>
    <xf numFmtId="0" fontId="15880" fillId="15885" borderId="15832" xfId="0" applyFont="1" applyFill="1" applyBorder="1"/>
    <xf numFmtId="4" fontId="15881" fillId="15886" borderId="15833" xfId="0" applyNumberFormat="1" applyFont="1" applyFill="1" applyBorder="1"/>
    <xf numFmtId="165" fontId="15882" fillId="15887" borderId="15834" xfId="0" applyNumberFormat="1" applyFont="1" applyFill="1" applyBorder="1"/>
    <xf numFmtId="4" fontId="15883" fillId="15888" borderId="15835" xfId="0" applyNumberFormat="1" applyFont="1" applyFill="1" applyBorder="1"/>
    <xf numFmtId="168" fontId="15884" fillId="15889" borderId="15836" xfId="0" applyNumberFormat="1" applyFont="1" applyFill="1" applyBorder="1"/>
    <xf numFmtId="165" fontId="15885" fillId="15890" borderId="15837" xfId="0" applyNumberFormat="1" applyFont="1" applyFill="1" applyBorder="1"/>
    <xf numFmtId="4" fontId="15886" fillId="15891" borderId="15838" xfId="0" applyNumberFormat="1" applyFont="1" applyFill="1" applyBorder="1"/>
    <xf numFmtId="165" fontId="15887" fillId="15892" borderId="15839" xfId="0" applyNumberFormat="1" applyFont="1" applyFill="1" applyBorder="1"/>
    <xf numFmtId="0" fontId="15888" fillId="15893" borderId="15840" xfId="0" applyFont="1" applyFill="1" applyBorder="1" applyAlignment="1">
      <alignment horizontal="center"/>
    </xf>
    <xf numFmtId="0" fontId="15889" fillId="15894" borderId="15841" xfId="0" applyFont="1" applyFill="1" applyBorder="1"/>
    <xf numFmtId="4" fontId="15890" fillId="15895" borderId="15842" xfId="0" applyNumberFormat="1" applyFont="1" applyFill="1" applyBorder="1"/>
    <xf numFmtId="165" fontId="15891" fillId="15896" borderId="15843" xfId="0" applyNumberFormat="1" applyFont="1" applyFill="1" applyBorder="1"/>
    <xf numFmtId="4" fontId="15892" fillId="15897" borderId="15844" xfId="0" applyNumberFormat="1" applyFont="1" applyFill="1" applyBorder="1"/>
    <xf numFmtId="168" fontId="15893" fillId="15898" borderId="15845" xfId="0" applyNumberFormat="1" applyFont="1" applyFill="1" applyBorder="1"/>
    <xf numFmtId="165" fontId="15894" fillId="15899" borderId="15846" xfId="0" applyNumberFormat="1" applyFont="1" applyFill="1" applyBorder="1"/>
    <xf numFmtId="4" fontId="15895" fillId="15900" borderId="15847" xfId="0" applyNumberFormat="1" applyFont="1" applyFill="1" applyBorder="1"/>
    <xf numFmtId="165" fontId="15896" fillId="15901" borderId="15848" xfId="0" applyNumberFormat="1" applyFont="1" applyFill="1" applyBorder="1"/>
    <xf numFmtId="0" fontId="15897" fillId="15902" borderId="15849" xfId="0" applyFont="1" applyFill="1" applyBorder="1" applyAlignment="1">
      <alignment horizontal="center"/>
    </xf>
    <xf numFmtId="0" fontId="15898" fillId="15903" borderId="15850" xfId="0" applyFont="1" applyFill="1" applyBorder="1"/>
    <xf numFmtId="4" fontId="15899" fillId="15904" borderId="15851" xfId="0" applyNumberFormat="1" applyFont="1" applyFill="1" applyBorder="1"/>
    <xf numFmtId="165" fontId="15900" fillId="15905" borderId="15852" xfId="0" applyNumberFormat="1" applyFont="1" applyFill="1" applyBorder="1"/>
    <xf numFmtId="4" fontId="15901" fillId="15906" borderId="15853" xfId="0" applyNumberFormat="1" applyFont="1" applyFill="1" applyBorder="1"/>
    <xf numFmtId="168" fontId="15902" fillId="15907" borderId="15854" xfId="0" applyNumberFormat="1" applyFont="1" applyFill="1" applyBorder="1"/>
    <xf numFmtId="165" fontId="15903" fillId="15908" borderId="15855" xfId="0" applyNumberFormat="1" applyFont="1" applyFill="1" applyBorder="1"/>
    <xf numFmtId="4" fontId="15904" fillId="15909" borderId="15856" xfId="0" applyNumberFormat="1" applyFont="1" applyFill="1" applyBorder="1"/>
    <xf numFmtId="165" fontId="15905" fillId="15910" borderId="15857" xfId="0" applyNumberFormat="1" applyFont="1" applyFill="1" applyBorder="1"/>
    <xf numFmtId="0" fontId="15906" fillId="15911" borderId="15858" xfId="0" applyFont="1" applyFill="1" applyBorder="1" applyAlignment="1">
      <alignment horizontal="center"/>
    </xf>
    <xf numFmtId="0" fontId="15907" fillId="15912" borderId="15859" xfId="0" applyFont="1" applyFill="1" applyBorder="1"/>
    <xf numFmtId="4" fontId="15908" fillId="15913" borderId="15860" xfId="0" applyNumberFormat="1" applyFont="1" applyFill="1" applyBorder="1"/>
    <xf numFmtId="165" fontId="15909" fillId="15914" borderId="15861" xfId="0" applyNumberFormat="1" applyFont="1" applyFill="1" applyBorder="1"/>
    <xf numFmtId="4" fontId="15910" fillId="15915" borderId="15862" xfId="0" applyNumberFormat="1" applyFont="1" applyFill="1" applyBorder="1"/>
    <xf numFmtId="168" fontId="15911" fillId="15916" borderId="15863" xfId="0" applyNumberFormat="1" applyFont="1" applyFill="1" applyBorder="1"/>
    <xf numFmtId="165" fontId="15912" fillId="15917" borderId="15864" xfId="0" applyNumberFormat="1" applyFont="1" applyFill="1" applyBorder="1"/>
    <xf numFmtId="4" fontId="15913" fillId="15918" borderId="15865" xfId="0" applyNumberFormat="1" applyFont="1" applyFill="1" applyBorder="1"/>
    <xf numFmtId="165" fontId="15914" fillId="15919" borderId="15866" xfId="0" applyNumberFormat="1" applyFont="1" applyFill="1" applyBorder="1"/>
    <xf numFmtId="0" fontId="15915" fillId="15920" borderId="15867" xfId="0" applyFont="1" applyFill="1" applyBorder="1" applyAlignment="1">
      <alignment horizontal="center"/>
    </xf>
    <xf numFmtId="0" fontId="15916" fillId="15921" borderId="15868" xfId="0" applyFont="1" applyFill="1" applyBorder="1"/>
    <xf numFmtId="4" fontId="15917" fillId="15922" borderId="15869" xfId="0" applyNumberFormat="1" applyFont="1" applyFill="1" applyBorder="1"/>
    <xf numFmtId="165" fontId="15918" fillId="15923" borderId="15870" xfId="0" applyNumberFormat="1" applyFont="1" applyFill="1" applyBorder="1"/>
    <xf numFmtId="4" fontId="15919" fillId="15924" borderId="15871" xfId="0" applyNumberFormat="1" applyFont="1" applyFill="1" applyBorder="1"/>
    <xf numFmtId="168" fontId="15920" fillId="15925" borderId="15872" xfId="0" applyNumberFormat="1" applyFont="1" applyFill="1" applyBorder="1"/>
    <xf numFmtId="165" fontId="15921" fillId="15926" borderId="15873" xfId="0" applyNumberFormat="1" applyFont="1" applyFill="1" applyBorder="1"/>
    <xf numFmtId="4" fontId="15922" fillId="15927" borderId="15874" xfId="0" applyNumberFormat="1" applyFont="1" applyFill="1" applyBorder="1"/>
    <xf numFmtId="165" fontId="15923" fillId="15928" borderId="15875" xfId="0" applyNumberFormat="1" applyFont="1" applyFill="1" applyBorder="1"/>
    <xf numFmtId="0" fontId="15924" fillId="15929" borderId="15876" xfId="0" applyFont="1" applyFill="1" applyBorder="1" applyAlignment="1">
      <alignment horizontal="center"/>
    </xf>
    <xf numFmtId="0" fontId="15925" fillId="15930" borderId="15877" xfId="0" applyFont="1" applyFill="1" applyBorder="1"/>
    <xf numFmtId="4" fontId="15926" fillId="15931" borderId="15878" xfId="0" applyNumberFormat="1" applyFont="1" applyFill="1" applyBorder="1"/>
    <xf numFmtId="165" fontId="15927" fillId="15932" borderId="15879" xfId="0" applyNumberFormat="1" applyFont="1" applyFill="1" applyBorder="1"/>
    <xf numFmtId="4" fontId="15928" fillId="15933" borderId="15880" xfId="0" applyNumberFormat="1" applyFont="1" applyFill="1" applyBorder="1"/>
    <xf numFmtId="168" fontId="15929" fillId="15934" borderId="15881" xfId="0" applyNumberFormat="1" applyFont="1" applyFill="1" applyBorder="1"/>
    <xf numFmtId="165" fontId="15930" fillId="15935" borderId="15882" xfId="0" applyNumberFormat="1" applyFont="1" applyFill="1" applyBorder="1"/>
    <xf numFmtId="4" fontId="15931" fillId="15936" borderId="15883" xfId="0" applyNumberFormat="1" applyFont="1" applyFill="1" applyBorder="1"/>
    <xf numFmtId="165" fontId="15932" fillId="15937" borderId="15884" xfId="0" applyNumberFormat="1" applyFont="1" applyFill="1" applyBorder="1"/>
    <xf numFmtId="0" fontId="15933" fillId="15938" borderId="15885" xfId="0" applyFont="1" applyFill="1" applyBorder="1" applyAlignment="1">
      <alignment horizontal="center"/>
    </xf>
    <xf numFmtId="0" fontId="15934" fillId="15939" borderId="15886" xfId="0" applyFont="1" applyFill="1" applyBorder="1"/>
    <xf numFmtId="4" fontId="15935" fillId="15940" borderId="15887" xfId="0" applyNumberFormat="1" applyFont="1" applyFill="1" applyBorder="1"/>
    <xf numFmtId="165" fontId="15936" fillId="15941" borderId="15888" xfId="0" applyNumberFormat="1" applyFont="1" applyFill="1" applyBorder="1"/>
    <xf numFmtId="4" fontId="15937" fillId="15942" borderId="15889" xfId="0" applyNumberFormat="1" applyFont="1" applyFill="1" applyBorder="1"/>
    <xf numFmtId="168" fontId="15938" fillId="15943" borderId="15890" xfId="0" applyNumberFormat="1" applyFont="1" applyFill="1" applyBorder="1"/>
    <xf numFmtId="165" fontId="15939" fillId="15944" borderId="15891" xfId="0" applyNumberFormat="1" applyFont="1" applyFill="1" applyBorder="1"/>
    <xf numFmtId="4" fontId="15940" fillId="15945" borderId="15892" xfId="0" applyNumberFormat="1" applyFont="1" applyFill="1" applyBorder="1"/>
    <xf numFmtId="165" fontId="15941" fillId="15946" borderId="15893" xfId="0" applyNumberFormat="1" applyFont="1" applyFill="1" applyBorder="1"/>
    <xf numFmtId="0" fontId="15942" fillId="15947" borderId="15894" xfId="0" applyFont="1" applyFill="1" applyBorder="1" applyAlignment="1">
      <alignment horizontal="center"/>
    </xf>
    <xf numFmtId="0" fontId="15943" fillId="15948" borderId="15895" xfId="0" applyFont="1" applyFill="1" applyBorder="1"/>
    <xf numFmtId="4" fontId="15944" fillId="15949" borderId="15896" xfId="0" applyNumberFormat="1" applyFont="1" applyFill="1" applyBorder="1"/>
    <xf numFmtId="165" fontId="15945" fillId="15950" borderId="15897" xfId="0" applyNumberFormat="1" applyFont="1" applyFill="1" applyBorder="1"/>
    <xf numFmtId="4" fontId="15946" fillId="15951" borderId="15898" xfId="0" applyNumberFormat="1" applyFont="1" applyFill="1" applyBorder="1"/>
    <xf numFmtId="168" fontId="15947" fillId="15952" borderId="15899" xfId="0" applyNumberFormat="1" applyFont="1" applyFill="1" applyBorder="1"/>
    <xf numFmtId="165" fontId="15948" fillId="15953" borderId="15900" xfId="0" applyNumberFormat="1" applyFont="1" applyFill="1" applyBorder="1"/>
    <xf numFmtId="4" fontId="15949" fillId="15954" borderId="15901" xfId="0" applyNumberFormat="1" applyFont="1" applyFill="1" applyBorder="1"/>
    <xf numFmtId="165" fontId="15950" fillId="15955" borderId="15902" xfId="0" applyNumberFormat="1" applyFont="1" applyFill="1" applyBorder="1"/>
    <xf numFmtId="0" fontId="15951" fillId="15956" borderId="15903" xfId="0" applyFont="1" applyFill="1" applyBorder="1" applyAlignment="1">
      <alignment horizontal="center"/>
    </xf>
    <xf numFmtId="0" fontId="15952" fillId="15957" borderId="15904" xfId="0" applyFont="1" applyFill="1" applyBorder="1"/>
    <xf numFmtId="4" fontId="15953" fillId="15958" borderId="15905" xfId="0" applyNumberFormat="1" applyFont="1" applyFill="1" applyBorder="1"/>
    <xf numFmtId="165" fontId="15954" fillId="15959" borderId="15906" xfId="0" applyNumberFormat="1" applyFont="1" applyFill="1" applyBorder="1"/>
    <xf numFmtId="4" fontId="15955" fillId="15960" borderId="15907" xfId="0" applyNumberFormat="1" applyFont="1" applyFill="1" applyBorder="1"/>
    <xf numFmtId="168" fontId="15956" fillId="15961" borderId="15908" xfId="0" applyNumberFormat="1" applyFont="1" applyFill="1" applyBorder="1"/>
    <xf numFmtId="165" fontId="15957" fillId="15962" borderId="15909" xfId="0" applyNumberFormat="1" applyFont="1" applyFill="1" applyBorder="1"/>
    <xf numFmtId="4" fontId="15958" fillId="15963" borderId="15910" xfId="0" applyNumberFormat="1" applyFont="1" applyFill="1" applyBorder="1"/>
    <xf numFmtId="165" fontId="15959" fillId="15964" borderId="15911" xfId="0" applyNumberFormat="1" applyFont="1" applyFill="1" applyBorder="1"/>
    <xf numFmtId="0" fontId="15960" fillId="15965" borderId="15912" xfId="0" applyFont="1" applyFill="1" applyBorder="1" applyAlignment="1">
      <alignment horizontal="center"/>
    </xf>
    <xf numFmtId="0" fontId="15961" fillId="15966" borderId="15913" xfId="0" applyFont="1" applyFill="1" applyBorder="1"/>
    <xf numFmtId="4" fontId="15962" fillId="15967" borderId="15914" xfId="0" applyNumberFormat="1" applyFont="1" applyFill="1" applyBorder="1"/>
    <xf numFmtId="165" fontId="15963" fillId="15968" borderId="15915" xfId="0" applyNumberFormat="1" applyFont="1" applyFill="1" applyBorder="1"/>
    <xf numFmtId="4" fontId="15964" fillId="15969" borderId="15916" xfId="0" applyNumberFormat="1" applyFont="1" applyFill="1" applyBorder="1"/>
    <xf numFmtId="168" fontId="15965" fillId="15970" borderId="15917" xfId="0" applyNumberFormat="1" applyFont="1" applyFill="1" applyBorder="1"/>
    <xf numFmtId="165" fontId="15966" fillId="15971" borderId="15918" xfId="0" applyNumberFormat="1" applyFont="1" applyFill="1" applyBorder="1"/>
    <xf numFmtId="4" fontId="15967" fillId="15972" borderId="15919" xfId="0" applyNumberFormat="1" applyFont="1" applyFill="1" applyBorder="1"/>
    <xf numFmtId="165" fontId="15968" fillId="15973" borderId="15920" xfId="0" applyNumberFormat="1" applyFont="1" applyFill="1" applyBorder="1"/>
    <xf numFmtId="0" fontId="15969" fillId="15974" borderId="15921" xfId="0" applyFont="1" applyFill="1" applyBorder="1"/>
    <xf numFmtId="0" fontId="15970" fillId="15975" borderId="15922" xfId="0" applyFont="1" applyFill="1" applyBorder="1"/>
    <xf numFmtId="4" fontId="15971" fillId="15976" borderId="15923" xfId="0" applyNumberFormat="1" applyFont="1" applyFill="1" applyBorder="1"/>
    <xf numFmtId="165" fontId="15972" fillId="15977" borderId="15924" xfId="0" applyNumberFormat="1" applyFont="1" applyFill="1" applyBorder="1"/>
    <xf numFmtId="4" fontId="15973" fillId="15978" borderId="15925" xfId="0" applyNumberFormat="1" applyFont="1" applyFill="1" applyBorder="1"/>
    <xf numFmtId="165" fontId="15974" fillId="15979" borderId="15926" xfId="0" applyNumberFormat="1" applyFont="1" applyFill="1" applyBorder="1"/>
    <xf numFmtId="4" fontId="15975" fillId="15980" borderId="15927" xfId="0" applyNumberFormat="1" applyFont="1" applyFill="1" applyBorder="1"/>
    <xf numFmtId="165" fontId="15976" fillId="15981" borderId="15928" xfId="0" applyNumberFormat="1" applyFont="1" applyFill="1" applyBorder="1"/>
    <xf numFmtId="0" fontId="15977" fillId="15982" borderId="15929" xfId="0" applyFont="1" applyFill="1" applyBorder="1"/>
    <xf numFmtId="0" fontId="15979" fillId="15984" borderId="15931" xfId="0" applyFont="1" applyFill="1" applyBorder="1" applyAlignment="1">
      <alignment horizontal="center" wrapText="1"/>
    </xf>
    <xf numFmtId="0" fontId="15980" fillId="15985" borderId="15932" xfId="0" applyFont="1" applyFill="1" applyBorder="1" applyAlignment="1">
      <alignment horizontal="center" wrapText="1"/>
    </xf>
    <xf numFmtId="0" fontId="15981" fillId="15986" borderId="15933" xfId="0" applyFont="1" applyFill="1" applyBorder="1" applyAlignment="1">
      <alignment horizontal="center" wrapText="1"/>
    </xf>
    <xf numFmtId="0" fontId="15982" fillId="15987" borderId="15934" xfId="0" applyFont="1" applyFill="1" applyBorder="1" applyAlignment="1">
      <alignment horizontal="center" wrapText="1"/>
    </xf>
    <xf numFmtId="0" fontId="15983" fillId="15988" borderId="15935" xfId="0" applyFont="1" applyFill="1" applyBorder="1" applyAlignment="1">
      <alignment horizontal="center" wrapText="1"/>
    </xf>
    <xf numFmtId="0" fontId="15984" fillId="15989" borderId="15936" xfId="0" applyFont="1" applyFill="1" applyBorder="1" applyAlignment="1">
      <alignment horizontal="center" wrapText="1"/>
    </xf>
    <xf numFmtId="0" fontId="15985" fillId="15990" borderId="15937" xfId="0" applyFont="1" applyFill="1" applyBorder="1" applyAlignment="1">
      <alignment horizontal="center" wrapText="1"/>
    </xf>
    <xf numFmtId="0" fontId="15986" fillId="15991" borderId="15938" xfId="0" applyFont="1" applyFill="1" applyBorder="1" applyAlignment="1">
      <alignment horizontal="center" wrapText="1"/>
    </xf>
    <xf numFmtId="0" fontId="15987" fillId="15992" borderId="15939" xfId="0" applyFont="1" applyFill="1" applyBorder="1" applyAlignment="1">
      <alignment horizontal="center"/>
    </xf>
    <xf numFmtId="0" fontId="15988" fillId="15993" borderId="15940" xfId="0" applyFont="1" applyFill="1" applyBorder="1"/>
    <xf numFmtId="165" fontId="15989" fillId="15994" borderId="15941" xfId="0" applyNumberFormat="1" applyFont="1" applyFill="1" applyBorder="1"/>
    <xf numFmtId="4" fontId="15990" fillId="15995" borderId="15942" xfId="0" applyNumberFormat="1" applyFont="1" applyFill="1" applyBorder="1"/>
    <xf numFmtId="168" fontId="15991" fillId="15996" borderId="15943" xfId="0" applyNumberFormat="1" applyFont="1" applyFill="1" applyBorder="1"/>
    <xf numFmtId="165" fontId="15992" fillId="15997" borderId="15944" xfId="0" applyNumberFormat="1" applyFont="1" applyFill="1" applyBorder="1"/>
    <xf numFmtId="165" fontId="15993" fillId="15998" borderId="15945" xfId="0" applyNumberFormat="1" applyFont="1" applyFill="1" applyBorder="1"/>
    <xf numFmtId="0" fontId="15994" fillId="15999" borderId="15946" xfId="0" applyFont="1" applyFill="1" applyBorder="1"/>
    <xf numFmtId="0" fontId="15995" fillId="16000" borderId="15947" xfId="0" applyFont="1" applyFill="1" applyBorder="1" applyAlignment="1">
      <alignment horizontal="center"/>
    </xf>
    <xf numFmtId="0" fontId="15996" fillId="16001" borderId="15948" xfId="0" applyFont="1" applyFill="1" applyBorder="1"/>
    <xf numFmtId="165" fontId="15997" fillId="16002" borderId="15949" xfId="0" applyNumberFormat="1" applyFont="1" applyFill="1" applyBorder="1"/>
    <xf numFmtId="4" fontId="15998" fillId="16003" borderId="15950" xfId="0" applyNumberFormat="1" applyFont="1" applyFill="1" applyBorder="1"/>
    <xf numFmtId="168" fontId="15999" fillId="16004" borderId="15951" xfId="0" applyNumberFormat="1" applyFont="1" applyFill="1" applyBorder="1"/>
    <xf numFmtId="165" fontId="16000" fillId="16005" borderId="15952" xfId="0" applyNumberFormat="1" applyFont="1" applyFill="1" applyBorder="1"/>
    <xf numFmtId="165" fontId="16001" fillId="16006" borderId="15953" xfId="0" applyNumberFormat="1" applyFont="1" applyFill="1" applyBorder="1"/>
    <xf numFmtId="0" fontId="16002" fillId="16007" borderId="15954" xfId="0" applyFont="1" applyFill="1" applyBorder="1"/>
    <xf numFmtId="0" fontId="16003" fillId="16008" borderId="15955" xfId="0" applyFont="1" applyFill="1" applyBorder="1" applyAlignment="1">
      <alignment horizontal="center"/>
    </xf>
    <xf numFmtId="0" fontId="16004" fillId="16009" borderId="15956" xfId="0" applyFont="1" applyFill="1" applyBorder="1"/>
    <xf numFmtId="165" fontId="16005" fillId="16010" borderId="15957" xfId="0" applyNumberFormat="1" applyFont="1" applyFill="1" applyBorder="1"/>
    <xf numFmtId="4" fontId="16006" fillId="16011" borderId="15958" xfId="0" applyNumberFormat="1" applyFont="1" applyFill="1" applyBorder="1"/>
    <xf numFmtId="168" fontId="16007" fillId="16012" borderId="15959" xfId="0" applyNumberFormat="1" applyFont="1" applyFill="1" applyBorder="1"/>
    <xf numFmtId="165" fontId="16008" fillId="16013" borderId="15960" xfId="0" applyNumberFormat="1" applyFont="1" applyFill="1" applyBorder="1"/>
    <xf numFmtId="165" fontId="16009" fillId="16014" borderId="15961" xfId="0" applyNumberFormat="1" applyFont="1" applyFill="1" applyBorder="1"/>
    <xf numFmtId="0" fontId="16010" fillId="16015" borderId="15962" xfId="0" applyFont="1" applyFill="1" applyBorder="1"/>
    <xf numFmtId="0" fontId="16011" fillId="16016" borderId="15963" xfId="0" applyFont="1" applyFill="1" applyBorder="1" applyAlignment="1">
      <alignment horizontal="center"/>
    </xf>
    <xf numFmtId="0" fontId="16012" fillId="16017" borderId="15964" xfId="0" applyFont="1" applyFill="1" applyBorder="1"/>
    <xf numFmtId="165" fontId="16013" fillId="16018" borderId="15965" xfId="0" applyNumberFormat="1" applyFont="1" applyFill="1" applyBorder="1"/>
    <xf numFmtId="4" fontId="16014" fillId="16019" borderId="15966" xfId="0" applyNumberFormat="1" applyFont="1" applyFill="1" applyBorder="1"/>
    <xf numFmtId="168" fontId="16015" fillId="16020" borderId="15967" xfId="0" applyNumberFormat="1" applyFont="1" applyFill="1" applyBorder="1"/>
    <xf numFmtId="165" fontId="16016" fillId="16021" borderId="15968" xfId="0" applyNumberFormat="1" applyFont="1" applyFill="1" applyBorder="1"/>
    <xf numFmtId="165" fontId="16017" fillId="16022" borderId="15969" xfId="0" applyNumberFormat="1" applyFont="1" applyFill="1" applyBorder="1"/>
    <xf numFmtId="0" fontId="16018" fillId="16023" borderId="15970" xfId="0" applyFont="1" applyFill="1" applyBorder="1"/>
    <xf numFmtId="0" fontId="16019" fillId="16024" borderId="15971" xfId="0" applyFont="1" applyFill="1" applyBorder="1" applyAlignment="1">
      <alignment horizontal="center"/>
    </xf>
    <xf numFmtId="0" fontId="16020" fillId="16025" borderId="15972" xfId="0" applyFont="1" applyFill="1" applyBorder="1"/>
    <xf numFmtId="165" fontId="16021" fillId="16026" borderId="15973" xfId="0" applyNumberFormat="1" applyFont="1" applyFill="1" applyBorder="1"/>
    <xf numFmtId="4" fontId="16022" fillId="16027" borderId="15974" xfId="0" applyNumberFormat="1" applyFont="1" applyFill="1" applyBorder="1"/>
    <xf numFmtId="168" fontId="16023" fillId="16028" borderId="15975" xfId="0" applyNumberFormat="1" applyFont="1" applyFill="1" applyBorder="1"/>
    <xf numFmtId="165" fontId="16024" fillId="16029" borderId="15976" xfId="0" applyNumberFormat="1" applyFont="1" applyFill="1" applyBorder="1"/>
    <xf numFmtId="165" fontId="16025" fillId="16030" borderId="15977" xfId="0" applyNumberFormat="1" applyFont="1" applyFill="1" applyBorder="1"/>
    <xf numFmtId="0" fontId="16026" fillId="16031" borderId="15978" xfId="0" applyFont="1" applyFill="1" applyBorder="1"/>
    <xf numFmtId="0" fontId="16027" fillId="16032" borderId="15979" xfId="0" applyFont="1" applyFill="1" applyBorder="1" applyAlignment="1">
      <alignment horizontal="center"/>
    </xf>
    <xf numFmtId="0" fontId="16028" fillId="16033" borderId="15980" xfId="0" applyFont="1" applyFill="1" applyBorder="1"/>
    <xf numFmtId="165" fontId="16029" fillId="16034" borderId="15981" xfId="0" applyNumberFormat="1" applyFont="1" applyFill="1" applyBorder="1"/>
    <xf numFmtId="4" fontId="16030" fillId="16035" borderId="15982" xfId="0" applyNumberFormat="1" applyFont="1" applyFill="1" applyBorder="1"/>
    <xf numFmtId="168" fontId="16031" fillId="16036" borderId="15983" xfId="0" applyNumberFormat="1" applyFont="1" applyFill="1" applyBorder="1"/>
    <xf numFmtId="165" fontId="16032" fillId="16037" borderId="15984" xfId="0" applyNumberFormat="1" applyFont="1" applyFill="1" applyBorder="1"/>
    <xf numFmtId="165" fontId="16033" fillId="16038" borderId="15985" xfId="0" applyNumberFormat="1" applyFont="1" applyFill="1" applyBorder="1"/>
    <xf numFmtId="0" fontId="16034" fillId="16039" borderId="15986" xfId="0" applyFont="1" applyFill="1" applyBorder="1"/>
    <xf numFmtId="0" fontId="16035" fillId="16040" borderId="15987" xfId="0" applyFont="1" applyFill="1" applyBorder="1" applyAlignment="1">
      <alignment horizontal="center"/>
    </xf>
    <xf numFmtId="0" fontId="16036" fillId="16041" borderId="15988" xfId="0" applyFont="1" applyFill="1" applyBorder="1"/>
    <xf numFmtId="165" fontId="16037" fillId="16042" borderId="15989" xfId="0" applyNumberFormat="1" applyFont="1" applyFill="1" applyBorder="1"/>
    <xf numFmtId="4" fontId="16038" fillId="16043" borderId="15990" xfId="0" applyNumberFormat="1" applyFont="1" applyFill="1" applyBorder="1"/>
    <xf numFmtId="168" fontId="16039" fillId="16044" borderId="15991" xfId="0" applyNumberFormat="1" applyFont="1" applyFill="1" applyBorder="1"/>
    <xf numFmtId="165" fontId="16040" fillId="16045" borderId="15992" xfId="0" applyNumberFormat="1" applyFont="1" applyFill="1" applyBorder="1"/>
    <xf numFmtId="165" fontId="16041" fillId="16046" borderId="15993" xfId="0" applyNumberFormat="1" applyFont="1" applyFill="1" applyBorder="1"/>
    <xf numFmtId="0" fontId="16042" fillId="16047" borderId="15994" xfId="0" applyFont="1" applyFill="1" applyBorder="1"/>
    <xf numFmtId="0" fontId="16043" fillId="16048" borderId="15995" xfId="0" applyFont="1" applyFill="1" applyBorder="1" applyAlignment="1">
      <alignment horizontal="center"/>
    </xf>
    <xf numFmtId="0" fontId="16044" fillId="16049" borderId="15996" xfId="0" applyFont="1" applyFill="1" applyBorder="1"/>
    <xf numFmtId="165" fontId="16045" fillId="16050" borderId="15997" xfId="0" applyNumberFormat="1" applyFont="1" applyFill="1" applyBorder="1"/>
    <xf numFmtId="4" fontId="16046" fillId="16051" borderId="15998" xfId="0" applyNumberFormat="1" applyFont="1" applyFill="1" applyBorder="1"/>
    <xf numFmtId="168" fontId="16047" fillId="16052" borderId="15999" xfId="0" applyNumberFormat="1" applyFont="1" applyFill="1" applyBorder="1"/>
    <xf numFmtId="165" fontId="16048" fillId="16053" borderId="16000" xfId="0" applyNumberFormat="1" applyFont="1" applyFill="1" applyBorder="1"/>
    <xf numFmtId="165" fontId="16049" fillId="16054" borderId="16001" xfId="0" applyNumberFormat="1" applyFont="1" applyFill="1" applyBorder="1"/>
    <xf numFmtId="0" fontId="16050" fillId="16055" borderId="16002" xfId="0" applyFont="1" applyFill="1" applyBorder="1"/>
    <xf numFmtId="0" fontId="16051" fillId="16056" borderId="16003" xfId="0" applyFont="1" applyFill="1" applyBorder="1" applyAlignment="1">
      <alignment horizontal="center"/>
    </xf>
    <xf numFmtId="0" fontId="16052" fillId="16057" borderId="16004" xfId="0" applyFont="1" applyFill="1" applyBorder="1"/>
    <xf numFmtId="165" fontId="16053" fillId="16058" borderId="16005" xfId="0" applyNumberFormat="1" applyFont="1" applyFill="1" applyBorder="1"/>
    <xf numFmtId="4" fontId="16054" fillId="16059" borderId="16006" xfId="0" applyNumberFormat="1" applyFont="1" applyFill="1" applyBorder="1"/>
    <xf numFmtId="168" fontId="16055" fillId="16060" borderId="16007" xfId="0" applyNumberFormat="1" applyFont="1" applyFill="1" applyBorder="1"/>
    <xf numFmtId="165" fontId="16056" fillId="16061" borderId="16008" xfId="0" applyNumberFormat="1" applyFont="1" applyFill="1" applyBorder="1"/>
    <xf numFmtId="165" fontId="16057" fillId="16062" borderId="16009" xfId="0" applyNumberFormat="1" applyFont="1" applyFill="1" applyBorder="1"/>
    <xf numFmtId="0" fontId="16058" fillId="16063" borderId="16010" xfId="0" applyFont="1" applyFill="1" applyBorder="1"/>
    <xf numFmtId="0" fontId="16059" fillId="16064" borderId="16011" xfId="0" applyFont="1" applyFill="1" applyBorder="1" applyAlignment="1">
      <alignment horizontal="center"/>
    </xf>
    <xf numFmtId="0" fontId="16060" fillId="16065" borderId="16012" xfId="0" applyFont="1" applyFill="1" applyBorder="1"/>
    <xf numFmtId="165" fontId="16061" fillId="16066" borderId="16013" xfId="0" applyNumberFormat="1" applyFont="1" applyFill="1" applyBorder="1"/>
    <xf numFmtId="4" fontId="16062" fillId="16067" borderId="16014" xfId="0" applyNumberFormat="1" applyFont="1" applyFill="1" applyBorder="1"/>
    <xf numFmtId="168" fontId="16063" fillId="16068" borderId="16015" xfId="0" applyNumberFormat="1" applyFont="1" applyFill="1" applyBorder="1"/>
    <xf numFmtId="165" fontId="16064" fillId="16069" borderId="16016" xfId="0" applyNumberFormat="1" applyFont="1" applyFill="1" applyBorder="1"/>
    <xf numFmtId="165" fontId="16065" fillId="16070" borderId="16017" xfId="0" applyNumberFormat="1" applyFont="1" applyFill="1" applyBorder="1"/>
    <xf numFmtId="0" fontId="16066" fillId="16071" borderId="16018" xfId="0" applyFont="1" applyFill="1" applyBorder="1"/>
    <xf numFmtId="0" fontId="16067" fillId="16072" borderId="16019" xfId="0" applyFont="1" applyFill="1" applyBorder="1" applyAlignment="1">
      <alignment horizontal="center"/>
    </xf>
    <xf numFmtId="0" fontId="16068" fillId="16073" borderId="16020" xfId="0" applyFont="1" applyFill="1" applyBorder="1"/>
    <xf numFmtId="165" fontId="16069" fillId="16074" borderId="16021" xfId="0" applyNumberFormat="1" applyFont="1" applyFill="1" applyBorder="1"/>
    <xf numFmtId="4" fontId="16070" fillId="16075" borderId="16022" xfId="0" applyNumberFormat="1" applyFont="1" applyFill="1" applyBorder="1"/>
    <xf numFmtId="168" fontId="16071" fillId="16076" borderId="16023" xfId="0" applyNumberFormat="1" applyFont="1" applyFill="1" applyBorder="1"/>
    <xf numFmtId="165" fontId="16072" fillId="16077" borderId="16024" xfId="0" applyNumberFormat="1" applyFont="1" applyFill="1" applyBorder="1"/>
    <xf numFmtId="165" fontId="16073" fillId="16078" borderId="16025" xfId="0" applyNumberFormat="1" applyFont="1" applyFill="1" applyBorder="1"/>
    <xf numFmtId="0" fontId="16074" fillId="16079" borderId="16026" xfId="0" applyFont="1" applyFill="1" applyBorder="1"/>
    <xf numFmtId="0" fontId="16075" fillId="16080" borderId="16027" xfId="0" applyFont="1" applyFill="1" applyBorder="1" applyAlignment="1">
      <alignment horizontal="center"/>
    </xf>
    <xf numFmtId="0" fontId="16076" fillId="16081" borderId="16028" xfId="0" applyFont="1" applyFill="1" applyBorder="1"/>
    <xf numFmtId="165" fontId="16077" fillId="16082" borderId="16029" xfId="0" applyNumberFormat="1" applyFont="1" applyFill="1" applyBorder="1"/>
    <xf numFmtId="4" fontId="16078" fillId="16083" borderId="16030" xfId="0" applyNumberFormat="1" applyFont="1" applyFill="1" applyBorder="1"/>
    <xf numFmtId="168" fontId="16079" fillId="16084" borderId="16031" xfId="0" applyNumberFormat="1" applyFont="1" applyFill="1" applyBorder="1"/>
    <xf numFmtId="165" fontId="16080" fillId="16085" borderId="16032" xfId="0" applyNumberFormat="1" applyFont="1" applyFill="1" applyBorder="1"/>
    <xf numFmtId="165" fontId="16081" fillId="16086" borderId="16033" xfId="0" applyNumberFormat="1" applyFont="1" applyFill="1" applyBorder="1"/>
    <xf numFmtId="0" fontId="16082" fillId="16087" borderId="16034" xfId="0" applyFont="1" applyFill="1" applyBorder="1"/>
    <xf numFmtId="0" fontId="16083" fillId="16088" borderId="16035" xfId="0" applyFont="1" applyFill="1" applyBorder="1" applyAlignment="1">
      <alignment horizontal="center"/>
    </xf>
    <xf numFmtId="0" fontId="16084" fillId="16089" borderId="16036" xfId="0" applyFont="1" applyFill="1" applyBorder="1"/>
    <xf numFmtId="165" fontId="16085" fillId="16090" borderId="16037" xfId="0" applyNumberFormat="1" applyFont="1" applyFill="1" applyBorder="1"/>
    <xf numFmtId="4" fontId="16086" fillId="16091" borderId="16038" xfId="0" applyNumberFormat="1" applyFont="1" applyFill="1" applyBorder="1"/>
    <xf numFmtId="168" fontId="16087" fillId="16092" borderId="16039" xfId="0" applyNumberFormat="1" applyFont="1" applyFill="1" applyBorder="1"/>
    <xf numFmtId="165" fontId="16088" fillId="16093" borderId="16040" xfId="0" applyNumberFormat="1" applyFont="1" applyFill="1" applyBorder="1"/>
    <xf numFmtId="165" fontId="16089" fillId="16094" borderId="16041" xfId="0" applyNumberFormat="1" applyFont="1" applyFill="1" applyBorder="1"/>
    <xf numFmtId="0" fontId="16090" fillId="16095" borderId="16042" xfId="0" applyFont="1" applyFill="1" applyBorder="1"/>
    <xf numFmtId="0" fontId="16091" fillId="16096" borderId="16043" xfId="0" applyFont="1" applyFill="1" applyBorder="1" applyAlignment="1">
      <alignment horizontal="center"/>
    </xf>
    <xf numFmtId="0" fontId="16092" fillId="16097" borderId="16044" xfId="0" applyFont="1" applyFill="1" applyBorder="1"/>
    <xf numFmtId="165" fontId="16093" fillId="16098" borderId="16045" xfId="0" applyNumberFormat="1" applyFont="1" applyFill="1" applyBorder="1"/>
    <xf numFmtId="4" fontId="16094" fillId="16099" borderId="16046" xfId="0" applyNumberFormat="1" applyFont="1" applyFill="1" applyBorder="1"/>
    <xf numFmtId="168" fontId="16095" fillId="16100" borderId="16047" xfId="0" applyNumberFormat="1" applyFont="1" applyFill="1" applyBorder="1"/>
    <xf numFmtId="165" fontId="16096" fillId="16101" borderId="16048" xfId="0" applyNumberFormat="1" applyFont="1" applyFill="1" applyBorder="1"/>
    <xf numFmtId="165" fontId="16097" fillId="16102" borderId="16049" xfId="0" applyNumberFormat="1" applyFont="1" applyFill="1" applyBorder="1"/>
    <xf numFmtId="0" fontId="16098" fillId="16103" borderId="16050" xfId="0" applyFont="1" applyFill="1" applyBorder="1"/>
    <xf numFmtId="0" fontId="16099" fillId="16104" borderId="16051" xfId="0" applyFont="1" applyFill="1" applyBorder="1" applyAlignment="1">
      <alignment horizontal="center"/>
    </xf>
    <xf numFmtId="0" fontId="16100" fillId="16105" borderId="16052" xfId="0" applyFont="1" applyFill="1" applyBorder="1"/>
    <xf numFmtId="165" fontId="16101" fillId="16106" borderId="16053" xfId="0" applyNumberFormat="1" applyFont="1" applyFill="1" applyBorder="1"/>
    <xf numFmtId="4" fontId="16102" fillId="16107" borderId="16054" xfId="0" applyNumberFormat="1" applyFont="1" applyFill="1" applyBorder="1"/>
    <xf numFmtId="168" fontId="16103" fillId="16108" borderId="16055" xfId="0" applyNumberFormat="1" applyFont="1" applyFill="1" applyBorder="1"/>
    <xf numFmtId="165" fontId="16104" fillId="16109" borderId="16056" xfId="0" applyNumberFormat="1" applyFont="1" applyFill="1" applyBorder="1"/>
    <xf numFmtId="165" fontId="16105" fillId="16110" borderId="16057" xfId="0" applyNumberFormat="1" applyFont="1" applyFill="1" applyBorder="1"/>
    <xf numFmtId="0" fontId="16106" fillId="16111" borderId="16058" xfId="0" applyFont="1" applyFill="1" applyBorder="1"/>
    <xf numFmtId="0" fontId="16107" fillId="16112" borderId="16059" xfId="0" applyFont="1" applyFill="1" applyBorder="1" applyAlignment="1">
      <alignment horizontal="center"/>
    </xf>
    <xf numFmtId="0" fontId="16108" fillId="16113" borderId="16060" xfId="0" applyFont="1" applyFill="1" applyBorder="1"/>
    <xf numFmtId="165" fontId="16109" fillId="16114" borderId="16061" xfId="0" applyNumberFormat="1" applyFont="1" applyFill="1" applyBorder="1"/>
    <xf numFmtId="4" fontId="16110" fillId="16115" borderId="16062" xfId="0" applyNumberFormat="1" applyFont="1" applyFill="1" applyBorder="1"/>
    <xf numFmtId="168" fontId="16111" fillId="16116" borderId="16063" xfId="0" applyNumberFormat="1" applyFont="1" applyFill="1" applyBorder="1"/>
    <xf numFmtId="165" fontId="16112" fillId="16117" borderId="16064" xfId="0" applyNumberFormat="1" applyFont="1" applyFill="1" applyBorder="1"/>
    <xf numFmtId="165" fontId="16113" fillId="16118" borderId="16065" xfId="0" applyNumberFormat="1" applyFont="1" applyFill="1" applyBorder="1"/>
    <xf numFmtId="0" fontId="16114" fillId="16119" borderId="16066" xfId="0" applyFont="1" applyFill="1" applyBorder="1"/>
    <xf numFmtId="0" fontId="16115" fillId="16120" borderId="16067" xfId="0" applyFont="1" applyFill="1" applyBorder="1" applyAlignment="1">
      <alignment horizontal="center"/>
    </xf>
    <xf numFmtId="0" fontId="16116" fillId="16121" borderId="16068" xfId="0" applyFont="1" applyFill="1" applyBorder="1"/>
    <xf numFmtId="165" fontId="16117" fillId="16122" borderId="16069" xfId="0" applyNumberFormat="1" applyFont="1" applyFill="1" applyBorder="1"/>
    <xf numFmtId="4" fontId="16118" fillId="16123" borderId="16070" xfId="0" applyNumberFormat="1" applyFont="1" applyFill="1" applyBorder="1"/>
    <xf numFmtId="168" fontId="16119" fillId="16124" borderId="16071" xfId="0" applyNumberFormat="1" applyFont="1" applyFill="1" applyBorder="1"/>
    <xf numFmtId="165" fontId="16120" fillId="16125" borderId="16072" xfId="0" applyNumberFormat="1" applyFont="1" applyFill="1" applyBorder="1"/>
    <xf numFmtId="165" fontId="16121" fillId="16126" borderId="16073" xfId="0" applyNumberFormat="1" applyFont="1" applyFill="1" applyBorder="1"/>
    <xf numFmtId="0" fontId="16122" fillId="16127" borderId="16074" xfId="0" applyFont="1" applyFill="1" applyBorder="1"/>
    <xf numFmtId="0" fontId="16123" fillId="16128" borderId="16075" xfId="0" applyFont="1" applyFill="1" applyBorder="1" applyAlignment="1">
      <alignment horizontal="center"/>
    </xf>
    <xf numFmtId="0" fontId="16124" fillId="16129" borderId="16076" xfId="0" applyFont="1" applyFill="1" applyBorder="1"/>
    <xf numFmtId="165" fontId="16125" fillId="16130" borderId="16077" xfId="0" applyNumberFormat="1" applyFont="1" applyFill="1" applyBorder="1"/>
    <xf numFmtId="4" fontId="16126" fillId="16131" borderId="16078" xfId="0" applyNumberFormat="1" applyFont="1" applyFill="1" applyBorder="1"/>
    <xf numFmtId="168" fontId="16127" fillId="16132" borderId="16079" xfId="0" applyNumberFormat="1" applyFont="1" applyFill="1" applyBorder="1"/>
    <xf numFmtId="165" fontId="16128" fillId="16133" borderId="16080" xfId="0" applyNumberFormat="1" applyFont="1" applyFill="1" applyBorder="1"/>
    <xf numFmtId="165" fontId="16129" fillId="16134" borderId="16081" xfId="0" applyNumberFormat="1" applyFont="1" applyFill="1" applyBorder="1"/>
    <xf numFmtId="0" fontId="16130" fillId="16135" borderId="16082" xfId="0" applyFont="1" applyFill="1" applyBorder="1"/>
    <xf numFmtId="0" fontId="16131" fillId="16136" borderId="16083" xfId="0" applyFont="1" applyFill="1" applyBorder="1" applyAlignment="1">
      <alignment horizontal="center"/>
    </xf>
    <xf numFmtId="0" fontId="16132" fillId="16137" borderId="16084" xfId="0" applyFont="1" applyFill="1" applyBorder="1"/>
    <xf numFmtId="165" fontId="16133" fillId="16138" borderId="16085" xfId="0" applyNumberFormat="1" applyFont="1" applyFill="1" applyBorder="1"/>
    <xf numFmtId="4" fontId="16134" fillId="16139" borderId="16086" xfId="0" applyNumberFormat="1" applyFont="1" applyFill="1" applyBorder="1"/>
    <xf numFmtId="168" fontId="16135" fillId="16140" borderId="16087" xfId="0" applyNumberFormat="1" applyFont="1" applyFill="1" applyBorder="1"/>
    <xf numFmtId="165" fontId="16136" fillId="16141" borderId="16088" xfId="0" applyNumberFormat="1" applyFont="1" applyFill="1" applyBorder="1"/>
    <xf numFmtId="165" fontId="16137" fillId="16142" borderId="16089" xfId="0" applyNumberFormat="1" applyFont="1" applyFill="1" applyBorder="1"/>
    <xf numFmtId="0" fontId="16138" fillId="16143" borderId="16090" xfId="0" applyFont="1" applyFill="1" applyBorder="1"/>
    <xf numFmtId="0" fontId="16139" fillId="16144" borderId="16091" xfId="0" applyFont="1" applyFill="1" applyBorder="1" applyAlignment="1">
      <alignment horizontal="center"/>
    </xf>
    <xf numFmtId="0" fontId="16140" fillId="16145" borderId="16092" xfId="0" applyFont="1" applyFill="1" applyBorder="1"/>
    <xf numFmtId="165" fontId="16141" fillId="16146" borderId="16093" xfId="0" applyNumberFormat="1" applyFont="1" applyFill="1" applyBorder="1"/>
    <xf numFmtId="4" fontId="16142" fillId="16147" borderId="16094" xfId="0" applyNumberFormat="1" applyFont="1" applyFill="1" applyBorder="1"/>
    <xf numFmtId="168" fontId="16143" fillId="16148" borderId="16095" xfId="0" applyNumberFormat="1" applyFont="1" applyFill="1" applyBorder="1"/>
    <xf numFmtId="165" fontId="16144" fillId="16149" borderId="16096" xfId="0" applyNumberFormat="1" applyFont="1" applyFill="1" applyBorder="1"/>
    <xf numFmtId="165" fontId="16145" fillId="16150" borderId="16097" xfId="0" applyNumberFormat="1" applyFont="1" applyFill="1" applyBorder="1"/>
    <xf numFmtId="0" fontId="16146" fillId="16151" borderId="16098" xfId="0" applyFont="1" applyFill="1" applyBorder="1"/>
    <xf numFmtId="0" fontId="16147" fillId="16152" borderId="16099" xfId="0" applyFont="1" applyFill="1" applyBorder="1" applyAlignment="1">
      <alignment horizontal="center"/>
    </xf>
    <xf numFmtId="0" fontId="16148" fillId="16153" borderId="16100" xfId="0" applyFont="1" applyFill="1" applyBorder="1"/>
    <xf numFmtId="165" fontId="16149" fillId="16154" borderId="16101" xfId="0" applyNumberFormat="1" applyFont="1" applyFill="1" applyBorder="1"/>
    <xf numFmtId="4" fontId="16150" fillId="16155" borderId="16102" xfId="0" applyNumberFormat="1" applyFont="1" applyFill="1" applyBorder="1"/>
    <xf numFmtId="168" fontId="16151" fillId="16156" borderId="16103" xfId="0" applyNumberFormat="1" applyFont="1" applyFill="1" applyBorder="1"/>
    <xf numFmtId="165" fontId="16152" fillId="16157" borderId="16104" xfId="0" applyNumberFormat="1" applyFont="1" applyFill="1" applyBorder="1"/>
    <xf numFmtId="165" fontId="16153" fillId="16158" borderId="16105" xfId="0" applyNumberFormat="1" applyFont="1" applyFill="1" applyBorder="1"/>
    <xf numFmtId="0" fontId="16154" fillId="16159" borderId="16106" xfId="0" applyFont="1" applyFill="1" applyBorder="1"/>
    <xf numFmtId="0" fontId="16155" fillId="16160" borderId="16107" xfId="0" applyFont="1" applyFill="1" applyBorder="1" applyAlignment="1">
      <alignment horizontal="center"/>
    </xf>
    <xf numFmtId="0" fontId="16156" fillId="16161" borderId="16108" xfId="0" applyFont="1" applyFill="1" applyBorder="1"/>
    <xf numFmtId="165" fontId="16157" fillId="16162" borderId="16109" xfId="0" applyNumberFormat="1" applyFont="1" applyFill="1" applyBorder="1"/>
    <xf numFmtId="4" fontId="16158" fillId="16163" borderId="16110" xfId="0" applyNumberFormat="1" applyFont="1" applyFill="1" applyBorder="1"/>
    <xf numFmtId="168" fontId="16159" fillId="16164" borderId="16111" xfId="0" applyNumberFormat="1" applyFont="1" applyFill="1" applyBorder="1"/>
    <xf numFmtId="165" fontId="16160" fillId="16165" borderId="16112" xfId="0" applyNumberFormat="1" applyFont="1" applyFill="1" applyBorder="1"/>
    <xf numFmtId="165" fontId="16161" fillId="16166" borderId="16113" xfId="0" applyNumberFormat="1" applyFont="1" applyFill="1" applyBorder="1"/>
    <xf numFmtId="0" fontId="16162" fillId="16167" borderId="16114" xfId="0" applyFont="1" applyFill="1" applyBorder="1"/>
    <xf numFmtId="0" fontId="16163" fillId="16168" borderId="16115" xfId="0" applyFont="1" applyFill="1" applyBorder="1" applyAlignment="1">
      <alignment horizontal="center"/>
    </xf>
    <xf numFmtId="0" fontId="16164" fillId="16169" borderId="16116" xfId="0" applyFont="1" applyFill="1" applyBorder="1"/>
    <xf numFmtId="165" fontId="16165" fillId="16170" borderId="16117" xfId="0" applyNumberFormat="1" applyFont="1" applyFill="1" applyBorder="1"/>
    <xf numFmtId="4" fontId="16166" fillId="16171" borderId="16118" xfId="0" applyNumberFormat="1" applyFont="1" applyFill="1" applyBorder="1"/>
    <xf numFmtId="168" fontId="16167" fillId="16172" borderId="16119" xfId="0" applyNumberFormat="1" applyFont="1" applyFill="1" applyBorder="1"/>
    <xf numFmtId="165" fontId="16168" fillId="16173" borderId="16120" xfId="0" applyNumberFormat="1" applyFont="1" applyFill="1" applyBorder="1"/>
    <xf numFmtId="165" fontId="16169" fillId="16174" borderId="16121" xfId="0" applyNumberFormat="1" applyFont="1" applyFill="1" applyBorder="1"/>
    <xf numFmtId="0" fontId="16170" fillId="16175" borderId="16122" xfId="0" applyFont="1" applyFill="1" applyBorder="1"/>
    <xf numFmtId="0" fontId="16171" fillId="16176" borderId="16123" xfId="0" applyFont="1" applyFill="1" applyBorder="1" applyAlignment="1">
      <alignment horizontal="center"/>
    </xf>
    <xf numFmtId="0" fontId="16172" fillId="16177" borderId="16124" xfId="0" applyFont="1" applyFill="1" applyBorder="1"/>
    <xf numFmtId="165" fontId="16173" fillId="16178" borderId="16125" xfId="0" applyNumberFormat="1" applyFont="1" applyFill="1" applyBorder="1"/>
    <xf numFmtId="4" fontId="16174" fillId="16179" borderId="16126" xfId="0" applyNumberFormat="1" applyFont="1" applyFill="1" applyBorder="1"/>
    <xf numFmtId="168" fontId="16175" fillId="16180" borderId="16127" xfId="0" applyNumberFormat="1" applyFont="1" applyFill="1" applyBorder="1"/>
    <xf numFmtId="165" fontId="16176" fillId="16181" borderId="16128" xfId="0" applyNumberFormat="1" applyFont="1" applyFill="1" applyBorder="1"/>
    <xf numFmtId="165" fontId="16177" fillId="16182" borderId="16129" xfId="0" applyNumberFormat="1" applyFont="1" applyFill="1" applyBorder="1"/>
    <xf numFmtId="0" fontId="16178" fillId="16183" borderId="16130" xfId="0" applyFont="1" applyFill="1" applyBorder="1"/>
    <xf numFmtId="0" fontId="16179" fillId="16184" borderId="16131" xfId="0" applyFont="1" applyFill="1" applyBorder="1" applyAlignment="1">
      <alignment horizontal="center"/>
    </xf>
    <xf numFmtId="0" fontId="16180" fillId="16185" borderId="16132" xfId="0" applyFont="1" applyFill="1" applyBorder="1"/>
    <xf numFmtId="165" fontId="16181" fillId="16186" borderId="16133" xfId="0" applyNumberFormat="1" applyFont="1" applyFill="1" applyBorder="1"/>
    <xf numFmtId="4" fontId="16182" fillId="16187" borderId="16134" xfId="0" applyNumberFormat="1" applyFont="1" applyFill="1" applyBorder="1"/>
    <xf numFmtId="168" fontId="16183" fillId="16188" borderId="16135" xfId="0" applyNumberFormat="1" applyFont="1" applyFill="1" applyBorder="1"/>
    <xf numFmtId="165" fontId="16184" fillId="16189" borderId="16136" xfId="0" applyNumberFormat="1" applyFont="1" applyFill="1" applyBorder="1"/>
    <xf numFmtId="165" fontId="16185" fillId="16190" borderId="16137" xfId="0" applyNumberFormat="1" applyFont="1" applyFill="1" applyBorder="1"/>
    <xf numFmtId="0" fontId="16186" fillId="16191" borderId="16138" xfId="0" applyFont="1" applyFill="1" applyBorder="1"/>
    <xf numFmtId="0" fontId="16187" fillId="16192" borderId="16139" xfId="0" applyFont="1" applyFill="1" applyBorder="1" applyAlignment="1">
      <alignment horizontal="center"/>
    </xf>
    <xf numFmtId="0" fontId="16188" fillId="16193" borderId="16140" xfId="0" applyFont="1" applyFill="1" applyBorder="1"/>
    <xf numFmtId="165" fontId="16189" fillId="16194" borderId="16141" xfId="0" applyNumberFormat="1" applyFont="1" applyFill="1" applyBorder="1"/>
    <xf numFmtId="4" fontId="16190" fillId="16195" borderId="16142" xfId="0" applyNumberFormat="1" applyFont="1" applyFill="1" applyBorder="1"/>
    <xf numFmtId="168" fontId="16191" fillId="16196" borderId="16143" xfId="0" applyNumberFormat="1" applyFont="1" applyFill="1" applyBorder="1"/>
    <xf numFmtId="165" fontId="16192" fillId="16197" borderId="16144" xfId="0" applyNumberFormat="1" applyFont="1" applyFill="1" applyBorder="1"/>
    <xf numFmtId="165" fontId="16193" fillId="16198" borderId="16145" xfId="0" applyNumberFormat="1" applyFont="1" applyFill="1" applyBorder="1"/>
    <xf numFmtId="0" fontId="16194" fillId="16199" borderId="16146" xfId="0" applyFont="1" applyFill="1" applyBorder="1"/>
    <xf numFmtId="0" fontId="16195" fillId="16200" borderId="16147" xfId="0" applyFont="1" applyFill="1" applyBorder="1" applyAlignment="1">
      <alignment horizontal="center"/>
    </xf>
    <xf numFmtId="0" fontId="16196" fillId="16201" borderId="16148" xfId="0" applyFont="1" applyFill="1" applyBorder="1"/>
    <xf numFmtId="165" fontId="16197" fillId="16202" borderId="16149" xfId="0" applyNumberFormat="1" applyFont="1" applyFill="1" applyBorder="1"/>
    <xf numFmtId="4" fontId="16198" fillId="16203" borderId="16150" xfId="0" applyNumberFormat="1" applyFont="1" applyFill="1" applyBorder="1"/>
    <xf numFmtId="168" fontId="16199" fillId="16204" borderId="16151" xfId="0" applyNumberFormat="1" applyFont="1" applyFill="1" applyBorder="1"/>
    <xf numFmtId="165" fontId="16200" fillId="16205" borderId="16152" xfId="0" applyNumberFormat="1" applyFont="1" applyFill="1" applyBorder="1"/>
    <xf numFmtId="165" fontId="16201" fillId="16206" borderId="16153" xfId="0" applyNumberFormat="1" applyFont="1" applyFill="1" applyBorder="1"/>
    <xf numFmtId="0" fontId="16202" fillId="16207" borderId="16154" xfId="0" applyFont="1" applyFill="1" applyBorder="1"/>
    <xf numFmtId="0" fontId="16203" fillId="16208" borderId="16155" xfId="0" applyFont="1" applyFill="1" applyBorder="1" applyAlignment="1">
      <alignment horizontal="center"/>
    </xf>
    <xf numFmtId="0" fontId="16204" fillId="16209" borderId="16156" xfId="0" applyFont="1" applyFill="1" applyBorder="1"/>
    <xf numFmtId="165" fontId="16205" fillId="16210" borderId="16157" xfId="0" applyNumberFormat="1" applyFont="1" applyFill="1" applyBorder="1"/>
    <xf numFmtId="4" fontId="16206" fillId="16211" borderId="16158" xfId="0" applyNumberFormat="1" applyFont="1" applyFill="1" applyBorder="1"/>
    <xf numFmtId="168" fontId="16207" fillId="16212" borderId="16159" xfId="0" applyNumberFormat="1" applyFont="1" applyFill="1" applyBorder="1"/>
    <xf numFmtId="165" fontId="16208" fillId="16213" borderId="16160" xfId="0" applyNumberFormat="1" applyFont="1" applyFill="1" applyBorder="1"/>
    <xf numFmtId="165" fontId="16209" fillId="16214" borderId="16161" xfId="0" applyNumberFormat="1" applyFont="1" applyFill="1" applyBorder="1"/>
    <xf numFmtId="0" fontId="16210" fillId="16215" borderId="16162" xfId="0" applyFont="1" applyFill="1" applyBorder="1"/>
    <xf numFmtId="0" fontId="16211" fillId="16216" borderId="16163" xfId="0" applyFont="1" applyFill="1" applyBorder="1" applyAlignment="1">
      <alignment horizontal="center"/>
    </xf>
    <xf numFmtId="0" fontId="16212" fillId="16217" borderId="16164" xfId="0" applyFont="1" applyFill="1" applyBorder="1"/>
    <xf numFmtId="165" fontId="16213" fillId="16218" borderId="16165" xfId="0" applyNumberFormat="1" applyFont="1" applyFill="1" applyBorder="1"/>
    <xf numFmtId="4" fontId="16214" fillId="16219" borderId="16166" xfId="0" applyNumberFormat="1" applyFont="1" applyFill="1" applyBorder="1"/>
    <xf numFmtId="168" fontId="16215" fillId="16220" borderId="16167" xfId="0" applyNumberFormat="1" applyFont="1" applyFill="1" applyBorder="1"/>
    <xf numFmtId="165" fontId="16216" fillId="16221" borderId="16168" xfId="0" applyNumberFormat="1" applyFont="1" applyFill="1" applyBorder="1"/>
    <xf numFmtId="165" fontId="16217" fillId="16222" borderId="16169" xfId="0" applyNumberFormat="1" applyFont="1" applyFill="1" applyBorder="1"/>
    <xf numFmtId="0" fontId="16218" fillId="16223" borderId="16170" xfId="0" applyFont="1" applyFill="1" applyBorder="1"/>
    <xf numFmtId="0" fontId="16219" fillId="16224" borderId="16171" xfId="0" applyFont="1" applyFill="1" applyBorder="1" applyAlignment="1">
      <alignment horizontal="center"/>
    </xf>
    <xf numFmtId="0" fontId="16220" fillId="16225" borderId="16172" xfId="0" applyFont="1" applyFill="1" applyBorder="1"/>
    <xf numFmtId="165" fontId="16221" fillId="16226" borderId="16173" xfId="0" applyNumberFormat="1" applyFont="1" applyFill="1" applyBorder="1"/>
    <xf numFmtId="4" fontId="16222" fillId="16227" borderId="16174" xfId="0" applyNumberFormat="1" applyFont="1" applyFill="1" applyBorder="1"/>
    <xf numFmtId="168" fontId="16223" fillId="16228" borderId="16175" xfId="0" applyNumberFormat="1" applyFont="1" applyFill="1" applyBorder="1"/>
    <xf numFmtId="165" fontId="16224" fillId="16229" borderId="16176" xfId="0" applyNumberFormat="1" applyFont="1" applyFill="1" applyBorder="1"/>
    <xf numFmtId="165" fontId="16225" fillId="16230" borderId="16177" xfId="0" applyNumberFormat="1" applyFont="1" applyFill="1" applyBorder="1"/>
    <xf numFmtId="0" fontId="16226" fillId="16231" borderId="16178" xfId="0" applyFont="1" applyFill="1" applyBorder="1"/>
    <xf numFmtId="0" fontId="16227" fillId="16232" borderId="16179" xfId="0" applyFont="1" applyFill="1" applyBorder="1" applyAlignment="1">
      <alignment horizontal="center"/>
    </xf>
    <xf numFmtId="0" fontId="16228" fillId="16233" borderId="16180" xfId="0" applyFont="1" applyFill="1" applyBorder="1"/>
    <xf numFmtId="165" fontId="16229" fillId="16234" borderId="16181" xfId="0" applyNumberFormat="1" applyFont="1" applyFill="1" applyBorder="1"/>
    <xf numFmtId="4" fontId="16230" fillId="16235" borderId="16182" xfId="0" applyNumberFormat="1" applyFont="1" applyFill="1" applyBorder="1"/>
    <xf numFmtId="168" fontId="16231" fillId="16236" borderId="16183" xfId="0" applyNumberFormat="1" applyFont="1" applyFill="1" applyBorder="1"/>
    <xf numFmtId="165" fontId="16232" fillId="16237" borderId="16184" xfId="0" applyNumberFormat="1" applyFont="1" applyFill="1" applyBorder="1"/>
    <xf numFmtId="165" fontId="16233" fillId="16238" borderId="16185" xfId="0" applyNumberFormat="1" applyFont="1" applyFill="1" applyBorder="1"/>
    <xf numFmtId="0" fontId="16234" fillId="16239" borderId="16186" xfId="0" applyFont="1" applyFill="1" applyBorder="1"/>
    <xf numFmtId="0" fontId="16235" fillId="16240" borderId="16187" xfId="0" applyFont="1" applyFill="1" applyBorder="1" applyAlignment="1">
      <alignment horizontal="center"/>
    </xf>
    <xf numFmtId="0" fontId="16236" fillId="16241" borderId="16188" xfId="0" applyFont="1" applyFill="1" applyBorder="1"/>
    <xf numFmtId="165" fontId="16237" fillId="16242" borderId="16189" xfId="0" applyNumberFormat="1" applyFont="1" applyFill="1" applyBorder="1"/>
    <xf numFmtId="4" fontId="16238" fillId="16243" borderId="16190" xfId="0" applyNumberFormat="1" applyFont="1" applyFill="1" applyBorder="1"/>
    <xf numFmtId="168" fontId="16239" fillId="16244" borderId="16191" xfId="0" applyNumberFormat="1" applyFont="1" applyFill="1" applyBorder="1"/>
    <xf numFmtId="165" fontId="16240" fillId="16245" borderId="16192" xfId="0" applyNumberFormat="1" applyFont="1" applyFill="1" applyBorder="1"/>
    <xf numFmtId="165" fontId="16241" fillId="16246" borderId="16193" xfId="0" applyNumberFormat="1" applyFont="1" applyFill="1" applyBorder="1"/>
    <xf numFmtId="0" fontId="16242" fillId="16247" borderId="16194" xfId="0" applyFont="1" applyFill="1" applyBorder="1"/>
    <xf numFmtId="0" fontId="16243" fillId="16248" borderId="16195" xfId="0" applyFont="1" applyFill="1" applyBorder="1" applyAlignment="1">
      <alignment horizontal="center"/>
    </xf>
    <xf numFmtId="0" fontId="16244" fillId="16249" borderId="16196" xfId="0" applyFont="1" applyFill="1" applyBorder="1"/>
    <xf numFmtId="165" fontId="16245" fillId="16250" borderId="16197" xfId="0" applyNumberFormat="1" applyFont="1" applyFill="1" applyBorder="1"/>
    <xf numFmtId="4" fontId="16246" fillId="16251" borderId="16198" xfId="0" applyNumberFormat="1" applyFont="1" applyFill="1" applyBorder="1"/>
    <xf numFmtId="168" fontId="16247" fillId="16252" borderId="16199" xfId="0" applyNumberFormat="1" applyFont="1" applyFill="1" applyBorder="1"/>
    <xf numFmtId="165" fontId="16248" fillId="16253" borderId="16200" xfId="0" applyNumberFormat="1" applyFont="1" applyFill="1" applyBorder="1"/>
    <xf numFmtId="165" fontId="16249" fillId="16254" borderId="16201" xfId="0" applyNumberFormat="1" applyFont="1" applyFill="1" applyBorder="1"/>
    <xf numFmtId="0" fontId="16250" fillId="16255" borderId="16202" xfId="0" applyFont="1" applyFill="1" applyBorder="1"/>
    <xf numFmtId="0" fontId="16251" fillId="16256" borderId="16203" xfId="0" applyFont="1" applyFill="1" applyBorder="1" applyAlignment="1">
      <alignment horizontal="center"/>
    </xf>
    <xf numFmtId="0" fontId="16252" fillId="16257" borderId="16204" xfId="0" applyFont="1" applyFill="1" applyBorder="1"/>
    <xf numFmtId="165" fontId="16253" fillId="16258" borderId="16205" xfId="0" applyNumberFormat="1" applyFont="1" applyFill="1" applyBorder="1"/>
    <xf numFmtId="4" fontId="16254" fillId="16259" borderId="16206" xfId="0" applyNumberFormat="1" applyFont="1" applyFill="1" applyBorder="1"/>
    <xf numFmtId="168" fontId="16255" fillId="16260" borderId="16207" xfId="0" applyNumberFormat="1" applyFont="1" applyFill="1" applyBorder="1"/>
    <xf numFmtId="165" fontId="16256" fillId="16261" borderId="16208" xfId="0" applyNumberFormat="1" applyFont="1" applyFill="1" applyBorder="1"/>
    <xf numFmtId="165" fontId="16257" fillId="16262" borderId="16209" xfId="0" applyNumberFormat="1" applyFont="1" applyFill="1" applyBorder="1"/>
    <xf numFmtId="0" fontId="16258" fillId="16263" borderId="16210" xfId="0" applyFont="1" applyFill="1" applyBorder="1"/>
    <xf numFmtId="0" fontId="16259" fillId="16264" borderId="16211" xfId="0" applyFont="1" applyFill="1" applyBorder="1" applyAlignment="1">
      <alignment horizontal="center"/>
    </xf>
    <xf numFmtId="0" fontId="16260" fillId="16265" borderId="16212" xfId="0" applyFont="1" applyFill="1" applyBorder="1"/>
    <xf numFmtId="165" fontId="16261" fillId="16266" borderId="16213" xfId="0" applyNumberFormat="1" applyFont="1" applyFill="1" applyBorder="1"/>
    <xf numFmtId="4" fontId="16262" fillId="16267" borderId="16214" xfId="0" applyNumberFormat="1" applyFont="1" applyFill="1" applyBorder="1"/>
    <xf numFmtId="168" fontId="16263" fillId="16268" borderId="16215" xfId="0" applyNumberFormat="1" applyFont="1" applyFill="1" applyBorder="1"/>
    <xf numFmtId="165" fontId="16264" fillId="16269" borderId="16216" xfId="0" applyNumberFormat="1" applyFont="1" applyFill="1" applyBorder="1"/>
    <xf numFmtId="165" fontId="16265" fillId="16270" borderId="16217" xfId="0" applyNumberFormat="1" applyFont="1" applyFill="1" applyBorder="1"/>
    <xf numFmtId="0" fontId="16266" fillId="16271" borderId="16218" xfId="0" applyFont="1" applyFill="1" applyBorder="1"/>
    <xf numFmtId="0" fontId="16267" fillId="16272" borderId="16219" xfId="0" applyFont="1" applyFill="1" applyBorder="1" applyAlignment="1">
      <alignment horizontal="center"/>
    </xf>
    <xf numFmtId="0" fontId="16268" fillId="16273" borderId="16220" xfId="0" applyFont="1" applyFill="1" applyBorder="1"/>
    <xf numFmtId="165" fontId="16269" fillId="16274" borderId="16221" xfId="0" applyNumberFormat="1" applyFont="1" applyFill="1" applyBorder="1"/>
    <xf numFmtId="4" fontId="16270" fillId="16275" borderId="16222" xfId="0" applyNumberFormat="1" applyFont="1" applyFill="1" applyBorder="1"/>
    <xf numFmtId="168" fontId="16271" fillId="16276" borderId="16223" xfId="0" applyNumberFormat="1" applyFont="1" applyFill="1" applyBorder="1"/>
    <xf numFmtId="165" fontId="16272" fillId="16277" borderId="16224" xfId="0" applyNumberFormat="1" applyFont="1" applyFill="1" applyBorder="1"/>
    <xf numFmtId="165" fontId="16273" fillId="16278" borderId="16225" xfId="0" applyNumberFormat="1" applyFont="1" applyFill="1" applyBorder="1"/>
    <xf numFmtId="0" fontId="16274" fillId="16279" borderId="16226" xfId="0" applyFont="1" applyFill="1" applyBorder="1"/>
    <xf numFmtId="0" fontId="16275" fillId="16280" borderId="16227" xfId="0" applyFont="1" applyFill="1" applyBorder="1" applyAlignment="1">
      <alignment horizontal="center"/>
    </xf>
    <xf numFmtId="0" fontId="16276" fillId="16281" borderId="16228" xfId="0" applyFont="1" applyFill="1" applyBorder="1"/>
    <xf numFmtId="165" fontId="16277" fillId="16282" borderId="16229" xfId="0" applyNumberFormat="1" applyFont="1" applyFill="1" applyBorder="1"/>
    <xf numFmtId="4" fontId="16278" fillId="16283" borderId="16230" xfId="0" applyNumberFormat="1" applyFont="1" applyFill="1" applyBorder="1"/>
    <xf numFmtId="168" fontId="16279" fillId="16284" borderId="16231" xfId="0" applyNumberFormat="1" applyFont="1" applyFill="1" applyBorder="1"/>
    <xf numFmtId="165" fontId="16280" fillId="16285" borderId="16232" xfId="0" applyNumberFormat="1" applyFont="1" applyFill="1" applyBorder="1"/>
    <xf numFmtId="165" fontId="16281" fillId="16286" borderId="16233" xfId="0" applyNumberFormat="1" applyFont="1" applyFill="1" applyBorder="1"/>
    <xf numFmtId="0" fontId="16282" fillId="16287" borderId="16234" xfId="0" applyFont="1" applyFill="1" applyBorder="1"/>
    <xf numFmtId="0" fontId="16283" fillId="16288" borderId="16235" xfId="0" applyFont="1" applyFill="1" applyBorder="1" applyAlignment="1">
      <alignment horizontal="center"/>
    </xf>
    <xf numFmtId="0" fontId="16284" fillId="16289" borderId="16236" xfId="0" applyFont="1" applyFill="1" applyBorder="1"/>
    <xf numFmtId="165" fontId="16285" fillId="16290" borderId="16237" xfId="0" applyNumberFormat="1" applyFont="1" applyFill="1" applyBorder="1"/>
    <xf numFmtId="4" fontId="16286" fillId="16291" borderId="16238" xfId="0" applyNumberFormat="1" applyFont="1" applyFill="1" applyBorder="1"/>
    <xf numFmtId="168" fontId="16287" fillId="16292" borderId="16239" xfId="0" applyNumberFormat="1" applyFont="1" applyFill="1" applyBorder="1"/>
    <xf numFmtId="165" fontId="16288" fillId="16293" borderId="16240" xfId="0" applyNumberFormat="1" applyFont="1" applyFill="1" applyBorder="1"/>
    <xf numFmtId="165" fontId="16289" fillId="16294" borderId="16241" xfId="0" applyNumberFormat="1" applyFont="1" applyFill="1" applyBorder="1"/>
    <xf numFmtId="0" fontId="16290" fillId="16295" borderId="16242" xfId="0" applyFont="1" applyFill="1" applyBorder="1"/>
    <xf numFmtId="0" fontId="16291" fillId="16296" borderId="16243" xfId="0" applyFont="1" applyFill="1" applyBorder="1" applyAlignment="1">
      <alignment horizontal="center"/>
    </xf>
    <xf numFmtId="0" fontId="16292" fillId="16297" borderId="16244" xfId="0" applyFont="1" applyFill="1" applyBorder="1"/>
    <xf numFmtId="165" fontId="16293" fillId="16298" borderId="16245" xfId="0" applyNumberFormat="1" applyFont="1" applyFill="1" applyBorder="1"/>
    <xf numFmtId="4" fontId="16294" fillId="16299" borderId="16246" xfId="0" applyNumberFormat="1" applyFont="1" applyFill="1" applyBorder="1"/>
    <xf numFmtId="168" fontId="16295" fillId="16300" borderId="16247" xfId="0" applyNumberFormat="1" applyFont="1" applyFill="1" applyBorder="1"/>
    <xf numFmtId="165" fontId="16296" fillId="16301" borderId="16248" xfId="0" applyNumberFormat="1" applyFont="1" applyFill="1" applyBorder="1"/>
    <xf numFmtId="165" fontId="16297" fillId="16302" borderId="16249" xfId="0" applyNumberFormat="1" applyFont="1" applyFill="1" applyBorder="1"/>
    <xf numFmtId="0" fontId="16298" fillId="16303" borderId="16250" xfId="0" applyFont="1" applyFill="1" applyBorder="1"/>
    <xf numFmtId="0" fontId="16299" fillId="16304" borderId="16251" xfId="0" applyFont="1" applyFill="1" applyBorder="1" applyAlignment="1">
      <alignment horizontal="center"/>
    </xf>
    <xf numFmtId="0" fontId="16300" fillId="16305" borderId="16252" xfId="0" applyFont="1" applyFill="1" applyBorder="1"/>
    <xf numFmtId="165" fontId="16301" fillId="16306" borderId="16253" xfId="0" applyNumberFormat="1" applyFont="1" applyFill="1" applyBorder="1"/>
    <xf numFmtId="4" fontId="16302" fillId="16307" borderId="16254" xfId="0" applyNumberFormat="1" applyFont="1" applyFill="1" applyBorder="1"/>
    <xf numFmtId="168" fontId="16303" fillId="16308" borderId="16255" xfId="0" applyNumberFormat="1" applyFont="1" applyFill="1" applyBorder="1"/>
    <xf numFmtId="165" fontId="16304" fillId="16309" borderId="16256" xfId="0" applyNumberFormat="1" applyFont="1" applyFill="1" applyBorder="1"/>
    <xf numFmtId="165" fontId="16305" fillId="16310" borderId="16257" xfId="0" applyNumberFormat="1" applyFont="1" applyFill="1" applyBorder="1"/>
    <xf numFmtId="0" fontId="16306" fillId="16311" borderId="16258" xfId="0" applyFont="1" applyFill="1" applyBorder="1"/>
    <xf numFmtId="0" fontId="16307" fillId="16312" borderId="16259" xfId="0" applyFont="1" applyFill="1" applyBorder="1" applyAlignment="1">
      <alignment horizontal="center"/>
    </xf>
    <xf numFmtId="0" fontId="16308" fillId="16313" borderId="16260" xfId="0" applyFont="1" applyFill="1" applyBorder="1"/>
    <xf numFmtId="165" fontId="16309" fillId="16314" borderId="16261" xfId="0" applyNumberFormat="1" applyFont="1" applyFill="1" applyBorder="1"/>
    <xf numFmtId="4" fontId="16310" fillId="16315" borderId="16262" xfId="0" applyNumberFormat="1" applyFont="1" applyFill="1" applyBorder="1"/>
    <xf numFmtId="168" fontId="16311" fillId="16316" borderId="16263" xfId="0" applyNumberFormat="1" applyFont="1" applyFill="1" applyBorder="1"/>
    <xf numFmtId="165" fontId="16312" fillId="16317" borderId="16264" xfId="0" applyNumberFormat="1" applyFont="1" applyFill="1" applyBorder="1"/>
    <xf numFmtId="165" fontId="16313" fillId="16318" borderId="16265" xfId="0" applyNumberFormat="1" applyFont="1" applyFill="1" applyBorder="1"/>
    <xf numFmtId="0" fontId="16314" fillId="16319" borderId="16266" xfId="0" applyFont="1" applyFill="1" applyBorder="1"/>
    <xf numFmtId="0" fontId="16315" fillId="16320" borderId="16267" xfId="0" applyFont="1" applyFill="1" applyBorder="1" applyAlignment="1">
      <alignment horizontal="center"/>
    </xf>
    <xf numFmtId="0" fontId="16316" fillId="16321" borderId="16268" xfId="0" applyFont="1" applyFill="1" applyBorder="1"/>
    <xf numFmtId="165" fontId="16317" fillId="16322" borderId="16269" xfId="0" applyNumberFormat="1" applyFont="1" applyFill="1" applyBorder="1"/>
    <xf numFmtId="4" fontId="16318" fillId="16323" borderId="16270" xfId="0" applyNumberFormat="1" applyFont="1" applyFill="1" applyBorder="1"/>
    <xf numFmtId="168" fontId="16319" fillId="16324" borderId="16271" xfId="0" applyNumberFormat="1" applyFont="1" applyFill="1" applyBorder="1"/>
    <xf numFmtId="165" fontId="16320" fillId="16325" borderId="16272" xfId="0" applyNumberFormat="1" applyFont="1" applyFill="1" applyBorder="1"/>
    <xf numFmtId="165" fontId="16321" fillId="16326" borderId="16273" xfId="0" applyNumberFormat="1" applyFont="1" applyFill="1" applyBorder="1"/>
    <xf numFmtId="0" fontId="16322" fillId="16327" borderId="16274" xfId="0" applyFont="1" applyFill="1" applyBorder="1"/>
    <xf numFmtId="0" fontId="16323" fillId="16328" borderId="16275" xfId="0" applyFont="1" applyFill="1" applyBorder="1" applyAlignment="1">
      <alignment horizontal="center"/>
    </xf>
    <xf numFmtId="0" fontId="16324" fillId="16329" borderId="16276" xfId="0" applyFont="1" applyFill="1" applyBorder="1"/>
    <xf numFmtId="165" fontId="16325" fillId="16330" borderId="16277" xfId="0" applyNumberFormat="1" applyFont="1" applyFill="1" applyBorder="1"/>
    <xf numFmtId="4" fontId="16326" fillId="16331" borderId="16278" xfId="0" applyNumberFormat="1" applyFont="1" applyFill="1" applyBorder="1"/>
    <xf numFmtId="168" fontId="16327" fillId="16332" borderId="16279" xfId="0" applyNumberFormat="1" applyFont="1" applyFill="1" applyBorder="1"/>
    <xf numFmtId="165" fontId="16328" fillId="16333" borderId="16280" xfId="0" applyNumberFormat="1" applyFont="1" applyFill="1" applyBorder="1"/>
    <xf numFmtId="165" fontId="16329" fillId="16334" borderId="16281" xfId="0" applyNumberFormat="1" applyFont="1" applyFill="1" applyBorder="1"/>
    <xf numFmtId="0" fontId="16330" fillId="16335" borderId="16282" xfId="0" applyFont="1" applyFill="1" applyBorder="1"/>
    <xf numFmtId="0" fontId="16331" fillId="16336" borderId="16283" xfId="0" applyFont="1" applyFill="1" applyBorder="1" applyAlignment="1">
      <alignment horizontal="center"/>
    </xf>
    <xf numFmtId="0" fontId="16332" fillId="16337" borderId="16284" xfId="0" applyFont="1" applyFill="1" applyBorder="1"/>
    <xf numFmtId="165" fontId="16333" fillId="16338" borderId="16285" xfId="0" applyNumberFormat="1" applyFont="1" applyFill="1" applyBorder="1"/>
    <xf numFmtId="4" fontId="16334" fillId="16339" borderId="16286" xfId="0" applyNumberFormat="1" applyFont="1" applyFill="1" applyBorder="1"/>
    <xf numFmtId="168" fontId="16335" fillId="16340" borderId="16287" xfId="0" applyNumberFormat="1" applyFont="1" applyFill="1" applyBorder="1"/>
    <xf numFmtId="165" fontId="16336" fillId="16341" borderId="16288" xfId="0" applyNumberFormat="1" applyFont="1" applyFill="1" applyBorder="1"/>
    <xf numFmtId="165" fontId="16337" fillId="16342" borderId="16289" xfId="0" applyNumberFormat="1" applyFont="1" applyFill="1" applyBorder="1"/>
    <xf numFmtId="0" fontId="16338" fillId="16343" borderId="16290" xfId="0" applyFont="1" applyFill="1" applyBorder="1"/>
    <xf numFmtId="0" fontId="16339" fillId="16344" borderId="16291" xfId="0" applyFont="1" applyFill="1" applyBorder="1" applyAlignment="1">
      <alignment horizontal="center"/>
    </xf>
    <xf numFmtId="0" fontId="16340" fillId="16345" borderId="16292" xfId="0" applyFont="1" applyFill="1" applyBorder="1"/>
    <xf numFmtId="165" fontId="16341" fillId="16346" borderId="16293" xfId="0" applyNumberFormat="1" applyFont="1" applyFill="1" applyBorder="1"/>
    <xf numFmtId="4" fontId="16342" fillId="16347" borderId="16294" xfId="0" applyNumberFormat="1" applyFont="1" applyFill="1" applyBorder="1"/>
    <xf numFmtId="168" fontId="16343" fillId="16348" borderId="16295" xfId="0" applyNumberFormat="1" applyFont="1" applyFill="1" applyBorder="1"/>
    <xf numFmtId="165" fontId="16344" fillId="16349" borderId="16296" xfId="0" applyNumberFormat="1" applyFont="1" applyFill="1" applyBorder="1"/>
    <xf numFmtId="165" fontId="16345" fillId="16350" borderId="16297" xfId="0" applyNumberFormat="1" applyFont="1" applyFill="1" applyBorder="1"/>
    <xf numFmtId="0" fontId="16346" fillId="16351" borderId="16298" xfId="0" applyFont="1" applyFill="1" applyBorder="1"/>
    <xf numFmtId="0" fontId="16347" fillId="16352" borderId="16299" xfId="0" applyFont="1" applyFill="1" applyBorder="1" applyAlignment="1">
      <alignment horizontal="center"/>
    </xf>
    <xf numFmtId="0" fontId="16348" fillId="16353" borderId="16300" xfId="0" applyFont="1" applyFill="1" applyBorder="1"/>
    <xf numFmtId="165" fontId="16349" fillId="16354" borderId="16301" xfId="0" applyNumberFormat="1" applyFont="1" applyFill="1" applyBorder="1"/>
    <xf numFmtId="4" fontId="16350" fillId="16355" borderId="16302" xfId="0" applyNumberFormat="1" applyFont="1" applyFill="1" applyBorder="1"/>
    <xf numFmtId="168" fontId="16351" fillId="16356" borderId="16303" xfId="0" applyNumberFormat="1" applyFont="1" applyFill="1" applyBorder="1"/>
    <xf numFmtId="165" fontId="16352" fillId="16357" borderId="16304" xfId="0" applyNumberFormat="1" applyFont="1" applyFill="1" applyBorder="1"/>
    <xf numFmtId="165" fontId="16353" fillId="16358" borderId="16305" xfId="0" applyNumberFormat="1" applyFont="1" applyFill="1" applyBorder="1"/>
    <xf numFmtId="0" fontId="16354" fillId="16359" borderId="16306" xfId="0" applyFont="1" applyFill="1" applyBorder="1"/>
    <xf numFmtId="0" fontId="16355" fillId="16360" borderId="16307" xfId="0" applyFont="1" applyFill="1" applyBorder="1" applyAlignment="1">
      <alignment horizontal="center"/>
    </xf>
    <xf numFmtId="0" fontId="16356" fillId="16361" borderId="16308" xfId="0" applyFont="1" applyFill="1" applyBorder="1"/>
    <xf numFmtId="165" fontId="16357" fillId="16362" borderId="16309" xfId="0" applyNumberFormat="1" applyFont="1" applyFill="1" applyBorder="1"/>
    <xf numFmtId="4" fontId="16358" fillId="16363" borderId="16310" xfId="0" applyNumberFormat="1" applyFont="1" applyFill="1" applyBorder="1"/>
    <xf numFmtId="168" fontId="16359" fillId="16364" borderId="16311" xfId="0" applyNumberFormat="1" applyFont="1" applyFill="1" applyBorder="1"/>
    <xf numFmtId="165" fontId="16360" fillId="16365" borderId="16312" xfId="0" applyNumberFormat="1" applyFont="1" applyFill="1" applyBorder="1"/>
    <xf numFmtId="165" fontId="16361" fillId="16366" borderId="16313" xfId="0" applyNumberFormat="1" applyFont="1" applyFill="1" applyBorder="1"/>
    <xf numFmtId="0" fontId="16362" fillId="16367" borderId="16314" xfId="0" applyFont="1" applyFill="1" applyBorder="1"/>
    <xf numFmtId="0" fontId="16363" fillId="16368" borderId="16315" xfId="0" applyFont="1" applyFill="1" applyBorder="1" applyAlignment="1">
      <alignment horizontal="center"/>
    </xf>
    <xf numFmtId="0" fontId="16364" fillId="16369" borderId="16316" xfId="0" applyFont="1" applyFill="1" applyBorder="1"/>
    <xf numFmtId="165" fontId="16365" fillId="16370" borderId="16317" xfId="0" applyNumberFormat="1" applyFont="1" applyFill="1" applyBorder="1"/>
    <xf numFmtId="4" fontId="16366" fillId="16371" borderId="16318" xfId="0" applyNumberFormat="1" applyFont="1" applyFill="1" applyBorder="1"/>
    <xf numFmtId="168" fontId="16367" fillId="16372" borderId="16319" xfId="0" applyNumberFormat="1" applyFont="1" applyFill="1" applyBorder="1"/>
    <xf numFmtId="165" fontId="16368" fillId="16373" borderId="16320" xfId="0" applyNumberFormat="1" applyFont="1" applyFill="1" applyBorder="1"/>
    <xf numFmtId="165" fontId="16369" fillId="16374" borderId="16321" xfId="0" applyNumberFormat="1" applyFont="1" applyFill="1" applyBorder="1"/>
    <xf numFmtId="0" fontId="16370" fillId="16375" borderId="16322" xfId="0" applyFont="1" applyFill="1" applyBorder="1"/>
    <xf numFmtId="0" fontId="16371" fillId="16376" borderId="16323" xfId="0" applyFont="1" applyFill="1" applyBorder="1" applyAlignment="1">
      <alignment horizontal="center"/>
    </xf>
    <xf numFmtId="0" fontId="16372" fillId="16377" borderId="16324" xfId="0" applyFont="1" applyFill="1" applyBorder="1"/>
    <xf numFmtId="165" fontId="16373" fillId="16378" borderId="16325" xfId="0" applyNumberFormat="1" applyFont="1" applyFill="1" applyBorder="1"/>
    <xf numFmtId="4" fontId="16374" fillId="16379" borderId="16326" xfId="0" applyNumberFormat="1" applyFont="1" applyFill="1" applyBorder="1"/>
    <xf numFmtId="168" fontId="16375" fillId="16380" borderId="16327" xfId="0" applyNumberFormat="1" applyFont="1" applyFill="1" applyBorder="1"/>
    <xf numFmtId="165" fontId="16376" fillId="16381" borderId="16328" xfId="0" applyNumberFormat="1" applyFont="1" applyFill="1" applyBorder="1"/>
    <xf numFmtId="165" fontId="16377" fillId="16382" borderId="16329" xfId="0" applyNumberFormat="1" applyFont="1" applyFill="1" applyBorder="1"/>
    <xf numFmtId="0" fontId="16378" fillId="16383" borderId="16330" xfId="0" applyFont="1" applyFill="1" applyBorder="1"/>
    <xf numFmtId="0" fontId="16379" fillId="16384" borderId="16331" xfId="0" applyFont="1" applyFill="1" applyBorder="1" applyAlignment="1">
      <alignment horizontal="center"/>
    </xf>
    <xf numFmtId="0" fontId="16380" fillId="16385" borderId="16332" xfId="0" applyFont="1" applyFill="1" applyBorder="1"/>
    <xf numFmtId="165" fontId="16381" fillId="16386" borderId="16333" xfId="0" applyNumberFormat="1" applyFont="1" applyFill="1" applyBorder="1"/>
    <xf numFmtId="4" fontId="16382" fillId="16387" borderId="16334" xfId="0" applyNumberFormat="1" applyFont="1" applyFill="1" applyBorder="1"/>
    <xf numFmtId="168" fontId="16383" fillId="16388" borderId="16335" xfId="0" applyNumberFormat="1" applyFont="1" applyFill="1" applyBorder="1"/>
    <xf numFmtId="165" fontId="16384" fillId="16389" borderId="16336" xfId="0" applyNumberFormat="1" applyFont="1" applyFill="1" applyBorder="1"/>
    <xf numFmtId="165" fontId="16385" fillId="16390" borderId="16337" xfId="0" applyNumberFormat="1" applyFont="1" applyFill="1" applyBorder="1"/>
    <xf numFmtId="0" fontId="16386" fillId="16391" borderId="16338" xfId="0" applyFont="1" applyFill="1" applyBorder="1"/>
    <xf numFmtId="0" fontId="16387" fillId="16392" borderId="16339" xfId="0" applyFont="1" applyFill="1" applyBorder="1" applyAlignment="1">
      <alignment horizontal="center"/>
    </xf>
    <xf numFmtId="0" fontId="16388" fillId="16393" borderId="16340" xfId="0" applyFont="1" applyFill="1" applyBorder="1"/>
    <xf numFmtId="165" fontId="16389" fillId="16394" borderId="16341" xfId="0" applyNumberFormat="1" applyFont="1" applyFill="1" applyBorder="1"/>
    <xf numFmtId="4" fontId="16390" fillId="16395" borderId="16342" xfId="0" applyNumberFormat="1" applyFont="1" applyFill="1" applyBorder="1"/>
    <xf numFmtId="168" fontId="16391" fillId="16396" borderId="16343" xfId="0" applyNumberFormat="1" applyFont="1" applyFill="1" applyBorder="1"/>
    <xf numFmtId="165" fontId="16392" fillId="16397" borderId="16344" xfId="0" applyNumberFormat="1" applyFont="1" applyFill="1" applyBorder="1"/>
    <xf numFmtId="165" fontId="16393" fillId="16398" borderId="16345" xfId="0" applyNumberFormat="1" applyFont="1" applyFill="1" applyBorder="1"/>
    <xf numFmtId="0" fontId="16394" fillId="16399" borderId="16346" xfId="0" applyFont="1" applyFill="1" applyBorder="1"/>
    <xf numFmtId="0" fontId="16395" fillId="16400" borderId="16347" xfId="0" applyFont="1" applyFill="1" applyBorder="1" applyAlignment="1">
      <alignment horizontal="center"/>
    </xf>
    <xf numFmtId="0" fontId="16396" fillId="16401" borderId="16348" xfId="0" applyFont="1" applyFill="1" applyBorder="1"/>
    <xf numFmtId="165" fontId="16397" fillId="16402" borderId="16349" xfId="0" applyNumberFormat="1" applyFont="1" applyFill="1" applyBorder="1"/>
    <xf numFmtId="4" fontId="16398" fillId="16403" borderId="16350" xfId="0" applyNumberFormat="1" applyFont="1" applyFill="1" applyBorder="1"/>
    <xf numFmtId="168" fontId="16399" fillId="16404" borderId="16351" xfId="0" applyNumberFormat="1" applyFont="1" applyFill="1" applyBorder="1"/>
    <xf numFmtId="165" fontId="16400" fillId="16405" borderId="16352" xfId="0" applyNumberFormat="1" applyFont="1" applyFill="1" applyBorder="1"/>
    <xf numFmtId="165" fontId="16401" fillId="16406" borderId="16353" xfId="0" applyNumberFormat="1" applyFont="1" applyFill="1" applyBorder="1"/>
    <xf numFmtId="0" fontId="16402" fillId="16407" borderId="16354" xfId="0" applyFont="1" applyFill="1" applyBorder="1"/>
    <xf numFmtId="0" fontId="16403" fillId="16408" borderId="16355" xfId="0" applyFont="1" applyFill="1" applyBorder="1" applyAlignment="1">
      <alignment horizontal="center"/>
    </xf>
    <xf numFmtId="0" fontId="16404" fillId="16409" borderId="16356" xfId="0" applyFont="1" applyFill="1" applyBorder="1"/>
    <xf numFmtId="165" fontId="16405" fillId="16410" borderId="16357" xfId="0" applyNumberFormat="1" applyFont="1" applyFill="1" applyBorder="1"/>
    <xf numFmtId="4" fontId="16406" fillId="16411" borderId="16358" xfId="0" applyNumberFormat="1" applyFont="1" applyFill="1" applyBorder="1"/>
    <xf numFmtId="168" fontId="16407" fillId="16412" borderId="16359" xfId="0" applyNumberFormat="1" applyFont="1" applyFill="1" applyBorder="1"/>
    <xf numFmtId="165" fontId="16408" fillId="16413" borderId="16360" xfId="0" applyNumberFormat="1" applyFont="1" applyFill="1" applyBorder="1"/>
    <xf numFmtId="165" fontId="16409" fillId="16414" borderId="16361" xfId="0" applyNumberFormat="1" applyFont="1" applyFill="1" applyBorder="1"/>
    <xf numFmtId="0" fontId="16410" fillId="16415" borderId="16362" xfId="0" applyFont="1" applyFill="1" applyBorder="1"/>
    <xf numFmtId="0" fontId="16411" fillId="16416" borderId="16363" xfId="0" applyFont="1" applyFill="1" applyBorder="1" applyAlignment="1">
      <alignment horizontal="center"/>
    </xf>
    <xf numFmtId="0" fontId="16412" fillId="16417" borderId="16364" xfId="0" applyFont="1" applyFill="1" applyBorder="1"/>
    <xf numFmtId="165" fontId="16413" fillId="16418" borderId="16365" xfId="0" applyNumberFormat="1" applyFont="1" applyFill="1" applyBorder="1"/>
    <xf numFmtId="4" fontId="16414" fillId="16419" borderId="16366" xfId="0" applyNumberFormat="1" applyFont="1" applyFill="1" applyBorder="1"/>
    <xf numFmtId="168" fontId="16415" fillId="16420" borderId="16367" xfId="0" applyNumberFormat="1" applyFont="1" applyFill="1" applyBorder="1"/>
    <xf numFmtId="165" fontId="16416" fillId="16421" borderId="16368" xfId="0" applyNumberFormat="1" applyFont="1" applyFill="1" applyBorder="1"/>
    <xf numFmtId="165" fontId="16417" fillId="16422" borderId="16369" xfId="0" applyNumberFormat="1" applyFont="1" applyFill="1" applyBorder="1"/>
    <xf numFmtId="0" fontId="16418" fillId="16423" borderId="16370" xfId="0" applyFont="1" applyFill="1" applyBorder="1"/>
    <xf numFmtId="0" fontId="16419" fillId="16424" borderId="16371" xfId="0" applyFont="1" applyFill="1" applyBorder="1" applyAlignment="1">
      <alignment horizontal="center"/>
    </xf>
    <xf numFmtId="0" fontId="16420" fillId="16425" borderId="16372" xfId="0" applyFont="1" applyFill="1" applyBorder="1"/>
    <xf numFmtId="165" fontId="16421" fillId="16426" borderId="16373" xfId="0" applyNumberFormat="1" applyFont="1" applyFill="1" applyBorder="1"/>
    <xf numFmtId="4" fontId="16422" fillId="16427" borderId="16374" xfId="0" applyNumberFormat="1" applyFont="1" applyFill="1" applyBorder="1"/>
    <xf numFmtId="168" fontId="16423" fillId="16428" borderId="16375" xfId="0" applyNumberFormat="1" applyFont="1" applyFill="1" applyBorder="1"/>
    <xf numFmtId="165" fontId="16424" fillId="16429" borderId="16376" xfId="0" applyNumberFormat="1" applyFont="1" applyFill="1" applyBorder="1"/>
    <xf numFmtId="165" fontId="16425" fillId="16430" borderId="16377" xfId="0" applyNumberFormat="1" applyFont="1" applyFill="1" applyBorder="1"/>
    <xf numFmtId="0" fontId="16426" fillId="16431" borderId="16378" xfId="0" applyFont="1" applyFill="1" applyBorder="1"/>
    <xf numFmtId="0" fontId="16427" fillId="16432" borderId="16379" xfId="0" applyFont="1" applyFill="1" applyBorder="1" applyAlignment="1">
      <alignment horizontal="center"/>
    </xf>
    <xf numFmtId="0" fontId="16428" fillId="16433" borderId="16380" xfId="0" applyFont="1" applyFill="1" applyBorder="1"/>
    <xf numFmtId="165" fontId="16429" fillId="16434" borderId="16381" xfId="0" applyNumberFormat="1" applyFont="1" applyFill="1" applyBorder="1"/>
    <xf numFmtId="4" fontId="16430" fillId="16435" borderId="16382" xfId="0" applyNumberFormat="1" applyFont="1" applyFill="1" applyBorder="1"/>
    <xf numFmtId="168" fontId="16431" fillId="16436" borderId="16383" xfId="0" applyNumberFormat="1" applyFont="1" applyFill="1" applyBorder="1"/>
    <xf numFmtId="165" fontId="16432" fillId="16437" borderId="16384" xfId="0" applyNumberFormat="1" applyFont="1" applyFill="1" applyBorder="1"/>
    <xf numFmtId="165" fontId="16433" fillId="16438" borderId="16385" xfId="0" applyNumberFormat="1" applyFont="1" applyFill="1" applyBorder="1"/>
    <xf numFmtId="0" fontId="16434" fillId="16439" borderId="16386" xfId="0" applyFont="1" applyFill="1" applyBorder="1"/>
    <xf numFmtId="0" fontId="16435" fillId="16440" borderId="16387" xfId="0" applyFont="1" applyFill="1" applyBorder="1" applyAlignment="1">
      <alignment horizontal="center"/>
    </xf>
    <xf numFmtId="0" fontId="16436" fillId="16441" borderId="16388" xfId="0" applyFont="1" applyFill="1" applyBorder="1"/>
    <xf numFmtId="165" fontId="16437" fillId="16442" borderId="16389" xfId="0" applyNumberFormat="1" applyFont="1" applyFill="1" applyBorder="1"/>
    <xf numFmtId="4" fontId="16438" fillId="16443" borderId="16390" xfId="0" applyNumberFormat="1" applyFont="1" applyFill="1" applyBorder="1"/>
    <xf numFmtId="168" fontId="16439" fillId="16444" borderId="16391" xfId="0" applyNumberFormat="1" applyFont="1" applyFill="1" applyBorder="1"/>
    <xf numFmtId="165" fontId="16440" fillId="16445" borderId="16392" xfId="0" applyNumberFormat="1" applyFont="1" applyFill="1" applyBorder="1"/>
    <xf numFmtId="165" fontId="16441" fillId="16446" borderId="16393" xfId="0" applyNumberFormat="1" applyFont="1" applyFill="1" applyBorder="1"/>
    <xf numFmtId="0" fontId="16442" fillId="16447" borderId="16394" xfId="0" applyFont="1" applyFill="1" applyBorder="1"/>
    <xf numFmtId="0" fontId="16443" fillId="16448" borderId="16395" xfId="0" applyFont="1" applyFill="1" applyBorder="1" applyAlignment="1">
      <alignment horizontal="center"/>
    </xf>
    <xf numFmtId="0" fontId="16444" fillId="16449" borderId="16396" xfId="0" applyFont="1" applyFill="1" applyBorder="1"/>
    <xf numFmtId="165" fontId="16445" fillId="16450" borderId="16397" xfId="0" applyNumberFormat="1" applyFont="1" applyFill="1" applyBorder="1"/>
    <xf numFmtId="4" fontId="16446" fillId="16451" borderId="16398" xfId="0" applyNumberFormat="1" applyFont="1" applyFill="1" applyBorder="1"/>
    <xf numFmtId="168" fontId="16447" fillId="16452" borderId="16399" xfId="0" applyNumberFormat="1" applyFont="1" applyFill="1" applyBorder="1"/>
    <xf numFmtId="165" fontId="16448" fillId="16453" borderId="16400" xfId="0" applyNumberFormat="1" applyFont="1" applyFill="1" applyBorder="1"/>
    <xf numFmtId="165" fontId="16449" fillId="16454" borderId="16401" xfId="0" applyNumberFormat="1" applyFont="1" applyFill="1" applyBorder="1"/>
    <xf numFmtId="0" fontId="16450" fillId="16455" borderId="16402" xfId="0" applyFont="1" applyFill="1" applyBorder="1"/>
    <xf numFmtId="0" fontId="16451" fillId="16456" borderId="16403" xfId="0" applyFont="1" applyFill="1" applyBorder="1" applyAlignment="1">
      <alignment horizontal="center"/>
    </xf>
    <xf numFmtId="0" fontId="16452" fillId="16457" borderId="16404" xfId="0" applyFont="1" applyFill="1" applyBorder="1"/>
    <xf numFmtId="165" fontId="16453" fillId="16458" borderId="16405" xfId="0" applyNumberFormat="1" applyFont="1" applyFill="1" applyBorder="1"/>
    <xf numFmtId="4" fontId="16454" fillId="16459" borderId="16406" xfId="0" applyNumberFormat="1" applyFont="1" applyFill="1" applyBorder="1"/>
    <xf numFmtId="168" fontId="16455" fillId="16460" borderId="16407" xfId="0" applyNumberFormat="1" applyFont="1" applyFill="1" applyBorder="1"/>
    <xf numFmtId="165" fontId="16456" fillId="16461" borderId="16408" xfId="0" applyNumberFormat="1" applyFont="1" applyFill="1" applyBorder="1"/>
    <xf numFmtId="165" fontId="16457" fillId="16462" borderId="16409" xfId="0" applyNumberFormat="1" applyFont="1" applyFill="1" applyBorder="1"/>
    <xf numFmtId="0" fontId="16458" fillId="16463" borderId="16410" xfId="0" applyFont="1" applyFill="1" applyBorder="1"/>
    <xf numFmtId="0" fontId="16459" fillId="16464" borderId="16411" xfId="0" applyFont="1" applyFill="1" applyBorder="1" applyAlignment="1">
      <alignment horizontal="center"/>
    </xf>
    <xf numFmtId="0" fontId="16460" fillId="16465" borderId="16412" xfId="0" applyFont="1" applyFill="1" applyBorder="1"/>
    <xf numFmtId="165" fontId="16461" fillId="16466" borderId="16413" xfId="0" applyNumberFormat="1" applyFont="1" applyFill="1" applyBorder="1"/>
    <xf numFmtId="4" fontId="16462" fillId="16467" borderId="16414" xfId="0" applyNumberFormat="1" applyFont="1" applyFill="1" applyBorder="1"/>
    <xf numFmtId="168" fontId="16463" fillId="16468" borderId="16415" xfId="0" applyNumberFormat="1" applyFont="1" applyFill="1" applyBorder="1"/>
    <xf numFmtId="165" fontId="16464" fillId="16469" borderId="16416" xfId="0" applyNumberFormat="1" applyFont="1" applyFill="1" applyBorder="1"/>
    <xf numFmtId="165" fontId="16465" fillId="16470" borderId="16417" xfId="0" applyNumberFormat="1" applyFont="1" applyFill="1" applyBorder="1"/>
    <xf numFmtId="0" fontId="16466" fillId="16471" borderId="16418" xfId="0" applyFont="1" applyFill="1" applyBorder="1"/>
    <xf numFmtId="0" fontId="16467" fillId="16472" borderId="16419" xfId="0" applyFont="1" applyFill="1" applyBorder="1"/>
    <xf numFmtId="0" fontId="16468" fillId="16473" borderId="16420" xfId="0" applyFont="1" applyFill="1" applyBorder="1"/>
    <xf numFmtId="165" fontId="16469" fillId="16474" borderId="16421" xfId="0" applyNumberFormat="1" applyFont="1" applyFill="1" applyBorder="1"/>
    <xf numFmtId="4" fontId="16470" fillId="16475" borderId="16422" xfId="0" applyNumberFormat="1" applyFont="1" applyFill="1" applyBorder="1"/>
    <xf numFmtId="0" fontId="16471" fillId="16476" borderId="16423" xfId="0" applyFont="1" applyFill="1" applyBorder="1"/>
    <xf numFmtId="165" fontId="16472" fillId="16477" borderId="16424" xfId="0" applyNumberFormat="1" applyFont="1" applyFill="1" applyBorder="1"/>
    <xf numFmtId="165" fontId="16473" fillId="16478" borderId="16425" xfId="0" applyNumberFormat="1" applyFont="1" applyFill="1" applyBorder="1"/>
    <xf numFmtId="0" fontId="16474" fillId="16479" borderId="16426" xfId="0" applyFont="1" applyFill="1" applyBorder="1"/>
    <xf numFmtId="0" fontId="16483" fillId="16488" borderId="16435" xfId="0" applyFont="1" applyFill="1" applyBorder="1" applyAlignment="1">
      <alignment horizontal="center" vertical="center" wrapText="1"/>
    </xf>
    <xf numFmtId="0" fontId="16484" fillId="16489" borderId="16436" xfId="0" applyFont="1" applyFill="1" applyBorder="1" applyAlignment="1">
      <alignment horizontal="center" vertical="center" wrapText="1"/>
    </xf>
    <xf numFmtId="0" fontId="16485" fillId="16490" borderId="16437" xfId="0" applyFont="1" applyFill="1" applyBorder="1" applyAlignment="1">
      <alignment horizontal="center" vertical="center" wrapText="1"/>
    </xf>
    <xf numFmtId="0" fontId="16486" fillId="16491" borderId="16438" xfId="0" applyFont="1" applyFill="1" applyBorder="1" applyAlignment="1">
      <alignment horizontal="center" vertical="center" wrapText="1"/>
    </xf>
    <xf numFmtId="0" fontId="16487" fillId="16492" borderId="16439" xfId="0" applyFont="1" applyFill="1" applyBorder="1"/>
    <xf numFmtId="0" fontId="16498" fillId="16503" borderId="16450" xfId="0" applyFont="1" applyFill="1" applyBorder="1" applyAlignment="1">
      <alignment horizontal="center" vertical="center"/>
    </xf>
    <xf numFmtId="0" fontId="16499" fillId="16504" borderId="16451" xfId="0" applyFont="1" applyFill="1" applyBorder="1"/>
    <xf numFmtId="0" fontId="16500" fillId="16505" borderId="16452" xfId="0" applyFont="1" applyFill="1" applyBorder="1" applyAlignment="1">
      <alignment horizontal="center" wrapText="1"/>
    </xf>
    <xf numFmtId="14" fontId="16501" fillId="16506" borderId="16453" xfId="0" applyNumberFormat="1" applyFont="1" applyFill="1" applyBorder="1" applyAlignment="1">
      <alignment horizontal="center" vertical="center" wrapText="1"/>
    </xf>
    <xf numFmtId="4" fontId="16502" fillId="16507" borderId="16454" xfId="0" applyNumberFormat="1" applyFont="1" applyFill="1" applyBorder="1" applyAlignment="1">
      <alignment horizontal="center" vertical="center" wrapText="1"/>
    </xf>
    <xf numFmtId="4" fontId="16503" fillId="16508" borderId="16455" xfId="0" applyNumberFormat="1" applyFont="1" applyFill="1" applyBorder="1" applyAlignment="1">
      <alignment horizontal="center" vertical="center" wrapText="1"/>
    </xf>
    <xf numFmtId="4" fontId="16504" fillId="16509" borderId="16456" xfId="0" applyNumberFormat="1" applyFont="1" applyFill="1" applyBorder="1" applyAlignment="1">
      <alignment horizontal="center" vertical="center" wrapText="1"/>
    </xf>
    <xf numFmtId="4" fontId="16505" fillId="16510" borderId="16457" xfId="0" applyNumberFormat="1" applyFont="1" applyFill="1" applyBorder="1" applyAlignment="1">
      <alignment horizontal="center" vertical="center" wrapText="1"/>
    </xf>
    <xf numFmtId="4" fontId="16506" fillId="16511" borderId="16458" xfId="0" applyNumberFormat="1" applyFont="1" applyFill="1" applyBorder="1" applyAlignment="1">
      <alignment horizontal="center" vertical="center" wrapText="1"/>
    </xf>
    <xf numFmtId="4" fontId="16507" fillId="16512" borderId="16459" xfId="0" applyNumberFormat="1" applyFont="1" applyFill="1" applyBorder="1" applyAlignment="1">
      <alignment horizontal="center" vertical="center" wrapText="1"/>
    </xf>
    <xf numFmtId="2" fontId="16508" fillId="16513" borderId="16460" xfId="0" applyNumberFormat="1" applyFont="1" applyFill="1" applyBorder="1" applyAlignment="1">
      <alignment horizontal="center" vertical="center" wrapText="1"/>
    </xf>
    <xf numFmtId="2" fontId="16509" fillId="16514" borderId="16461" xfId="0" applyNumberFormat="1" applyFont="1" applyFill="1" applyBorder="1" applyAlignment="1">
      <alignment horizontal="center" vertical="center" wrapText="1"/>
    </xf>
    <xf numFmtId="0" fontId="16510" fillId="16515" borderId="16462" xfId="0" applyFont="1" applyFill="1" applyBorder="1" applyAlignment="1">
      <alignment horizontal="center" vertical="center"/>
    </xf>
    <xf numFmtId="0" fontId="16511" fillId="16516" borderId="16463" xfId="0" applyFont="1" applyFill="1" applyBorder="1"/>
    <xf numFmtId="0" fontId="16512" fillId="16517" borderId="16464" xfId="0" applyFont="1" applyFill="1" applyBorder="1"/>
    <xf numFmtId="14" fontId="16513" fillId="16518" borderId="16465" xfId="0" applyNumberFormat="1" applyFont="1" applyFill="1" applyBorder="1" applyAlignment="1">
      <alignment horizontal="center" vertical="center"/>
    </xf>
    <xf numFmtId="4" fontId="16514" fillId="16519" borderId="16466" xfId="0" applyNumberFormat="1" applyFont="1" applyFill="1" applyBorder="1" applyAlignment="1">
      <alignment horizontal="center" vertical="center"/>
    </xf>
    <xf numFmtId="4" fontId="16515" fillId="16520" borderId="16467" xfId="0" applyNumberFormat="1" applyFont="1" applyFill="1" applyBorder="1" applyAlignment="1">
      <alignment horizontal="center" vertical="center"/>
    </xf>
    <xf numFmtId="4" fontId="16516" fillId="16521" borderId="16468" xfId="0" applyNumberFormat="1" applyFont="1" applyFill="1" applyBorder="1" applyAlignment="1">
      <alignment horizontal="center" vertical="center"/>
    </xf>
    <xf numFmtId="4" fontId="16517" fillId="16522" borderId="16469" xfId="0" applyNumberFormat="1" applyFont="1" applyFill="1" applyBorder="1" applyAlignment="1">
      <alignment horizontal="center" vertical="center"/>
    </xf>
    <xf numFmtId="4" fontId="16518" fillId="16523" borderId="16470" xfId="0" applyNumberFormat="1" applyFont="1" applyFill="1" applyBorder="1" applyAlignment="1">
      <alignment horizontal="center" vertical="center"/>
    </xf>
    <xf numFmtId="4" fontId="16519" fillId="16524" borderId="16471" xfId="0" applyNumberFormat="1" applyFont="1" applyFill="1" applyBorder="1" applyAlignment="1">
      <alignment horizontal="center" vertical="center"/>
    </xf>
    <xf numFmtId="4" fontId="16520" fillId="16525" borderId="16472" xfId="0" applyNumberFormat="1" applyFont="1" applyFill="1" applyBorder="1" applyAlignment="1">
      <alignment horizontal="right" vertical="center"/>
    </xf>
    <xf numFmtId="4" fontId="16521" fillId="16526" borderId="16473" xfId="0" applyNumberFormat="1" applyFont="1" applyFill="1" applyBorder="1" applyAlignment="1">
      <alignment horizontal="right" vertical="center"/>
    </xf>
    <xf numFmtId="0" fontId="16522" fillId="16527" borderId="16474" xfId="0" applyFont="1" applyFill="1" applyBorder="1" applyAlignment="1">
      <alignment horizontal="center" vertical="center"/>
    </xf>
    <xf numFmtId="0" fontId="16523" fillId="16528" borderId="16475" xfId="0" applyFont="1" applyFill="1" applyBorder="1"/>
    <xf numFmtId="0" fontId="16524" fillId="16529" borderId="16476" xfId="0" applyFont="1" applyFill="1" applyBorder="1"/>
    <xf numFmtId="14" fontId="16525" fillId="16530" borderId="16477" xfId="0" applyNumberFormat="1" applyFont="1" applyFill="1" applyBorder="1" applyAlignment="1">
      <alignment horizontal="center" vertical="center"/>
    </xf>
    <xf numFmtId="4" fontId="16526" fillId="16531" borderId="16478" xfId="0" applyNumberFormat="1" applyFont="1" applyFill="1" applyBorder="1" applyAlignment="1">
      <alignment horizontal="center" vertical="center"/>
    </xf>
    <xf numFmtId="4" fontId="16527" fillId="16532" borderId="16479" xfId="0" applyNumberFormat="1" applyFont="1" applyFill="1" applyBorder="1" applyAlignment="1">
      <alignment horizontal="center" vertical="center"/>
    </xf>
    <xf numFmtId="4" fontId="16528" fillId="16533" borderId="16480" xfId="0" applyNumberFormat="1" applyFont="1" applyFill="1" applyBorder="1" applyAlignment="1">
      <alignment horizontal="center" vertical="center"/>
    </xf>
    <xf numFmtId="4" fontId="16529" fillId="16534" borderId="16481" xfId="0" applyNumberFormat="1" applyFont="1" applyFill="1" applyBorder="1" applyAlignment="1">
      <alignment horizontal="center" vertical="center"/>
    </xf>
    <xf numFmtId="4" fontId="16530" fillId="16535" borderId="16482" xfId="0" applyNumberFormat="1" applyFont="1" applyFill="1" applyBorder="1" applyAlignment="1">
      <alignment horizontal="center" vertical="center"/>
    </xf>
    <xf numFmtId="4" fontId="16531" fillId="16536" borderId="16483" xfId="0" applyNumberFormat="1" applyFont="1" applyFill="1" applyBorder="1" applyAlignment="1">
      <alignment horizontal="center" vertical="center"/>
    </xf>
    <xf numFmtId="4" fontId="16532" fillId="16537" borderId="16484" xfId="0" applyNumberFormat="1" applyFont="1" applyFill="1" applyBorder="1" applyAlignment="1">
      <alignment horizontal="right" vertical="center"/>
    </xf>
    <xf numFmtId="4" fontId="16533" fillId="16538" borderId="16485" xfId="0" applyNumberFormat="1" applyFont="1" applyFill="1" applyBorder="1" applyAlignment="1">
      <alignment horizontal="right" vertical="center"/>
    </xf>
    <xf numFmtId="0" fontId="16534" fillId="16539" borderId="16486" xfId="0" applyFont="1" applyFill="1" applyBorder="1" applyAlignment="1">
      <alignment horizontal="center" vertical="center"/>
    </xf>
    <xf numFmtId="0" fontId="16535" fillId="16540" borderId="16487" xfId="0" applyFont="1" applyFill="1" applyBorder="1"/>
    <xf numFmtId="0" fontId="16536" fillId="16541" borderId="16488" xfId="0" applyFont="1" applyFill="1" applyBorder="1"/>
    <xf numFmtId="14" fontId="16537" fillId="16542" borderId="16489" xfId="0" applyNumberFormat="1" applyFont="1" applyFill="1" applyBorder="1" applyAlignment="1">
      <alignment horizontal="center" vertical="center"/>
    </xf>
    <xf numFmtId="4" fontId="16538" fillId="16543" borderId="16490" xfId="0" applyNumberFormat="1" applyFont="1" applyFill="1" applyBorder="1" applyAlignment="1">
      <alignment horizontal="center" vertical="center"/>
    </xf>
    <xf numFmtId="4" fontId="16539" fillId="16544" borderId="16491" xfId="0" applyNumberFormat="1" applyFont="1" applyFill="1" applyBorder="1" applyAlignment="1">
      <alignment horizontal="center" vertical="center"/>
    </xf>
    <xf numFmtId="4" fontId="16540" fillId="16545" borderId="16492" xfId="0" applyNumberFormat="1" applyFont="1" applyFill="1" applyBorder="1" applyAlignment="1">
      <alignment horizontal="center" vertical="center"/>
    </xf>
    <xf numFmtId="4" fontId="16541" fillId="16546" borderId="16493" xfId="0" applyNumberFormat="1" applyFont="1" applyFill="1" applyBorder="1" applyAlignment="1">
      <alignment horizontal="center" vertical="center"/>
    </xf>
    <xf numFmtId="4" fontId="16542" fillId="16547" borderId="16494" xfId="0" applyNumberFormat="1" applyFont="1" applyFill="1" applyBorder="1" applyAlignment="1">
      <alignment horizontal="center" vertical="center"/>
    </xf>
    <xf numFmtId="4" fontId="16543" fillId="16548" borderId="16495" xfId="0" applyNumberFormat="1" applyFont="1" applyFill="1" applyBorder="1" applyAlignment="1">
      <alignment horizontal="center" vertical="center"/>
    </xf>
    <xf numFmtId="4" fontId="16544" fillId="16549" borderId="16496" xfId="0" applyNumberFormat="1" applyFont="1" applyFill="1" applyBorder="1" applyAlignment="1">
      <alignment horizontal="right" vertical="center"/>
    </xf>
    <xf numFmtId="4" fontId="16545" fillId="16550" borderId="16497" xfId="0" applyNumberFormat="1" applyFont="1" applyFill="1" applyBorder="1" applyAlignment="1">
      <alignment horizontal="right" vertical="center"/>
    </xf>
    <xf numFmtId="0" fontId="16546" fillId="16551" borderId="16498" xfId="0" applyFont="1" applyFill="1" applyBorder="1" applyAlignment="1">
      <alignment horizontal="center" vertical="center"/>
    </xf>
    <xf numFmtId="0" fontId="16547" fillId="16552" borderId="16499" xfId="0" applyFont="1" applyFill="1" applyBorder="1"/>
    <xf numFmtId="0" fontId="16548" fillId="16553" borderId="16500" xfId="0" applyFont="1" applyFill="1" applyBorder="1"/>
    <xf numFmtId="14" fontId="16549" fillId="16554" borderId="16501" xfId="0" applyNumberFormat="1" applyFont="1" applyFill="1" applyBorder="1" applyAlignment="1">
      <alignment horizontal="center" vertical="center"/>
    </xf>
    <xf numFmtId="4" fontId="16550" fillId="16555" borderId="16502" xfId="0" applyNumberFormat="1" applyFont="1" applyFill="1" applyBorder="1" applyAlignment="1">
      <alignment horizontal="center" vertical="center"/>
    </xf>
    <xf numFmtId="4" fontId="16551" fillId="16556" borderId="16503" xfId="0" applyNumberFormat="1" applyFont="1" applyFill="1" applyBorder="1" applyAlignment="1">
      <alignment horizontal="center" vertical="center"/>
    </xf>
    <xf numFmtId="4" fontId="16552" fillId="16557" borderId="16504" xfId="0" applyNumberFormat="1" applyFont="1" applyFill="1" applyBorder="1" applyAlignment="1">
      <alignment horizontal="center" vertical="center"/>
    </xf>
    <xf numFmtId="4" fontId="16553" fillId="16558" borderId="16505" xfId="0" applyNumberFormat="1" applyFont="1" applyFill="1" applyBorder="1" applyAlignment="1">
      <alignment horizontal="center" vertical="center"/>
    </xf>
    <xf numFmtId="4" fontId="16554" fillId="16559" borderId="16506" xfId="0" applyNumberFormat="1" applyFont="1" applyFill="1" applyBorder="1" applyAlignment="1">
      <alignment horizontal="center" vertical="center"/>
    </xf>
    <xf numFmtId="4" fontId="16555" fillId="16560" borderId="16507" xfId="0" applyNumberFormat="1" applyFont="1" applyFill="1" applyBorder="1" applyAlignment="1">
      <alignment horizontal="center" vertical="center"/>
    </xf>
    <xf numFmtId="4" fontId="16556" fillId="16561" borderId="16508" xfId="0" applyNumberFormat="1" applyFont="1" applyFill="1" applyBorder="1" applyAlignment="1">
      <alignment horizontal="right" vertical="center"/>
    </xf>
    <xf numFmtId="4" fontId="16557" fillId="16562" borderId="16509" xfId="0" applyNumberFormat="1" applyFont="1" applyFill="1" applyBorder="1" applyAlignment="1">
      <alignment horizontal="right" vertical="center"/>
    </xf>
    <xf numFmtId="0" fontId="16558" fillId="16563" borderId="16510" xfId="0" applyFont="1" applyFill="1" applyBorder="1" applyAlignment="1">
      <alignment horizontal="center" vertical="center"/>
    </xf>
    <xf numFmtId="0" fontId="16559" fillId="16564" borderId="16511" xfId="0" applyFont="1" applyFill="1" applyBorder="1"/>
    <xf numFmtId="0" fontId="16560" fillId="16565" borderId="16512" xfId="0" applyFont="1" applyFill="1" applyBorder="1"/>
    <xf numFmtId="14" fontId="16561" fillId="16566" borderId="16513" xfId="0" applyNumberFormat="1" applyFont="1" applyFill="1" applyBorder="1" applyAlignment="1">
      <alignment horizontal="center" vertical="center"/>
    </xf>
    <xf numFmtId="4" fontId="16562" fillId="16567" borderId="16514" xfId="0" applyNumberFormat="1" applyFont="1" applyFill="1" applyBorder="1" applyAlignment="1">
      <alignment horizontal="center" vertical="center"/>
    </xf>
    <xf numFmtId="4" fontId="16563" fillId="16568" borderId="16515" xfId="0" applyNumberFormat="1" applyFont="1" applyFill="1" applyBorder="1" applyAlignment="1">
      <alignment horizontal="center" vertical="center"/>
    </xf>
    <xf numFmtId="4" fontId="16564" fillId="16569" borderId="16516" xfId="0" applyNumberFormat="1" applyFont="1" applyFill="1" applyBorder="1" applyAlignment="1">
      <alignment horizontal="center" vertical="center"/>
    </xf>
    <xf numFmtId="4" fontId="16565" fillId="16570" borderId="16517" xfId="0" applyNumberFormat="1" applyFont="1" applyFill="1" applyBorder="1" applyAlignment="1">
      <alignment horizontal="center" vertical="center"/>
    </xf>
    <xf numFmtId="4" fontId="16566" fillId="16571" borderId="16518" xfId="0" applyNumberFormat="1" applyFont="1" applyFill="1" applyBorder="1" applyAlignment="1">
      <alignment horizontal="center" vertical="center"/>
    </xf>
    <xf numFmtId="4" fontId="16567" fillId="16572" borderId="16519" xfId="0" applyNumberFormat="1" applyFont="1" applyFill="1" applyBorder="1" applyAlignment="1">
      <alignment horizontal="center" vertical="center"/>
    </xf>
    <xf numFmtId="4" fontId="16568" fillId="16573" borderId="16520" xfId="0" applyNumberFormat="1" applyFont="1" applyFill="1" applyBorder="1" applyAlignment="1">
      <alignment horizontal="right" vertical="center"/>
    </xf>
    <xf numFmtId="4" fontId="16569" fillId="16574" borderId="16521" xfId="0" applyNumberFormat="1" applyFont="1" applyFill="1" applyBorder="1" applyAlignment="1">
      <alignment horizontal="right" vertical="center"/>
    </xf>
    <xf numFmtId="0" fontId="16570" fillId="16575" borderId="16522" xfId="0" applyFont="1" applyFill="1" applyBorder="1" applyAlignment="1">
      <alignment horizontal="center" vertical="center"/>
    </xf>
    <xf numFmtId="0" fontId="16571" fillId="16576" borderId="16523" xfId="0" applyFont="1" applyFill="1" applyBorder="1"/>
    <xf numFmtId="0" fontId="16572" fillId="16577" borderId="16524" xfId="0" applyFont="1" applyFill="1" applyBorder="1"/>
    <xf numFmtId="14" fontId="16573" fillId="16578" borderId="16525" xfId="0" applyNumberFormat="1" applyFont="1" applyFill="1" applyBorder="1" applyAlignment="1">
      <alignment horizontal="center" vertical="center"/>
    </xf>
    <xf numFmtId="4" fontId="16574" fillId="16579" borderId="16526" xfId="0" applyNumberFormat="1" applyFont="1" applyFill="1" applyBorder="1" applyAlignment="1">
      <alignment horizontal="center" vertical="center"/>
    </xf>
    <xf numFmtId="4" fontId="16575" fillId="16580" borderId="16527" xfId="0" applyNumberFormat="1" applyFont="1" applyFill="1" applyBorder="1" applyAlignment="1">
      <alignment horizontal="center" vertical="center"/>
    </xf>
    <xf numFmtId="4" fontId="16576" fillId="16581" borderId="16528" xfId="0" applyNumberFormat="1" applyFont="1" applyFill="1" applyBorder="1" applyAlignment="1">
      <alignment horizontal="center" vertical="center"/>
    </xf>
    <xf numFmtId="4" fontId="16577" fillId="16582" borderId="16529" xfId="0" applyNumberFormat="1" applyFont="1" applyFill="1" applyBorder="1" applyAlignment="1">
      <alignment horizontal="center" vertical="center"/>
    </xf>
    <xf numFmtId="4" fontId="16578" fillId="16583" borderId="16530" xfId="0" applyNumberFormat="1" applyFont="1" applyFill="1" applyBorder="1" applyAlignment="1">
      <alignment horizontal="center" vertical="center"/>
    </xf>
    <xf numFmtId="4" fontId="16579" fillId="16584" borderId="16531" xfId="0" applyNumberFormat="1" applyFont="1" applyFill="1" applyBorder="1" applyAlignment="1">
      <alignment horizontal="center" vertical="center"/>
    </xf>
    <xf numFmtId="4" fontId="16580" fillId="16585" borderId="16532" xfId="0" applyNumberFormat="1" applyFont="1" applyFill="1" applyBorder="1" applyAlignment="1">
      <alignment horizontal="right" vertical="center"/>
    </xf>
    <xf numFmtId="4" fontId="16581" fillId="16586" borderId="16533" xfId="0" applyNumberFormat="1" applyFont="1" applyFill="1" applyBorder="1" applyAlignment="1">
      <alignment horizontal="right" vertical="center"/>
    </xf>
    <xf numFmtId="0" fontId="16582" fillId="16587" borderId="16534" xfId="0" applyFont="1" applyFill="1" applyBorder="1" applyAlignment="1">
      <alignment horizontal="center" vertical="center"/>
    </xf>
    <xf numFmtId="0" fontId="16583" fillId="16588" borderId="16535" xfId="0" applyFont="1" applyFill="1" applyBorder="1"/>
    <xf numFmtId="0" fontId="16584" fillId="16589" borderId="16536" xfId="0" applyFont="1" applyFill="1" applyBorder="1"/>
    <xf numFmtId="14" fontId="16585" fillId="16590" borderId="16537" xfId="0" applyNumberFormat="1" applyFont="1" applyFill="1" applyBorder="1" applyAlignment="1">
      <alignment horizontal="center" vertical="center"/>
    </xf>
    <xf numFmtId="4" fontId="16586" fillId="16591" borderId="16538" xfId="0" applyNumberFormat="1" applyFont="1" applyFill="1" applyBorder="1" applyAlignment="1">
      <alignment horizontal="center" vertical="center"/>
    </xf>
    <xf numFmtId="4" fontId="16587" fillId="16592" borderId="16539" xfId="0" applyNumberFormat="1" applyFont="1" applyFill="1" applyBorder="1" applyAlignment="1">
      <alignment horizontal="center" vertical="center"/>
    </xf>
    <xf numFmtId="4" fontId="16588" fillId="16593" borderId="16540" xfId="0" applyNumberFormat="1" applyFont="1" applyFill="1" applyBorder="1" applyAlignment="1">
      <alignment horizontal="center" vertical="center"/>
    </xf>
    <xf numFmtId="4" fontId="16589" fillId="16594" borderId="16541" xfId="0" applyNumberFormat="1" applyFont="1" applyFill="1" applyBorder="1" applyAlignment="1">
      <alignment horizontal="center" vertical="center"/>
    </xf>
    <xf numFmtId="4" fontId="16590" fillId="16595" borderId="16542" xfId="0" applyNumberFormat="1" applyFont="1" applyFill="1" applyBorder="1" applyAlignment="1">
      <alignment horizontal="center" vertical="center"/>
    </xf>
    <xf numFmtId="4" fontId="16591" fillId="16596" borderId="16543" xfId="0" applyNumberFormat="1" applyFont="1" applyFill="1" applyBorder="1" applyAlignment="1">
      <alignment horizontal="center" vertical="center"/>
    </xf>
    <xf numFmtId="4" fontId="16592" fillId="16597" borderId="16544" xfId="0" applyNumberFormat="1" applyFont="1" applyFill="1" applyBorder="1" applyAlignment="1">
      <alignment horizontal="right" vertical="center"/>
    </xf>
    <xf numFmtId="4" fontId="16593" fillId="16598" borderId="16545" xfId="0" applyNumberFormat="1" applyFont="1" applyFill="1" applyBorder="1" applyAlignment="1">
      <alignment horizontal="right" vertical="center"/>
    </xf>
    <xf numFmtId="0" fontId="16594" fillId="16599" borderId="16546" xfId="0" applyFont="1" applyFill="1" applyBorder="1" applyAlignment="1">
      <alignment horizontal="center" vertical="center"/>
    </xf>
    <xf numFmtId="0" fontId="16595" fillId="16600" borderId="16547" xfId="0" applyFont="1" applyFill="1" applyBorder="1"/>
    <xf numFmtId="0" fontId="16596" fillId="16601" borderId="16548" xfId="0" applyFont="1" applyFill="1" applyBorder="1"/>
    <xf numFmtId="0" fontId="16597" fillId="16602" borderId="16549" xfId="0" applyFont="1" applyFill="1" applyBorder="1" applyAlignment="1">
      <alignment horizontal="center" vertical="center"/>
    </xf>
    <xf numFmtId="3" fontId="16598" fillId="16603" borderId="16550" xfId="0" applyNumberFormat="1" applyFont="1" applyFill="1" applyBorder="1" applyAlignment="1">
      <alignment horizontal="center" vertical="center"/>
    </xf>
    <xf numFmtId="4" fontId="16599" fillId="16604" borderId="16551" xfId="0" applyNumberFormat="1" applyFont="1" applyFill="1" applyBorder="1" applyAlignment="1">
      <alignment horizontal="center" vertical="center"/>
    </xf>
    <xf numFmtId="4" fontId="16600" fillId="16605" borderId="16552" xfId="0" applyNumberFormat="1" applyFont="1" applyFill="1" applyBorder="1" applyAlignment="1">
      <alignment horizontal="center" vertical="center"/>
    </xf>
    <xf numFmtId="164" fontId="16601" fillId="16606" borderId="16553" xfId="0" applyNumberFormat="1" applyFont="1" applyFill="1" applyBorder="1" applyAlignment="1">
      <alignment horizontal="center" vertical="center"/>
    </xf>
    <xf numFmtId="164" fontId="16602" fillId="16607" borderId="16554" xfId="0" applyNumberFormat="1" applyFont="1" applyFill="1" applyBorder="1" applyAlignment="1">
      <alignment horizontal="center" vertical="center"/>
    </xf>
    <xf numFmtId="4" fontId="16603" fillId="16608" borderId="16555" xfId="0" applyNumberFormat="1" applyFont="1" applyFill="1" applyBorder="1" applyAlignment="1">
      <alignment horizontal="center" vertical="center"/>
    </xf>
    <xf numFmtId="4" fontId="16604" fillId="16609" borderId="16556" xfId="0" applyNumberFormat="1" applyFont="1" applyFill="1" applyBorder="1" applyAlignment="1">
      <alignment horizontal="right" vertical="center"/>
    </xf>
    <xf numFmtId="2" fontId="16605" fillId="16610" borderId="16557" xfId="0" applyNumberFormat="1" applyFont="1" applyFill="1" applyBorder="1" applyAlignment="1">
      <alignment horizontal="right" vertical="center"/>
    </xf>
    <xf numFmtId="0" fontId="16606" fillId="16611" borderId="16558" xfId="0" applyFont="1" applyFill="1" applyBorder="1" applyAlignment="1">
      <alignment horizontal="center" vertical="center"/>
    </xf>
    <xf numFmtId="0" fontId="16607" fillId="16612" borderId="16559" xfId="0" applyFont="1" applyFill="1" applyBorder="1"/>
    <xf numFmtId="0" fontId="16618" fillId="16623" borderId="16570" xfId="0" applyFont="1" applyFill="1" applyBorder="1" applyAlignment="1">
      <alignment horizontal="center" wrapText="1"/>
    </xf>
    <xf numFmtId="4" fontId="16630" fillId="16635" borderId="16582" xfId="0" applyNumberFormat="1" applyFont="1" applyFill="1" applyBorder="1"/>
    <xf numFmtId="4" fontId="16631" fillId="16636" borderId="16583" xfId="0" applyNumberFormat="1" applyFont="1" applyFill="1" applyBorder="1"/>
    <xf numFmtId="4" fontId="16632" fillId="16637" borderId="16584" xfId="0" applyNumberFormat="1" applyFont="1" applyFill="1" applyBorder="1"/>
    <xf numFmtId="168" fontId="16633" fillId="16638" borderId="16585" xfId="0" applyNumberFormat="1" applyFont="1" applyFill="1" applyBorder="1"/>
    <xf numFmtId="165" fontId="16634" fillId="16639" borderId="16586" xfId="0" applyNumberFormat="1" applyFont="1" applyFill="1" applyBorder="1"/>
    <xf numFmtId="165" fontId="16635" fillId="16640" borderId="16587" xfId="0" applyNumberFormat="1" applyFont="1" applyFill="1" applyBorder="1"/>
    <xf numFmtId="0" fontId="16636" fillId="16641" borderId="16588" xfId="0" applyFont="1" applyFill="1" applyBorder="1" applyAlignment="1">
      <alignment horizontal="center"/>
    </xf>
    <xf numFmtId="4" fontId="16637" fillId="16642" borderId="16589" xfId="0" applyNumberFormat="1" applyFont="1" applyFill="1" applyBorder="1"/>
    <xf numFmtId="4" fontId="16638" fillId="16643" borderId="16590" xfId="0" applyNumberFormat="1" applyFont="1" applyFill="1" applyBorder="1"/>
    <xf numFmtId="165" fontId="16639" fillId="16644" borderId="16591" xfId="0" applyNumberFormat="1" applyFont="1" applyFill="1" applyBorder="1"/>
    <xf numFmtId="4" fontId="16640" fillId="16645" borderId="16592" xfId="0" applyNumberFormat="1" applyFont="1" applyFill="1" applyBorder="1"/>
    <xf numFmtId="168" fontId="16641" fillId="16646" borderId="16593" xfId="0" applyNumberFormat="1" applyFont="1" applyFill="1" applyBorder="1"/>
    <xf numFmtId="165" fontId="16642" fillId="16647" borderId="16594" xfId="0" applyNumberFormat="1" applyFont="1" applyFill="1" applyBorder="1"/>
    <xf numFmtId="4" fontId="16643" fillId="16648" borderId="16595" xfId="0" applyNumberFormat="1" applyFont="1" applyFill="1" applyBorder="1"/>
    <xf numFmtId="165" fontId="16644" fillId="16649" borderId="16596" xfId="0" applyNumberFormat="1" applyFont="1" applyFill="1" applyBorder="1"/>
    <xf numFmtId="0" fontId="16653" fillId="16658" borderId="16605" xfId="0" applyFont="1" applyFill="1" applyBorder="1" applyAlignment="1">
      <alignment horizontal="center"/>
    </xf>
    <xf numFmtId="0" fontId="16654" fillId="16659" borderId="16606" xfId="0" applyFont="1" applyFill="1" applyBorder="1"/>
    <xf numFmtId="165" fontId="16655" fillId="16660" borderId="16607" xfId="0" applyNumberFormat="1" applyFont="1" applyFill="1" applyBorder="1"/>
    <xf numFmtId="4" fontId="16656" fillId="16661" borderId="16608" xfId="0" applyNumberFormat="1" applyFont="1" applyFill="1" applyBorder="1"/>
    <xf numFmtId="168" fontId="16657" fillId="16662" borderId="16609" xfId="0" applyNumberFormat="1" applyFont="1" applyFill="1" applyBorder="1"/>
    <xf numFmtId="165" fontId="16658" fillId="16663" borderId="16610" xfId="0" applyNumberFormat="1" applyFont="1" applyFill="1" applyBorder="1"/>
    <xf numFmtId="165" fontId="16659" fillId="16664" borderId="16611" xfId="0" applyNumberFormat="1" applyFont="1" applyFill="1" applyBorder="1"/>
    <xf numFmtId="4" fontId="16660" fillId="16665" borderId="16612" xfId="0" applyNumberFormat="1" applyFont="1" applyFill="1" applyBorder="1"/>
    <xf numFmtId="0" fontId="16670" fillId="16675" borderId="16622" xfId="0" applyFont="1" applyFill="1" applyBorder="1" applyAlignment="1">
      <alignment horizontal="center"/>
    </xf>
    <xf numFmtId="168" fontId="16672" fillId="16677" borderId="16624" xfId="0" applyNumberFormat="1" applyFont="1" applyFill="1" applyBorder="1" applyAlignment="1">
      <alignment horizontal="center"/>
    </xf>
    <xf numFmtId="0" fontId="16673" fillId="16678" borderId="16625" xfId="0" applyFont="1" applyFill="1" applyBorder="1"/>
    <xf numFmtId="0" fontId="16675" fillId="16680" borderId="16627" xfId="0" applyFont="1" applyFill="1" applyBorder="1" applyAlignment="1">
      <alignment horizontal="center" wrapText="1"/>
    </xf>
    <xf numFmtId="0" fontId="16676" fillId="16681" borderId="16628" xfId="0" applyFont="1" applyFill="1" applyBorder="1" applyAlignment="1">
      <alignment horizontal="center" wrapText="1"/>
    </xf>
    <xf numFmtId="0" fontId="16677" fillId="16682" borderId="16629" xfId="0" applyFont="1" applyFill="1" applyBorder="1" applyAlignment="1">
      <alignment horizontal="center" wrapText="1"/>
    </xf>
    <xf numFmtId="0" fontId="16678" fillId="16683" borderId="16630" xfId="0" applyFont="1" applyFill="1" applyBorder="1" applyAlignment="1">
      <alignment horizontal="center" wrapText="1"/>
    </xf>
    <xf numFmtId="0" fontId="16679" fillId="16684" borderId="16631" xfId="0" applyFont="1" applyFill="1" applyBorder="1" applyAlignment="1">
      <alignment horizontal="center" wrapText="1"/>
    </xf>
    <xf numFmtId="0" fontId="16680" fillId="16685" borderId="16632" xfId="0" applyFont="1" applyFill="1" applyBorder="1" applyAlignment="1">
      <alignment horizontal="center" wrapText="1"/>
    </xf>
    <xf numFmtId="0" fontId="16681" fillId="16686" borderId="16633" xfId="0" applyFont="1" applyFill="1" applyBorder="1" applyAlignment="1">
      <alignment horizontal="center"/>
    </xf>
    <xf numFmtId="165" fontId="16682" fillId="16687" borderId="16634" xfId="0" applyNumberFormat="1" applyFont="1" applyFill="1" applyBorder="1"/>
    <xf numFmtId="165" fontId="16683" fillId="16688" borderId="16635" xfId="0" applyNumberFormat="1" applyFont="1" applyFill="1" applyBorder="1"/>
    <xf numFmtId="165" fontId="16684" fillId="16689" borderId="16636" xfId="0" applyNumberFormat="1" applyFont="1" applyFill="1" applyBorder="1"/>
    <xf numFmtId="4" fontId="16685" fillId="16690" borderId="16637" xfId="0" applyNumberFormat="1" applyFont="1" applyFill="1" applyBorder="1"/>
    <xf numFmtId="4" fontId="16686" fillId="16691" borderId="16638" xfId="0" applyNumberFormat="1" applyFont="1" applyFill="1" applyBorder="1"/>
    <xf numFmtId="0" fontId="16687" fillId="16692" borderId="16639" xfId="0" applyFont="1" applyFill="1" applyBorder="1" applyAlignment="1">
      <alignment horizontal="center"/>
    </xf>
    <xf numFmtId="165" fontId="16688" fillId="16693" borderId="16640" xfId="0" applyNumberFormat="1" applyFont="1" applyFill="1" applyBorder="1"/>
    <xf numFmtId="165" fontId="16689" fillId="16694" borderId="16641" xfId="0" applyNumberFormat="1" applyFont="1" applyFill="1" applyBorder="1"/>
    <xf numFmtId="165" fontId="16690" fillId="16695" borderId="16642" xfId="0" applyNumberFormat="1" applyFont="1" applyFill="1" applyBorder="1"/>
    <xf numFmtId="4" fontId="16691" fillId="16696" borderId="16643" xfId="0" applyNumberFormat="1" applyFont="1" applyFill="1" applyBorder="1"/>
    <xf numFmtId="4" fontId="16692" fillId="16697" borderId="16644" xfId="0" applyNumberFormat="1" applyFont="1" applyFill="1" applyBorder="1"/>
    <xf numFmtId="0" fontId="16693" fillId="16698" borderId="16645" xfId="0" applyFont="1" applyFill="1" applyBorder="1" applyAlignment="1">
      <alignment horizontal="center"/>
    </xf>
    <xf numFmtId="165" fontId="16694" fillId="16699" borderId="16646" xfId="0" applyNumberFormat="1" applyFont="1" applyFill="1" applyBorder="1"/>
    <xf numFmtId="165" fontId="16695" fillId="16700" borderId="16647" xfId="0" applyNumberFormat="1" applyFont="1" applyFill="1" applyBorder="1"/>
    <xf numFmtId="165" fontId="16696" fillId="16701" borderId="16648" xfId="0" applyNumberFormat="1" applyFont="1" applyFill="1" applyBorder="1"/>
    <xf numFmtId="4" fontId="16697" fillId="16702" borderId="16649" xfId="0" applyNumberFormat="1" applyFont="1" applyFill="1" applyBorder="1"/>
    <xf numFmtId="4" fontId="16698" fillId="16703" borderId="16650" xfId="0" applyNumberFormat="1" applyFont="1" applyFill="1" applyBorder="1"/>
    <xf numFmtId="0" fontId="16699" fillId="16704" borderId="16651" xfId="0" applyFont="1" applyFill="1" applyBorder="1" applyAlignment="1">
      <alignment horizontal="center"/>
    </xf>
    <xf numFmtId="165" fontId="16700" fillId="16705" borderId="16652" xfId="0" applyNumberFormat="1" applyFont="1" applyFill="1" applyBorder="1"/>
    <xf numFmtId="165" fontId="16701" fillId="16706" borderId="16653" xfId="0" applyNumberFormat="1" applyFont="1" applyFill="1" applyBorder="1"/>
    <xf numFmtId="165" fontId="16702" fillId="16707" borderId="16654" xfId="0" applyNumberFormat="1" applyFont="1" applyFill="1" applyBorder="1"/>
    <xf numFmtId="4" fontId="16703" fillId="16708" borderId="16655" xfId="0" applyNumberFormat="1" applyFont="1" applyFill="1" applyBorder="1"/>
    <xf numFmtId="4" fontId="16704" fillId="16709" borderId="16656" xfId="0" applyNumberFormat="1" applyFont="1" applyFill="1" applyBorder="1"/>
    <xf numFmtId="0" fontId="16705" fillId="16710" borderId="16657" xfId="0" applyFont="1" applyFill="1" applyBorder="1" applyAlignment="1">
      <alignment horizontal="center"/>
    </xf>
    <xf numFmtId="165" fontId="16706" fillId="16711" borderId="16658" xfId="0" applyNumberFormat="1" applyFont="1" applyFill="1" applyBorder="1"/>
    <xf numFmtId="165" fontId="16707" fillId="16712" borderId="16659" xfId="0" applyNumberFormat="1" applyFont="1" applyFill="1" applyBorder="1"/>
    <xf numFmtId="165" fontId="16708" fillId="16713" borderId="16660" xfId="0" applyNumberFormat="1" applyFont="1" applyFill="1" applyBorder="1"/>
    <xf numFmtId="4" fontId="16709" fillId="16714" borderId="16661" xfId="0" applyNumberFormat="1" applyFont="1" applyFill="1" applyBorder="1"/>
    <xf numFmtId="4" fontId="16710" fillId="16715" borderId="16662" xfId="0" applyNumberFormat="1" applyFont="1" applyFill="1" applyBorder="1"/>
    <xf numFmtId="0" fontId="16711" fillId="16716" borderId="16663" xfId="0" applyFont="1" applyFill="1" applyBorder="1" applyAlignment="1">
      <alignment horizontal="center"/>
    </xf>
    <xf numFmtId="165" fontId="16712" fillId="16717" borderId="16664" xfId="0" applyNumberFormat="1" applyFont="1" applyFill="1" applyBorder="1"/>
    <xf numFmtId="165" fontId="16713" fillId="16718" borderId="16665" xfId="0" applyNumberFormat="1" applyFont="1" applyFill="1" applyBorder="1"/>
    <xf numFmtId="165" fontId="16714" fillId="16719" borderId="16666" xfId="0" applyNumberFormat="1" applyFont="1" applyFill="1" applyBorder="1"/>
    <xf numFmtId="4" fontId="16715" fillId="16720" borderId="16667" xfId="0" applyNumberFormat="1" applyFont="1" applyFill="1" applyBorder="1"/>
    <xf numFmtId="4" fontId="16716" fillId="16721" borderId="16668" xfId="0" applyNumberFormat="1" applyFont="1" applyFill="1" applyBorder="1"/>
    <xf numFmtId="0" fontId="16717" fillId="16722" borderId="16669" xfId="0" applyFont="1" applyFill="1" applyBorder="1"/>
    <xf numFmtId="165" fontId="16718" fillId="16723" borderId="16670" xfId="0" applyNumberFormat="1" applyFont="1" applyFill="1" applyBorder="1"/>
    <xf numFmtId="165" fontId="16719" fillId="16724" borderId="16671" xfId="0" applyNumberFormat="1" applyFont="1" applyFill="1" applyBorder="1"/>
    <xf numFmtId="165" fontId="16720" fillId="16725" borderId="16672" xfId="0" applyNumberFormat="1" applyFont="1" applyFill="1" applyBorder="1"/>
    <xf numFmtId="4" fontId="16721" fillId="16726" borderId="16673" xfId="0" applyNumberFormat="1" applyFont="1" applyFill="1" applyBorder="1"/>
    <xf numFmtId="4" fontId="16722" fillId="16727" borderId="16674" xfId="0" applyNumberFormat="1" applyFont="1" applyFill="1" applyBorder="1"/>
    <xf numFmtId="0" fontId="16732" fillId="16737" borderId="16684" xfId="0" applyFont="1" applyFill="1" applyBorder="1" applyAlignment="1">
      <alignment horizontal="center" wrapText="1"/>
    </xf>
    <xf numFmtId="165" fontId="16733" fillId="16738" borderId="16685" xfId="0" applyNumberFormat="1" applyFont="1" applyFill="1" applyBorder="1" applyAlignment="1">
      <alignment horizontal="center" wrapText="1"/>
    </xf>
    <xf numFmtId="165" fontId="16734" fillId="16739" borderId="16686" xfId="0" applyNumberFormat="1" applyFont="1" applyFill="1" applyBorder="1" applyAlignment="1">
      <alignment horizontal="center" wrapText="1"/>
    </xf>
    <xf numFmtId="165" fontId="16735" fillId="16740" borderId="16687" xfId="0" applyNumberFormat="1" applyFont="1" applyFill="1" applyBorder="1" applyAlignment="1">
      <alignment horizontal="center" wrapText="1"/>
    </xf>
    <xf numFmtId="165" fontId="16736" fillId="16741" borderId="16688" xfId="0" applyNumberFormat="1" applyFont="1" applyFill="1" applyBorder="1" applyAlignment="1">
      <alignment horizontal="center" wrapText="1"/>
    </xf>
    <xf numFmtId="165" fontId="16737" fillId="16742" borderId="16689" xfId="0" applyNumberFormat="1" applyFont="1" applyFill="1" applyBorder="1" applyAlignment="1">
      <alignment horizontal="center" wrapText="1"/>
    </xf>
    <xf numFmtId="165" fontId="16738" fillId="16743" borderId="16690" xfId="0" applyNumberFormat="1" applyFont="1" applyFill="1" applyBorder="1" applyAlignment="1">
      <alignment horizontal="center" wrapText="1"/>
    </xf>
    <xf numFmtId="165" fontId="16739" fillId="16744" borderId="16691" xfId="0" applyNumberFormat="1" applyFont="1" applyFill="1" applyBorder="1" applyAlignment="1">
      <alignment horizontal="center" wrapText="1"/>
    </xf>
    <xf numFmtId="0" fontId="16740" fillId="16745" borderId="16692" xfId="0" applyFont="1" applyFill="1" applyBorder="1"/>
    <xf numFmtId="165" fontId="16741" fillId="16746" borderId="16693" xfId="0" applyNumberFormat="1" applyFont="1" applyFill="1" applyBorder="1"/>
    <xf numFmtId="165" fontId="16742" fillId="16747" borderId="16694" xfId="0" applyNumberFormat="1" applyFont="1" applyFill="1" applyBorder="1"/>
    <xf numFmtId="165" fontId="16743" fillId="16748" borderId="16695" xfId="0" applyNumberFormat="1" applyFont="1" applyFill="1" applyBorder="1"/>
    <xf numFmtId="165" fontId="16744" fillId="16749" borderId="16696" xfId="0" applyNumberFormat="1" applyFont="1" applyFill="1" applyBorder="1"/>
    <xf numFmtId="165" fontId="16745" fillId="16750" borderId="16697" xfId="0" applyNumberFormat="1" applyFont="1" applyFill="1" applyBorder="1"/>
    <xf numFmtId="165" fontId="16746" fillId="16751" borderId="16698" xfId="0" applyNumberFormat="1" applyFont="1" applyFill="1" applyBorder="1"/>
    <xf numFmtId="165" fontId="16747" fillId="16752" borderId="16699" xfId="0" applyNumberFormat="1" applyFont="1" applyFill="1" applyBorder="1"/>
    <xf numFmtId="0" fontId="16748" fillId="16753" borderId="16700" xfId="0" applyFont="1" applyFill="1" applyBorder="1"/>
    <xf numFmtId="165" fontId="16749" fillId="16754" borderId="16701" xfId="0" applyNumberFormat="1" applyFont="1" applyFill="1" applyBorder="1"/>
    <xf numFmtId="165" fontId="16750" fillId="16755" borderId="16702" xfId="0" applyNumberFormat="1" applyFont="1" applyFill="1" applyBorder="1"/>
    <xf numFmtId="165" fontId="16751" fillId="16756" borderId="16703" xfId="0" applyNumberFormat="1" applyFont="1" applyFill="1" applyBorder="1"/>
    <xf numFmtId="165" fontId="16752" fillId="16757" borderId="16704" xfId="0" applyNumberFormat="1" applyFont="1" applyFill="1" applyBorder="1"/>
    <xf numFmtId="165" fontId="16753" fillId="16758" borderId="16705" xfId="0" applyNumberFormat="1" applyFont="1" applyFill="1" applyBorder="1"/>
    <xf numFmtId="165" fontId="16754" fillId="16759" borderId="16706" xfId="0" applyNumberFormat="1" applyFont="1" applyFill="1" applyBorder="1"/>
    <xf numFmtId="165" fontId="16755" fillId="16760" borderId="16707" xfId="0" applyNumberFormat="1" applyFont="1" applyFill="1" applyBorder="1"/>
    <xf numFmtId="0" fontId="16756" fillId="16761" borderId="16708" xfId="0" applyFont="1" applyFill="1" applyBorder="1"/>
    <xf numFmtId="165" fontId="16757" fillId="16762" borderId="16709" xfId="0" applyNumberFormat="1" applyFont="1" applyFill="1" applyBorder="1"/>
    <xf numFmtId="165" fontId="16758" fillId="16763" borderId="16710" xfId="0" applyNumberFormat="1" applyFont="1" applyFill="1" applyBorder="1"/>
    <xf numFmtId="165" fontId="16759" fillId="16764" borderId="16711" xfId="0" applyNumberFormat="1" applyFont="1" applyFill="1" applyBorder="1"/>
    <xf numFmtId="165" fontId="16760" fillId="16765" borderId="16712" xfId="0" applyNumberFormat="1" applyFont="1" applyFill="1" applyBorder="1"/>
    <xf numFmtId="165" fontId="16761" fillId="16766" borderId="16713" xfId="0" applyNumberFormat="1" applyFont="1" applyFill="1" applyBorder="1"/>
    <xf numFmtId="165" fontId="16762" fillId="16767" borderId="16714" xfId="0" applyNumberFormat="1" applyFont="1" applyFill="1" applyBorder="1"/>
    <xf numFmtId="165" fontId="16763" fillId="16768" borderId="16715" xfId="0" applyNumberFormat="1" applyFont="1" applyFill="1" applyBorder="1"/>
    <xf numFmtId="0" fontId="16764" fillId="16769" borderId="16716" xfId="0" applyFont="1" applyFill="1" applyBorder="1"/>
    <xf numFmtId="165" fontId="16765" fillId="16770" borderId="16717" xfId="0" applyNumberFormat="1" applyFont="1" applyFill="1" applyBorder="1"/>
    <xf numFmtId="165" fontId="16766" fillId="16771" borderId="16718" xfId="0" applyNumberFormat="1" applyFont="1" applyFill="1" applyBorder="1"/>
    <xf numFmtId="165" fontId="16767" fillId="16772" borderId="16719" xfId="0" applyNumberFormat="1" applyFont="1" applyFill="1" applyBorder="1"/>
    <xf numFmtId="165" fontId="16768" fillId="16773" borderId="16720" xfId="0" applyNumberFormat="1" applyFont="1" applyFill="1" applyBorder="1"/>
    <xf numFmtId="165" fontId="16769" fillId="16774" borderId="16721" xfId="0" applyNumberFormat="1" applyFont="1" applyFill="1" applyBorder="1"/>
    <xf numFmtId="165" fontId="16770" fillId="16775" borderId="16722" xfId="0" applyNumberFormat="1" applyFont="1" applyFill="1" applyBorder="1"/>
    <xf numFmtId="165" fontId="16771" fillId="16776" borderId="16723" xfId="0" applyNumberFormat="1" applyFont="1" applyFill="1" applyBorder="1"/>
    <xf numFmtId="0" fontId="16773" fillId="16778" borderId="16725" xfId="0" applyFont="1" applyFill="1" applyBorder="1" applyAlignment="1">
      <alignment horizontal="center" wrapText="1"/>
    </xf>
    <xf numFmtId="4" fontId="16774" fillId="16779" borderId="16726" xfId="0" applyNumberFormat="1" applyFont="1" applyFill="1" applyBorder="1" applyAlignment="1">
      <alignment horizontal="center" wrapText="1"/>
    </xf>
    <xf numFmtId="4" fontId="16775" fillId="16780" borderId="16727" xfId="0" applyNumberFormat="1" applyFont="1" applyFill="1" applyBorder="1" applyAlignment="1">
      <alignment horizontal="center" wrapText="1"/>
    </xf>
    <xf numFmtId="4" fontId="16776" fillId="16781" borderId="16728" xfId="0" applyNumberFormat="1" applyFont="1" applyFill="1" applyBorder="1" applyAlignment="1">
      <alignment horizontal="center" wrapText="1"/>
    </xf>
    <xf numFmtId="4" fontId="16777" fillId="16782" borderId="16729" xfId="0" applyNumberFormat="1" applyFont="1" applyFill="1" applyBorder="1" applyAlignment="1">
      <alignment horizontal="center" wrapText="1"/>
    </xf>
    <xf numFmtId="4" fontId="16778" fillId="16783" borderId="16730" xfId="0" applyNumberFormat="1" applyFont="1" applyFill="1" applyBorder="1" applyAlignment="1">
      <alignment horizontal="center" wrapText="1"/>
    </xf>
    <xf numFmtId="4" fontId="16779" fillId="16784" borderId="16731" xfId="0" applyNumberFormat="1" applyFont="1" applyFill="1" applyBorder="1" applyAlignment="1">
      <alignment horizontal="center" wrapText="1"/>
    </xf>
    <xf numFmtId="4" fontId="16780" fillId="16785" borderId="16732" xfId="0" applyNumberFormat="1" applyFont="1" applyFill="1" applyBorder="1" applyAlignment="1">
      <alignment horizontal="center" wrapText="1"/>
    </xf>
    <xf numFmtId="0" fontId="16781" fillId="16786" borderId="16733" xfId="0" applyFont="1" applyFill="1" applyBorder="1"/>
    <xf numFmtId="4" fontId="16782" fillId="16787" borderId="16734" xfId="0" applyNumberFormat="1" applyFont="1" applyFill="1" applyBorder="1"/>
    <xf numFmtId="4" fontId="16783" fillId="16788" borderId="16735" xfId="0" applyNumberFormat="1" applyFont="1" applyFill="1" applyBorder="1"/>
    <xf numFmtId="4" fontId="16784" fillId="16789" borderId="16736" xfId="0" applyNumberFormat="1" applyFont="1" applyFill="1" applyBorder="1"/>
    <xf numFmtId="4" fontId="16785" fillId="16790" borderId="16737" xfId="0" applyNumberFormat="1" applyFont="1" applyFill="1" applyBorder="1"/>
    <xf numFmtId="4" fontId="16786" fillId="16791" borderId="16738" xfId="0" applyNumberFormat="1" applyFont="1" applyFill="1" applyBorder="1"/>
    <xf numFmtId="4" fontId="16787" fillId="16792" borderId="16739" xfId="0" applyNumberFormat="1" applyFont="1" applyFill="1" applyBorder="1"/>
    <xf numFmtId="4" fontId="16788" fillId="16793" borderId="16740" xfId="0" applyNumberFormat="1" applyFont="1" applyFill="1" applyBorder="1"/>
    <xf numFmtId="0" fontId="16789" fillId="16794" borderId="16741" xfId="0" applyFont="1" applyFill="1" applyBorder="1"/>
    <xf numFmtId="4" fontId="16790" fillId="16795" borderId="16742" xfId="0" applyNumberFormat="1" applyFont="1" applyFill="1" applyBorder="1"/>
    <xf numFmtId="4" fontId="16791" fillId="16796" borderId="16743" xfId="0" applyNumberFormat="1" applyFont="1" applyFill="1" applyBorder="1"/>
    <xf numFmtId="4" fontId="16792" fillId="16797" borderId="16744" xfId="0" applyNumberFormat="1" applyFont="1" applyFill="1" applyBorder="1"/>
    <xf numFmtId="4" fontId="16793" fillId="16798" borderId="16745" xfId="0" applyNumberFormat="1" applyFont="1" applyFill="1" applyBorder="1"/>
    <xf numFmtId="4" fontId="16794" fillId="16799" borderId="16746" xfId="0" applyNumberFormat="1" applyFont="1" applyFill="1" applyBorder="1"/>
    <xf numFmtId="4" fontId="16795" fillId="16800" borderId="16747" xfId="0" applyNumberFormat="1" applyFont="1" applyFill="1" applyBorder="1"/>
    <xf numFmtId="4" fontId="16796" fillId="16801" borderId="16748" xfId="0" applyNumberFormat="1" applyFont="1" applyFill="1" applyBorder="1"/>
    <xf numFmtId="0" fontId="16797" fillId="16802" borderId="16749" xfId="0" applyFont="1" applyFill="1" applyBorder="1"/>
    <xf numFmtId="4" fontId="16798" fillId="16803" borderId="16750" xfId="0" applyNumberFormat="1" applyFont="1" applyFill="1" applyBorder="1"/>
    <xf numFmtId="4" fontId="16799" fillId="16804" borderId="16751" xfId="0" applyNumberFormat="1" applyFont="1" applyFill="1" applyBorder="1"/>
    <xf numFmtId="4" fontId="16800" fillId="16805" borderId="16752" xfId="0" applyNumberFormat="1" applyFont="1" applyFill="1" applyBorder="1"/>
    <xf numFmtId="4" fontId="16801" fillId="16806" borderId="16753" xfId="0" applyNumberFormat="1" applyFont="1" applyFill="1" applyBorder="1"/>
    <xf numFmtId="4" fontId="16802" fillId="16807" borderId="16754" xfId="0" applyNumberFormat="1" applyFont="1" applyFill="1" applyBorder="1"/>
    <xf numFmtId="4" fontId="16803" fillId="16808" borderId="16755" xfId="0" applyNumberFormat="1" applyFont="1" applyFill="1" applyBorder="1"/>
    <xf numFmtId="4" fontId="16804" fillId="16809" borderId="16756" xfId="0" applyNumberFormat="1" applyFont="1" applyFill="1" applyBorder="1"/>
    <xf numFmtId="0" fontId="16805" fillId="16810" borderId="16757" xfId="0" applyFont="1" applyFill="1" applyBorder="1"/>
    <xf numFmtId="4" fontId="16806" fillId="16811" borderId="16758" xfId="0" applyNumberFormat="1" applyFont="1" applyFill="1" applyBorder="1"/>
    <xf numFmtId="4" fontId="16807" fillId="16812" borderId="16759" xfId="0" applyNumberFormat="1" applyFont="1" applyFill="1" applyBorder="1"/>
    <xf numFmtId="4" fontId="16808" fillId="16813" borderId="16760" xfId="0" applyNumberFormat="1" applyFont="1" applyFill="1" applyBorder="1"/>
    <xf numFmtId="4" fontId="16809" fillId="16814" borderId="16761" xfId="0" applyNumberFormat="1" applyFont="1" applyFill="1" applyBorder="1"/>
    <xf numFmtId="4" fontId="16810" fillId="16815" borderId="16762" xfId="0" applyNumberFormat="1" applyFont="1" applyFill="1" applyBorder="1"/>
    <xf numFmtId="4" fontId="16811" fillId="16816" borderId="16763" xfId="0" applyNumberFormat="1" applyFont="1" applyFill="1" applyBorder="1"/>
    <xf numFmtId="4" fontId="16812" fillId="16817" borderId="16764" xfId="0" applyNumberFormat="1" applyFont="1" applyFill="1" applyBorder="1"/>
    <xf numFmtId="165" fontId="16823" fillId="16828" borderId="16775" xfId="0" applyNumberFormat="1" applyFont="1" applyFill="1" applyBorder="1" applyAlignment="1">
      <alignment horizontal="center"/>
    </xf>
    <xf numFmtId="0" fontId="16824" fillId="16829" borderId="16776" xfId="0" applyFont="1" applyFill="1" applyBorder="1" applyAlignment="1">
      <alignment horizontal="center" wrapText="1"/>
    </xf>
    <xf numFmtId="165" fontId="16825" fillId="16830" borderId="16777" xfId="0" applyNumberFormat="1" applyFont="1" applyFill="1" applyBorder="1" applyAlignment="1">
      <alignment horizontal="center" wrapText="1"/>
    </xf>
    <xf numFmtId="165" fontId="16826" fillId="16831" borderId="16778" xfId="0" applyNumberFormat="1" applyFont="1" applyFill="1" applyBorder="1" applyAlignment="1">
      <alignment horizontal="center" wrapText="1"/>
    </xf>
    <xf numFmtId="165" fontId="16827" fillId="16832" borderId="16779" xfId="0" applyNumberFormat="1" applyFont="1" applyFill="1" applyBorder="1" applyAlignment="1">
      <alignment horizontal="center" wrapText="1"/>
    </xf>
    <xf numFmtId="4" fontId="16828" fillId="16833" borderId="16780" xfId="0" applyNumberFormat="1" applyFont="1" applyFill="1" applyBorder="1" applyAlignment="1">
      <alignment horizontal="center" wrapText="1"/>
    </xf>
    <xf numFmtId="4" fontId="16829" fillId="16834" borderId="16781" xfId="0" applyNumberFormat="1" applyFont="1" applyFill="1" applyBorder="1" applyAlignment="1">
      <alignment horizontal="center" wrapText="1"/>
    </xf>
    <xf numFmtId="4" fontId="16830" fillId="16835" borderId="16782" xfId="0" applyNumberFormat="1" applyFont="1" applyFill="1" applyBorder="1" applyAlignment="1">
      <alignment horizontal="center" wrapText="1"/>
    </xf>
    <xf numFmtId="168" fontId="16831" fillId="16836" borderId="16783" xfId="0" applyNumberFormat="1" applyFont="1" applyFill="1" applyBorder="1" applyAlignment="1">
      <alignment horizontal="center" wrapText="1"/>
    </xf>
    <xf numFmtId="165" fontId="16832" fillId="16837" borderId="16784" xfId="0" applyNumberFormat="1" applyFont="1" applyFill="1" applyBorder="1" applyAlignment="1">
      <alignment horizontal="center" wrapText="1"/>
    </xf>
    <xf numFmtId="165" fontId="16833" fillId="16838" borderId="16785" xfId="0" applyNumberFormat="1" applyFont="1" applyFill="1" applyBorder="1" applyAlignment="1">
      <alignment horizontal="center" wrapText="1"/>
    </xf>
    <xf numFmtId="0" fontId="16834" fillId="16839" borderId="16786" xfId="0" applyFont="1" applyFill="1" applyBorder="1"/>
    <xf numFmtId="165" fontId="16835" fillId="16840" borderId="16787" xfId="0" applyNumberFormat="1" applyFont="1" applyFill="1" applyBorder="1"/>
    <xf numFmtId="165" fontId="16836" fillId="16841" borderId="16788" xfId="0" applyNumberFormat="1" applyFont="1" applyFill="1" applyBorder="1"/>
    <xf numFmtId="165" fontId="16837" fillId="16842" borderId="16789" xfId="0" applyNumberFormat="1" applyFont="1" applyFill="1" applyBorder="1"/>
    <xf numFmtId="4" fontId="16838" fillId="16843" borderId="16790" xfId="0" applyNumberFormat="1" applyFont="1" applyFill="1" applyBorder="1"/>
    <xf numFmtId="4" fontId="16839" fillId="16844" borderId="16791" xfId="0" applyNumberFormat="1" applyFont="1" applyFill="1" applyBorder="1"/>
    <xf numFmtId="4" fontId="16840" fillId="16845" borderId="16792" xfId="0" applyNumberFormat="1" applyFont="1" applyFill="1" applyBorder="1"/>
    <xf numFmtId="168" fontId="16841" fillId="16846" borderId="16793" xfId="0" applyNumberFormat="1" applyFont="1" applyFill="1" applyBorder="1"/>
    <xf numFmtId="165" fontId="16842" fillId="16847" borderId="16794" xfId="0" applyNumberFormat="1" applyFont="1" applyFill="1" applyBorder="1"/>
    <xf numFmtId="165" fontId="16843" fillId="16848" borderId="16795" xfId="0" applyNumberFormat="1" applyFont="1" applyFill="1" applyBorder="1"/>
    <xf numFmtId="0" fontId="16844" fillId="16849" borderId="16796" xfId="0" applyFont="1" applyFill="1" applyBorder="1"/>
    <xf numFmtId="165" fontId="16845" fillId="16850" borderId="16797" xfId="0" applyNumberFormat="1" applyFont="1" applyFill="1" applyBorder="1"/>
    <xf numFmtId="165" fontId="16846" fillId="16851" borderId="16798" xfId="0" applyNumberFormat="1" applyFont="1" applyFill="1" applyBorder="1"/>
    <xf numFmtId="165" fontId="16847" fillId="16852" borderId="16799" xfId="0" applyNumberFormat="1" applyFont="1" applyFill="1" applyBorder="1"/>
    <xf numFmtId="4" fontId="16848" fillId="16853" borderId="16800" xfId="0" applyNumberFormat="1" applyFont="1" applyFill="1" applyBorder="1"/>
    <xf numFmtId="4" fontId="16849" fillId="16854" borderId="16801" xfId="0" applyNumberFormat="1" applyFont="1" applyFill="1" applyBorder="1"/>
    <xf numFmtId="4" fontId="16850" fillId="16855" borderId="16802" xfId="0" applyNumberFormat="1" applyFont="1" applyFill="1" applyBorder="1"/>
    <xf numFmtId="168" fontId="16851" fillId="16856" borderId="16803" xfId="0" applyNumberFormat="1" applyFont="1" applyFill="1" applyBorder="1"/>
    <xf numFmtId="165" fontId="16852" fillId="16857" borderId="16804" xfId="0" applyNumberFormat="1" applyFont="1" applyFill="1" applyBorder="1"/>
    <xf numFmtId="165" fontId="16853" fillId="16858" borderId="16805" xfId="0" applyNumberFormat="1" applyFont="1" applyFill="1" applyBorder="1"/>
    <xf numFmtId="0" fontId="16854" fillId="16859" borderId="16806" xfId="0" applyFont="1" applyFill="1" applyBorder="1"/>
    <xf numFmtId="165" fontId="16855" fillId="16860" borderId="16807" xfId="0" applyNumberFormat="1" applyFont="1" applyFill="1" applyBorder="1"/>
    <xf numFmtId="165" fontId="16856" fillId="16861" borderId="16808" xfId="0" applyNumberFormat="1" applyFont="1" applyFill="1" applyBorder="1"/>
    <xf numFmtId="165" fontId="16857" fillId="16862" borderId="16809" xfId="0" applyNumberFormat="1" applyFont="1" applyFill="1" applyBorder="1"/>
    <xf numFmtId="4" fontId="16858" fillId="16863" borderId="16810" xfId="0" applyNumberFormat="1" applyFont="1" applyFill="1" applyBorder="1"/>
    <xf numFmtId="4" fontId="16859" fillId="16864" borderId="16811" xfId="0" applyNumberFormat="1" applyFont="1" applyFill="1" applyBorder="1"/>
    <xf numFmtId="4" fontId="16860" fillId="16865" borderId="16812" xfId="0" applyNumberFormat="1" applyFont="1" applyFill="1" applyBorder="1"/>
    <xf numFmtId="168" fontId="16861" fillId="16866" borderId="16813" xfId="0" applyNumberFormat="1" applyFont="1" applyFill="1" applyBorder="1"/>
    <xf numFmtId="165" fontId="16862" fillId="16867" borderId="16814" xfId="0" applyNumberFormat="1" applyFont="1" applyFill="1" applyBorder="1"/>
    <xf numFmtId="165" fontId="16863" fillId="16868" borderId="16815" xfId="0" applyNumberFormat="1" applyFont="1" applyFill="1" applyBorder="1"/>
    <xf numFmtId="165" fontId="16873" fillId="16878" borderId="16825" xfId="0" applyNumberFormat="1" applyFont="1" applyFill="1" applyBorder="1"/>
    <xf numFmtId="0" fontId="16874" fillId="16879" borderId="16826" xfId="0" applyFont="1" applyFill="1" applyBorder="1" applyAlignment="1">
      <alignment horizontal="center" wrapText="1"/>
    </xf>
    <xf numFmtId="165" fontId="16875" fillId="16880" borderId="16827" xfId="0" applyNumberFormat="1" applyFont="1" applyFill="1" applyBorder="1" applyAlignment="1">
      <alignment horizontal="center" wrapText="1"/>
    </xf>
    <xf numFmtId="165" fontId="16876" fillId="16881" borderId="16828" xfId="0" applyNumberFormat="1" applyFont="1" applyFill="1" applyBorder="1" applyAlignment="1">
      <alignment horizontal="center" wrapText="1"/>
    </xf>
    <xf numFmtId="165" fontId="16877" fillId="16882" borderId="16829" xfId="0" applyNumberFormat="1" applyFont="1" applyFill="1" applyBorder="1" applyAlignment="1">
      <alignment horizontal="center" wrapText="1"/>
    </xf>
    <xf numFmtId="4" fontId="16878" fillId="16883" borderId="16830" xfId="0" applyNumberFormat="1" applyFont="1" applyFill="1" applyBorder="1" applyAlignment="1">
      <alignment horizontal="center" wrapText="1"/>
    </xf>
    <xf numFmtId="4" fontId="16879" fillId="16884" borderId="16831" xfId="0" applyNumberFormat="1" applyFont="1" applyFill="1" applyBorder="1" applyAlignment="1">
      <alignment horizontal="center" wrapText="1"/>
    </xf>
    <xf numFmtId="4" fontId="16880" fillId="16885" borderId="16832" xfId="0" applyNumberFormat="1" applyFont="1" applyFill="1" applyBorder="1" applyAlignment="1">
      <alignment horizontal="center" wrapText="1"/>
    </xf>
    <xf numFmtId="4" fontId="16881" fillId="16886" borderId="16833" xfId="0" applyNumberFormat="1" applyFont="1" applyFill="1" applyBorder="1" applyAlignment="1">
      <alignment horizontal="center" wrapText="1"/>
    </xf>
    <xf numFmtId="165" fontId="16882" fillId="16887" borderId="16834" xfId="0" applyNumberFormat="1" applyFont="1" applyFill="1" applyBorder="1" applyAlignment="1">
      <alignment horizontal="center" wrapText="1"/>
    </xf>
    <xf numFmtId="165" fontId="16883" fillId="16888" borderId="16835" xfId="0" applyNumberFormat="1" applyFont="1" applyFill="1" applyBorder="1"/>
    <xf numFmtId="0" fontId="16885" fillId="16890" borderId="16837" xfId="0" applyFont="1" applyFill="1" applyBorder="1" applyAlignment="1">
      <alignment horizontal="center" wrapText="1"/>
    </xf>
    <xf numFmtId="0" fontId="16886" fillId="16891" borderId="16838" xfId="0" applyFont="1" applyFill="1" applyBorder="1" applyAlignment="1">
      <alignment horizontal="center" wrapText="1"/>
    </xf>
    <xf numFmtId="4" fontId="16887" fillId="16892" borderId="16839" xfId="0" applyNumberFormat="1" applyFont="1" applyFill="1" applyBorder="1" applyAlignment="1">
      <alignment horizontal="center" wrapText="1"/>
    </xf>
    <xf numFmtId="165" fontId="16888" fillId="16893" borderId="16840" xfId="0" applyNumberFormat="1" applyFont="1" applyFill="1" applyBorder="1" applyAlignment="1">
      <alignment horizontal="center" wrapText="1"/>
    </xf>
    <xf numFmtId="4" fontId="16889" fillId="16894" borderId="16841" xfId="0" applyNumberFormat="1" applyFont="1" applyFill="1" applyBorder="1" applyAlignment="1">
      <alignment horizontal="center" wrapText="1"/>
    </xf>
    <xf numFmtId="168" fontId="16890" fillId="16895" borderId="16842" xfId="0" applyNumberFormat="1" applyFont="1" applyFill="1" applyBorder="1" applyAlignment="1">
      <alignment horizontal="center" wrapText="1"/>
    </xf>
    <xf numFmtId="165" fontId="16891" fillId="16896" borderId="16843" xfId="0" applyNumberFormat="1" applyFont="1" applyFill="1" applyBorder="1" applyAlignment="1">
      <alignment horizontal="center" wrapText="1"/>
    </xf>
    <xf numFmtId="4" fontId="16892" fillId="16897" borderId="16844" xfId="0" applyNumberFormat="1" applyFont="1" applyFill="1" applyBorder="1" applyAlignment="1">
      <alignment horizontal="center" wrapText="1"/>
    </xf>
    <xf numFmtId="165" fontId="16893" fillId="16898" borderId="16845" xfId="0" applyNumberFormat="1" applyFont="1" applyFill="1" applyBorder="1" applyAlignment="1">
      <alignment horizontal="center" wrapText="1"/>
    </xf>
    <xf numFmtId="165" fontId="16906" fillId="16911" borderId="16858" xfId="0" applyNumberFormat="1" applyFont="1" applyFill="1" applyBorder="1" applyAlignment="1">
      <alignment horizontal="center"/>
    </xf>
    <xf numFmtId="4" fontId="16907" fillId="16912" borderId="16859" xfId="0" applyNumberFormat="1" applyFont="1" applyFill="1" applyBorder="1"/>
    <xf numFmtId="168" fontId="16908" fillId="16913" borderId="16860" xfId="0" applyNumberFormat="1" applyFont="1" applyFill="1" applyBorder="1"/>
    <xf numFmtId="165" fontId="16909" fillId="16914" borderId="16861" xfId="0" applyNumberFormat="1" applyFont="1" applyFill="1" applyBorder="1"/>
    <xf numFmtId="4" fontId="16910" fillId="16915" borderId="16862" xfId="0" applyNumberFormat="1" applyFont="1" applyFill="1" applyBorder="1"/>
    <xf numFmtId="165" fontId="16911" fillId="16916" borderId="16863" xfId="0" applyNumberFormat="1" applyFont="1" applyFill="1" applyBorder="1"/>
    <xf numFmtId="0" fontId="16912" fillId="16917" borderId="16864" xfId="0" applyFont="1" applyFill="1" applyBorder="1" applyAlignment="1">
      <alignment horizontal="center" wrapText="1"/>
    </xf>
    <xf numFmtId="0" fontId="16913" fillId="16918" borderId="16865" xfId="0" applyFont="1" applyFill="1" applyBorder="1" applyAlignment="1">
      <alignment horizontal="center" wrapText="1"/>
    </xf>
    <xf numFmtId="4" fontId="16914" fillId="16919" borderId="16866" xfId="0" applyNumberFormat="1" applyFont="1" applyFill="1" applyBorder="1" applyAlignment="1">
      <alignment horizontal="center" wrapText="1"/>
    </xf>
    <xf numFmtId="165" fontId="16915" fillId="16920" borderId="16867" xfId="0" applyNumberFormat="1" applyFont="1" applyFill="1" applyBorder="1" applyAlignment="1">
      <alignment horizontal="center" wrapText="1"/>
    </xf>
    <xf numFmtId="4" fontId="16916" fillId="16921" borderId="16868" xfId="0" applyNumberFormat="1" applyFont="1" applyFill="1" applyBorder="1" applyAlignment="1">
      <alignment horizontal="center" wrapText="1"/>
    </xf>
    <xf numFmtId="168" fontId="16917" fillId="16922" borderId="16869" xfId="0" applyNumberFormat="1" applyFont="1" applyFill="1" applyBorder="1" applyAlignment="1">
      <alignment horizontal="center" wrapText="1"/>
    </xf>
    <xf numFmtId="165" fontId="16918" fillId="16923" borderId="16870" xfId="0" applyNumberFormat="1" applyFont="1" applyFill="1" applyBorder="1" applyAlignment="1">
      <alignment horizontal="center" wrapText="1"/>
    </xf>
    <xf numFmtId="4" fontId="16919" fillId="16924" borderId="16871" xfId="0" applyNumberFormat="1" applyFont="1" applyFill="1" applyBorder="1" applyAlignment="1">
      <alignment horizontal="center" wrapText="1"/>
    </xf>
    <xf numFmtId="165" fontId="16920" fillId="16925" borderId="16872" xfId="0" applyNumberFormat="1" applyFont="1" applyFill="1" applyBorder="1" applyAlignment="1">
      <alignment horizontal="center" wrapText="1"/>
    </xf>
    <xf numFmtId="0" fontId="16921" fillId="16926" borderId="16873" xfId="0" applyFont="1" applyFill="1" applyBorder="1" applyAlignment="1">
      <alignment horizontal="center"/>
    </xf>
    <xf numFmtId="165" fontId="16922" fillId="16927" borderId="16874" xfId="0" applyNumberFormat="1" applyFont="1" applyFill="1" applyBorder="1"/>
    <xf numFmtId="4" fontId="16923" fillId="16928" borderId="16875" xfId="0" applyNumberFormat="1" applyFont="1" applyFill="1" applyBorder="1"/>
    <xf numFmtId="165" fontId="16924" fillId="16929" borderId="16876" xfId="0" applyNumberFormat="1" applyFont="1" applyFill="1" applyBorder="1"/>
    <xf numFmtId="4" fontId="16925" fillId="16930" borderId="16877" xfId="0" applyNumberFormat="1" applyFont="1" applyFill="1" applyBorder="1"/>
    <xf numFmtId="168" fontId="16926" fillId="16931" borderId="16878" xfId="0" applyNumberFormat="1" applyFont="1" applyFill="1" applyBorder="1"/>
    <xf numFmtId="165" fontId="16927" fillId="16932" borderId="16879" xfId="0" applyNumberFormat="1" applyFont="1" applyFill="1" applyBorder="1"/>
    <xf numFmtId="4" fontId="16928" fillId="16933" borderId="16880" xfId="0" applyNumberFormat="1" applyFont="1" applyFill="1" applyBorder="1"/>
    <xf numFmtId="165" fontId="16929" fillId="16934" borderId="16881" xfId="0" applyNumberFormat="1" applyFont="1" applyFill="1" applyBorder="1"/>
    <xf numFmtId="0" fontId="16930" fillId="16935" borderId="16882" xfId="0" applyFont="1" applyFill="1" applyBorder="1" applyAlignment="1">
      <alignment horizontal="center"/>
    </xf>
    <xf numFmtId="165" fontId="16931" fillId="16936" borderId="16883" xfId="0" applyNumberFormat="1" applyFont="1" applyFill="1" applyBorder="1"/>
    <xf numFmtId="4" fontId="16932" fillId="16937" borderId="16884" xfId="0" applyNumberFormat="1" applyFont="1" applyFill="1" applyBorder="1"/>
    <xf numFmtId="165" fontId="16933" fillId="16938" borderId="16885" xfId="0" applyNumberFormat="1" applyFont="1" applyFill="1" applyBorder="1"/>
    <xf numFmtId="4" fontId="16934" fillId="16939" borderId="16886" xfId="0" applyNumberFormat="1" applyFont="1" applyFill="1" applyBorder="1"/>
    <xf numFmtId="168" fontId="16935" fillId="16940" borderId="16887" xfId="0" applyNumberFormat="1" applyFont="1" applyFill="1" applyBorder="1"/>
    <xf numFmtId="165" fontId="16936" fillId="16941" borderId="16888" xfId="0" applyNumberFormat="1" applyFont="1" applyFill="1" applyBorder="1"/>
    <xf numFmtId="4" fontId="16937" fillId="16942" borderId="16889" xfId="0" applyNumberFormat="1" applyFont="1" applyFill="1" applyBorder="1"/>
    <xf numFmtId="165" fontId="16938" fillId="16943" borderId="16890" xfId="0" applyNumberFormat="1" applyFont="1" applyFill="1" applyBorder="1"/>
    <xf numFmtId="0" fontId="16939" fillId="16944" borderId="16891" xfId="0" applyFont="1" applyFill="1" applyBorder="1" applyAlignment="1">
      <alignment horizontal="center"/>
    </xf>
    <xf numFmtId="165" fontId="16940" fillId="16945" borderId="16892" xfId="0" applyNumberFormat="1" applyFont="1" applyFill="1" applyBorder="1"/>
    <xf numFmtId="4" fontId="16941" fillId="16946" borderId="16893" xfId="0" applyNumberFormat="1" applyFont="1" applyFill="1" applyBorder="1"/>
    <xf numFmtId="165" fontId="16942" fillId="16947" borderId="16894" xfId="0" applyNumberFormat="1" applyFont="1" applyFill="1" applyBorder="1"/>
    <xf numFmtId="4" fontId="16943" fillId="16948" borderId="16895" xfId="0" applyNumberFormat="1" applyFont="1" applyFill="1" applyBorder="1"/>
    <xf numFmtId="168" fontId="16944" fillId="16949" borderId="16896" xfId="0" applyNumberFormat="1" applyFont="1" applyFill="1" applyBorder="1"/>
    <xf numFmtId="165" fontId="16945" fillId="16950" borderId="16897" xfId="0" applyNumberFormat="1" applyFont="1" applyFill="1" applyBorder="1"/>
    <xf numFmtId="4" fontId="16946" fillId="16951" borderId="16898" xfId="0" applyNumberFormat="1" applyFont="1" applyFill="1" applyBorder="1"/>
    <xf numFmtId="165" fontId="16947" fillId="16952" borderId="16899" xfId="0" applyNumberFormat="1" applyFont="1" applyFill="1" applyBorder="1"/>
    <xf numFmtId="0" fontId="16948" fillId="16953" borderId="16900" xfId="0" applyFont="1" applyFill="1" applyBorder="1" applyAlignment="1">
      <alignment horizontal="center"/>
    </xf>
    <xf numFmtId="165" fontId="16949" fillId="16954" borderId="16901" xfId="0" applyNumberFormat="1" applyFont="1" applyFill="1" applyBorder="1"/>
    <xf numFmtId="4" fontId="16950" fillId="16955" borderId="16902" xfId="0" applyNumberFormat="1" applyFont="1" applyFill="1" applyBorder="1"/>
    <xf numFmtId="165" fontId="16951" fillId="16956" borderId="16903" xfId="0" applyNumberFormat="1" applyFont="1" applyFill="1" applyBorder="1"/>
    <xf numFmtId="4" fontId="16952" fillId="16957" borderId="16904" xfId="0" applyNumberFormat="1" applyFont="1" applyFill="1" applyBorder="1"/>
    <xf numFmtId="168" fontId="16953" fillId="16958" borderId="16905" xfId="0" applyNumberFormat="1" applyFont="1" applyFill="1" applyBorder="1"/>
    <xf numFmtId="165" fontId="16954" fillId="16959" borderId="16906" xfId="0" applyNumberFormat="1" applyFont="1" applyFill="1" applyBorder="1"/>
    <xf numFmtId="4" fontId="16955" fillId="16960" borderId="16907" xfId="0" applyNumberFormat="1" applyFont="1" applyFill="1" applyBorder="1"/>
    <xf numFmtId="165" fontId="16956" fillId="16961" borderId="16908" xfId="0" applyNumberFormat="1" applyFont="1" applyFill="1" applyBorder="1"/>
    <xf numFmtId="0" fontId="16957" fillId="16962" borderId="16909" xfId="0" applyFont="1" applyFill="1" applyBorder="1" applyAlignment="1">
      <alignment horizontal="center"/>
    </xf>
    <xf numFmtId="165" fontId="16958" fillId="16963" borderId="16910" xfId="0" applyNumberFormat="1" applyFont="1" applyFill="1" applyBorder="1"/>
    <xf numFmtId="4" fontId="16959" fillId="16964" borderId="16911" xfId="0" applyNumberFormat="1" applyFont="1" applyFill="1" applyBorder="1"/>
    <xf numFmtId="165" fontId="16960" fillId="16965" borderId="16912" xfId="0" applyNumberFormat="1" applyFont="1" applyFill="1" applyBorder="1"/>
    <xf numFmtId="4" fontId="16961" fillId="16966" borderId="16913" xfId="0" applyNumberFormat="1" applyFont="1" applyFill="1" applyBorder="1"/>
    <xf numFmtId="168" fontId="16962" fillId="16967" borderId="16914" xfId="0" applyNumberFormat="1" applyFont="1" applyFill="1" applyBorder="1"/>
    <xf numFmtId="165" fontId="16963" fillId="16968" borderId="16915" xfId="0" applyNumberFormat="1" applyFont="1" applyFill="1" applyBorder="1"/>
    <xf numFmtId="4" fontId="16964" fillId="16969" borderId="16916" xfId="0" applyNumberFormat="1" applyFont="1" applyFill="1" applyBorder="1"/>
    <xf numFmtId="165" fontId="16965" fillId="16970" borderId="16917" xfId="0" applyNumberFormat="1" applyFont="1" applyFill="1" applyBorder="1"/>
    <xf numFmtId="0" fontId="16966" fillId="16971" borderId="16918" xfId="0" applyFont="1" applyFill="1" applyBorder="1" applyAlignment="1">
      <alignment horizontal="center"/>
    </xf>
    <xf numFmtId="165" fontId="16967" fillId="16972" borderId="16919" xfId="0" applyNumberFormat="1" applyFont="1" applyFill="1" applyBorder="1"/>
    <xf numFmtId="4" fontId="16968" fillId="16973" borderId="16920" xfId="0" applyNumberFormat="1" applyFont="1" applyFill="1" applyBorder="1"/>
    <xf numFmtId="165" fontId="16969" fillId="16974" borderId="16921" xfId="0" applyNumberFormat="1" applyFont="1" applyFill="1" applyBorder="1"/>
    <xf numFmtId="4" fontId="16970" fillId="16975" borderId="16922" xfId="0" applyNumberFormat="1" applyFont="1" applyFill="1" applyBorder="1"/>
    <xf numFmtId="168" fontId="16971" fillId="16976" borderId="16923" xfId="0" applyNumberFormat="1" applyFont="1" applyFill="1" applyBorder="1"/>
    <xf numFmtId="165" fontId="16972" fillId="16977" borderId="16924" xfId="0" applyNumberFormat="1" applyFont="1" applyFill="1" applyBorder="1"/>
    <xf numFmtId="4" fontId="16973" fillId="16978" borderId="16925" xfId="0" applyNumberFormat="1" applyFont="1" applyFill="1" applyBorder="1"/>
    <xf numFmtId="165" fontId="16974" fillId="16979" borderId="16926" xfId="0" applyNumberFormat="1" applyFont="1" applyFill="1" applyBorder="1"/>
    <xf numFmtId="0" fontId="16975" fillId="16980" borderId="16927" xfId="0" applyFont="1" applyFill="1" applyBorder="1" applyAlignment="1">
      <alignment horizontal="center"/>
    </xf>
    <xf numFmtId="165" fontId="16976" fillId="16981" borderId="16928" xfId="0" applyNumberFormat="1" applyFont="1" applyFill="1" applyBorder="1"/>
    <xf numFmtId="4" fontId="16977" fillId="16982" borderId="16929" xfId="0" applyNumberFormat="1" applyFont="1" applyFill="1" applyBorder="1"/>
    <xf numFmtId="165" fontId="16978" fillId="16983" borderId="16930" xfId="0" applyNumberFormat="1" applyFont="1" applyFill="1" applyBorder="1"/>
    <xf numFmtId="4" fontId="16979" fillId="16984" borderId="16931" xfId="0" applyNumberFormat="1" applyFont="1" applyFill="1" applyBorder="1"/>
    <xf numFmtId="168" fontId="16980" fillId="16985" borderId="16932" xfId="0" applyNumberFormat="1" applyFont="1" applyFill="1" applyBorder="1"/>
    <xf numFmtId="165" fontId="16981" fillId="16986" borderId="16933" xfId="0" applyNumberFormat="1" applyFont="1" applyFill="1" applyBorder="1"/>
    <xf numFmtId="4" fontId="16982" fillId="16987" borderId="16934" xfId="0" applyNumberFormat="1" applyFont="1" applyFill="1" applyBorder="1"/>
    <xf numFmtId="165" fontId="16983" fillId="16988" borderId="16935" xfId="0" applyNumberFormat="1" applyFont="1" applyFill="1" applyBorder="1"/>
    <xf numFmtId="0" fontId="16984" fillId="16989" borderId="16936" xfId="0" applyFont="1" applyFill="1" applyBorder="1" applyAlignment="1">
      <alignment horizontal="center"/>
    </xf>
    <xf numFmtId="165" fontId="16985" fillId="16990" borderId="16937" xfId="0" applyNumberFormat="1" applyFont="1" applyFill="1" applyBorder="1"/>
    <xf numFmtId="4" fontId="16986" fillId="16991" borderId="16938" xfId="0" applyNumberFormat="1" applyFont="1" applyFill="1" applyBorder="1"/>
    <xf numFmtId="165" fontId="16987" fillId="16992" borderId="16939" xfId="0" applyNumberFormat="1" applyFont="1" applyFill="1" applyBorder="1"/>
    <xf numFmtId="4" fontId="16988" fillId="16993" borderId="16940" xfId="0" applyNumberFormat="1" applyFont="1" applyFill="1" applyBorder="1"/>
    <xf numFmtId="168" fontId="16989" fillId="16994" borderId="16941" xfId="0" applyNumberFormat="1" applyFont="1" applyFill="1" applyBorder="1"/>
    <xf numFmtId="165" fontId="16990" fillId="16995" borderId="16942" xfId="0" applyNumberFormat="1" applyFont="1" applyFill="1" applyBorder="1"/>
    <xf numFmtId="4" fontId="16991" fillId="16996" borderId="16943" xfId="0" applyNumberFormat="1" applyFont="1" applyFill="1" applyBorder="1"/>
    <xf numFmtId="165" fontId="16992" fillId="16997" borderId="16944" xfId="0" applyNumberFormat="1" applyFont="1" applyFill="1" applyBorder="1"/>
    <xf numFmtId="0" fontId="16993" fillId="16998" borderId="16945" xfId="0" applyFont="1" applyFill="1" applyBorder="1" applyAlignment="1">
      <alignment horizontal="center"/>
    </xf>
    <xf numFmtId="4" fontId="16994" fillId="16999" borderId="16946" xfId="0" applyNumberFormat="1" applyFont="1" applyFill="1" applyBorder="1"/>
    <xf numFmtId="4" fontId="16995" fillId="17000" borderId="16947" xfId="0" applyNumberFormat="1" applyFont="1" applyFill="1" applyBorder="1"/>
    <xf numFmtId="165" fontId="16996" fillId="17001" borderId="16948" xfId="0" applyNumberFormat="1" applyFont="1" applyFill="1" applyBorder="1"/>
    <xf numFmtId="4" fontId="16997" fillId="17002" borderId="16949" xfId="0" applyNumberFormat="1" applyFont="1" applyFill="1" applyBorder="1"/>
    <xf numFmtId="168" fontId="16998" fillId="17003" borderId="16950" xfId="0" applyNumberFormat="1" applyFont="1" applyFill="1" applyBorder="1"/>
    <xf numFmtId="165" fontId="16999" fillId="17004" borderId="16951" xfId="0" applyNumberFormat="1" applyFont="1" applyFill="1" applyBorder="1"/>
    <xf numFmtId="4" fontId="17000" fillId="17005" borderId="16952" xfId="0" applyNumberFormat="1" applyFont="1" applyFill="1" applyBorder="1"/>
    <xf numFmtId="165" fontId="17001" fillId="17006" borderId="16953" xfId="0" applyNumberFormat="1" applyFont="1" applyFill="1" applyBorder="1"/>
    <xf numFmtId="0" fontId="17002" fillId="17007" borderId="16954" xfId="0" applyFont="1" applyFill="1" applyBorder="1" applyAlignment="1">
      <alignment horizontal="center"/>
    </xf>
    <xf numFmtId="0" fontId="17003" fillId="17008" borderId="16955" xfId="0" applyFont="1" applyFill="1" applyBorder="1"/>
    <xf numFmtId="4" fontId="17004" fillId="17009" borderId="16956" xfId="0" applyNumberFormat="1" applyFont="1" applyFill="1" applyBorder="1"/>
    <xf numFmtId="165" fontId="17005" fillId="17010" borderId="16957" xfId="0" applyNumberFormat="1" applyFont="1" applyFill="1" applyBorder="1"/>
    <xf numFmtId="4" fontId="17006" fillId="17011" borderId="16958" xfId="0" applyNumberFormat="1" applyFont="1" applyFill="1" applyBorder="1"/>
    <xf numFmtId="168" fontId="17007" fillId="17012" borderId="16959" xfId="0" applyNumberFormat="1" applyFont="1" applyFill="1" applyBorder="1"/>
    <xf numFmtId="165" fontId="17008" fillId="17013" borderId="16960" xfId="0" applyNumberFormat="1" applyFont="1" applyFill="1" applyBorder="1"/>
    <xf numFmtId="4" fontId="17009" fillId="17014" borderId="16961" xfId="0" applyNumberFormat="1" applyFont="1" applyFill="1" applyBorder="1"/>
    <xf numFmtId="165" fontId="17010" fillId="17015" borderId="16962" xfId="0" applyNumberFormat="1" applyFont="1" applyFill="1" applyBorder="1"/>
    <xf numFmtId="0" fontId="17011" fillId="17016" borderId="16963" xfId="0" applyFont="1" applyFill="1" applyBorder="1" applyAlignment="1">
      <alignment horizontal="center"/>
    </xf>
    <xf numFmtId="0" fontId="17012" fillId="17017" borderId="16964" xfId="0" applyFont="1" applyFill="1" applyBorder="1"/>
    <xf numFmtId="4" fontId="17013" fillId="17018" borderId="16965" xfId="0" applyNumberFormat="1" applyFont="1" applyFill="1" applyBorder="1"/>
    <xf numFmtId="165" fontId="17014" fillId="17019" borderId="16966" xfId="0" applyNumberFormat="1" applyFont="1" applyFill="1" applyBorder="1"/>
    <xf numFmtId="4" fontId="17015" fillId="17020" borderId="16967" xfId="0" applyNumberFormat="1" applyFont="1" applyFill="1" applyBorder="1"/>
    <xf numFmtId="168" fontId="17016" fillId="17021" borderId="16968" xfId="0" applyNumberFormat="1" applyFont="1" applyFill="1" applyBorder="1"/>
    <xf numFmtId="165" fontId="17017" fillId="17022" borderId="16969" xfId="0" applyNumberFormat="1" applyFont="1" applyFill="1" applyBorder="1"/>
    <xf numFmtId="4" fontId="17018" fillId="17023" borderId="16970" xfId="0" applyNumberFormat="1" applyFont="1" applyFill="1" applyBorder="1"/>
    <xf numFmtId="165" fontId="17019" fillId="17024" borderId="16971" xfId="0" applyNumberFormat="1" applyFont="1" applyFill="1" applyBorder="1"/>
    <xf numFmtId="0" fontId="17029" fillId="17034" borderId="16981" xfId="0" applyFont="1" applyFill="1" applyBorder="1" applyAlignment="1">
      <alignment horizontal="center" wrapText="1"/>
    </xf>
    <xf numFmtId="0" fontId="17030" fillId="17035" borderId="16982" xfId="0" applyFont="1" applyFill="1" applyBorder="1" applyAlignment="1">
      <alignment horizontal="center" wrapText="1"/>
    </xf>
    <xf numFmtId="4" fontId="17031" fillId="17036" borderId="16983" xfId="0" applyNumberFormat="1" applyFont="1" applyFill="1" applyBorder="1" applyAlignment="1">
      <alignment horizontal="center" wrapText="1"/>
    </xf>
    <xf numFmtId="165" fontId="17032" fillId="17037" borderId="16984" xfId="0" applyNumberFormat="1" applyFont="1" applyFill="1" applyBorder="1" applyAlignment="1">
      <alignment horizontal="center" wrapText="1"/>
    </xf>
    <xf numFmtId="4" fontId="17033" fillId="17038" borderId="16985" xfId="0" applyNumberFormat="1" applyFont="1" applyFill="1" applyBorder="1" applyAlignment="1">
      <alignment horizontal="center" wrapText="1"/>
    </xf>
    <xf numFmtId="168" fontId="17034" fillId="17039" borderId="16986" xfId="0" applyNumberFormat="1" applyFont="1" applyFill="1" applyBorder="1" applyAlignment="1">
      <alignment horizontal="center" wrapText="1"/>
    </xf>
    <xf numFmtId="165" fontId="17035" fillId="17040" borderId="16987" xfId="0" applyNumberFormat="1" applyFont="1" applyFill="1" applyBorder="1" applyAlignment="1">
      <alignment horizontal="center" wrapText="1"/>
    </xf>
    <xf numFmtId="4" fontId="17036" fillId="17041" borderId="16988" xfId="0" applyNumberFormat="1" applyFont="1" applyFill="1" applyBorder="1" applyAlignment="1">
      <alignment horizontal="center" wrapText="1"/>
    </xf>
    <xf numFmtId="165" fontId="17037" fillId="17042" borderId="16989" xfId="0" applyNumberFormat="1" applyFont="1" applyFill="1" applyBorder="1" applyAlignment="1">
      <alignment horizontal="center" wrapText="1"/>
    </xf>
    <xf numFmtId="0" fontId="17038" fillId="17043" borderId="16990" xfId="0" applyFont="1" applyFill="1" applyBorder="1" applyAlignment="1">
      <alignment horizontal="center"/>
    </xf>
    <xf numFmtId="0" fontId="17039" fillId="17044" borderId="16991" xfId="0" applyFont="1" applyFill="1" applyBorder="1"/>
    <xf numFmtId="4" fontId="17040" fillId="17045" borderId="16992" xfId="0" applyNumberFormat="1" applyFont="1" applyFill="1" applyBorder="1"/>
    <xf numFmtId="165" fontId="17041" fillId="17046" borderId="16993" xfId="0" applyNumberFormat="1" applyFont="1" applyFill="1" applyBorder="1"/>
    <xf numFmtId="4" fontId="17042" fillId="17047" borderId="16994" xfId="0" applyNumberFormat="1" applyFont="1" applyFill="1" applyBorder="1"/>
    <xf numFmtId="168" fontId="17043" fillId="17048" borderId="16995" xfId="0" applyNumberFormat="1" applyFont="1" applyFill="1" applyBorder="1"/>
    <xf numFmtId="165" fontId="17044" fillId="17049" borderId="16996" xfId="0" applyNumberFormat="1" applyFont="1" applyFill="1" applyBorder="1"/>
    <xf numFmtId="4" fontId="17045" fillId="17050" borderId="16997" xfId="0" applyNumberFormat="1" applyFont="1" applyFill="1" applyBorder="1"/>
    <xf numFmtId="165" fontId="17046" fillId="17051" borderId="16998" xfId="0" applyNumberFormat="1" applyFont="1" applyFill="1" applyBorder="1"/>
    <xf numFmtId="165" fontId="17055" fillId="17060" borderId="17007" xfId="0" applyNumberFormat="1" applyFont="1" applyFill="1" applyBorder="1"/>
    <xf numFmtId="0" fontId="17056" fillId="17061" borderId="17008" xfId="0" applyFont="1" applyFill="1" applyBorder="1" applyAlignment="1">
      <alignment horizontal="center" wrapText="1"/>
    </xf>
    <xf numFmtId="0" fontId="17057" fillId="17062" borderId="17009" xfId="0" applyFont="1" applyFill="1" applyBorder="1" applyAlignment="1">
      <alignment horizontal="center" wrapText="1"/>
    </xf>
    <xf numFmtId="4" fontId="17058" fillId="17063" borderId="17010" xfId="0" applyNumberFormat="1" applyFont="1" applyFill="1" applyBorder="1" applyAlignment="1">
      <alignment horizontal="center" wrapText="1"/>
    </xf>
    <xf numFmtId="165" fontId="17059" fillId="17064" borderId="17011" xfId="0" applyNumberFormat="1" applyFont="1" applyFill="1" applyBorder="1" applyAlignment="1">
      <alignment horizontal="center" wrapText="1"/>
    </xf>
    <xf numFmtId="4" fontId="17060" fillId="17065" borderId="17012" xfId="0" applyNumberFormat="1" applyFont="1" applyFill="1" applyBorder="1" applyAlignment="1">
      <alignment horizontal="center" wrapText="1"/>
    </xf>
    <xf numFmtId="168" fontId="17061" fillId="17066" borderId="17013" xfId="0" applyNumberFormat="1" applyFont="1" applyFill="1" applyBorder="1" applyAlignment="1">
      <alignment horizontal="center" wrapText="1"/>
    </xf>
    <xf numFmtId="165" fontId="17062" fillId="17067" borderId="17014" xfId="0" applyNumberFormat="1" applyFont="1" applyFill="1" applyBorder="1" applyAlignment="1">
      <alignment horizontal="center" wrapText="1"/>
    </xf>
    <xf numFmtId="4" fontId="17063" fillId="17068" borderId="17015" xfId="0" applyNumberFormat="1" applyFont="1" applyFill="1" applyBorder="1" applyAlignment="1">
      <alignment horizontal="center" wrapText="1"/>
    </xf>
    <xf numFmtId="165" fontId="17064" fillId="17069" borderId="17016" xfId="0" applyNumberFormat="1" applyFont="1" applyFill="1" applyBorder="1"/>
    <xf numFmtId="0" fontId="17065" fillId="17070" borderId="17017" xfId="0" applyFont="1" applyFill="1" applyBorder="1" applyAlignment="1">
      <alignment horizontal="center"/>
    </xf>
    <xf numFmtId="0" fontId="17066" fillId="17071" borderId="17018" xfId="0" applyFont="1" applyFill="1" applyBorder="1"/>
    <xf numFmtId="4" fontId="17067" fillId="17072" borderId="17019" xfId="0" applyNumberFormat="1" applyFont="1" applyFill="1" applyBorder="1"/>
    <xf numFmtId="165" fontId="17068" fillId="17073" borderId="17020" xfId="0" applyNumberFormat="1" applyFont="1" applyFill="1" applyBorder="1"/>
    <xf numFmtId="4" fontId="17069" fillId="17074" borderId="17021" xfId="0" applyNumberFormat="1" applyFont="1" applyFill="1" applyBorder="1"/>
    <xf numFmtId="168" fontId="17070" fillId="17075" borderId="17022" xfId="0" applyNumberFormat="1" applyFont="1" applyFill="1" applyBorder="1"/>
    <xf numFmtId="165" fontId="17071" fillId="17076" borderId="17023" xfId="0" applyNumberFormat="1" applyFont="1" applyFill="1" applyBorder="1"/>
    <xf numFmtId="4" fontId="17072" fillId="17077" borderId="17024" xfId="0" applyNumberFormat="1" applyFont="1" applyFill="1" applyBorder="1"/>
    <xf numFmtId="165" fontId="17073" fillId="17078" borderId="17025" xfId="0" applyNumberFormat="1" applyFont="1" applyFill="1" applyBorder="1"/>
    <xf numFmtId="0" fontId="17074" fillId="17079" borderId="17026" xfId="0" applyFont="1" applyFill="1" applyBorder="1" applyAlignment="1">
      <alignment horizontal="center"/>
    </xf>
    <xf numFmtId="0" fontId="17075" fillId="17080" borderId="17027" xfId="0" applyFont="1" applyFill="1" applyBorder="1"/>
    <xf numFmtId="4" fontId="17076" fillId="17081" borderId="17028" xfId="0" applyNumberFormat="1" applyFont="1" applyFill="1" applyBorder="1"/>
    <xf numFmtId="165" fontId="17077" fillId="17082" borderId="17029" xfId="0" applyNumberFormat="1" applyFont="1" applyFill="1" applyBorder="1"/>
    <xf numFmtId="4" fontId="17078" fillId="17083" borderId="17030" xfId="0" applyNumberFormat="1" applyFont="1" applyFill="1" applyBorder="1"/>
    <xf numFmtId="168" fontId="17079" fillId="17084" borderId="17031" xfId="0" applyNumberFormat="1" applyFont="1" applyFill="1" applyBorder="1"/>
    <xf numFmtId="165" fontId="17080" fillId="17085" borderId="17032" xfId="0" applyNumberFormat="1" applyFont="1" applyFill="1" applyBorder="1"/>
    <xf numFmtId="4" fontId="17081" fillId="17086" borderId="17033" xfId="0" applyNumberFormat="1" applyFont="1" applyFill="1" applyBorder="1"/>
    <xf numFmtId="165" fontId="17082" fillId="17087" borderId="17034" xfId="0" applyNumberFormat="1" applyFont="1" applyFill="1" applyBorder="1"/>
    <xf numFmtId="0" fontId="17083" fillId="17088" borderId="17035" xfId="0" applyFont="1" applyFill="1" applyBorder="1" applyAlignment="1">
      <alignment horizontal="center"/>
    </xf>
    <xf numFmtId="0" fontId="17084" fillId="17089" borderId="17036" xfId="0" applyFont="1" applyFill="1" applyBorder="1"/>
    <xf numFmtId="4" fontId="17085" fillId="17090" borderId="17037" xfId="0" applyNumberFormat="1" applyFont="1" applyFill="1" applyBorder="1"/>
    <xf numFmtId="165" fontId="17086" fillId="17091" borderId="17038" xfId="0" applyNumberFormat="1" applyFont="1" applyFill="1" applyBorder="1"/>
    <xf numFmtId="4" fontId="17087" fillId="17092" borderId="17039" xfId="0" applyNumberFormat="1" applyFont="1" applyFill="1" applyBorder="1"/>
    <xf numFmtId="168" fontId="17088" fillId="17093" borderId="17040" xfId="0" applyNumberFormat="1" applyFont="1" applyFill="1" applyBorder="1"/>
    <xf numFmtId="165" fontId="17089" fillId="17094" borderId="17041" xfId="0" applyNumberFormat="1" applyFont="1" applyFill="1" applyBorder="1"/>
    <xf numFmtId="4" fontId="17090" fillId="17095" borderId="17042" xfId="0" applyNumberFormat="1" applyFont="1" applyFill="1" applyBorder="1"/>
    <xf numFmtId="165" fontId="17091" fillId="17096" borderId="17043" xfId="0" applyNumberFormat="1" applyFont="1" applyFill="1" applyBorder="1"/>
    <xf numFmtId="0" fontId="17092" fillId="17097" borderId="17044" xfId="0" applyFont="1" applyFill="1" applyBorder="1" applyAlignment="1">
      <alignment horizontal="center"/>
    </xf>
    <xf numFmtId="0" fontId="17093" fillId="17098" borderId="17045" xfId="0" applyFont="1" applyFill="1" applyBorder="1"/>
    <xf numFmtId="4" fontId="17094" fillId="17099" borderId="17046" xfId="0" applyNumberFormat="1" applyFont="1" applyFill="1" applyBorder="1"/>
    <xf numFmtId="165" fontId="17095" fillId="17100" borderId="17047" xfId="0" applyNumberFormat="1" applyFont="1" applyFill="1" applyBorder="1"/>
    <xf numFmtId="4" fontId="17096" fillId="17101" borderId="17048" xfId="0" applyNumberFormat="1" applyFont="1" applyFill="1" applyBorder="1"/>
    <xf numFmtId="168" fontId="17097" fillId="17102" borderId="17049" xfId="0" applyNumberFormat="1" applyFont="1" applyFill="1" applyBorder="1"/>
    <xf numFmtId="165" fontId="17098" fillId="17103" borderId="17050" xfId="0" applyNumberFormat="1" applyFont="1" applyFill="1" applyBorder="1"/>
    <xf numFmtId="4" fontId="17099" fillId="17104" borderId="17051" xfId="0" applyNumberFormat="1" applyFont="1" applyFill="1" applyBorder="1"/>
    <xf numFmtId="165" fontId="17100" fillId="17105" borderId="17052" xfId="0" applyNumberFormat="1" applyFont="1" applyFill="1" applyBorder="1"/>
    <xf numFmtId="0" fontId="17101" fillId="17106" borderId="17053" xfId="0" applyFont="1" applyFill="1" applyBorder="1" applyAlignment="1">
      <alignment horizontal="center"/>
    </xf>
    <xf numFmtId="0" fontId="17102" fillId="17107" borderId="17054" xfId="0" applyFont="1" applyFill="1" applyBorder="1"/>
    <xf numFmtId="4" fontId="17103" fillId="17108" borderId="17055" xfId="0" applyNumberFormat="1" applyFont="1" applyFill="1" applyBorder="1"/>
    <xf numFmtId="165" fontId="17104" fillId="17109" borderId="17056" xfId="0" applyNumberFormat="1" applyFont="1" applyFill="1" applyBorder="1"/>
    <xf numFmtId="4" fontId="17105" fillId="17110" borderId="17057" xfId="0" applyNumberFormat="1" applyFont="1" applyFill="1" applyBorder="1"/>
    <xf numFmtId="168" fontId="17106" fillId="17111" borderId="17058" xfId="0" applyNumberFormat="1" applyFont="1" applyFill="1" applyBorder="1"/>
    <xf numFmtId="165" fontId="17107" fillId="17112" borderId="17059" xfId="0" applyNumberFormat="1" applyFont="1" applyFill="1" applyBorder="1"/>
    <xf numFmtId="4" fontId="17108" fillId="17113" borderId="17060" xfId="0" applyNumberFormat="1" applyFont="1" applyFill="1" applyBorder="1"/>
    <xf numFmtId="165" fontId="17109" fillId="17114" borderId="17061" xfId="0" applyNumberFormat="1" applyFont="1" applyFill="1" applyBorder="1"/>
    <xf numFmtId="0" fontId="17110" fillId="17115" borderId="17062" xfId="0" applyFont="1" applyFill="1" applyBorder="1" applyAlignment="1">
      <alignment horizontal="center"/>
    </xf>
    <xf numFmtId="0" fontId="17111" fillId="17116" borderId="17063" xfId="0" applyFont="1" applyFill="1" applyBorder="1"/>
    <xf numFmtId="4" fontId="17112" fillId="17117" borderId="17064" xfId="0" applyNumberFormat="1" applyFont="1" applyFill="1" applyBorder="1"/>
    <xf numFmtId="165" fontId="17113" fillId="17118" borderId="17065" xfId="0" applyNumberFormat="1" applyFont="1" applyFill="1" applyBorder="1"/>
    <xf numFmtId="4" fontId="17114" fillId="17119" borderId="17066" xfId="0" applyNumberFormat="1" applyFont="1" applyFill="1" applyBorder="1"/>
    <xf numFmtId="165" fontId="17115" fillId="17120" borderId="17067" xfId="0" applyNumberFormat="1" applyFont="1" applyFill="1" applyBorder="1"/>
    <xf numFmtId="4" fontId="17116" fillId="17121" borderId="17068" xfId="0" applyNumberFormat="1" applyFont="1" applyFill="1" applyBorder="1"/>
    <xf numFmtId="165" fontId="17117" fillId="17122" borderId="17069" xfId="0" applyNumberFormat="1" applyFont="1" applyFill="1" applyBorder="1"/>
    <xf numFmtId="165" fontId="17118" fillId="17123" borderId="17070" xfId="0" applyNumberFormat="1" applyFont="1" applyFill="1" applyBorder="1"/>
    <xf numFmtId="0" fontId="17120" fillId="17125" borderId="17072" xfId="0" applyFont="1" applyFill="1" applyBorder="1" applyAlignment="1">
      <alignment horizontal="center" wrapText="1"/>
    </xf>
    <xf numFmtId="0" fontId="17121" fillId="17126" borderId="17073" xfId="0" applyFont="1" applyFill="1" applyBorder="1" applyAlignment="1">
      <alignment horizontal="center" wrapText="1"/>
    </xf>
    <xf numFmtId="165" fontId="17122" fillId="17127" borderId="17074" xfId="0" applyNumberFormat="1" applyFont="1" applyFill="1" applyBorder="1" applyAlignment="1">
      <alignment horizontal="center" wrapText="1"/>
    </xf>
    <xf numFmtId="4" fontId="17123" fillId="17128" borderId="17075" xfId="0" applyNumberFormat="1" applyFont="1" applyFill="1" applyBorder="1" applyAlignment="1">
      <alignment horizontal="center" wrapText="1"/>
    </xf>
    <xf numFmtId="168" fontId="17124" fillId="17129" borderId="17076" xfId="0" applyNumberFormat="1" applyFont="1" applyFill="1" applyBorder="1" applyAlignment="1">
      <alignment horizontal="center" wrapText="1"/>
    </xf>
    <xf numFmtId="165" fontId="17125" fillId="17130" borderId="17077" xfId="0" applyNumberFormat="1" applyFont="1" applyFill="1" applyBorder="1" applyAlignment="1">
      <alignment horizontal="center" wrapText="1"/>
    </xf>
    <xf numFmtId="165" fontId="17126" fillId="17131" borderId="17078" xfId="0" applyNumberFormat="1" applyFont="1" applyFill="1" applyBorder="1" applyAlignment="1">
      <alignment horizontal="center" wrapText="1"/>
    </xf>
    <xf numFmtId="4" fontId="17127" fillId="17132" borderId="17079" xfId="0" applyNumberFormat="1" applyFont="1" applyFill="1" applyBorder="1" applyAlignment="1">
      <alignment horizontal="center" wrapText="1"/>
    </xf>
    <xf numFmtId="0" fontId="17128" fillId="17133" borderId="17080" xfId="0" applyFont="1" applyFill="1" applyBorder="1" applyAlignment="1">
      <alignment horizontal="center"/>
    </xf>
    <xf numFmtId="0" fontId="17129" fillId="17134" borderId="17081" xfId="0" applyFont="1" applyFill="1" applyBorder="1"/>
    <xf numFmtId="165" fontId="17130" fillId="17135" borderId="17082" xfId="0" applyNumberFormat="1" applyFont="1" applyFill="1" applyBorder="1"/>
    <xf numFmtId="4" fontId="17131" fillId="17136" borderId="17083" xfId="0" applyNumberFormat="1" applyFont="1" applyFill="1" applyBorder="1"/>
    <xf numFmtId="168" fontId="17132" fillId="17137" borderId="17084" xfId="0" applyNumberFormat="1" applyFont="1" applyFill="1" applyBorder="1"/>
    <xf numFmtId="165" fontId="17133" fillId="17138" borderId="17085" xfId="0" applyNumberFormat="1" applyFont="1" applyFill="1" applyBorder="1"/>
    <xf numFmtId="165" fontId="17134" fillId="17139" borderId="17086" xfId="0" applyNumberFormat="1" applyFont="1" applyFill="1" applyBorder="1"/>
    <xf numFmtId="4" fontId="17135" fillId="17140" borderId="17087" xfId="0" applyNumberFormat="1" applyFont="1" applyFill="1" applyBorder="1"/>
    <xf numFmtId="0" fontId="17136" fillId="17141" borderId="17088" xfId="0" applyFont="1" applyFill="1" applyBorder="1" applyAlignment="1">
      <alignment horizontal="center"/>
    </xf>
    <xf numFmtId="0" fontId="17137" fillId="17142" borderId="17089" xfId="0" applyFont="1" applyFill="1" applyBorder="1"/>
    <xf numFmtId="165" fontId="17138" fillId="17143" borderId="17090" xfId="0" applyNumberFormat="1" applyFont="1" applyFill="1" applyBorder="1"/>
    <xf numFmtId="4" fontId="17139" fillId="17144" borderId="17091" xfId="0" applyNumberFormat="1" applyFont="1" applyFill="1" applyBorder="1"/>
    <xf numFmtId="168" fontId="17140" fillId="17145" borderId="17092" xfId="0" applyNumberFormat="1" applyFont="1" applyFill="1" applyBorder="1"/>
    <xf numFmtId="165" fontId="17141" fillId="17146" borderId="17093" xfId="0" applyNumberFormat="1" applyFont="1" applyFill="1" applyBorder="1"/>
    <xf numFmtId="165" fontId="17142" fillId="17147" borderId="17094" xfId="0" applyNumberFormat="1" applyFont="1" applyFill="1" applyBorder="1"/>
    <xf numFmtId="4" fontId="17143" fillId="17148" borderId="17095" xfId="0" applyNumberFormat="1" applyFont="1" applyFill="1" applyBorder="1"/>
    <xf numFmtId="0" fontId="17144" fillId="17149" borderId="17096" xfId="0" applyFont="1" applyFill="1" applyBorder="1" applyAlignment="1">
      <alignment horizontal="center"/>
    </xf>
    <xf numFmtId="0" fontId="17145" fillId="17150" borderId="17097" xfId="0" applyFont="1" applyFill="1" applyBorder="1"/>
    <xf numFmtId="165" fontId="17146" fillId="17151" borderId="17098" xfId="0" applyNumberFormat="1" applyFont="1" applyFill="1" applyBorder="1"/>
    <xf numFmtId="4" fontId="17147" fillId="17152" borderId="17099" xfId="0" applyNumberFormat="1" applyFont="1" applyFill="1" applyBorder="1"/>
    <xf numFmtId="168" fontId="17148" fillId="17153" borderId="17100" xfId="0" applyNumberFormat="1" applyFont="1" applyFill="1" applyBorder="1"/>
    <xf numFmtId="165" fontId="17149" fillId="17154" borderId="17101" xfId="0" applyNumberFormat="1" applyFont="1" applyFill="1" applyBorder="1"/>
    <xf numFmtId="165" fontId="17150" fillId="17155" borderId="17102" xfId="0" applyNumberFormat="1" applyFont="1" applyFill="1" applyBorder="1"/>
    <xf numFmtId="4" fontId="17151" fillId="17156" borderId="17103" xfId="0" applyNumberFormat="1" applyFont="1" applyFill="1" applyBorder="1"/>
    <xf numFmtId="0" fontId="17152" fillId="17157" borderId="17104" xfId="0" applyFont="1" applyFill="1" applyBorder="1" applyAlignment="1">
      <alignment horizontal="center"/>
    </xf>
    <xf numFmtId="0" fontId="17153" fillId="17158" borderId="17105" xfId="0" applyFont="1" applyFill="1" applyBorder="1"/>
    <xf numFmtId="165" fontId="17154" fillId="17159" borderId="17106" xfId="0" applyNumberFormat="1" applyFont="1" applyFill="1" applyBorder="1"/>
    <xf numFmtId="4" fontId="17155" fillId="17160" borderId="17107" xfId="0" applyNumberFormat="1" applyFont="1" applyFill="1" applyBorder="1"/>
    <xf numFmtId="168" fontId="17156" fillId="17161" borderId="17108" xfId="0" applyNumberFormat="1" applyFont="1" applyFill="1" applyBorder="1"/>
    <xf numFmtId="165" fontId="17157" fillId="17162" borderId="17109" xfId="0" applyNumberFormat="1" applyFont="1" applyFill="1" applyBorder="1"/>
    <xf numFmtId="165" fontId="17158" fillId="17163" borderId="17110" xfId="0" applyNumberFormat="1" applyFont="1" applyFill="1" applyBorder="1"/>
    <xf numFmtId="4" fontId="17159" fillId="17164" borderId="17111" xfId="0" applyNumberFormat="1" applyFont="1" applyFill="1" applyBorder="1"/>
    <xf numFmtId="0" fontId="17160" fillId="17165" borderId="17112" xfId="0" applyFont="1" applyFill="1" applyBorder="1" applyAlignment="1">
      <alignment horizontal="center"/>
    </xf>
    <xf numFmtId="0" fontId="17161" fillId="17166" borderId="17113" xfId="0" applyFont="1" applyFill="1" applyBorder="1"/>
    <xf numFmtId="165" fontId="17162" fillId="17167" borderId="17114" xfId="0" applyNumberFormat="1" applyFont="1" applyFill="1" applyBorder="1"/>
    <xf numFmtId="4" fontId="17163" fillId="17168" borderId="17115" xfId="0" applyNumberFormat="1" applyFont="1" applyFill="1" applyBorder="1"/>
    <xf numFmtId="168" fontId="17164" fillId="17169" borderId="17116" xfId="0" applyNumberFormat="1" applyFont="1" applyFill="1" applyBorder="1"/>
    <xf numFmtId="165" fontId="17165" fillId="17170" borderId="17117" xfId="0" applyNumberFormat="1" applyFont="1" applyFill="1" applyBorder="1"/>
    <xf numFmtId="165" fontId="17166" fillId="17171" borderId="17118" xfId="0" applyNumberFormat="1" applyFont="1" applyFill="1" applyBorder="1"/>
    <xf numFmtId="4" fontId="17167" fillId="17172" borderId="17119" xfId="0" applyNumberFormat="1" applyFont="1" applyFill="1" applyBorder="1"/>
    <xf numFmtId="0" fontId="17168" fillId="17173" borderId="17120" xfId="0" applyFont="1" applyFill="1" applyBorder="1" applyAlignment="1">
      <alignment horizontal="center"/>
    </xf>
    <xf numFmtId="0" fontId="17169" fillId="17174" borderId="17121" xfId="0" applyFont="1" applyFill="1" applyBorder="1"/>
    <xf numFmtId="165" fontId="17170" fillId="17175" borderId="17122" xfId="0" applyNumberFormat="1" applyFont="1" applyFill="1" applyBorder="1"/>
    <xf numFmtId="4" fontId="17171" fillId="17176" borderId="17123" xfId="0" applyNumberFormat="1" applyFont="1" applyFill="1" applyBorder="1"/>
    <xf numFmtId="168" fontId="17172" fillId="17177" borderId="17124" xfId="0" applyNumberFormat="1" applyFont="1" applyFill="1" applyBorder="1"/>
    <xf numFmtId="165" fontId="17173" fillId="17178" borderId="17125" xfId="0" applyNumberFormat="1" applyFont="1" applyFill="1" applyBorder="1"/>
    <xf numFmtId="165" fontId="17174" fillId="17179" borderId="17126" xfId="0" applyNumberFormat="1" applyFont="1" applyFill="1" applyBorder="1"/>
    <xf numFmtId="4" fontId="17175" fillId="17180" borderId="17127" xfId="0" applyNumberFormat="1" applyFont="1" applyFill="1" applyBorder="1"/>
    <xf numFmtId="0" fontId="17176" fillId="17181" borderId="17128" xfId="0" applyFont="1" applyFill="1" applyBorder="1" applyAlignment="1">
      <alignment horizontal="center"/>
    </xf>
    <xf numFmtId="0" fontId="17177" fillId="17182" borderId="17129" xfId="0" applyFont="1" applyFill="1" applyBorder="1"/>
    <xf numFmtId="165" fontId="17178" fillId="17183" borderId="17130" xfId="0" applyNumberFormat="1" applyFont="1" applyFill="1" applyBorder="1"/>
    <xf numFmtId="4" fontId="17179" fillId="17184" borderId="17131" xfId="0" applyNumberFormat="1" applyFont="1" applyFill="1" applyBorder="1"/>
    <xf numFmtId="168" fontId="17180" fillId="17185" borderId="17132" xfId="0" applyNumberFormat="1" applyFont="1" applyFill="1" applyBorder="1"/>
    <xf numFmtId="165" fontId="17181" fillId="17186" borderId="17133" xfId="0" applyNumberFormat="1" applyFont="1" applyFill="1" applyBorder="1"/>
    <xf numFmtId="165" fontId="17182" fillId="17187" borderId="17134" xfId="0" applyNumberFormat="1" applyFont="1" applyFill="1" applyBorder="1"/>
    <xf numFmtId="4" fontId="17183" fillId="17188" borderId="17135" xfId="0" applyNumberFormat="1" applyFont="1" applyFill="1" applyBorder="1"/>
    <xf numFmtId="0" fontId="17184" fillId="17189" borderId="17136" xfId="0" applyFont="1" applyFill="1" applyBorder="1" applyAlignment="1">
      <alignment horizontal="center"/>
    </xf>
    <xf numFmtId="0" fontId="17185" fillId="17190" borderId="17137" xfId="0" applyFont="1" applyFill="1" applyBorder="1"/>
    <xf numFmtId="165" fontId="17186" fillId="17191" borderId="17138" xfId="0" applyNumberFormat="1" applyFont="1" applyFill="1" applyBorder="1"/>
    <xf numFmtId="4" fontId="17187" fillId="17192" borderId="17139" xfId="0" applyNumberFormat="1" applyFont="1" applyFill="1" applyBorder="1"/>
    <xf numFmtId="168" fontId="17188" fillId="17193" borderId="17140" xfId="0" applyNumberFormat="1" applyFont="1" applyFill="1" applyBorder="1"/>
    <xf numFmtId="165" fontId="17189" fillId="17194" borderId="17141" xfId="0" applyNumberFormat="1" applyFont="1" applyFill="1" applyBorder="1"/>
    <xf numFmtId="165" fontId="17190" fillId="17195" borderId="17142" xfId="0" applyNumberFormat="1" applyFont="1" applyFill="1" applyBorder="1"/>
    <xf numFmtId="4" fontId="17191" fillId="17196" borderId="17143" xfId="0" applyNumberFormat="1" applyFont="1" applyFill="1" applyBorder="1"/>
    <xf numFmtId="0" fontId="17192" fillId="17197" borderId="17144" xfId="0" applyFont="1" applyFill="1" applyBorder="1" applyAlignment="1">
      <alignment horizontal="center"/>
    </xf>
    <xf numFmtId="0" fontId="17193" fillId="17198" borderId="17145" xfId="0" applyFont="1" applyFill="1" applyBorder="1"/>
    <xf numFmtId="165" fontId="17194" fillId="17199" borderId="17146" xfId="0" applyNumberFormat="1" applyFont="1" applyFill="1" applyBorder="1"/>
    <xf numFmtId="4" fontId="17195" fillId="17200" borderId="17147" xfId="0" applyNumberFormat="1" applyFont="1" applyFill="1" applyBorder="1"/>
    <xf numFmtId="168" fontId="17196" fillId="17201" borderId="17148" xfId="0" applyNumberFormat="1" applyFont="1" applyFill="1" applyBorder="1"/>
    <xf numFmtId="165" fontId="17197" fillId="17202" borderId="17149" xfId="0" applyNumberFormat="1" applyFont="1" applyFill="1" applyBorder="1"/>
    <xf numFmtId="165" fontId="17198" fillId="17203" borderId="17150" xfId="0" applyNumberFormat="1" applyFont="1" applyFill="1" applyBorder="1"/>
    <xf numFmtId="4" fontId="17199" fillId="17204" borderId="17151" xfId="0" applyNumberFormat="1" applyFont="1" applyFill="1" applyBorder="1"/>
    <xf numFmtId="0" fontId="17200" fillId="17205" borderId="17152" xfId="0" applyFont="1" applyFill="1" applyBorder="1" applyAlignment="1">
      <alignment horizontal="center"/>
    </xf>
    <xf numFmtId="0" fontId="17201" fillId="17206" borderId="17153" xfId="0" applyFont="1" applyFill="1" applyBorder="1"/>
    <xf numFmtId="165" fontId="17202" fillId="17207" borderId="17154" xfId="0" applyNumberFormat="1" applyFont="1" applyFill="1" applyBorder="1"/>
    <xf numFmtId="4" fontId="17203" fillId="17208" borderId="17155" xfId="0" applyNumberFormat="1" applyFont="1" applyFill="1" applyBorder="1"/>
    <xf numFmtId="168" fontId="17204" fillId="17209" borderId="17156" xfId="0" applyNumberFormat="1" applyFont="1" applyFill="1" applyBorder="1"/>
    <xf numFmtId="165" fontId="17205" fillId="17210" borderId="17157" xfId="0" applyNumberFormat="1" applyFont="1" applyFill="1" applyBorder="1"/>
    <xf numFmtId="165" fontId="17206" fillId="17211" borderId="17158" xfId="0" applyNumberFormat="1" applyFont="1" applyFill="1" applyBorder="1"/>
    <xf numFmtId="4" fontId="17207" fillId="17212" borderId="17159" xfId="0" applyNumberFormat="1" applyFont="1" applyFill="1" applyBorder="1"/>
    <xf numFmtId="0" fontId="17216" fillId="17221" borderId="17168" xfId="0" applyFont="1" applyFill="1" applyBorder="1" applyAlignment="1">
      <alignment horizontal="center"/>
    </xf>
    <xf numFmtId="0" fontId="17217" fillId="17222" borderId="17169" xfId="0" applyFont="1" applyFill="1" applyBorder="1"/>
    <xf numFmtId="165" fontId="17218" fillId="17223" borderId="17170" xfId="0" applyNumberFormat="1" applyFont="1" applyFill="1" applyBorder="1"/>
    <xf numFmtId="4" fontId="17219" fillId="17224" borderId="17171" xfId="0" applyNumberFormat="1" applyFont="1" applyFill="1" applyBorder="1"/>
    <xf numFmtId="168" fontId="17220" fillId="17225" borderId="17172" xfId="0" applyNumberFormat="1" applyFont="1" applyFill="1" applyBorder="1"/>
    <xf numFmtId="165" fontId="17221" fillId="17226" borderId="17173" xfId="0" applyNumberFormat="1" applyFont="1" applyFill="1" applyBorder="1"/>
    <xf numFmtId="165" fontId="17222" fillId="17227" borderId="17174" xfId="0" applyNumberFormat="1" applyFont="1" applyFill="1" applyBorder="1"/>
    <xf numFmtId="4" fontId="17223" fillId="17228" borderId="17175" xfId="0" applyNumberFormat="1" applyFont="1" applyFill="1" applyBorder="1"/>
    <xf numFmtId="0" fontId="17224" fillId="17229" borderId="17176" xfId="0" applyFont="1" applyFill="1" applyBorder="1" applyAlignment="1">
      <alignment horizontal="center"/>
    </xf>
    <xf numFmtId="0" fontId="17225" fillId="17230" borderId="17177" xfId="0" applyFont="1" applyFill="1" applyBorder="1"/>
    <xf numFmtId="165" fontId="17226" fillId="17231" borderId="17178" xfId="0" applyNumberFormat="1" applyFont="1" applyFill="1" applyBorder="1"/>
    <xf numFmtId="4" fontId="17227" fillId="17232" borderId="17179" xfId="0" applyNumberFormat="1" applyFont="1" applyFill="1" applyBorder="1"/>
    <xf numFmtId="168" fontId="17228" fillId="17233" borderId="17180" xfId="0" applyNumberFormat="1" applyFont="1" applyFill="1" applyBorder="1"/>
    <xf numFmtId="165" fontId="17229" fillId="17234" borderId="17181" xfId="0" applyNumberFormat="1" applyFont="1" applyFill="1" applyBorder="1"/>
    <xf numFmtId="165" fontId="17230" fillId="17235" borderId="17182" xfId="0" applyNumberFormat="1" applyFont="1" applyFill="1" applyBorder="1"/>
    <xf numFmtId="4" fontId="17231" fillId="17236" borderId="17183" xfId="0" applyNumberFormat="1" applyFont="1" applyFill="1" applyBorder="1"/>
    <xf numFmtId="0" fontId="17232" fillId="17237" borderId="17184" xfId="0" applyFont="1" applyFill="1" applyBorder="1" applyAlignment="1">
      <alignment horizontal="center"/>
    </xf>
    <xf numFmtId="0" fontId="17233" fillId="17238" borderId="17185" xfId="0" applyFont="1" applyFill="1" applyBorder="1"/>
    <xf numFmtId="165" fontId="17234" fillId="17239" borderId="17186" xfId="0" applyNumberFormat="1" applyFont="1" applyFill="1" applyBorder="1"/>
    <xf numFmtId="4" fontId="17235" fillId="17240" borderId="17187" xfId="0" applyNumberFormat="1" applyFont="1" applyFill="1" applyBorder="1"/>
    <xf numFmtId="168" fontId="17236" fillId="17241" borderId="17188" xfId="0" applyNumberFormat="1" applyFont="1" applyFill="1" applyBorder="1"/>
    <xf numFmtId="165" fontId="17237" fillId="17242" borderId="17189" xfId="0" applyNumberFormat="1" applyFont="1" applyFill="1" applyBorder="1"/>
    <xf numFmtId="165" fontId="17238" fillId="17243" borderId="17190" xfId="0" applyNumberFormat="1" applyFont="1" applyFill="1" applyBorder="1"/>
    <xf numFmtId="4" fontId="17239" fillId="17244" borderId="17191" xfId="0" applyNumberFormat="1" applyFont="1" applyFill="1" applyBorder="1"/>
    <xf numFmtId="0" fontId="17240" fillId="17245" borderId="17192" xfId="0" applyFont="1" applyFill="1" applyBorder="1" applyAlignment="1">
      <alignment horizontal="center"/>
    </xf>
    <xf numFmtId="0" fontId="17241" fillId="17246" borderId="17193" xfId="0" applyFont="1" applyFill="1" applyBorder="1"/>
    <xf numFmtId="165" fontId="17242" fillId="17247" borderId="17194" xfId="0" applyNumberFormat="1" applyFont="1" applyFill="1" applyBorder="1"/>
    <xf numFmtId="4" fontId="17243" fillId="17248" borderId="17195" xfId="0" applyNumberFormat="1" applyFont="1" applyFill="1" applyBorder="1"/>
    <xf numFmtId="168" fontId="17244" fillId="17249" borderId="17196" xfId="0" applyNumberFormat="1" applyFont="1" applyFill="1" applyBorder="1"/>
    <xf numFmtId="165" fontId="17245" fillId="17250" borderId="17197" xfId="0" applyNumberFormat="1" applyFont="1" applyFill="1" applyBorder="1"/>
    <xf numFmtId="165" fontId="17246" fillId="17251" borderId="17198" xfId="0" applyNumberFormat="1" applyFont="1" applyFill="1" applyBorder="1"/>
    <xf numFmtId="4" fontId="17247" fillId="17252" borderId="17199" xfId="0" applyNumberFormat="1" applyFont="1" applyFill="1" applyBorder="1"/>
    <xf numFmtId="0" fontId="17248" fillId="17253" borderId="17200" xfId="0" applyFont="1" applyFill="1" applyBorder="1" applyAlignment="1">
      <alignment horizontal="center"/>
    </xf>
    <xf numFmtId="0" fontId="17249" fillId="17254" borderId="17201" xfId="0" applyFont="1" applyFill="1" applyBorder="1"/>
    <xf numFmtId="165" fontId="17250" fillId="17255" borderId="17202" xfId="0" applyNumberFormat="1" applyFont="1" applyFill="1" applyBorder="1"/>
    <xf numFmtId="4" fontId="17251" fillId="17256" borderId="17203" xfId="0" applyNumberFormat="1" applyFont="1" applyFill="1" applyBorder="1"/>
    <xf numFmtId="168" fontId="17252" fillId="17257" borderId="17204" xfId="0" applyNumberFormat="1" applyFont="1" applyFill="1" applyBorder="1"/>
    <xf numFmtId="165" fontId="17253" fillId="17258" borderId="17205" xfId="0" applyNumberFormat="1" applyFont="1" applyFill="1" applyBorder="1"/>
    <xf numFmtId="165" fontId="17254" fillId="17259" borderId="17206" xfId="0" applyNumberFormat="1" applyFont="1" applyFill="1" applyBorder="1"/>
    <xf numFmtId="4" fontId="17255" fillId="17260" borderId="17207" xfId="0" applyNumberFormat="1" applyFont="1" applyFill="1" applyBorder="1"/>
    <xf numFmtId="0" fontId="17256" fillId="17261" borderId="17208" xfId="0" applyFont="1" applyFill="1" applyBorder="1" applyAlignment="1">
      <alignment horizontal="center"/>
    </xf>
    <xf numFmtId="0" fontId="17257" fillId="17262" borderId="17209" xfId="0" applyFont="1" applyFill="1" applyBorder="1"/>
    <xf numFmtId="165" fontId="17258" fillId="17263" borderId="17210" xfId="0" applyNumberFormat="1" applyFont="1" applyFill="1" applyBorder="1"/>
    <xf numFmtId="4" fontId="17259" fillId="17264" borderId="17211" xfId="0" applyNumberFormat="1" applyFont="1" applyFill="1" applyBorder="1"/>
    <xf numFmtId="168" fontId="17260" fillId="17265" borderId="17212" xfId="0" applyNumberFormat="1" applyFont="1" applyFill="1" applyBorder="1"/>
    <xf numFmtId="165" fontId="17261" fillId="17266" borderId="17213" xfId="0" applyNumberFormat="1" applyFont="1" applyFill="1" applyBorder="1"/>
    <xf numFmtId="165" fontId="17262" fillId="17267" borderId="17214" xfId="0" applyNumberFormat="1" applyFont="1" applyFill="1" applyBorder="1"/>
    <xf numFmtId="4" fontId="17263" fillId="17268" borderId="17215" xfId="0" applyNumberFormat="1" applyFont="1" applyFill="1" applyBorder="1"/>
    <xf numFmtId="0" fontId="17264" fillId="17269" borderId="17216" xfId="0" applyFont="1" applyFill="1" applyBorder="1" applyAlignment="1">
      <alignment horizontal="center"/>
    </xf>
    <xf numFmtId="0" fontId="17265" fillId="17270" borderId="17217" xfId="0" applyFont="1" applyFill="1" applyBorder="1"/>
    <xf numFmtId="165" fontId="17266" fillId="17271" borderId="17218" xfId="0" applyNumberFormat="1" applyFont="1" applyFill="1" applyBorder="1"/>
    <xf numFmtId="4" fontId="17267" fillId="17272" borderId="17219" xfId="0" applyNumberFormat="1" applyFont="1" applyFill="1" applyBorder="1"/>
    <xf numFmtId="168" fontId="17268" fillId="17273" borderId="17220" xfId="0" applyNumberFormat="1" applyFont="1" applyFill="1" applyBorder="1"/>
    <xf numFmtId="165" fontId="17269" fillId="17274" borderId="17221" xfId="0" applyNumberFormat="1" applyFont="1" applyFill="1" applyBorder="1"/>
    <xf numFmtId="165" fontId="17270" fillId="17275" borderId="17222" xfId="0" applyNumberFormat="1" applyFont="1" applyFill="1" applyBorder="1"/>
    <xf numFmtId="4" fontId="17271" fillId="17276" borderId="17223" xfId="0" applyNumberFormat="1" applyFont="1" applyFill="1" applyBorder="1"/>
    <xf numFmtId="0" fontId="17272" fillId="17277" borderId="17224" xfId="0" applyFont="1" applyFill="1" applyBorder="1" applyAlignment="1">
      <alignment horizontal="center"/>
    </xf>
    <xf numFmtId="0" fontId="17273" fillId="17278" borderId="17225" xfId="0" applyFont="1" applyFill="1" applyBorder="1"/>
    <xf numFmtId="165" fontId="17274" fillId="17279" borderId="17226" xfId="0" applyNumberFormat="1" applyFont="1" applyFill="1" applyBorder="1"/>
    <xf numFmtId="4" fontId="17275" fillId="17280" borderId="17227" xfId="0" applyNumberFormat="1" applyFont="1" applyFill="1" applyBorder="1"/>
    <xf numFmtId="168" fontId="17276" fillId="17281" borderId="17228" xfId="0" applyNumberFormat="1" applyFont="1" applyFill="1" applyBorder="1"/>
    <xf numFmtId="165" fontId="17277" fillId="17282" borderId="17229" xfId="0" applyNumberFormat="1" applyFont="1" applyFill="1" applyBorder="1"/>
    <xf numFmtId="165" fontId="17278" fillId="17283" borderId="17230" xfId="0" applyNumberFormat="1" applyFont="1" applyFill="1" applyBorder="1"/>
    <xf numFmtId="4" fontId="17279" fillId="17284" borderId="17231" xfId="0" applyNumberFormat="1" applyFont="1" applyFill="1" applyBorder="1"/>
    <xf numFmtId="0" fontId="17280" fillId="17285" borderId="17232" xfId="0" applyFont="1" applyFill="1" applyBorder="1" applyAlignment="1">
      <alignment horizontal="center"/>
    </xf>
    <xf numFmtId="0" fontId="17281" fillId="17286" borderId="17233" xfId="0" applyFont="1" applyFill="1" applyBorder="1"/>
    <xf numFmtId="165" fontId="17282" fillId="17287" borderId="17234" xfId="0" applyNumberFormat="1" applyFont="1" applyFill="1" applyBorder="1"/>
    <xf numFmtId="4" fontId="17283" fillId="17288" borderId="17235" xfId="0" applyNumberFormat="1" applyFont="1" applyFill="1" applyBorder="1"/>
    <xf numFmtId="168" fontId="17284" fillId="17289" borderId="17236" xfId="0" applyNumberFormat="1" applyFont="1" applyFill="1" applyBorder="1"/>
    <xf numFmtId="165" fontId="17285" fillId="17290" borderId="17237" xfId="0" applyNumberFormat="1" applyFont="1" applyFill="1" applyBorder="1"/>
    <xf numFmtId="165" fontId="17286" fillId="17291" borderId="17238" xfId="0" applyNumberFormat="1" applyFont="1" applyFill="1" applyBorder="1"/>
    <xf numFmtId="4" fontId="17287" fillId="17292" borderId="17239" xfId="0" applyNumberFormat="1" applyFont="1" applyFill="1" applyBorder="1"/>
    <xf numFmtId="0" fontId="17288" fillId="17293" borderId="17240" xfId="0" applyFont="1" applyFill="1" applyBorder="1" applyAlignment="1">
      <alignment horizontal="center"/>
    </xf>
    <xf numFmtId="0" fontId="17289" fillId="17294" borderId="17241" xfId="0" applyFont="1" applyFill="1" applyBorder="1"/>
    <xf numFmtId="165" fontId="17290" fillId="17295" borderId="17242" xfId="0" applyNumberFormat="1" applyFont="1" applyFill="1" applyBorder="1"/>
    <xf numFmtId="4" fontId="17291" fillId="17296" borderId="17243" xfId="0" applyNumberFormat="1" applyFont="1" applyFill="1" applyBorder="1"/>
    <xf numFmtId="168" fontId="17292" fillId="17297" borderId="17244" xfId="0" applyNumberFormat="1" applyFont="1" applyFill="1" applyBorder="1"/>
    <xf numFmtId="165" fontId="17293" fillId="17298" borderId="17245" xfId="0" applyNumberFormat="1" applyFont="1" applyFill="1" applyBorder="1"/>
    <xf numFmtId="165" fontId="17294" fillId="17299" borderId="17246" xfId="0" applyNumberFormat="1" applyFont="1" applyFill="1" applyBorder="1"/>
    <xf numFmtId="4" fontId="17295" fillId="17300" borderId="17247" xfId="0" applyNumberFormat="1" applyFont="1" applyFill="1" applyBorder="1"/>
    <xf numFmtId="0" fontId="17296" fillId="17301" borderId="17248" xfId="0" applyFont="1" applyFill="1" applyBorder="1" applyAlignment="1">
      <alignment horizontal="center"/>
    </xf>
    <xf numFmtId="0" fontId="17297" fillId="17302" borderId="17249" xfId="0" applyFont="1" applyFill="1" applyBorder="1"/>
    <xf numFmtId="165" fontId="17298" fillId="17303" borderId="17250" xfId="0" applyNumberFormat="1" applyFont="1" applyFill="1" applyBorder="1"/>
    <xf numFmtId="4" fontId="17299" fillId="17304" borderId="17251" xfId="0" applyNumberFormat="1" applyFont="1" applyFill="1" applyBorder="1"/>
    <xf numFmtId="168" fontId="17300" fillId="17305" borderId="17252" xfId="0" applyNumberFormat="1" applyFont="1" applyFill="1" applyBorder="1"/>
    <xf numFmtId="165" fontId="17301" fillId="17306" borderId="17253" xfId="0" applyNumberFormat="1" applyFont="1" applyFill="1" applyBorder="1"/>
    <xf numFmtId="165" fontId="17302" fillId="17307" borderId="17254" xfId="0" applyNumberFormat="1" applyFont="1" applyFill="1" applyBorder="1"/>
    <xf numFmtId="4" fontId="17303" fillId="17308" borderId="17255" xfId="0" applyNumberFormat="1" applyFont="1" applyFill="1" applyBorder="1"/>
    <xf numFmtId="0" fontId="17304" fillId="17309" borderId="17256" xfId="0" applyFont="1" applyFill="1" applyBorder="1" applyAlignment="1">
      <alignment horizontal="center"/>
    </xf>
    <xf numFmtId="0" fontId="17305" fillId="17310" borderId="17257" xfId="0" applyFont="1" applyFill="1" applyBorder="1"/>
    <xf numFmtId="165" fontId="17306" fillId="17311" borderId="17258" xfId="0" applyNumberFormat="1" applyFont="1" applyFill="1" applyBorder="1"/>
    <xf numFmtId="4" fontId="17307" fillId="17312" borderId="17259" xfId="0" applyNumberFormat="1" applyFont="1" applyFill="1" applyBorder="1"/>
    <xf numFmtId="168" fontId="17308" fillId="17313" borderId="17260" xfId="0" applyNumberFormat="1" applyFont="1" applyFill="1" applyBorder="1"/>
    <xf numFmtId="165" fontId="17309" fillId="17314" borderId="17261" xfId="0" applyNumberFormat="1" applyFont="1" applyFill="1" applyBorder="1"/>
    <xf numFmtId="165" fontId="17310" fillId="17315" borderId="17262" xfId="0" applyNumberFormat="1" applyFont="1" applyFill="1" applyBorder="1"/>
    <xf numFmtId="4" fontId="17311" fillId="17316" borderId="17263" xfId="0" applyNumberFormat="1" applyFont="1" applyFill="1" applyBorder="1"/>
    <xf numFmtId="0" fontId="17312" fillId="17317" borderId="17264" xfId="0" applyFont="1" applyFill="1" applyBorder="1" applyAlignment="1">
      <alignment horizontal="center"/>
    </xf>
    <xf numFmtId="0" fontId="17313" fillId="17318" borderId="17265" xfId="0" applyFont="1" applyFill="1" applyBorder="1"/>
    <xf numFmtId="165" fontId="17314" fillId="17319" borderId="17266" xfId="0" applyNumberFormat="1" applyFont="1" applyFill="1" applyBorder="1"/>
    <xf numFmtId="4" fontId="17315" fillId="17320" borderId="17267" xfId="0" applyNumberFormat="1" applyFont="1" applyFill="1" applyBorder="1"/>
    <xf numFmtId="168" fontId="17316" fillId="17321" borderId="17268" xfId="0" applyNumberFormat="1" applyFont="1" applyFill="1" applyBorder="1"/>
    <xf numFmtId="165" fontId="17317" fillId="17322" borderId="17269" xfId="0" applyNumberFormat="1" applyFont="1" applyFill="1" applyBorder="1"/>
    <xf numFmtId="165" fontId="17318" fillId="17323" borderId="17270" xfId="0" applyNumberFormat="1" applyFont="1" applyFill="1" applyBorder="1"/>
    <xf numFmtId="4" fontId="17319" fillId="17324" borderId="17271" xfId="0" applyNumberFormat="1" applyFont="1" applyFill="1" applyBorder="1"/>
    <xf numFmtId="0" fontId="17320" fillId="17325" borderId="17272" xfId="0" applyFont="1" applyFill="1" applyBorder="1" applyAlignment="1">
      <alignment horizontal="center"/>
    </xf>
    <xf numFmtId="0" fontId="17321" fillId="17326" borderId="17273" xfId="0" applyFont="1" applyFill="1" applyBorder="1"/>
    <xf numFmtId="165" fontId="17322" fillId="17327" borderId="17274" xfId="0" applyNumberFormat="1" applyFont="1" applyFill="1" applyBorder="1"/>
    <xf numFmtId="4" fontId="17323" fillId="17328" borderId="17275" xfId="0" applyNumberFormat="1" applyFont="1" applyFill="1" applyBorder="1"/>
    <xf numFmtId="165" fontId="17324" fillId="17329" borderId="17276" xfId="0" applyNumberFormat="1" applyFont="1" applyFill="1" applyBorder="1"/>
    <xf numFmtId="165" fontId="17325" fillId="17330" borderId="17277" xfId="0" applyNumberFormat="1" applyFont="1" applyFill="1" applyBorder="1"/>
    <xf numFmtId="4" fontId="17326" fillId="17331" borderId="17278" xfId="0" applyNumberFormat="1" applyFont="1" applyFill="1" applyBorder="1"/>
    <xf numFmtId="4" fontId="17327" fillId="17332" borderId="17279" xfId="0" applyNumberFormat="1" applyFont="1" applyFill="1" applyBorder="1"/>
    <xf numFmtId="0" fontId="17330" fillId="17335" borderId="17282" xfId="0" applyFont="1" applyFill="1" applyBorder="1"/>
    <xf numFmtId="0" fontId="17331" fillId="17336" borderId="17283" xfId="0" applyFont="1" applyFill="1" applyBorder="1" applyAlignment="1">
      <alignment horizontal="center"/>
    </xf>
    <xf numFmtId="0" fontId="17332" fillId="17337" borderId="17284" xfId="0" applyFont="1" applyFill="1" applyBorder="1"/>
    <xf numFmtId="165" fontId="17333" fillId="17338" borderId="17285" xfId="0" applyNumberFormat="1" applyFont="1" applyFill="1" applyBorder="1" applyAlignment="1">
      <alignment horizontal="center"/>
    </xf>
    <xf numFmtId="0" fontId="17335" fillId="17340" borderId="17287" xfId="0" applyFont="1" applyFill="1" applyBorder="1"/>
    <xf numFmtId="0" fontId="17336" fillId="17341" borderId="17288" xfId="0" applyFont="1" applyFill="1" applyBorder="1"/>
    <xf numFmtId="0" fontId="17337" fillId="17342" borderId="17289" xfId="0" applyFont="1" applyFill="1" applyBorder="1"/>
    <xf numFmtId="0" fontId="17338" fillId="17343" borderId="17290" xfId="0" applyFont="1" applyFill="1" applyBorder="1"/>
    <xf numFmtId="0" fontId="17339" fillId="17344" borderId="17291" xfId="0" applyFont="1" applyFill="1" applyBorder="1"/>
    <xf numFmtId="0" fontId="17340" fillId="17345" borderId="17292" xfId="0" applyFont="1" applyFill="1" applyBorder="1"/>
    <xf numFmtId="0" fontId="17341" fillId="17346" borderId="17293" xfId="0" applyFont="1" applyFill="1" applyBorder="1"/>
    <xf numFmtId="0" fontId="17342" fillId="17347" borderId="17294" xfId="0" applyFont="1" applyFill="1" applyBorder="1"/>
    <xf numFmtId="0" fontId="17343" fillId="17348" borderId="17295" xfId="0" applyFont="1" applyFill="1" applyBorder="1"/>
    <xf numFmtId="0" fontId="17344" fillId="17349" borderId="17296" xfId="0" applyFont="1" applyFill="1" applyBorder="1"/>
    <xf numFmtId="0" fontId="17345" fillId="17350" borderId="17297" xfId="0" applyFont="1" applyFill="1" applyBorder="1"/>
    <xf numFmtId="0" fontId="17346" fillId="17351" borderId="17298" xfId="0" applyFont="1" applyFill="1" applyBorder="1"/>
    <xf numFmtId="166" fontId="17347" fillId="17352" borderId="17299" xfId="0" applyNumberFormat="1" applyFont="1" applyFill="1" applyBorder="1" applyAlignment="1">
      <alignment horizontal="center"/>
    </xf>
    <xf numFmtId="165" fontId="17348" fillId="17353" borderId="17300" xfId="0" applyNumberFormat="1" applyFont="1" applyFill="1" applyBorder="1"/>
    <xf numFmtId="4" fontId="17349" fillId="17354" borderId="17301" xfId="0" applyNumberFormat="1" applyFont="1" applyFill="1" applyBorder="1"/>
    <xf numFmtId="165" fontId="17350" fillId="17355" borderId="17302" xfId="0" applyNumberFormat="1" applyFont="1" applyFill="1" applyBorder="1"/>
    <xf numFmtId="165" fontId="17351" fillId="17356" borderId="17303" xfId="0" applyNumberFormat="1" applyFont="1" applyFill="1" applyBorder="1"/>
    <xf numFmtId="165" fontId="17352" fillId="17357" borderId="17304" xfId="0" applyNumberFormat="1" applyFont="1" applyFill="1" applyBorder="1"/>
    <xf numFmtId="165" fontId="17353" fillId="17358" borderId="17305" xfId="0" applyNumberFormat="1" applyFont="1" applyFill="1" applyBorder="1"/>
    <xf numFmtId="165" fontId="17354" fillId="17359" borderId="17306" xfId="0" applyNumberFormat="1" applyFont="1" applyFill="1" applyBorder="1"/>
    <xf numFmtId="4" fontId="17355" fillId="17360" borderId="17307" xfId="0" applyNumberFormat="1" applyFont="1" applyFill="1" applyBorder="1"/>
    <xf numFmtId="0" fontId="17356" fillId="17361" borderId="17308" xfId="0" applyFont="1" applyFill="1" applyBorder="1"/>
    <xf numFmtId="0" fontId="17357" fillId="17362" borderId="17309" xfId="0" applyFont="1" applyFill="1" applyBorder="1"/>
    <xf numFmtId="0" fontId="17358" fillId="17363" borderId="17310" xfId="0" applyFont="1" applyFill="1" applyBorder="1"/>
    <xf numFmtId="166" fontId="17359" fillId="17364" borderId="17311" xfId="0" applyNumberFormat="1" applyFont="1" applyFill="1" applyBorder="1" applyAlignment="1">
      <alignment horizontal="center"/>
    </xf>
    <xf numFmtId="165" fontId="17360" fillId="17365" borderId="17312" xfId="0" applyNumberFormat="1" applyFont="1" applyFill="1" applyBorder="1"/>
    <xf numFmtId="4" fontId="17361" fillId="17366" borderId="17313" xfId="0" applyNumberFormat="1" applyFont="1" applyFill="1" applyBorder="1"/>
    <xf numFmtId="165" fontId="17362" fillId="17367" borderId="17314" xfId="0" applyNumberFormat="1" applyFont="1" applyFill="1" applyBorder="1"/>
    <xf numFmtId="165" fontId="17363" fillId="17368" borderId="17315" xfId="0" applyNumberFormat="1" applyFont="1" applyFill="1" applyBorder="1"/>
    <xf numFmtId="165" fontId="17364" fillId="17369" borderId="17316" xfId="0" applyNumberFormat="1" applyFont="1" applyFill="1" applyBorder="1"/>
    <xf numFmtId="165" fontId="17365" fillId="17370" borderId="17317" xfId="0" applyNumberFormat="1" applyFont="1" applyFill="1" applyBorder="1"/>
    <xf numFmtId="165" fontId="17366" fillId="17371" borderId="17318" xfId="0" applyNumberFormat="1" applyFont="1" applyFill="1" applyBorder="1"/>
    <xf numFmtId="4" fontId="17367" fillId="17372" borderId="17319" xfId="0" applyNumberFormat="1" applyFont="1" applyFill="1" applyBorder="1"/>
    <xf numFmtId="0" fontId="17368" fillId="17373" borderId="17320" xfId="0" applyFont="1" applyFill="1" applyBorder="1"/>
    <xf numFmtId="0" fontId="17369" fillId="17374" borderId="17321" xfId="0" applyFont="1" applyFill="1" applyBorder="1"/>
    <xf numFmtId="0" fontId="17370" fillId="17375" borderId="17322" xfId="0" applyFont="1" applyFill="1" applyBorder="1"/>
    <xf numFmtId="0" fontId="17381" fillId="17385" borderId="17332" xfId="0" applyFont="1" applyFill="1" applyBorder="1"/>
    <xf numFmtId="0" fontId="17382" fillId="17386" borderId="17333" xfId="0" applyFont="1" applyFill="1" applyBorder="1"/>
    <xf numFmtId="0" fontId="17383" fillId="17387" borderId="17334" xfId="0" applyFont="1" applyFill="1" applyBorder="1"/>
    <xf numFmtId="0" fontId="17384" fillId="17388" borderId="17335" xfId="0" applyFont="1" applyFill="1" applyBorder="1" applyAlignment="1">
      <alignment horizontal="center" wrapText="1"/>
    </xf>
    <xf numFmtId="0" fontId="17385" fillId="17389" borderId="17336" xfId="0" applyFont="1" applyFill="1" applyBorder="1" applyAlignment="1">
      <alignment horizontal="center" wrapText="1"/>
    </xf>
    <xf numFmtId="0" fontId="17386" fillId="17390" borderId="17337" xfId="0" applyFont="1" applyFill="1" applyBorder="1" applyAlignment="1">
      <alignment horizontal="center" wrapText="1"/>
    </xf>
    <xf numFmtId="0" fontId="17387" fillId="17391" borderId="17338" xfId="0" applyFont="1" applyFill="1" applyBorder="1" applyAlignment="1">
      <alignment horizontal="center" wrapText="1"/>
    </xf>
    <xf numFmtId="0" fontId="17388" fillId="17392" borderId="17339" xfId="0" applyFont="1" applyFill="1" applyBorder="1" applyAlignment="1">
      <alignment horizontal="center" wrapText="1"/>
    </xf>
    <xf numFmtId="0" fontId="17389" fillId="17393" borderId="17340" xfId="0" applyFont="1" applyFill="1" applyBorder="1" applyAlignment="1">
      <alignment horizontal="center" wrapText="1"/>
    </xf>
    <xf numFmtId="0" fontId="17390" fillId="17394" borderId="17341" xfId="0" applyFont="1" applyFill="1" applyBorder="1" applyAlignment="1">
      <alignment horizontal="center" wrapText="1"/>
    </xf>
    <xf numFmtId="0" fontId="17391" fillId="17395" borderId="17342" xfId="0" applyFont="1" applyFill="1" applyBorder="1" applyAlignment="1">
      <alignment horizontal="center" wrapText="1"/>
    </xf>
    <xf numFmtId="0" fontId="17392" fillId="17396" borderId="17343" xfId="0" applyFont="1" applyFill="1" applyBorder="1" applyAlignment="1">
      <alignment horizontal="center" wrapText="1"/>
    </xf>
    <xf numFmtId="0" fontId="17393" fillId="17397" borderId="17344" xfId="0" applyFont="1" applyFill="1" applyBorder="1"/>
    <xf numFmtId="0" fontId="17394" fillId="17398" borderId="17345" xfId="0" applyFont="1" applyFill="1" applyBorder="1"/>
    <xf numFmtId="0" fontId="17395" fillId="17399" borderId="17346" xfId="0" applyFont="1" applyFill="1" applyBorder="1"/>
    <xf numFmtId="166" fontId="17396" fillId="17400" borderId="17347" xfId="0" applyNumberFormat="1" applyFont="1" applyFill="1" applyBorder="1" applyAlignment="1">
      <alignment horizontal="center"/>
    </xf>
    <xf numFmtId="165" fontId="17397" fillId="17401" borderId="17348" xfId="0" applyNumberFormat="1" applyFont="1" applyFill="1" applyBorder="1"/>
    <xf numFmtId="4" fontId="17398" fillId="17402" borderId="17349" xfId="0" applyNumberFormat="1" applyFont="1" applyFill="1" applyBorder="1"/>
    <xf numFmtId="165" fontId="17399" fillId="17403" borderId="17350" xfId="0" applyNumberFormat="1" applyFont="1" applyFill="1" applyBorder="1"/>
    <xf numFmtId="165" fontId="17400" fillId="17404" borderId="17351" xfId="0" applyNumberFormat="1" applyFont="1" applyFill="1" applyBorder="1"/>
    <xf numFmtId="165" fontId="17401" fillId="17405" borderId="17352" xfId="0" applyNumberFormat="1" applyFont="1" applyFill="1" applyBorder="1"/>
    <xf numFmtId="165" fontId="17402" fillId="17406" borderId="17353" xfId="0" applyNumberFormat="1" applyFont="1" applyFill="1" applyBorder="1"/>
    <xf numFmtId="4" fontId="17403" fillId="17407" borderId="17354" xfId="0" applyNumberFormat="1" applyFont="1" applyFill="1" applyBorder="1"/>
    <xf numFmtId="0" fontId="17404" fillId="17408" borderId="17355" xfId="0" applyFont="1" applyFill="1" applyBorder="1"/>
    <xf numFmtId="0" fontId="17405" fillId="17409" borderId="17356" xfId="0" applyFont="1" applyFill="1" applyBorder="1"/>
    <xf numFmtId="0" fontId="17406" fillId="17410" borderId="17357" xfId="0" applyFont="1" applyFill="1" applyBorder="1"/>
    <xf numFmtId="166" fontId="17407" fillId="17411" borderId="17358" xfId="0" applyNumberFormat="1" applyFont="1" applyFill="1" applyBorder="1" applyAlignment="1">
      <alignment horizontal="center"/>
    </xf>
    <xf numFmtId="165" fontId="17408" fillId="17412" borderId="17359" xfId="0" applyNumberFormat="1" applyFont="1" applyFill="1" applyBorder="1"/>
    <xf numFmtId="4" fontId="17409" fillId="17413" borderId="17360" xfId="0" applyNumberFormat="1" applyFont="1" applyFill="1" applyBorder="1"/>
    <xf numFmtId="165" fontId="17410" fillId="17414" borderId="17361" xfId="0" applyNumberFormat="1" applyFont="1" applyFill="1" applyBorder="1"/>
    <xf numFmtId="165" fontId="17411" fillId="17415" borderId="17362" xfId="0" applyNumberFormat="1" applyFont="1" applyFill="1" applyBorder="1"/>
    <xf numFmtId="165" fontId="17412" fillId="17416" borderId="17363" xfId="0" applyNumberFormat="1" applyFont="1" applyFill="1" applyBorder="1"/>
    <xf numFmtId="165" fontId="17413" fillId="17417" borderId="17364" xfId="0" applyNumberFormat="1" applyFont="1" applyFill="1" applyBorder="1"/>
    <xf numFmtId="165" fontId="17414" fillId="17418" borderId="17365" xfId="0" applyNumberFormat="1" applyFont="1" applyFill="1" applyBorder="1"/>
    <xf numFmtId="4" fontId="17415" fillId="17419" borderId="17366" xfId="0" applyNumberFormat="1" applyFont="1" applyFill="1" applyBorder="1"/>
    <xf numFmtId="0" fontId="17416" fillId="17420" borderId="17367" xfId="0" applyFont="1" applyFill="1" applyBorder="1"/>
    <xf numFmtId="0" fontId="17417" fillId="17421" borderId="17368" xfId="0" applyFont="1" applyFill="1" applyBorder="1"/>
    <xf numFmtId="0" fontId="17418" fillId="17422" borderId="17369" xfId="0" applyFont="1" applyFill="1" applyBorder="1"/>
    <xf numFmtId="166" fontId="17419" fillId="17423" borderId="17370" xfId="0" applyNumberFormat="1" applyFont="1" applyFill="1" applyBorder="1" applyAlignment="1">
      <alignment horizontal="center"/>
    </xf>
    <xf numFmtId="4" fontId="17420" fillId="17424" borderId="17371" xfId="0" applyNumberFormat="1" applyFont="1" applyFill="1" applyBorder="1"/>
    <xf numFmtId="165" fontId="17421" fillId="17425" borderId="17372" xfId="0" applyNumberFormat="1" applyFont="1" applyFill="1" applyBorder="1"/>
    <xf numFmtId="165" fontId="17422" fillId="17426" borderId="17373" xfId="0" applyNumberFormat="1" applyFont="1" applyFill="1" applyBorder="1"/>
    <xf numFmtId="165" fontId="17423" fillId="17427" borderId="17374" xfId="0" applyNumberFormat="1" applyFont="1" applyFill="1" applyBorder="1"/>
    <xf numFmtId="165" fontId="17424" fillId="17428" borderId="17375" xfId="0" applyNumberFormat="1" applyFont="1" applyFill="1" applyBorder="1"/>
    <xf numFmtId="165" fontId="17425" fillId="17429" borderId="17376" xfId="0" applyNumberFormat="1" applyFont="1" applyFill="1" applyBorder="1"/>
    <xf numFmtId="4" fontId="17426" fillId="17430" borderId="17377" xfId="0" applyNumberFormat="1" applyFont="1" applyFill="1" applyBorder="1"/>
    <xf numFmtId="0" fontId="17427" fillId="17431" borderId="17378" xfId="0" applyFont="1" applyFill="1" applyBorder="1"/>
    <xf numFmtId="0" fontId="17428" fillId="17432" borderId="17379" xfId="0" applyFont="1" applyFill="1" applyBorder="1"/>
    <xf numFmtId="0" fontId="17429" fillId="17433" borderId="17380" xfId="0" applyFont="1" applyFill="1" applyBorder="1"/>
    <xf numFmtId="166" fontId="17430" fillId="17434" borderId="17381" xfId="0" applyNumberFormat="1" applyFont="1" applyFill="1" applyBorder="1" applyAlignment="1">
      <alignment horizontal="center"/>
    </xf>
    <xf numFmtId="4" fontId="17431" fillId="17435" borderId="17382" xfId="0" applyNumberFormat="1" applyFont="1" applyFill="1" applyBorder="1"/>
    <xf numFmtId="165" fontId="17432" fillId="17436" borderId="17383" xfId="0" applyNumberFormat="1" applyFont="1" applyFill="1" applyBorder="1"/>
    <xf numFmtId="165" fontId="17433" fillId="17437" borderId="17384" xfId="0" applyNumberFormat="1" applyFont="1" applyFill="1" applyBorder="1"/>
    <xf numFmtId="165" fontId="17434" fillId="17438" borderId="17385" xfId="0" applyNumberFormat="1" applyFont="1" applyFill="1" applyBorder="1"/>
    <xf numFmtId="165" fontId="17435" fillId="17439" borderId="17386" xfId="0" applyNumberFormat="1" applyFont="1" applyFill="1" applyBorder="1"/>
    <xf numFmtId="165" fontId="17436" fillId="17440" borderId="17387" xfId="0" applyNumberFormat="1" applyFont="1" applyFill="1" applyBorder="1"/>
    <xf numFmtId="4" fontId="17437" fillId="17441" borderId="17388" xfId="0" applyNumberFormat="1" applyFont="1" applyFill="1" applyBorder="1"/>
    <xf numFmtId="0" fontId="17438" fillId="17442" borderId="17389" xfId="0" applyFont="1" applyFill="1" applyBorder="1"/>
    <xf numFmtId="0" fontId="17439" fillId="17443" borderId="17390" xfId="0" applyFont="1" applyFill="1" applyBorder="1"/>
    <xf numFmtId="0" fontId="17440" fillId="17444" borderId="17391" xfId="0" applyFont="1" applyFill="1" applyBorder="1"/>
    <xf numFmtId="166" fontId="17441" fillId="17445" borderId="17392" xfId="0" applyNumberFormat="1" applyFont="1" applyFill="1" applyBorder="1" applyAlignment="1">
      <alignment horizontal="center"/>
    </xf>
    <xf numFmtId="4" fontId="17442" fillId="17446" borderId="17393" xfId="0" applyNumberFormat="1" applyFont="1" applyFill="1" applyBorder="1"/>
    <xf numFmtId="165" fontId="17443" fillId="17447" borderId="17394" xfId="0" applyNumberFormat="1" applyFont="1" applyFill="1" applyBorder="1"/>
    <xf numFmtId="165" fontId="17444" fillId="17448" borderId="17395" xfId="0" applyNumberFormat="1" applyFont="1" applyFill="1" applyBorder="1"/>
    <xf numFmtId="165" fontId="17445" fillId="17449" borderId="17396" xfId="0" applyNumberFormat="1" applyFont="1" applyFill="1" applyBorder="1"/>
    <xf numFmtId="165" fontId="17446" fillId="17450" borderId="17397" xfId="0" applyNumberFormat="1" applyFont="1" applyFill="1" applyBorder="1"/>
    <xf numFmtId="165" fontId="17447" fillId="17451" borderId="17398" xfId="0" applyNumberFormat="1" applyFont="1" applyFill="1" applyBorder="1"/>
    <xf numFmtId="4" fontId="17448" fillId="17452" borderId="17399" xfId="0" applyNumberFormat="1" applyFont="1" applyFill="1" applyBorder="1"/>
    <xf numFmtId="0" fontId="17449" fillId="17453" borderId="17400" xfId="0" applyFont="1" applyFill="1" applyBorder="1"/>
    <xf numFmtId="0" fontId="17450" fillId="17454" borderId="17401" xfId="0" applyFont="1" applyFill="1" applyBorder="1"/>
    <xf numFmtId="0" fontId="17451" fillId="17455" borderId="17402" xfId="0" applyFont="1" applyFill="1" applyBorder="1"/>
    <xf numFmtId="0" fontId="17452" fillId="17456" borderId="17403" xfId="0" applyFont="1" applyFill="1" applyBorder="1"/>
    <xf numFmtId="165" fontId="17453" fillId="17457" borderId="17404" xfId="0" applyNumberFormat="1" applyFont="1" applyFill="1" applyBorder="1"/>
    <xf numFmtId="4" fontId="17454" fillId="17458" borderId="17405" xfId="0" applyNumberFormat="1" applyFont="1" applyFill="1" applyBorder="1"/>
    <xf numFmtId="0" fontId="17455" fillId="17459" borderId="17406" xfId="0" applyFont="1" applyFill="1" applyBorder="1"/>
    <xf numFmtId="165" fontId="17456" fillId="17460" borderId="17407" xfId="0" applyNumberFormat="1" applyFont="1" applyFill="1" applyBorder="1"/>
    <xf numFmtId="165" fontId="17457" fillId="17461" borderId="17408" xfId="0" applyNumberFormat="1" applyFont="1" applyFill="1" applyBorder="1"/>
    <xf numFmtId="165" fontId="17458" fillId="17462" borderId="17409" xfId="0" applyNumberFormat="1" applyFont="1" applyFill="1" applyBorder="1"/>
    <xf numFmtId="165" fontId="17459" fillId="17463" borderId="17410" xfId="0" applyNumberFormat="1" applyFont="1" applyFill="1" applyBorder="1"/>
    <xf numFmtId="4" fontId="17460" fillId="17464" borderId="17411" xfId="0" applyNumberFormat="1" applyFont="1" applyFill="1" applyBorder="1"/>
    <xf numFmtId="0" fontId="17461" fillId="17465" borderId="17412" xfId="0" applyFont="1" applyFill="1" applyBorder="1"/>
    <xf numFmtId="0" fontId="17462" fillId="17466" borderId="17413" xfId="0" applyFont="1" applyFill="1" applyBorder="1"/>
    <xf numFmtId="0" fontId="17463" fillId="17467" borderId="17414" xfId="0" applyFont="1" applyFill="1" applyBorder="1"/>
    <xf numFmtId="0" fontId="17464" fillId="17468" borderId="17415" xfId="0" applyFont="1" applyFill="1" applyBorder="1"/>
    <xf numFmtId="0" fontId="17465" fillId="17469" borderId="17416" xfId="0" applyFont="1" applyFill="1" applyBorder="1"/>
    <xf numFmtId="0" fontId="17466" fillId="17470" borderId="17417" xfId="0" applyFont="1" applyFill="1" applyBorder="1"/>
    <xf numFmtId="0" fontId="17467" fillId="17471" borderId="17418" xfId="0" applyFont="1" applyFill="1" applyBorder="1"/>
    <xf numFmtId="0" fontId="17468" fillId="17472" borderId="17419" xfId="0" applyFont="1" applyFill="1" applyBorder="1"/>
    <xf numFmtId="0" fontId="17469" fillId="17473" borderId="17420" xfId="0" applyFont="1" applyFill="1" applyBorder="1"/>
    <xf numFmtId="0" fontId="17470" fillId="17474" borderId="17421" xfId="0" applyFont="1" applyFill="1" applyBorder="1"/>
    <xf numFmtId="0" fontId="17471" fillId="17475" borderId="17422" xfId="0" applyFont="1" applyFill="1" applyBorder="1"/>
    <xf numFmtId="0" fontId="17472" fillId="17476" borderId="17423" xfId="0" applyFont="1" applyFill="1" applyBorder="1"/>
    <xf numFmtId="0" fontId="17473" fillId="17477" borderId="17424" xfId="0" applyFont="1" applyFill="1" applyBorder="1"/>
    <xf numFmtId="0" fontId="17474" fillId="17478" borderId="17425" xfId="0" applyFont="1" applyFill="1" applyBorder="1"/>
    <xf numFmtId="0" fontId="17475" fillId="17479" borderId="17426" xfId="0" applyFont="1" applyFill="1" applyBorder="1"/>
    <xf numFmtId="0" fontId="17476" fillId="17480" borderId="17427" xfId="0" applyFont="1" applyFill="1" applyBorder="1"/>
    <xf numFmtId="0" fontId="17477" fillId="17481" borderId="17428" xfId="0" applyFont="1" applyFill="1" applyBorder="1"/>
    <xf numFmtId="0" fontId="17478" fillId="17482" borderId="17429" xfId="0" applyFont="1" applyFill="1" applyBorder="1"/>
    <xf numFmtId="0" fontId="17479" fillId="17483" borderId="17430" xfId="0" applyFont="1" applyFill="1" applyBorder="1"/>
    <xf numFmtId="0" fontId="17480" fillId="17484" borderId="17431" xfId="0" applyFont="1" applyFill="1" applyBorder="1"/>
    <xf numFmtId="0" fontId="17481" fillId="17485" borderId="17432" xfId="0" applyFont="1" applyFill="1" applyBorder="1"/>
    <xf numFmtId="0" fontId="17482" fillId="17486" borderId="17433" xfId="0" applyFont="1" applyFill="1" applyBorder="1"/>
    <xf numFmtId="0" fontId="17483" fillId="17487" borderId="17434" xfId="0" applyFont="1" applyFill="1" applyBorder="1"/>
    <xf numFmtId="0" fontId="17484" fillId="17488" borderId="17435" xfId="0" applyFont="1" applyFill="1" applyBorder="1"/>
    <xf numFmtId="0" fontId="17485" fillId="17489" borderId="17436" xfId="0" applyFont="1" applyFill="1" applyBorder="1"/>
    <xf numFmtId="0" fontId="17486" fillId="17490" borderId="17437" xfId="0" applyFont="1" applyFill="1" applyBorder="1"/>
    <xf numFmtId="0" fontId="17487" fillId="17491" borderId="17438" xfId="0" applyFont="1" applyFill="1" applyBorder="1"/>
    <xf numFmtId="0" fontId="17494" fillId="17498" borderId="17445" xfId="0" applyFont="1" applyFill="1" applyBorder="1"/>
    <xf numFmtId="0" fontId="17495" fillId="17499" borderId="17446" xfId="0" applyFont="1" applyFill="1" applyBorder="1"/>
    <xf numFmtId="0" fontId="17496" fillId="17500" borderId="17447" xfId="0" applyFont="1" applyFill="1" applyBorder="1"/>
    <xf numFmtId="0" fontId="17497" fillId="17501" borderId="17448" xfId="0" applyFont="1" applyFill="1" applyBorder="1"/>
    <xf numFmtId="0" fontId="17498" fillId="17502" borderId="17449" xfId="0" applyFont="1" applyFill="1" applyBorder="1"/>
    <xf numFmtId="0" fontId="17499" fillId="17503" borderId="17450" xfId="0" applyFont="1" applyFill="1" applyBorder="1"/>
    <xf numFmtId="0" fontId="17500" fillId="17504" borderId="17451" xfId="0" applyFont="1" applyFill="1" applyBorder="1" applyAlignment="1">
      <alignment horizontal="center" wrapText="1"/>
    </xf>
    <xf numFmtId="0" fontId="17501" fillId="17505" borderId="17452" xfId="0" applyFont="1" applyFill="1" applyBorder="1" applyAlignment="1">
      <alignment horizontal="center" wrapText="1"/>
    </xf>
    <xf numFmtId="0" fontId="17502" fillId="17506" borderId="17453" xfId="0" applyFont="1" applyFill="1" applyBorder="1" applyAlignment="1">
      <alignment horizontal="center" wrapText="1"/>
    </xf>
    <xf numFmtId="0" fontId="17503" fillId="17507" borderId="17454" xfId="0" applyFont="1" applyFill="1" applyBorder="1" applyAlignment="1">
      <alignment horizontal="center" wrapText="1"/>
    </xf>
    <xf numFmtId="0" fontId="17504" fillId="17508" borderId="17455" xfId="0" applyFont="1" applyFill="1" applyBorder="1" applyAlignment="1">
      <alignment horizontal="center" wrapText="1"/>
    </xf>
    <xf numFmtId="0" fontId="17505" fillId="17509" borderId="17456" xfId="0" applyFont="1" applyFill="1" applyBorder="1" applyAlignment="1">
      <alignment horizontal="center" wrapText="1"/>
    </xf>
    <xf numFmtId="0" fontId="17506" fillId="17510" borderId="17457" xfId="0" applyFont="1" applyFill="1" applyBorder="1"/>
    <xf numFmtId="0" fontId="17507" fillId="17511" borderId="17458" xfId="0" applyFont="1" applyFill="1" applyBorder="1"/>
    <xf numFmtId="0" fontId="17508" fillId="17512" borderId="17459" xfId="0" applyFont="1" applyFill="1" applyBorder="1"/>
    <xf numFmtId="0" fontId="17509" fillId="17513" borderId="17460" xfId="0" applyFont="1" applyFill="1" applyBorder="1"/>
    <xf numFmtId="0" fontId="17510" fillId="17514" borderId="17461" xfId="0" applyFont="1" applyFill="1" applyBorder="1"/>
    <xf numFmtId="0" fontId="17511" fillId="17515" borderId="17462" xfId="0" applyFont="1" applyFill="1" applyBorder="1"/>
    <xf numFmtId="0" fontId="17512" fillId="17516" borderId="17463" xfId="0" applyFont="1" applyFill="1" applyBorder="1" applyAlignment="1">
      <alignment horizontal="center"/>
    </xf>
    <xf numFmtId="4" fontId="17513" fillId="17517" borderId="17464" xfId="0" applyNumberFormat="1" applyFont="1" applyFill="1" applyBorder="1"/>
    <xf numFmtId="4" fontId="17514" fillId="17518" borderId="17465" xfId="0" applyNumberFormat="1" applyFont="1" applyFill="1" applyBorder="1"/>
    <xf numFmtId="4" fontId="17515" fillId="17519" borderId="17466" xfId="0" applyNumberFormat="1" applyFont="1" applyFill="1" applyBorder="1"/>
    <xf numFmtId="4" fontId="17516" fillId="17520" borderId="17467" xfId="0" applyNumberFormat="1" applyFont="1" applyFill="1" applyBorder="1"/>
    <xf numFmtId="0" fontId="17517" fillId="17521" borderId="17468" xfId="0" applyFont="1" applyFill="1" applyBorder="1" applyAlignment="1">
      <alignment horizontal="center"/>
    </xf>
    <xf numFmtId="0" fontId="17518" fillId="17522" borderId="17469" xfId="0" applyFont="1" applyFill="1" applyBorder="1"/>
    <xf numFmtId="0" fontId="17519" fillId="17523" borderId="17470" xfId="0" applyFont="1" applyFill="1" applyBorder="1"/>
    <xf numFmtId="0" fontId="17520" fillId="17524" borderId="17471" xfId="0" applyFont="1" applyFill="1" applyBorder="1"/>
    <xf numFmtId="0" fontId="17521" fillId="17525" borderId="17472" xfId="0" applyFont="1" applyFill="1" applyBorder="1"/>
    <xf numFmtId="0" fontId="17522" fillId="17526" borderId="17473" xfId="0" applyFont="1" applyFill="1" applyBorder="1"/>
    <xf numFmtId="0" fontId="17523" fillId="17527" borderId="17474" xfId="0" applyFont="1" applyFill="1" applyBorder="1"/>
    <xf numFmtId="0" fontId="17524" fillId="17528" borderId="17475" xfId="0" applyFont="1" applyFill="1" applyBorder="1" applyAlignment="1">
      <alignment horizontal="center"/>
    </xf>
    <xf numFmtId="4" fontId="17525" fillId="17529" borderId="17476" xfId="0" applyNumberFormat="1" applyFont="1" applyFill="1" applyBorder="1"/>
    <xf numFmtId="4" fontId="17526" fillId="17530" borderId="17477" xfId="0" applyNumberFormat="1" applyFont="1" applyFill="1" applyBorder="1"/>
    <xf numFmtId="4" fontId="17527" fillId="17531" borderId="17478" xfId="0" applyNumberFormat="1" applyFont="1" applyFill="1" applyBorder="1"/>
    <xf numFmtId="4" fontId="17528" fillId="17532" borderId="17479" xfId="0" applyNumberFormat="1" applyFont="1" applyFill="1" applyBorder="1"/>
    <xf numFmtId="0" fontId="17529" fillId="17533" borderId="17480" xfId="0" applyFont="1" applyFill="1" applyBorder="1" applyAlignment="1">
      <alignment horizontal="center"/>
    </xf>
    <xf numFmtId="0" fontId="17530" fillId="17534" borderId="17481" xfId="0" applyFont="1" applyFill="1" applyBorder="1"/>
    <xf numFmtId="0" fontId="17531" fillId="17535" borderId="17482" xfId="0" applyFont="1" applyFill="1" applyBorder="1"/>
    <xf numFmtId="0" fontId="17532" fillId="17536" borderId="17483" xfId="0" applyFont="1" applyFill="1" applyBorder="1"/>
    <xf numFmtId="0" fontId="17533" fillId="17537" borderId="17484" xfId="0" applyFont="1" applyFill="1" applyBorder="1"/>
    <xf numFmtId="0" fontId="17534" fillId="17538" borderId="17485" xfId="0" applyFont="1" applyFill="1" applyBorder="1"/>
    <xf numFmtId="0" fontId="17535" fillId="17539" borderId="17486" xfId="0" applyFont="1" applyFill="1" applyBorder="1"/>
    <xf numFmtId="0" fontId="17536" fillId="17540" borderId="17487" xfId="0" applyFont="1" applyFill="1" applyBorder="1"/>
    <xf numFmtId="0" fontId="17537" fillId="17541" borderId="17488" xfId="0" applyFont="1" applyFill="1" applyBorder="1"/>
    <xf numFmtId="0" fontId="17538" fillId="17542" borderId="17489" xfId="0" applyFont="1" applyFill="1" applyBorder="1"/>
    <xf numFmtId="0" fontId="17539" fillId="17543" borderId="17490" xfId="0" applyFont="1" applyFill="1" applyBorder="1"/>
    <xf numFmtId="0" fontId="17540" fillId="17544" borderId="17491" xfId="0" applyFont="1" applyFill="1" applyBorder="1"/>
    <xf numFmtId="0" fontId="17541" fillId="17545" borderId="17492" xfId="0" applyFont="1" applyFill="1" applyBorder="1"/>
    <xf numFmtId="0" fontId="17542" fillId="17546" borderId="17493" xfId="0" applyFont="1" applyFill="1" applyBorder="1"/>
    <xf numFmtId="0" fontId="17543" fillId="17547" borderId="17494" xfId="0" applyFont="1" applyFill="1" applyBorder="1"/>
    <xf numFmtId="0" fontId="17544" fillId="17548" borderId="17495" xfId="0" applyFont="1" applyFill="1" applyBorder="1"/>
    <xf numFmtId="0" fontId="17545" fillId="17549" borderId="17496" xfId="0" applyFont="1" applyFill="1" applyBorder="1"/>
    <xf numFmtId="0" fontId="17546" fillId="17550" borderId="17497" xfId="0" applyFont="1" applyFill="1" applyBorder="1"/>
    <xf numFmtId="0" fontId="17547" fillId="17551" borderId="17498" xfId="0" applyFont="1" applyFill="1" applyBorder="1"/>
    <xf numFmtId="165" fontId="17371" fillId="17406" borderId="17353" xfId="0" applyNumberFormat="1" applyFont="1" applyFill="1" applyBorder="1"/>
    <xf numFmtId="165" fontId="17420" fillId="17424" borderId="17371" xfId="0" applyNumberFormat="1" applyFont="1" applyFill="1" applyBorder="1"/>
    <xf numFmtId="165" fontId="17442" fillId="17446" borderId="17393" xfId="0" applyNumberFormat="1" applyFont="1" applyFill="1" applyBorder="1"/>
    <xf numFmtId="0" fontId="17548" fillId="17552" borderId="17499" xfId="0" applyFont="1" applyFill="1" applyBorder="1" applyAlignment="1">
      <alignment horizontal="center"/>
    </xf>
    <xf numFmtId="4" fontId="17549" fillId="17553" borderId="17500" xfId="0" applyNumberFormat="1" applyFont="1" applyFill="1" applyBorder="1"/>
    <xf numFmtId="4" fontId="17550" fillId="17554" borderId="17501" xfId="0" applyNumberFormat="1" applyFont="1" applyFill="1" applyBorder="1"/>
    <xf numFmtId="4" fontId="17551" fillId="17555" borderId="17502" xfId="0" applyNumberFormat="1" applyFont="1" applyFill="1" applyBorder="1"/>
    <xf numFmtId="4" fontId="17552" fillId="17556" borderId="17503" xfId="0" applyNumberFormat="1" applyFont="1" applyFill="1" applyBorder="1"/>
    <xf numFmtId="0" fontId="17553" fillId="17557" borderId="17504" xfId="0" applyFont="1" applyFill="1" applyBorder="1" applyAlignment="1">
      <alignment horizontal="center"/>
    </xf>
    <xf numFmtId="0" fontId="17554" fillId="17558" borderId="17505" xfId="0" applyFont="1" applyFill="1" applyBorder="1"/>
    <xf numFmtId="0" fontId="17555" fillId="17559" borderId="17506" xfId="0" applyFont="1" applyFill="1" applyBorder="1"/>
    <xf numFmtId="0" fontId="17556" fillId="17560" borderId="17507" xfId="0" applyFont="1" applyFill="1" applyBorder="1"/>
    <xf numFmtId="0" fontId="17557" fillId="17561" borderId="17508" xfId="0" applyFont="1" applyFill="1" applyBorder="1"/>
    <xf numFmtId="0" fontId="17558" fillId="17562" borderId="17509" xfId="0" applyFont="1" applyFill="1" applyBorder="1"/>
    <xf numFmtId="0" fontId="17559" fillId="17563" borderId="17510" xfId="0" applyFont="1" applyFill="1" applyBorder="1"/>
    <xf numFmtId="0" fontId="11953" fillId="11958" borderId="11564" xfId="0" applyFont="1" applyFill="1" applyBorder="1" applyAlignment="1">
      <alignment horizontal="center"/>
    </xf>
    <xf numFmtId="0" fontId="11909" fillId="11914" borderId="11905" xfId="0" applyFont="1" applyFill="1" applyBorder="1" applyAlignment="1">
      <alignment horizontal="center"/>
    </xf>
    <xf numFmtId="0" fontId="11711" fillId="11716" borderId="11861" xfId="0" applyFont="1" applyFill="1" applyBorder="1" applyAlignment="1">
      <alignment horizontal="center"/>
    </xf>
    <xf numFmtId="0" fontId="11634" fillId="11639" borderId="11663" xfId="0" applyFont="1" applyFill="1" applyBorder="1" applyAlignment="1">
      <alignment horizontal="center"/>
    </xf>
    <xf numFmtId="0" fontId="11975" fillId="11980" borderId="11586" xfId="0" applyFont="1" applyFill="1" applyBorder="1" applyAlignment="1">
      <alignment horizontal="center"/>
    </xf>
    <xf numFmtId="0" fontId="11942" fillId="11947" borderId="11927" xfId="0" applyFont="1" applyFill="1" applyBorder="1" applyAlignment="1">
      <alignment horizontal="center"/>
    </xf>
    <xf numFmtId="0" fontId="11898" fillId="11903" borderId="11894" xfId="0" applyFont="1" applyFill="1" applyBorder="1" applyAlignment="1">
      <alignment horizontal="center"/>
    </xf>
    <xf numFmtId="0" fontId="11700" fillId="11705" borderId="11850" xfId="0" applyFont="1" applyFill="1" applyBorder="1" applyAlignment="1">
      <alignment horizontal="center"/>
    </xf>
    <xf numFmtId="0" fontId="11623" fillId="11628" borderId="11652" xfId="0" applyFont="1" applyFill="1" applyBorder="1" applyAlignment="1">
      <alignment horizontal="center"/>
    </xf>
    <xf numFmtId="0" fontId="11964" fillId="11969" borderId="11575" xfId="0" applyFont="1" applyFill="1" applyBorder="1" applyAlignment="1">
      <alignment horizontal="center"/>
    </xf>
    <xf numFmtId="0" fontId="11931" fillId="11936" borderId="11916" xfId="0" applyFont="1" applyFill="1" applyBorder="1" applyAlignment="1">
      <alignment horizontal="center"/>
    </xf>
    <xf numFmtId="0" fontId="11887" fillId="11892" borderId="11883" xfId="0" applyFont="1" applyFill="1" applyBorder="1" applyAlignment="1">
      <alignment horizontal="center"/>
    </xf>
    <xf numFmtId="0" fontId="11689" fillId="11694" borderId="11839" xfId="0" applyFont="1" applyFill="1" applyBorder="1" applyAlignment="1">
      <alignment horizontal="center"/>
    </xf>
    <xf numFmtId="0" fontId="11612" fillId="11617" borderId="11641" xfId="0" applyFont="1" applyFill="1" applyBorder="1" applyAlignment="1">
      <alignment horizontal="center"/>
    </xf>
    <xf numFmtId="0" fontId="11810" fillId="11815" borderId="11597" xfId="0" applyFont="1" applyFill="1" applyBorder="1" applyAlignment="1">
      <alignment horizontal="center"/>
    </xf>
    <xf numFmtId="0" fontId="11843" fillId="11848" borderId="11762" xfId="0" applyFont="1" applyFill="1" applyBorder="1" applyAlignment="1">
      <alignment horizontal="center"/>
    </xf>
    <xf numFmtId="0" fontId="11920" fillId="11925" borderId="11795" xfId="0" applyFont="1" applyFill="1" applyBorder="1" applyAlignment="1">
      <alignment horizontal="center"/>
    </xf>
    <xf numFmtId="0" fontId="11876" fillId="11881" borderId="11872" xfId="0" applyFont="1" applyFill="1" applyBorder="1" applyAlignment="1">
      <alignment horizontal="center"/>
    </xf>
    <xf numFmtId="0" fontId="11678" fillId="11683" borderId="11828" xfId="0" applyFont="1" applyFill="1" applyBorder="1" applyAlignment="1">
      <alignment horizontal="center"/>
    </xf>
    <xf numFmtId="0" fontId="12008" fillId="12013" borderId="11630" xfId="0" applyFont="1" applyFill="1" applyBorder="1" applyAlignment="1">
      <alignment horizontal="center"/>
    </xf>
    <xf numFmtId="0" fontId="11744" fillId="11749" borderId="11960" xfId="0" applyFont="1" applyFill="1" applyBorder="1" applyAlignment="1">
      <alignment horizontal="center"/>
    </xf>
    <xf numFmtId="0" fontId="12030" fillId="12035" borderId="11696" xfId="0" applyFont="1" applyFill="1" applyBorder="1" applyAlignment="1">
      <alignment horizontal="center"/>
    </xf>
    <xf numFmtId="0" fontId="11766" fillId="11771" borderId="11982" xfId="0" applyFont="1" applyFill="1" applyBorder="1" applyAlignment="1">
      <alignment horizontal="center"/>
    </xf>
    <xf numFmtId="0" fontId="12052" fillId="12057" borderId="11718" xfId="0" applyFont="1" applyFill="1" applyBorder="1" applyAlignment="1">
      <alignment horizontal="center"/>
    </xf>
    <xf numFmtId="0" fontId="11788" fillId="11793" borderId="12004" xfId="0" applyFont="1" applyFill="1" applyBorder="1" applyAlignment="1">
      <alignment horizontal="center"/>
    </xf>
    <xf numFmtId="0" fontId="11656" fillId="11661" borderId="11740" xfId="0" applyFont="1" applyFill="1" applyBorder="1" applyAlignment="1">
      <alignment horizontal="center"/>
    </xf>
    <xf numFmtId="0" fontId="11986" fillId="11991" borderId="11608" xfId="0" applyFont="1" applyFill="1" applyBorder="1" applyAlignment="1">
      <alignment horizontal="center"/>
    </xf>
    <xf numFmtId="0" fontId="11722" fillId="11727" borderId="11938" xfId="0" applyFont="1" applyFill="1" applyBorder="1" applyAlignment="1">
      <alignment horizontal="center"/>
    </xf>
    <xf numFmtId="0" fontId="11821" fillId="11826" borderId="11674" xfId="0" applyFont="1" applyFill="1" applyBorder="1" applyAlignment="1">
      <alignment horizontal="center"/>
    </xf>
    <xf numFmtId="0" fontId="11854" fillId="11859" borderId="11773" xfId="0" applyFont="1" applyFill="1" applyBorder="1" applyAlignment="1">
      <alignment horizontal="center"/>
    </xf>
    <xf numFmtId="0" fontId="12063" fillId="12068" borderId="11806" xfId="0" applyFont="1" applyFill="1" applyBorder="1" applyAlignment="1">
      <alignment horizontal="center"/>
    </xf>
    <xf numFmtId="0" fontId="11799" fillId="11804" borderId="12015" xfId="0" applyFont="1" applyFill="1" applyBorder="1" applyAlignment="1">
      <alignment horizontal="center"/>
    </xf>
    <xf numFmtId="0" fontId="11832" fillId="11837" borderId="11751" xfId="0" applyFont="1" applyFill="1" applyBorder="1" applyAlignment="1">
      <alignment horizontal="center"/>
    </xf>
    <xf numFmtId="0" fontId="11865" fillId="11870" borderId="11784" xfId="0" applyFont="1" applyFill="1" applyBorder="1" applyAlignment="1">
      <alignment horizontal="center"/>
    </xf>
    <xf numFmtId="0" fontId="11667" fillId="11672" borderId="11817" xfId="0" applyFont="1" applyFill="1" applyBorder="1" applyAlignment="1">
      <alignment horizontal="center"/>
    </xf>
    <xf numFmtId="0" fontId="11997" fillId="12002" borderId="11619" xfId="0" applyFont="1" applyFill="1" applyBorder="1" applyAlignment="1">
      <alignment horizontal="center"/>
    </xf>
    <xf numFmtId="0" fontId="11733" fillId="11738" borderId="11949" xfId="0" applyFont="1" applyFill="1" applyBorder="1" applyAlignment="1">
      <alignment horizontal="center"/>
    </xf>
    <xf numFmtId="0" fontId="12019" fillId="12024" borderId="11685" xfId="0" applyFont="1" applyFill="1" applyBorder="1" applyAlignment="1">
      <alignment horizontal="center"/>
    </xf>
    <xf numFmtId="0" fontId="11755" fillId="11760" borderId="11971" xfId="0" applyFont="1" applyFill="1" applyBorder="1" applyAlignment="1">
      <alignment horizontal="center"/>
    </xf>
    <xf numFmtId="0" fontId="12041" fillId="12046" borderId="11707" xfId="0" applyFont="1" applyFill="1" applyBorder="1" applyAlignment="1">
      <alignment horizontal="center"/>
    </xf>
    <xf numFmtId="0" fontId="11777" fillId="11782" borderId="11993" xfId="0" applyFont="1" applyFill="1" applyBorder="1" applyAlignment="1">
      <alignment horizontal="center"/>
    </xf>
    <xf numFmtId="0" fontId="11645" fillId="11650" borderId="11729" xfId="0" applyFont="1" applyFill="1" applyBorder="1" applyAlignment="1">
      <alignment horizontal="center"/>
    </xf>
    <xf numFmtId="14" fontId="11954" fillId="11959" borderId="11565" xfId="0" applyNumberFormat="1" applyFont="1" applyFill="1" applyBorder="1"/>
    <xf numFmtId="14" fontId="11910" fillId="11915" borderId="11906" xfId="0" applyNumberFormat="1" applyFont="1" applyFill="1" applyBorder="1"/>
    <xf numFmtId="14" fontId="11712" fillId="11717" borderId="11862" xfId="0" applyNumberFormat="1" applyFont="1" applyFill="1" applyBorder="1"/>
    <xf numFmtId="14" fontId="11635" fillId="11640" borderId="11664" xfId="0" applyNumberFormat="1" applyFont="1" applyFill="1" applyBorder="1"/>
    <xf numFmtId="14" fontId="11976" fillId="11981" borderId="11587" xfId="0" applyNumberFormat="1" applyFont="1" applyFill="1" applyBorder="1"/>
    <xf numFmtId="14" fontId="11943" fillId="11948" borderId="11928" xfId="0" applyNumberFormat="1" applyFont="1" applyFill="1" applyBorder="1"/>
    <xf numFmtId="14" fontId="11899" fillId="11904" borderId="11895" xfId="0" applyNumberFormat="1" applyFont="1" applyFill="1" applyBorder="1"/>
    <xf numFmtId="14" fontId="11701" fillId="11706" borderId="11851" xfId="0" applyNumberFormat="1" applyFont="1" applyFill="1" applyBorder="1"/>
    <xf numFmtId="14" fontId="11624" fillId="11629" borderId="11653" xfId="0" applyNumberFormat="1" applyFont="1" applyFill="1" applyBorder="1"/>
    <xf numFmtId="14" fontId="11965" fillId="11970" borderId="11576" xfId="0" applyNumberFormat="1" applyFont="1" applyFill="1" applyBorder="1"/>
    <xf numFmtId="14" fontId="11932" fillId="11937" borderId="11917" xfId="0" applyNumberFormat="1" applyFont="1" applyFill="1" applyBorder="1"/>
    <xf numFmtId="14" fontId="11888" fillId="11893" borderId="11884" xfId="0" applyNumberFormat="1" applyFont="1" applyFill="1" applyBorder="1"/>
    <xf numFmtId="14" fontId="11690" fillId="11695" borderId="11840" xfId="0" applyNumberFormat="1" applyFont="1" applyFill="1" applyBorder="1"/>
    <xf numFmtId="14" fontId="11613" fillId="11618" borderId="11642" xfId="0" applyNumberFormat="1" applyFont="1" applyFill="1" applyBorder="1"/>
    <xf numFmtId="14" fontId="11811" fillId="11816" borderId="11598" xfId="0" applyNumberFormat="1" applyFont="1" applyFill="1" applyBorder="1"/>
    <xf numFmtId="14" fontId="11844" fillId="11849" borderId="11763" xfId="0" applyNumberFormat="1" applyFont="1" applyFill="1" applyBorder="1"/>
    <xf numFmtId="14" fontId="11921" fillId="11926" borderId="11796" xfId="0" applyNumberFormat="1" applyFont="1" applyFill="1" applyBorder="1"/>
    <xf numFmtId="14" fontId="11877" fillId="11882" borderId="11873" xfId="0" applyNumberFormat="1" applyFont="1" applyFill="1" applyBorder="1"/>
    <xf numFmtId="14" fontId="11679" fillId="11684" borderId="11829" xfId="0" applyNumberFormat="1" applyFont="1" applyFill="1" applyBorder="1"/>
    <xf numFmtId="14" fontId="12009" fillId="12014" borderId="11631" xfId="0" applyNumberFormat="1" applyFont="1" applyFill="1" applyBorder="1"/>
    <xf numFmtId="14" fontId="11745" fillId="11750" borderId="11961" xfId="0" applyNumberFormat="1" applyFont="1" applyFill="1" applyBorder="1"/>
    <xf numFmtId="14" fontId="12031" fillId="12036" borderId="11697" xfId="0" applyNumberFormat="1" applyFont="1" applyFill="1" applyBorder="1"/>
    <xf numFmtId="14" fontId="11767" fillId="11772" borderId="11983" xfId="0" applyNumberFormat="1" applyFont="1" applyFill="1" applyBorder="1"/>
    <xf numFmtId="14" fontId="12053" fillId="12058" borderId="11719" xfId="0" applyNumberFormat="1" applyFont="1" applyFill="1" applyBorder="1"/>
    <xf numFmtId="14" fontId="11789" fillId="11794" borderId="12005" xfId="0" applyNumberFormat="1" applyFont="1" applyFill="1" applyBorder="1"/>
    <xf numFmtId="14" fontId="11657" fillId="11662" borderId="11741" xfId="0" applyNumberFormat="1" applyFont="1" applyFill="1" applyBorder="1"/>
    <xf numFmtId="14" fontId="11987" fillId="11992" borderId="11609" xfId="0" applyNumberFormat="1" applyFont="1" applyFill="1" applyBorder="1"/>
    <xf numFmtId="14" fontId="11723" fillId="11728" borderId="11939" xfId="0" applyNumberFormat="1" applyFont="1" applyFill="1" applyBorder="1"/>
    <xf numFmtId="14" fontId="11822" fillId="11827" borderId="11675" xfId="0" applyNumberFormat="1" applyFont="1" applyFill="1" applyBorder="1"/>
    <xf numFmtId="14" fontId="11855" fillId="11860" borderId="11774" xfId="0" applyNumberFormat="1" applyFont="1" applyFill="1" applyBorder="1"/>
    <xf numFmtId="14" fontId="12064" fillId="12069" borderId="11807" xfId="0" applyNumberFormat="1" applyFont="1" applyFill="1" applyBorder="1"/>
    <xf numFmtId="14" fontId="11800" fillId="11805" borderId="12016" xfId="0" applyNumberFormat="1" applyFont="1" applyFill="1" applyBorder="1"/>
    <xf numFmtId="14" fontId="11833" fillId="11838" borderId="11752" xfId="0" applyNumberFormat="1" applyFont="1" applyFill="1" applyBorder="1"/>
    <xf numFmtId="14" fontId="11866" fillId="11871" borderId="11785" xfId="0" applyNumberFormat="1" applyFont="1" applyFill="1" applyBorder="1"/>
    <xf numFmtId="14" fontId="11668" fillId="11673" borderId="11818" xfId="0" applyNumberFormat="1" applyFont="1" applyFill="1" applyBorder="1"/>
    <xf numFmtId="14" fontId="11998" fillId="12003" borderId="11620" xfId="0" applyNumberFormat="1" applyFont="1" applyFill="1" applyBorder="1"/>
    <xf numFmtId="14" fontId="11734" fillId="11739" borderId="11950" xfId="0" applyNumberFormat="1" applyFont="1" applyFill="1" applyBorder="1"/>
    <xf numFmtId="14" fontId="12020" fillId="12025" borderId="11686" xfId="0" applyNumberFormat="1" applyFont="1" applyFill="1" applyBorder="1"/>
    <xf numFmtId="14" fontId="11756" fillId="11761" borderId="11972" xfId="0" applyNumberFormat="1" applyFont="1" applyFill="1" applyBorder="1"/>
    <xf numFmtId="14" fontId="12042" fillId="12047" borderId="11708" xfId="0" applyNumberFormat="1" applyFont="1" applyFill="1" applyBorder="1"/>
    <xf numFmtId="14" fontId="11778" fillId="11783" borderId="11994" xfId="0" applyNumberFormat="1" applyFont="1" applyFill="1" applyBorder="1"/>
    <xf numFmtId="14" fontId="11646" fillId="11651" borderId="11730" xfId="0" applyNumberFormat="1" applyFont="1" applyFill="1" applyBorder="1"/>
    <xf numFmtId="0" fontId="11955" fillId="11960" borderId="11566" xfId="0" applyFont="1" applyFill="1" applyBorder="1" applyAlignment="1">
      <alignment horizontal="center"/>
    </xf>
    <xf numFmtId="0" fontId="11911" fillId="11916" borderId="11907" xfId="0" applyFont="1" applyFill="1" applyBorder="1" applyAlignment="1">
      <alignment horizontal="center"/>
    </xf>
    <xf numFmtId="0" fontId="11713" fillId="11718" borderId="11863" xfId="0" applyFont="1" applyFill="1" applyBorder="1" applyAlignment="1">
      <alignment horizontal="center"/>
    </xf>
    <xf numFmtId="0" fontId="11636" fillId="11641" borderId="11665" xfId="0" applyFont="1" applyFill="1" applyBorder="1" applyAlignment="1">
      <alignment horizontal="center"/>
    </xf>
    <xf numFmtId="0" fontId="11977" fillId="11982" borderId="11588" xfId="0" applyFont="1" applyFill="1" applyBorder="1" applyAlignment="1">
      <alignment horizontal="center"/>
    </xf>
    <xf numFmtId="0" fontId="11944" fillId="11949" borderId="11929" xfId="0" applyFont="1" applyFill="1" applyBorder="1" applyAlignment="1">
      <alignment horizontal="center"/>
    </xf>
    <xf numFmtId="0" fontId="11900" fillId="11905" borderId="11896" xfId="0" applyFont="1" applyFill="1" applyBorder="1" applyAlignment="1">
      <alignment horizontal="center"/>
    </xf>
    <xf numFmtId="0" fontId="11702" fillId="11707" borderId="11852" xfId="0" applyFont="1" applyFill="1" applyBorder="1" applyAlignment="1">
      <alignment horizontal="center"/>
    </xf>
    <xf numFmtId="0" fontId="11625" fillId="11630" borderId="11654" xfId="0" applyFont="1" applyFill="1" applyBorder="1" applyAlignment="1">
      <alignment horizontal="center"/>
    </xf>
    <xf numFmtId="0" fontId="11966" fillId="11971" borderId="11577" xfId="0" applyFont="1" applyFill="1" applyBorder="1" applyAlignment="1">
      <alignment horizontal="center"/>
    </xf>
    <xf numFmtId="0" fontId="11933" fillId="11938" borderId="11918" xfId="0" applyFont="1" applyFill="1" applyBorder="1" applyAlignment="1">
      <alignment horizontal="center"/>
    </xf>
    <xf numFmtId="0" fontId="11889" fillId="11894" borderId="11885" xfId="0" applyFont="1" applyFill="1" applyBorder="1" applyAlignment="1">
      <alignment horizontal="center"/>
    </xf>
    <xf numFmtId="0" fontId="11691" fillId="11696" borderId="11841" xfId="0" applyFont="1" applyFill="1" applyBorder="1" applyAlignment="1">
      <alignment horizontal="center"/>
    </xf>
    <xf numFmtId="0" fontId="11614" fillId="11619" borderId="11643" xfId="0" applyFont="1" applyFill="1" applyBorder="1" applyAlignment="1">
      <alignment horizontal="center"/>
    </xf>
    <xf numFmtId="0" fontId="11812" fillId="11817" borderId="11599" xfId="0" applyFont="1" applyFill="1" applyBorder="1" applyAlignment="1">
      <alignment horizontal="center"/>
    </xf>
    <xf numFmtId="0" fontId="11845" fillId="11850" borderId="11764" xfId="0" applyFont="1" applyFill="1" applyBorder="1" applyAlignment="1">
      <alignment horizontal="center"/>
    </xf>
    <xf numFmtId="0" fontId="11922" fillId="11927" borderId="11797" xfId="0" applyFont="1" applyFill="1" applyBorder="1" applyAlignment="1">
      <alignment horizontal="center"/>
    </xf>
    <xf numFmtId="0" fontId="11878" fillId="11883" borderId="11874" xfId="0" applyFont="1" applyFill="1" applyBorder="1" applyAlignment="1">
      <alignment horizontal="center"/>
    </xf>
    <xf numFmtId="0" fontId="11680" fillId="11685" borderId="11830" xfId="0" applyFont="1" applyFill="1" applyBorder="1" applyAlignment="1">
      <alignment horizontal="center"/>
    </xf>
    <xf numFmtId="0" fontId="12010" fillId="12015" borderId="11632" xfId="0" applyFont="1" applyFill="1" applyBorder="1" applyAlignment="1">
      <alignment horizontal="center"/>
    </xf>
    <xf numFmtId="0" fontId="11746" fillId="11751" borderId="11962" xfId="0" applyFont="1" applyFill="1" applyBorder="1" applyAlignment="1">
      <alignment horizontal="center"/>
    </xf>
    <xf numFmtId="0" fontId="12032" fillId="12037" borderId="11698" xfId="0" applyFont="1" applyFill="1" applyBorder="1" applyAlignment="1">
      <alignment horizontal="center"/>
    </xf>
    <xf numFmtId="0" fontId="11768" fillId="11773" borderId="11984" xfId="0" applyFont="1" applyFill="1" applyBorder="1" applyAlignment="1">
      <alignment horizontal="center"/>
    </xf>
    <xf numFmtId="0" fontId="12054" fillId="12059" borderId="11720" xfId="0" applyFont="1" applyFill="1" applyBorder="1" applyAlignment="1">
      <alignment horizontal="center"/>
    </xf>
    <xf numFmtId="0" fontId="11790" fillId="11795" borderId="12006" xfId="0" applyFont="1" applyFill="1" applyBorder="1" applyAlignment="1">
      <alignment horizontal="center"/>
    </xf>
    <xf numFmtId="0" fontId="11658" fillId="11663" borderId="11742" xfId="0" applyFont="1" applyFill="1" applyBorder="1" applyAlignment="1">
      <alignment horizontal="center"/>
    </xf>
    <xf numFmtId="0" fontId="11988" fillId="11993" borderId="11610" xfId="0" applyFont="1" applyFill="1" applyBorder="1" applyAlignment="1">
      <alignment horizontal="center"/>
    </xf>
    <xf numFmtId="0" fontId="11724" fillId="11729" borderId="11940" xfId="0" applyFont="1" applyFill="1" applyBorder="1" applyAlignment="1">
      <alignment horizontal="center"/>
    </xf>
    <xf numFmtId="0" fontId="11823" fillId="11828" borderId="11676" xfId="0" applyFont="1" applyFill="1" applyBorder="1" applyAlignment="1">
      <alignment horizontal="center"/>
    </xf>
    <xf numFmtId="0" fontId="11856" fillId="11861" borderId="11775" xfId="0" applyFont="1" applyFill="1" applyBorder="1" applyAlignment="1">
      <alignment horizontal="center"/>
    </xf>
    <xf numFmtId="0" fontId="12065" fillId="12070" borderId="11808" xfId="0" applyFont="1" applyFill="1" applyBorder="1" applyAlignment="1">
      <alignment horizontal="center"/>
    </xf>
    <xf numFmtId="0" fontId="11801" fillId="11806" borderId="12017" xfId="0" applyFont="1" applyFill="1" applyBorder="1" applyAlignment="1">
      <alignment horizontal="center"/>
    </xf>
    <xf numFmtId="0" fontId="11834" fillId="11839" borderId="11753" xfId="0" applyFont="1" applyFill="1" applyBorder="1" applyAlignment="1">
      <alignment horizontal="center"/>
    </xf>
    <xf numFmtId="0" fontId="11867" fillId="11872" borderId="11786" xfId="0" applyFont="1" applyFill="1" applyBorder="1" applyAlignment="1">
      <alignment horizontal="center"/>
    </xf>
    <xf numFmtId="0" fontId="11669" fillId="11674" borderId="11819" xfId="0" applyFont="1" applyFill="1" applyBorder="1" applyAlignment="1">
      <alignment horizontal="center"/>
    </xf>
    <xf numFmtId="0" fontId="11999" fillId="12004" borderId="11621" xfId="0" applyFont="1" applyFill="1" applyBorder="1" applyAlignment="1">
      <alignment horizontal="center"/>
    </xf>
    <xf numFmtId="0" fontId="11735" fillId="11740" borderId="11951" xfId="0" applyFont="1" applyFill="1" applyBorder="1" applyAlignment="1">
      <alignment horizontal="center"/>
    </xf>
    <xf numFmtId="0" fontId="12021" fillId="12026" borderId="11687" xfId="0" applyFont="1" applyFill="1" applyBorder="1" applyAlignment="1">
      <alignment horizontal="center"/>
    </xf>
    <xf numFmtId="0" fontId="11757" fillId="11762" borderId="11973" xfId="0" applyFont="1" applyFill="1" applyBorder="1" applyAlignment="1">
      <alignment horizontal="center"/>
    </xf>
    <xf numFmtId="0" fontId="12043" fillId="12048" borderId="11709" xfId="0" applyFont="1" applyFill="1" applyBorder="1" applyAlignment="1">
      <alignment horizontal="center"/>
    </xf>
    <xf numFmtId="0" fontId="11779" fillId="11784" borderId="11995" xfId="0" applyFont="1" applyFill="1" applyBorder="1" applyAlignment="1">
      <alignment horizontal="center"/>
    </xf>
    <xf numFmtId="0" fontId="11647" fillId="11652" borderId="11731" xfId="0" applyFont="1" applyFill="1" applyBorder="1" applyAlignment="1">
      <alignment horizontal="center"/>
    </xf>
    <xf numFmtId="0" fontId="11956" fillId="11961" borderId="11567" xfId="0" applyFont="1" applyFill="1" applyBorder="1"/>
    <xf numFmtId="0" fontId="11912" fillId="11917" borderId="11908" xfId="0" applyFont="1" applyFill="1" applyBorder="1"/>
    <xf numFmtId="0" fontId="11714" fillId="11719" borderId="11864" xfId="0" applyFont="1" applyFill="1" applyBorder="1"/>
    <xf numFmtId="0" fontId="11637" fillId="11642" borderId="11666" xfId="0" applyFont="1" applyFill="1" applyBorder="1"/>
    <xf numFmtId="0" fontId="11978" fillId="11983" borderId="11589" xfId="0" applyFont="1" applyFill="1" applyBorder="1"/>
    <xf numFmtId="0" fontId="11945" fillId="11950" borderId="11930" xfId="0" applyFont="1" applyFill="1" applyBorder="1"/>
    <xf numFmtId="0" fontId="11901" fillId="11906" borderId="11897" xfId="0" applyFont="1" applyFill="1" applyBorder="1"/>
    <xf numFmtId="0" fontId="11703" fillId="11708" borderId="11853" xfId="0" applyFont="1" applyFill="1" applyBorder="1"/>
    <xf numFmtId="0" fontId="11626" fillId="11631" borderId="11655" xfId="0" applyFont="1" applyFill="1" applyBorder="1"/>
    <xf numFmtId="0" fontId="11967" fillId="11972" borderId="11578" xfId="0" applyFont="1" applyFill="1" applyBorder="1"/>
    <xf numFmtId="0" fontId="11934" fillId="11939" borderId="11919" xfId="0" applyFont="1" applyFill="1" applyBorder="1"/>
    <xf numFmtId="0" fontId="11890" fillId="11895" borderId="11886" xfId="0" applyFont="1" applyFill="1" applyBorder="1"/>
    <xf numFmtId="0" fontId="11692" fillId="11697" borderId="11842" xfId="0" applyFont="1" applyFill="1" applyBorder="1"/>
    <xf numFmtId="0" fontId="11615" fillId="11620" borderId="11644" xfId="0" applyFont="1" applyFill="1" applyBorder="1"/>
    <xf numFmtId="0" fontId="11813" fillId="11818" borderId="11600" xfId="0" applyFont="1" applyFill="1" applyBorder="1"/>
    <xf numFmtId="0" fontId="11846" fillId="11851" borderId="11765" xfId="0" applyFont="1" applyFill="1" applyBorder="1"/>
    <xf numFmtId="0" fontId="11923" fillId="11928" borderId="11798" xfId="0" applyFont="1" applyFill="1" applyBorder="1"/>
    <xf numFmtId="0" fontId="11879" fillId="11884" borderId="11875" xfId="0" applyFont="1" applyFill="1" applyBorder="1"/>
    <xf numFmtId="0" fontId="11681" fillId="11686" borderId="11831" xfId="0" applyFont="1" applyFill="1" applyBorder="1"/>
    <xf numFmtId="0" fontId="12011" fillId="12016" borderId="11633" xfId="0" applyFont="1" applyFill="1" applyBorder="1"/>
    <xf numFmtId="0" fontId="11747" fillId="11752" borderId="11963" xfId="0" applyFont="1" applyFill="1" applyBorder="1"/>
    <xf numFmtId="0" fontId="12033" fillId="12038" borderId="11699" xfId="0" applyFont="1" applyFill="1" applyBorder="1"/>
    <xf numFmtId="0" fontId="11769" fillId="11774" borderId="11985" xfId="0" applyFont="1" applyFill="1" applyBorder="1"/>
    <xf numFmtId="0" fontId="12055" fillId="12060" borderId="11721" xfId="0" applyFont="1" applyFill="1" applyBorder="1"/>
    <xf numFmtId="0" fontId="11791" fillId="11796" borderId="12007" xfId="0" applyFont="1" applyFill="1" applyBorder="1"/>
    <xf numFmtId="0" fontId="11659" fillId="11664" borderId="11743" xfId="0" applyFont="1" applyFill="1" applyBorder="1"/>
    <xf numFmtId="0" fontId="11989" fillId="11994" borderId="11611" xfId="0" applyFont="1" applyFill="1" applyBorder="1"/>
    <xf numFmtId="0" fontId="11725" fillId="11730" borderId="11941" xfId="0" applyFont="1" applyFill="1" applyBorder="1"/>
    <xf numFmtId="0" fontId="11824" fillId="11829" borderId="11677" xfId="0" applyFont="1" applyFill="1" applyBorder="1"/>
    <xf numFmtId="0" fontId="11857" fillId="11862" borderId="11776" xfId="0" applyFont="1" applyFill="1" applyBorder="1"/>
    <xf numFmtId="0" fontId="12066" fillId="12071" borderId="11809" xfId="0" applyFont="1" applyFill="1" applyBorder="1"/>
    <xf numFmtId="0" fontId="11802" fillId="11807" borderId="12018" xfId="0" applyFont="1" applyFill="1" applyBorder="1"/>
    <xf numFmtId="0" fontId="11835" fillId="11840" borderId="11754" xfId="0" applyFont="1" applyFill="1" applyBorder="1"/>
    <xf numFmtId="0" fontId="11868" fillId="11873" borderId="11787" xfId="0" applyFont="1" applyFill="1" applyBorder="1"/>
    <xf numFmtId="0" fontId="11670" fillId="11675" borderId="11820" xfId="0" applyFont="1" applyFill="1" applyBorder="1"/>
    <xf numFmtId="0" fontId="12000" fillId="12005" borderId="11622" xfId="0" applyFont="1" applyFill="1" applyBorder="1"/>
    <xf numFmtId="0" fontId="11736" fillId="11741" borderId="11952" xfId="0" applyFont="1" applyFill="1" applyBorder="1"/>
    <xf numFmtId="0" fontId="12022" fillId="12027" borderId="11688" xfId="0" applyFont="1" applyFill="1" applyBorder="1"/>
    <xf numFmtId="0" fontId="11758" fillId="11763" borderId="11974" xfId="0" applyFont="1" applyFill="1" applyBorder="1"/>
    <xf numFmtId="0" fontId="12044" fillId="12049" borderId="11710" xfId="0" applyFont="1" applyFill="1" applyBorder="1"/>
    <xf numFmtId="0" fontId="11780" fillId="11785" borderId="11996" xfId="0" applyFont="1" applyFill="1" applyBorder="1"/>
    <xf numFmtId="0" fontId="11648" fillId="11653" borderId="11732" xfId="0" applyFont="1" applyFill="1" applyBorder="1"/>
    <xf numFmtId="0" fontId="11957" fillId="11962" borderId="11568" xfId="0" applyFont="1" applyFill="1" applyBorder="1" applyAlignment="1">
      <alignment horizontal="center"/>
    </xf>
    <xf numFmtId="0" fontId="11913" fillId="11918" borderId="11909" xfId="0" applyFont="1" applyFill="1" applyBorder="1" applyAlignment="1">
      <alignment horizontal="center"/>
    </xf>
    <xf numFmtId="0" fontId="11715" fillId="11720" borderId="11865" xfId="0" applyFont="1" applyFill="1" applyBorder="1" applyAlignment="1">
      <alignment horizontal="center"/>
    </xf>
    <xf numFmtId="0" fontId="11638" fillId="11643" borderId="11667" xfId="0" applyFont="1" applyFill="1" applyBorder="1" applyAlignment="1">
      <alignment horizontal="center"/>
    </xf>
    <xf numFmtId="0" fontId="11979" fillId="11984" borderId="11590" xfId="0" applyFont="1" applyFill="1" applyBorder="1" applyAlignment="1">
      <alignment horizontal="center"/>
    </xf>
    <xf numFmtId="0" fontId="11946" fillId="11951" borderId="11931" xfId="0" applyFont="1" applyFill="1" applyBorder="1" applyAlignment="1">
      <alignment horizontal="center"/>
    </xf>
    <xf numFmtId="0" fontId="11902" fillId="11907" borderId="11898" xfId="0" applyFont="1" applyFill="1" applyBorder="1" applyAlignment="1">
      <alignment horizontal="center"/>
    </xf>
    <xf numFmtId="0" fontId="11704" fillId="11709" borderId="11854" xfId="0" applyFont="1" applyFill="1" applyBorder="1" applyAlignment="1">
      <alignment horizontal="center"/>
    </xf>
    <xf numFmtId="0" fontId="11627" fillId="11632" borderId="11656" xfId="0" applyFont="1" applyFill="1" applyBorder="1" applyAlignment="1">
      <alignment horizontal="center"/>
    </xf>
    <xf numFmtId="0" fontId="11968" fillId="11973" borderId="11579" xfId="0" applyFont="1" applyFill="1" applyBorder="1" applyAlignment="1">
      <alignment horizontal="center"/>
    </xf>
    <xf numFmtId="0" fontId="11935" fillId="11940" borderId="11920" xfId="0" applyFont="1" applyFill="1" applyBorder="1" applyAlignment="1">
      <alignment horizontal="center"/>
    </xf>
    <xf numFmtId="0" fontId="11891" fillId="11896" borderId="11887" xfId="0" applyFont="1" applyFill="1" applyBorder="1" applyAlignment="1">
      <alignment horizontal="center"/>
    </xf>
    <xf numFmtId="0" fontId="11693" fillId="11698" borderId="11843" xfId="0" applyFont="1" applyFill="1" applyBorder="1" applyAlignment="1">
      <alignment horizontal="center"/>
    </xf>
    <xf numFmtId="0" fontId="11616" fillId="11621" borderId="11645" xfId="0" applyFont="1" applyFill="1" applyBorder="1" applyAlignment="1">
      <alignment horizontal="center"/>
    </xf>
    <xf numFmtId="0" fontId="11814" fillId="11819" borderId="11601" xfId="0" applyFont="1" applyFill="1" applyBorder="1" applyAlignment="1">
      <alignment horizontal="center"/>
    </xf>
    <xf numFmtId="0" fontId="11847" fillId="11852" borderId="11766" xfId="0" applyFont="1" applyFill="1" applyBorder="1" applyAlignment="1">
      <alignment horizontal="center"/>
    </xf>
    <xf numFmtId="0" fontId="11924" fillId="11929" borderId="11799" xfId="0" applyFont="1" applyFill="1" applyBorder="1" applyAlignment="1">
      <alignment horizontal="center"/>
    </xf>
    <xf numFmtId="0" fontId="11880" fillId="11885" borderId="11876" xfId="0" applyFont="1" applyFill="1" applyBorder="1" applyAlignment="1">
      <alignment horizontal="center"/>
    </xf>
    <xf numFmtId="0" fontId="11682" fillId="11687" borderId="11832" xfId="0" applyFont="1" applyFill="1" applyBorder="1" applyAlignment="1">
      <alignment horizontal="center"/>
    </xf>
    <xf numFmtId="0" fontId="12012" fillId="12017" borderId="11634" xfId="0" applyFont="1" applyFill="1" applyBorder="1" applyAlignment="1">
      <alignment horizontal="center"/>
    </xf>
    <xf numFmtId="0" fontId="11748" fillId="11753" borderId="11964" xfId="0" applyFont="1" applyFill="1" applyBorder="1" applyAlignment="1">
      <alignment horizontal="center"/>
    </xf>
    <xf numFmtId="0" fontId="12034" fillId="12039" borderId="11700" xfId="0" applyFont="1" applyFill="1" applyBorder="1" applyAlignment="1">
      <alignment horizontal="center"/>
    </xf>
    <xf numFmtId="0" fontId="11770" fillId="11775" borderId="11986" xfId="0" applyFont="1" applyFill="1" applyBorder="1" applyAlignment="1">
      <alignment horizontal="center"/>
    </xf>
    <xf numFmtId="0" fontId="12056" fillId="12061" borderId="11722" xfId="0" applyFont="1" applyFill="1" applyBorder="1" applyAlignment="1">
      <alignment horizontal="center"/>
    </xf>
    <xf numFmtId="0" fontId="11792" fillId="11797" borderId="12008" xfId="0" applyFont="1" applyFill="1" applyBorder="1" applyAlignment="1">
      <alignment horizontal="center"/>
    </xf>
    <xf numFmtId="0" fontId="11660" fillId="11665" borderId="11744" xfId="0" applyFont="1" applyFill="1" applyBorder="1" applyAlignment="1">
      <alignment horizontal="center"/>
    </xf>
    <xf numFmtId="0" fontId="11990" fillId="11995" borderId="11612" xfId="0" applyFont="1" applyFill="1" applyBorder="1" applyAlignment="1">
      <alignment horizontal="center"/>
    </xf>
    <xf numFmtId="0" fontId="11726" fillId="11731" borderId="11942" xfId="0" applyFont="1" applyFill="1" applyBorder="1" applyAlignment="1">
      <alignment horizontal="center"/>
    </xf>
    <xf numFmtId="0" fontId="11825" fillId="11830" borderId="11678" xfId="0" applyFont="1" applyFill="1" applyBorder="1" applyAlignment="1">
      <alignment horizontal="center"/>
    </xf>
    <xf numFmtId="0" fontId="11858" fillId="11863" borderId="11777" xfId="0" applyFont="1" applyFill="1" applyBorder="1" applyAlignment="1">
      <alignment horizontal="center"/>
    </xf>
    <xf numFmtId="0" fontId="12067" fillId="12072" borderId="11810" xfId="0" applyFont="1" applyFill="1" applyBorder="1" applyAlignment="1">
      <alignment horizontal="center"/>
    </xf>
    <xf numFmtId="0" fontId="11803" fillId="11808" borderId="12019" xfId="0" applyFont="1" applyFill="1" applyBorder="1" applyAlignment="1">
      <alignment horizontal="center"/>
    </xf>
    <xf numFmtId="0" fontId="11836" fillId="11841" borderId="11755" xfId="0" applyFont="1" applyFill="1" applyBorder="1" applyAlignment="1">
      <alignment horizontal="center"/>
    </xf>
    <xf numFmtId="0" fontId="11869" fillId="11874" borderId="11788" xfId="0" applyFont="1" applyFill="1" applyBorder="1" applyAlignment="1">
      <alignment horizontal="center"/>
    </xf>
    <xf numFmtId="0" fontId="11671" fillId="11676" borderId="11821" xfId="0" applyFont="1" applyFill="1" applyBorder="1" applyAlignment="1">
      <alignment horizontal="center"/>
    </xf>
    <xf numFmtId="0" fontId="12001" fillId="12006" borderId="11623" xfId="0" applyFont="1" applyFill="1" applyBorder="1" applyAlignment="1">
      <alignment horizontal="center"/>
    </xf>
    <xf numFmtId="0" fontId="11737" fillId="11742" borderId="11953" xfId="0" applyFont="1" applyFill="1" applyBorder="1" applyAlignment="1">
      <alignment horizontal="center"/>
    </xf>
    <xf numFmtId="0" fontId="12023" fillId="12028" borderId="11689" xfId="0" applyFont="1" applyFill="1" applyBorder="1" applyAlignment="1">
      <alignment horizontal="center"/>
    </xf>
    <xf numFmtId="0" fontId="11759" fillId="11764" borderId="11975" xfId="0" applyFont="1" applyFill="1" applyBorder="1" applyAlignment="1">
      <alignment horizontal="center"/>
    </xf>
    <xf numFmtId="0" fontId="12045" fillId="12050" borderId="11711" xfId="0" applyFont="1" applyFill="1" applyBorder="1" applyAlignment="1">
      <alignment horizontal="center"/>
    </xf>
    <xf numFmtId="0" fontId="11781" fillId="11786" borderId="11997" xfId="0" applyFont="1" applyFill="1" applyBorder="1" applyAlignment="1">
      <alignment horizontal="center"/>
    </xf>
    <xf numFmtId="0" fontId="11649" fillId="11654" borderId="11733" xfId="0" applyFont="1" applyFill="1" applyBorder="1" applyAlignment="1">
      <alignment horizontal="center"/>
    </xf>
    <xf numFmtId="165" fontId="11958" fillId="11963" borderId="11569" xfId="0" applyNumberFormat="1" applyFont="1" applyFill="1" applyBorder="1"/>
    <xf numFmtId="165" fontId="11914" fillId="11919" borderId="11910" xfId="0" applyNumberFormat="1" applyFont="1" applyFill="1" applyBorder="1"/>
    <xf numFmtId="165" fontId="11716" fillId="11721" borderId="11866" xfId="0" applyNumberFormat="1" applyFont="1" applyFill="1" applyBorder="1"/>
    <xf numFmtId="165" fontId="11639" fillId="11644" borderId="11668" xfId="0" applyNumberFormat="1" applyFont="1" applyFill="1" applyBorder="1"/>
    <xf numFmtId="165" fontId="11980" fillId="11985" borderId="11591" xfId="0" applyNumberFormat="1" applyFont="1" applyFill="1" applyBorder="1"/>
    <xf numFmtId="165" fontId="11947" fillId="11952" borderId="11932" xfId="0" applyNumberFormat="1" applyFont="1" applyFill="1" applyBorder="1"/>
    <xf numFmtId="165" fontId="11903" fillId="11908" borderId="11899" xfId="0" applyNumberFormat="1" applyFont="1" applyFill="1" applyBorder="1"/>
    <xf numFmtId="165" fontId="11705" fillId="11710" borderId="11855" xfId="0" applyNumberFormat="1" applyFont="1" applyFill="1" applyBorder="1"/>
    <xf numFmtId="165" fontId="11628" fillId="11633" borderId="11657" xfId="0" applyNumberFormat="1" applyFont="1" applyFill="1" applyBorder="1"/>
    <xf numFmtId="165" fontId="11969" fillId="11974" borderId="11580" xfId="0" applyNumberFormat="1" applyFont="1" applyFill="1" applyBorder="1"/>
    <xf numFmtId="165" fontId="11936" fillId="11941" borderId="11921" xfId="0" applyNumberFormat="1" applyFont="1" applyFill="1" applyBorder="1"/>
    <xf numFmtId="165" fontId="11892" fillId="11897" borderId="11888" xfId="0" applyNumberFormat="1" applyFont="1" applyFill="1" applyBorder="1"/>
    <xf numFmtId="165" fontId="11694" fillId="11699" borderId="11844" xfId="0" applyNumberFormat="1" applyFont="1" applyFill="1" applyBorder="1"/>
    <xf numFmtId="165" fontId="11617" fillId="11622" borderId="11646" xfId="0" applyNumberFormat="1" applyFont="1" applyFill="1" applyBorder="1"/>
    <xf numFmtId="165" fontId="11815" fillId="11820" borderId="11602" xfId="0" applyNumberFormat="1" applyFont="1" applyFill="1" applyBorder="1"/>
    <xf numFmtId="165" fontId="11848" fillId="11853" borderId="11767" xfId="0" applyNumberFormat="1" applyFont="1" applyFill="1" applyBorder="1"/>
    <xf numFmtId="165" fontId="11925" fillId="11930" borderId="11800" xfId="0" applyNumberFormat="1" applyFont="1" applyFill="1" applyBorder="1"/>
    <xf numFmtId="165" fontId="11881" fillId="11886" borderId="11877" xfId="0" applyNumberFormat="1" applyFont="1" applyFill="1" applyBorder="1"/>
    <xf numFmtId="165" fontId="11683" fillId="11688" borderId="11833" xfId="0" applyNumberFormat="1" applyFont="1" applyFill="1" applyBorder="1"/>
    <xf numFmtId="165" fontId="12013" fillId="12018" borderId="11635" xfId="0" applyNumberFormat="1" applyFont="1" applyFill="1" applyBorder="1"/>
    <xf numFmtId="165" fontId="11749" fillId="11754" borderId="11965" xfId="0" applyNumberFormat="1" applyFont="1" applyFill="1" applyBorder="1"/>
    <xf numFmtId="165" fontId="12035" fillId="12040" borderId="11701" xfId="0" applyNumberFormat="1" applyFont="1" applyFill="1" applyBorder="1"/>
    <xf numFmtId="165" fontId="11771" fillId="11776" borderId="11987" xfId="0" applyNumberFormat="1" applyFont="1" applyFill="1" applyBorder="1"/>
    <xf numFmtId="165" fontId="12057" fillId="12062" borderId="11723" xfId="0" applyNumberFormat="1" applyFont="1" applyFill="1" applyBorder="1"/>
    <xf numFmtId="165" fontId="11793" fillId="11798" borderId="12009" xfId="0" applyNumberFormat="1" applyFont="1" applyFill="1" applyBorder="1"/>
    <xf numFmtId="165" fontId="11661" fillId="11666" borderId="11745" xfId="0" applyNumberFormat="1" applyFont="1" applyFill="1" applyBorder="1"/>
    <xf numFmtId="165" fontId="11991" fillId="11996" borderId="11613" xfId="0" applyNumberFormat="1" applyFont="1" applyFill="1" applyBorder="1"/>
    <xf numFmtId="165" fontId="11727" fillId="11732" borderId="11943" xfId="0" applyNumberFormat="1" applyFont="1" applyFill="1" applyBorder="1"/>
    <xf numFmtId="165" fontId="11826" fillId="11831" borderId="11679" xfId="0" applyNumberFormat="1" applyFont="1" applyFill="1" applyBorder="1"/>
    <xf numFmtId="165" fontId="11859" fillId="11864" borderId="11778" xfId="0" applyNumberFormat="1" applyFont="1" applyFill="1" applyBorder="1"/>
    <xf numFmtId="165" fontId="12068" fillId="12073" borderId="11811" xfId="0" applyNumberFormat="1" applyFont="1" applyFill="1" applyBorder="1"/>
    <xf numFmtId="165" fontId="11804" fillId="11809" borderId="12020" xfId="0" applyNumberFormat="1" applyFont="1" applyFill="1" applyBorder="1"/>
    <xf numFmtId="165" fontId="11837" fillId="11842" borderId="11756" xfId="0" applyNumberFormat="1" applyFont="1" applyFill="1" applyBorder="1"/>
    <xf numFmtId="165" fontId="11870" fillId="11875" borderId="11789" xfId="0" applyNumberFormat="1" applyFont="1" applyFill="1" applyBorder="1"/>
    <xf numFmtId="165" fontId="11672" fillId="11677" borderId="11822" xfId="0" applyNumberFormat="1" applyFont="1" applyFill="1" applyBorder="1"/>
    <xf numFmtId="165" fontId="12002" fillId="12007" borderId="11624" xfId="0" applyNumberFormat="1" applyFont="1" applyFill="1" applyBorder="1"/>
    <xf numFmtId="165" fontId="11738" fillId="11743" borderId="11954" xfId="0" applyNumberFormat="1" applyFont="1" applyFill="1" applyBorder="1"/>
    <xf numFmtId="165" fontId="12024" fillId="12029" borderId="11690" xfId="0" applyNumberFormat="1" applyFont="1" applyFill="1" applyBorder="1"/>
    <xf numFmtId="165" fontId="11760" fillId="11765" borderId="11976" xfId="0" applyNumberFormat="1" applyFont="1" applyFill="1" applyBorder="1"/>
    <xf numFmtId="165" fontId="12046" fillId="12051" borderId="11712" xfId="0" applyNumberFormat="1" applyFont="1" applyFill="1" applyBorder="1"/>
    <xf numFmtId="165" fontId="11782" fillId="11787" borderId="11998" xfId="0" applyNumberFormat="1" applyFont="1" applyFill="1" applyBorder="1"/>
    <xf numFmtId="165" fontId="11650" fillId="11655" borderId="11734" xfId="0" applyNumberFormat="1" applyFont="1" applyFill="1" applyBorder="1"/>
    <xf numFmtId="165" fontId="11959" fillId="11964" borderId="11570" xfId="0" applyNumberFormat="1" applyFont="1" applyFill="1" applyBorder="1"/>
    <xf numFmtId="165" fontId="11915" fillId="11920" borderId="11911" xfId="0" applyNumberFormat="1" applyFont="1" applyFill="1" applyBorder="1"/>
    <xf numFmtId="165" fontId="11717" fillId="11722" borderId="11867" xfId="0" applyNumberFormat="1" applyFont="1" applyFill="1" applyBorder="1"/>
    <xf numFmtId="165" fontId="11640" fillId="11645" borderId="11669" xfId="0" applyNumberFormat="1" applyFont="1" applyFill="1" applyBorder="1"/>
    <xf numFmtId="165" fontId="11981" fillId="11986" borderId="11592" xfId="0" applyNumberFormat="1" applyFont="1" applyFill="1" applyBorder="1"/>
    <xf numFmtId="165" fontId="11948" fillId="11953" borderId="11933" xfId="0" applyNumberFormat="1" applyFont="1" applyFill="1" applyBorder="1"/>
    <xf numFmtId="165" fontId="11904" fillId="11909" borderId="11900" xfId="0" applyNumberFormat="1" applyFont="1" applyFill="1" applyBorder="1"/>
    <xf numFmtId="165" fontId="11706" fillId="11711" borderId="11856" xfId="0" applyNumberFormat="1" applyFont="1" applyFill="1" applyBorder="1"/>
    <xf numFmtId="165" fontId="11629" fillId="11634" borderId="11658" xfId="0" applyNumberFormat="1" applyFont="1" applyFill="1" applyBorder="1"/>
    <xf numFmtId="165" fontId="11970" fillId="11975" borderId="11581" xfId="0" applyNumberFormat="1" applyFont="1" applyFill="1" applyBorder="1"/>
    <xf numFmtId="165" fontId="11937" fillId="11942" borderId="11922" xfId="0" applyNumberFormat="1" applyFont="1" applyFill="1" applyBorder="1"/>
    <xf numFmtId="165" fontId="11893" fillId="11898" borderId="11889" xfId="0" applyNumberFormat="1" applyFont="1" applyFill="1" applyBorder="1"/>
    <xf numFmtId="165" fontId="11695" fillId="11700" borderId="11845" xfId="0" applyNumberFormat="1" applyFont="1" applyFill="1" applyBorder="1"/>
    <xf numFmtId="165" fontId="11618" fillId="11623" borderId="11647" xfId="0" applyNumberFormat="1" applyFont="1" applyFill="1" applyBorder="1"/>
    <xf numFmtId="165" fontId="11816" fillId="11821" borderId="11603" xfId="0" applyNumberFormat="1" applyFont="1" applyFill="1" applyBorder="1"/>
    <xf numFmtId="165" fontId="11849" fillId="11854" borderId="11768" xfId="0" applyNumberFormat="1" applyFont="1" applyFill="1" applyBorder="1"/>
    <xf numFmtId="165" fontId="11926" fillId="11931" borderId="11801" xfId="0" applyNumberFormat="1" applyFont="1" applyFill="1" applyBorder="1"/>
    <xf numFmtId="165" fontId="11882" fillId="11887" borderId="11878" xfId="0" applyNumberFormat="1" applyFont="1" applyFill="1" applyBorder="1"/>
    <xf numFmtId="165" fontId="11684" fillId="11689" borderId="11834" xfId="0" applyNumberFormat="1" applyFont="1" applyFill="1" applyBorder="1"/>
    <xf numFmtId="165" fontId="12014" fillId="12019" borderId="11636" xfId="0" applyNumberFormat="1" applyFont="1" applyFill="1" applyBorder="1"/>
    <xf numFmtId="165" fontId="11750" fillId="11755" borderId="11966" xfId="0" applyNumberFormat="1" applyFont="1" applyFill="1" applyBorder="1"/>
    <xf numFmtId="165" fontId="12036" fillId="12041" borderId="11702" xfId="0" applyNumberFormat="1" applyFont="1" applyFill="1" applyBorder="1"/>
    <xf numFmtId="165" fontId="11772" fillId="11777" borderId="11988" xfId="0" applyNumberFormat="1" applyFont="1" applyFill="1" applyBorder="1"/>
    <xf numFmtId="165" fontId="12058" fillId="12063" borderId="11724" xfId="0" applyNumberFormat="1" applyFont="1" applyFill="1" applyBorder="1"/>
    <xf numFmtId="165" fontId="11794" fillId="11799" borderId="12010" xfId="0" applyNumberFormat="1" applyFont="1" applyFill="1" applyBorder="1"/>
    <xf numFmtId="165" fontId="11662" fillId="11667" borderId="11746" xfId="0" applyNumberFormat="1" applyFont="1" applyFill="1" applyBorder="1"/>
    <xf numFmtId="165" fontId="11992" fillId="11997" borderId="11614" xfId="0" applyNumberFormat="1" applyFont="1" applyFill="1" applyBorder="1"/>
    <xf numFmtId="165" fontId="11728" fillId="11733" borderId="11944" xfId="0" applyNumberFormat="1" applyFont="1" applyFill="1" applyBorder="1"/>
    <xf numFmtId="165" fontId="11827" fillId="11832" borderId="11680" xfId="0" applyNumberFormat="1" applyFont="1" applyFill="1" applyBorder="1"/>
    <xf numFmtId="165" fontId="11860" fillId="11865" borderId="11779" xfId="0" applyNumberFormat="1" applyFont="1" applyFill="1" applyBorder="1"/>
    <xf numFmtId="165" fontId="12069" fillId="12074" borderId="11812" xfId="0" applyNumberFormat="1" applyFont="1" applyFill="1" applyBorder="1"/>
    <xf numFmtId="165" fontId="11805" fillId="11810" borderId="12021" xfId="0" applyNumberFormat="1" applyFont="1" applyFill="1" applyBorder="1"/>
    <xf numFmtId="165" fontId="11838" fillId="11843" borderId="11757" xfId="0" applyNumberFormat="1" applyFont="1" applyFill="1" applyBorder="1"/>
    <xf numFmtId="165" fontId="11871" fillId="11876" borderId="11790" xfId="0" applyNumberFormat="1" applyFont="1" applyFill="1" applyBorder="1"/>
    <xf numFmtId="165" fontId="11673" fillId="11678" borderId="11823" xfId="0" applyNumberFormat="1" applyFont="1" applyFill="1" applyBorder="1"/>
    <xf numFmtId="165" fontId="12003" fillId="12008" borderId="11625" xfId="0" applyNumberFormat="1" applyFont="1" applyFill="1" applyBorder="1"/>
    <xf numFmtId="165" fontId="11739" fillId="11744" borderId="11955" xfId="0" applyNumberFormat="1" applyFont="1" applyFill="1" applyBorder="1"/>
    <xf numFmtId="165" fontId="12025" fillId="12030" borderId="11691" xfId="0" applyNumberFormat="1" applyFont="1" applyFill="1" applyBorder="1"/>
    <xf numFmtId="165" fontId="11761" fillId="11766" borderId="11977" xfId="0" applyNumberFormat="1" applyFont="1" applyFill="1" applyBorder="1"/>
    <xf numFmtId="165" fontId="12047" fillId="12052" borderId="11713" xfId="0" applyNumberFormat="1" applyFont="1" applyFill="1" applyBorder="1"/>
    <xf numFmtId="165" fontId="11783" fillId="11788" borderId="11999" xfId="0" applyNumberFormat="1" applyFont="1" applyFill="1" applyBorder="1"/>
    <xf numFmtId="165" fontId="11651" fillId="11656" borderId="11735" xfId="0" applyNumberFormat="1" applyFont="1" applyFill="1" applyBorder="1"/>
    <xf numFmtId="165" fontId="11960" fillId="11965" borderId="11571" xfId="0" applyNumberFormat="1" applyFont="1" applyFill="1" applyBorder="1"/>
    <xf numFmtId="165" fontId="11916" fillId="11921" borderId="11912" xfId="0" applyNumberFormat="1" applyFont="1" applyFill="1" applyBorder="1"/>
    <xf numFmtId="165" fontId="11718" fillId="11723" borderId="11868" xfId="0" applyNumberFormat="1" applyFont="1" applyFill="1" applyBorder="1"/>
    <xf numFmtId="165" fontId="11641" fillId="11646" borderId="11670" xfId="0" applyNumberFormat="1" applyFont="1" applyFill="1" applyBorder="1"/>
    <xf numFmtId="165" fontId="11982" fillId="11987" borderId="11593" xfId="0" applyNumberFormat="1" applyFont="1" applyFill="1" applyBorder="1"/>
    <xf numFmtId="165" fontId="11949" fillId="11954" borderId="11934" xfId="0" applyNumberFormat="1" applyFont="1" applyFill="1" applyBorder="1"/>
    <xf numFmtId="165" fontId="11905" fillId="11910" borderId="11901" xfId="0" applyNumberFormat="1" applyFont="1" applyFill="1" applyBorder="1"/>
    <xf numFmtId="165" fontId="11707" fillId="11712" borderId="11857" xfId="0" applyNumberFormat="1" applyFont="1" applyFill="1" applyBorder="1"/>
    <xf numFmtId="165" fontId="11630" fillId="11635" borderId="11659" xfId="0" applyNumberFormat="1" applyFont="1" applyFill="1" applyBorder="1"/>
    <xf numFmtId="165" fontId="11971" fillId="11976" borderId="11582" xfId="0" applyNumberFormat="1" applyFont="1" applyFill="1" applyBorder="1"/>
    <xf numFmtId="165" fontId="11938" fillId="11943" borderId="11923" xfId="0" applyNumberFormat="1" applyFont="1" applyFill="1" applyBorder="1"/>
    <xf numFmtId="165" fontId="11894" fillId="11899" borderId="11890" xfId="0" applyNumberFormat="1" applyFont="1" applyFill="1" applyBorder="1"/>
    <xf numFmtId="165" fontId="11696" fillId="11701" borderId="11846" xfId="0" applyNumberFormat="1" applyFont="1" applyFill="1" applyBorder="1"/>
    <xf numFmtId="165" fontId="11619" fillId="11624" borderId="11648" xfId="0" applyNumberFormat="1" applyFont="1" applyFill="1" applyBorder="1"/>
    <xf numFmtId="165" fontId="11817" fillId="11822" borderId="11604" xfId="0" applyNumberFormat="1" applyFont="1" applyFill="1" applyBorder="1"/>
    <xf numFmtId="165" fontId="11850" fillId="11855" borderId="11769" xfId="0" applyNumberFormat="1" applyFont="1" applyFill="1" applyBorder="1"/>
    <xf numFmtId="165" fontId="11927" fillId="11932" borderId="11802" xfId="0" applyNumberFormat="1" applyFont="1" applyFill="1" applyBorder="1"/>
    <xf numFmtId="165" fontId="11883" fillId="11888" borderId="11879" xfId="0" applyNumberFormat="1" applyFont="1" applyFill="1" applyBorder="1"/>
    <xf numFmtId="165" fontId="11685" fillId="11690" borderId="11835" xfId="0" applyNumberFormat="1" applyFont="1" applyFill="1" applyBorder="1"/>
    <xf numFmtId="165" fontId="12015" fillId="12020" borderId="11637" xfId="0" applyNumberFormat="1" applyFont="1" applyFill="1" applyBorder="1"/>
    <xf numFmtId="165" fontId="11751" fillId="11756" borderId="11967" xfId="0" applyNumberFormat="1" applyFont="1" applyFill="1" applyBorder="1"/>
    <xf numFmtId="165" fontId="12037" fillId="12042" borderId="11703" xfId="0" applyNumberFormat="1" applyFont="1" applyFill="1" applyBorder="1"/>
    <xf numFmtId="165" fontId="11773" fillId="11778" borderId="11989" xfId="0" applyNumberFormat="1" applyFont="1" applyFill="1" applyBorder="1"/>
    <xf numFmtId="165" fontId="12059" fillId="12064" borderId="11725" xfId="0" applyNumberFormat="1" applyFont="1" applyFill="1" applyBorder="1"/>
    <xf numFmtId="165" fontId="11795" fillId="11800" borderId="12011" xfId="0" applyNumberFormat="1" applyFont="1" applyFill="1" applyBorder="1"/>
    <xf numFmtId="165" fontId="11663" fillId="11668" borderId="11747" xfId="0" applyNumberFormat="1" applyFont="1" applyFill="1" applyBorder="1"/>
    <xf numFmtId="165" fontId="11993" fillId="11998" borderId="11615" xfId="0" applyNumberFormat="1" applyFont="1" applyFill="1" applyBorder="1"/>
    <xf numFmtId="165" fontId="11729" fillId="11734" borderId="11945" xfId="0" applyNumberFormat="1" applyFont="1" applyFill="1" applyBorder="1"/>
    <xf numFmtId="165" fontId="11828" fillId="11833" borderId="11681" xfId="0" applyNumberFormat="1" applyFont="1" applyFill="1" applyBorder="1"/>
    <xf numFmtId="165" fontId="11861" fillId="11866" borderId="11780" xfId="0" applyNumberFormat="1" applyFont="1" applyFill="1" applyBorder="1"/>
    <xf numFmtId="165" fontId="12070" fillId="12075" borderId="11813" xfId="0" applyNumberFormat="1" applyFont="1" applyFill="1" applyBorder="1"/>
    <xf numFmtId="165" fontId="11806" fillId="11811" borderId="12022" xfId="0" applyNumberFormat="1" applyFont="1" applyFill="1" applyBorder="1"/>
    <xf numFmtId="165" fontId="11839" fillId="11844" borderId="11758" xfId="0" applyNumberFormat="1" applyFont="1" applyFill="1" applyBorder="1"/>
    <xf numFmtId="165" fontId="11872" fillId="11877" borderId="11791" xfId="0" applyNumberFormat="1" applyFont="1" applyFill="1" applyBorder="1"/>
    <xf numFmtId="165" fontId="11674" fillId="11679" borderId="11824" xfId="0" applyNumberFormat="1" applyFont="1" applyFill="1" applyBorder="1"/>
    <xf numFmtId="165" fontId="12004" fillId="12009" borderId="11626" xfId="0" applyNumberFormat="1" applyFont="1" applyFill="1" applyBorder="1"/>
    <xf numFmtId="165" fontId="11740" fillId="11745" borderId="11956" xfId="0" applyNumberFormat="1" applyFont="1" applyFill="1" applyBorder="1"/>
    <xf numFmtId="165" fontId="12026" fillId="12031" borderId="11692" xfId="0" applyNumberFormat="1" applyFont="1" applyFill="1" applyBorder="1"/>
    <xf numFmtId="165" fontId="11762" fillId="11767" borderId="11978" xfId="0" applyNumberFormat="1" applyFont="1" applyFill="1" applyBorder="1"/>
    <xf numFmtId="165" fontId="12048" fillId="12053" borderId="11714" xfId="0" applyNumberFormat="1" applyFont="1" applyFill="1" applyBorder="1"/>
    <xf numFmtId="165" fontId="11784" fillId="11789" borderId="12000" xfId="0" applyNumberFormat="1" applyFont="1" applyFill="1" applyBorder="1"/>
    <xf numFmtId="165" fontId="11652" fillId="11657" borderId="11736" xfId="0" applyNumberFormat="1" applyFont="1" applyFill="1" applyBorder="1"/>
    <xf numFmtId="4" fontId="11961" fillId="11966" borderId="11572" xfId="0" applyNumberFormat="1" applyFont="1" applyFill="1" applyBorder="1"/>
    <xf numFmtId="4" fontId="11917" fillId="11922" borderId="11913" xfId="0" applyNumberFormat="1" applyFont="1" applyFill="1" applyBorder="1"/>
    <xf numFmtId="4" fontId="11719" fillId="11724" borderId="11869" xfId="0" applyNumberFormat="1" applyFont="1" applyFill="1" applyBorder="1"/>
    <xf numFmtId="4" fontId="11642" fillId="11647" borderId="11671" xfId="0" applyNumberFormat="1" applyFont="1" applyFill="1" applyBorder="1"/>
    <xf numFmtId="4" fontId="11983" fillId="11988" borderId="11594" xfId="0" applyNumberFormat="1" applyFont="1" applyFill="1" applyBorder="1"/>
    <xf numFmtId="4" fontId="11950" fillId="11955" borderId="11935" xfId="0" applyNumberFormat="1" applyFont="1" applyFill="1" applyBorder="1"/>
    <xf numFmtId="4" fontId="11906" fillId="11911" borderId="11902" xfId="0" applyNumberFormat="1" applyFont="1" applyFill="1" applyBorder="1"/>
    <xf numFmtId="4" fontId="11708" fillId="11713" borderId="11858" xfId="0" applyNumberFormat="1" applyFont="1" applyFill="1" applyBorder="1"/>
    <xf numFmtId="4" fontId="11631" fillId="11636" borderId="11660" xfId="0" applyNumberFormat="1" applyFont="1" applyFill="1" applyBorder="1"/>
    <xf numFmtId="4" fontId="11972" fillId="11977" borderId="11583" xfId="0" applyNumberFormat="1" applyFont="1" applyFill="1" applyBorder="1"/>
    <xf numFmtId="4" fontId="11939" fillId="11944" borderId="11924" xfId="0" applyNumberFormat="1" applyFont="1" applyFill="1" applyBorder="1"/>
    <xf numFmtId="4" fontId="11895" fillId="11900" borderId="11891" xfId="0" applyNumberFormat="1" applyFont="1" applyFill="1" applyBorder="1"/>
    <xf numFmtId="4" fontId="11697" fillId="11702" borderId="11847" xfId="0" applyNumberFormat="1" applyFont="1" applyFill="1" applyBorder="1"/>
    <xf numFmtId="4" fontId="11620" fillId="11625" borderId="11649" xfId="0" applyNumberFormat="1" applyFont="1" applyFill="1" applyBorder="1"/>
    <xf numFmtId="4" fontId="11818" fillId="11823" borderId="11605" xfId="0" applyNumberFormat="1" applyFont="1" applyFill="1" applyBorder="1"/>
    <xf numFmtId="4" fontId="11851" fillId="11856" borderId="11770" xfId="0" applyNumberFormat="1" applyFont="1" applyFill="1" applyBorder="1"/>
    <xf numFmtId="4" fontId="11928" fillId="11933" borderId="11803" xfId="0" applyNumberFormat="1" applyFont="1" applyFill="1" applyBorder="1"/>
    <xf numFmtId="4" fontId="11884" fillId="11889" borderId="11880" xfId="0" applyNumberFormat="1" applyFont="1" applyFill="1" applyBorder="1"/>
    <xf numFmtId="4" fontId="11686" fillId="11691" borderId="11836" xfId="0" applyNumberFormat="1" applyFont="1" applyFill="1" applyBorder="1"/>
    <xf numFmtId="4" fontId="12016" fillId="12021" borderId="11638" xfId="0" applyNumberFormat="1" applyFont="1" applyFill="1" applyBorder="1"/>
    <xf numFmtId="4" fontId="11752" fillId="11757" borderId="11968" xfId="0" applyNumberFormat="1" applyFont="1" applyFill="1" applyBorder="1"/>
    <xf numFmtId="4" fontId="12038" fillId="12043" borderId="11704" xfId="0" applyNumberFormat="1" applyFont="1" applyFill="1" applyBorder="1"/>
    <xf numFmtId="4" fontId="11774" fillId="11779" borderId="11990" xfId="0" applyNumberFormat="1" applyFont="1" applyFill="1" applyBorder="1"/>
    <xf numFmtId="4" fontId="12060" fillId="12065" borderId="11726" xfId="0" applyNumberFormat="1" applyFont="1" applyFill="1" applyBorder="1"/>
    <xf numFmtId="4" fontId="11796" fillId="11801" borderId="12012" xfId="0" applyNumberFormat="1" applyFont="1" applyFill="1" applyBorder="1"/>
    <xf numFmtId="4" fontId="11664" fillId="11669" borderId="11748" xfId="0" applyNumberFormat="1" applyFont="1" applyFill="1" applyBorder="1"/>
    <xf numFmtId="4" fontId="11994" fillId="11999" borderId="11616" xfId="0" applyNumberFormat="1" applyFont="1" applyFill="1" applyBorder="1"/>
    <xf numFmtId="4" fontId="11730" fillId="11735" borderId="11946" xfId="0" applyNumberFormat="1" applyFont="1" applyFill="1" applyBorder="1"/>
    <xf numFmtId="4" fontId="11829" fillId="11834" borderId="11682" xfId="0" applyNumberFormat="1" applyFont="1" applyFill="1" applyBorder="1"/>
    <xf numFmtId="4" fontId="11862" fillId="11867" borderId="11781" xfId="0" applyNumberFormat="1" applyFont="1" applyFill="1" applyBorder="1"/>
    <xf numFmtId="4" fontId="12071" fillId="12076" borderId="11814" xfId="0" applyNumberFormat="1" applyFont="1" applyFill="1" applyBorder="1"/>
    <xf numFmtId="4" fontId="11807" fillId="11812" borderId="12023" xfId="0" applyNumberFormat="1" applyFont="1" applyFill="1" applyBorder="1"/>
    <xf numFmtId="4" fontId="11840" fillId="11845" borderId="11759" xfId="0" applyNumberFormat="1" applyFont="1" applyFill="1" applyBorder="1"/>
    <xf numFmtId="4" fontId="11873" fillId="11878" borderId="11792" xfId="0" applyNumberFormat="1" applyFont="1" applyFill="1" applyBorder="1"/>
    <xf numFmtId="4" fontId="11675" fillId="11680" borderId="11825" xfId="0" applyNumberFormat="1" applyFont="1" applyFill="1" applyBorder="1"/>
    <xf numFmtId="4" fontId="12005" fillId="12010" borderId="11627" xfId="0" applyNumberFormat="1" applyFont="1" applyFill="1" applyBorder="1"/>
    <xf numFmtId="4" fontId="11741" fillId="11746" borderId="11957" xfId="0" applyNumberFormat="1" applyFont="1" applyFill="1" applyBorder="1"/>
    <xf numFmtId="4" fontId="12027" fillId="12032" borderId="11693" xfId="0" applyNumberFormat="1" applyFont="1" applyFill="1" applyBorder="1"/>
    <xf numFmtId="4" fontId="11763" fillId="11768" borderId="11979" xfId="0" applyNumberFormat="1" applyFont="1" applyFill="1" applyBorder="1"/>
    <xf numFmtId="4" fontId="12049" fillId="12054" borderId="11715" xfId="0" applyNumberFormat="1" applyFont="1" applyFill="1" applyBorder="1"/>
    <xf numFmtId="4" fontId="11785" fillId="11790" borderId="12001" xfId="0" applyNumberFormat="1" applyFont="1" applyFill="1" applyBorder="1"/>
    <xf numFmtId="4" fontId="11653" fillId="11658" borderId="11737" xfId="0" applyNumberFormat="1" applyFont="1" applyFill="1" applyBorder="1"/>
    <xf numFmtId="168" fontId="11962" fillId="11967" borderId="11573" xfId="0" applyNumberFormat="1" applyFont="1" applyFill="1" applyBorder="1"/>
    <xf numFmtId="168" fontId="11918" fillId="11923" borderId="11914" xfId="0" applyNumberFormat="1" applyFont="1" applyFill="1" applyBorder="1"/>
    <xf numFmtId="168" fontId="11720" fillId="11725" borderId="11870" xfId="0" applyNumberFormat="1" applyFont="1" applyFill="1" applyBorder="1"/>
    <xf numFmtId="168" fontId="11643" fillId="11648" borderId="11672" xfId="0" applyNumberFormat="1" applyFont="1" applyFill="1" applyBorder="1"/>
    <xf numFmtId="168" fontId="11984" fillId="11989" borderId="11595" xfId="0" applyNumberFormat="1" applyFont="1" applyFill="1" applyBorder="1"/>
    <xf numFmtId="168" fontId="11951" fillId="11956" borderId="11936" xfId="0" applyNumberFormat="1" applyFont="1" applyFill="1" applyBorder="1"/>
    <xf numFmtId="168" fontId="11907" fillId="11912" borderId="11903" xfId="0" applyNumberFormat="1" applyFont="1" applyFill="1" applyBorder="1"/>
    <xf numFmtId="168" fontId="11709" fillId="11714" borderId="11859" xfId="0" applyNumberFormat="1" applyFont="1" applyFill="1" applyBorder="1"/>
    <xf numFmtId="168" fontId="11632" fillId="11637" borderId="11661" xfId="0" applyNumberFormat="1" applyFont="1" applyFill="1" applyBorder="1"/>
    <xf numFmtId="168" fontId="11973" fillId="11978" borderId="11584" xfId="0" applyNumberFormat="1" applyFont="1" applyFill="1" applyBorder="1"/>
    <xf numFmtId="168" fontId="11940" fillId="11945" borderId="11925" xfId="0" applyNumberFormat="1" applyFont="1" applyFill="1" applyBorder="1"/>
    <xf numFmtId="168" fontId="11896" fillId="11901" borderId="11892" xfId="0" applyNumberFormat="1" applyFont="1" applyFill="1" applyBorder="1"/>
    <xf numFmtId="168" fontId="11698" fillId="11703" borderId="11848" xfId="0" applyNumberFormat="1" applyFont="1" applyFill="1" applyBorder="1"/>
    <xf numFmtId="168" fontId="11621" fillId="11626" borderId="11650" xfId="0" applyNumberFormat="1" applyFont="1" applyFill="1" applyBorder="1"/>
    <xf numFmtId="168" fontId="11819" fillId="11824" borderId="11606" xfId="0" applyNumberFormat="1" applyFont="1" applyFill="1" applyBorder="1"/>
    <xf numFmtId="168" fontId="11852" fillId="11857" borderId="11771" xfId="0" applyNumberFormat="1" applyFont="1" applyFill="1" applyBorder="1"/>
    <xf numFmtId="168" fontId="11929" fillId="11934" borderId="11804" xfId="0" applyNumberFormat="1" applyFont="1" applyFill="1" applyBorder="1"/>
    <xf numFmtId="168" fontId="11885" fillId="11890" borderId="11881" xfId="0" applyNumberFormat="1" applyFont="1" applyFill="1" applyBorder="1"/>
    <xf numFmtId="168" fontId="11687" fillId="11692" borderId="11837" xfId="0" applyNumberFormat="1" applyFont="1" applyFill="1" applyBorder="1"/>
    <xf numFmtId="168" fontId="12017" fillId="12022" borderId="11639" xfId="0" applyNumberFormat="1" applyFont="1" applyFill="1" applyBorder="1"/>
    <xf numFmtId="168" fontId="11753" fillId="11758" borderId="11969" xfId="0" applyNumberFormat="1" applyFont="1" applyFill="1" applyBorder="1"/>
    <xf numFmtId="168" fontId="12039" fillId="12044" borderId="11705" xfId="0" applyNumberFormat="1" applyFont="1" applyFill="1" applyBorder="1"/>
    <xf numFmtId="168" fontId="11775" fillId="11780" borderId="11991" xfId="0" applyNumberFormat="1" applyFont="1" applyFill="1" applyBorder="1"/>
    <xf numFmtId="168" fontId="12061" fillId="12066" borderId="11727" xfId="0" applyNumberFormat="1" applyFont="1" applyFill="1" applyBorder="1"/>
    <xf numFmtId="168" fontId="11797" fillId="11802" borderId="12013" xfId="0" applyNumberFormat="1" applyFont="1" applyFill="1" applyBorder="1"/>
    <xf numFmtId="168" fontId="11665" fillId="11670" borderId="11749" xfId="0" applyNumberFormat="1" applyFont="1" applyFill="1" applyBorder="1"/>
    <xf numFmtId="168" fontId="11995" fillId="12000" borderId="11617" xfId="0" applyNumberFormat="1" applyFont="1" applyFill="1" applyBorder="1"/>
    <xf numFmtId="168" fontId="11731" fillId="11736" borderId="11947" xfId="0" applyNumberFormat="1" applyFont="1" applyFill="1" applyBorder="1"/>
    <xf numFmtId="168" fontId="11830" fillId="11835" borderId="11683" xfId="0" applyNumberFormat="1" applyFont="1" applyFill="1" applyBorder="1"/>
    <xf numFmtId="168" fontId="11863" fillId="11868" borderId="11782" xfId="0" applyNumberFormat="1" applyFont="1" applyFill="1" applyBorder="1"/>
    <xf numFmtId="168" fontId="12072" fillId="12077" borderId="11815" xfId="0" applyNumberFormat="1" applyFont="1" applyFill="1" applyBorder="1"/>
    <xf numFmtId="168" fontId="11808" fillId="11813" borderId="12024" xfId="0" applyNumberFormat="1" applyFont="1" applyFill="1" applyBorder="1"/>
    <xf numFmtId="168" fontId="11841" fillId="11846" borderId="11760" xfId="0" applyNumberFormat="1" applyFont="1" applyFill="1" applyBorder="1"/>
    <xf numFmtId="168" fontId="11874" fillId="11879" borderId="11793" xfId="0" applyNumberFormat="1" applyFont="1" applyFill="1" applyBorder="1"/>
    <xf numFmtId="168" fontId="11676" fillId="11681" borderId="11826" xfId="0" applyNumberFormat="1" applyFont="1" applyFill="1" applyBorder="1"/>
    <xf numFmtId="168" fontId="12006" fillId="12011" borderId="11628" xfId="0" applyNumberFormat="1" applyFont="1" applyFill="1" applyBorder="1"/>
    <xf numFmtId="168" fontId="11742" fillId="11747" borderId="11958" xfId="0" applyNumberFormat="1" applyFont="1" applyFill="1" applyBorder="1"/>
    <xf numFmtId="168" fontId="12028" fillId="12033" borderId="11694" xfId="0" applyNumberFormat="1" applyFont="1" applyFill="1" applyBorder="1"/>
    <xf numFmtId="168" fontId="11764" fillId="11769" borderId="11980" xfId="0" applyNumberFormat="1" applyFont="1" applyFill="1" applyBorder="1"/>
    <xf numFmtId="168" fontId="12050" fillId="12055" borderId="11716" xfId="0" applyNumberFormat="1" applyFont="1" applyFill="1" applyBorder="1"/>
    <xf numFmtId="168" fontId="11786" fillId="11791" borderId="12002" xfId="0" applyNumberFormat="1" applyFont="1" applyFill="1" applyBorder="1"/>
    <xf numFmtId="168" fontId="11654" fillId="11659" borderId="11738" xfId="0" applyNumberFormat="1" applyFont="1" applyFill="1" applyBorder="1"/>
    <xf numFmtId="0" fontId="11963" fillId="11968" borderId="11574" xfId="0" applyFont="1" applyFill="1" applyBorder="1"/>
    <xf numFmtId="0" fontId="11919" fillId="11924" borderId="11915" xfId="0" applyFont="1" applyFill="1" applyBorder="1"/>
    <xf numFmtId="0" fontId="11721" fillId="11726" borderId="11871" xfId="0" applyFont="1" applyFill="1" applyBorder="1"/>
    <xf numFmtId="0" fontId="11644" fillId="11649" borderId="11673" xfId="0" applyFont="1" applyFill="1" applyBorder="1"/>
    <xf numFmtId="0" fontId="11985" fillId="11990" borderId="11596" xfId="0" applyFont="1" applyFill="1" applyBorder="1"/>
    <xf numFmtId="0" fontId="11952" fillId="11957" borderId="11937" xfId="0" applyFont="1" applyFill="1" applyBorder="1"/>
    <xf numFmtId="0" fontId="11908" fillId="11913" borderId="11904" xfId="0" applyFont="1" applyFill="1" applyBorder="1"/>
    <xf numFmtId="0" fontId="11710" fillId="11715" borderId="11860" xfId="0" applyFont="1" applyFill="1" applyBorder="1"/>
    <xf numFmtId="0" fontId="11633" fillId="11638" borderId="11662" xfId="0" applyFont="1" applyFill="1" applyBorder="1"/>
    <xf numFmtId="0" fontId="11974" fillId="11979" borderId="11585" xfId="0" applyFont="1" applyFill="1" applyBorder="1"/>
    <xf numFmtId="0" fontId="11941" fillId="11946" borderId="11926" xfId="0" applyFont="1" applyFill="1" applyBorder="1"/>
    <xf numFmtId="0" fontId="11897" fillId="11902" borderId="11893" xfId="0" applyFont="1" applyFill="1" applyBorder="1"/>
    <xf numFmtId="0" fontId="11699" fillId="11704" borderId="11849" xfId="0" applyFont="1" applyFill="1" applyBorder="1"/>
    <xf numFmtId="0" fontId="11622" fillId="11627" borderId="11651" xfId="0" applyFont="1" applyFill="1" applyBorder="1"/>
    <xf numFmtId="0" fontId="11820" fillId="11825" borderId="11607" xfId="0" applyFont="1" applyFill="1" applyBorder="1"/>
    <xf numFmtId="0" fontId="11853" fillId="11858" borderId="11772" xfId="0" applyFont="1" applyFill="1" applyBorder="1"/>
    <xf numFmtId="0" fontId="11930" fillId="11935" borderId="11805" xfId="0" applyFont="1" applyFill="1" applyBorder="1"/>
    <xf numFmtId="0" fontId="11886" fillId="11891" borderId="11882" xfId="0" applyFont="1" applyFill="1" applyBorder="1"/>
    <xf numFmtId="0" fontId="11688" fillId="11693" borderId="11838" xfId="0" applyFont="1" applyFill="1" applyBorder="1"/>
    <xf numFmtId="0" fontId="12018" fillId="12023" borderId="11640" xfId="0" applyFont="1" applyFill="1" applyBorder="1"/>
    <xf numFmtId="0" fontId="11754" fillId="11759" borderId="11970" xfId="0" applyFont="1" applyFill="1" applyBorder="1"/>
    <xf numFmtId="0" fontId="12040" fillId="12045" borderId="11706" xfId="0" applyFont="1" applyFill="1" applyBorder="1"/>
    <xf numFmtId="0" fontId="11776" fillId="11781" borderId="11992" xfId="0" applyFont="1" applyFill="1" applyBorder="1"/>
    <xf numFmtId="0" fontId="12062" fillId="12067" borderId="11728" xfId="0" applyFont="1" applyFill="1" applyBorder="1"/>
    <xf numFmtId="0" fontId="11798" fillId="11803" borderId="12014" xfId="0" applyFont="1" applyFill="1" applyBorder="1"/>
    <xf numFmtId="0" fontId="11666" fillId="11671" borderId="11750" xfId="0" applyFont="1" applyFill="1" applyBorder="1"/>
    <xf numFmtId="0" fontId="11996" fillId="12001" borderId="11618" xfId="0" applyFont="1" applyFill="1" applyBorder="1"/>
    <xf numFmtId="0" fontId="11732" fillId="11737" borderId="11948" xfId="0" applyFont="1" applyFill="1" applyBorder="1"/>
    <xf numFmtId="0" fontId="11831" fillId="11836" borderId="11684" xfId="0" applyFont="1" applyFill="1" applyBorder="1"/>
    <xf numFmtId="0" fontId="11864" fillId="11869" borderId="11783" xfId="0" applyFont="1" applyFill="1" applyBorder="1"/>
    <xf numFmtId="0" fontId="12073" fillId="12078" borderId="11816" xfId="0" applyFont="1" applyFill="1" applyBorder="1"/>
    <xf numFmtId="0" fontId="11809" fillId="11814" borderId="12025" xfId="0" applyFont="1" applyFill="1" applyBorder="1"/>
    <xf numFmtId="0" fontId="11842" fillId="11847" borderId="11761" xfId="0" applyFont="1" applyFill="1" applyBorder="1"/>
    <xf numFmtId="0" fontId="11875" fillId="11880" borderId="11794" xfId="0" applyFont="1" applyFill="1" applyBorder="1"/>
    <xf numFmtId="0" fontId="11677" fillId="11682" borderId="11827" xfId="0" applyFont="1" applyFill="1" applyBorder="1"/>
    <xf numFmtId="0" fontId="12007" fillId="12012" borderId="11629" xfId="0" applyFont="1" applyFill="1" applyBorder="1"/>
    <xf numFmtId="0" fontId="11743" fillId="11748" borderId="11959" xfId="0" applyFont="1" applyFill="1" applyBorder="1"/>
    <xf numFmtId="0" fontId="12029" fillId="12034" borderId="11695" xfId="0" applyFont="1" applyFill="1" applyBorder="1"/>
    <xf numFmtId="0" fontId="11765" fillId="11770" borderId="11981" xfId="0" applyFont="1" applyFill="1" applyBorder="1"/>
    <xf numFmtId="0" fontId="12051" fillId="12056" borderId="11717" xfId="0" applyFont="1" applyFill="1" applyBorder="1"/>
    <xf numFmtId="0" fontId="11787" fillId="11792" borderId="12003" xfId="0" applyFont="1" applyFill="1" applyBorder="1"/>
    <xf numFmtId="0" fontId="11655" fillId="11660" borderId="11739" xfId="0" applyFont="1" applyFill="1" applyBorder="1"/>
    <xf numFmtId="0" fontId="17560" fillId="17564" borderId="17511" xfId="0" applyFont="1" applyFill="1" applyBorder="1"/>
    <xf numFmtId="165" fontId="17561" fillId="17565" borderId="17512" xfId="0" applyNumberFormat="1" applyFont="1" applyFill="1" applyBorder="1"/>
    <xf numFmtId="165" fontId="17562" fillId="17566" borderId="17513" xfId="0" applyNumberFormat="1" applyFont="1" applyFill="1" applyBorder="1"/>
    <xf numFmtId="165" fontId="17563" fillId="17567" borderId="17514" xfId="0" applyNumberFormat="1" applyFont="1" applyFill="1" applyBorder="1"/>
    <xf numFmtId="165" fontId="17564" fillId="17568" borderId="17515" xfId="0" applyNumberFormat="1" applyFont="1" applyFill="1" applyBorder="1"/>
    <xf numFmtId="165" fontId="17565" fillId="17569" borderId="17516" xfId="0" applyNumberFormat="1" applyFont="1" applyFill="1" applyBorder="1"/>
    <xf numFmtId="165" fontId="17566" fillId="17570" borderId="17517" xfId="0" applyNumberFormat="1" applyFont="1" applyFill="1" applyBorder="1"/>
    <xf numFmtId="165" fontId="17567" fillId="17571" borderId="17518" xfId="0" applyNumberFormat="1" applyFont="1" applyFill="1" applyBorder="1"/>
    <xf numFmtId="0" fontId="17568" fillId="17572" borderId="17519" xfId="0" applyFont="1" applyFill="1" applyBorder="1"/>
    <xf numFmtId="0" fontId="17569" fillId="17573" borderId="17520" xfId="0" applyFont="1" applyFill="1" applyBorder="1"/>
    <xf numFmtId="0" fontId="17570" fillId="17574" borderId="17521" xfId="0" applyFont="1" applyFill="1" applyBorder="1"/>
    <xf numFmtId="0" fontId="17571" fillId="17575" borderId="17522" xfId="0" applyFont="1" applyFill="1" applyBorder="1"/>
    <xf numFmtId="0" fontId="17572" fillId="17584" borderId="17531" xfId="0" applyFont="1" applyFill="1" applyBorder="1"/>
    <xf numFmtId="0" fontId="17573" fillId="17585" borderId="17532" xfId="0" applyFont="1" applyFill="1" applyBorder="1"/>
    <xf numFmtId="0" fontId="17574" fillId="17586" borderId="17533" xfId="0" applyFont="1" applyFill="1" applyBorder="1"/>
    <xf numFmtId="0" fontId="17575" fillId="17587" borderId="17534" xfId="0" applyFont="1" applyFill="1" applyBorder="1"/>
    <xf numFmtId="0" fontId="17584" fillId="17596" borderId="17543" xfId="0" applyFont="1" applyFill="1" applyBorder="1"/>
    <xf numFmtId="0" fontId="17585" fillId="17597" borderId="17544" xfId="0" applyFont="1" applyFill="1" applyBorder="1"/>
    <xf numFmtId="0" fontId="17586" fillId="17598" borderId="17545" xfId="0" applyFont="1" applyFill="1" applyBorder="1"/>
    <xf numFmtId="0" fontId="17587" fillId="17599" borderId="17546" xfId="0" applyFont="1" applyFill="1" applyBorder="1"/>
    <xf numFmtId="0" fontId="17588" fillId="17600" borderId="17547" xfId="0" applyFont="1" applyFill="1" applyBorder="1"/>
    <xf numFmtId="0" fontId="17589" fillId="17601" borderId="17548" xfId="0" applyFont="1" applyFill="1" applyBorder="1"/>
    <xf numFmtId="0" fontId="17590" fillId="17602" borderId="17549" xfId="0" applyFont="1" applyFill="1" applyBorder="1"/>
    <xf numFmtId="0" fontId="17591" fillId="17603" borderId="17550" xfId="0" applyFont="1" applyFill="1" applyBorder="1"/>
    <xf numFmtId="0" fontId="17592" fillId="17604" borderId="17551" xfId="0" applyFont="1" applyFill="1" applyBorder="1"/>
    <xf numFmtId="0" fontId="17593" fillId="17605" borderId="17552" xfId="0" applyFont="1" applyFill="1" applyBorder="1"/>
    <xf numFmtId="0" fontId="17594" fillId="17606" borderId="17553" xfId="0" applyFont="1" applyFill="1" applyBorder="1"/>
    <xf numFmtId="0" fontId="17595" fillId="17607" borderId="17554" xfId="0" applyFont="1" applyFill="1" applyBorder="1"/>
    <xf numFmtId="0" fontId="17596" fillId="17608" borderId="17555" xfId="0" applyFont="1" applyFill="1" applyBorder="1"/>
    <xf numFmtId="0" fontId="17597" fillId="17609" borderId="17556" xfId="0" applyFont="1" applyFill="1" applyBorder="1"/>
    <xf numFmtId="0" fontId="17598" fillId="17610" borderId="17557" xfId="0" applyFont="1" applyFill="1" applyBorder="1"/>
    <xf numFmtId="0" fontId="17599" fillId="17611" borderId="17558" xfId="0" applyFont="1" applyFill="1" applyBorder="1"/>
    <xf numFmtId="0" fontId="17600" fillId="17612" borderId="17559" xfId="0" applyFont="1" applyFill="1" applyBorder="1"/>
    <xf numFmtId="0" fontId="17601" fillId="17613" borderId="17560" xfId="0" applyFont="1" applyFill="1" applyBorder="1"/>
    <xf numFmtId="0" fontId="17602" fillId="17614" borderId="17561" xfId="0" applyFont="1" applyFill="1" applyBorder="1"/>
    <xf numFmtId="0" fontId="17603" fillId="17615" borderId="17562" xfId="0" applyFont="1" applyFill="1" applyBorder="1"/>
    <xf numFmtId="0" fontId="17604" fillId="17616" borderId="17563" xfId="0" applyFont="1" applyFill="1" applyBorder="1"/>
    <xf numFmtId="0" fontId="17605" fillId="17617" borderId="17564" xfId="0" applyFont="1" applyFill="1" applyBorder="1"/>
    <xf numFmtId="0" fontId="17606" fillId="17618" borderId="17565" xfId="0" applyFont="1" applyFill="1" applyBorder="1"/>
    <xf numFmtId="0" fontId="17607" fillId="17619" borderId="17566" xfId="0" applyFont="1" applyFill="1" applyBorder="1"/>
    <xf numFmtId="0" fontId="17608" fillId="17620" borderId="17567" xfId="0" applyFont="1" applyFill="1" applyBorder="1"/>
    <xf numFmtId="0" fontId="17609" fillId="17621" borderId="17568" xfId="0" applyFont="1" applyFill="1" applyBorder="1"/>
    <xf numFmtId="0" fontId="17610" fillId="17622" borderId="17569" xfId="0" applyFont="1" applyFill="1" applyBorder="1"/>
    <xf numFmtId="0" fontId="17611" fillId="17623" borderId="17570" xfId="0" applyFont="1" applyFill="1" applyBorder="1"/>
    <xf numFmtId="0" fontId="17612" fillId="17624" borderId="17571" xfId="0" applyFont="1" applyFill="1" applyBorder="1"/>
    <xf numFmtId="0" fontId="17613" fillId="17625" borderId="17572" xfId="0" applyFont="1" applyFill="1" applyBorder="1"/>
    <xf numFmtId="0" fontId="17614" fillId="17626" borderId="17573" xfId="0" applyFont="1" applyFill="1" applyBorder="1"/>
    <xf numFmtId="0" fontId="17615" fillId="17627" borderId="17574" xfId="0" applyFont="1" applyFill="1" applyBorder="1"/>
    <xf numFmtId="0" fontId="17616" fillId="17628" borderId="17575" xfId="0" applyFont="1" applyFill="1" applyBorder="1"/>
    <xf numFmtId="0" fontId="17617" fillId="17629" borderId="17576" xfId="0" applyFont="1" applyFill="1" applyBorder="1"/>
    <xf numFmtId="0" fontId="17618" fillId="17630" borderId="17577" xfId="0" applyFont="1" applyFill="1" applyBorder="1"/>
    <xf numFmtId="0" fontId="17619" fillId="17631" borderId="17578" xfId="0" applyFont="1" applyFill="1" applyBorder="1"/>
    <xf numFmtId="0" fontId="17620" fillId="17632" borderId="17579" xfId="0" applyFont="1" applyFill="1" applyBorder="1"/>
    <xf numFmtId="0" fontId="17621" fillId="17633" borderId="17580" xfId="0" applyFont="1" applyFill="1" applyBorder="1"/>
    <xf numFmtId="0" fontId="17622" fillId="17634" borderId="17581" xfId="0" applyFont="1" applyFill="1" applyBorder="1"/>
    <xf numFmtId="0" fontId="17623" fillId="17635" borderId="17582" xfId="0" applyFont="1" applyFill="1" applyBorder="1"/>
    <xf numFmtId="0" fontId="17624" fillId="17636" borderId="17583" xfId="0" applyFont="1" applyFill="1" applyBorder="1"/>
    <xf numFmtId="0" fontId="17625" fillId="17637" borderId="17584" xfId="0" applyFont="1" applyFill="1" applyBorder="1"/>
    <xf numFmtId="0" fontId="17626" fillId="17638" borderId="17585" xfId="0" applyFont="1" applyFill="1" applyBorder="1"/>
    <xf numFmtId="0" fontId="17627" fillId="17639" borderId="17586" xfId="0" applyFont="1" applyFill="1" applyBorder="1"/>
    <xf numFmtId="0" fontId="17628" fillId="17640" borderId="17587" xfId="0" applyFont="1" applyFill="1" applyBorder="1"/>
    <xf numFmtId="0" fontId="17629" fillId="17641" borderId="17588" xfId="0" applyFont="1" applyFill="1" applyBorder="1"/>
    <xf numFmtId="0" fontId="17630" fillId="17642" borderId="17589" xfId="0" applyFont="1" applyFill="1" applyBorder="1"/>
    <xf numFmtId="0" fontId="17631" fillId="17643" borderId="17590" xfId="0" applyFont="1" applyFill="1" applyBorder="1"/>
    <xf numFmtId="0" fontId="17632" fillId="17644" borderId="17591" xfId="0" applyFont="1" applyFill="1" applyBorder="1"/>
    <xf numFmtId="0" fontId="17633" fillId="17645" borderId="17592" xfId="0" applyFont="1" applyFill="1" applyBorder="1"/>
    <xf numFmtId="0" fontId="17634" fillId="17646" borderId="17593" xfId="0" applyFont="1" applyFill="1" applyBorder="1"/>
    <xf numFmtId="0" fontId="17635" fillId="17647" borderId="17594" xfId="0" applyFont="1" applyFill="1" applyBorder="1"/>
    <xf numFmtId="0" fontId="17636" fillId="17648" borderId="17595" xfId="0" applyFont="1" applyFill="1" applyBorder="1"/>
    <xf numFmtId="0" fontId="17637" fillId="17649" borderId="17596" xfId="0" applyFont="1" applyFill="1" applyBorder="1"/>
    <xf numFmtId="0" fontId="17638" fillId="17650" borderId="17597" xfId="0" applyFont="1" applyFill="1" applyBorder="1"/>
    <xf numFmtId="0" fontId="17639" fillId="17651" borderId="17598" xfId="0" applyFont="1" applyFill="1" applyBorder="1"/>
    <xf numFmtId="0" fontId="17640" fillId="17652" borderId="17599" xfId="0" applyFont="1" applyFill="1" applyBorder="1"/>
    <xf numFmtId="0" fontId="17641" fillId="17653" borderId="17600" xfId="0" applyFont="1" applyFill="1" applyBorder="1"/>
    <xf numFmtId="0" fontId="17642" fillId="17654" borderId="17601" xfId="0" applyFont="1" applyFill="1" applyBorder="1"/>
    <xf numFmtId="0" fontId="17643" fillId="17655" borderId="17602" xfId="0" applyFont="1" applyFill="1" applyBorder="1"/>
    <xf numFmtId="0" fontId="17644" fillId="17656" borderId="17603" xfId="0" applyFont="1" applyFill="1" applyBorder="1"/>
    <xf numFmtId="0" fontId="17645" fillId="17657" borderId="17604" xfId="0" applyFont="1" applyFill="1" applyBorder="1"/>
    <xf numFmtId="0" fontId="17646" fillId="17658" borderId="17605" xfId="0" applyFont="1" applyFill="1" applyBorder="1"/>
    <xf numFmtId="0" fontId="17647" fillId="17659" borderId="17606" xfId="0" applyFont="1" applyFill="1" applyBorder="1"/>
    <xf numFmtId="0" fontId="17648" fillId="17660" borderId="17607" xfId="0" applyFont="1" applyFill="1" applyBorder="1"/>
    <xf numFmtId="0" fontId="17649" fillId="17661" borderId="17608" xfId="0" applyFont="1" applyFill="1" applyBorder="1"/>
    <xf numFmtId="0" fontId="17650" fillId="17662" borderId="17609" xfId="0" applyFont="1" applyFill="1" applyBorder="1"/>
    <xf numFmtId="0" fontId="17651" fillId="17663" borderId="17610" xfId="0" applyFont="1" applyFill="1" applyBorder="1"/>
    <xf numFmtId="0" fontId="17652" fillId="17664" borderId="17611" xfId="0" applyFont="1" applyFill="1" applyBorder="1"/>
    <xf numFmtId="0" fontId="17653" fillId="17665" borderId="17612" xfId="0" applyFont="1" applyFill="1" applyBorder="1"/>
    <xf numFmtId="0" fontId="17654" fillId="17666" borderId="17613" xfId="0" applyFont="1" applyFill="1" applyBorder="1"/>
    <xf numFmtId="0" fontId="17655" fillId="17667" borderId="17614" xfId="0" applyFont="1" applyFill="1" applyBorder="1"/>
    <xf numFmtId="0" fontId="17656" fillId="17668" borderId="17615" xfId="0" applyFont="1" applyFill="1" applyBorder="1"/>
    <xf numFmtId="0" fontId="17657" fillId="17669" borderId="17616" xfId="0" applyFont="1" applyFill="1" applyBorder="1"/>
    <xf numFmtId="0" fontId="17658" fillId="17670" borderId="17617" xfId="0" applyFont="1" applyFill="1" applyBorder="1"/>
    <xf numFmtId="0" fontId="17659" fillId="17671" borderId="17618" xfId="0" applyFont="1" applyFill="1" applyBorder="1"/>
    <xf numFmtId="0" fontId="17660" fillId="17672" borderId="17619" xfId="0" applyFont="1" applyFill="1" applyBorder="1"/>
    <xf numFmtId="0" fontId="17661" fillId="17673" borderId="17620" xfId="0" applyFont="1" applyFill="1" applyBorder="1"/>
    <xf numFmtId="0" fontId="17662" fillId="17674" borderId="17621" xfId="0" applyFont="1" applyFill="1" applyBorder="1"/>
    <xf numFmtId="0" fontId="17663" fillId="17675" borderId="17622" xfId="0" applyFont="1" applyFill="1" applyBorder="1"/>
    <xf numFmtId="0" fontId="17664" fillId="17676" borderId="17623" xfId="0" applyFont="1" applyFill="1" applyBorder="1"/>
    <xf numFmtId="0" fontId="17665" fillId="17677" borderId="17624" xfId="0" applyFont="1" applyFill="1" applyBorder="1"/>
    <xf numFmtId="0" fontId="17666" fillId="17678" borderId="17625" xfId="0" applyFont="1" applyFill="1" applyBorder="1"/>
    <xf numFmtId="0" fontId="17667" fillId="17679" borderId="17626" xfId="0" applyFont="1" applyFill="1" applyBorder="1"/>
    <xf numFmtId="0" fontId="17668" fillId="17680" borderId="17627" xfId="0" applyFont="1" applyFill="1" applyBorder="1"/>
    <xf numFmtId="0" fontId="17669" fillId="17681" borderId="17628" xfId="0" applyFont="1" applyFill="1" applyBorder="1"/>
    <xf numFmtId="0" fontId="17670" fillId="17682" borderId="17629" xfId="0" applyFont="1" applyFill="1" applyBorder="1"/>
    <xf numFmtId="0" fontId="17671" fillId="17683" borderId="17630" xfId="0" applyFont="1" applyFill="1" applyBorder="1"/>
    <xf numFmtId="0" fontId="17672" fillId="17684" borderId="17631" xfId="0" applyFont="1" applyFill="1" applyBorder="1"/>
    <xf numFmtId="0" fontId="17673" fillId="17685" borderId="17632" xfId="0" applyFont="1" applyFill="1" applyBorder="1"/>
    <xf numFmtId="0" fontId="17674" fillId="17686" borderId="17633" xfId="0" applyFont="1" applyFill="1" applyBorder="1"/>
    <xf numFmtId="0" fontId="17675" fillId="17687" borderId="17634" xfId="0" applyFont="1" applyFill="1" applyBorder="1"/>
    <xf numFmtId="0" fontId="17676" fillId="17688" borderId="17635" xfId="0" applyFont="1" applyFill="1" applyBorder="1"/>
    <xf numFmtId="0" fontId="17677" fillId="17689" borderId="17636" xfId="0" applyFont="1" applyFill="1" applyBorder="1"/>
    <xf numFmtId="0" fontId="17678" fillId="17690" borderId="17637" xfId="0" applyFont="1" applyFill="1" applyBorder="1"/>
    <xf numFmtId="0" fontId="17679" fillId="17691" borderId="17638" xfId="0" applyFont="1" applyFill="1" applyBorder="1"/>
    <xf numFmtId="0" fontId="17680" fillId="17692" borderId="17639" xfId="0" applyFont="1" applyFill="1" applyBorder="1"/>
    <xf numFmtId="0" fontId="17681" fillId="17693" borderId="17640" xfId="0" applyFont="1" applyFill="1" applyBorder="1"/>
    <xf numFmtId="0" fontId="17682" fillId="17694" borderId="17641" xfId="0" applyFont="1" applyFill="1" applyBorder="1"/>
    <xf numFmtId="0" fontId="17683" fillId="17695" borderId="17642" xfId="0" applyFont="1" applyFill="1" applyBorder="1"/>
    <xf numFmtId="0" fontId="17684" fillId="17696" borderId="17643" xfId="0" applyFont="1" applyFill="1" applyBorder="1"/>
    <xf numFmtId="0" fontId="17685" fillId="17697" borderId="17644" xfId="0" applyFont="1" applyFill="1" applyBorder="1"/>
    <xf numFmtId="0" fontId="17686" fillId="17698" borderId="17645" xfId="0" applyFont="1" applyFill="1" applyBorder="1"/>
    <xf numFmtId="0" fontId="17687" fillId="17699" borderId="17646" xfId="0" applyFont="1" applyFill="1" applyBorder="1"/>
    <xf numFmtId="0" fontId="17688" fillId="17700" borderId="17647" xfId="0" applyFont="1" applyFill="1" applyBorder="1"/>
    <xf numFmtId="0" fontId="17689" fillId="17701" borderId="17648" xfId="0" applyFont="1" applyFill="1" applyBorder="1"/>
    <xf numFmtId="0" fontId="17690" fillId="17702" borderId="17649" xfId="0" applyFont="1" applyFill="1" applyBorder="1"/>
    <xf numFmtId="0" fontId="17691" fillId="17703" borderId="17650" xfId="0" applyFont="1" applyFill="1" applyBorder="1"/>
    <xf numFmtId="0" fontId="17692" fillId="17704" borderId="17651" xfId="0" applyFont="1" applyFill="1" applyBorder="1"/>
    <xf numFmtId="0" fontId="17693" fillId="17705" borderId="17652" xfId="0" applyFont="1" applyFill="1" applyBorder="1"/>
    <xf numFmtId="0" fontId="17694" fillId="17706" borderId="17653" xfId="0" applyFont="1" applyFill="1" applyBorder="1"/>
    <xf numFmtId="0" fontId="17695" fillId="17707" borderId="17654" xfId="0" applyFont="1" applyFill="1" applyBorder="1"/>
    <xf numFmtId="0" fontId="17696" fillId="17708" borderId="17655" xfId="0" applyFont="1" applyFill="1" applyBorder="1"/>
    <xf numFmtId="0" fontId="17697" fillId="17709" borderId="17656" xfId="0" applyFont="1" applyFill="1" applyBorder="1"/>
    <xf numFmtId="0" fontId="17698" fillId="17710" borderId="17657" xfId="0" applyFont="1" applyFill="1" applyBorder="1"/>
    <xf numFmtId="0" fontId="17699" fillId="17711" borderId="17658" xfId="0" applyFont="1" applyFill="1" applyBorder="1"/>
    <xf numFmtId="0" fontId="17700" fillId="17712" borderId="17659" xfId="0" applyFont="1" applyFill="1" applyBorder="1"/>
    <xf numFmtId="0" fontId="17701" fillId="17713" borderId="17660" xfId="0" applyFont="1" applyFill="1" applyBorder="1"/>
    <xf numFmtId="0" fontId="17702" fillId="17714" borderId="17661" xfId="0" applyFont="1" applyFill="1" applyBorder="1"/>
    <xf numFmtId="0" fontId="17703" fillId="17715" borderId="17662" xfId="0" applyFont="1" applyFill="1" applyBorder="1"/>
    <xf numFmtId="0" fontId="17704" fillId="17716" borderId="17663" xfId="0" applyFont="1" applyFill="1" applyBorder="1"/>
    <xf numFmtId="0" fontId="17705" fillId="17717" borderId="17664" xfId="0" applyFont="1" applyFill="1" applyBorder="1"/>
    <xf numFmtId="0" fontId="17706" fillId="17718" borderId="17665" xfId="0" applyFont="1" applyFill="1" applyBorder="1"/>
    <xf numFmtId="0" fontId="17707" fillId="17719" borderId="17666" xfId="0" applyFont="1" applyFill="1" applyBorder="1"/>
    <xf numFmtId="0" fontId="17708" fillId="17720" borderId="17667" xfId="0" applyFont="1" applyFill="1" applyBorder="1"/>
    <xf numFmtId="0" fontId="17709" fillId="17721" borderId="17668" xfId="0" applyFont="1" applyFill="1" applyBorder="1"/>
    <xf numFmtId="0" fontId="17710" fillId="17722" borderId="17669" xfId="0" applyFont="1" applyFill="1" applyBorder="1"/>
    <xf numFmtId="0" fontId="17711" fillId="17723" borderId="17670" xfId="0" applyFont="1" applyFill="1" applyBorder="1"/>
    <xf numFmtId="0" fontId="17712" fillId="17724" borderId="17671" xfId="0" applyFont="1" applyFill="1" applyBorder="1"/>
    <xf numFmtId="0" fontId="17713" fillId="17725" borderId="17672" xfId="0" applyFont="1" applyFill="1" applyBorder="1"/>
    <xf numFmtId="0" fontId="17714" fillId="17726" borderId="17673" xfId="0" applyFont="1" applyFill="1" applyBorder="1"/>
    <xf numFmtId="0" fontId="17715" fillId="17727" borderId="17674" xfId="0" applyFont="1" applyFill="1" applyBorder="1"/>
    <xf numFmtId="0" fontId="17716" fillId="17728" borderId="17675" xfId="0" applyFont="1" applyFill="1" applyBorder="1"/>
    <xf numFmtId="0" fontId="17717" fillId="17729" borderId="17676" xfId="0" applyFont="1" applyFill="1" applyBorder="1"/>
    <xf numFmtId="0" fontId="17718" fillId="17730" borderId="17677" xfId="0" applyFont="1" applyFill="1" applyBorder="1"/>
    <xf numFmtId="0" fontId="17719" fillId="17731" borderId="17678" xfId="0" applyFont="1" applyFill="1" applyBorder="1"/>
    <xf numFmtId="0" fontId="17720" fillId="17732" borderId="17679" xfId="0" applyFont="1" applyFill="1" applyBorder="1"/>
    <xf numFmtId="0" fontId="17721" fillId="17733" borderId="17680" xfId="0" applyFont="1" applyFill="1" applyBorder="1"/>
    <xf numFmtId="0" fontId="17722" fillId="17734" borderId="17681" xfId="0" applyFont="1" applyFill="1" applyBorder="1"/>
    <xf numFmtId="0" fontId="17723" fillId="17735" borderId="17682" xfId="0" applyFont="1" applyFill="1" applyBorder="1"/>
    <xf numFmtId="0" fontId="17724" fillId="17736" borderId="17683" xfId="0" applyFont="1" applyFill="1" applyBorder="1"/>
    <xf numFmtId="0" fontId="17725" fillId="17737" borderId="17684" xfId="0" applyFont="1" applyFill="1" applyBorder="1"/>
    <xf numFmtId="0" fontId="17726" fillId="17738" borderId="17685" xfId="0" applyFont="1" applyFill="1" applyBorder="1"/>
    <xf numFmtId="0" fontId="17727" fillId="17739" borderId="17686" xfId="0" applyFont="1" applyFill="1" applyBorder="1"/>
    <xf numFmtId="0" fontId="17728" fillId="17740" borderId="17687" xfId="0" applyFont="1" applyFill="1" applyBorder="1"/>
    <xf numFmtId="0" fontId="17729" fillId="17741" borderId="17688" xfId="0" applyFont="1" applyFill="1" applyBorder="1"/>
    <xf numFmtId="0" fontId="17730" fillId="17742" borderId="17689" xfId="0" applyFont="1" applyFill="1" applyBorder="1"/>
    <xf numFmtId="0" fontId="17731" fillId="17743" borderId="17690" xfId="0" applyFont="1" applyFill="1" applyBorder="1"/>
    <xf numFmtId="0" fontId="17732" fillId="17744" borderId="17691" xfId="0" applyFont="1" applyFill="1" applyBorder="1"/>
    <xf numFmtId="0" fontId="17733" fillId="17745" borderId="17692" xfId="0" applyFont="1" applyFill="1" applyBorder="1"/>
    <xf numFmtId="0" fontId="17734" fillId="17746" borderId="17693" xfId="0" applyFont="1" applyFill="1" applyBorder="1"/>
    <xf numFmtId="0" fontId="17735" fillId="17747" borderId="17694" xfId="0" applyFont="1" applyFill="1" applyBorder="1"/>
    <xf numFmtId="0" fontId="17736" fillId="17748" borderId="17695" xfId="0" applyFont="1" applyFill="1" applyBorder="1"/>
    <xf numFmtId="0" fontId="17737" fillId="17749" borderId="17696" xfId="0" applyFont="1" applyFill="1" applyBorder="1"/>
    <xf numFmtId="0" fontId="17738" fillId="17750" borderId="17697" xfId="0" applyFont="1" applyFill="1" applyBorder="1"/>
    <xf numFmtId="0" fontId="17739" fillId="17751" borderId="17698" xfId="0" applyFont="1" applyFill="1" applyBorder="1"/>
    <xf numFmtId="0" fontId="17740" fillId="17752" borderId="17699" xfId="0" applyFont="1" applyFill="1" applyBorder="1"/>
    <xf numFmtId="0" fontId="17741" fillId="17753" borderId="17700" xfId="0" applyFont="1" applyFill="1" applyBorder="1"/>
    <xf numFmtId="0" fontId="17742" fillId="17754" borderId="17701" xfId="0" applyFont="1" applyFill="1" applyBorder="1"/>
    <xf numFmtId="0" fontId="17743" fillId="17755" borderId="17702" xfId="0" applyFont="1" applyFill="1" applyBorder="1"/>
    <xf numFmtId="0" fontId="17744" fillId="17756" borderId="17703" xfId="0" applyFont="1" applyFill="1" applyBorder="1"/>
    <xf numFmtId="0" fontId="17745" fillId="17757" borderId="17704" xfId="0" applyFont="1" applyFill="1" applyBorder="1"/>
    <xf numFmtId="0" fontId="17746" fillId="17758" borderId="17705" xfId="0" applyFont="1" applyFill="1" applyBorder="1"/>
    <xf numFmtId="0" fontId="17747" fillId="17759" borderId="17706" xfId="0" applyFont="1" applyFill="1" applyBorder="1"/>
    <xf numFmtId="0" fontId="17748" fillId="17760" borderId="17707" xfId="0" applyFont="1" applyFill="1" applyBorder="1"/>
    <xf numFmtId="0" fontId="17749" fillId="17761" borderId="17708" xfId="0" applyFont="1" applyFill="1" applyBorder="1"/>
    <xf numFmtId="0" fontId="17750" fillId="17762" borderId="17709" xfId="0" applyFont="1" applyFill="1" applyBorder="1"/>
    <xf numFmtId="0" fontId="17751" fillId="17763" borderId="17710" xfId="0" applyFont="1" applyFill="1" applyBorder="1"/>
    <xf numFmtId="0" fontId="17752" fillId="17764" borderId="17711" xfId="0" applyFont="1" applyFill="1" applyBorder="1"/>
    <xf numFmtId="0" fontId="17753" fillId="17765" borderId="17712" xfId="0" applyFont="1" applyFill="1" applyBorder="1"/>
    <xf numFmtId="0" fontId="17754" fillId="17766" borderId="17713" xfId="0" applyFont="1" applyFill="1" applyBorder="1"/>
    <xf numFmtId="0" fontId="17755" fillId="17767" borderId="17714" xfId="0" applyFont="1" applyFill="1" applyBorder="1"/>
    <xf numFmtId="0" fontId="17756" fillId="17768" borderId="17715" xfId="0" applyFont="1" applyFill="1" applyBorder="1"/>
    <xf numFmtId="0" fontId="17765" fillId="17776" borderId="17723" xfId="0" applyFont="1" applyFill="1" applyBorder="1"/>
    <xf numFmtId="0" fontId="17766" fillId="17777" borderId="17724" xfId="0" applyFont="1" applyFill="1" applyBorder="1"/>
    <xf numFmtId="0" fontId="17767" fillId="17778" borderId="17725" xfId="0" applyFont="1" applyFill="1" applyBorder="1"/>
    <xf numFmtId="0" fontId="17768" fillId="17779" borderId="17726" xfId="0" applyFont="1" applyFill="1" applyBorder="1"/>
    <xf numFmtId="0" fontId="17769" fillId="17780" borderId="17727" xfId="0" applyFont="1" applyFill="1" applyBorder="1"/>
    <xf numFmtId="0" fontId="17770" fillId="17781" borderId="17728" xfId="0" applyFont="1" applyFill="1" applyBorder="1" applyAlignment="1">
      <alignment horizontal="center" wrapText="1"/>
    </xf>
    <xf numFmtId="0" fontId="17771" fillId="17782" borderId="17729" xfId="0" applyFont="1" applyFill="1" applyBorder="1" applyAlignment="1">
      <alignment horizontal="center" wrapText="1"/>
    </xf>
    <xf numFmtId="0" fontId="17772" fillId="17783" borderId="17730" xfId="0" applyFont="1" applyFill="1" applyBorder="1" applyAlignment="1">
      <alignment horizontal="center" wrapText="1"/>
    </xf>
    <xf numFmtId="0" fontId="17773" fillId="17784" borderId="17731" xfId="0" applyFont="1" applyFill="1" applyBorder="1" applyAlignment="1">
      <alignment horizontal="center" wrapText="1"/>
    </xf>
    <xf numFmtId="0" fontId="17774" fillId="17785" borderId="17732" xfId="0" applyFont="1" applyFill="1" applyBorder="1" applyAlignment="1">
      <alignment horizontal="center" wrapText="1"/>
    </xf>
    <xf numFmtId="0" fontId="17775" fillId="17786" borderId="17733" xfId="0" applyFont="1" applyFill="1" applyBorder="1" applyAlignment="1">
      <alignment horizontal="center" wrapText="1"/>
    </xf>
    <xf numFmtId="0" fontId="17776" fillId="17787" borderId="17734" xfId="0" applyFont="1" applyFill="1" applyBorder="1" applyAlignment="1">
      <alignment horizontal="center" wrapText="1"/>
    </xf>
    <xf numFmtId="0" fontId="17777" fillId="17788" borderId="17735" xfId="0" applyFont="1" applyFill="1" applyBorder="1" applyAlignment="1">
      <alignment horizontal="center" wrapText="1"/>
    </xf>
    <xf numFmtId="0" fontId="17778" fillId="17789" borderId="17736" xfId="0" applyFont="1" applyFill="1" applyBorder="1" applyAlignment="1">
      <alignment horizontal="center" wrapText="1"/>
    </xf>
    <xf numFmtId="0" fontId="17779" fillId="17790" borderId="17737" xfId="0" applyFont="1" applyFill="1" applyBorder="1"/>
    <xf numFmtId="0" fontId="17780" fillId="17791" borderId="17738" xfId="0" applyFont="1" applyFill="1" applyBorder="1"/>
    <xf numFmtId="0" fontId="17781" fillId="17792" borderId="17739" xfId="0" applyFont="1" applyFill="1" applyBorder="1"/>
    <xf numFmtId="0" fontId="17782" fillId="17793" borderId="17740" xfId="0" applyFont="1" applyFill="1" applyBorder="1"/>
    <xf numFmtId="4" fontId="17783" fillId="17794" borderId="17741" xfId="0" applyNumberFormat="1" applyFont="1" applyFill="1" applyBorder="1"/>
    <xf numFmtId="4" fontId="17784" fillId="17795" borderId="17742" xfId="0" applyNumberFormat="1" applyFont="1" applyFill="1" applyBorder="1"/>
    <xf numFmtId="4" fontId="17785" fillId="17796" borderId="17743" xfId="0" applyNumberFormat="1" applyFont="1" applyFill="1" applyBorder="1"/>
    <xf numFmtId="4" fontId="17786" fillId="17797" borderId="17744" xfId="0" applyNumberFormat="1" applyFont="1" applyFill="1" applyBorder="1"/>
    <xf numFmtId="4" fontId="17787" fillId="17798" borderId="17745" xfId="0" applyNumberFormat="1" applyFont="1" applyFill="1" applyBorder="1"/>
    <xf numFmtId="167" fontId="17788" fillId="17799" borderId="17746" xfId="0" applyNumberFormat="1" applyFont="1" applyFill="1" applyBorder="1"/>
    <xf numFmtId="170" fontId="17789" fillId="17800" borderId="17747" xfId="0" applyNumberFormat="1" applyFont="1" applyFill="1" applyBorder="1"/>
    <xf numFmtId="4" fontId="17790" fillId="17801" borderId="17748" xfId="0" applyNumberFormat="1" applyFont="1" applyFill="1" applyBorder="1"/>
    <xf numFmtId="0" fontId="17791" fillId="17802" borderId="17749" xfId="0" applyFont="1" applyFill="1" applyBorder="1"/>
    <xf numFmtId="0" fontId="17792" fillId="17803" borderId="17750" xfId="0" applyFont="1" applyFill="1" applyBorder="1"/>
    <xf numFmtId="0" fontId="17793" fillId="17804" borderId="17751" xfId="0" applyFont="1" applyFill="1" applyBorder="1"/>
    <xf numFmtId="0" fontId="17794" fillId="17805" borderId="17752" xfId="0" applyFont="1" applyFill="1" applyBorder="1"/>
    <xf numFmtId="4" fontId="17795" fillId="17806" borderId="17753" xfId="0" applyNumberFormat="1" applyFont="1" applyFill="1" applyBorder="1"/>
    <xf numFmtId="4" fontId="17796" fillId="17807" borderId="17754" xfId="0" applyNumberFormat="1" applyFont="1" applyFill="1" applyBorder="1"/>
    <xf numFmtId="167" fontId="17797" fillId="17808" borderId="17755" xfId="0" applyNumberFormat="1" applyFont="1" applyFill="1" applyBorder="1"/>
    <xf numFmtId="170" fontId="17798" fillId="17809" borderId="17756" xfId="0" applyNumberFormat="1" applyFont="1" applyFill="1" applyBorder="1"/>
    <xf numFmtId="4" fontId="17799" fillId="17810" borderId="17757" xfId="0" applyNumberFormat="1" applyFont="1" applyFill="1" applyBorder="1"/>
    <xf numFmtId="0" fontId="17800" fillId="17811" borderId="17758" xfId="0" applyFont="1" applyFill="1" applyBorder="1"/>
    <xf numFmtId="0" fontId="17801" fillId="17812" borderId="17759" xfId="0" applyFont="1" applyFill="1" applyBorder="1"/>
    <xf numFmtId="0" fontId="17802" fillId="17813" borderId="17760" xfId="0" applyFont="1" applyFill="1" applyBorder="1"/>
    <xf numFmtId="0" fontId="17803" fillId="17814" borderId="17761" xfId="0" applyFont="1" applyFill="1" applyBorder="1"/>
    <xf numFmtId="4" fontId="17804" fillId="17815" borderId="17762" xfId="0" applyNumberFormat="1" applyFont="1" applyFill="1" applyBorder="1"/>
    <xf numFmtId="4" fontId="17805" fillId="17816" borderId="17763" xfId="0" applyNumberFormat="1" applyFont="1" applyFill="1" applyBorder="1"/>
    <xf numFmtId="167" fontId="17806" fillId="17817" borderId="17764" xfId="0" applyNumberFormat="1" applyFont="1" applyFill="1" applyBorder="1"/>
    <xf numFmtId="170" fontId="17807" fillId="17818" borderId="17765" xfId="0" applyNumberFormat="1" applyFont="1" applyFill="1" applyBorder="1"/>
    <xf numFmtId="4" fontId="17808" fillId="17819" borderId="17766" xfId="0" applyNumberFormat="1" applyFont="1" applyFill="1" applyBorder="1"/>
    <xf numFmtId="0" fontId="17809" fillId="17820" borderId="17767" xfId="0" applyFont="1" applyFill="1" applyBorder="1"/>
    <xf numFmtId="0" fontId="17810" fillId="17821" borderId="17768" xfId="0" applyFont="1" applyFill="1" applyBorder="1"/>
    <xf numFmtId="0" fontId="17811" fillId="17822" borderId="17769" xfId="0" applyFont="1" applyFill="1" applyBorder="1"/>
    <xf numFmtId="0" fontId="17812" fillId="17823" borderId="17770" xfId="0" applyFont="1" applyFill="1" applyBorder="1"/>
    <xf numFmtId="4" fontId="17813" fillId="17824" borderId="17771" xfId="0" applyNumberFormat="1" applyFont="1" applyFill="1" applyBorder="1"/>
    <xf numFmtId="4" fontId="17814" fillId="17825" borderId="17772" xfId="0" applyNumberFormat="1" applyFont="1" applyFill="1" applyBorder="1"/>
    <xf numFmtId="4" fontId="17815" fillId="17826" borderId="17773" xfId="0" applyNumberFormat="1" applyFont="1" applyFill="1" applyBorder="1"/>
    <xf numFmtId="4" fontId="17816" fillId="17827" borderId="17774" xfId="0" applyNumberFormat="1" applyFont="1" applyFill="1" applyBorder="1"/>
    <xf numFmtId="4" fontId="17817" fillId="17828" borderId="17775" xfId="0" applyNumberFormat="1" applyFont="1" applyFill="1" applyBorder="1"/>
    <xf numFmtId="167" fontId="17818" fillId="17829" borderId="17776" xfId="0" applyNumberFormat="1" applyFont="1" applyFill="1" applyBorder="1"/>
    <xf numFmtId="170" fontId="17819" fillId="17830" borderId="17777" xfId="0" applyNumberFormat="1" applyFont="1" applyFill="1" applyBorder="1"/>
    <xf numFmtId="4" fontId="17820" fillId="17831" borderId="17778" xfId="0" applyNumberFormat="1" applyFont="1" applyFill="1" applyBorder="1"/>
    <xf numFmtId="0" fontId="17821" fillId="17832" borderId="17779" xfId="0" applyFont="1" applyFill="1" applyBorder="1"/>
    <xf numFmtId="0" fontId="17822" fillId="17833" borderId="17780" xfId="0" applyFont="1" applyFill="1" applyBorder="1"/>
    <xf numFmtId="0" fontId="17823" fillId="17834" borderId="17781" xfId="0" applyFont="1" applyFill="1" applyBorder="1"/>
    <xf numFmtId="0" fontId="17824" fillId="17835" borderId="17782" xfId="0" applyFont="1" applyFill="1" applyBorder="1"/>
    <xf numFmtId="4" fontId="17825" fillId="17836" borderId="17783" xfId="0" applyNumberFormat="1" applyFont="1" applyFill="1" applyBorder="1"/>
    <xf numFmtId="4" fontId="17826" fillId="17837" borderId="17784" xfId="0" applyNumberFormat="1" applyFont="1" applyFill="1" applyBorder="1"/>
    <xf numFmtId="4" fontId="17827" fillId="17838" borderId="17785" xfId="0" applyNumberFormat="1" applyFont="1" applyFill="1" applyBorder="1"/>
    <xf numFmtId="167" fontId="17828" fillId="17839" borderId="17786" xfId="0" applyNumberFormat="1" applyFont="1" applyFill="1" applyBorder="1"/>
    <xf numFmtId="170" fontId="17829" fillId="17840" borderId="17787" xfId="0" applyNumberFormat="1" applyFont="1" applyFill="1" applyBorder="1"/>
    <xf numFmtId="4" fontId="17830" fillId="17841" borderId="17788" xfId="0" applyNumberFormat="1" applyFont="1" applyFill="1" applyBorder="1"/>
    <xf numFmtId="0" fontId="17831" fillId="17842" borderId="17789" xfId="0" applyFont="1" applyFill="1" applyBorder="1"/>
    <xf numFmtId="0" fontId="17832" fillId="17843" borderId="17790" xfId="0" applyFont="1" applyFill="1" applyBorder="1"/>
    <xf numFmtId="0" fontId="17833" fillId="17844" borderId="17791" xfId="0" applyFont="1" applyFill="1" applyBorder="1"/>
    <xf numFmtId="0" fontId="17834" fillId="17845" borderId="17792" xfId="0" applyFont="1" applyFill="1" applyBorder="1"/>
    <xf numFmtId="0" fontId="17835" fillId="17846" borderId="17793" xfId="0" applyFont="1" applyFill="1" applyBorder="1"/>
    <xf numFmtId="0" fontId="17836" fillId="17847" borderId="17794" xfId="0" applyFont="1" applyFill="1" applyBorder="1"/>
    <xf numFmtId="0" fontId="17837" fillId="17848" borderId="17795" xfId="0" applyFont="1" applyFill="1" applyBorder="1"/>
    <xf numFmtId="0" fontId="17838" fillId="17849" borderId="17796" xfId="0" applyFont="1" applyFill="1" applyBorder="1"/>
    <xf numFmtId="0" fontId="17839" fillId="17850" borderId="17797" xfId="0" applyFont="1" applyFill="1" applyBorder="1"/>
    <xf numFmtId="0" fontId="17840" fillId="17851" borderId="17798" xfId="0" applyFont="1" applyFill="1" applyBorder="1"/>
    <xf numFmtId="0" fontId="17841" fillId="17852" borderId="17799" xfId="0" applyFont="1" applyFill="1" applyBorder="1"/>
    <xf numFmtId="0" fontId="17842" fillId="17853" borderId="17800" xfId="0" applyFont="1" applyFill="1" applyBorder="1"/>
    <xf numFmtId="0" fontId="17843" fillId="17854" borderId="17801" xfId="0" applyFont="1" applyFill="1" applyBorder="1"/>
    <xf numFmtId="0" fontId="17844" fillId="17855" borderId="17802" xfId="0" applyFont="1" applyFill="1" applyBorder="1"/>
    <xf numFmtId="0" fontId="17845" fillId="17856" borderId="17803" xfId="0" applyFont="1" applyFill="1" applyBorder="1"/>
    <xf numFmtId="0" fontId="17846" fillId="17857" borderId="17804" xfId="0" applyFont="1" applyFill="1" applyBorder="1"/>
    <xf numFmtId="0" fontId="17847" fillId="17858" borderId="17805" xfId="0" applyFont="1" applyFill="1" applyBorder="1"/>
    <xf numFmtId="0" fontId="17855" fillId="17866" borderId="17813" xfId="0" applyFont="1" applyFill="1" applyBorder="1"/>
    <xf numFmtId="0" fontId="17856" fillId="17867" borderId="17814" xfId="0" applyFont="1" applyFill="1" applyBorder="1"/>
    <xf numFmtId="0" fontId="17857" fillId="17868" borderId="17815" xfId="0" applyFont="1" applyFill="1" applyBorder="1"/>
    <xf numFmtId="0" fontId="17858" fillId="17869" borderId="17816" xfId="0" applyFont="1" applyFill="1" applyBorder="1"/>
    <xf numFmtId="0" fontId="17859" fillId="17870" borderId="17817" xfId="0" applyFont="1" applyFill="1" applyBorder="1"/>
    <xf numFmtId="0" fontId="17860" fillId="17871" borderId="17818" xfId="0" applyFont="1" applyFill="1" applyBorder="1" applyAlignment="1">
      <alignment horizontal="center" wrapText="1"/>
    </xf>
    <xf numFmtId="0" fontId="17861" fillId="17872" borderId="17819" xfId="0" applyFont="1" applyFill="1" applyBorder="1" applyAlignment="1">
      <alignment horizontal="center" wrapText="1"/>
    </xf>
    <xf numFmtId="0" fontId="17862" fillId="17873" borderId="17820" xfId="0" applyFont="1" applyFill="1" applyBorder="1" applyAlignment="1">
      <alignment horizontal="center" wrapText="1"/>
    </xf>
    <xf numFmtId="0" fontId="17863" fillId="17874" borderId="17821" xfId="0" applyFont="1" applyFill="1" applyBorder="1" applyAlignment="1">
      <alignment horizontal="center" wrapText="1"/>
    </xf>
    <xf numFmtId="0" fontId="17864" fillId="17875" borderId="17822" xfId="0" applyFont="1" applyFill="1" applyBorder="1" applyAlignment="1">
      <alignment horizontal="center" wrapText="1"/>
    </xf>
    <xf numFmtId="0" fontId="17865" fillId="17876" borderId="17823" xfId="0" applyFont="1" applyFill="1" applyBorder="1" applyAlignment="1">
      <alignment wrapText="1"/>
    </xf>
    <xf numFmtId="0" fontId="17866" fillId="17877" borderId="17824" xfId="0" applyFont="1" applyFill="1" applyBorder="1" applyAlignment="1">
      <alignment wrapText="1"/>
    </xf>
    <xf numFmtId="0" fontId="17867" fillId="17878" borderId="17825" xfId="0" applyFont="1" applyFill="1" applyBorder="1"/>
    <xf numFmtId="0" fontId="17868" fillId="17879" borderId="17826" xfId="0" applyFont="1" applyFill="1" applyBorder="1"/>
    <xf numFmtId="0" fontId="17869" fillId="17880" borderId="17827" xfId="0" applyFont="1" applyFill="1" applyBorder="1"/>
    <xf numFmtId="0" fontId="17870" fillId="17881" borderId="17828" xfId="0" applyFont="1" applyFill="1" applyBorder="1"/>
    <xf numFmtId="0" fontId="17871" fillId="17882" borderId="17829" xfId="0" applyFont="1" applyFill="1" applyBorder="1"/>
    <xf numFmtId="0" fontId="17872" fillId="17883" borderId="17830" xfId="0" applyFont="1" applyFill="1" applyBorder="1" applyAlignment="1">
      <alignment horizontal="left" wrapText="1"/>
    </xf>
    <xf numFmtId="165" fontId="17873" fillId="17884" borderId="17831" xfId="0" applyNumberFormat="1" applyFont="1" applyFill="1" applyBorder="1" applyAlignment="1">
      <alignment horizontal="right" wrapText="1"/>
    </xf>
    <xf numFmtId="165" fontId="17874" fillId="17885" borderId="17832" xfId="0" applyNumberFormat="1" applyFont="1" applyFill="1" applyBorder="1" applyAlignment="1">
      <alignment horizontal="right" wrapText="1"/>
    </xf>
    <xf numFmtId="165" fontId="17875" fillId="17886" borderId="17833" xfId="0" applyNumberFormat="1" applyFont="1" applyFill="1" applyBorder="1" applyAlignment="1">
      <alignment horizontal="right" wrapText="1"/>
    </xf>
    <xf numFmtId="165" fontId="17876" fillId="17887" borderId="17834" xfId="0" applyNumberFormat="1" applyFont="1" applyFill="1" applyBorder="1" applyAlignment="1">
      <alignment horizontal="center" wrapText="1"/>
    </xf>
    <xf numFmtId="165" fontId="17877" fillId="17888" borderId="17835" xfId="0" applyNumberFormat="1" applyFont="1" applyFill="1" applyBorder="1" applyAlignment="1">
      <alignment horizontal="right" wrapText="1"/>
    </xf>
    <xf numFmtId="0" fontId="17878" fillId="17889" borderId="17836" xfId="0" applyFont="1" applyFill="1" applyBorder="1" applyAlignment="1">
      <alignment horizontal="center" vertical="center" wrapText="1"/>
    </xf>
    <xf numFmtId="0" fontId="17879" fillId="17890" borderId="17837" xfId="0" applyFont="1" applyFill="1" applyBorder="1"/>
    <xf numFmtId="0" fontId="17880" fillId="17891" borderId="17838" xfId="0" applyFont="1" applyFill="1" applyBorder="1"/>
    <xf numFmtId="0" fontId="17881" fillId="17892" borderId="17839" xfId="0" applyFont="1" applyFill="1" applyBorder="1"/>
    <xf numFmtId="0" fontId="17882" fillId="17893" borderId="17840" xfId="0" applyFont="1" applyFill="1" applyBorder="1"/>
    <xf numFmtId="0" fontId="17883" fillId="17894" borderId="17841" xfId="0" applyFont="1" applyFill="1" applyBorder="1"/>
    <xf numFmtId="0" fontId="17884" fillId="17895" borderId="17842" xfId="0" applyFont="1" applyFill="1" applyBorder="1"/>
    <xf numFmtId="165" fontId="17885" fillId="17896" borderId="17843" xfId="0" applyNumberFormat="1" applyFont="1" applyFill="1" applyBorder="1"/>
    <xf numFmtId="165" fontId="17886" fillId="17897" borderId="17844" xfId="0" applyNumberFormat="1" applyFont="1" applyFill="1" applyBorder="1"/>
    <xf numFmtId="165" fontId="17887" fillId="17898" borderId="17845" xfId="0" applyNumberFormat="1" applyFont="1" applyFill="1" applyBorder="1" applyAlignment="1">
      <alignment horizontal="center"/>
    </xf>
    <xf numFmtId="165" fontId="17888" fillId="17899" borderId="17846" xfId="0" applyNumberFormat="1" applyFont="1" applyFill="1" applyBorder="1"/>
    <xf numFmtId="0" fontId="17889" fillId="17900" borderId="17847" xfId="0" applyFont="1" applyFill="1" applyBorder="1" applyAlignment="1">
      <alignment horizontal="center"/>
    </xf>
    <xf numFmtId="0" fontId="17890" fillId="17901" borderId="17848" xfId="0" applyFont="1" applyFill="1" applyBorder="1"/>
    <xf numFmtId="0" fontId="17891" fillId="17902" borderId="17849" xfId="0" applyFont="1" applyFill="1" applyBorder="1"/>
    <xf numFmtId="0" fontId="17892" fillId="17903" borderId="17850" xfId="0" applyFont="1" applyFill="1" applyBorder="1"/>
    <xf numFmtId="0" fontId="17893" fillId="17904" borderId="17851" xfId="0" applyFont="1" applyFill="1" applyBorder="1"/>
    <xf numFmtId="0" fontId="17894" fillId="17905" borderId="17852" xfId="0" applyFont="1" applyFill="1" applyBorder="1"/>
    <xf numFmtId="0" fontId="17895" fillId="17906" borderId="17853" xfId="0" applyFont="1" applyFill="1" applyBorder="1"/>
    <xf numFmtId="165" fontId="17896" fillId="17907" borderId="17854" xfId="0" applyNumberFormat="1" applyFont="1" applyFill="1" applyBorder="1"/>
    <xf numFmtId="165" fontId="17897" fillId="17908" borderId="17855" xfId="0" applyNumberFormat="1" applyFont="1" applyFill="1" applyBorder="1"/>
    <xf numFmtId="165" fontId="17898" fillId="17909" borderId="17856" xfId="0" applyNumberFormat="1" applyFont="1" applyFill="1" applyBorder="1" applyAlignment="1">
      <alignment horizontal="center"/>
    </xf>
    <xf numFmtId="165" fontId="17899" fillId="17910" borderId="17857" xfId="0" applyNumberFormat="1" applyFont="1" applyFill="1" applyBorder="1"/>
    <xf numFmtId="0" fontId="17900" fillId="17911" borderId="17858" xfId="0" applyFont="1" applyFill="1" applyBorder="1" applyAlignment="1">
      <alignment horizontal="center"/>
    </xf>
    <xf numFmtId="0" fontId="17901" fillId="17912" borderId="17859" xfId="0" applyFont="1" applyFill="1" applyBorder="1"/>
    <xf numFmtId="0" fontId="17902" fillId="17913" borderId="17860" xfId="0" applyFont="1" applyFill="1" applyBorder="1"/>
    <xf numFmtId="0" fontId="17903" fillId="17914" borderId="17861" xfId="0" applyFont="1" applyFill="1" applyBorder="1"/>
    <xf numFmtId="0" fontId="17904" fillId="17915" borderId="17862" xfId="0" applyFont="1" applyFill="1" applyBorder="1"/>
    <xf numFmtId="0" fontId="17905" fillId="17916" borderId="17863" xfId="0" applyFont="1" applyFill="1" applyBorder="1"/>
    <xf numFmtId="0" fontId="17906" fillId="17917" borderId="17864" xfId="0" applyFont="1" applyFill="1" applyBorder="1"/>
    <xf numFmtId="165" fontId="17907" fillId="17918" borderId="17865" xfId="0" applyNumberFormat="1" applyFont="1" applyFill="1" applyBorder="1"/>
    <xf numFmtId="165" fontId="17908" fillId="17919" borderId="17866" xfId="0" applyNumberFormat="1" applyFont="1" applyFill="1" applyBorder="1"/>
    <xf numFmtId="165" fontId="17909" fillId="17920" borderId="17867" xfId="0" applyNumberFormat="1" applyFont="1" applyFill="1" applyBorder="1"/>
    <xf numFmtId="165" fontId="17910" fillId="17921" borderId="17868" xfId="0" applyNumberFormat="1" applyFont="1" applyFill="1" applyBorder="1"/>
    <xf numFmtId="165" fontId="17911" fillId="17922" borderId="17869" xfId="0" applyNumberFormat="1" applyFont="1" applyFill="1" applyBorder="1"/>
    <xf numFmtId="0" fontId="17912" fillId="17923" borderId="17870" xfId="0" applyFont="1" applyFill="1" applyBorder="1" applyAlignment="1">
      <alignment horizontal="center"/>
    </xf>
    <xf numFmtId="0" fontId="17913" fillId="17924" borderId="17871" xfId="0" applyFont="1" applyFill="1" applyBorder="1"/>
    <xf numFmtId="0" fontId="17914" fillId="17925" borderId="17872" xfId="0" applyFont="1" applyFill="1" applyBorder="1"/>
    <xf numFmtId="0" fontId="17915" fillId="17926" borderId="17873" xfId="0" applyFont="1" applyFill="1" applyBorder="1"/>
    <xf numFmtId="0" fontId="17916" fillId="17927" borderId="17874" xfId="0" applyFont="1" applyFill="1" applyBorder="1"/>
    <xf numFmtId="0" fontId="17917" fillId="17928" borderId="17875" xfId="0" applyFont="1" applyFill="1" applyBorder="1"/>
    <xf numFmtId="0" fontId="17918" fillId="17929" borderId="17876" xfId="0" applyFont="1" applyFill="1" applyBorder="1"/>
    <xf numFmtId="165" fontId="17919" fillId="17930" borderId="17877" xfId="0" applyNumberFormat="1" applyFont="1" applyFill="1" applyBorder="1"/>
    <xf numFmtId="165" fontId="17920" fillId="17931" borderId="17878" xfId="0" applyNumberFormat="1" applyFont="1" applyFill="1" applyBorder="1"/>
    <xf numFmtId="165" fontId="17921" fillId="17932" borderId="17879" xfId="0" applyNumberFormat="1" applyFont="1" applyFill="1" applyBorder="1"/>
    <xf numFmtId="165" fontId="17922" fillId="17933" borderId="17880" xfId="0" applyNumberFormat="1" applyFont="1" applyFill="1" applyBorder="1"/>
    <xf numFmtId="165" fontId="17923" fillId="17934" borderId="17881" xfId="0" applyNumberFormat="1" applyFont="1" applyFill="1" applyBorder="1"/>
    <xf numFmtId="0" fontId="17924" fillId="17935" borderId="17882" xfId="0" applyFont="1" applyFill="1" applyBorder="1" applyAlignment="1">
      <alignment horizontal="center"/>
    </xf>
    <xf numFmtId="0" fontId="17925" fillId="17936" borderId="17883" xfId="0" applyFont="1" applyFill="1" applyBorder="1"/>
    <xf numFmtId="0" fontId="17926" fillId="17937" borderId="17884" xfId="0" applyFont="1" applyFill="1" applyBorder="1"/>
    <xf numFmtId="0" fontId="17927" fillId="17938" borderId="17885" xfId="0" applyFont="1" applyFill="1" applyBorder="1"/>
    <xf numFmtId="0" fontId="17928" fillId="17939" borderId="17886" xfId="0" applyFont="1" applyFill="1" applyBorder="1"/>
    <xf numFmtId="0" fontId="17929" fillId="17940" borderId="17887" xfId="0" applyFont="1" applyFill="1" applyBorder="1"/>
    <xf numFmtId="0" fontId="17930" fillId="17941" borderId="17888" xfId="0" applyFont="1" applyFill="1" applyBorder="1"/>
    <xf numFmtId="165" fontId="17931" fillId="17942" borderId="17889" xfId="0" applyNumberFormat="1" applyFont="1" applyFill="1" applyBorder="1"/>
    <xf numFmtId="165" fontId="17932" fillId="17943" borderId="17890" xfId="0" applyNumberFormat="1" applyFont="1" applyFill="1" applyBorder="1"/>
    <xf numFmtId="165" fontId="17933" fillId="17944" borderId="17891" xfId="0" applyNumberFormat="1" applyFont="1" applyFill="1" applyBorder="1"/>
    <xf numFmtId="165" fontId="17934" fillId="17945" borderId="17892" xfId="0" applyNumberFormat="1" applyFont="1" applyFill="1" applyBorder="1"/>
    <xf numFmtId="165" fontId="17935" fillId="17946" borderId="17893" xfId="0" applyNumberFormat="1" applyFont="1" applyFill="1" applyBorder="1"/>
    <xf numFmtId="0" fontId="17936" fillId="17947" borderId="17894" xfId="0" applyFont="1" applyFill="1" applyBorder="1"/>
    <xf numFmtId="0" fontId="17937" fillId="17948" borderId="17895" xfId="0" applyFont="1" applyFill="1" applyBorder="1"/>
    <xf numFmtId="0" fontId="17938" fillId="17949" borderId="17896" xfId="0" applyFont="1" applyFill="1" applyBorder="1"/>
    <xf numFmtId="0" fontId="17939" fillId="17950" borderId="17897" xfId="0" applyFont="1" applyFill="1" applyBorder="1"/>
    <xf numFmtId="0" fontId="17940" fillId="17951" borderId="17898" xfId="0" applyFont="1" applyFill="1" applyBorder="1"/>
    <xf numFmtId="0" fontId="17941" fillId="17952" borderId="17899" xfId="0" applyFont="1" applyFill="1" applyBorder="1"/>
    <xf numFmtId="2" fontId="3" fillId="2" borderId="0" xfId="0" applyNumberFormat="1" applyFont="1" applyFill="1" applyAlignment="1">
      <alignment horizontal="center" vertical="center" wrapText="1"/>
    </xf>
    <xf numFmtId="0" fontId="17943" fillId="17954" borderId="17901" xfId="0" applyFont="1" applyFill="1" applyBorder="1"/>
    <xf numFmtId="0" fontId="17944" fillId="17955" borderId="17902" xfId="0" applyFont="1" applyFill="1" applyBorder="1"/>
    <xf numFmtId="0" fontId="17945" fillId="17956" borderId="17903" xfId="0" applyFont="1" applyFill="1" applyBorder="1"/>
    <xf numFmtId="0" fontId="17946" fillId="17957" borderId="17904" xfId="0" applyFont="1" applyFill="1" applyBorder="1"/>
    <xf numFmtId="0" fontId="17947" fillId="17958" borderId="17905" xfId="0" applyFont="1" applyFill="1" applyBorder="1"/>
    <xf numFmtId="0" fontId="17948" fillId="17959" borderId="17906" xfId="0" applyFont="1" applyFill="1" applyBorder="1" applyAlignment="1">
      <alignment horizontal="right"/>
    </xf>
    <xf numFmtId="170" fontId="17949" fillId="17960" borderId="17907" xfId="0" applyNumberFormat="1" applyFont="1" applyFill="1" applyBorder="1"/>
    <xf numFmtId="170" fontId="17950" fillId="17961" borderId="17908" xfId="0" applyNumberFormat="1" applyFont="1" applyFill="1" applyBorder="1"/>
    <xf numFmtId="170" fontId="17951" fillId="17962" borderId="17909" xfId="0" applyNumberFormat="1" applyFont="1" applyFill="1" applyBorder="1"/>
    <xf numFmtId="170" fontId="17952" fillId="17963" borderId="17910" xfId="0" applyNumberFormat="1" applyFont="1" applyFill="1" applyBorder="1"/>
    <xf numFmtId="170" fontId="17953" fillId="17964" borderId="17911" xfId="0" applyNumberFormat="1" applyFont="1" applyFill="1" applyBorder="1"/>
    <xf numFmtId="0" fontId="17954" fillId="17965" borderId="17912" xfId="0" applyFont="1" applyFill="1" applyBorder="1"/>
    <xf numFmtId="0" fontId="17955" fillId="17966" borderId="17913" xfId="0" applyFont="1" applyFill="1" applyBorder="1"/>
    <xf numFmtId="0" fontId="17956" fillId="17967" borderId="17914" xfId="0" applyFont="1" applyFill="1" applyBorder="1" applyAlignment="1">
      <alignment horizontal="center" wrapText="1"/>
    </xf>
    <xf numFmtId="165" fontId="17957" fillId="17968" borderId="17915" xfId="0" applyNumberFormat="1" applyFont="1" applyFill="1" applyBorder="1" applyAlignment="1">
      <alignment horizontal="center" wrapText="1"/>
    </xf>
    <xf numFmtId="165" fontId="17958" fillId="17969" borderId="17916" xfId="0" applyNumberFormat="1" applyFont="1" applyFill="1" applyBorder="1" applyAlignment="1">
      <alignment horizontal="center" wrapText="1"/>
    </xf>
    <xf numFmtId="165" fontId="17959" fillId="17970" borderId="17917" xfId="0" applyNumberFormat="1" applyFont="1" applyFill="1" applyBorder="1" applyAlignment="1">
      <alignment horizontal="center" wrapText="1"/>
    </xf>
    <xf numFmtId="165" fontId="17960" fillId="17971" borderId="17918" xfId="0" applyNumberFormat="1" applyFont="1" applyFill="1" applyBorder="1" applyAlignment="1">
      <alignment horizontal="center" wrapText="1"/>
    </xf>
    <xf numFmtId="165" fontId="17961" fillId="17972" borderId="17919" xfId="0" applyNumberFormat="1" applyFont="1" applyFill="1" applyBorder="1" applyAlignment="1">
      <alignment horizontal="center" wrapText="1"/>
    </xf>
    <xf numFmtId="165" fontId="17962" fillId="17973" borderId="17920" xfId="0" applyNumberFormat="1" applyFont="1" applyFill="1" applyBorder="1" applyAlignment="1">
      <alignment horizontal="center" wrapText="1"/>
    </xf>
    <xf numFmtId="165" fontId="17963" fillId="17974" borderId="17921" xfId="0" applyNumberFormat="1" applyFont="1" applyFill="1" applyBorder="1" applyAlignment="1">
      <alignment horizontal="center" wrapText="1"/>
    </xf>
    <xf numFmtId="0" fontId="17964" fillId="17975" borderId="17922" xfId="0" applyFont="1" applyFill="1" applyBorder="1" applyAlignment="1">
      <alignment horizontal="center" wrapText="1"/>
    </xf>
    <xf numFmtId="0" fontId="17965" fillId="17976" borderId="17923" xfId="0" applyFont="1" applyFill="1" applyBorder="1" applyAlignment="1">
      <alignment horizontal="center" wrapText="1"/>
    </xf>
    <xf numFmtId="3" fontId="17966" fillId="17977" borderId="17924" xfId="0" applyNumberFormat="1" applyFont="1" applyFill="1" applyBorder="1"/>
    <xf numFmtId="3" fontId="17967" fillId="17978" borderId="17925" xfId="0" applyNumberFormat="1" applyFont="1" applyFill="1" applyBorder="1"/>
    <xf numFmtId="3" fontId="17968" fillId="17979" borderId="17926" xfId="0" applyNumberFormat="1" applyFont="1" applyFill="1" applyBorder="1"/>
    <xf numFmtId="170" fontId="17969" fillId="17980" borderId="17927" xfId="0" applyNumberFormat="1" applyFont="1" applyFill="1" applyBorder="1"/>
    <xf numFmtId="167" fontId="17970" fillId="17981" borderId="17928" xfId="0" applyNumberFormat="1" applyFont="1" applyFill="1" applyBorder="1"/>
    <xf numFmtId="167" fontId="17971" fillId="17982" borderId="17929" xfId="0" applyNumberFormat="1" applyFont="1" applyFill="1" applyBorder="1"/>
    <xf numFmtId="170" fontId="17972" fillId="17983" borderId="17930" xfId="0" applyNumberFormat="1" applyFont="1" applyFill="1" applyBorder="1"/>
    <xf numFmtId="170" fontId="17973" fillId="17984" borderId="17931" xfId="0" applyNumberFormat="1" applyFont="1" applyFill="1" applyBorder="1"/>
    <xf numFmtId="170" fontId="17974" fillId="17985" borderId="17932" xfId="0" applyNumberFormat="1" applyFont="1" applyFill="1" applyBorder="1"/>
    <xf numFmtId="3" fontId="17975" fillId="17986" borderId="17933" xfId="0" applyNumberFormat="1" applyFont="1" applyFill="1" applyBorder="1"/>
    <xf numFmtId="3" fontId="17976" fillId="17987" borderId="17934" xfId="0" applyNumberFormat="1" applyFont="1" applyFill="1" applyBorder="1"/>
    <xf numFmtId="3" fontId="17977" fillId="17988" borderId="17935" xfId="0" applyNumberFormat="1" applyFont="1" applyFill="1" applyBorder="1"/>
    <xf numFmtId="170" fontId="17978" fillId="17989" borderId="17936" xfId="0" applyNumberFormat="1" applyFont="1" applyFill="1" applyBorder="1"/>
    <xf numFmtId="167" fontId="17979" fillId="17990" borderId="17937" xfId="0" applyNumberFormat="1" applyFont="1" applyFill="1" applyBorder="1"/>
    <xf numFmtId="167" fontId="17980" fillId="17991" borderId="17938" xfId="0" applyNumberFormat="1" applyFont="1" applyFill="1" applyBorder="1"/>
    <xf numFmtId="170" fontId="17981" fillId="17992" borderId="17939" xfId="0" applyNumberFormat="1" applyFont="1" applyFill="1" applyBorder="1"/>
    <xf numFmtId="170" fontId="17982" fillId="17993" borderId="17940" xfId="0" applyNumberFormat="1" applyFont="1" applyFill="1" applyBorder="1"/>
    <xf numFmtId="170" fontId="17983" fillId="17994" borderId="17941" xfId="0" applyNumberFormat="1" applyFont="1" applyFill="1" applyBorder="1"/>
    <xf numFmtId="3" fontId="17984" fillId="17995" borderId="17942" xfId="0" applyNumberFormat="1" applyFont="1" applyFill="1" applyBorder="1"/>
    <xf numFmtId="3" fontId="17985" fillId="17996" borderId="17943" xfId="0" applyNumberFormat="1" applyFont="1" applyFill="1" applyBorder="1"/>
    <xf numFmtId="3" fontId="17986" fillId="17997" borderId="17944" xfId="0" applyNumberFormat="1" applyFont="1" applyFill="1" applyBorder="1"/>
    <xf numFmtId="170" fontId="17987" fillId="17998" borderId="17945" xfId="0" applyNumberFormat="1" applyFont="1" applyFill="1" applyBorder="1"/>
    <xf numFmtId="167" fontId="17988" fillId="17999" borderId="17946" xfId="0" applyNumberFormat="1" applyFont="1" applyFill="1" applyBorder="1"/>
    <xf numFmtId="167" fontId="17989" fillId="18000" borderId="17947" xfId="0" applyNumberFormat="1" applyFont="1" applyFill="1" applyBorder="1"/>
    <xf numFmtId="170" fontId="17990" fillId="18001" borderId="17948" xfId="0" applyNumberFormat="1" applyFont="1" applyFill="1" applyBorder="1"/>
    <xf numFmtId="170" fontId="17991" fillId="18002" borderId="17949" xfId="0" applyNumberFormat="1" applyFont="1" applyFill="1" applyBorder="1"/>
    <xf numFmtId="170" fontId="17992" fillId="18003" borderId="17950" xfId="0" applyNumberFormat="1" applyFont="1" applyFill="1" applyBorder="1"/>
    <xf numFmtId="3" fontId="17993" fillId="18004" borderId="17951" xfId="0" applyNumberFormat="1" applyFont="1" applyFill="1" applyBorder="1"/>
    <xf numFmtId="3" fontId="17994" fillId="18005" borderId="17952" xfId="0" applyNumberFormat="1" applyFont="1" applyFill="1" applyBorder="1"/>
    <xf numFmtId="3" fontId="17995" fillId="18006" borderId="17953" xfId="0" applyNumberFormat="1" applyFont="1" applyFill="1" applyBorder="1"/>
    <xf numFmtId="170" fontId="17996" fillId="18007" borderId="17954" xfId="0" applyNumberFormat="1" applyFont="1" applyFill="1" applyBorder="1"/>
    <xf numFmtId="167" fontId="17997" fillId="18008" borderId="17955" xfId="0" applyNumberFormat="1" applyFont="1" applyFill="1" applyBorder="1"/>
    <xf numFmtId="167" fontId="17998" fillId="18009" borderId="17956" xfId="0" applyNumberFormat="1" applyFont="1" applyFill="1" applyBorder="1"/>
    <xf numFmtId="170" fontId="17999" fillId="18010" borderId="17957" xfId="0" applyNumberFormat="1" applyFont="1" applyFill="1" applyBorder="1"/>
    <xf numFmtId="170" fontId="18000" fillId="18011" borderId="17958" xfId="0" applyNumberFormat="1" applyFont="1" applyFill="1" applyBorder="1"/>
    <xf numFmtId="170" fontId="18001" fillId="18012" borderId="17959" xfId="0" applyNumberFormat="1" applyFont="1" applyFill="1" applyBorder="1"/>
    <xf numFmtId="3" fontId="18002" fillId="18013" borderId="17960" xfId="0" applyNumberFormat="1" applyFont="1" applyFill="1" applyBorder="1"/>
    <xf numFmtId="3" fontId="18003" fillId="18014" borderId="17961" xfId="0" applyNumberFormat="1" applyFont="1" applyFill="1" applyBorder="1"/>
    <xf numFmtId="3" fontId="18004" fillId="18015" borderId="17962" xfId="0" applyNumberFormat="1" applyFont="1" applyFill="1" applyBorder="1"/>
    <xf numFmtId="170" fontId="18005" fillId="18016" borderId="17963" xfId="0" applyNumberFormat="1" applyFont="1" applyFill="1" applyBorder="1"/>
    <xf numFmtId="167" fontId="18006" fillId="18017" borderId="17964" xfId="0" applyNumberFormat="1" applyFont="1" applyFill="1" applyBorder="1"/>
    <xf numFmtId="167" fontId="18007" fillId="18018" borderId="17965" xfId="0" applyNumberFormat="1" applyFont="1" applyFill="1" applyBorder="1"/>
    <xf numFmtId="170" fontId="18008" fillId="18019" borderId="17966" xfId="0" applyNumberFormat="1" applyFont="1" applyFill="1" applyBorder="1"/>
    <xf numFmtId="170" fontId="18009" fillId="18020" borderId="17967" xfId="0" applyNumberFormat="1" applyFont="1" applyFill="1" applyBorder="1"/>
    <xf numFmtId="170" fontId="18010" fillId="18021" borderId="17968" xfId="0" applyNumberFormat="1" applyFont="1" applyFill="1" applyBorder="1"/>
    <xf numFmtId="170" fontId="18011" fillId="18022" borderId="17969" xfId="0" applyNumberFormat="1" applyFont="1" applyFill="1" applyBorder="1"/>
    <xf numFmtId="167" fontId="18012" fillId="18023" borderId="17970" xfId="0" applyNumberFormat="1" applyFont="1" applyFill="1" applyBorder="1"/>
    <xf numFmtId="167" fontId="18013" fillId="18024" borderId="17971" xfId="0" applyNumberFormat="1" applyFont="1" applyFill="1" applyBorder="1"/>
    <xf numFmtId="170" fontId="18014" fillId="18025" borderId="17972" xfId="0" applyNumberFormat="1" applyFont="1" applyFill="1" applyBorder="1"/>
    <xf numFmtId="0" fontId="2394" fillId="2396" borderId="2341" xfId="0" applyFont="1" applyFill="1" applyBorder="1" applyAlignment="1">
      <alignment horizontal="center" vertical="center"/>
    </xf>
    <xf numFmtId="0" fontId="2395" fillId="2397" borderId="2342" xfId="0" applyFont="1" applyFill="1" applyBorder="1" applyAlignment="1">
      <alignment horizontal="center" vertical="center"/>
    </xf>
    <xf numFmtId="0" fontId="2396" fillId="2398" borderId="2343" xfId="0" applyFont="1" applyFill="1" applyBorder="1" applyAlignment="1">
      <alignment horizontal="center" vertical="center"/>
    </xf>
    <xf numFmtId="0" fontId="2397" fillId="2399" borderId="2344" xfId="0" applyFont="1" applyFill="1" applyBorder="1" applyAlignment="1">
      <alignment horizontal="center" vertical="center"/>
    </xf>
    <xf numFmtId="0" fontId="2398" fillId="2400" borderId="2345" xfId="0" applyFont="1" applyFill="1" applyBorder="1" applyAlignment="1">
      <alignment horizontal="center" vertical="center"/>
    </xf>
    <xf numFmtId="0" fontId="2399" fillId="2401" borderId="2346" xfId="0" applyFont="1" applyFill="1" applyBorder="1" applyAlignment="1">
      <alignment horizontal="center" vertical="center"/>
    </xf>
    <xf numFmtId="0" fontId="2400" fillId="2402" borderId="2347" xfId="0" applyFont="1" applyFill="1" applyBorder="1" applyAlignment="1">
      <alignment horizontal="center" vertical="center"/>
    </xf>
    <xf numFmtId="0" fontId="2401" fillId="2403" borderId="2348" xfId="0" applyFont="1" applyFill="1" applyBorder="1" applyAlignment="1">
      <alignment horizontal="center" vertical="center"/>
    </xf>
    <xf numFmtId="0" fontId="2402" fillId="2404" borderId="2349" xfId="0" applyFont="1" applyFill="1" applyBorder="1" applyAlignment="1">
      <alignment horizontal="center" vertical="center"/>
    </xf>
    <xf numFmtId="0" fontId="2139" fillId="2141" borderId="2086" xfId="0" applyFont="1" applyFill="1" applyBorder="1" applyAlignment="1">
      <alignment horizontal="center" vertical="center"/>
    </xf>
    <xf numFmtId="0" fontId="2383" fillId="2385" borderId="2330" xfId="0" applyFont="1" applyFill="1" applyBorder="1" applyAlignment="1">
      <alignment horizontal="center" vertical="center"/>
    </xf>
    <xf numFmtId="0" fontId="2384" fillId="2386" borderId="2331" xfId="0" applyFont="1" applyFill="1" applyBorder="1"/>
    <xf numFmtId="0" fontId="556" fillId="555" borderId="552" xfId="0" applyFont="1" applyFill="1" applyBorder="1" applyAlignment="1">
      <alignment vertical="center"/>
    </xf>
    <xf numFmtId="0" fontId="599" fillId="599" borderId="594" xfId="0" applyFont="1" applyFill="1" applyBorder="1"/>
    <xf numFmtId="0" fontId="600" fillId="600" borderId="595" xfId="0" applyFont="1" applyFill="1" applyBorder="1"/>
    <xf numFmtId="0" fontId="601" fillId="601" borderId="596" xfId="0" applyFont="1" applyFill="1" applyBorder="1"/>
    <xf numFmtId="0" fontId="602" fillId="602" borderId="597" xfId="0" applyFont="1" applyFill="1" applyBorder="1"/>
    <xf numFmtId="0" fontId="603" fillId="603" borderId="598" xfId="0" applyFont="1" applyFill="1" applyBorder="1"/>
    <xf numFmtId="0" fontId="604" fillId="604" borderId="599" xfId="0" applyFont="1" applyFill="1" applyBorder="1"/>
    <xf numFmtId="0" fontId="605" fillId="605" borderId="600" xfId="0" applyFont="1" applyFill="1" applyBorder="1"/>
    <xf numFmtId="0" fontId="606" fillId="606" borderId="601" xfId="0" applyFont="1" applyFill="1" applyBorder="1"/>
    <xf numFmtId="0" fontId="607" fillId="607" borderId="602" xfId="0" applyFont="1" applyFill="1" applyBorder="1"/>
    <xf numFmtId="0" fontId="204" fillId="203" borderId="201" xfId="0" applyFont="1" applyFill="1" applyBorder="1" applyAlignment="1">
      <alignment horizontal="center" vertical="center"/>
    </xf>
    <xf numFmtId="0" fontId="395" fillId="394" borderId="391" xfId="0" applyFont="1" applyFill="1" applyBorder="1"/>
    <xf numFmtId="0" fontId="396" fillId="395" borderId="392" xfId="0" applyFont="1" applyFill="1" applyBorder="1"/>
    <xf numFmtId="0" fontId="397" fillId="396" borderId="393" xfId="0" applyFont="1" applyFill="1" applyBorder="1"/>
    <xf numFmtId="0" fontId="398" fillId="397" borderId="394" xfId="0" applyFont="1" applyFill="1" applyBorder="1"/>
    <xf numFmtId="0" fontId="399" fillId="398" borderId="395" xfId="0" applyFont="1" applyFill="1" applyBorder="1"/>
    <xf numFmtId="0" fontId="400" fillId="399" borderId="396" xfId="0" applyFont="1" applyFill="1" applyBorder="1"/>
    <xf numFmtId="0" fontId="401" fillId="400" borderId="397" xfId="0" applyFont="1" applyFill="1" applyBorder="1"/>
    <xf numFmtId="0" fontId="402" fillId="401" borderId="398" xfId="0" applyFont="1" applyFill="1" applyBorder="1"/>
    <xf numFmtId="0" fontId="403" fillId="402" borderId="399" xfId="0" applyFont="1" applyFill="1" applyBorder="1"/>
    <xf numFmtId="0" fontId="205" fillId="204" borderId="202" xfId="0" applyFont="1" applyFill="1" applyBorder="1" applyAlignment="1">
      <alignment vertical="center"/>
    </xf>
    <xf numFmtId="0" fontId="414" fillId="413" borderId="410" xfId="0" applyFont="1" applyFill="1" applyBorder="1"/>
    <xf numFmtId="0" fontId="415" fillId="414" borderId="411" xfId="0" applyFont="1" applyFill="1" applyBorder="1"/>
    <xf numFmtId="0" fontId="416" fillId="415" borderId="412" xfId="0" applyFont="1" applyFill="1" applyBorder="1"/>
    <xf numFmtId="0" fontId="217" fillId="216" borderId="214" xfId="0" applyFont="1" applyFill="1" applyBorder="1" applyAlignment="1">
      <alignment horizontal="center" vertical="center"/>
    </xf>
    <xf numFmtId="0" fontId="417" fillId="416" borderId="413" xfId="0" applyFont="1" applyFill="1" applyBorder="1"/>
    <xf numFmtId="0" fontId="418" fillId="417" borderId="414" xfId="0" applyFont="1" applyFill="1" applyBorder="1"/>
    <xf numFmtId="0" fontId="419" fillId="418" borderId="415" xfId="0" applyFont="1" applyFill="1" applyBorder="1"/>
    <xf numFmtId="0" fontId="420" fillId="419" borderId="416" xfId="0" applyFont="1" applyFill="1" applyBorder="1"/>
    <xf numFmtId="0" fontId="421" fillId="420" borderId="417" xfId="0" applyFont="1" applyFill="1" applyBorder="1"/>
    <xf numFmtId="0" fontId="216" fillId="215" borderId="213" xfId="0" applyFont="1" applyFill="1" applyBorder="1" applyAlignment="1">
      <alignment horizontal="center" vertical="center"/>
    </xf>
    <xf numFmtId="0" fontId="424" fillId="423" borderId="420" xfId="0" applyFont="1" applyFill="1" applyBorder="1"/>
    <xf numFmtId="0" fontId="425" fillId="424" borderId="421" xfId="0" applyFont="1" applyFill="1" applyBorder="1"/>
    <xf numFmtId="0" fontId="426" fillId="425" borderId="422" xfId="0" applyFont="1" applyFill="1" applyBorder="1"/>
    <xf numFmtId="0" fontId="427" fillId="426" borderId="423" xfId="0" applyFont="1" applyFill="1" applyBorder="1"/>
    <xf numFmtId="0" fontId="431" fillId="430" borderId="427" xfId="0" applyFont="1" applyFill="1" applyBorder="1"/>
    <xf numFmtId="0" fontId="432" fillId="431" borderId="428" xfId="0" applyFont="1" applyFill="1" applyBorder="1"/>
    <xf numFmtId="0" fontId="433" fillId="432" borderId="429" xfId="0" applyFont="1" applyFill="1" applyBorder="1"/>
    <xf numFmtId="0" fontId="434" fillId="433" borderId="430" xfId="0" applyFont="1" applyFill="1" applyBorder="1"/>
    <xf numFmtId="0" fontId="435" fillId="434" borderId="431" xfId="0" applyFont="1" applyFill="1" applyBorder="1"/>
    <xf numFmtId="0" fontId="439" fillId="438" borderId="435" xfId="0" applyFont="1" applyFill="1" applyBorder="1"/>
    <xf numFmtId="0" fontId="440" fillId="439" borderId="436" xfId="0" applyFont="1" applyFill="1" applyBorder="1"/>
    <xf numFmtId="0" fontId="441" fillId="440" borderId="437" xfId="0" applyFont="1" applyFill="1" applyBorder="1"/>
    <xf numFmtId="0" fontId="442" fillId="441" borderId="438" xfId="0" applyFont="1" applyFill="1" applyBorder="1"/>
    <xf numFmtId="0" fontId="443" fillId="442" borderId="439" xfId="0" applyFont="1" applyFill="1" applyBorder="1"/>
    <xf numFmtId="0" fontId="447" fillId="446" borderId="443" xfId="0" applyFont="1" applyFill="1" applyBorder="1"/>
    <xf numFmtId="0" fontId="448" fillId="447" borderId="444" xfId="0" applyFont="1" applyFill="1" applyBorder="1"/>
    <xf numFmtId="0" fontId="449" fillId="448" borderId="445" xfId="0" applyFont="1" applyFill="1" applyBorder="1"/>
    <xf numFmtId="0" fontId="450" fillId="449" borderId="446" xfId="0" applyFont="1" applyFill="1" applyBorder="1"/>
    <xf numFmtId="0" fontId="451" fillId="450" borderId="447" xfId="0" applyFont="1" applyFill="1" applyBorder="1"/>
    <xf numFmtId="0" fontId="455" fillId="454" borderId="451" xfId="0" applyFont="1" applyFill="1" applyBorder="1"/>
    <xf numFmtId="0" fontId="456" fillId="455" borderId="452" xfId="0" applyFont="1" applyFill="1" applyBorder="1"/>
    <xf numFmtId="0" fontId="457" fillId="456" borderId="453" xfId="0" applyFont="1" applyFill="1" applyBorder="1"/>
    <xf numFmtId="0" fontId="458" fillId="457" borderId="454" xfId="0" applyFont="1" applyFill="1" applyBorder="1"/>
    <xf numFmtId="0" fontId="459" fillId="458" borderId="455" xfId="0" applyFont="1" applyFill="1" applyBorder="1"/>
    <xf numFmtId="0" fontId="218" fillId="217" borderId="215" xfId="0" applyFont="1" applyFill="1" applyBorder="1" applyAlignment="1">
      <alignment vertical="center"/>
    </xf>
    <xf numFmtId="0" fontId="471" fillId="470" borderId="467" xfId="0" applyFont="1" applyFill="1" applyBorder="1"/>
    <xf numFmtId="0" fontId="472" fillId="471" borderId="468" xfId="0" applyFont="1" applyFill="1" applyBorder="1"/>
    <xf numFmtId="0" fontId="473" fillId="472" borderId="469" xfId="0" applyFont="1" applyFill="1" applyBorder="1"/>
    <xf numFmtId="0" fontId="474" fillId="473" borderId="470" xfId="0" applyFont="1" applyFill="1" applyBorder="1"/>
    <xf numFmtId="0" fontId="475" fillId="474" borderId="471" xfId="0" applyFont="1" applyFill="1" applyBorder="1"/>
    <xf numFmtId="0" fontId="476" fillId="475" borderId="472" xfId="0" applyFont="1" applyFill="1" applyBorder="1"/>
    <xf numFmtId="0" fontId="477" fillId="476" borderId="473" xfId="0" applyFont="1" applyFill="1" applyBorder="1"/>
    <xf numFmtId="0" fontId="478" fillId="477" borderId="474" xfId="0" applyFont="1" applyFill="1" applyBorder="1"/>
    <xf numFmtId="0" fontId="479" fillId="478" borderId="475" xfId="0" applyFont="1" applyFill="1" applyBorder="1"/>
    <xf numFmtId="0" fontId="283" fillId="282" borderId="280" xfId="0" applyFont="1" applyFill="1" applyBorder="1" applyAlignment="1">
      <alignment vertical="center"/>
    </xf>
    <xf numFmtId="0" fontId="506" fillId="505" borderId="502" xfId="0" applyFont="1" applyFill="1" applyBorder="1"/>
    <xf numFmtId="0" fontId="507" fillId="506" borderId="503" xfId="0" applyFont="1" applyFill="1" applyBorder="1"/>
    <xf numFmtId="0" fontId="508" fillId="507" borderId="504" xfId="0" applyFont="1" applyFill="1" applyBorder="1"/>
    <xf numFmtId="0" fontId="509" fillId="508" borderId="505" xfId="0" applyFont="1" applyFill="1" applyBorder="1"/>
    <xf numFmtId="0" fontId="510" fillId="509" borderId="506" xfId="0" applyFont="1" applyFill="1" applyBorder="1"/>
    <xf numFmtId="0" fontId="511" fillId="510" borderId="507" xfId="0" applyFont="1" applyFill="1" applyBorder="1"/>
    <xf numFmtId="0" fontId="512" fillId="511" borderId="508" xfId="0" applyFont="1" applyFill="1" applyBorder="1"/>
    <xf numFmtId="0" fontId="513" fillId="512" borderId="509" xfId="0" applyFont="1" applyFill="1" applyBorder="1"/>
    <xf numFmtId="0" fontId="514" fillId="513" borderId="510" xfId="0" applyFont="1" applyFill="1" applyBorder="1"/>
    <xf numFmtId="0" fontId="364" fillId="363" borderId="646" xfId="0" applyFont="1" applyFill="1" applyBorder="1" applyAlignment="1">
      <alignment horizontal="center" vertical="center"/>
    </xf>
    <xf numFmtId="0" fontId="16476" fillId="16481" borderId="16428" xfId="0" applyFont="1" applyFill="1" applyBorder="1" applyAlignment="1">
      <alignment horizontal="center"/>
    </xf>
    <xf numFmtId="0" fontId="16477" fillId="16482" borderId="16429" xfId="0" applyFont="1" applyFill="1" applyBorder="1" applyAlignment="1">
      <alignment horizontal="right" vertical="center" wrapText="1"/>
    </xf>
    <xf numFmtId="166" fontId="16478" fillId="16483" borderId="16430" xfId="0" applyNumberFormat="1" applyFont="1" applyFill="1" applyBorder="1" applyAlignment="1">
      <alignment horizontal="center" vertical="center" wrapText="1"/>
    </xf>
    <xf numFmtId="0" fontId="16479" fillId="16484" borderId="16431" xfId="0" applyFont="1" applyFill="1" applyBorder="1" applyAlignment="1">
      <alignment horizontal="right" vertical="center" wrapText="1"/>
    </xf>
    <xf numFmtId="164" fontId="16480" fillId="16485" borderId="16432" xfId="0" applyNumberFormat="1" applyFont="1" applyFill="1" applyBorder="1" applyAlignment="1">
      <alignment horizontal="center" vertical="center" wrapText="1"/>
    </xf>
    <xf numFmtId="0" fontId="16481" fillId="16486" borderId="16433" xfId="0" applyFont="1" applyFill="1" applyBorder="1" applyAlignment="1">
      <alignment horizontal="center" vertical="center" wrapText="1"/>
    </xf>
    <xf numFmtId="0" fontId="16482" fillId="16487" borderId="16434" xfId="0" applyFont="1" applyFill="1" applyBorder="1" applyAlignment="1">
      <alignment horizontal="center" vertical="center" wrapText="1"/>
    </xf>
    <xf numFmtId="0" fontId="16488" fillId="16493" borderId="16440" xfId="0" applyFont="1" applyFill="1" applyBorder="1" applyAlignment="1">
      <alignment horizontal="center" wrapText="1"/>
    </xf>
    <xf numFmtId="0" fontId="16489" fillId="16494" borderId="16441" xfId="0" applyFont="1" applyFill="1" applyBorder="1" applyAlignment="1">
      <alignment horizontal="center" vertical="center" wrapText="1"/>
    </xf>
    <xf numFmtId="166" fontId="16490" fillId="16495" borderId="16442" xfId="0" applyNumberFormat="1" applyFont="1" applyFill="1" applyBorder="1" applyAlignment="1">
      <alignment horizontal="center" vertical="center" wrapText="1"/>
    </xf>
    <xf numFmtId="3" fontId="16491" fillId="16496" borderId="16443" xfId="0" applyNumberFormat="1" applyFont="1" applyFill="1" applyBorder="1" applyAlignment="1">
      <alignment horizontal="center" vertical="center" wrapText="1"/>
    </xf>
    <xf numFmtId="3" fontId="16492" fillId="16497" borderId="16444" xfId="0" applyNumberFormat="1" applyFont="1" applyFill="1" applyBorder="1" applyAlignment="1">
      <alignment horizontal="center" vertical="center" wrapText="1"/>
    </xf>
    <xf numFmtId="3" fontId="16493" fillId="16498" borderId="16445" xfId="0" applyNumberFormat="1" applyFont="1" applyFill="1" applyBorder="1" applyAlignment="1">
      <alignment horizontal="center" vertical="center" wrapText="1"/>
    </xf>
    <xf numFmtId="164" fontId="16494" fillId="16499" borderId="16446" xfId="0" applyNumberFormat="1" applyFont="1" applyFill="1" applyBorder="1" applyAlignment="1">
      <alignment horizontal="center" vertical="center" wrapText="1"/>
    </xf>
    <xf numFmtId="164" fontId="16495" fillId="16500" borderId="16447" xfId="0" applyNumberFormat="1" applyFont="1" applyFill="1" applyBorder="1" applyAlignment="1">
      <alignment horizontal="center" vertical="center" wrapText="1"/>
    </xf>
    <xf numFmtId="164" fontId="16496" fillId="16501" borderId="16448" xfId="0" applyNumberFormat="1" applyFont="1" applyFill="1" applyBorder="1" applyAlignment="1">
      <alignment horizontal="center" vertical="center"/>
    </xf>
    <xf numFmtId="2" fontId="16497" fillId="16502" borderId="16449" xfId="0" applyNumberFormat="1" applyFont="1" applyFill="1" applyBorder="1" applyAlignment="1">
      <alignment horizontal="right" vertical="center"/>
    </xf>
    <xf numFmtId="0" fontId="219" fillId="659" borderId="2351" xfId="0" applyFont="1" applyFill="1" applyBorder="1" applyAlignment="1">
      <alignment horizontal="center" vertical="center"/>
    </xf>
    <xf numFmtId="0" fontId="219" fillId="659" borderId="2352" xfId="0" applyFont="1" applyFill="1" applyBorder="1" applyAlignment="1">
      <alignment horizontal="center" vertical="center"/>
    </xf>
    <xf numFmtId="0" fontId="650" fillId="651" borderId="646" xfId="0" applyFont="1" applyFill="1" applyBorder="1" applyAlignment="1">
      <alignment horizontal="center" vertical="center"/>
    </xf>
    <xf numFmtId="0" fontId="652" fillId="653" borderId="2085" xfId="0" applyFont="1" applyFill="1" applyBorder="1" applyAlignment="1">
      <alignment horizontal="center" vertical="center"/>
    </xf>
    <xf numFmtId="0" fontId="657" fillId="658" borderId="2085" xfId="0" applyFont="1" applyFill="1" applyBorder="1" applyAlignment="1">
      <alignment horizontal="center" vertical="center"/>
    </xf>
    <xf numFmtId="0" fontId="656" fillId="657" borderId="2085" xfId="0" applyFont="1" applyFill="1" applyBorder="1" applyAlignment="1">
      <alignment horizontal="center" vertical="center"/>
    </xf>
    <xf numFmtId="0" fontId="655" fillId="656" borderId="2085" xfId="0" applyFont="1" applyFill="1" applyBorder="1" applyAlignment="1">
      <alignment horizontal="center" vertical="center"/>
    </xf>
    <xf numFmtId="0" fontId="654" fillId="655" borderId="2085" xfId="0" applyFont="1" applyFill="1" applyBorder="1" applyAlignment="1">
      <alignment horizontal="center" vertical="center"/>
    </xf>
    <xf numFmtId="0" fontId="653" fillId="654" borderId="2085" xfId="0" applyFont="1" applyFill="1" applyBorder="1" applyAlignment="1">
      <alignment horizontal="center" vertical="center"/>
    </xf>
    <xf numFmtId="0" fontId="651" fillId="652" borderId="2085" xfId="0" applyFont="1" applyFill="1" applyBorder="1" applyAlignment="1">
      <alignment horizontal="center" vertical="center"/>
    </xf>
    <xf numFmtId="0" fontId="219" fillId="653" borderId="2085" xfId="0" applyFont="1" applyFill="1" applyBorder="1" applyAlignment="1">
      <alignment horizontal="center" vertical="center"/>
    </xf>
    <xf numFmtId="0" fontId="3904" fillId="3908" borderId="3856" xfId="0" applyFont="1" applyFill="1" applyBorder="1"/>
    <xf numFmtId="0" fontId="2" fillId="2" borderId="0" xfId="0" applyFont="1" applyFill="1" applyAlignment="1">
      <alignment horizontal="center" vertical="center"/>
    </xf>
    <xf numFmtId="0" fontId="2571" fillId="2574" borderId="2522" xfId="0" applyFont="1" applyFill="1" applyBorder="1" applyAlignment="1">
      <alignment horizontal="center"/>
    </xf>
    <xf numFmtId="0" fontId="2572" fillId="2575" borderId="2523" xfId="0" applyFont="1" applyFill="1" applyBorder="1" applyAlignment="1">
      <alignment horizontal="center"/>
    </xf>
    <xf numFmtId="0" fontId="2573" fillId="2576" borderId="2524" xfId="0" applyFont="1" applyFill="1" applyBorder="1" applyAlignment="1">
      <alignment horizontal="center"/>
    </xf>
    <xf numFmtId="0" fontId="2574" fillId="2577" borderId="2525" xfId="0" applyFont="1" applyFill="1" applyBorder="1" applyAlignment="1">
      <alignment horizontal="center"/>
    </xf>
    <xf numFmtId="0" fontId="2575" fillId="2578" borderId="2526" xfId="0" applyFont="1" applyFill="1" applyBorder="1" applyAlignment="1">
      <alignment horizontal="center"/>
    </xf>
    <xf numFmtId="0" fontId="2576" fillId="2579" borderId="2527" xfId="0" applyFont="1" applyFill="1" applyBorder="1" applyAlignment="1">
      <alignment horizontal="center"/>
    </xf>
    <xf numFmtId="0" fontId="2577" fillId="2580" borderId="2528" xfId="0" applyFont="1" applyFill="1" applyBorder="1" applyAlignment="1">
      <alignment horizontal="center"/>
    </xf>
    <xf numFmtId="0" fontId="2578" fillId="2581" borderId="2529" xfId="0" applyFont="1" applyFill="1" applyBorder="1" applyAlignment="1">
      <alignment horizontal="center"/>
    </xf>
    <xf numFmtId="0" fontId="2435" fillId="2438" borderId="2386" xfId="0" applyFont="1" applyFill="1" applyBorder="1" applyAlignment="1">
      <alignment horizontal="center"/>
    </xf>
    <xf numFmtId="0" fontId="2436" fillId="2439" borderId="2387" xfId="0" applyFont="1" applyFill="1" applyBorder="1" applyAlignment="1">
      <alignment horizontal="center"/>
    </xf>
    <xf numFmtId="0" fontId="2436" fillId="2439" borderId="2521" xfId="0" applyFont="1" applyFill="1" applyBorder="1" applyAlignment="1">
      <alignment horizontal="center"/>
    </xf>
    <xf numFmtId="0" fontId="2437" fillId="2440" borderId="2388" xfId="0" applyFont="1" applyFill="1" applyBorder="1" applyAlignment="1">
      <alignment horizontal="center"/>
    </xf>
    <xf numFmtId="0" fontId="2438" fillId="2441" borderId="2389" xfId="0" applyFont="1" applyFill="1" applyBorder="1" applyAlignment="1">
      <alignment horizontal="center"/>
    </xf>
    <xf numFmtId="0" fontId="11583" fillId="11588" borderId="11535" xfId="0" applyFont="1" applyFill="1" applyBorder="1"/>
    <xf numFmtId="0" fontId="11584" fillId="11589" borderId="11536" xfId="0" applyFont="1" applyFill="1" applyBorder="1"/>
    <xf numFmtId="0" fontId="16821" fillId="16826" borderId="16773" xfId="0" applyFont="1" applyFill="1" applyBorder="1" applyAlignment="1">
      <alignment horizontal="center" wrapText="1"/>
    </xf>
    <xf numFmtId="4" fontId="16619" fillId="16624" borderId="16571" xfId="0" applyNumberFormat="1" applyFont="1" applyFill="1" applyBorder="1" applyAlignment="1">
      <alignment horizontal="center" wrapText="1"/>
    </xf>
    <xf numFmtId="4" fontId="16620" fillId="16625" borderId="16572" xfId="0" applyNumberFormat="1" applyFont="1" applyFill="1" applyBorder="1" applyAlignment="1">
      <alignment horizontal="center" wrapText="1"/>
    </xf>
    <xf numFmtId="4" fontId="16621" fillId="16626" borderId="16573" xfId="0" applyNumberFormat="1" applyFont="1" applyFill="1" applyBorder="1" applyAlignment="1">
      <alignment horizontal="center" wrapText="1"/>
    </xf>
    <xf numFmtId="4" fontId="16622" fillId="16627" borderId="16574" xfId="0" applyNumberFormat="1" applyFont="1" applyFill="1" applyBorder="1" applyAlignment="1">
      <alignment horizontal="center" wrapText="1"/>
    </xf>
    <xf numFmtId="4" fontId="16623" fillId="16628" borderId="16575" xfId="0" applyNumberFormat="1" applyFont="1" applyFill="1" applyBorder="1" applyAlignment="1">
      <alignment horizontal="center" wrapText="1"/>
    </xf>
    <xf numFmtId="4" fontId="16624" fillId="16629" borderId="16576" xfId="0" applyNumberFormat="1" applyFont="1" applyFill="1" applyBorder="1" applyAlignment="1">
      <alignment horizontal="center" wrapText="1"/>
    </xf>
    <xf numFmtId="4" fontId="16625" fillId="16630" borderId="16577" xfId="0" applyNumberFormat="1" applyFont="1" applyFill="1" applyBorder="1" applyAlignment="1">
      <alignment horizontal="center" wrapText="1"/>
    </xf>
    <xf numFmtId="0" fontId="16626" fillId="16631" borderId="16578" xfId="0" applyFont="1" applyFill="1" applyBorder="1" applyAlignment="1">
      <alignment horizontal="center" wrapText="1"/>
    </xf>
    <xf numFmtId="0" fontId="16627" fillId="16632" borderId="16579" xfId="0" applyFont="1" applyFill="1" applyBorder="1" applyAlignment="1">
      <alignment horizontal="center" wrapText="1"/>
    </xf>
    <xf numFmtId="0" fontId="16822" fillId="16827" borderId="16774" xfId="0" applyFont="1" applyFill="1" applyBorder="1"/>
    <xf numFmtId="165" fontId="16628" fillId="16633" borderId="16580" xfId="0" applyNumberFormat="1" applyFont="1" applyFill="1" applyBorder="1"/>
    <xf numFmtId="165" fontId="16629" fillId="16634" borderId="16581" xfId="0" applyNumberFormat="1" applyFont="1" applyFill="1" applyBorder="1"/>
    <xf numFmtId="0" fontId="16884" fillId="16889" borderId="16836" xfId="0" applyFont="1" applyFill="1" applyBorder="1" applyAlignment="1">
      <alignment horizontal="center"/>
    </xf>
    <xf numFmtId="0" fontId="16645" fillId="16650" borderId="16597" xfId="0" applyFont="1" applyFill="1" applyBorder="1"/>
    <xf numFmtId="4" fontId="16646" fillId="16651" borderId="16598" xfId="0" applyNumberFormat="1" applyFont="1" applyFill="1" applyBorder="1"/>
    <xf numFmtId="165" fontId="16647" fillId="16652" borderId="16599" xfId="0" applyNumberFormat="1" applyFont="1" applyFill="1" applyBorder="1"/>
    <xf numFmtId="4" fontId="16648" fillId="16653" borderId="16600" xfId="0" applyNumberFormat="1" applyFont="1" applyFill="1" applyBorder="1"/>
    <xf numFmtId="168" fontId="16649" fillId="16654" borderId="16601" xfId="0" applyNumberFormat="1" applyFont="1" applyFill="1" applyBorder="1"/>
    <xf numFmtId="165" fontId="16650" fillId="16655" borderId="16602" xfId="0" applyNumberFormat="1" applyFont="1" applyFill="1" applyBorder="1"/>
    <xf numFmtId="4" fontId="16651" fillId="16656" borderId="16603" xfId="0" applyNumberFormat="1" applyFont="1" applyFill="1" applyBorder="1"/>
    <xf numFmtId="165" fontId="16652" fillId="16657" borderId="16604" xfId="0" applyNumberFormat="1" applyFont="1" applyFill="1" applyBorder="1"/>
    <xf numFmtId="0" fontId="17119" fillId="17124" borderId="17071" xfId="0" applyFont="1" applyFill="1" applyBorder="1" applyAlignment="1">
      <alignment horizontal="center"/>
    </xf>
    <xf numFmtId="0" fontId="16661" fillId="16666" borderId="16613" xfId="0" applyFont="1" applyFill="1" applyBorder="1"/>
    <xf numFmtId="165" fontId="16662" fillId="16667" borderId="16614" xfId="0" applyNumberFormat="1" applyFont="1" applyFill="1" applyBorder="1"/>
    <xf numFmtId="4" fontId="16663" fillId="16668" borderId="16615" xfId="0" applyNumberFormat="1" applyFont="1" applyFill="1" applyBorder="1"/>
    <xf numFmtId="168" fontId="16664" fillId="16669" borderId="16616" xfId="0" applyNumberFormat="1" applyFont="1" applyFill="1" applyBorder="1"/>
    <xf numFmtId="165" fontId="16665" fillId="16670" borderId="16617" xfId="0" applyNumberFormat="1" applyFont="1" applyFill="1" applyBorder="1"/>
    <xf numFmtId="165" fontId="16666" fillId="16671" borderId="16618" xfId="0" applyNumberFormat="1" applyFont="1" applyFill="1" applyBorder="1"/>
    <xf numFmtId="4" fontId="16667" fillId="16672" borderId="16619" xfId="0" applyNumberFormat="1" applyFont="1" applyFill="1" applyBorder="1"/>
    <xf numFmtId="0" fontId="16894" fillId="16899" borderId="16846" xfId="0" applyFont="1" applyFill="1" applyBorder="1" applyAlignment="1">
      <alignment horizontal="center"/>
    </xf>
    <xf numFmtId="0" fontId="16895" fillId="16900" borderId="16847" xfId="0" applyFont="1" applyFill="1" applyBorder="1"/>
    <xf numFmtId="4" fontId="16896" fillId="16901" borderId="16848" xfId="0" applyNumberFormat="1" applyFont="1" applyFill="1" applyBorder="1"/>
    <xf numFmtId="165" fontId="16897" fillId="16902" borderId="16849" xfId="0" applyNumberFormat="1" applyFont="1" applyFill="1" applyBorder="1"/>
    <xf numFmtId="4" fontId="16898" fillId="16903" borderId="16850" xfId="0" applyNumberFormat="1" applyFont="1" applyFill="1" applyBorder="1"/>
    <xf numFmtId="168" fontId="16899" fillId="16904" borderId="16851" xfId="0" applyNumberFormat="1" applyFont="1" applyFill="1" applyBorder="1"/>
    <xf numFmtId="165" fontId="16900" fillId="16905" borderId="16852" xfId="0" applyNumberFormat="1" applyFont="1" applyFill="1" applyBorder="1"/>
    <xf numFmtId="4" fontId="16901" fillId="16906" borderId="16853" xfId="0" applyNumberFormat="1" applyFont="1" applyFill="1" applyBorder="1"/>
    <xf numFmtId="165" fontId="16902" fillId="16907" borderId="16854" xfId="0" applyNumberFormat="1" applyFont="1" applyFill="1" applyBorder="1"/>
    <xf numFmtId="0" fontId="16903" fillId="16908" borderId="16855" xfId="0" applyFont="1" applyFill="1" applyBorder="1" applyAlignment="1">
      <alignment horizontal="center"/>
    </xf>
    <xf numFmtId="0" fontId="16904" fillId="16909" borderId="16856" xfId="0" applyFont="1" applyFill="1" applyBorder="1"/>
    <xf numFmtId="4" fontId="16905" fillId="16910" borderId="16857" xfId="0" applyNumberFormat="1" applyFont="1" applyFill="1" applyBorder="1"/>
    <xf numFmtId="0" fontId="17020" fillId="17025" borderId="16972" xfId="0" applyFont="1" applyFill="1" applyBorder="1" applyAlignment="1">
      <alignment horizontal="center"/>
    </xf>
    <xf numFmtId="0" fontId="17021" fillId="17026" borderId="16973" xfId="0" applyFont="1" applyFill="1" applyBorder="1"/>
    <xf numFmtId="4" fontId="17022" fillId="17027" borderId="16974" xfId="0" applyNumberFormat="1" applyFont="1" applyFill="1" applyBorder="1"/>
    <xf numFmtId="165" fontId="17023" fillId="17028" borderId="16975" xfId="0" applyNumberFormat="1" applyFont="1" applyFill="1" applyBorder="1"/>
    <xf numFmtId="4" fontId="17024" fillId="17029" borderId="16976" xfId="0" applyNumberFormat="1" applyFont="1" applyFill="1" applyBorder="1"/>
    <xf numFmtId="168" fontId="17025" fillId="17030" borderId="16977" xfId="0" applyNumberFormat="1" applyFont="1" applyFill="1" applyBorder="1"/>
    <xf numFmtId="165" fontId="17026" fillId="17031" borderId="16978" xfId="0" applyNumberFormat="1" applyFont="1" applyFill="1" applyBorder="1"/>
    <xf numFmtId="4" fontId="17027" fillId="17032" borderId="16979" xfId="0" applyNumberFormat="1" applyFont="1" applyFill="1" applyBorder="1"/>
    <xf numFmtId="165" fontId="17028" fillId="17033" borderId="16980" xfId="0" applyNumberFormat="1" applyFont="1" applyFill="1" applyBorder="1"/>
    <xf numFmtId="0" fontId="15978" fillId="15983" borderId="15930" xfId="0" applyFont="1" applyFill="1" applyBorder="1"/>
    <xf numFmtId="0" fontId="16475" fillId="16480" borderId="16427" xfId="0" applyFont="1" applyFill="1" applyBorder="1"/>
    <xf numFmtId="0" fontId="17328" fillId="17333" borderId="17280" xfId="0" applyFont="1" applyFill="1" applyBorder="1" applyAlignment="1">
      <alignment horizontal="center"/>
    </xf>
    <xf numFmtId="0" fontId="15763" fillId="15768" borderId="15715" xfId="0" applyFont="1" applyFill="1" applyBorder="1"/>
    <xf numFmtId="4" fontId="15764" fillId="15769" borderId="15716" xfId="0" applyNumberFormat="1" applyFont="1" applyFill="1" applyBorder="1"/>
    <xf numFmtId="165" fontId="15765" fillId="15770" borderId="15717" xfId="0" applyNumberFormat="1" applyFont="1" applyFill="1" applyBorder="1"/>
    <xf numFmtId="4" fontId="15766" fillId="15771" borderId="15718" xfId="0" applyNumberFormat="1" applyFont="1" applyFill="1" applyBorder="1"/>
    <xf numFmtId="168" fontId="15767" fillId="15772" borderId="15719" xfId="0" applyNumberFormat="1" applyFont="1" applyFill="1" applyBorder="1"/>
    <xf numFmtId="165" fontId="15768" fillId="15773" borderId="15720" xfId="0" applyNumberFormat="1" applyFont="1" applyFill="1" applyBorder="1"/>
    <xf numFmtId="4" fontId="15769" fillId="15774" borderId="15721" xfId="0" applyNumberFormat="1" applyFont="1" applyFill="1" applyBorder="1"/>
    <xf numFmtId="0" fontId="16668" fillId="16673" borderId="16620" xfId="0" applyFont="1" applyFill="1" applyBorder="1" applyAlignment="1">
      <alignment horizontal="center" vertical="center"/>
    </xf>
    <xf numFmtId="0" fontId="16669" fillId="16674" borderId="16621" xfId="0" applyFont="1" applyFill="1" applyBorder="1" applyAlignment="1">
      <alignment horizontal="right"/>
    </xf>
    <xf numFmtId="0" fontId="16674" fillId="16679" borderId="16626" xfId="0" applyFont="1" applyFill="1" applyBorder="1"/>
    <xf numFmtId="0" fontId="16724" fillId="16729" borderId="16676" xfId="0" applyFont="1" applyFill="1" applyBorder="1" applyAlignment="1">
      <alignment horizontal="center" wrapText="1"/>
    </xf>
    <xf numFmtId="0" fontId="16725" fillId="16730" borderId="16677" xfId="0" applyFont="1" applyFill="1" applyBorder="1" applyAlignment="1">
      <alignment horizontal="center" wrapText="1"/>
    </xf>
    <xf numFmtId="0" fontId="16726" fillId="16731" borderId="16678" xfId="0" applyFont="1" applyFill="1" applyBorder="1" applyAlignment="1">
      <alignment horizontal="center" wrapText="1"/>
    </xf>
    <xf numFmtId="0" fontId="16727" fillId="16732" borderId="16679" xfId="0" applyFont="1" applyFill="1" applyBorder="1" applyAlignment="1">
      <alignment horizontal="center" wrapText="1"/>
    </xf>
    <xf numFmtId="0" fontId="16728" fillId="16733" borderId="16680" xfId="0" applyFont="1" applyFill="1" applyBorder="1" applyAlignment="1">
      <alignment horizontal="center" wrapText="1"/>
    </xf>
    <xf numFmtId="0" fontId="16729" fillId="16734" borderId="16681" xfId="0" applyFont="1" applyFill="1" applyBorder="1" applyAlignment="1">
      <alignment horizontal="center" wrapText="1"/>
    </xf>
    <xf numFmtId="0" fontId="16730" fillId="16735" borderId="16682" xfId="0" applyFont="1" applyFill="1" applyBorder="1" applyAlignment="1">
      <alignment horizontal="center" wrapText="1"/>
    </xf>
    <xf numFmtId="0" fontId="16731" fillId="16736" borderId="16683" xfId="0" applyFont="1" applyFill="1" applyBorder="1" applyAlignment="1">
      <alignment horizontal="center" wrapText="1"/>
    </xf>
    <xf numFmtId="0" fontId="16813" fillId="16818" borderId="16765" xfId="0" applyFont="1" applyFill="1" applyBorder="1"/>
    <xf numFmtId="4" fontId="16814" fillId="16819" borderId="16766" xfId="0" applyNumberFormat="1" applyFont="1" applyFill="1" applyBorder="1"/>
    <xf numFmtId="4" fontId="16815" fillId="16820" borderId="16767" xfId="0" applyNumberFormat="1" applyFont="1" applyFill="1" applyBorder="1"/>
    <xf numFmtId="4" fontId="16816" fillId="16821" borderId="16768" xfId="0" applyNumberFormat="1" applyFont="1" applyFill="1" applyBorder="1"/>
    <xf numFmtId="4" fontId="16817" fillId="16822" borderId="16769" xfId="0" applyNumberFormat="1" applyFont="1" applyFill="1" applyBorder="1"/>
    <xf numFmtId="4" fontId="16818" fillId="16823" borderId="16770" xfId="0" applyNumberFormat="1" applyFont="1" applyFill="1" applyBorder="1"/>
    <xf numFmtId="4" fontId="16819" fillId="16824" borderId="16771" xfId="0" applyNumberFormat="1" applyFont="1" applyFill="1" applyBorder="1"/>
    <xf numFmtId="4" fontId="16820" fillId="16825" borderId="16772" xfId="0" applyNumberFormat="1" applyFont="1" applyFill="1" applyBorder="1"/>
    <xf numFmtId="0" fontId="16723" fillId="16728" borderId="16675" xfId="0" applyFont="1" applyFill="1" applyBorder="1"/>
    <xf numFmtId="0" fontId="16609" fillId="16614" borderId="16561" xfId="0" applyFont="1" applyFill="1" applyBorder="1"/>
    <xf numFmtId="165" fontId="15712" fillId="15717" borderId="15664" xfId="0" applyNumberFormat="1" applyFont="1" applyFill="1" applyBorder="1"/>
    <xf numFmtId="165" fontId="15713" fillId="15718" borderId="15665" xfId="0" applyNumberFormat="1" applyFont="1" applyFill="1" applyBorder="1"/>
    <xf numFmtId="165" fontId="15714" fillId="15719" borderId="15666" xfId="0" applyNumberFormat="1" applyFont="1" applyFill="1" applyBorder="1"/>
    <xf numFmtId="165" fontId="15715" fillId="15720" borderId="15667" xfId="0" applyNumberFormat="1" applyFont="1" applyFill="1" applyBorder="1"/>
    <xf numFmtId="165" fontId="15716" fillId="15721" borderId="15668" xfId="0" applyNumberFormat="1" applyFont="1" applyFill="1" applyBorder="1"/>
    <xf numFmtId="165" fontId="15717" fillId="15722" borderId="15669" xfId="0" applyNumberFormat="1" applyFont="1" applyFill="1" applyBorder="1"/>
    <xf numFmtId="165" fontId="15718" fillId="15723" borderId="15670" xfId="0" applyNumberFormat="1" applyFont="1" applyFill="1" applyBorder="1"/>
    <xf numFmtId="0" fontId="16617" fillId="16622" borderId="16569" xfId="0" applyFont="1" applyFill="1" applyBorder="1" applyAlignment="1">
      <alignment horizontal="center" wrapText="1"/>
    </xf>
    <xf numFmtId="0" fontId="15719" fillId="15724" borderId="15671" xfId="0" applyFont="1" applyFill="1" applyBorder="1" applyAlignment="1">
      <alignment horizontal="center" wrapText="1"/>
    </xf>
    <xf numFmtId="0" fontId="15720" fillId="15725" borderId="15672" xfId="0" applyFont="1" applyFill="1" applyBorder="1" applyAlignment="1">
      <alignment horizontal="center" wrapText="1"/>
    </xf>
    <xf numFmtId="0" fontId="16864" fillId="16869" borderId="16816" xfId="0" applyFont="1" applyFill="1" applyBorder="1"/>
    <xf numFmtId="165" fontId="16865" fillId="16870" borderId="16817" xfId="0" applyNumberFormat="1" applyFont="1" applyFill="1" applyBorder="1"/>
    <xf numFmtId="165" fontId="16866" fillId="16871" borderId="16818" xfId="0" applyNumberFormat="1" applyFont="1" applyFill="1" applyBorder="1"/>
    <xf numFmtId="165" fontId="16867" fillId="16872" borderId="16819" xfId="0" applyNumberFormat="1" applyFont="1" applyFill="1" applyBorder="1"/>
    <xf numFmtId="4" fontId="16868" fillId="16873" borderId="16820" xfId="0" applyNumberFormat="1" applyFont="1" applyFill="1" applyBorder="1"/>
    <xf numFmtId="4" fontId="16869" fillId="16874" borderId="16821" xfId="0" applyNumberFormat="1" applyFont="1" applyFill="1" applyBorder="1"/>
    <xf numFmtId="4" fontId="16870" fillId="16875" borderId="16822" xfId="0" applyNumberFormat="1" applyFont="1" applyFill="1" applyBorder="1"/>
    <xf numFmtId="168" fontId="16871" fillId="16876" borderId="16823" xfId="0" applyNumberFormat="1" applyFont="1" applyFill="1" applyBorder="1"/>
    <xf numFmtId="165" fontId="16872" fillId="16877" borderId="16824" xfId="0" applyNumberFormat="1" applyFont="1" applyFill="1" applyBorder="1"/>
    <xf numFmtId="0" fontId="17047" fillId="17052" borderId="16999" xfId="0" applyFont="1" applyFill="1" applyBorder="1" applyAlignment="1">
      <alignment horizontal="center"/>
    </xf>
    <xf numFmtId="0" fontId="17048" fillId="17053" borderId="17000" xfId="0" applyFont="1" applyFill="1" applyBorder="1"/>
    <xf numFmtId="4" fontId="17049" fillId="17054" borderId="17001" xfId="0" applyNumberFormat="1" applyFont="1" applyFill="1" applyBorder="1"/>
    <xf numFmtId="165" fontId="17050" fillId="17055" borderId="17002" xfId="0" applyNumberFormat="1" applyFont="1" applyFill="1" applyBorder="1"/>
    <xf numFmtId="4" fontId="17051" fillId="17056" borderId="17003" xfId="0" applyNumberFormat="1" applyFont="1" applyFill="1" applyBorder="1"/>
    <xf numFmtId="168" fontId="17052" fillId="17057" borderId="17004" xfId="0" applyNumberFormat="1" applyFont="1" applyFill="1" applyBorder="1"/>
    <xf numFmtId="165" fontId="17053" fillId="17058" borderId="17005" xfId="0" applyNumberFormat="1" applyFont="1" applyFill="1" applyBorder="1"/>
    <xf numFmtId="4" fontId="17054" fillId="17059" borderId="17006" xfId="0" applyNumberFormat="1" applyFont="1" applyFill="1" applyBorder="1"/>
    <xf numFmtId="0" fontId="17208" fillId="17213" borderId="17160" xfId="0" applyFont="1" applyFill="1" applyBorder="1" applyAlignment="1">
      <alignment horizontal="center"/>
    </xf>
    <xf numFmtId="0" fontId="17209" fillId="17214" borderId="17161" xfId="0" applyFont="1" applyFill="1" applyBorder="1"/>
    <xf numFmtId="165" fontId="17210" fillId="17215" borderId="17162" xfId="0" applyNumberFormat="1" applyFont="1" applyFill="1" applyBorder="1"/>
    <xf numFmtId="4" fontId="17211" fillId="17216" borderId="17163" xfId="0" applyNumberFormat="1" applyFont="1" applyFill="1" applyBorder="1"/>
    <xf numFmtId="168" fontId="17212" fillId="17217" borderId="17164" xfId="0" applyNumberFormat="1" applyFont="1" applyFill="1" applyBorder="1"/>
    <xf numFmtId="165" fontId="17213" fillId="17218" borderId="17165" xfId="0" applyNumberFormat="1" applyFont="1" applyFill="1" applyBorder="1"/>
    <xf numFmtId="165" fontId="17214" fillId="17219" borderId="17166" xfId="0" applyNumberFormat="1" applyFont="1" applyFill="1" applyBorder="1"/>
    <xf numFmtId="4" fontId="17215" fillId="17220" borderId="17167" xfId="0" applyNumberFormat="1" applyFont="1" applyFill="1" applyBorder="1"/>
    <xf numFmtId="0" fontId="16671" fillId="16676" borderId="16623" xfId="0" applyFont="1" applyFill="1" applyBorder="1" applyAlignment="1">
      <alignment horizontal="right"/>
    </xf>
    <xf numFmtId="0" fontId="16608" fillId="16613" borderId="16560" xfId="0" applyFont="1" applyFill="1" applyBorder="1" applyAlignment="1">
      <alignment horizontal="right"/>
    </xf>
    <xf numFmtId="0" fontId="16772" fillId="16777" borderId="16724" xfId="0" applyFont="1" applyFill="1" applyBorder="1" applyAlignment="1">
      <alignment horizontal="center" wrapText="1"/>
    </xf>
    <xf numFmtId="165" fontId="16610" fillId="16615" borderId="16562" xfId="0" applyNumberFormat="1" applyFont="1" applyFill="1" applyBorder="1" applyAlignment="1">
      <alignment horizontal="center" wrapText="1"/>
    </xf>
    <xf numFmtId="165" fontId="16611" fillId="16616" borderId="16563" xfId="0" applyNumberFormat="1" applyFont="1" applyFill="1" applyBorder="1" applyAlignment="1">
      <alignment horizontal="center" wrapText="1"/>
    </xf>
    <xf numFmtId="165" fontId="16612" fillId="16617" borderId="16564" xfId="0" applyNumberFormat="1" applyFont="1" applyFill="1" applyBorder="1" applyAlignment="1">
      <alignment horizontal="center" wrapText="1"/>
    </xf>
    <xf numFmtId="165" fontId="16613" fillId="16618" borderId="16565" xfId="0" applyNumberFormat="1" applyFont="1" applyFill="1" applyBorder="1" applyAlignment="1">
      <alignment horizontal="center" wrapText="1"/>
    </xf>
    <xf numFmtId="165" fontId="16614" fillId="16619" borderId="16566" xfId="0" applyNumberFormat="1" applyFont="1" applyFill="1" applyBorder="1" applyAlignment="1">
      <alignment horizontal="center" wrapText="1"/>
    </xf>
    <xf numFmtId="165" fontId="16615" fillId="16620" borderId="16567" xfId="0" applyNumberFormat="1" applyFont="1" applyFill="1" applyBorder="1" applyAlignment="1">
      <alignment horizontal="center" wrapText="1"/>
    </xf>
    <xf numFmtId="165" fontId="16616" fillId="16621" borderId="16568" xfId="0" applyNumberFormat="1" applyFont="1" applyFill="1" applyBorder="1" applyAlignment="1">
      <alignment horizontal="center" wrapText="1"/>
    </xf>
    <xf numFmtId="0" fontId="11599" fillId="11604" borderId="11551" xfId="0" applyFont="1" applyFill="1" applyBorder="1"/>
    <xf numFmtId="0" fontId="11600" fillId="11605" borderId="11552" xfId="0" applyFont="1" applyFill="1" applyBorder="1"/>
    <xf numFmtId="0" fontId="12079" fillId="12084" borderId="12031" xfId="0" applyFont="1" applyFill="1" applyBorder="1"/>
    <xf numFmtId="0" fontId="12544" fillId="12549" borderId="12496" xfId="0" applyFont="1" applyFill="1" applyBorder="1"/>
    <xf numFmtId="0" fontId="12609" fillId="12614" borderId="12561" xfId="0" applyFont="1" applyFill="1" applyBorder="1"/>
    <xf numFmtId="0" fontId="14935" fillId="14940" borderId="14887" xfId="0" applyFont="1" applyFill="1" applyBorder="1"/>
    <xf numFmtId="0" fontId="12215" fillId="12220" borderId="12167" xfId="0" applyFont="1" applyFill="1" applyBorder="1"/>
    <xf numFmtId="0" fontId="12216" fillId="12221" borderId="12168" xfId="0" applyFont="1" applyFill="1" applyBorder="1"/>
    <xf numFmtId="0" fontId="12217" fillId="12222" borderId="12169" xfId="0" applyFont="1" applyFill="1" applyBorder="1"/>
    <xf numFmtId="0" fontId="12228" fillId="12233" borderId="12180" xfId="0" applyFont="1" applyFill="1" applyBorder="1"/>
    <xf numFmtId="0" fontId="12501" fillId="12506" borderId="12453" xfId="0" applyFont="1" applyFill="1" applyBorder="1"/>
    <xf numFmtId="0" fontId="17942" fillId="17953" borderId="17900" xfId="0" applyFont="1" applyFill="1" applyBorder="1" applyAlignment="1">
      <alignment horizontal="center" wrapText="1"/>
    </xf>
    <xf numFmtId="165" fontId="17576" fillId="17588" borderId="17535" xfId="0" applyNumberFormat="1" applyFont="1" applyFill="1" applyBorder="1" applyAlignment="1">
      <alignment horizontal="center" wrapText="1"/>
    </xf>
    <xf numFmtId="165" fontId="17577" fillId="17589" borderId="17536" xfId="0" applyNumberFormat="1" applyFont="1" applyFill="1" applyBorder="1" applyAlignment="1">
      <alignment horizontal="center" wrapText="1"/>
    </xf>
    <xf numFmtId="165" fontId="17578" fillId="17590" borderId="17537" xfId="0" applyNumberFormat="1" applyFont="1" applyFill="1" applyBorder="1" applyAlignment="1">
      <alignment horizontal="center" wrapText="1"/>
    </xf>
    <xf numFmtId="165" fontId="17579" fillId="17591" borderId="17538" xfId="0" applyNumberFormat="1" applyFont="1" applyFill="1" applyBorder="1" applyAlignment="1">
      <alignment horizontal="center" wrapText="1"/>
    </xf>
    <xf numFmtId="165" fontId="17580" fillId="17592" borderId="17539" xfId="0" applyNumberFormat="1" applyFont="1" applyFill="1" applyBorder="1" applyAlignment="1">
      <alignment horizontal="center" wrapText="1"/>
    </xf>
    <xf numFmtId="165" fontId="17581" fillId="17593" borderId="17540" xfId="0" applyNumberFormat="1" applyFont="1" applyFill="1" applyBorder="1" applyAlignment="1">
      <alignment horizontal="center" wrapText="1"/>
    </xf>
    <xf numFmtId="165" fontId="17582" fillId="17594" borderId="17541" xfId="0" applyNumberFormat="1" applyFont="1" applyFill="1" applyBorder="1" applyAlignment="1">
      <alignment horizontal="center" wrapText="1"/>
    </xf>
    <xf numFmtId="0" fontId="17583" fillId="17595" borderId="17542" xfId="0" applyFont="1" applyFill="1" applyBorder="1"/>
    <xf numFmtId="0" fontId="17757" fillId="17576" borderId="17523" xfId="0" applyFont="1" applyFill="1" applyBorder="1"/>
    <xf numFmtId="165" fontId="17757" fillId="17577" borderId="17524" xfId="0" applyNumberFormat="1" applyFont="1" applyFill="1" applyBorder="1"/>
    <xf numFmtId="165" fontId="17757" fillId="17578" borderId="17525" xfId="0" applyNumberFormat="1" applyFont="1" applyFill="1" applyBorder="1"/>
    <xf numFmtId="165" fontId="17757" fillId="17579" borderId="17526" xfId="0" applyNumberFormat="1" applyFont="1" applyFill="1" applyBorder="1"/>
    <xf numFmtId="165" fontId="17757" fillId="17580" borderId="17527" xfId="0" applyNumberFormat="1" applyFont="1" applyFill="1" applyBorder="1"/>
    <xf numFmtId="165" fontId="17757" fillId="17581" borderId="17528" xfId="0" applyNumberFormat="1" applyFont="1" applyFill="1" applyBorder="1"/>
    <xf numFmtId="165" fontId="17757" fillId="17582" borderId="17529" xfId="0" applyNumberFormat="1" applyFont="1" applyFill="1" applyBorder="1"/>
    <xf numFmtId="165" fontId="17757" fillId="17583" borderId="17530" xfId="0" applyNumberFormat="1" applyFont="1" applyFill="1" applyBorder="1"/>
    <xf numFmtId="0" fontId="17488" fillId="17492" borderId="17439" xfId="0" applyFont="1" applyFill="1" applyBorder="1"/>
    <xf numFmtId="0" fontId="17489" fillId="17493" borderId="17440" xfId="0" applyFont="1" applyFill="1" applyBorder="1"/>
    <xf numFmtId="0" fontId="17490" fillId="17494" borderId="17441" xfId="0" applyFont="1" applyFill="1" applyBorder="1"/>
    <xf numFmtId="0" fontId="17491" fillId="17495" borderId="17442" xfId="0" applyFont="1" applyFill="1" applyBorder="1"/>
    <xf numFmtId="0" fontId="17492" fillId="17496" borderId="17443" xfId="0" applyFont="1" applyFill="1" applyBorder="1"/>
    <xf numFmtId="0" fontId="17493" fillId="17497" borderId="17444" xfId="0" applyFont="1" applyFill="1" applyBorder="1"/>
    <xf numFmtId="0" fontId="17329" fillId="17334" borderId="17281" xfId="0" applyFont="1" applyFill="1" applyBorder="1" applyAlignment="1">
      <alignment horizontal="center" vertical="center"/>
    </xf>
    <xf numFmtId="0" fontId="17334" fillId="17339" borderId="17286" xfId="0" applyFont="1" applyFill="1" applyBorder="1"/>
    <xf numFmtId="0" fontId="17758" fillId="17769" borderId="17716" xfId="0" applyFont="1" applyFill="1" applyBorder="1"/>
    <xf numFmtId="0" fontId="17759" fillId="17770" borderId="17717" xfId="0" applyFont="1" applyFill="1" applyBorder="1"/>
    <xf numFmtId="0" fontId="17760" fillId="17771" borderId="17718" xfId="0" applyFont="1" applyFill="1" applyBorder="1"/>
    <xf numFmtId="0" fontId="17761" fillId="17772" borderId="17719" xfId="0" applyFont="1" applyFill="1" applyBorder="1"/>
    <xf numFmtId="0" fontId="17762" fillId="17773" borderId="17720" xfId="0" applyFont="1" applyFill="1" applyBorder="1"/>
    <xf numFmtId="0" fontId="17763" fillId="17774" borderId="17721" xfId="0" applyFont="1" applyFill="1" applyBorder="1"/>
    <xf numFmtId="0" fontId="17764" fillId="17775" borderId="17722" xfId="0" applyFont="1" applyFill="1" applyBorder="1"/>
    <xf numFmtId="0" fontId="17848" fillId="17859" borderId="17806" xfId="0" applyFont="1" applyFill="1" applyBorder="1"/>
    <xf numFmtId="0" fontId="17849" fillId="17860" borderId="17807" xfId="0" applyFont="1" applyFill="1" applyBorder="1"/>
    <xf numFmtId="0" fontId="17850" fillId="17861" borderId="17808" xfId="0" applyFont="1" applyFill="1" applyBorder="1"/>
    <xf numFmtId="0" fontId="17851" fillId="17862" borderId="17809" xfId="0" applyFont="1" applyFill="1" applyBorder="1"/>
    <xf numFmtId="0" fontId="17852" fillId="17863" borderId="17810" xfId="0" applyFont="1" applyFill="1" applyBorder="1"/>
    <xf numFmtId="0" fontId="17853" fillId="17864" borderId="17811" xfId="0" applyFont="1" applyFill="1" applyBorder="1"/>
    <xf numFmtId="0" fontId="17854" fillId="17865" borderId="17812" xfId="0" applyFont="1" applyFill="1" applyBorder="1"/>
    <xf numFmtId="0" fontId="17372" fillId="17376" borderId="17323" xfId="0" applyFont="1" applyFill="1" applyBorder="1"/>
    <xf numFmtId="165" fontId="17373" fillId="17377" borderId="17324" xfId="0" applyNumberFormat="1" applyFont="1" applyFill="1" applyBorder="1"/>
    <xf numFmtId="4" fontId="17374" fillId="17378" borderId="17325" xfId="0" applyNumberFormat="1" applyFont="1" applyFill="1" applyBorder="1"/>
    <xf numFmtId="0" fontId="17375" fillId="17379" borderId="17326" xfId="0" applyFont="1" applyFill="1" applyBorder="1"/>
    <xf numFmtId="165" fontId="17376" fillId="17380" borderId="17327" xfId="0" applyNumberFormat="1" applyFont="1" applyFill="1" applyBorder="1"/>
    <xf numFmtId="165" fontId="17377" fillId="17381" borderId="17328" xfId="0" applyNumberFormat="1" applyFont="1" applyFill="1" applyBorder="1"/>
    <xf numFmtId="165" fontId="17378" fillId="17382" borderId="17329" xfId="0" applyNumberFormat="1" applyFont="1" applyFill="1" applyBorder="1"/>
    <xf numFmtId="165" fontId="17379" fillId="17383" borderId="17330" xfId="0" applyNumberFormat="1" applyFont="1" applyFill="1" applyBorder="1"/>
    <xf numFmtId="4" fontId="17380" fillId="17384" borderId="17331" xfId="0" applyNumberFormat="1" applyFont="1" applyFill="1" applyBorder="1"/>
    <xf numFmtId="171" fontId="0" fillId="0" borderId="0" xfId="0" applyNumberFormat="1"/>
    <xf numFmtId="165" fontId="0" fillId="0" borderId="0" xfId="0" applyNumberFormat="1"/>
    <xf numFmtId="0" fontId="243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BCCA1864-8AB9-44B7-BD98-57B365AB0C60}"/>
  </cellStyles>
  <dxfs count="4">
    <dxf>
      <numFmt numFmtId="165" formatCode="&quot;$&quot;#,##0.00"/>
    </dxf>
    <dxf>
      <numFmt numFmtId="165" formatCode="&quot;$&quot;#,##0.00"/>
    </dxf>
    <dxf>
      <numFmt numFmtId="4" formatCode="#,##0.00"/>
    </dxf>
    <dxf>
      <numFmt numFmtId="171" formatCode="dd/mm/\y\y\y\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" refreshedDate="46204.449814004627" createdVersion="6" refreshedVersion="8" minRefreshableVersion="3" recordCount="762" xr:uid="{3E16D8CB-C115-43AE-BBD2-E7C696809B24}">
  <cacheSource type="worksheet">
    <worksheetSource name="Tabla_Combustible"/>
  </cacheSource>
  <cacheFields count="11">
    <cacheField name="ID_TICKET" numFmtId="0">
      <sharedItems/>
    </cacheField>
    <cacheField name="SEMANA" numFmtId="0">
      <sharedItems containsSemiMixedTypes="0" containsString="0" containsNumber="1" containsInteger="1" minValue="22" maxValue="27" count="6">
        <n v="24"/>
        <n v="25"/>
        <n v="26"/>
        <n v="27"/>
        <n v="22"/>
        <n v="23"/>
      </sharedItems>
    </cacheField>
    <cacheField name="FECHA" numFmtId="171">
      <sharedItems containsNonDate="0" containsDate="1" containsString="0" containsBlank="1" minDate="2006-06-19T00:00:00" maxDate="2026-07-06T00:00:00"/>
    </cacheField>
    <cacheField name="OBRA" numFmtId="0">
      <sharedItems count="12">
        <s v="México-Toluca"/>
        <s v="Lerma - Tres Marías"/>
        <s v="Bacheo Toluca"/>
        <s v="Chamapa-Lechería"/>
        <s v="Planta Asflato Huixquilucan"/>
        <s v="Planta Asfalto Pegaso"/>
        <s v="Planta Asfalto Huixquilucan"/>
        <s v="Maquinaria Pegaso"/>
        <s v="Dragones"/>
        <s v="Providencia"/>
        <s v="Jalisco"/>
        <s v="Transportes Pegaso"/>
      </sharedItems>
    </cacheField>
    <cacheField name="TIPO_REGISTRO" numFmtId="0">
      <sharedItems count="3">
        <s v="1. Solicitud"/>
        <s v="2. Consumo Real"/>
        <s v="4. Facturas"/>
      </sharedItems>
    </cacheField>
    <cacheField name="EQUIPO_CONCEPTO" numFmtId="0">
      <sharedItems/>
    </cacheField>
    <cacheField name="LITROS" numFmtId="4">
      <sharedItems containsSemiMixedTypes="0" containsString="0" containsNumber="1" minValue="5" maxValue="4000.0120000000006"/>
    </cacheField>
    <cacheField name="PRECIO_UNITARIO" numFmtId="165">
      <sharedItems containsSemiMixedTypes="0" containsString="0" containsNumber="1" minValue="23.80952380952381" maxValue="40.500250000000001"/>
    </cacheField>
    <cacheField name="COSTO_TOTAL" numFmtId="165">
      <sharedItems containsSemiMixedTypes="0" containsString="0" containsNumber="1" minValue="135" maxValue="108000.36"/>
    </cacheField>
    <cacheField name="CATEGORIA" numFmtId="0">
      <sharedItems/>
    </cacheField>
    <cacheField name="OBSERVACIONES" numFmtId="0">
      <sharedItems containsBlank="1" containsMixedTypes="1" containsNumber="1" minValue="23.95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2">
  <r>
    <s v="SOL-24-001"/>
    <x v="0"/>
    <d v="2026-06-08T00:00:00"/>
    <x v="0"/>
    <x v="0"/>
    <s v="Vogel"/>
    <n v="200"/>
    <n v="27"/>
    <n v="5400"/>
    <s v="DIESEL"/>
    <n v="27"/>
  </r>
  <r>
    <s v="SOL-24-002"/>
    <x v="0"/>
    <d v="2026-06-08T00:00:00"/>
    <x v="0"/>
    <x v="0"/>
    <s v="Perfiladora"/>
    <n v="300"/>
    <n v="27"/>
    <n v="8100"/>
    <s v="DIESEL"/>
    <n v="27"/>
  </r>
  <r>
    <s v="SOL-24-003"/>
    <x v="0"/>
    <d v="2026-06-08T00:00:00"/>
    <x v="0"/>
    <x v="0"/>
    <s v="Retroexcavadora"/>
    <n v="30"/>
    <n v="27"/>
    <n v="810"/>
    <s v="DIESEL"/>
    <n v="27"/>
  </r>
  <r>
    <s v="SOL-24-004"/>
    <x v="0"/>
    <d v="2026-06-08T00:00:00"/>
    <x v="0"/>
    <x v="0"/>
    <s v="Barredora"/>
    <n v="20"/>
    <n v="27"/>
    <n v="540"/>
    <s v="DIESEL"/>
    <n v="27"/>
  </r>
  <r>
    <s v="SOL-24-005"/>
    <x v="0"/>
    <d v="2026-06-08T00:00:00"/>
    <x v="0"/>
    <x v="0"/>
    <s v="Neuomatico"/>
    <n v="30"/>
    <n v="27"/>
    <n v="810"/>
    <s v="DIESEL"/>
    <n v="27"/>
  </r>
  <r>
    <s v="SOL-24-006"/>
    <x v="0"/>
    <d v="2026-06-08T00:00:00"/>
    <x v="0"/>
    <x v="0"/>
    <s v="Compactador"/>
    <n v="30"/>
    <n v="27"/>
    <n v="810"/>
    <s v="DIESEL"/>
    <n v="27"/>
  </r>
  <r>
    <s v="SOL-24-007"/>
    <x v="0"/>
    <d v="2026-06-08T00:00:00"/>
    <x v="0"/>
    <x v="0"/>
    <s v="Limpieza"/>
    <n v="30"/>
    <n v="27"/>
    <n v="810"/>
    <s v="DIESEL"/>
    <n v="27"/>
  </r>
  <r>
    <s v="SOL-24-008"/>
    <x v="0"/>
    <d v="2026-06-08T00:00:00"/>
    <x v="1"/>
    <x v="0"/>
    <s v="Retroexcavadora"/>
    <n v="50"/>
    <n v="27"/>
    <n v="1350"/>
    <s v="DIESEL"/>
    <n v="27"/>
  </r>
  <r>
    <s v="SOL-24-009"/>
    <x v="0"/>
    <d v="2026-06-08T00:00:00"/>
    <x v="1"/>
    <x v="0"/>
    <s v="Neuomatico"/>
    <n v="50"/>
    <n v="27"/>
    <n v="1350"/>
    <s v="DIESEL"/>
    <n v="27"/>
  </r>
  <r>
    <s v="SOL-24-010"/>
    <x v="0"/>
    <d v="2026-06-08T00:00:00"/>
    <x v="1"/>
    <x v="0"/>
    <s v="Petrolizadora"/>
    <n v="60"/>
    <n v="27"/>
    <n v="1620"/>
    <s v="DIESEL"/>
    <n v="27"/>
  </r>
  <r>
    <s v="SOL-24-011"/>
    <x v="0"/>
    <m/>
    <x v="2"/>
    <x v="0"/>
    <s v="Retroexcavadora"/>
    <n v="100"/>
    <n v="27"/>
    <n v="2700"/>
    <s v="DIESEL"/>
    <n v="27"/>
  </r>
  <r>
    <s v="SOL-24-012"/>
    <x v="0"/>
    <d v="2026-06-08T00:00:00"/>
    <x v="3"/>
    <x v="0"/>
    <s v="Perfiladora Wirgent"/>
    <n v="250"/>
    <n v="27"/>
    <n v="6750"/>
    <s v="DIESEL"/>
    <n v="27"/>
  </r>
  <r>
    <s v="SOL-24-013"/>
    <x v="0"/>
    <d v="2026-06-08T00:00:00"/>
    <x v="3"/>
    <x v="0"/>
    <s v="Perfiladora Cat-PM"/>
    <n v="150"/>
    <n v="27"/>
    <n v="4050"/>
    <s v="DIESEL"/>
    <n v="27"/>
  </r>
  <r>
    <s v="SOL-24-014"/>
    <x v="0"/>
    <d v="2026-06-08T00:00:00"/>
    <x v="3"/>
    <x v="0"/>
    <s v="Barredora Broce"/>
    <n v="40"/>
    <n v="27"/>
    <n v="1080"/>
    <s v="DIESEL"/>
    <n v="27"/>
  </r>
  <r>
    <s v="SOL-24-015"/>
    <x v="0"/>
    <d v="2026-06-08T00:00:00"/>
    <x v="3"/>
    <x v="0"/>
    <s v="Retroexcavadora Jonh Deere"/>
    <n v="60"/>
    <n v="27"/>
    <n v="1620"/>
    <s v="DIESEL"/>
    <n v="27"/>
  </r>
  <r>
    <s v="SOL-24-016"/>
    <x v="0"/>
    <d v="2026-06-08T00:00:00"/>
    <x v="3"/>
    <x v="0"/>
    <s v="Buggy Trasnfer"/>
    <n v="100"/>
    <n v="27"/>
    <n v="2700"/>
    <s v="DIESEL"/>
    <n v="27"/>
  </r>
  <r>
    <s v="SOL-24-017"/>
    <x v="0"/>
    <d v="2026-06-08T00:00:00"/>
    <x v="3"/>
    <x v="0"/>
    <s v="Vogele Guion"/>
    <n v="100"/>
    <n v="27"/>
    <n v="2700"/>
    <s v="DIESEL"/>
    <n v="27"/>
  </r>
  <r>
    <s v="SOL-24-018"/>
    <x v="0"/>
    <d v="2026-06-08T00:00:00"/>
    <x v="3"/>
    <x v="0"/>
    <s v="Limpieza"/>
    <n v="20"/>
    <n v="27"/>
    <n v="540"/>
    <s v="DIESEL"/>
    <n v="27"/>
  </r>
  <r>
    <s v="SOL-24-019"/>
    <x v="0"/>
    <d v="2026-06-08T00:00:00"/>
    <x v="3"/>
    <x v="0"/>
    <s v="Tandem Hamm"/>
    <n v="50"/>
    <n v="27"/>
    <n v="1350"/>
    <s v="DIESEL"/>
    <n v="27"/>
  </r>
  <r>
    <s v="SOL-24-020"/>
    <x v="0"/>
    <d v="2026-06-08T00:00:00"/>
    <x v="3"/>
    <x v="0"/>
    <s v="Neuomatico Dynapac"/>
    <n v="50"/>
    <n v="27"/>
    <n v="1350"/>
    <s v="DIESEL"/>
    <n v="27"/>
  </r>
  <r>
    <s v="SOL-24-021"/>
    <x v="0"/>
    <d v="2026-06-08T00:00:00"/>
    <x v="3"/>
    <x v="0"/>
    <s v="Petrolizadora Elton"/>
    <n v="50"/>
    <n v="27"/>
    <n v="1350"/>
    <s v="DIESEL"/>
    <n v="27"/>
  </r>
  <r>
    <s v="SOL-24-022"/>
    <x v="0"/>
    <d v="2026-06-08T00:00:00"/>
    <x v="3"/>
    <x v="0"/>
    <s v="Camion de Impacto"/>
    <n v="20"/>
    <n v="27"/>
    <n v="540"/>
    <s v="DIESEL"/>
    <n v="27"/>
  </r>
  <r>
    <s v="SOL-24-023"/>
    <x v="0"/>
    <d v="2026-06-08T00:00:00"/>
    <x v="3"/>
    <x v="0"/>
    <s v="Maxilihgs"/>
    <n v="50"/>
    <n v="27"/>
    <n v="1350"/>
    <s v="DIESEL"/>
    <n v="27"/>
  </r>
  <r>
    <s v="SOL-24-024"/>
    <x v="0"/>
    <d v="2026-06-08T00:00:00"/>
    <x v="3"/>
    <x v="0"/>
    <s v="Compresor"/>
    <n v="40"/>
    <n v="27"/>
    <n v="1080"/>
    <s v="DIESEL"/>
    <n v="27"/>
  </r>
  <r>
    <s v="SOL-24-025"/>
    <x v="0"/>
    <d v="2026-06-08T00:00:00"/>
    <x v="3"/>
    <x v="0"/>
    <s v="Rastrillador"/>
    <n v="10"/>
    <n v="27"/>
    <n v="270"/>
    <s v="DIESEL"/>
    <n v="27"/>
  </r>
  <r>
    <s v="SOL-24-026"/>
    <x v="0"/>
    <d v="2026-06-09T00:00:00"/>
    <x v="3"/>
    <x v="0"/>
    <s v="Perfiladora Wirgent"/>
    <n v="250"/>
    <n v="27"/>
    <n v="6750"/>
    <s v="DIESEL"/>
    <n v="27"/>
  </r>
  <r>
    <s v="SOL-24-027"/>
    <x v="0"/>
    <d v="2026-06-09T00:00:00"/>
    <x v="3"/>
    <x v="0"/>
    <s v="Barredora Broce"/>
    <n v="40"/>
    <n v="27"/>
    <n v="1080"/>
    <s v="DIESEL"/>
    <n v="27"/>
  </r>
  <r>
    <s v="SOL-24-028"/>
    <x v="0"/>
    <d v="2026-06-09T00:00:00"/>
    <x v="3"/>
    <x v="0"/>
    <s v="Retroexcavadora Jonh Deere"/>
    <n v="60"/>
    <n v="27"/>
    <n v="1620"/>
    <s v="DIESEL"/>
    <n v="27"/>
  </r>
  <r>
    <s v="SOL-24-029"/>
    <x v="0"/>
    <d v="2026-06-09T00:00:00"/>
    <x v="3"/>
    <x v="0"/>
    <s v="Buggy Trasnfer"/>
    <n v="100"/>
    <n v="27"/>
    <n v="2700"/>
    <s v="DIESEL"/>
    <n v="27"/>
  </r>
  <r>
    <s v="SOL-24-030"/>
    <x v="0"/>
    <d v="2026-06-09T00:00:00"/>
    <x v="3"/>
    <x v="0"/>
    <s v="Vogele Guion"/>
    <n v="100"/>
    <n v="27"/>
    <n v="2700"/>
    <s v="DIESEL"/>
    <n v="27"/>
  </r>
  <r>
    <s v="SOL-24-031"/>
    <x v="0"/>
    <d v="2026-06-09T00:00:00"/>
    <x v="3"/>
    <x v="0"/>
    <s v="Limpieza"/>
    <n v="20"/>
    <n v="27"/>
    <n v="540"/>
    <s v="DIESEL"/>
    <n v="27"/>
  </r>
  <r>
    <s v="SOL-24-032"/>
    <x v="0"/>
    <d v="2026-06-09T00:00:00"/>
    <x v="3"/>
    <x v="0"/>
    <s v="Tandem Hamm"/>
    <n v="50"/>
    <n v="27"/>
    <n v="1350"/>
    <s v="DIESEL"/>
    <n v="27"/>
  </r>
  <r>
    <s v="SOL-24-033"/>
    <x v="0"/>
    <d v="2026-06-09T00:00:00"/>
    <x v="3"/>
    <x v="0"/>
    <s v="Neuomatico Dynapac"/>
    <n v="50"/>
    <n v="27"/>
    <n v="1350"/>
    <s v="DIESEL"/>
    <n v="27"/>
  </r>
  <r>
    <s v="SOL-24-034"/>
    <x v="0"/>
    <d v="2026-06-09T00:00:00"/>
    <x v="3"/>
    <x v="0"/>
    <s v="Petrolizadora Elton"/>
    <n v="50"/>
    <n v="27"/>
    <n v="1350"/>
    <s v="DIESEL"/>
    <n v="27"/>
  </r>
  <r>
    <s v="SOL-24-035"/>
    <x v="0"/>
    <d v="2026-06-09T00:00:00"/>
    <x v="3"/>
    <x v="0"/>
    <s v="Maxilihgs"/>
    <n v="40"/>
    <n v="27"/>
    <n v="1080"/>
    <s v="DIESEL"/>
    <n v="27"/>
  </r>
  <r>
    <s v="SOL-24-036"/>
    <x v="0"/>
    <d v="2026-06-09T00:00:00"/>
    <x v="3"/>
    <x v="0"/>
    <s v="Compresor"/>
    <n v="30"/>
    <n v="27"/>
    <n v="810"/>
    <s v="DIESEL"/>
    <n v="27"/>
  </r>
  <r>
    <s v="SOL-24-037"/>
    <x v="0"/>
    <d v="2026-06-09T00:00:00"/>
    <x v="1"/>
    <x v="0"/>
    <s v="Retroexcavadora"/>
    <n v="50"/>
    <n v="27"/>
    <n v="1350"/>
    <s v="DIESEL"/>
    <n v="27"/>
  </r>
  <r>
    <s v="SOL-24-038"/>
    <x v="0"/>
    <d v="2026-06-09T00:00:00"/>
    <x v="1"/>
    <x v="0"/>
    <s v="Neuomatico"/>
    <n v="50"/>
    <n v="27"/>
    <n v="1350"/>
    <s v="DIESEL"/>
    <n v="27"/>
  </r>
  <r>
    <s v="SOL-24-039"/>
    <x v="0"/>
    <d v="2026-06-09T00:00:00"/>
    <x v="1"/>
    <x v="0"/>
    <s v="Petrolizadora"/>
    <n v="60"/>
    <n v="27"/>
    <n v="1620"/>
    <s v="DIESEL"/>
    <n v="27"/>
  </r>
  <r>
    <s v="SOL-24-040"/>
    <x v="0"/>
    <d v="2026-06-09T00:00:00"/>
    <x v="1"/>
    <x v="0"/>
    <s v="Doble Rodillo"/>
    <n v="50"/>
    <n v="27"/>
    <n v="1350"/>
    <s v="DIESEL"/>
    <n v="27"/>
  </r>
  <r>
    <s v="SOL-24-041"/>
    <x v="0"/>
    <m/>
    <x v="2"/>
    <x v="0"/>
    <s v="Retroexcavadora"/>
    <n v="100"/>
    <n v="27"/>
    <n v="2700"/>
    <s v="DIESEL"/>
    <n v="27"/>
  </r>
  <r>
    <s v="SOL-24-042"/>
    <x v="0"/>
    <d v="2026-06-10T00:00:00"/>
    <x v="0"/>
    <x v="0"/>
    <s v="Perfiladora"/>
    <n v="250"/>
    <n v="27"/>
    <n v="6750"/>
    <s v="DIESEL"/>
    <n v="27"/>
  </r>
  <r>
    <s v="SOL-24-043"/>
    <x v="0"/>
    <d v="2026-06-10T00:00:00"/>
    <x v="0"/>
    <x v="0"/>
    <s v="Retroexcavadora"/>
    <n v="30"/>
    <n v="27"/>
    <n v="810"/>
    <s v="DIESEL"/>
    <n v="27"/>
  </r>
  <r>
    <s v="SOL-24-044"/>
    <x v="0"/>
    <d v="2026-06-10T00:00:00"/>
    <x v="0"/>
    <x v="0"/>
    <s v="Barredora"/>
    <n v="20"/>
    <n v="27"/>
    <n v="540"/>
    <s v="DIESEL"/>
    <n v="27"/>
  </r>
  <r>
    <s v="SOL-24-045"/>
    <x v="0"/>
    <d v="2026-06-10T00:00:00"/>
    <x v="0"/>
    <x v="0"/>
    <s v="Maxilihgs"/>
    <n v="20"/>
    <n v="27"/>
    <n v="540"/>
    <s v="DIESEL"/>
    <n v="27"/>
  </r>
  <r>
    <s v="SOL-24-046"/>
    <x v="0"/>
    <d v="2026-06-11T00:00:00"/>
    <x v="1"/>
    <x v="0"/>
    <s v="Petrolizadora"/>
    <n v="80"/>
    <n v="27"/>
    <n v="2160"/>
    <s v="DIESEL"/>
    <n v="27"/>
  </r>
  <r>
    <s v="SOL-24-047"/>
    <x v="0"/>
    <d v="2026-06-11T00:00:00"/>
    <x v="1"/>
    <x v="0"/>
    <s v="Camion de Impacto"/>
    <n v="80"/>
    <n v="27"/>
    <n v="2160"/>
    <s v="DIESEL"/>
    <n v="27"/>
  </r>
  <r>
    <s v="SOL-24-048"/>
    <x v="0"/>
    <d v="2026-06-11T00:00:00"/>
    <x v="1"/>
    <x v="0"/>
    <s v="Retroexcavadora"/>
    <n v="70"/>
    <n v="27"/>
    <n v="1890"/>
    <s v="DIESEL"/>
    <n v="27"/>
  </r>
  <r>
    <s v="SOL-24-049"/>
    <x v="0"/>
    <d v="2026-06-11T00:00:00"/>
    <x v="1"/>
    <x v="0"/>
    <s v="Doble Rodillo"/>
    <n v="40"/>
    <n v="27"/>
    <n v="1080"/>
    <s v="DIESEL"/>
    <n v="27"/>
  </r>
  <r>
    <s v="SOL-24-050"/>
    <x v="0"/>
    <d v="2026-06-11T00:00:00"/>
    <x v="1"/>
    <x v="0"/>
    <s v="Vogel"/>
    <n v="150"/>
    <n v="27"/>
    <n v="4050"/>
    <s v="DIESEL"/>
    <n v="27"/>
  </r>
  <r>
    <s v="SOL-24-051"/>
    <x v="0"/>
    <d v="2026-06-11T00:00:00"/>
    <x v="1"/>
    <x v="0"/>
    <s v="Limpieza"/>
    <n v="30"/>
    <n v="27"/>
    <n v="810"/>
    <s v="DIESEL"/>
    <n v="27"/>
  </r>
  <r>
    <s v="SOL-24-052"/>
    <x v="0"/>
    <d v="2026-06-11T00:00:00"/>
    <x v="1"/>
    <x v="0"/>
    <s v="Rastrillador"/>
    <n v="10"/>
    <n v="27"/>
    <n v="270"/>
    <s v="DIESEL"/>
    <n v="27"/>
  </r>
  <r>
    <s v="SOL-24-053"/>
    <x v="0"/>
    <m/>
    <x v="2"/>
    <x v="0"/>
    <s v="Retroexcavadora"/>
    <n v="50"/>
    <n v="27"/>
    <n v="1350"/>
    <s v="DIESEL"/>
    <n v="27"/>
  </r>
  <r>
    <s v="SOL-24-054"/>
    <x v="0"/>
    <m/>
    <x v="2"/>
    <x v="0"/>
    <s v="Otro"/>
    <n v="10"/>
    <n v="27"/>
    <n v="270"/>
    <s v="DIESEL"/>
    <n v="27"/>
  </r>
  <r>
    <s v="SOL-24-055"/>
    <x v="0"/>
    <m/>
    <x v="2"/>
    <x v="0"/>
    <s v="Limpieza"/>
    <n v="10"/>
    <n v="27"/>
    <n v="270"/>
    <s v="DIESEL"/>
    <n v="27"/>
  </r>
  <r>
    <s v="SOL-24-056"/>
    <x v="0"/>
    <d v="2026-06-12T00:00:00"/>
    <x v="0"/>
    <x v="0"/>
    <s v="Perfiladora"/>
    <n v="250"/>
    <n v="27"/>
    <n v="6750"/>
    <s v="DIESEL"/>
    <n v="27"/>
  </r>
  <r>
    <s v="SOL-24-057"/>
    <x v="0"/>
    <d v="2026-06-12T00:00:00"/>
    <x v="0"/>
    <x v="0"/>
    <s v="Vogel"/>
    <n v="150"/>
    <n v="27"/>
    <n v="4050"/>
    <s v="DIESEL"/>
    <n v="27"/>
  </r>
  <r>
    <s v="SOL-24-058"/>
    <x v="0"/>
    <d v="2026-06-12T00:00:00"/>
    <x v="0"/>
    <x v="0"/>
    <s v="Compactador"/>
    <n v="40"/>
    <n v="27"/>
    <n v="1080"/>
    <s v="DIESEL"/>
    <n v="27"/>
  </r>
  <r>
    <s v="SOL-24-059"/>
    <x v="0"/>
    <d v="2026-06-12T00:00:00"/>
    <x v="0"/>
    <x v="0"/>
    <s v="Neuomatico"/>
    <n v="30"/>
    <n v="27"/>
    <n v="810"/>
    <s v="DIESEL"/>
    <n v="27"/>
  </r>
  <r>
    <s v="SOL-24-060"/>
    <x v="0"/>
    <d v="2026-06-12T00:00:00"/>
    <x v="0"/>
    <x v="0"/>
    <s v="Retroexcavadora"/>
    <n v="30"/>
    <n v="27"/>
    <n v="810"/>
    <s v="DIESEL"/>
    <n v="27"/>
  </r>
  <r>
    <s v="SOL-24-061"/>
    <x v="0"/>
    <d v="2026-06-12T00:00:00"/>
    <x v="0"/>
    <x v="0"/>
    <s v="Barredora"/>
    <n v="20"/>
    <n v="27"/>
    <n v="540"/>
    <s v="DIESEL"/>
    <n v="27"/>
  </r>
  <r>
    <s v="SOL-24-062"/>
    <x v="0"/>
    <d v="2026-06-12T00:00:00"/>
    <x v="0"/>
    <x v="0"/>
    <s v="Maxilihgs"/>
    <n v="20"/>
    <n v="27"/>
    <n v="540"/>
    <s v="DIESEL"/>
    <n v="27"/>
  </r>
  <r>
    <s v="SOL-24-063"/>
    <x v="0"/>
    <d v="2026-06-12T00:00:00"/>
    <x v="3"/>
    <x v="0"/>
    <s v="Perfiladora Wirgent"/>
    <n v="250"/>
    <n v="27"/>
    <n v="6750"/>
    <s v="DIESEL"/>
    <n v="27"/>
  </r>
  <r>
    <s v="SOL-24-064"/>
    <x v="0"/>
    <d v="2026-06-12T00:00:00"/>
    <x v="3"/>
    <x v="0"/>
    <s v="Barredora Broce"/>
    <n v="40"/>
    <n v="27"/>
    <n v="1080"/>
    <s v="DIESEL"/>
    <n v="27"/>
  </r>
  <r>
    <s v="SOL-24-065"/>
    <x v="0"/>
    <d v="2026-06-12T00:00:00"/>
    <x v="3"/>
    <x v="0"/>
    <s v="Retroexcavadora Jonh Deere"/>
    <n v="60"/>
    <n v="27"/>
    <n v="1620"/>
    <s v="DIESEL"/>
    <n v="27"/>
  </r>
  <r>
    <s v="SOL-24-066"/>
    <x v="0"/>
    <d v="2026-06-12T00:00:00"/>
    <x v="3"/>
    <x v="0"/>
    <s v="Vogele Guion"/>
    <n v="100"/>
    <n v="27"/>
    <n v="2700"/>
    <s v="DIESEL"/>
    <n v="27"/>
  </r>
  <r>
    <s v="SOL-24-067"/>
    <x v="0"/>
    <d v="2026-06-12T00:00:00"/>
    <x v="3"/>
    <x v="0"/>
    <s v="Limpieza"/>
    <n v="20"/>
    <n v="27"/>
    <n v="540"/>
    <s v="DIESEL"/>
    <n v="27"/>
  </r>
  <r>
    <s v="SOL-24-068"/>
    <x v="0"/>
    <d v="2026-06-12T00:00:00"/>
    <x v="3"/>
    <x v="0"/>
    <s v="Tandem Hamm"/>
    <n v="50"/>
    <n v="27"/>
    <n v="1350"/>
    <s v="DIESEL"/>
    <n v="27"/>
  </r>
  <r>
    <s v="SOL-24-069"/>
    <x v="0"/>
    <d v="2026-06-12T00:00:00"/>
    <x v="3"/>
    <x v="0"/>
    <s v="Neuomatico Dynapac"/>
    <n v="50"/>
    <n v="27"/>
    <n v="1350"/>
    <s v="DIESEL"/>
    <n v="27"/>
  </r>
  <r>
    <s v="SOL-24-070"/>
    <x v="0"/>
    <d v="2026-06-12T00:00:00"/>
    <x v="3"/>
    <x v="0"/>
    <s v="Petrolizadora Elton"/>
    <n v="50"/>
    <n v="27"/>
    <n v="1350"/>
    <s v="DIESEL"/>
    <n v="27"/>
  </r>
  <r>
    <s v="SOL-25-001"/>
    <x v="1"/>
    <d v="2026-06-15T00:00:00"/>
    <x v="0"/>
    <x v="0"/>
    <s v="Perfiladora Wirgent"/>
    <n v="250"/>
    <n v="27"/>
    <n v="6750"/>
    <s v="DIESEL"/>
    <n v="27"/>
  </r>
  <r>
    <s v="SOL-25-002"/>
    <x v="1"/>
    <d v="2026-06-15T00:00:00"/>
    <x v="0"/>
    <x v="0"/>
    <s v="Vogele Guion"/>
    <n v="100"/>
    <n v="27"/>
    <n v="2700"/>
    <s v="DIESEL"/>
    <n v="27"/>
  </r>
  <r>
    <s v="SOL-25-003"/>
    <x v="1"/>
    <d v="2026-06-15T00:00:00"/>
    <x v="0"/>
    <x v="0"/>
    <s v="Tandem Hamm"/>
    <n v="50"/>
    <n v="27"/>
    <n v="1350"/>
    <s v="DIESEL"/>
    <n v="27"/>
  </r>
  <r>
    <s v="SOL-25-004"/>
    <x v="1"/>
    <d v="2026-06-15T00:00:00"/>
    <x v="0"/>
    <x v="0"/>
    <s v="Limpieza"/>
    <n v="20"/>
    <n v="27"/>
    <n v="540"/>
    <s v="DIESEL"/>
    <n v="27"/>
  </r>
  <r>
    <s v="SOL-25-005"/>
    <x v="1"/>
    <d v="2026-06-15T00:00:00"/>
    <x v="0"/>
    <x v="0"/>
    <s v="Neuomatico Dynapac"/>
    <n v="50"/>
    <n v="27"/>
    <n v="1350"/>
    <s v="DIESEL"/>
    <n v="27"/>
  </r>
  <r>
    <s v="SOL-25-006"/>
    <x v="1"/>
    <d v="2026-06-15T00:00:00"/>
    <x v="0"/>
    <x v="0"/>
    <s v="Barredora Broce"/>
    <n v="40"/>
    <n v="27"/>
    <n v="1080"/>
    <s v="DIESEL"/>
    <n v="27"/>
  </r>
  <r>
    <s v="SOL-25-007"/>
    <x v="1"/>
    <d v="2026-06-15T00:00:00"/>
    <x v="0"/>
    <x v="0"/>
    <s v="Retroexcavadora"/>
    <n v="60"/>
    <n v="27"/>
    <n v="1620"/>
    <s v="DIESEL"/>
    <n v="27"/>
  </r>
  <r>
    <s v="SOL-25-008"/>
    <x v="1"/>
    <d v="2026-06-15T00:00:00"/>
    <x v="0"/>
    <x v="0"/>
    <s v="Petrolizadora Elton"/>
    <n v="50"/>
    <n v="27"/>
    <n v="1350"/>
    <s v="DIESEL"/>
    <n v="27"/>
  </r>
  <r>
    <s v="SOL-25-009"/>
    <x v="1"/>
    <d v="2026-06-15T00:00:00"/>
    <x v="1"/>
    <x v="0"/>
    <s v="Vogel"/>
    <n v="90"/>
    <n v="27"/>
    <n v="2430"/>
    <s v="DIESEL"/>
    <n v="27"/>
  </r>
  <r>
    <s v="SOL-25-010"/>
    <x v="1"/>
    <d v="2026-06-15T00:00:00"/>
    <x v="1"/>
    <x v="0"/>
    <s v="Neuomatico"/>
    <n v="40"/>
    <n v="27"/>
    <n v="1080"/>
    <s v="DIESEL"/>
    <n v="27"/>
  </r>
  <r>
    <s v="SOL-25-011"/>
    <x v="1"/>
    <d v="2026-06-15T00:00:00"/>
    <x v="1"/>
    <x v="0"/>
    <s v="Barredora"/>
    <n v="40"/>
    <n v="27"/>
    <n v="1080"/>
    <s v="DIESEL"/>
    <n v="27"/>
  </r>
  <r>
    <s v="SOL-25-012"/>
    <x v="1"/>
    <m/>
    <x v="2"/>
    <x v="0"/>
    <s v="Retroexcavadora"/>
    <n v="70"/>
    <n v="27"/>
    <n v="1890"/>
    <s v="DIESEL"/>
    <n v="27"/>
  </r>
  <r>
    <s v="SOL-25-013"/>
    <x v="1"/>
    <m/>
    <x v="2"/>
    <x v="0"/>
    <s v="Perfiladora"/>
    <n v="200"/>
    <n v="27"/>
    <n v="5400"/>
    <s v="DIESEL"/>
    <n v="27"/>
  </r>
  <r>
    <s v="SOL-25-014"/>
    <x v="1"/>
    <m/>
    <x v="2"/>
    <x v="0"/>
    <s v="Doble Rodillo"/>
    <n v="40"/>
    <n v="27"/>
    <n v="1080"/>
    <s v="DIESEL"/>
    <n v="27"/>
  </r>
  <r>
    <s v="SOL-25-015"/>
    <x v="1"/>
    <d v="2026-06-16T00:00:00"/>
    <x v="1"/>
    <x v="0"/>
    <s v="Limpieza"/>
    <n v="25"/>
    <n v="27"/>
    <n v="675"/>
    <s v="DIESEL"/>
    <n v="27"/>
  </r>
  <r>
    <s v="SOL-25-016"/>
    <x v="1"/>
    <d v="2026-06-16T00:00:00"/>
    <x v="1"/>
    <x v="0"/>
    <s v="Petrolizadora"/>
    <n v="60"/>
    <n v="27"/>
    <n v="1620"/>
    <s v="DIESEL"/>
    <n v="27"/>
  </r>
  <r>
    <s v="SOL-25-017"/>
    <x v="1"/>
    <d v="2026-06-16T00:00:00"/>
    <x v="1"/>
    <x v="0"/>
    <s v="Tandem Hamm"/>
    <n v="50"/>
    <n v="27"/>
    <n v="1350"/>
    <s v="DIESEL"/>
    <n v="27"/>
  </r>
  <r>
    <s v="SOL-25-018"/>
    <x v="1"/>
    <d v="2026-06-16T00:00:00"/>
    <x v="1"/>
    <x v="0"/>
    <s v="Perfiladora"/>
    <n v="250"/>
    <n v="27"/>
    <n v="6750"/>
    <s v="DIESEL"/>
    <n v="27"/>
  </r>
  <r>
    <s v="SOL-25-019"/>
    <x v="1"/>
    <d v="2026-06-16T00:00:00"/>
    <x v="1"/>
    <x v="0"/>
    <s v="Barredora"/>
    <n v="70"/>
    <n v="27"/>
    <n v="1890"/>
    <s v="DIESEL"/>
    <n v="27"/>
  </r>
  <r>
    <s v="SOL-25-020"/>
    <x v="1"/>
    <d v="2026-06-16T00:00:00"/>
    <x v="1"/>
    <x v="0"/>
    <s v="Retroexcavadora"/>
    <n v="50"/>
    <n v="27"/>
    <n v="1350"/>
    <s v="DIESEL"/>
    <n v="27"/>
  </r>
  <r>
    <s v="SOL-25-021"/>
    <x v="1"/>
    <d v="2026-06-16T00:00:00"/>
    <x v="0"/>
    <x v="0"/>
    <s v="Perfiladora Wirgent"/>
    <n v="250"/>
    <n v="27"/>
    <n v="6750"/>
    <s v="DIESEL"/>
    <n v="27"/>
  </r>
  <r>
    <s v="SOL-25-022"/>
    <x v="1"/>
    <d v="2026-06-16T00:00:00"/>
    <x v="0"/>
    <x v="0"/>
    <s v="Vogele Guion"/>
    <n v="200"/>
    <n v="27"/>
    <n v="5400"/>
    <s v="DIESEL"/>
    <n v="27"/>
  </r>
  <r>
    <s v="SOL-25-023"/>
    <x v="1"/>
    <d v="2026-06-16T00:00:00"/>
    <x v="0"/>
    <x v="0"/>
    <s v="Limpieza"/>
    <n v="20"/>
    <n v="27"/>
    <n v="540"/>
    <s v="DIESEL"/>
    <n v="27"/>
  </r>
  <r>
    <s v="SOL-25-024"/>
    <x v="1"/>
    <d v="2026-06-16T00:00:00"/>
    <x v="0"/>
    <x v="0"/>
    <s v="Tandem Hamm"/>
    <n v="50"/>
    <n v="27"/>
    <n v="1350"/>
    <s v="DIESEL"/>
    <n v="27"/>
  </r>
  <r>
    <s v="SOL-25-025"/>
    <x v="1"/>
    <d v="2026-06-16T00:00:00"/>
    <x v="0"/>
    <x v="0"/>
    <s v="Neuomatico"/>
    <n v="50"/>
    <n v="27"/>
    <n v="1350"/>
    <s v="DIESEL"/>
    <n v="27"/>
  </r>
  <r>
    <s v="SOL-25-026"/>
    <x v="1"/>
    <d v="2026-06-16T00:00:00"/>
    <x v="0"/>
    <x v="0"/>
    <s v="Barredora Broce"/>
    <n v="40"/>
    <n v="27"/>
    <n v="1080"/>
    <s v="DIESEL"/>
    <n v="27"/>
  </r>
  <r>
    <s v="SOL-25-027"/>
    <x v="1"/>
    <d v="2026-06-16T00:00:00"/>
    <x v="0"/>
    <x v="0"/>
    <s v="Retroexcavadora"/>
    <n v="50"/>
    <n v="27"/>
    <n v="1350"/>
    <s v="DIESEL"/>
    <n v="27"/>
  </r>
  <r>
    <s v="SOL-25-028"/>
    <x v="1"/>
    <d v="2026-06-16T00:00:00"/>
    <x v="0"/>
    <x v="0"/>
    <s v="Petrolizadora Elton"/>
    <n v="50"/>
    <n v="27"/>
    <n v="1350"/>
    <s v="DIESEL"/>
    <n v="27"/>
  </r>
  <r>
    <s v="SOL-25-029"/>
    <x v="1"/>
    <d v="2026-06-17T00:00:00"/>
    <x v="1"/>
    <x v="0"/>
    <s v="Pipa"/>
    <n v="50"/>
    <n v="27"/>
    <n v="1350"/>
    <s v="DIESEL"/>
    <n v="27"/>
  </r>
  <r>
    <s v="SOL-25-030"/>
    <x v="1"/>
    <d v="2026-06-17T00:00:00"/>
    <x v="1"/>
    <x v="0"/>
    <s v="Neuomatico"/>
    <n v="30"/>
    <n v="27"/>
    <n v="810"/>
    <s v="DIESEL"/>
    <n v="27"/>
  </r>
  <r>
    <s v="SOL-25-031"/>
    <x v="1"/>
    <d v="2026-06-17T00:00:00"/>
    <x v="1"/>
    <x v="0"/>
    <s v="Doble Rodillo"/>
    <n v="50"/>
    <n v="27"/>
    <n v="1350"/>
    <s v="DIESEL"/>
    <n v="27"/>
  </r>
  <r>
    <s v="SOL-25-032"/>
    <x v="1"/>
    <d v="2026-06-17T00:00:00"/>
    <x v="1"/>
    <x v="0"/>
    <s v="Vogel"/>
    <n v="130"/>
    <n v="27"/>
    <n v="3510"/>
    <s v="DIESEL"/>
    <n v="27"/>
  </r>
  <r>
    <s v="SOL-25-033"/>
    <x v="1"/>
    <d v="2026-06-17T00:00:00"/>
    <x v="1"/>
    <x v="0"/>
    <s v="Limpieza"/>
    <n v="20"/>
    <n v="27"/>
    <n v="540"/>
    <s v="DIESEL"/>
    <n v="27"/>
  </r>
  <r>
    <s v="SOL-25-034"/>
    <x v="1"/>
    <d v="2026-06-17T00:00:00"/>
    <x v="1"/>
    <x v="0"/>
    <s v="Rastrillador"/>
    <n v="160"/>
    <n v="27"/>
    <n v="4320"/>
    <s v="DIESEL"/>
    <n v="27"/>
  </r>
  <r>
    <s v="SOL-25-035"/>
    <x v="1"/>
    <d v="2026-06-17T00:00:00"/>
    <x v="1"/>
    <x v="0"/>
    <s v="Petrolizadora"/>
    <n v="70"/>
    <n v="27"/>
    <n v="1890"/>
    <s v="DIESEL"/>
    <n v="27"/>
  </r>
  <r>
    <s v="SOL-25-036"/>
    <x v="1"/>
    <d v="2026-06-17T00:00:00"/>
    <x v="1"/>
    <x v="0"/>
    <s v="Perfiladora"/>
    <n v="250"/>
    <n v="27"/>
    <n v="6750"/>
    <s v="DIESEL"/>
    <n v="27"/>
  </r>
  <r>
    <s v="SOL-25-037"/>
    <x v="1"/>
    <d v="2026-06-17T00:00:00"/>
    <x v="1"/>
    <x v="0"/>
    <s v="Pipa"/>
    <n v="150"/>
    <n v="27"/>
    <n v="4050"/>
    <s v="DIESEL"/>
    <n v="27"/>
  </r>
  <r>
    <s v="SOL-25-038"/>
    <x v="1"/>
    <d v="2026-06-17T00:00:00"/>
    <x v="0"/>
    <x v="0"/>
    <s v="Perfiladora Wirgent"/>
    <n v="250"/>
    <n v="27"/>
    <n v="6750"/>
    <s v="DIESEL"/>
    <n v="27"/>
  </r>
  <r>
    <s v="SOL-25-039"/>
    <x v="1"/>
    <d v="2026-06-17T00:00:00"/>
    <x v="0"/>
    <x v="0"/>
    <s v="Vogele Guion"/>
    <n v="100"/>
    <n v="27"/>
    <n v="2700"/>
    <s v="DIESEL"/>
    <n v="27"/>
  </r>
  <r>
    <s v="SOL-25-040"/>
    <x v="1"/>
    <d v="2026-06-17T00:00:00"/>
    <x v="0"/>
    <x v="0"/>
    <s v="Limpieza"/>
    <n v="20"/>
    <n v="27"/>
    <n v="540"/>
    <s v="DIESEL"/>
    <n v="27"/>
  </r>
  <r>
    <s v="SOL-25-041"/>
    <x v="1"/>
    <d v="2026-06-17T00:00:00"/>
    <x v="0"/>
    <x v="0"/>
    <s v="Tandem Hamm"/>
    <n v="50"/>
    <n v="27"/>
    <n v="1350"/>
    <s v="DIESEL"/>
    <n v="27"/>
  </r>
  <r>
    <s v="SOL-25-042"/>
    <x v="1"/>
    <d v="2026-06-17T00:00:00"/>
    <x v="0"/>
    <x v="0"/>
    <s v="Neuomatico"/>
    <n v="50"/>
    <n v="27"/>
    <n v="1350"/>
    <s v="DIESEL"/>
    <n v="27"/>
  </r>
  <r>
    <s v="SOL-25-043"/>
    <x v="1"/>
    <d v="2026-06-17T00:00:00"/>
    <x v="0"/>
    <x v="0"/>
    <s v="Barredora Broce"/>
    <n v="30"/>
    <n v="27"/>
    <n v="810"/>
    <s v="DIESEL"/>
    <n v="27"/>
  </r>
  <r>
    <s v="SOL-25-044"/>
    <x v="1"/>
    <d v="2026-06-17T00:00:00"/>
    <x v="0"/>
    <x v="0"/>
    <s v="Retroexcavadora"/>
    <n v="80"/>
    <n v="27"/>
    <n v="2160"/>
    <s v="DIESEL"/>
    <n v="27"/>
  </r>
  <r>
    <s v="SOL-25-045"/>
    <x v="1"/>
    <d v="2026-06-17T00:00:00"/>
    <x v="0"/>
    <x v="0"/>
    <s v="Petrolizadora Elton"/>
    <n v="50"/>
    <n v="27"/>
    <n v="1350"/>
    <s v="DIESEL"/>
    <n v="27"/>
  </r>
  <r>
    <s v="SOL-25-046"/>
    <x v="1"/>
    <d v="2026-06-17T00:00:00"/>
    <x v="2"/>
    <x v="0"/>
    <s v="Retroexcavadora"/>
    <n v="70"/>
    <n v="27"/>
    <n v="1890"/>
    <s v="DIESEL"/>
    <n v="27"/>
  </r>
  <r>
    <s v="SOL-25-047"/>
    <x v="1"/>
    <d v="2026-06-17T00:00:00"/>
    <x v="2"/>
    <x v="0"/>
    <s v="Retroexcavadora"/>
    <n v="70"/>
    <n v="27"/>
    <n v="1890"/>
    <s v="DIESEL"/>
    <n v="27"/>
  </r>
  <r>
    <s v="SOL-25-048"/>
    <x v="1"/>
    <d v="2026-06-17T00:00:00"/>
    <x v="2"/>
    <x v="0"/>
    <s v="Perfiladora"/>
    <n v="200"/>
    <n v="27"/>
    <n v="5400"/>
    <s v="DIESEL"/>
    <n v="27"/>
  </r>
  <r>
    <s v="SOL-25-049"/>
    <x v="1"/>
    <d v="2026-06-17T00:00:00"/>
    <x v="2"/>
    <x v="0"/>
    <s v="Doble Rodillo"/>
    <n v="20"/>
    <n v="27"/>
    <n v="540"/>
    <s v="DIESEL"/>
    <n v="27"/>
  </r>
  <r>
    <s v="SOL-25-050"/>
    <x v="1"/>
    <d v="2026-06-18T00:00:00"/>
    <x v="0"/>
    <x v="0"/>
    <s v="Perfiladora Wirgent"/>
    <n v="250"/>
    <n v="27"/>
    <n v="6750"/>
    <s v="DIESEL"/>
    <n v="27"/>
  </r>
  <r>
    <s v="SOL-25-051"/>
    <x v="1"/>
    <d v="2026-06-18T00:00:00"/>
    <x v="0"/>
    <x v="0"/>
    <s v="Vogele Guion"/>
    <n v="100"/>
    <n v="27"/>
    <n v="2700"/>
    <s v="DIESEL"/>
    <n v="27"/>
  </r>
  <r>
    <s v="SOL-25-052"/>
    <x v="1"/>
    <d v="2026-06-18T00:00:00"/>
    <x v="0"/>
    <x v="0"/>
    <s v="Limpieza"/>
    <n v="20"/>
    <n v="27"/>
    <n v="540"/>
    <s v="DIESEL"/>
    <n v="27"/>
  </r>
  <r>
    <s v="SOL-25-053"/>
    <x v="1"/>
    <d v="2026-06-18T00:00:00"/>
    <x v="0"/>
    <x v="0"/>
    <s v="Tandem Hamm"/>
    <n v="40"/>
    <n v="27"/>
    <n v="1080"/>
    <s v="DIESEL"/>
    <n v="27"/>
  </r>
  <r>
    <s v="SOL-25-054"/>
    <x v="1"/>
    <d v="2026-06-18T00:00:00"/>
    <x v="0"/>
    <x v="0"/>
    <s v="Neuomatico"/>
    <n v="40"/>
    <n v="27"/>
    <n v="1080"/>
    <s v="DIESEL"/>
    <n v="27"/>
  </r>
  <r>
    <s v="SOL-25-055"/>
    <x v="1"/>
    <d v="2026-06-18T00:00:00"/>
    <x v="0"/>
    <x v="0"/>
    <s v="Barredora Broce"/>
    <n v="30"/>
    <n v="27"/>
    <n v="810"/>
    <s v="DIESEL"/>
    <n v="27"/>
  </r>
  <r>
    <s v="SOL-25-056"/>
    <x v="1"/>
    <d v="2026-06-18T00:00:00"/>
    <x v="0"/>
    <x v="0"/>
    <s v="Retroexcavadora"/>
    <n v="70"/>
    <n v="27"/>
    <n v="1890"/>
    <s v="DIESEL"/>
    <n v="27"/>
  </r>
  <r>
    <s v="SOL-25-057"/>
    <x v="1"/>
    <d v="2026-06-18T00:00:00"/>
    <x v="0"/>
    <x v="0"/>
    <s v="Petrolizadora Elton"/>
    <n v="40"/>
    <n v="27"/>
    <n v="1080"/>
    <s v="DIESEL"/>
    <n v="27"/>
  </r>
  <r>
    <s v="SOL-25-058"/>
    <x v="1"/>
    <d v="2026-06-18T00:00:00"/>
    <x v="1"/>
    <x v="0"/>
    <s v="Camion de Impacto"/>
    <n v="80"/>
    <n v="27"/>
    <n v="2160"/>
    <s v="DIESEL"/>
    <n v="27"/>
  </r>
  <r>
    <s v="SOL-26-001"/>
    <x v="2"/>
    <d v="2006-06-19T00:00:00"/>
    <x v="4"/>
    <x v="0"/>
    <s v="Maxilihgs"/>
    <n v="100"/>
    <n v="27"/>
    <n v="2700"/>
    <s v="DIESEL"/>
    <n v="27"/>
  </r>
  <r>
    <s v="SOL-26-002"/>
    <x v="2"/>
    <d v="2006-06-19T00:00:00"/>
    <x v="4"/>
    <x v="0"/>
    <s v="Generador"/>
    <n v="200"/>
    <n v="27"/>
    <n v="5400"/>
    <s v="DIESEL"/>
    <n v="27"/>
  </r>
  <r>
    <s v="SOL-26-003"/>
    <x v="2"/>
    <d v="2006-06-19T00:00:00"/>
    <x v="4"/>
    <x v="0"/>
    <s v="PayLoder"/>
    <n v="100"/>
    <n v="27"/>
    <n v="2700"/>
    <s v="DIESEL"/>
    <n v="27"/>
  </r>
  <r>
    <s v="SOL-26-004"/>
    <x v="2"/>
    <d v="2006-06-19T00:00:00"/>
    <x v="4"/>
    <x v="0"/>
    <s v="Criba Roja"/>
    <n v="100"/>
    <n v="27"/>
    <n v="2700"/>
    <s v="DIESEL"/>
    <n v="27"/>
  </r>
  <r>
    <s v="SOL-26-005"/>
    <x v="2"/>
    <d v="2006-06-19T00:00:00"/>
    <x v="1"/>
    <x v="0"/>
    <s v="Retroexcavadora"/>
    <n v="80"/>
    <n v="27"/>
    <n v="2160"/>
    <s v="DIESEL"/>
    <n v="27"/>
  </r>
  <r>
    <s v="SOL-26-006"/>
    <x v="2"/>
    <d v="2006-06-19T00:00:00"/>
    <x v="1"/>
    <x v="0"/>
    <s v="Tandem Hamm"/>
    <n v="50"/>
    <n v="27"/>
    <n v="1350"/>
    <s v="DIESEL"/>
    <n v="27"/>
  </r>
  <r>
    <s v="SOL-26-007"/>
    <x v="2"/>
    <d v="2006-06-19T00:00:00"/>
    <x v="1"/>
    <x v="0"/>
    <s v="Neuomatico Dynapac"/>
    <n v="30"/>
    <n v="27"/>
    <n v="810"/>
    <s v="DIESEL"/>
    <n v="27"/>
  </r>
  <r>
    <s v="SOL-26-008"/>
    <x v="2"/>
    <d v="2006-06-19T00:00:00"/>
    <x v="1"/>
    <x v="0"/>
    <s v="Barredora"/>
    <n v="50"/>
    <n v="27"/>
    <n v="1350"/>
    <s v="DIESEL"/>
    <n v="27"/>
  </r>
  <r>
    <s v="SOL-26-009"/>
    <x v="2"/>
    <d v="2006-06-19T00:00:00"/>
    <x v="1"/>
    <x v="0"/>
    <s v="Pipa"/>
    <n v="50"/>
    <n v="27"/>
    <n v="1350"/>
    <s v="DIESEL"/>
    <n v="27"/>
  </r>
  <r>
    <s v="SOL-26-010"/>
    <x v="2"/>
    <d v="2006-06-19T00:00:00"/>
    <x v="1"/>
    <x v="0"/>
    <s v="Perfiladora"/>
    <n v="200"/>
    <n v="27"/>
    <n v="5400"/>
    <s v="DIESEL"/>
    <n v="27"/>
  </r>
  <r>
    <s v="SOL-26-011"/>
    <x v="2"/>
    <d v="2006-06-19T00:00:00"/>
    <x v="1"/>
    <x v="0"/>
    <s v="Vogel"/>
    <n v="130"/>
    <n v="27"/>
    <n v="3510"/>
    <s v="DIESEL"/>
    <n v="27"/>
  </r>
  <r>
    <s v="SOL-26-012"/>
    <x v="2"/>
    <d v="2006-06-19T00:00:00"/>
    <x v="1"/>
    <x v="0"/>
    <s v="Limpieza"/>
    <n v="20"/>
    <n v="27"/>
    <n v="540"/>
    <s v="DIESEL"/>
    <n v="27"/>
  </r>
  <r>
    <s v="SOL-26-013"/>
    <x v="2"/>
    <d v="2006-06-19T00:00:00"/>
    <x v="1"/>
    <x v="0"/>
    <s v="Rastrillador"/>
    <n v="10"/>
    <n v="27"/>
    <n v="270"/>
    <s v="DIESEL"/>
    <n v="27"/>
  </r>
  <r>
    <s v="SOL-26-014"/>
    <x v="2"/>
    <d v="2006-06-19T00:00:00"/>
    <x v="1"/>
    <x v="0"/>
    <s v="Petrolizadora"/>
    <n v="80"/>
    <n v="27"/>
    <n v="2160"/>
    <s v="DIESEL"/>
    <n v="27"/>
  </r>
  <r>
    <s v="SOL-25-059"/>
    <x v="1"/>
    <d v="2026-06-19T00:00:00"/>
    <x v="0"/>
    <x v="0"/>
    <s v="Vogele Guion"/>
    <n v="100"/>
    <n v="27"/>
    <n v="2700"/>
    <s v="DIESEL"/>
    <n v="27"/>
  </r>
  <r>
    <s v="SOL-25-060"/>
    <x v="1"/>
    <d v="2026-06-19T00:00:00"/>
    <x v="0"/>
    <x v="0"/>
    <s v="Limpieza"/>
    <n v="20"/>
    <n v="27"/>
    <n v="540"/>
    <s v="DIESEL"/>
    <n v="27"/>
  </r>
  <r>
    <s v="SOL-25-061"/>
    <x v="1"/>
    <d v="2026-06-19T00:00:00"/>
    <x v="0"/>
    <x v="0"/>
    <s v="Tandem CAT"/>
    <n v="60"/>
    <n v="27"/>
    <n v="1620"/>
    <s v="DIESEL"/>
    <n v="27"/>
  </r>
  <r>
    <s v="SOL-25-062"/>
    <x v="1"/>
    <d v="2026-06-19T00:00:00"/>
    <x v="0"/>
    <x v="0"/>
    <s v="Neuomatico"/>
    <n v="80"/>
    <n v="27"/>
    <n v="2160"/>
    <s v="DIESEL"/>
    <n v="27"/>
  </r>
  <r>
    <s v="SOL-25-063"/>
    <x v="1"/>
    <d v="2026-06-19T00:00:00"/>
    <x v="0"/>
    <x v="0"/>
    <s v="Barredora Broce"/>
    <n v="40"/>
    <n v="27"/>
    <n v="1080"/>
    <s v="DIESEL"/>
    <n v="27"/>
  </r>
  <r>
    <s v="SOL-25-064"/>
    <x v="1"/>
    <d v="2026-06-19T00:00:00"/>
    <x v="0"/>
    <x v="0"/>
    <s v="Retroexcavadora"/>
    <n v="80"/>
    <n v="27"/>
    <n v="2160"/>
    <s v="DIESEL"/>
    <n v="27"/>
  </r>
  <r>
    <s v="SOL-25-065"/>
    <x v="1"/>
    <d v="2026-06-19T00:00:00"/>
    <x v="0"/>
    <x v="0"/>
    <s v="Petrolizadora"/>
    <n v="50"/>
    <n v="27"/>
    <n v="1350"/>
    <s v="DIESEL"/>
    <n v="27"/>
  </r>
  <r>
    <s v="SOL-25-066"/>
    <x v="1"/>
    <m/>
    <x v="2"/>
    <x v="0"/>
    <s v="Retroexcavadora"/>
    <n v="60"/>
    <n v="27"/>
    <n v="1620"/>
    <s v="DIESEL"/>
    <n v="27"/>
  </r>
  <r>
    <s v="SOL-25-067"/>
    <x v="1"/>
    <m/>
    <x v="2"/>
    <x v="0"/>
    <s v="Retroexcavadora"/>
    <n v="50"/>
    <n v="27"/>
    <n v="1350"/>
    <s v="DIESEL"/>
    <n v="27"/>
  </r>
  <r>
    <s v="SOL-26-015"/>
    <x v="2"/>
    <d v="2026-06-22T00:00:00"/>
    <x v="1"/>
    <x v="0"/>
    <s v="PERFILADORA RODATEC RX600E"/>
    <n v="240"/>
    <n v="27"/>
    <n v="6480"/>
    <s v="DIESEL"/>
    <n v="27"/>
  </r>
  <r>
    <s v="SOL-26-016"/>
    <x v="2"/>
    <d v="2026-06-22T00:00:00"/>
    <x v="1"/>
    <x v="0"/>
    <s v="BARREDORA LAYMOR SM400"/>
    <n v="20"/>
    <n v="27"/>
    <n v="540"/>
    <s v="DIESEL"/>
    <n v="27"/>
  </r>
  <r>
    <s v="SOL-26-017"/>
    <x v="2"/>
    <d v="2026-06-22T00:00:00"/>
    <x v="1"/>
    <x v="0"/>
    <s v="RETROEXCAVADORA JHONDEREE 310 K"/>
    <n v="30"/>
    <n v="27"/>
    <n v="810"/>
    <s v="DIESEL"/>
    <n v="27"/>
  </r>
  <r>
    <s v="SOL-26-018"/>
    <x v="2"/>
    <d v="2026-06-22T00:00:00"/>
    <x v="1"/>
    <x v="0"/>
    <s v="PAVIMENTADORA VOGELE 1800-3 I"/>
    <n v="80"/>
    <n v="27"/>
    <n v="2160"/>
    <s v="DIESEL"/>
    <n v="27"/>
  </r>
  <r>
    <s v="SOL-26-019"/>
    <x v="2"/>
    <d v="2026-06-22T00:00:00"/>
    <x v="1"/>
    <x v="0"/>
    <s v="DOBLE RODILLO RAD ROLLER FILY-325 PRO"/>
    <n v="40"/>
    <n v="27"/>
    <n v="1080"/>
    <s v="DIESEL"/>
    <n v="27"/>
  </r>
  <r>
    <s v="SOL-26-020"/>
    <x v="2"/>
    <d v="2026-06-22T00:00:00"/>
    <x v="1"/>
    <x v="0"/>
    <s v="NEUMATICO / COMPACTADOR DE NEUMATICOS DINAPAC CP271"/>
    <n v="24"/>
    <n v="27"/>
    <n v="648"/>
    <s v="DIESEL"/>
    <n v="27"/>
  </r>
  <r>
    <s v="SOL-26-021"/>
    <x v="2"/>
    <d v="2026-06-22T00:00:00"/>
    <x v="1"/>
    <x v="0"/>
    <s v="IMPACTO FORD 4300"/>
    <n v="60"/>
    <n v="27"/>
    <n v="1620"/>
    <s v="DIESEL"/>
    <n v="27"/>
  </r>
  <r>
    <s v="SOL-26-022"/>
    <x v="2"/>
    <d v="2026-06-22T00:00:00"/>
    <x v="1"/>
    <x v="0"/>
    <s v="COMPRESOR SULLIVAN PALATEK D2010"/>
    <n v="24"/>
    <n v="27"/>
    <n v="648"/>
    <s v="DIESEL"/>
    <n v="27"/>
  </r>
  <r>
    <s v="SOL-26-023"/>
    <x v="2"/>
    <d v="2026-06-22T00:00:00"/>
    <x v="1"/>
    <x v="0"/>
    <s v="PETROLIZADORA INTERNATIONAL"/>
    <n v="60"/>
    <n v="27"/>
    <n v="1620"/>
    <s v="DIESEL"/>
    <n v="27"/>
  </r>
  <r>
    <s v="SOL-26-024"/>
    <x v="2"/>
    <d v="2026-06-23T00:00:00"/>
    <x v="1"/>
    <x v="0"/>
    <s v="PERFILADORA RODATEC RX600E"/>
    <n v="240"/>
    <n v="27"/>
    <n v="6480"/>
    <s v="DIESEL"/>
    <n v="27"/>
  </r>
  <r>
    <s v="SOL-26-025"/>
    <x v="2"/>
    <d v="2026-06-23T00:00:00"/>
    <x v="1"/>
    <x v="0"/>
    <s v="BARREDORA LAYMOR SM400"/>
    <n v="20"/>
    <n v="27"/>
    <n v="540"/>
    <s v="DIESEL"/>
    <n v="27"/>
  </r>
  <r>
    <s v="SOL-26-026"/>
    <x v="2"/>
    <d v="2026-06-23T00:00:00"/>
    <x v="1"/>
    <x v="0"/>
    <s v="RETROEXCAVADORA JHONDEREE 310 K"/>
    <n v="30"/>
    <n v="27"/>
    <n v="810"/>
    <s v="DIESEL"/>
    <n v="27"/>
  </r>
  <r>
    <s v="SOL-26-027"/>
    <x v="2"/>
    <d v="2026-06-23T00:00:00"/>
    <x v="1"/>
    <x v="0"/>
    <s v="PAVIMENTADORA VOGELE 1800-3 I"/>
    <n v="80"/>
    <n v="27"/>
    <n v="2160"/>
    <s v="DIESEL"/>
    <n v="27"/>
  </r>
  <r>
    <s v="SOL-26-028"/>
    <x v="2"/>
    <d v="2026-06-23T00:00:00"/>
    <x v="1"/>
    <x v="0"/>
    <s v="DOBLE RODILLO RAD ROLLER FILY-325 PRO"/>
    <n v="40"/>
    <n v="27"/>
    <n v="1080"/>
    <s v="DIESEL"/>
    <n v="27"/>
  </r>
  <r>
    <s v="SOL-26-029"/>
    <x v="2"/>
    <d v="2026-06-23T00:00:00"/>
    <x v="1"/>
    <x v="0"/>
    <s v="NEUMATICO / COMPACTADOR DE NEUMATICOS DINAPAC CP271"/>
    <n v="24"/>
    <n v="27"/>
    <n v="648"/>
    <s v="DIESEL"/>
    <n v="27"/>
  </r>
  <r>
    <s v="SOL-26-030"/>
    <x v="2"/>
    <d v="2026-06-23T00:00:00"/>
    <x v="1"/>
    <x v="0"/>
    <s v="IMPACTO FORD 4300"/>
    <n v="60"/>
    <n v="27"/>
    <n v="1620"/>
    <s v="DIESEL"/>
    <n v="27"/>
  </r>
  <r>
    <s v="SOL-26-031"/>
    <x v="2"/>
    <d v="2026-06-23T00:00:00"/>
    <x v="1"/>
    <x v="0"/>
    <s v="COMPRESOR SULLIVAN PALATEK D2010"/>
    <n v="24"/>
    <n v="27"/>
    <n v="648"/>
    <s v="DIESEL"/>
    <n v="27"/>
  </r>
  <r>
    <s v="SOL-26-032"/>
    <x v="2"/>
    <d v="2026-06-23T00:00:00"/>
    <x v="1"/>
    <x v="0"/>
    <s v="PETROLIZADORA INTERNATIONAL"/>
    <n v="60"/>
    <n v="27"/>
    <n v="1620"/>
    <s v="DIESEL"/>
    <n v="27"/>
  </r>
  <r>
    <s v="SOL-26-033"/>
    <x v="2"/>
    <d v="2026-06-24T00:00:00"/>
    <x v="1"/>
    <x v="0"/>
    <s v="PERFILADORA RODATEC RX600E"/>
    <n v="240"/>
    <n v="27"/>
    <n v="6480"/>
    <s v="DIESEL"/>
    <n v="27"/>
  </r>
  <r>
    <s v="SOL-26-034"/>
    <x v="2"/>
    <d v="2026-06-24T00:00:00"/>
    <x v="1"/>
    <x v="0"/>
    <s v="BARREDORA LAYMOR SM400"/>
    <n v="20"/>
    <n v="27"/>
    <n v="540"/>
    <s v="DIESEL"/>
    <n v="27"/>
  </r>
  <r>
    <s v="SOL-26-035"/>
    <x v="2"/>
    <d v="2026-06-24T00:00:00"/>
    <x v="1"/>
    <x v="0"/>
    <s v="RETROEXCAVADORA JHONDEREE 310 K"/>
    <n v="30"/>
    <n v="27"/>
    <n v="810"/>
    <s v="DIESEL"/>
    <n v="27"/>
  </r>
  <r>
    <s v="SOL-26-036"/>
    <x v="2"/>
    <d v="2026-06-24T00:00:00"/>
    <x v="1"/>
    <x v="0"/>
    <s v="PAVIMENTADORA VOGELE 1800-3 I"/>
    <n v="80"/>
    <n v="27"/>
    <n v="2160"/>
    <s v="DIESEL"/>
    <n v="27"/>
  </r>
  <r>
    <s v="SOL-26-037"/>
    <x v="2"/>
    <d v="2026-06-24T00:00:00"/>
    <x v="1"/>
    <x v="0"/>
    <s v="DOBLE RODILLO RAD ROLLER FILY-325 PRO"/>
    <n v="40"/>
    <n v="27"/>
    <n v="1080"/>
    <s v="DIESEL"/>
    <n v="27"/>
  </r>
  <r>
    <s v="SOL-26-038"/>
    <x v="2"/>
    <d v="2026-06-24T00:00:00"/>
    <x v="1"/>
    <x v="0"/>
    <s v="NEUMATICO / COMPACTADOR DE NEUMATICOS DINAPAC CP271"/>
    <n v="24"/>
    <n v="27"/>
    <n v="648"/>
    <s v="DIESEL"/>
    <n v="27"/>
  </r>
  <r>
    <s v="SOL-26-039"/>
    <x v="2"/>
    <d v="2026-06-24T00:00:00"/>
    <x v="1"/>
    <x v="0"/>
    <s v="IMPACTO FORD 4300"/>
    <n v="60"/>
    <n v="27"/>
    <n v="1620"/>
    <s v="DIESEL"/>
    <n v="27"/>
  </r>
  <r>
    <s v="SOL-26-040"/>
    <x v="2"/>
    <d v="2026-06-24T00:00:00"/>
    <x v="1"/>
    <x v="0"/>
    <s v="COMPRESOR SULLIVAN PALATEK D2010"/>
    <n v="24"/>
    <n v="27"/>
    <n v="648"/>
    <s v="DIESEL"/>
    <n v="27"/>
  </r>
  <r>
    <s v="SOL-26-041"/>
    <x v="2"/>
    <d v="2026-06-24T00:00:00"/>
    <x v="1"/>
    <x v="0"/>
    <s v="PETROLIZADORA INTERNATIONAL"/>
    <n v="60"/>
    <n v="27"/>
    <n v="1620"/>
    <s v="DIESEL"/>
    <n v="27"/>
  </r>
  <r>
    <s v="SOL-26-042"/>
    <x v="2"/>
    <d v="2026-06-25T00:00:00"/>
    <x v="1"/>
    <x v="0"/>
    <s v="PERFILADORA RODATEC RX600E"/>
    <n v="240"/>
    <n v="27"/>
    <n v="6480"/>
    <s v="DIESEL"/>
    <n v="27"/>
  </r>
  <r>
    <s v="SOL-26-043"/>
    <x v="2"/>
    <d v="2026-06-25T00:00:00"/>
    <x v="1"/>
    <x v="0"/>
    <s v="BARREDORA LAYMOR SM400"/>
    <n v="20"/>
    <n v="27"/>
    <n v="540"/>
    <s v="DIESEL"/>
    <n v="27"/>
  </r>
  <r>
    <s v="SOL-26-044"/>
    <x v="2"/>
    <d v="2026-06-25T00:00:00"/>
    <x v="1"/>
    <x v="0"/>
    <s v="RETROEXCAVADORA JHONDEREE 310 K"/>
    <n v="30"/>
    <n v="27"/>
    <n v="810"/>
    <s v="DIESEL"/>
    <n v="27"/>
  </r>
  <r>
    <s v="SOL-26-045"/>
    <x v="2"/>
    <d v="2026-06-25T00:00:00"/>
    <x v="1"/>
    <x v="0"/>
    <s v="PAVIMENTADORA VOGELE 1800-3 I"/>
    <n v="80"/>
    <n v="27"/>
    <n v="2160"/>
    <s v="DIESEL"/>
    <n v="27"/>
  </r>
  <r>
    <s v="SOL-26-046"/>
    <x v="2"/>
    <d v="2026-06-25T00:00:00"/>
    <x v="1"/>
    <x v="0"/>
    <s v="DOBLE RODILLO RAD ROLLER FILY-325 PRO"/>
    <n v="40"/>
    <n v="27"/>
    <n v="1080"/>
    <s v="DIESEL"/>
    <n v="27"/>
  </r>
  <r>
    <s v="SOL-26-047"/>
    <x v="2"/>
    <d v="2026-06-25T00:00:00"/>
    <x v="1"/>
    <x v="0"/>
    <s v="NEUMATICO / COMPACTADOR DE NEUMATICOS DINAPAC CP271"/>
    <n v="24"/>
    <n v="27"/>
    <n v="648"/>
    <s v="DIESEL"/>
    <n v="27"/>
  </r>
  <r>
    <s v="SOL-26-048"/>
    <x v="2"/>
    <d v="2026-06-25T00:00:00"/>
    <x v="1"/>
    <x v="0"/>
    <s v="IMPACTO FORD 4300"/>
    <n v="60"/>
    <n v="27"/>
    <n v="1620"/>
    <s v="DIESEL"/>
    <n v="27"/>
  </r>
  <r>
    <s v="SOL-26-049"/>
    <x v="2"/>
    <d v="2026-06-25T00:00:00"/>
    <x v="1"/>
    <x v="0"/>
    <s v="COMPRESOR SULLIVAN PALATEK D2010"/>
    <n v="24"/>
    <n v="27"/>
    <n v="648"/>
    <s v="DIESEL"/>
    <n v="27"/>
  </r>
  <r>
    <s v="SOL-26-050"/>
    <x v="2"/>
    <d v="2026-06-25T00:00:00"/>
    <x v="1"/>
    <x v="0"/>
    <s v="PETROLIZADORA INTERNATIONAL"/>
    <n v="60"/>
    <n v="27"/>
    <n v="1620"/>
    <s v="DIESEL"/>
    <n v="27"/>
  </r>
  <r>
    <s v="SOL-26-051"/>
    <x v="2"/>
    <d v="2026-06-26T00:00:00"/>
    <x v="1"/>
    <x v="0"/>
    <s v="PERFILADORA RODATEC RX600E"/>
    <n v="240"/>
    <n v="27"/>
    <n v="6480"/>
    <s v="DIESEL"/>
    <n v="27"/>
  </r>
  <r>
    <s v="SOL-26-052"/>
    <x v="2"/>
    <d v="2026-06-26T00:00:00"/>
    <x v="1"/>
    <x v="0"/>
    <s v="BARREDORA LAYMOR SM400"/>
    <n v="20"/>
    <n v="27"/>
    <n v="540"/>
    <s v="DIESEL"/>
    <n v="27"/>
  </r>
  <r>
    <s v="SOL-26-053"/>
    <x v="2"/>
    <d v="2026-06-26T00:00:00"/>
    <x v="1"/>
    <x v="0"/>
    <s v="RETROEXCAVADORA JHONDEREE 310 K"/>
    <n v="30"/>
    <n v="27"/>
    <n v="810"/>
    <s v="DIESEL"/>
    <n v="27"/>
  </r>
  <r>
    <s v="SOL-26-054"/>
    <x v="2"/>
    <d v="2026-06-26T00:00:00"/>
    <x v="1"/>
    <x v="0"/>
    <s v="PAVIMENTADORA VOGELE 1800-3 I"/>
    <n v="80"/>
    <n v="27"/>
    <n v="2160"/>
    <s v="DIESEL"/>
    <n v="27"/>
  </r>
  <r>
    <s v="SOL-26-055"/>
    <x v="2"/>
    <d v="2026-06-26T00:00:00"/>
    <x v="1"/>
    <x v="0"/>
    <s v="DOBLE RODILLO RAD ROLLER FILY-325 PRO"/>
    <n v="40"/>
    <n v="27"/>
    <n v="1080"/>
    <s v="DIESEL"/>
    <n v="27"/>
  </r>
  <r>
    <s v="SOL-26-056"/>
    <x v="2"/>
    <d v="2026-06-26T00:00:00"/>
    <x v="1"/>
    <x v="0"/>
    <s v="NEUMATICO / COMPACTADOR DE NEUMATICOS DINAPAC CP271"/>
    <n v="24"/>
    <n v="27"/>
    <n v="648"/>
    <s v="DIESEL"/>
    <n v="27"/>
  </r>
  <r>
    <s v="SOL-26-057"/>
    <x v="2"/>
    <d v="2026-06-26T00:00:00"/>
    <x v="1"/>
    <x v="0"/>
    <s v="IMPACTO FORD 4300"/>
    <n v="60"/>
    <n v="27"/>
    <n v="1620"/>
    <s v="DIESEL"/>
    <n v="27"/>
  </r>
  <r>
    <s v="SOL-26-058"/>
    <x v="2"/>
    <d v="2026-06-26T00:00:00"/>
    <x v="1"/>
    <x v="0"/>
    <s v="COMPRESOR SULLIVAN PALATEK D2010"/>
    <n v="24"/>
    <n v="27"/>
    <n v="648"/>
    <s v="DIESEL"/>
    <n v="27"/>
  </r>
  <r>
    <s v="SOL-26-059"/>
    <x v="2"/>
    <d v="2026-06-26T00:00:00"/>
    <x v="1"/>
    <x v="0"/>
    <s v="PETROLIZADORA INTERNATIONAL"/>
    <n v="60"/>
    <n v="27"/>
    <n v="1620"/>
    <s v="DIESEL"/>
    <n v="27"/>
  </r>
  <r>
    <s v="SOL-26-060"/>
    <x v="2"/>
    <d v="2026-06-22T00:00:00"/>
    <x v="4"/>
    <x v="0"/>
    <s v="Generador"/>
    <n v="300"/>
    <n v="27"/>
    <n v="8100"/>
    <s v="DIESEL"/>
    <n v="27"/>
  </r>
  <r>
    <s v="SOL-26-061"/>
    <x v="2"/>
    <d v="2026-06-22T00:00:00"/>
    <x v="4"/>
    <x v="0"/>
    <s v="RETROEXCAVADORA CASE 580 N"/>
    <n v="100"/>
    <n v="27"/>
    <n v="2700"/>
    <s v="DIESEL"/>
    <n v="27"/>
  </r>
  <r>
    <s v="SOL-26-062"/>
    <x v="2"/>
    <d v="2026-06-22T00:00:00"/>
    <x v="4"/>
    <x v="0"/>
    <s v="MAXILIGHT"/>
    <n v="100"/>
    <n v="27"/>
    <n v="2700"/>
    <s v="DIESEL"/>
    <n v="27"/>
  </r>
  <r>
    <s v="SOL-26-063"/>
    <x v="2"/>
    <d v="2026-06-22T00:00:00"/>
    <x v="4"/>
    <x v="0"/>
    <s v="Criba Roja"/>
    <n v="100"/>
    <n v="27"/>
    <n v="2700"/>
    <s v="DIESEL"/>
    <n v="27"/>
  </r>
  <r>
    <s v="SOL-26-064"/>
    <x v="2"/>
    <d v="2026-06-23T00:00:00"/>
    <x v="4"/>
    <x v="0"/>
    <s v="Generador"/>
    <n v="300"/>
    <n v="27"/>
    <n v="8100"/>
    <s v="DIESEL"/>
    <n v="27"/>
  </r>
  <r>
    <s v="SOL-26-065"/>
    <x v="2"/>
    <d v="2026-06-23T00:00:00"/>
    <x v="4"/>
    <x v="0"/>
    <s v="RETROEXCAVADORA CASE 580 N"/>
    <n v="100"/>
    <n v="27"/>
    <n v="2700"/>
    <s v="DIESEL"/>
    <n v="27"/>
  </r>
  <r>
    <s v="SOL-26-066"/>
    <x v="2"/>
    <d v="2026-06-24T00:00:00"/>
    <x v="4"/>
    <x v="0"/>
    <s v="Generador"/>
    <n v="300"/>
    <n v="27"/>
    <n v="8100"/>
    <s v="DIESEL"/>
    <n v="27"/>
  </r>
  <r>
    <s v="SOL-26-067"/>
    <x v="2"/>
    <d v="2026-06-24T00:00:00"/>
    <x v="4"/>
    <x v="0"/>
    <s v="RETROEXCAVADORA CASE 580 N"/>
    <n v="100"/>
    <n v="27"/>
    <n v="2700"/>
    <s v="DIESEL"/>
    <n v="27"/>
  </r>
  <r>
    <s v="SOL-26-068"/>
    <x v="2"/>
    <d v="2026-06-24T00:00:00"/>
    <x v="4"/>
    <x v="0"/>
    <s v="Criba Roja"/>
    <n v="100"/>
    <n v="27"/>
    <n v="2700"/>
    <s v="DIESEL"/>
    <n v="27"/>
  </r>
  <r>
    <s v="SOL-26-069"/>
    <x v="2"/>
    <d v="2026-06-25T00:00:00"/>
    <x v="4"/>
    <x v="0"/>
    <s v="Generador"/>
    <n v="300"/>
    <n v="27"/>
    <n v="8100"/>
    <s v="DIESEL"/>
    <n v="27"/>
  </r>
  <r>
    <s v="SOL-26-070"/>
    <x v="2"/>
    <d v="2026-06-25T00:00:00"/>
    <x v="4"/>
    <x v="0"/>
    <s v="RETROEXCAVADORA CASE 580 N"/>
    <n v="100"/>
    <n v="27"/>
    <n v="2700"/>
    <s v="DIESEL"/>
    <n v="27"/>
  </r>
  <r>
    <s v="SOL-26-071"/>
    <x v="2"/>
    <d v="2026-06-25T00:00:00"/>
    <x v="4"/>
    <x v="0"/>
    <s v="MAXILIGHT"/>
    <n v="100"/>
    <n v="27"/>
    <n v="2700"/>
    <s v="DIESEL"/>
    <n v="27"/>
  </r>
  <r>
    <s v="SOL-26-072"/>
    <x v="2"/>
    <d v="2026-06-26T00:00:00"/>
    <x v="4"/>
    <x v="0"/>
    <s v="Generador"/>
    <n v="300"/>
    <n v="27"/>
    <n v="8100"/>
    <s v="DIESEL"/>
    <n v="27"/>
  </r>
  <r>
    <s v="SOL-26-073"/>
    <x v="2"/>
    <d v="2026-06-26T00:00:00"/>
    <x v="4"/>
    <x v="0"/>
    <s v="RETROEXCAVADORA CASE 580 N"/>
    <n v="100"/>
    <n v="27"/>
    <n v="2700"/>
    <s v="DIESEL"/>
    <n v="27"/>
  </r>
  <r>
    <s v="SOL-26-074"/>
    <x v="2"/>
    <d v="2026-06-26T00:00:00"/>
    <x v="4"/>
    <x v="0"/>
    <s v="Criba Roja"/>
    <n v="100"/>
    <n v="27"/>
    <n v="2700"/>
    <s v="DIESEL"/>
    <n v="27"/>
  </r>
  <r>
    <s v="SOL-26-075"/>
    <x v="2"/>
    <d v="2026-06-27T00:00:00"/>
    <x v="4"/>
    <x v="0"/>
    <s v="RETROEXCAVADORA CASE 580 N"/>
    <n v="100"/>
    <n v="27"/>
    <n v="2700"/>
    <s v="DIESEL"/>
    <n v="27"/>
  </r>
  <r>
    <s v="SOL-26-076"/>
    <x v="2"/>
    <d v="2026-06-22T00:00:00"/>
    <x v="0"/>
    <x v="0"/>
    <s v="PERFILADORA RODATEC RX600E"/>
    <n v="250"/>
    <n v="27"/>
    <n v="6750"/>
    <s v="DIESEL"/>
    <n v="27"/>
  </r>
  <r>
    <s v="SOL-26-077"/>
    <x v="2"/>
    <d v="2026-06-22T00:00:00"/>
    <x v="0"/>
    <x v="0"/>
    <s v="PAVIMENTADORA VOGELE 1800-3 I"/>
    <n v="120"/>
    <n v="27"/>
    <n v="3240"/>
    <s v="DIESEL"/>
    <n v="27"/>
  </r>
  <r>
    <s v="SOL-26-078"/>
    <x v="2"/>
    <d v="2026-06-22T00:00:00"/>
    <x v="0"/>
    <x v="0"/>
    <s v="TANDEM DOBLE RODILLO / VIBROCOMPACTOR RODILLO CAT CB54"/>
    <n v="50"/>
    <n v="27"/>
    <n v="1350"/>
    <s v="DIESEL"/>
    <n v="27"/>
  </r>
  <r>
    <s v="SOL-26-079"/>
    <x v="2"/>
    <d v="2026-06-22T00:00:00"/>
    <x v="0"/>
    <x v="0"/>
    <s v="TANDEM DOBLE RODILLO / VIBROCOMPACTOR RODILLO CAT CB54"/>
    <n v="50"/>
    <n v="27"/>
    <n v="1350"/>
    <s v="DIESEL"/>
    <n v="27"/>
  </r>
  <r>
    <s v="SOL-26-080"/>
    <x v="2"/>
    <d v="2026-06-22T00:00:00"/>
    <x v="0"/>
    <x v="0"/>
    <s v="NEUMATICO VOLVO PT-240R"/>
    <n v="50"/>
    <n v="27"/>
    <n v="1350"/>
    <s v="DIESEL"/>
    <n v="27"/>
  </r>
  <r>
    <s v="SOL-26-081"/>
    <x v="2"/>
    <d v="2026-06-22T00:00:00"/>
    <x v="0"/>
    <x v="0"/>
    <s v="BARREDORA BROCE BROOM KR350"/>
    <n v="30"/>
    <n v="27"/>
    <n v="810"/>
    <s v="DIESEL"/>
    <n v="27"/>
  </r>
  <r>
    <s v="SOL-26-082"/>
    <x v="2"/>
    <d v="2026-06-22T00:00:00"/>
    <x v="0"/>
    <x v="0"/>
    <s v="RETROEXCAVADORA JHONDEREE 310 K"/>
    <n v="60"/>
    <n v="27"/>
    <n v="1620"/>
    <s v="DIESEL"/>
    <n v="27"/>
  </r>
  <r>
    <s v="SOL-26-083"/>
    <x v="2"/>
    <d v="2026-06-22T00:00:00"/>
    <x v="0"/>
    <x v="0"/>
    <s v="PETROLIZADORA INTERNATIONAL"/>
    <n v="50"/>
    <n v="27"/>
    <n v="1350"/>
    <s v="DIESEL"/>
    <n v="27"/>
  </r>
  <r>
    <s v="SOL-26-084"/>
    <x v="2"/>
    <d v="2026-06-23T00:00:00"/>
    <x v="0"/>
    <x v="0"/>
    <s v="PAVIMENTADORA VOGELE 1800-3 I"/>
    <n v="120"/>
    <n v="27"/>
    <n v="3240"/>
    <s v="DIESEL"/>
    <n v="27"/>
  </r>
  <r>
    <s v="SOL-26-085"/>
    <x v="2"/>
    <d v="2026-06-23T00:00:00"/>
    <x v="0"/>
    <x v="0"/>
    <s v="TANDEM DOBLE RODILLO / VIBROCOMPACTOR RODILLO CAT CB54"/>
    <n v="40"/>
    <n v="27"/>
    <n v="1080"/>
    <s v="DIESEL"/>
    <n v="27"/>
  </r>
  <r>
    <s v="SOL-26-086"/>
    <x v="2"/>
    <d v="2026-06-23T00:00:00"/>
    <x v="0"/>
    <x v="0"/>
    <s v="TANDEM DOBLE RODILLO / VIBROCOMPACTOR RODILLO CAT CB54"/>
    <n v="40"/>
    <n v="27"/>
    <n v="1080"/>
    <s v="DIESEL"/>
    <n v="27"/>
  </r>
  <r>
    <s v="SOL-26-087"/>
    <x v="2"/>
    <d v="2026-06-23T00:00:00"/>
    <x v="0"/>
    <x v="0"/>
    <s v="NEUMATICO VOLVO PT-240R"/>
    <n v="50"/>
    <n v="27"/>
    <n v="1350"/>
    <s v="DIESEL"/>
    <n v="27"/>
  </r>
  <r>
    <s v="SOL-26-088"/>
    <x v="2"/>
    <d v="2026-06-23T00:00:00"/>
    <x v="0"/>
    <x v="0"/>
    <s v="BARREDORA BROCE BROOM KR350"/>
    <n v="30"/>
    <n v="27"/>
    <n v="810"/>
    <s v="DIESEL"/>
    <n v="27"/>
  </r>
  <r>
    <s v="SOL-26-089"/>
    <x v="2"/>
    <d v="2026-06-23T00:00:00"/>
    <x v="0"/>
    <x v="0"/>
    <s v="RETROEXCAVADORA JHONDEREE 310 K"/>
    <n v="50"/>
    <n v="27"/>
    <n v="1350"/>
    <s v="DIESEL"/>
    <n v="27"/>
  </r>
  <r>
    <s v="SOL-26-090"/>
    <x v="2"/>
    <d v="2026-06-23T00:00:00"/>
    <x v="0"/>
    <x v="0"/>
    <s v="PETROLIZADORA INTERNATIONAL"/>
    <n v="50"/>
    <n v="27"/>
    <n v="1350"/>
    <s v="DIESEL"/>
    <n v="27"/>
  </r>
  <r>
    <s v="SOL-26-091"/>
    <x v="2"/>
    <d v="2026-06-24T00:00:00"/>
    <x v="0"/>
    <x v="0"/>
    <s v="PERFILADORA RODATEC RX600E"/>
    <n v="250"/>
    <n v="27"/>
    <n v="6750"/>
    <s v="DIESEL"/>
    <n v="27"/>
  </r>
  <r>
    <s v="SOL-26-092"/>
    <x v="2"/>
    <d v="2026-06-24T00:00:00"/>
    <x v="0"/>
    <x v="0"/>
    <s v="PAVIMENTADORA VOGELE 1800-3 I"/>
    <n v="120"/>
    <n v="27"/>
    <n v="3240"/>
    <s v="DIESEL"/>
    <n v="27"/>
  </r>
  <r>
    <s v="SOL-26-093"/>
    <x v="2"/>
    <d v="2026-06-24T00:00:00"/>
    <x v="0"/>
    <x v="0"/>
    <s v="TANDEM DOBLE RODILLO / VIBROCOMPACTOR RODILLO CAT CB54"/>
    <n v="40"/>
    <n v="27"/>
    <n v="1080"/>
    <s v="DIESEL"/>
    <n v="27"/>
  </r>
  <r>
    <s v="SOL-26-094"/>
    <x v="2"/>
    <d v="2026-06-24T00:00:00"/>
    <x v="0"/>
    <x v="0"/>
    <s v="TANDEM DOBLE RODILLO / VIBROCOMPACTOR RODILLO CAT CB54"/>
    <n v="40"/>
    <n v="27"/>
    <n v="1080"/>
    <s v="DIESEL"/>
    <n v="27"/>
  </r>
  <r>
    <s v="SOL-26-095"/>
    <x v="2"/>
    <d v="2026-06-24T00:00:00"/>
    <x v="0"/>
    <x v="0"/>
    <s v="NEUMATICO VOLVO PT-240R"/>
    <n v="50"/>
    <n v="27"/>
    <n v="1350"/>
    <s v="DIESEL"/>
    <n v="27"/>
  </r>
  <r>
    <s v="SOL-26-096"/>
    <x v="2"/>
    <d v="2026-06-24T00:00:00"/>
    <x v="0"/>
    <x v="0"/>
    <s v="BARREDORA BROCE BROOM KR350"/>
    <n v="20"/>
    <n v="27"/>
    <n v="540"/>
    <s v="DIESEL"/>
    <n v="27"/>
  </r>
  <r>
    <s v="SOL-26-097"/>
    <x v="2"/>
    <d v="2026-06-24T00:00:00"/>
    <x v="0"/>
    <x v="0"/>
    <s v="RETROEXCAVADORA JHONDEREE 310 K"/>
    <n v="50"/>
    <n v="27"/>
    <n v="1350"/>
    <s v="DIESEL"/>
    <n v="27"/>
  </r>
  <r>
    <s v="SOL-26-098"/>
    <x v="2"/>
    <d v="2026-06-24T00:00:00"/>
    <x v="0"/>
    <x v="0"/>
    <s v="PETROLIZADORA INTERNATIONAL"/>
    <n v="50"/>
    <n v="27"/>
    <n v="1350"/>
    <s v="DIESEL"/>
    <n v="27"/>
  </r>
  <r>
    <s v="SOL-26-099"/>
    <x v="2"/>
    <d v="2026-06-25T00:00:00"/>
    <x v="0"/>
    <x v="0"/>
    <s v="PERFILADORA RODATEC RX600E"/>
    <n v="250"/>
    <n v="27"/>
    <n v="6750"/>
    <s v="DIESEL"/>
    <n v="27"/>
  </r>
  <r>
    <s v="SOL-26-100"/>
    <x v="2"/>
    <d v="2026-06-25T00:00:00"/>
    <x v="0"/>
    <x v="0"/>
    <s v="PAVIMENTADORA VOGELE 1800-3 I"/>
    <n v="120"/>
    <n v="27"/>
    <n v="3240"/>
    <s v="DIESEL"/>
    <n v="27"/>
  </r>
  <r>
    <s v="SOL-26-101"/>
    <x v="2"/>
    <d v="2026-06-25T00:00:00"/>
    <x v="0"/>
    <x v="0"/>
    <s v="TANDEM DOBLE RODILLO / VIBROCOMPACTOR RODILLO CAT CB54"/>
    <n v="40"/>
    <n v="27"/>
    <n v="1080"/>
    <s v="DIESEL"/>
    <n v="27"/>
  </r>
  <r>
    <s v="SOL-26-102"/>
    <x v="2"/>
    <d v="2026-06-25T00:00:00"/>
    <x v="0"/>
    <x v="0"/>
    <s v="TANDEM DOBLE RODILLO / VIBROCOMPACTOR RODILLO CAT CB54"/>
    <n v="40"/>
    <n v="27"/>
    <n v="1080"/>
    <s v="DIESEL"/>
    <n v="27"/>
  </r>
  <r>
    <s v="SOL-26-103"/>
    <x v="2"/>
    <d v="2026-06-25T00:00:00"/>
    <x v="0"/>
    <x v="0"/>
    <s v="NEUMATICO VOLVO PT-240R"/>
    <n v="50"/>
    <n v="27"/>
    <n v="1350"/>
    <s v="DIESEL"/>
    <n v="27"/>
  </r>
  <r>
    <s v="SOL-26-104"/>
    <x v="2"/>
    <d v="2026-06-25T00:00:00"/>
    <x v="0"/>
    <x v="0"/>
    <s v="BARREDORA BROCE BROOM KR350"/>
    <n v="20"/>
    <n v="27"/>
    <n v="540"/>
    <s v="DIESEL"/>
    <n v="27"/>
  </r>
  <r>
    <s v="SOL-26-105"/>
    <x v="2"/>
    <d v="2026-06-25T00:00:00"/>
    <x v="0"/>
    <x v="0"/>
    <s v="RETROEXCAVADORA JHONDEREE 310 K"/>
    <n v="50"/>
    <n v="27"/>
    <n v="1350"/>
    <s v="DIESEL"/>
    <n v="27"/>
  </r>
  <r>
    <s v="SOL-26-106"/>
    <x v="2"/>
    <d v="2026-06-25T00:00:00"/>
    <x v="0"/>
    <x v="0"/>
    <s v="PETROLIZADORA INTERNATIONAL"/>
    <n v="50"/>
    <n v="27"/>
    <n v="1350"/>
    <s v="DIESEL"/>
    <n v="27"/>
  </r>
  <r>
    <s v="SOL-26-107"/>
    <x v="2"/>
    <d v="2026-06-26T00:00:00"/>
    <x v="0"/>
    <x v="0"/>
    <s v="PERFILADORA RODATEC RX600E"/>
    <n v="250"/>
    <n v="27"/>
    <n v="6750"/>
    <s v="DIESEL"/>
    <n v="27"/>
  </r>
  <r>
    <s v="SOL-26-108"/>
    <x v="2"/>
    <d v="2026-06-26T00:00:00"/>
    <x v="0"/>
    <x v="0"/>
    <s v="PAVIMENTADORA VOGELE 1800-3 I"/>
    <n v="120"/>
    <n v="27"/>
    <n v="3240"/>
    <s v="DIESEL"/>
    <n v="27"/>
  </r>
  <r>
    <s v="SOL-26-109"/>
    <x v="2"/>
    <d v="2026-06-26T00:00:00"/>
    <x v="0"/>
    <x v="0"/>
    <s v="TANDEM DOBLE RODILLO / VIBROCOMPACTOR RODILLO CAT CB54"/>
    <n v="40"/>
    <n v="27"/>
    <n v="1080"/>
    <s v="DIESEL"/>
    <n v="27"/>
  </r>
  <r>
    <s v="SOL-26-110"/>
    <x v="2"/>
    <d v="2026-06-26T00:00:00"/>
    <x v="0"/>
    <x v="0"/>
    <s v="TANDEM DOBLE RODILLO / VIBROCOMPACTOR RODILLO CAT CB54"/>
    <n v="40"/>
    <n v="27"/>
    <n v="1080"/>
    <s v="DIESEL"/>
    <n v="27"/>
  </r>
  <r>
    <s v="SOL-26-111"/>
    <x v="2"/>
    <d v="2026-06-26T00:00:00"/>
    <x v="0"/>
    <x v="0"/>
    <s v="NEUMATICO VOLVO PT-240R"/>
    <n v="50"/>
    <n v="27"/>
    <n v="1350"/>
    <s v="DIESEL"/>
    <n v="27"/>
  </r>
  <r>
    <s v="SOL-26-112"/>
    <x v="2"/>
    <d v="2026-06-26T00:00:00"/>
    <x v="0"/>
    <x v="0"/>
    <s v="BARREDORA BROCE BROOM KR350"/>
    <n v="20"/>
    <n v="27"/>
    <n v="540"/>
    <s v="DIESEL"/>
    <n v="27"/>
  </r>
  <r>
    <s v="SOL-26-113"/>
    <x v="2"/>
    <d v="2026-06-26T00:00:00"/>
    <x v="0"/>
    <x v="0"/>
    <s v="RETROEXCAVADORA JHONDEREE 310 K"/>
    <n v="50"/>
    <n v="27"/>
    <n v="1350"/>
    <s v="DIESEL"/>
    <n v="27"/>
  </r>
  <r>
    <s v="SOL-26-114"/>
    <x v="2"/>
    <d v="2026-06-26T00:00:00"/>
    <x v="0"/>
    <x v="0"/>
    <s v="PETROLIZADORA INTERNATIONAL"/>
    <n v="50"/>
    <n v="27"/>
    <n v="1350"/>
    <s v="DIESEL"/>
    <n v="27"/>
  </r>
  <r>
    <s v="SOL-26-115"/>
    <x v="2"/>
    <d v="2026-06-22T00:00:00"/>
    <x v="2"/>
    <x v="0"/>
    <s v="RETROEXCAVADORA CASE 580 N"/>
    <n v="50"/>
    <n v="27"/>
    <n v="1350"/>
    <s v="DIESEL"/>
    <n v="27"/>
  </r>
  <r>
    <s v="SOL-26-116"/>
    <x v="2"/>
    <d v="2026-06-22T00:00:00"/>
    <x v="2"/>
    <x v="0"/>
    <s v="RETROEXCAVADORA CASE 580 N"/>
    <n v="50"/>
    <n v="27"/>
    <n v="1350"/>
    <s v="DIESEL"/>
    <n v="27"/>
  </r>
  <r>
    <s v="SOL-26-117"/>
    <x v="2"/>
    <d v="2026-06-22T00:00:00"/>
    <x v="2"/>
    <x v="0"/>
    <s v="HOMBRE A BORDO"/>
    <n v="10"/>
    <n v="27"/>
    <n v="270"/>
    <s v="DIESEL"/>
    <n v="27"/>
  </r>
  <r>
    <s v="SOL-26-118"/>
    <x v="2"/>
    <d v="2026-06-22T00:00:00"/>
    <x v="2"/>
    <x v="0"/>
    <s v="Limpieza"/>
    <n v="8"/>
    <n v="27"/>
    <n v="216"/>
    <s v="DIESEL"/>
    <n v="27"/>
  </r>
  <r>
    <s v="SOL-26-119"/>
    <x v="2"/>
    <d v="2026-06-23T00:00:00"/>
    <x v="2"/>
    <x v="0"/>
    <s v="RETROEXCAVADORA CASE 580 N"/>
    <n v="50"/>
    <n v="27"/>
    <n v="1350"/>
    <s v="DIESEL"/>
    <n v="27"/>
  </r>
  <r>
    <s v="SOL-26-120"/>
    <x v="2"/>
    <d v="2026-06-23T00:00:00"/>
    <x v="2"/>
    <x v="0"/>
    <s v="RETROEXCAVADORA CASE 580 N"/>
    <n v="40"/>
    <n v="27"/>
    <n v="1080"/>
    <s v="DIESEL"/>
    <n v="27"/>
  </r>
  <r>
    <s v="SOL-26-121"/>
    <x v="2"/>
    <d v="2026-06-23T00:00:00"/>
    <x v="2"/>
    <x v="0"/>
    <s v="HOMBRE A BORDO"/>
    <n v="10"/>
    <n v="27"/>
    <n v="270"/>
    <s v="DIESEL"/>
    <n v="27"/>
  </r>
  <r>
    <s v="SOL-26-122"/>
    <x v="2"/>
    <d v="2026-06-23T00:00:00"/>
    <x v="2"/>
    <x v="0"/>
    <s v="Limpieza"/>
    <n v="5"/>
    <n v="27"/>
    <n v="135"/>
    <s v="DIESEL"/>
    <n v="27"/>
  </r>
  <r>
    <s v="SOL-26-123"/>
    <x v="2"/>
    <d v="2026-06-24T00:00:00"/>
    <x v="2"/>
    <x v="0"/>
    <s v="RETROEXCAVADORA CASE 580 N"/>
    <n v="50"/>
    <n v="27"/>
    <n v="1350"/>
    <s v="DIESEL"/>
    <n v="27"/>
  </r>
  <r>
    <s v="SOL-26-124"/>
    <x v="2"/>
    <d v="2026-06-24T00:00:00"/>
    <x v="2"/>
    <x v="0"/>
    <s v="RETROEXCAVADORA CASE 580 N"/>
    <n v="40"/>
    <n v="27"/>
    <n v="1080"/>
    <s v="DIESEL"/>
    <n v="27"/>
  </r>
  <r>
    <s v="SOL-26-125"/>
    <x v="2"/>
    <d v="2026-06-24T00:00:00"/>
    <x v="2"/>
    <x v="0"/>
    <s v="HOMBRE A BORDO"/>
    <n v="10"/>
    <n v="27"/>
    <n v="270"/>
    <s v="DIESEL"/>
    <n v="27"/>
  </r>
  <r>
    <s v="SOL-26-126"/>
    <x v="2"/>
    <d v="2026-06-24T00:00:00"/>
    <x v="2"/>
    <x v="0"/>
    <s v="Limpieza"/>
    <n v="8"/>
    <n v="27"/>
    <n v="216"/>
    <s v="DIESEL"/>
    <n v="27"/>
  </r>
  <r>
    <s v="SOL-26-127"/>
    <x v="2"/>
    <d v="2026-06-25T00:00:00"/>
    <x v="2"/>
    <x v="0"/>
    <s v="RETROEXCAVADORA CASE 580 N"/>
    <n v="60"/>
    <n v="27"/>
    <n v="1620"/>
    <s v="DIESEL"/>
    <n v="27"/>
  </r>
  <r>
    <s v="SOL-26-128"/>
    <x v="2"/>
    <d v="2026-06-25T00:00:00"/>
    <x v="2"/>
    <x v="0"/>
    <s v="RETROEXCAVADORA CASE 580 N"/>
    <n v="60"/>
    <n v="27"/>
    <n v="1620"/>
    <s v="DIESEL"/>
    <n v="27"/>
  </r>
  <r>
    <s v="SOL-26-129"/>
    <x v="2"/>
    <d v="2026-06-25T00:00:00"/>
    <x v="2"/>
    <x v="0"/>
    <s v="Limpieza"/>
    <n v="5"/>
    <n v="27"/>
    <n v="135"/>
    <s v="DIESEL"/>
    <n v="27"/>
  </r>
  <r>
    <s v="SOL-26-130"/>
    <x v="2"/>
    <d v="2026-06-26T00:00:00"/>
    <x v="2"/>
    <x v="0"/>
    <s v="RETROEXCAVADORA CASE 580 N"/>
    <n v="50"/>
    <n v="27"/>
    <n v="1350"/>
    <s v="DIESEL"/>
    <n v="27"/>
  </r>
  <r>
    <s v="SOL-26-131"/>
    <x v="2"/>
    <d v="2026-06-26T00:00:00"/>
    <x v="2"/>
    <x v="0"/>
    <s v="RETROEXCAVADORA CASE 580 N"/>
    <n v="50"/>
    <n v="27"/>
    <n v="1350"/>
    <s v="DIESEL"/>
    <n v="27"/>
  </r>
  <r>
    <s v="SOL-26-132"/>
    <x v="2"/>
    <d v="2026-06-26T00:00:00"/>
    <x v="2"/>
    <x v="0"/>
    <s v="HOMBRE A BORDO"/>
    <n v="10"/>
    <n v="27"/>
    <n v="270"/>
    <s v="DIESEL"/>
    <n v="27"/>
  </r>
  <r>
    <s v="SOL-26-133"/>
    <x v="2"/>
    <d v="2026-06-26T00:00:00"/>
    <x v="2"/>
    <x v="0"/>
    <s v="Limpieza"/>
    <n v="8"/>
    <n v="27"/>
    <n v="216"/>
    <s v="DIESEL"/>
    <n v="27"/>
  </r>
  <r>
    <s v="SOL-26-134"/>
    <x v="2"/>
    <d v="2026-06-23T00:00:00"/>
    <x v="5"/>
    <x v="0"/>
    <s v="PayLoder"/>
    <n v="300"/>
    <n v="27"/>
    <n v="8100"/>
    <s v="DIESEL"/>
    <n v="27"/>
  </r>
  <r>
    <s v="SOL-26-135"/>
    <x v="2"/>
    <d v="2026-06-24T00:00:00"/>
    <x v="5"/>
    <x v="0"/>
    <s v="CALDERA TECNO"/>
    <n v="600"/>
    <n v="27"/>
    <n v="16200"/>
    <s v="DIESEL"/>
    <n v="27"/>
  </r>
  <r>
    <s v="SOL-26-136"/>
    <x v="2"/>
    <d v="2026-06-24T00:00:00"/>
    <x v="5"/>
    <x v="0"/>
    <s v="CALDERA TRIASO"/>
    <n v="400"/>
    <n v="27"/>
    <n v="10800"/>
    <s v="DIESEL"/>
    <n v="27"/>
  </r>
  <r>
    <s v="SOL-26-137"/>
    <x v="2"/>
    <d v="2026-06-25T00:00:00"/>
    <x v="5"/>
    <x v="0"/>
    <s v="PayLoder"/>
    <n v="300"/>
    <n v="27"/>
    <n v="8100"/>
    <s v="DIESEL"/>
    <n v="27"/>
  </r>
  <r>
    <s v="SOL-26-138"/>
    <x v="2"/>
    <d v="2026-06-22T00:00:00"/>
    <x v="1"/>
    <x v="0"/>
    <s v="PIPA DE AGUA (IMPACTO 01) FORD"/>
    <n v="30"/>
    <n v="27"/>
    <n v="810"/>
    <s v="DIESEL"/>
    <n v="27"/>
  </r>
  <r>
    <s v="SOL-26-139"/>
    <x v="2"/>
    <d v="2026-06-23T00:00:00"/>
    <x v="1"/>
    <x v="0"/>
    <s v="PIPA DE AGUA (IMPACTO 01) FORD"/>
    <n v="30"/>
    <n v="27"/>
    <n v="810"/>
    <s v="DIESEL"/>
    <n v="27"/>
  </r>
  <r>
    <s v="SOL-26-140"/>
    <x v="2"/>
    <d v="2026-06-24T00:00:00"/>
    <x v="1"/>
    <x v="0"/>
    <s v="PIPA DE AGUA (IMPACTO 01) FORD"/>
    <n v="30"/>
    <n v="27"/>
    <n v="810"/>
    <s v="DIESEL"/>
    <n v="27"/>
  </r>
  <r>
    <s v="SOL-26-141"/>
    <x v="2"/>
    <d v="2026-06-25T00:00:00"/>
    <x v="1"/>
    <x v="0"/>
    <s v="PIPA DE AGUA (IMPACTO 01) FORD"/>
    <n v="30"/>
    <n v="27"/>
    <n v="810"/>
    <s v="DIESEL"/>
    <n v="27"/>
  </r>
  <r>
    <s v="SOL-26-142"/>
    <x v="2"/>
    <d v="2026-06-26T00:00:00"/>
    <x v="1"/>
    <x v="0"/>
    <s v="PIPA DE AGUA (IMPACTO 01) FORD"/>
    <n v="30"/>
    <n v="27"/>
    <n v="810"/>
    <s v="DIESEL"/>
    <n v="27"/>
  </r>
  <r>
    <s v="SOL-27-001"/>
    <x v="3"/>
    <d v="2026-06-29T00:00:00"/>
    <x v="6"/>
    <x v="0"/>
    <s v="GENERADOR PLANTA AMMANN"/>
    <n v="300"/>
    <n v="27"/>
    <n v="8100"/>
    <s v="DIESEL"/>
    <n v="23.95"/>
  </r>
  <r>
    <s v="SOL-27-002"/>
    <x v="3"/>
    <d v="2026-06-29T00:00:00"/>
    <x v="6"/>
    <x v="0"/>
    <s v="TORRE DE LUZ MAXILIGHT"/>
    <n v="100"/>
    <n v="27"/>
    <n v="2700"/>
    <s v="DIESEL"/>
    <n v="23.95"/>
  </r>
  <r>
    <s v="SOL-27-003"/>
    <x v="3"/>
    <d v="2026-06-29T00:00:00"/>
    <x v="6"/>
    <x v="0"/>
    <s v="CALDERA"/>
    <n v="100"/>
    <n v="27"/>
    <n v="2700"/>
    <s v="DIESEL"/>
    <n v="23.95"/>
  </r>
  <r>
    <s v="SOL-27-004"/>
    <x v="3"/>
    <d v="2026-06-29T00:00:00"/>
    <x v="6"/>
    <x v="0"/>
    <s v="CARGADOR CASE 821 F"/>
    <n v="100"/>
    <n v="27"/>
    <n v="2700"/>
    <s v="DIESEL"/>
    <n v="23.95"/>
  </r>
  <r>
    <s v="SOL-27-005"/>
    <x v="3"/>
    <d v="2026-06-30T00:00:00"/>
    <x v="6"/>
    <x v="0"/>
    <s v="GENERADOR PLANTA AMMANN"/>
    <n v="300"/>
    <n v="27"/>
    <n v="8100"/>
    <s v="DIESEL"/>
    <n v="23.95"/>
  </r>
  <r>
    <s v="SOL-27-006"/>
    <x v="3"/>
    <d v="2026-06-30T00:00:00"/>
    <x v="6"/>
    <x v="0"/>
    <s v="CRIBA RAP"/>
    <n v="50"/>
    <n v="27"/>
    <n v="1350"/>
    <s v="DIESEL"/>
    <n v="23.95"/>
  </r>
  <r>
    <s v="SOL-27-007"/>
    <x v="3"/>
    <d v="2026-06-30T00:00:00"/>
    <x v="6"/>
    <x v="0"/>
    <s v="CALDERA"/>
    <n v="100"/>
    <n v="27"/>
    <n v="2700"/>
    <s v="DIESEL"/>
    <n v="23.95"/>
  </r>
  <r>
    <s v="SOL-27-008"/>
    <x v="3"/>
    <d v="2026-06-30T00:00:00"/>
    <x v="6"/>
    <x v="0"/>
    <s v="CARGADOR CASE 821 F"/>
    <n v="100"/>
    <n v="27"/>
    <n v="2700"/>
    <s v="DIESEL"/>
    <n v="23.95"/>
  </r>
  <r>
    <s v="SOL-27-009"/>
    <x v="3"/>
    <d v="2026-07-01T00:00:00"/>
    <x v="6"/>
    <x v="0"/>
    <s v="GENERADOR PLANTA AMMANN"/>
    <n v="300"/>
    <n v="27"/>
    <n v="8100"/>
    <s v="DIESEL"/>
    <n v="23.95"/>
  </r>
  <r>
    <s v="SOL-27-010"/>
    <x v="3"/>
    <d v="2026-07-01T00:00:00"/>
    <x v="6"/>
    <x v="0"/>
    <s v="CALDERA"/>
    <n v="100"/>
    <n v="27"/>
    <n v="2700"/>
    <s v="DIESEL"/>
    <n v="23.95"/>
  </r>
  <r>
    <s v="SOL-27-011"/>
    <x v="3"/>
    <d v="2026-07-01T00:00:00"/>
    <x v="6"/>
    <x v="0"/>
    <s v="CARGADOR CASE 821 F"/>
    <n v="100"/>
    <n v="27"/>
    <n v="2700"/>
    <s v="DIESEL"/>
    <n v="23.95"/>
  </r>
  <r>
    <s v="SOL-27-012"/>
    <x v="3"/>
    <d v="2026-07-02T00:00:00"/>
    <x v="6"/>
    <x v="0"/>
    <s v="GENERADOR PLANTA AMMANN"/>
    <n v="300"/>
    <n v="27"/>
    <n v="8100"/>
    <s v="DIESEL"/>
    <n v="23.95"/>
  </r>
  <r>
    <s v="SOL-27-013"/>
    <x v="3"/>
    <d v="2026-07-02T00:00:00"/>
    <x v="6"/>
    <x v="0"/>
    <s v="CRIBA RAP"/>
    <n v="50"/>
    <n v="27"/>
    <n v="1350"/>
    <s v="DIESEL"/>
    <n v="23.95"/>
  </r>
  <r>
    <s v="SOL-27-014"/>
    <x v="3"/>
    <d v="2026-07-02T00:00:00"/>
    <x v="6"/>
    <x v="0"/>
    <s v="TORRE DE LUZ MAXILIGHT"/>
    <n v="100"/>
    <n v="27"/>
    <n v="2700"/>
    <s v="DIESEL"/>
    <n v="23.95"/>
  </r>
  <r>
    <s v="SOL-27-015"/>
    <x v="3"/>
    <d v="2026-07-02T00:00:00"/>
    <x v="6"/>
    <x v="0"/>
    <s v="CALDERA"/>
    <n v="100"/>
    <n v="27"/>
    <n v="2700"/>
    <s v="DIESEL"/>
    <n v="23.95"/>
  </r>
  <r>
    <s v="SOL-27-016"/>
    <x v="3"/>
    <d v="2026-07-02T00:00:00"/>
    <x v="6"/>
    <x v="0"/>
    <s v="CARGADOR CASE 821 F"/>
    <n v="100"/>
    <n v="27"/>
    <n v="2700"/>
    <s v="DIESEL"/>
    <n v="23.95"/>
  </r>
  <r>
    <s v="SOL-27-017"/>
    <x v="3"/>
    <d v="2026-07-03T00:00:00"/>
    <x v="6"/>
    <x v="0"/>
    <s v="GENERADOR PLANTA AMMANN"/>
    <n v="300"/>
    <n v="27"/>
    <n v="8100"/>
    <s v="DIESEL"/>
    <n v="23.95"/>
  </r>
  <r>
    <s v="SOL-27-018"/>
    <x v="3"/>
    <d v="2026-07-03T00:00:00"/>
    <x v="6"/>
    <x v="0"/>
    <s v="CALDERA"/>
    <n v="100"/>
    <n v="27"/>
    <n v="2700"/>
    <s v="DIESEL"/>
    <n v="23.95"/>
  </r>
  <r>
    <s v="SOL-27-019"/>
    <x v="3"/>
    <d v="2026-07-03T00:00:00"/>
    <x v="6"/>
    <x v="0"/>
    <s v="CARGADOR CASE 821 F"/>
    <n v="100"/>
    <n v="27"/>
    <n v="2700"/>
    <s v="DIESEL"/>
    <n v="23.95"/>
  </r>
  <r>
    <s v="SOL-27-020"/>
    <x v="3"/>
    <d v="2026-07-04T00:00:00"/>
    <x v="6"/>
    <x v="0"/>
    <s v="GENERADOR PLANTA AMMANN"/>
    <n v="100"/>
    <n v="27"/>
    <n v="2700"/>
    <s v="DIESEL"/>
    <n v="23.95"/>
  </r>
  <r>
    <s v="SOL-27-021"/>
    <x v="3"/>
    <d v="2026-07-04T00:00:00"/>
    <x v="6"/>
    <x v="0"/>
    <s v="CRIBA RAP"/>
    <n v="50"/>
    <n v="27"/>
    <n v="1350"/>
    <s v="DIESEL"/>
    <n v="23.95"/>
  </r>
  <r>
    <s v="SOL-27-022"/>
    <x v="3"/>
    <d v="2026-07-04T00:00:00"/>
    <x v="6"/>
    <x v="0"/>
    <s v="CALDERA"/>
    <n v="100"/>
    <n v="27"/>
    <n v="2700"/>
    <s v="DIESEL"/>
    <n v="23.95"/>
  </r>
  <r>
    <s v="SOL-27-023"/>
    <x v="3"/>
    <d v="2026-07-04T00:00:00"/>
    <x v="6"/>
    <x v="0"/>
    <s v="CARGADOR CASE 821 F"/>
    <n v="100"/>
    <n v="27"/>
    <n v="2700"/>
    <s v="DIESEL"/>
    <n v="23.95"/>
  </r>
  <r>
    <s v="SOL-27-024"/>
    <x v="3"/>
    <d v="2026-07-05T00:00:00"/>
    <x v="6"/>
    <x v="0"/>
    <s v="GENERADOR PLANTA AMMANN"/>
    <n v="100"/>
    <n v="27"/>
    <n v="2700"/>
    <s v="DIESEL"/>
    <n v="23.95"/>
  </r>
  <r>
    <s v="SOL-27-025"/>
    <x v="3"/>
    <d v="2026-07-05T00:00:00"/>
    <x v="6"/>
    <x v="0"/>
    <s v="CALDERA"/>
    <n v="100"/>
    <n v="27"/>
    <n v="2700"/>
    <s v="DIESEL"/>
    <n v="23.95"/>
  </r>
  <r>
    <s v="SOL-27-026"/>
    <x v="3"/>
    <d v="2026-06-29T00:00:00"/>
    <x v="0"/>
    <x v="0"/>
    <s v="PERFILADORA RODATEC RX600E"/>
    <n v="250"/>
    <n v="27"/>
    <n v="6750"/>
    <s v="DIESEL"/>
    <n v="23.95"/>
  </r>
  <r>
    <s v="SOL-27-027"/>
    <x v="3"/>
    <d v="2026-06-30T00:00:00"/>
    <x v="0"/>
    <x v="0"/>
    <s v="PERFILADORA RODATEC RX600E"/>
    <n v="200"/>
    <n v="27"/>
    <n v="5400"/>
    <s v="DIESEL"/>
    <n v="23.95"/>
  </r>
  <r>
    <s v="SOL-27-028"/>
    <x v="3"/>
    <d v="2026-07-01T00:00:00"/>
    <x v="0"/>
    <x v="0"/>
    <s v="PERFILADORA RODATEC RX600E"/>
    <n v="250"/>
    <n v="27"/>
    <n v="6750"/>
    <s v="DIESEL"/>
    <n v="23.95"/>
  </r>
  <r>
    <s v="SOL-27-029"/>
    <x v="3"/>
    <d v="2026-07-02T00:00:00"/>
    <x v="0"/>
    <x v="0"/>
    <s v="PERFILADORA RODATEC RX600E"/>
    <n v="200"/>
    <n v="27"/>
    <n v="5400"/>
    <s v="DIESEL"/>
    <n v="23.95"/>
  </r>
  <r>
    <s v="SOL-27-030"/>
    <x v="3"/>
    <d v="2026-07-03T00:00:00"/>
    <x v="0"/>
    <x v="0"/>
    <s v="PERFILADORA RODATEC RX600E"/>
    <n v="250"/>
    <n v="27"/>
    <n v="6750"/>
    <s v="DIESEL"/>
    <n v="23.95"/>
  </r>
  <r>
    <s v="SOL-27-031"/>
    <x v="3"/>
    <d v="2026-07-04T00:00:00"/>
    <x v="0"/>
    <x v="0"/>
    <s v="PERFILADORA RODATEC RX600E"/>
    <n v="150"/>
    <n v="27"/>
    <n v="4050"/>
    <s v="DIESEL"/>
    <n v="23.95"/>
  </r>
  <r>
    <s v="SOL-27-032"/>
    <x v="3"/>
    <d v="2026-06-29T00:00:00"/>
    <x v="0"/>
    <x v="0"/>
    <s v="PAVIMENTADORA VOGELE 1800-3 I"/>
    <n v="120"/>
    <n v="27"/>
    <n v="3240"/>
    <s v="DIESEL"/>
    <n v="23.95"/>
  </r>
  <r>
    <s v="SOL-27-033"/>
    <x v="3"/>
    <d v="2026-06-30T00:00:00"/>
    <x v="0"/>
    <x v="0"/>
    <s v="PAVIMENTADORA VOGELE 1800-3 I"/>
    <n v="120"/>
    <n v="27"/>
    <n v="3240"/>
    <s v="DIESEL"/>
    <n v="23.95"/>
  </r>
  <r>
    <s v="SOL-27-034"/>
    <x v="3"/>
    <d v="2026-07-01T00:00:00"/>
    <x v="0"/>
    <x v="0"/>
    <s v="PAVIMENTADORA VOGELE 1800-3 I"/>
    <n v="120"/>
    <n v="27"/>
    <n v="3240"/>
    <s v="DIESEL"/>
    <n v="23.95"/>
  </r>
  <r>
    <s v="SOL-27-035"/>
    <x v="3"/>
    <d v="2026-07-02T00:00:00"/>
    <x v="0"/>
    <x v="0"/>
    <s v="PAVIMENTADORA VOGELE 1800-3 I"/>
    <n v="120"/>
    <n v="27"/>
    <n v="3240"/>
    <s v="DIESEL"/>
    <n v="23.95"/>
  </r>
  <r>
    <s v="SOL-27-036"/>
    <x v="3"/>
    <d v="2026-07-03T00:00:00"/>
    <x v="0"/>
    <x v="0"/>
    <s v="PAVIMENTADORA VOGELE 1800-3 I"/>
    <n v="100"/>
    <n v="27"/>
    <n v="2700"/>
    <s v="DIESEL"/>
    <n v="23.95"/>
  </r>
  <r>
    <s v="SOL-27-037"/>
    <x v="3"/>
    <d v="2026-07-04T00:00:00"/>
    <x v="0"/>
    <x v="0"/>
    <s v="PAVIMENTADORA VOGELE 1800-3 I"/>
    <n v="80"/>
    <n v="27"/>
    <n v="2160"/>
    <s v="DIESEL"/>
    <n v="23.95"/>
  </r>
  <r>
    <s v="SOL-27-038"/>
    <x v="3"/>
    <d v="2026-06-29T00:00:00"/>
    <x v="0"/>
    <x v="0"/>
    <s v="DOBLE RODILLO/VIBROCOMPACTADOR DE RODILLOS HAMM 120HD VV"/>
    <n v="50"/>
    <n v="27"/>
    <n v="1350"/>
    <s v="DIESEL"/>
    <n v="23.95"/>
  </r>
  <r>
    <s v="SOL-27-039"/>
    <x v="3"/>
    <d v="2026-06-30T00:00:00"/>
    <x v="0"/>
    <x v="0"/>
    <s v="DOBLE RODILLO/VIBROCOMPACTADOR DE RODILLOS HAMM 120HD VV"/>
    <n v="40"/>
    <n v="27"/>
    <n v="1080"/>
    <s v="DIESEL"/>
    <n v="23.95"/>
  </r>
  <r>
    <s v="SOL-27-040"/>
    <x v="3"/>
    <d v="2026-07-01T00:00:00"/>
    <x v="0"/>
    <x v="0"/>
    <s v="DOBLE RODILLO/VIBROCOMPACTADOR DE RODILLOS HAMM 120HD VV"/>
    <n v="40"/>
    <n v="27"/>
    <n v="1080"/>
    <s v="DIESEL"/>
    <n v="23.95"/>
  </r>
  <r>
    <s v="SOL-27-041"/>
    <x v="3"/>
    <d v="2026-07-02T00:00:00"/>
    <x v="0"/>
    <x v="0"/>
    <s v="DOBLE RODILLO/VIBROCOMPACTADOR DE RODILLOS HAMM 120HD VV"/>
    <n v="40"/>
    <n v="27"/>
    <n v="1080"/>
    <s v="DIESEL"/>
    <n v="23.95"/>
  </r>
  <r>
    <s v="SOL-27-042"/>
    <x v="3"/>
    <d v="2026-07-03T00:00:00"/>
    <x v="0"/>
    <x v="0"/>
    <s v="DOBLE RODILLO/VIBROCOMPACTADOR DE RODILLOS HAMM 120HD VV"/>
    <n v="30"/>
    <n v="27"/>
    <n v="810"/>
    <s v="DIESEL"/>
    <n v="23.95"/>
  </r>
  <r>
    <s v="SOL-27-043"/>
    <x v="3"/>
    <d v="2026-07-04T00:00:00"/>
    <x v="0"/>
    <x v="0"/>
    <s v="DOBLE RODILLO/VIBROCOMPACTADOR DE RODILLOS HAMM 120HD VV"/>
    <n v="30"/>
    <n v="27"/>
    <n v="810"/>
    <s v="DIESEL"/>
    <n v="23.95"/>
  </r>
  <r>
    <s v="SOL-27-044"/>
    <x v="3"/>
    <d v="2026-06-29T00:00:00"/>
    <x v="0"/>
    <x v="0"/>
    <s v="DOBLE RODILLO/VIBROCOMPACTADOR DE RODILLOS HAMM 120HD VV"/>
    <n v="50"/>
    <n v="27"/>
    <n v="1350"/>
    <s v="DIESEL"/>
    <n v="23.95"/>
  </r>
  <r>
    <s v="SOL-27-045"/>
    <x v="3"/>
    <d v="2026-06-30T00:00:00"/>
    <x v="0"/>
    <x v="0"/>
    <s v="DOBLE RODILLO/VIBROCOMPACTADOR DE RODILLOS HAMM 120HD VV"/>
    <n v="40"/>
    <n v="27"/>
    <n v="1080"/>
    <s v="DIESEL"/>
    <n v="23.95"/>
  </r>
  <r>
    <s v="SOL-27-046"/>
    <x v="3"/>
    <d v="2026-07-01T00:00:00"/>
    <x v="0"/>
    <x v="0"/>
    <s v="DOBLE RODILLO/VIBROCOMPACTADOR DE RODILLOS HAMM 120HD VV"/>
    <n v="40"/>
    <n v="27"/>
    <n v="1080"/>
    <s v="DIESEL"/>
    <n v="23.95"/>
  </r>
  <r>
    <s v="SOL-27-047"/>
    <x v="3"/>
    <d v="2026-07-02T00:00:00"/>
    <x v="0"/>
    <x v="0"/>
    <s v="DOBLE RODILLO/VIBROCOMPACTADOR DE RODILLOS HAMM 120HD VV"/>
    <n v="40"/>
    <n v="27"/>
    <n v="1080"/>
    <s v="DIESEL"/>
    <n v="23.95"/>
  </r>
  <r>
    <s v="SOL-27-048"/>
    <x v="3"/>
    <d v="2026-07-03T00:00:00"/>
    <x v="0"/>
    <x v="0"/>
    <s v="DOBLE RODILLO/VIBROCOMPACTADOR DE RODILLOS HAMM 120HD VV"/>
    <n v="30"/>
    <n v="27"/>
    <n v="810"/>
    <s v="DIESEL"/>
    <n v="23.95"/>
  </r>
  <r>
    <s v="SOL-27-049"/>
    <x v="3"/>
    <d v="2026-07-04T00:00:00"/>
    <x v="0"/>
    <x v="0"/>
    <s v="DOBLE RODILLO/VIBROCOMPACTADOR DE RODILLOS HAMM 120HD VV"/>
    <n v="30"/>
    <n v="27"/>
    <n v="810"/>
    <s v="DIESEL"/>
    <n v="23.95"/>
  </r>
  <r>
    <s v="SOL-27-050"/>
    <x v="3"/>
    <d v="2026-06-29T00:00:00"/>
    <x v="0"/>
    <x v="0"/>
    <s v="NEUMATICO / COMPACTADOR DE NEUMATICOS DINAPAC CP271"/>
    <n v="50"/>
    <n v="27"/>
    <n v="1350"/>
    <s v="DIESEL"/>
    <n v="23.95"/>
  </r>
  <r>
    <s v="SOL-27-051"/>
    <x v="3"/>
    <d v="2026-06-30T00:00:00"/>
    <x v="0"/>
    <x v="0"/>
    <s v="NEUMATICO / COMPACTADOR DE NEUMATICOS DINAPAC CP271"/>
    <n v="40"/>
    <n v="27"/>
    <n v="1080"/>
    <s v="DIESEL"/>
    <n v="23.95"/>
  </r>
  <r>
    <s v="SOL-27-052"/>
    <x v="3"/>
    <d v="2026-07-01T00:00:00"/>
    <x v="0"/>
    <x v="0"/>
    <s v="NEUMATICO / COMPACTADOR DE NEUMATICOS DINAPAC CP271"/>
    <n v="40"/>
    <n v="27"/>
    <n v="1080"/>
    <s v="DIESEL"/>
    <n v="23.95"/>
  </r>
  <r>
    <s v="SOL-27-053"/>
    <x v="3"/>
    <d v="2026-07-02T00:00:00"/>
    <x v="0"/>
    <x v="0"/>
    <s v="NEUMATICO / COMPACTADOR DE NEUMATICOS DINAPAC CP271"/>
    <n v="30"/>
    <n v="27"/>
    <n v="810"/>
    <s v="DIESEL"/>
    <n v="23.95"/>
  </r>
  <r>
    <s v="SOL-27-054"/>
    <x v="3"/>
    <d v="2026-07-03T00:00:00"/>
    <x v="0"/>
    <x v="0"/>
    <s v="NEUMATICO / COMPACTADOR DE NEUMATICOS DINAPAC CP271"/>
    <n v="30"/>
    <n v="27"/>
    <n v="810"/>
    <s v="DIESEL"/>
    <n v="23.95"/>
  </r>
  <r>
    <s v="SOL-27-055"/>
    <x v="3"/>
    <d v="2026-07-04T00:00:00"/>
    <x v="0"/>
    <x v="0"/>
    <s v="NEUMATICO / COMPACTADOR DE NEUMATICOS DINAPAC CP271"/>
    <n v="30"/>
    <n v="27"/>
    <n v="810"/>
    <s v="DIESEL"/>
    <n v="23.95"/>
  </r>
  <r>
    <s v="SOL-27-056"/>
    <x v="3"/>
    <d v="2026-06-29T00:00:00"/>
    <x v="0"/>
    <x v="0"/>
    <s v="NEUMATICO VOLVO PT-240R"/>
    <n v="50"/>
    <n v="27"/>
    <n v="1350"/>
    <s v="DIESEL"/>
    <n v="23.95"/>
  </r>
  <r>
    <s v="SOL-27-057"/>
    <x v="3"/>
    <d v="2026-06-30T00:00:00"/>
    <x v="0"/>
    <x v="0"/>
    <s v="NEUMATICO VOLVO PT-240R"/>
    <n v="40"/>
    <n v="27"/>
    <n v="1080"/>
    <s v="DIESEL"/>
    <n v="23.95"/>
  </r>
  <r>
    <s v="SOL-27-058"/>
    <x v="3"/>
    <d v="2026-07-01T00:00:00"/>
    <x v="0"/>
    <x v="0"/>
    <s v="NEUMATICO VOLVO PT-240R"/>
    <n v="40"/>
    <n v="27"/>
    <n v="1080"/>
    <s v="DIESEL"/>
    <n v="23.95"/>
  </r>
  <r>
    <s v="SOL-27-059"/>
    <x v="3"/>
    <d v="2026-07-02T00:00:00"/>
    <x v="0"/>
    <x v="0"/>
    <s v="NEUMATICO VOLVO PT-240R"/>
    <n v="30"/>
    <n v="27"/>
    <n v="810"/>
    <s v="DIESEL"/>
    <n v="23.95"/>
  </r>
  <r>
    <s v="SOL-27-060"/>
    <x v="3"/>
    <d v="2026-07-03T00:00:00"/>
    <x v="0"/>
    <x v="0"/>
    <s v="NEUMATICO VOLVO PT-240R"/>
    <n v="30"/>
    <n v="27"/>
    <n v="810"/>
    <s v="DIESEL"/>
    <n v="23.95"/>
  </r>
  <r>
    <s v="SOL-27-061"/>
    <x v="3"/>
    <d v="2026-07-04T00:00:00"/>
    <x v="0"/>
    <x v="0"/>
    <s v="NEUMATICO VOLVO PT-240R"/>
    <n v="30"/>
    <n v="27"/>
    <n v="810"/>
    <s v="DIESEL"/>
    <n v="23.95"/>
  </r>
  <r>
    <s v="SOL-27-062"/>
    <x v="3"/>
    <d v="2026-06-29T00:00:00"/>
    <x v="0"/>
    <x v="0"/>
    <s v="BARREDORA BROCE RJ350"/>
    <n v="30"/>
    <n v="27"/>
    <n v="810"/>
    <s v="DIESEL"/>
    <n v="23.95"/>
  </r>
  <r>
    <s v="SOL-27-063"/>
    <x v="3"/>
    <d v="2026-06-30T00:00:00"/>
    <x v="0"/>
    <x v="0"/>
    <s v="BARREDORA BROCE RJ350"/>
    <n v="30"/>
    <n v="27"/>
    <n v="810"/>
    <s v="DIESEL"/>
    <n v="23.95"/>
  </r>
  <r>
    <s v="SOL-27-064"/>
    <x v="3"/>
    <d v="2026-07-01T00:00:00"/>
    <x v="0"/>
    <x v="0"/>
    <s v="BARREDORA BROCE RJ350"/>
    <n v="30"/>
    <n v="27"/>
    <n v="810"/>
    <s v="DIESEL"/>
    <n v="23.95"/>
  </r>
  <r>
    <s v="SOL-27-065"/>
    <x v="3"/>
    <d v="2026-07-02T00:00:00"/>
    <x v="0"/>
    <x v="0"/>
    <s v="BARREDORA BROCE RJ350"/>
    <n v="20"/>
    <n v="27"/>
    <n v="540"/>
    <s v="DIESEL"/>
    <n v="23.95"/>
  </r>
  <r>
    <s v="SOL-27-066"/>
    <x v="3"/>
    <d v="2026-07-03T00:00:00"/>
    <x v="0"/>
    <x v="0"/>
    <s v="BARREDORA BROCE RJ350"/>
    <n v="20"/>
    <n v="27"/>
    <n v="540"/>
    <s v="DIESEL"/>
    <n v="23.95"/>
  </r>
  <r>
    <s v="SOL-27-067"/>
    <x v="3"/>
    <d v="2026-07-04T00:00:00"/>
    <x v="0"/>
    <x v="0"/>
    <s v="BARREDORA BROCE RJ350"/>
    <n v="20"/>
    <n v="27"/>
    <n v="540"/>
    <s v="DIESEL"/>
    <n v="23.95"/>
  </r>
  <r>
    <s v="SOL-27-068"/>
    <x v="3"/>
    <d v="2026-06-29T00:00:00"/>
    <x v="0"/>
    <x v="0"/>
    <s v="RETROEXCAVADORA JHONDEREE 310 K"/>
    <n v="60"/>
    <n v="27"/>
    <n v="1620"/>
    <s v="DIESEL"/>
    <n v="23.95"/>
  </r>
  <r>
    <s v="SOL-27-069"/>
    <x v="3"/>
    <d v="2026-06-30T00:00:00"/>
    <x v="0"/>
    <x v="0"/>
    <s v="RETROEXCAVADORA JHONDEREE 310 K"/>
    <n v="50"/>
    <n v="27"/>
    <n v="1350"/>
    <s v="DIESEL"/>
    <n v="23.95"/>
  </r>
  <r>
    <s v="SOL-27-070"/>
    <x v="3"/>
    <d v="2026-07-01T00:00:00"/>
    <x v="0"/>
    <x v="0"/>
    <s v="RETROEXCAVADORA JHONDEREE 310 K"/>
    <n v="50"/>
    <n v="27"/>
    <n v="1350"/>
    <s v="DIESEL"/>
    <n v="23.95"/>
  </r>
  <r>
    <s v="SOL-27-071"/>
    <x v="3"/>
    <d v="2026-07-02T00:00:00"/>
    <x v="0"/>
    <x v="0"/>
    <s v="RETROEXCAVADORA JHONDEREE 310 K"/>
    <n v="50"/>
    <n v="27"/>
    <n v="1350"/>
    <s v="DIESEL"/>
    <n v="23.95"/>
  </r>
  <r>
    <s v="SOL-27-072"/>
    <x v="3"/>
    <d v="2026-07-03T00:00:00"/>
    <x v="0"/>
    <x v="0"/>
    <s v="RETROEXCAVADORA JHONDEREE 310 K"/>
    <n v="50"/>
    <n v="27"/>
    <n v="1350"/>
    <s v="DIESEL"/>
    <n v="23.95"/>
  </r>
  <r>
    <s v="SOL-27-073"/>
    <x v="3"/>
    <d v="2026-07-04T00:00:00"/>
    <x v="0"/>
    <x v="0"/>
    <s v="RETROEXCAVADORA JHONDEREE 310 K"/>
    <n v="40"/>
    <n v="27"/>
    <n v="1080"/>
    <s v="DIESEL"/>
    <n v="23.95"/>
  </r>
  <r>
    <s v="SOL-27-074"/>
    <x v="3"/>
    <d v="2026-06-29T00:00:00"/>
    <x v="0"/>
    <x v="0"/>
    <s v="PETROLIZADORA INTERNATIONAL"/>
    <n v="50"/>
    <n v="27"/>
    <n v="1350"/>
    <s v="DIESEL"/>
    <n v="23.95"/>
  </r>
  <r>
    <s v="SOL-27-075"/>
    <x v="3"/>
    <d v="2026-06-30T00:00:00"/>
    <x v="0"/>
    <x v="0"/>
    <s v="PETROLIZADORA INTERNATIONAL"/>
    <n v="50"/>
    <n v="27"/>
    <n v="1350"/>
    <s v="DIESEL"/>
    <n v="23.95"/>
  </r>
  <r>
    <s v="SOL-27-076"/>
    <x v="3"/>
    <d v="2026-07-01T00:00:00"/>
    <x v="0"/>
    <x v="0"/>
    <s v="PETROLIZADORA INTERNATIONAL"/>
    <n v="50"/>
    <n v="27"/>
    <n v="1350"/>
    <s v="DIESEL"/>
    <n v="23.95"/>
  </r>
  <r>
    <s v="SOL-27-077"/>
    <x v="3"/>
    <d v="2026-07-02T00:00:00"/>
    <x v="0"/>
    <x v="0"/>
    <s v="PETROLIZADORA INTERNATIONAL"/>
    <n v="50"/>
    <n v="27"/>
    <n v="1350"/>
    <s v="DIESEL"/>
    <n v="23.95"/>
  </r>
  <r>
    <s v="SOL-27-078"/>
    <x v="3"/>
    <d v="2026-07-03T00:00:00"/>
    <x v="0"/>
    <x v="0"/>
    <s v="PETROLIZADORA INTERNATIONAL"/>
    <n v="50"/>
    <n v="27"/>
    <n v="1350"/>
    <s v="DIESEL"/>
    <n v="23.95"/>
  </r>
  <r>
    <s v="SOL-27-079"/>
    <x v="3"/>
    <d v="2026-06-29T00:00:00"/>
    <x v="2"/>
    <x v="0"/>
    <s v="RETROEXCAVADORA CASE 580 N"/>
    <n v="100"/>
    <n v="27"/>
    <n v="2700"/>
    <s v="DIESEL"/>
    <n v="23.95"/>
  </r>
  <r>
    <s v="SOL-27-080"/>
    <x v="3"/>
    <d v="2026-06-30T00:00:00"/>
    <x v="2"/>
    <x v="0"/>
    <s v="RETROEXCAVADORA CASE 580 N"/>
    <n v="30"/>
    <n v="27"/>
    <n v="810"/>
    <s v="DIESEL"/>
    <n v="23.95"/>
  </r>
  <r>
    <s v="SOL-27-081"/>
    <x v="3"/>
    <d v="2026-07-01T00:00:00"/>
    <x v="2"/>
    <x v="0"/>
    <s v="RETROEXCAVADORA CASE 580 N"/>
    <n v="30"/>
    <n v="27"/>
    <n v="810"/>
    <s v="DIESEL"/>
    <n v="23.95"/>
  </r>
  <r>
    <s v="SOL-27-082"/>
    <x v="3"/>
    <d v="2026-07-02T00:00:00"/>
    <x v="2"/>
    <x v="0"/>
    <s v="RETROEXCAVADORA CASE 580 N"/>
    <n v="60"/>
    <n v="27"/>
    <n v="1620"/>
    <s v="DIESEL"/>
    <n v="23.95"/>
  </r>
  <r>
    <s v="SOL-27-083"/>
    <x v="3"/>
    <d v="2026-07-03T00:00:00"/>
    <x v="2"/>
    <x v="0"/>
    <s v="RETROEXCAVADORA CASE 580 N"/>
    <n v="50"/>
    <n v="27"/>
    <n v="1350"/>
    <s v="DIESEL"/>
    <n v="23.95"/>
  </r>
  <r>
    <s v="SOL-27-084"/>
    <x v="3"/>
    <d v="2026-06-30T00:00:00"/>
    <x v="2"/>
    <x v="0"/>
    <s v="RETROEXCAVADORA CASE 580 N"/>
    <n v="50"/>
    <n v="27"/>
    <n v="1350"/>
    <s v="DIESEL"/>
    <n v="23.95"/>
  </r>
  <r>
    <s v="SOL-27-085"/>
    <x v="3"/>
    <d v="2026-07-01T00:00:00"/>
    <x v="2"/>
    <x v="0"/>
    <s v="RETROEXCAVADORA CASE 580 N"/>
    <n v="50"/>
    <n v="27"/>
    <n v="1350"/>
    <s v="DIESEL"/>
    <n v="23.95"/>
  </r>
  <r>
    <s v="SOL-27-086"/>
    <x v="3"/>
    <d v="2026-07-02T00:00:00"/>
    <x v="2"/>
    <x v="0"/>
    <s v="RETROEXCAVADORA CASE 580 N"/>
    <n v="60"/>
    <n v="27"/>
    <n v="1620"/>
    <s v="DIESEL"/>
    <n v="23.95"/>
  </r>
  <r>
    <s v="SOL-27-087"/>
    <x v="3"/>
    <d v="2026-07-03T00:00:00"/>
    <x v="2"/>
    <x v="0"/>
    <s v="RETROEXCAVADORA CASE 580 N"/>
    <n v="50"/>
    <n v="27"/>
    <n v="1350"/>
    <s v="DIESEL"/>
    <n v="23.95"/>
  </r>
  <r>
    <s v="SOL-27-088"/>
    <x v="3"/>
    <d v="2026-07-04T00:00:00"/>
    <x v="2"/>
    <x v="0"/>
    <s v="RETROEXCAVADORA CASE 580 N"/>
    <n v="100"/>
    <n v="27"/>
    <n v="2700"/>
    <s v="DIESEL"/>
    <n v="23.95"/>
  </r>
  <r>
    <s v="SOL-27-089"/>
    <x v="3"/>
    <d v="2026-06-30T00:00:00"/>
    <x v="2"/>
    <x v="0"/>
    <s v="HOMBRE A BORDO"/>
    <n v="10"/>
    <n v="27"/>
    <n v="270"/>
    <s v="DIESEL"/>
    <n v="23.95"/>
  </r>
  <r>
    <s v="SOL-27-090"/>
    <x v="3"/>
    <d v="2026-07-01T00:00:00"/>
    <x v="2"/>
    <x v="0"/>
    <s v="HOMBRE A BORDO"/>
    <n v="10"/>
    <n v="27"/>
    <n v="270"/>
    <s v="DIESEL"/>
    <n v="23.95"/>
  </r>
  <r>
    <s v="SOL-27-091"/>
    <x v="3"/>
    <d v="2026-07-02T00:00:00"/>
    <x v="2"/>
    <x v="0"/>
    <s v="HOMBRE A BORDO"/>
    <n v="5"/>
    <n v="27"/>
    <n v="135"/>
    <s v="DIESEL"/>
    <n v="23.95"/>
  </r>
  <r>
    <s v="SOL-27-092"/>
    <x v="3"/>
    <d v="2026-07-03T00:00:00"/>
    <x v="2"/>
    <x v="0"/>
    <s v="HOMBRE A BORDO"/>
    <n v="10"/>
    <n v="27"/>
    <n v="270"/>
    <s v="DIESEL"/>
    <n v="23.95"/>
  </r>
  <r>
    <s v="SOL-27-093"/>
    <x v="3"/>
    <d v="2026-06-29T00:00:00"/>
    <x v="2"/>
    <x v="0"/>
    <s v="BIDONES"/>
    <n v="5"/>
    <n v="27"/>
    <n v="135"/>
    <s v="DIESEL"/>
    <n v="23.95"/>
  </r>
  <r>
    <s v="SOL-27-094"/>
    <x v="3"/>
    <d v="2026-06-30T00:00:00"/>
    <x v="2"/>
    <x v="0"/>
    <s v="BIDONES"/>
    <n v="5"/>
    <n v="27"/>
    <n v="135"/>
    <s v="DIESEL"/>
    <n v="23.95"/>
  </r>
  <r>
    <s v="SOL-27-095"/>
    <x v="3"/>
    <d v="2026-07-01T00:00:00"/>
    <x v="2"/>
    <x v="0"/>
    <s v="BIDONES"/>
    <n v="5"/>
    <n v="27"/>
    <n v="135"/>
    <s v="DIESEL"/>
    <n v="23.95"/>
  </r>
  <r>
    <s v="SOL-27-096"/>
    <x v="3"/>
    <d v="2026-07-02T00:00:00"/>
    <x v="2"/>
    <x v="0"/>
    <s v="BIDONES"/>
    <n v="5"/>
    <n v="27"/>
    <n v="135"/>
    <s v="DIESEL"/>
    <n v="23.95"/>
  </r>
  <r>
    <s v="SOL-27-097"/>
    <x v="3"/>
    <d v="2026-07-03T00:00:00"/>
    <x v="2"/>
    <x v="0"/>
    <s v="BIDONES"/>
    <n v="5"/>
    <n v="27"/>
    <n v="135"/>
    <s v="DIESEL"/>
    <n v="23.95"/>
  </r>
  <r>
    <s v="SOL-27-098"/>
    <x v="3"/>
    <d v="2026-06-30T00:00:00"/>
    <x v="2"/>
    <x v="0"/>
    <s v="MOTOCONFORMADORA CAT 120H"/>
    <n v="100"/>
    <n v="27"/>
    <n v="2700"/>
    <s v="DIESEL"/>
    <n v="23.95"/>
  </r>
  <r>
    <s v="SOL-27-099"/>
    <x v="3"/>
    <d v="2026-07-01T00:00:00"/>
    <x v="2"/>
    <x v="0"/>
    <s v="MOTOCONFORMADORA CAT 120H"/>
    <n v="70"/>
    <n v="27"/>
    <n v="1890"/>
    <s v="DIESEL"/>
    <n v="23.95"/>
  </r>
  <r>
    <s v="SOL-27-100"/>
    <x v="3"/>
    <d v="2026-07-02T00:00:00"/>
    <x v="2"/>
    <x v="0"/>
    <s v="MOTOCONFORMADORA CAT 120H"/>
    <n v="100"/>
    <n v="27"/>
    <n v="2700"/>
    <s v="DIESEL"/>
    <n v="23.95"/>
  </r>
  <r>
    <s v="SOL-27-101"/>
    <x v="3"/>
    <d v="2026-07-03T00:00:00"/>
    <x v="2"/>
    <x v="0"/>
    <s v="MOTOCONFORMADORA CAT 120H"/>
    <n v="100"/>
    <n v="27"/>
    <n v="2700"/>
    <s v="DIESEL"/>
    <n v="23.95"/>
  </r>
  <r>
    <s v="SOL-27-102"/>
    <x v="3"/>
    <d v="2026-07-04T00:00:00"/>
    <x v="2"/>
    <x v="0"/>
    <s v="MOTOCONFORMADORA CAT 120H"/>
    <n v="100"/>
    <n v="27"/>
    <n v="2700"/>
    <s v="DIESEL"/>
    <n v="23.95"/>
  </r>
  <r>
    <s v="SOL-27-103"/>
    <x v="3"/>
    <d v="2026-07-01T00:00:00"/>
    <x v="2"/>
    <x v="0"/>
    <s v="VIBROCOMPACTADOR CATERPILLAR CB66B"/>
    <n v="70"/>
    <n v="27"/>
    <n v="1890"/>
    <s v="DIESEL"/>
    <n v="23.95"/>
  </r>
  <r>
    <s v="SOL-27-104"/>
    <x v="3"/>
    <d v="2026-07-03T00:00:00"/>
    <x v="2"/>
    <x v="0"/>
    <s v="VIBROCOMPACTADOR CATERPILLAR CB66B"/>
    <n v="70"/>
    <n v="27"/>
    <n v="1890"/>
    <s v="DIESEL"/>
    <n v="23.95"/>
  </r>
  <r>
    <s v="CO-24-001"/>
    <x v="0"/>
    <d v="2026-06-08T00:00:00"/>
    <x v="0"/>
    <x v="1"/>
    <s v="Neuomatico"/>
    <n v="30"/>
    <n v="27"/>
    <n v="810"/>
    <s v="DIESEL"/>
    <m/>
  </r>
  <r>
    <s v="CO-24-002"/>
    <x v="0"/>
    <d v="2026-06-08T00:00:00"/>
    <x v="0"/>
    <x v="1"/>
    <s v="Compactador"/>
    <n v="32"/>
    <n v="27"/>
    <n v="864"/>
    <s v="DIESEL"/>
    <m/>
  </r>
  <r>
    <s v="CO-24-003"/>
    <x v="0"/>
    <d v="2026-06-08T00:00:00"/>
    <x v="0"/>
    <x v="1"/>
    <s v="Perfiladora"/>
    <n v="277"/>
    <n v="27"/>
    <n v="7479"/>
    <s v="DIESEL"/>
    <m/>
  </r>
  <r>
    <s v="CO-24-004"/>
    <x v="0"/>
    <d v="2026-06-08T00:00:00"/>
    <x v="0"/>
    <x v="1"/>
    <s v="Retroexcavadora"/>
    <n v="30"/>
    <n v="27"/>
    <n v="810"/>
    <s v="DIESEL"/>
    <m/>
  </r>
  <r>
    <s v="CO-24-005"/>
    <x v="0"/>
    <d v="2026-06-08T00:00:00"/>
    <x v="1"/>
    <x v="1"/>
    <s v="Vogel"/>
    <n v="97"/>
    <n v="27"/>
    <n v="2619"/>
    <s v="DIESEL"/>
    <m/>
  </r>
  <r>
    <s v="CO-24-006"/>
    <x v="0"/>
    <d v="2026-06-08T00:00:00"/>
    <x v="3"/>
    <x v="1"/>
    <s v="Perfiladora Wirgent"/>
    <n v="198"/>
    <n v="27"/>
    <n v="5346"/>
    <s v="DIESEL"/>
    <m/>
  </r>
  <r>
    <s v="CO-24-007"/>
    <x v="0"/>
    <d v="2026-06-08T00:00:00"/>
    <x v="3"/>
    <x v="1"/>
    <s v="Maxilihgs"/>
    <n v="10"/>
    <n v="27"/>
    <n v="270"/>
    <s v="DIESEL"/>
    <m/>
  </r>
  <r>
    <s v="CO-24-008"/>
    <x v="0"/>
    <d v="2026-06-08T00:00:00"/>
    <x v="3"/>
    <x v="1"/>
    <s v="Neuomatico Dynapac"/>
    <n v="27"/>
    <n v="27"/>
    <n v="729"/>
    <s v="DIESEL"/>
    <m/>
  </r>
  <r>
    <s v="CO-24-009"/>
    <x v="0"/>
    <d v="2026-06-08T00:00:00"/>
    <x v="3"/>
    <x v="1"/>
    <s v="Compresor"/>
    <n v="30"/>
    <n v="27"/>
    <n v="810"/>
    <s v="DIESEL"/>
    <m/>
  </r>
  <r>
    <s v="CO-24-010"/>
    <x v="0"/>
    <d v="2026-06-08T00:00:00"/>
    <x v="3"/>
    <x v="1"/>
    <s v="Retroexcavadora Jonh Deere"/>
    <n v="40"/>
    <n v="27"/>
    <n v="1080"/>
    <s v="DIESEL"/>
    <m/>
  </r>
  <r>
    <s v="CO-24-011"/>
    <x v="0"/>
    <d v="2026-06-08T00:00:00"/>
    <x v="3"/>
    <x v="1"/>
    <s v="Vogele Guion"/>
    <n v="120"/>
    <n v="27"/>
    <n v="3240"/>
    <s v="DIESEL"/>
    <m/>
  </r>
  <r>
    <s v="CO-24-012"/>
    <x v="0"/>
    <d v="2026-06-08T00:00:00"/>
    <x v="3"/>
    <x v="1"/>
    <s v="Petrolizadora Elton"/>
    <n v="30"/>
    <n v="27"/>
    <n v="810"/>
    <s v="DIESEL"/>
    <m/>
  </r>
  <r>
    <s v="CO-24-013"/>
    <x v="0"/>
    <d v="2026-06-08T00:00:00"/>
    <x v="2"/>
    <x v="1"/>
    <s v="Bidones"/>
    <n v="100"/>
    <n v="27"/>
    <n v="2700"/>
    <s v="DIESEL"/>
    <m/>
  </r>
  <r>
    <s v="CO-24-014"/>
    <x v="0"/>
    <d v="2026-06-08T00:00:00"/>
    <x v="7"/>
    <x v="1"/>
    <s v="Bidones"/>
    <n v="200"/>
    <n v="27"/>
    <n v="5400"/>
    <s v="DIESEL"/>
    <m/>
  </r>
  <r>
    <s v="CO-24-015"/>
    <x v="0"/>
    <d v="2026-06-08T00:00:00"/>
    <x v="7"/>
    <x v="1"/>
    <s v="Bidones"/>
    <n v="209"/>
    <n v="27"/>
    <n v="5643"/>
    <s v="DIESEL"/>
    <m/>
  </r>
  <r>
    <s v="CO-24-016"/>
    <x v="0"/>
    <d v="2026-06-09T00:00:00"/>
    <x v="3"/>
    <x v="1"/>
    <s v="Barredora Broce"/>
    <n v="30"/>
    <n v="27"/>
    <n v="810"/>
    <s v="DIESEL"/>
    <m/>
  </r>
  <r>
    <s v="CO-24-017"/>
    <x v="0"/>
    <d v="2026-06-09T00:00:00"/>
    <x v="3"/>
    <x v="1"/>
    <s v="Buggy Trasnfer"/>
    <n v="100"/>
    <n v="27"/>
    <n v="2700"/>
    <s v="DIESEL"/>
    <m/>
  </r>
  <r>
    <s v="CO-24-018"/>
    <x v="0"/>
    <d v="2026-06-09T00:00:00"/>
    <x v="3"/>
    <x v="1"/>
    <s v="Tandem Hamm"/>
    <n v="30"/>
    <n v="27"/>
    <n v="810"/>
    <s v="DIESEL"/>
    <m/>
  </r>
  <r>
    <s v="CO-24-019"/>
    <x v="0"/>
    <d v="2026-06-09T00:00:00"/>
    <x v="3"/>
    <x v="1"/>
    <s v="Perfiladora Wirgent"/>
    <n v="150"/>
    <n v="27"/>
    <n v="4050"/>
    <s v="DIESEL"/>
    <m/>
  </r>
  <r>
    <s v="CO-24-020"/>
    <x v="0"/>
    <d v="2026-06-09T00:00:00"/>
    <x v="3"/>
    <x v="1"/>
    <s v="Petrolizadora Elton"/>
    <n v="50"/>
    <n v="27"/>
    <n v="1350"/>
    <s v="DIESEL"/>
    <m/>
  </r>
  <r>
    <s v="CO-24-021"/>
    <x v="0"/>
    <d v="2026-06-09T00:00:00"/>
    <x v="3"/>
    <x v="1"/>
    <s v="Vogele Guion"/>
    <n v="136"/>
    <n v="27"/>
    <n v="3672"/>
    <s v="DIESEL"/>
    <m/>
  </r>
  <r>
    <s v="CO-24-022"/>
    <x v="0"/>
    <d v="2026-06-09T00:00:00"/>
    <x v="3"/>
    <x v="1"/>
    <s v="Tandem Hamm"/>
    <n v="30"/>
    <n v="27"/>
    <n v="810"/>
    <s v="DIESEL"/>
    <m/>
  </r>
  <r>
    <s v="CO-24-023"/>
    <x v="0"/>
    <d v="2026-06-09T00:00:00"/>
    <x v="3"/>
    <x v="1"/>
    <s v="Neuomatico"/>
    <n v="30"/>
    <n v="27"/>
    <n v="810"/>
    <s v="DIESEL"/>
    <m/>
  </r>
  <r>
    <s v="CO-24-024"/>
    <x v="0"/>
    <d v="2026-06-09T00:00:00"/>
    <x v="3"/>
    <x v="1"/>
    <s v="Buggy Trasnfer"/>
    <n v="100"/>
    <n v="27"/>
    <n v="2700"/>
    <s v="DIESEL"/>
    <m/>
  </r>
  <r>
    <s v="CO-24-025"/>
    <x v="0"/>
    <d v="2026-06-09T00:00:00"/>
    <x v="3"/>
    <x v="1"/>
    <s v="Retroexcavadora Jonh Deere"/>
    <n v="60"/>
    <n v="27"/>
    <n v="1620"/>
    <s v="DIESEL"/>
    <m/>
  </r>
  <r>
    <s v="CO-24-026"/>
    <x v="0"/>
    <d v="2026-06-09T00:00:00"/>
    <x v="3"/>
    <x v="1"/>
    <s v="Compresor"/>
    <n v="20"/>
    <n v="27"/>
    <n v="540"/>
    <s v="DIESEL"/>
    <m/>
  </r>
  <r>
    <s v="CO-24-027"/>
    <x v="0"/>
    <d v="2026-06-09T00:00:00"/>
    <x v="1"/>
    <x v="1"/>
    <s v="Retroexcavadora"/>
    <n v="70"/>
    <n v="27"/>
    <n v="1890"/>
    <s v="DIESEL"/>
    <m/>
  </r>
  <r>
    <s v="CO-24-028"/>
    <x v="0"/>
    <d v="2026-06-09T00:00:00"/>
    <x v="1"/>
    <x v="1"/>
    <s v="Doble Rodillo"/>
    <n v="50"/>
    <n v="27"/>
    <n v="1350"/>
    <s v="DIESEL"/>
    <m/>
  </r>
  <r>
    <s v="CO-24-029"/>
    <x v="0"/>
    <d v="2026-06-09T00:00:00"/>
    <x v="1"/>
    <x v="1"/>
    <s v="Petrolizadora"/>
    <n v="60"/>
    <n v="27"/>
    <n v="1620"/>
    <s v="DIESEL"/>
    <m/>
  </r>
  <r>
    <s v="CO-24-030"/>
    <x v="0"/>
    <d v="2026-06-10T00:00:00"/>
    <x v="0"/>
    <x v="1"/>
    <s v="Barredora"/>
    <n v="20"/>
    <n v="27"/>
    <n v="540"/>
    <s v="DIESEL"/>
    <m/>
  </r>
  <r>
    <s v="CO-24-031"/>
    <x v="0"/>
    <d v="2026-06-10T00:00:00"/>
    <x v="0"/>
    <x v="1"/>
    <s v="Perfiladora"/>
    <n v="250"/>
    <n v="27"/>
    <n v="6750"/>
    <s v="DIESEL"/>
    <m/>
  </r>
  <r>
    <s v="CO-24-032"/>
    <x v="0"/>
    <d v="2026-06-10T00:00:00"/>
    <x v="0"/>
    <x v="1"/>
    <s v="Retroexcavadora"/>
    <n v="30"/>
    <n v="27"/>
    <n v="810"/>
    <s v="DIESEL"/>
    <m/>
  </r>
  <r>
    <s v="CO-24-033"/>
    <x v="0"/>
    <d v="2026-06-10T00:00:00"/>
    <x v="2"/>
    <x v="1"/>
    <s v="Bidones"/>
    <n v="100"/>
    <n v="27"/>
    <n v="2700"/>
    <s v="DIESEL"/>
    <m/>
  </r>
  <r>
    <s v="CO-24-034"/>
    <x v="0"/>
    <d v="2026-06-11T00:00:00"/>
    <x v="0"/>
    <x v="1"/>
    <s v="Compactador"/>
    <n v="30"/>
    <n v="27"/>
    <n v="810"/>
    <s v="DIESEL"/>
    <m/>
  </r>
  <r>
    <s v="CO-24-035"/>
    <x v="0"/>
    <d v="2026-06-11T00:00:00"/>
    <x v="0"/>
    <x v="1"/>
    <s v="Neuomatico"/>
    <n v="30"/>
    <n v="27"/>
    <n v="810"/>
    <s v="DIESEL"/>
    <m/>
  </r>
  <r>
    <s v="CO-24-036"/>
    <x v="0"/>
    <d v="2026-06-11T00:00:00"/>
    <x v="0"/>
    <x v="1"/>
    <s v="Vogel"/>
    <n v="136"/>
    <n v="27"/>
    <n v="3672"/>
    <s v="DIESEL"/>
    <m/>
  </r>
  <r>
    <s v="CO-24-037"/>
    <x v="0"/>
    <d v="2026-06-11T00:00:00"/>
    <x v="0"/>
    <x v="1"/>
    <s v="Barredora"/>
    <n v="20"/>
    <n v="27"/>
    <n v="540"/>
    <s v="DIESEL"/>
    <m/>
  </r>
  <r>
    <s v="CO-24-038"/>
    <x v="0"/>
    <d v="2026-06-11T00:00:00"/>
    <x v="0"/>
    <x v="1"/>
    <s v="Retroexcavadora"/>
    <n v="20"/>
    <n v="27"/>
    <n v="540"/>
    <s v="DIESEL"/>
    <m/>
  </r>
  <r>
    <s v="CO-24-039"/>
    <x v="0"/>
    <d v="2026-06-11T00:00:00"/>
    <x v="0"/>
    <x v="1"/>
    <s v="Maxilihgs"/>
    <n v="20"/>
    <n v="27"/>
    <n v="540"/>
    <s v="DIESEL"/>
    <m/>
  </r>
  <r>
    <s v="CO-24-040"/>
    <x v="0"/>
    <d v="2026-06-11T00:00:00"/>
    <x v="7"/>
    <x v="1"/>
    <s v="PayLoder"/>
    <n v="238"/>
    <n v="27"/>
    <n v="6426"/>
    <s v="DIESEL"/>
    <m/>
  </r>
  <r>
    <s v="CO-24-041"/>
    <x v="0"/>
    <d v="2026-06-11T00:00:00"/>
    <x v="1"/>
    <x v="1"/>
    <s v="Petrolizadora"/>
    <n v="80"/>
    <n v="27"/>
    <n v="2160"/>
    <s v="DIESEL"/>
    <m/>
  </r>
  <r>
    <s v="CO-24-042"/>
    <x v="0"/>
    <d v="2026-06-11T00:00:00"/>
    <x v="1"/>
    <x v="1"/>
    <s v="Compresor"/>
    <n v="50"/>
    <n v="27"/>
    <n v="1350"/>
    <s v="DIESEL"/>
    <m/>
  </r>
  <r>
    <s v="CO-24-043"/>
    <x v="0"/>
    <d v="2026-06-11T00:00:00"/>
    <x v="1"/>
    <x v="1"/>
    <s v="Retroexcavadora"/>
    <n v="70"/>
    <n v="27"/>
    <n v="1890"/>
    <s v="DIESEL"/>
    <m/>
  </r>
  <r>
    <s v="CO-24-044"/>
    <x v="0"/>
    <d v="2026-06-11T00:00:00"/>
    <x v="1"/>
    <x v="1"/>
    <s v="Camion de Impacto"/>
    <n v="80"/>
    <n v="27"/>
    <n v="2160"/>
    <s v="DIESEL"/>
    <m/>
  </r>
  <r>
    <s v="CO-24-045"/>
    <x v="0"/>
    <d v="2026-06-11T00:00:00"/>
    <x v="1"/>
    <x v="1"/>
    <s v="Vogel"/>
    <n v="185"/>
    <n v="27"/>
    <n v="4995"/>
    <s v="DIESEL"/>
    <m/>
  </r>
  <r>
    <s v="CO-24-046"/>
    <x v="0"/>
    <d v="2026-06-11T00:00:00"/>
    <x v="1"/>
    <x v="1"/>
    <s v="Doble Rodillo"/>
    <n v="50"/>
    <n v="27"/>
    <n v="1350"/>
    <s v="DIESEL"/>
    <m/>
  </r>
  <r>
    <s v="CO-24-047"/>
    <x v="0"/>
    <d v="2026-06-11T00:00:00"/>
    <x v="1"/>
    <x v="1"/>
    <s v="Doble Rodillo"/>
    <n v="40"/>
    <n v="27"/>
    <n v="1080"/>
    <s v="DIESEL"/>
    <m/>
  </r>
  <r>
    <s v="CO-24-048"/>
    <x v="0"/>
    <d v="2026-06-11T00:00:00"/>
    <x v="1"/>
    <x v="1"/>
    <s v="Neuomatico"/>
    <n v="40"/>
    <n v="27"/>
    <n v="1080"/>
    <s v="DIESEL"/>
    <m/>
  </r>
  <r>
    <s v="CO-24-049"/>
    <x v="0"/>
    <d v="2026-06-12T00:00:00"/>
    <x v="3"/>
    <x v="1"/>
    <s v="Tandem Hamm"/>
    <n v="32"/>
    <n v="27"/>
    <n v="864"/>
    <s v="DIESEL"/>
    <m/>
  </r>
  <r>
    <s v="CO-24-050"/>
    <x v="0"/>
    <d v="2026-06-12T00:00:00"/>
    <x v="3"/>
    <x v="1"/>
    <s v="Neuomatico Dynapac"/>
    <n v="30"/>
    <n v="27"/>
    <n v="810"/>
    <s v="DIESEL"/>
    <m/>
  </r>
  <r>
    <s v="CO-24-051"/>
    <x v="0"/>
    <d v="2026-06-12T00:00:00"/>
    <x v="3"/>
    <x v="1"/>
    <s v="Barredora Broce"/>
    <n v="30"/>
    <n v="27"/>
    <n v="810"/>
    <s v="DIESEL"/>
    <m/>
  </r>
  <r>
    <s v="CO-24-052"/>
    <x v="0"/>
    <d v="2026-06-12T00:00:00"/>
    <x v="3"/>
    <x v="1"/>
    <s v="Retroexcavadora Jonh Deere"/>
    <n v="50"/>
    <n v="27"/>
    <n v="1350"/>
    <s v="DIESEL"/>
    <m/>
  </r>
  <r>
    <s v="CO-24-053"/>
    <x v="0"/>
    <d v="2026-06-12T00:00:00"/>
    <x v="3"/>
    <x v="1"/>
    <s v="Vogele Guion"/>
    <n v="120"/>
    <n v="27"/>
    <n v="3240"/>
    <s v="DIESEL"/>
    <m/>
  </r>
  <r>
    <s v="CO-24-054"/>
    <x v="0"/>
    <d v="2026-06-12T00:00:00"/>
    <x v="3"/>
    <x v="1"/>
    <s v="Petrolizadora Elton"/>
    <n v="40"/>
    <n v="27"/>
    <n v="1080"/>
    <s v="DIESEL"/>
    <m/>
  </r>
  <r>
    <s v="CO-24-055"/>
    <x v="0"/>
    <d v="2026-06-12T00:00:00"/>
    <x v="3"/>
    <x v="1"/>
    <s v="Perfiladora Wirgent"/>
    <n v="200"/>
    <n v="27"/>
    <n v="5400"/>
    <s v="DIESEL"/>
    <m/>
  </r>
  <r>
    <s v="CO-24-056"/>
    <x v="0"/>
    <d v="2026-06-12T00:00:00"/>
    <x v="0"/>
    <x v="1"/>
    <s v="Barredora"/>
    <n v="20"/>
    <n v="27"/>
    <n v="540"/>
    <s v="DIESEL"/>
    <m/>
  </r>
  <r>
    <s v="CO-24-057"/>
    <x v="0"/>
    <d v="2026-06-12T00:00:00"/>
    <x v="0"/>
    <x v="1"/>
    <s v="Neuomatico"/>
    <n v="30"/>
    <n v="27"/>
    <n v="810"/>
    <s v="DIESEL"/>
    <m/>
  </r>
  <r>
    <s v="CO-24-058"/>
    <x v="0"/>
    <d v="2026-06-12T00:00:00"/>
    <x v="0"/>
    <x v="1"/>
    <s v="Maxilihgs"/>
    <n v="20"/>
    <n v="27"/>
    <n v="540"/>
    <s v="DIESEL"/>
    <m/>
  </r>
  <r>
    <s v="CO-24-059"/>
    <x v="0"/>
    <d v="2026-06-12T00:00:00"/>
    <x v="0"/>
    <x v="1"/>
    <s v="Compactador"/>
    <n v="40"/>
    <n v="27"/>
    <n v="1080"/>
    <s v="DIESEL"/>
    <m/>
  </r>
  <r>
    <s v="CO-24-060"/>
    <x v="0"/>
    <d v="2026-06-12T00:00:00"/>
    <x v="0"/>
    <x v="1"/>
    <s v="Perfiladora"/>
    <n v="250"/>
    <n v="27"/>
    <n v="6750"/>
    <s v="DIESEL"/>
    <m/>
  </r>
  <r>
    <s v="CO-25-001"/>
    <x v="1"/>
    <d v="2026-06-15T00:00:00"/>
    <x v="0"/>
    <x v="1"/>
    <s v="PERFILADORA WIRGENT-W200i"/>
    <n v="200"/>
    <n v="27"/>
    <n v="5400"/>
    <s v="DIESEL"/>
    <m/>
  </r>
  <r>
    <s v="CO-25-002"/>
    <x v="1"/>
    <d v="2026-06-15T00:00:00"/>
    <x v="0"/>
    <x v="1"/>
    <s v="RETROEXCAVADORA JHONDEREE 310SK"/>
    <n v="40"/>
    <n v="27"/>
    <n v="1080"/>
    <s v="DIESEL"/>
    <m/>
  </r>
  <r>
    <s v="CO-25-003"/>
    <x v="1"/>
    <d v="2026-06-15T00:00:00"/>
    <x v="0"/>
    <x v="1"/>
    <s v="TANDEM DOBLE RODILLO / VIBROCOMPACTOR RODILLO CAT CB54"/>
    <n v="30"/>
    <n v="27"/>
    <n v="810"/>
    <s v="DIESEL"/>
    <m/>
  </r>
  <r>
    <s v="CO-25-004"/>
    <x v="1"/>
    <d v="2026-06-15T00:00:00"/>
    <x v="0"/>
    <x v="1"/>
    <s v="NEUMATICO VOLVO PT-240R"/>
    <n v="50"/>
    <n v="27"/>
    <n v="1350"/>
    <s v="DIESEL"/>
    <m/>
  </r>
  <r>
    <s v="CO-25-005"/>
    <x v="1"/>
    <d v="2026-06-15T00:00:00"/>
    <x v="1"/>
    <x v="1"/>
    <s v="PAVIMENTADORA  VOGELE 1800-3 i"/>
    <n v="73"/>
    <n v="27"/>
    <n v="1971"/>
    <s v="DIESEL"/>
    <m/>
  </r>
  <r>
    <s v="CO-25-006"/>
    <x v="1"/>
    <d v="2026-06-15T00:00:00"/>
    <x v="0"/>
    <x v="1"/>
    <s v="PAVIMENTADORA  VOGELE SJ 1800-3"/>
    <n v="99"/>
    <n v="27"/>
    <n v="2673"/>
    <s v="DIESEL"/>
    <m/>
  </r>
  <r>
    <s v="CO-25-007"/>
    <x v="1"/>
    <d v="2026-06-15T00:00:00"/>
    <x v="0"/>
    <x v="1"/>
    <s v="PETROLIZADORA    INTERNATIONAL"/>
    <n v="50"/>
    <n v="27"/>
    <n v="1350"/>
    <s v="DIESEL"/>
    <m/>
  </r>
  <r>
    <s v="CO-25-008"/>
    <x v="1"/>
    <d v="2026-06-15T00:00:00"/>
    <x v="2"/>
    <x v="1"/>
    <s v="Bidones"/>
    <n v="70"/>
    <n v="27"/>
    <n v="1890"/>
    <s v="DIESEL"/>
    <m/>
  </r>
  <r>
    <s v="CO-25-009"/>
    <x v="1"/>
    <d v="2026-06-15T00:00:00"/>
    <x v="1"/>
    <x v="1"/>
    <s v="TANDEM DOBLE RODILLO / VIBROCOMPACTOR RODILLO CAT CB54"/>
    <n v="24"/>
    <n v="27"/>
    <n v="648"/>
    <s v="DIESEL"/>
    <m/>
  </r>
  <r>
    <s v="CO-25-010"/>
    <x v="1"/>
    <d v="2026-06-15T00:00:00"/>
    <x v="7"/>
    <x v="1"/>
    <s v="PayLoder"/>
    <n v="265"/>
    <n v="27"/>
    <n v="7155"/>
    <s v="DIESEL"/>
    <m/>
  </r>
  <r>
    <s v="CO-25-011"/>
    <x v="1"/>
    <d v="2026-06-15T00:00:00"/>
    <x v="2"/>
    <x v="1"/>
    <s v="DOBLE RODILLO/VIBROCOMPACTADOR DE RODILLOS HAMM 140HD"/>
    <n v="33"/>
    <n v="27"/>
    <n v="891"/>
    <s v="DIESEL"/>
    <m/>
  </r>
  <r>
    <s v="CO-25-012"/>
    <x v="1"/>
    <d v="2026-06-15T00:00:00"/>
    <x v="1"/>
    <x v="1"/>
    <s v="PETROLIZADORA    INTERNATIONAL"/>
    <n v="60"/>
    <n v="27"/>
    <n v="1620"/>
    <s v="DIESEL"/>
    <m/>
  </r>
  <r>
    <s v="CO-25-013"/>
    <x v="1"/>
    <d v="2026-06-15T00:00:00"/>
    <x v="1"/>
    <x v="1"/>
    <s v="BARREDORA LAYMOR SM400"/>
    <n v="52"/>
    <n v="27"/>
    <n v="1404"/>
    <s v="DIESEL"/>
    <m/>
  </r>
  <r>
    <s v="CO-25-014"/>
    <x v="1"/>
    <d v="2026-06-15T00:00:00"/>
    <x v="1"/>
    <x v="1"/>
    <s v="Limpieza"/>
    <n v="25"/>
    <n v="27"/>
    <n v="675"/>
    <s v="DIESEL"/>
    <m/>
  </r>
  <r>
    <s v="CO-25-015"/>
    <x v="1"/>
    <d v="2026-06-15T00:00:00"/>
    <x v="1"/>
    <x v="1"/>
    <s v="RETROEXCAVADORA JHONDEREE 310SK"/>
    <n v="55"/>
    <n v="27"/>
    <n v="1485"/>
    <s v="DIESEL"/>
    <m/>
  </r>
  <r>
    <s v="CO-25-016"/>
    <x v="1"/>
    <d v="2026-06-15T00:00:00"/>
    <x v="2"/>
    <x v="1"/>
    <s v="PERFILADORA RODATEC RX600E"/>
    <n v="200"/>
    <n v="27"/>
    <n v="5400"/>
    <s v="DIESEL"/>
    <m/>
  </r>
  <r>
    <s v="CO-25-017"/>
    <x v="1"/>
    <d v="2026-06-15T00:00:00"/>
    <x v="4"/>
    <x v="1"/>
    <s v="Generador"/>
    <n v="300"/>
    <n v="27"/>
    <n v="8100"/>
    <s v="DIESEL"/>
    <m/>
  </r>
  <r>
    <s v="CO-25-018"/>
    <x v="1"/>
    <d v="2026-06-15T00:00:00"/>
    <x v="4"/>
    <x v="1"/>
    <s v="PayLoder"/>
    <n v="100"/>
    <n v="27"/>
    <n v="2700"/>
    <s v="DIESEL"/>
    <m/>
  </r>
  <r>
    <s v="CO-25-019"/>
    <x v="1"/>
    <d v="2026-06-15T00:00:00"/>
    <x v="4"/>
    <x v="1"/>
    <s v="GENERADOR AMMANN"/>
    <n v="400"/>
    <n v="27"/>
    <n v="10800"/>
    <s v="DIESEL"/>
    <m/>
  </r>
  <r>
    <s v="CO-25-020"/>
    <x v="1"/>
    <d v="2026-06-16T00:00:00"/>
    <x v="0"/>
    <x v="1"/>
    <s v="PERFILADORA WIRGENT-W200i"/>
    <n v="200"/>
    <n v="27"/>
    <n v="5400"/>
    <s v="DIESEL"/>
    <m/>
  </r>
  <r>
    <s v="CO-25-021"/>
    <x v="1"/>
    <d v="2026-06-16T00:00:00"/>
    <x v="0"/>
    <x v="1"/>
    <s v="TANDEM DOBLE RODILLO / VIBROCOMPACTOR RODILLO CAT CB54"/>
    <n v="32"/>
    <n v="27"/>
    <n v="864"/>
    <s v="DIESEL"/>
    <m/>
  </r>
  <r>
    <s v="CO-25-022"/>
    <x v="1"/>
    <d v="2026-06-16T00:00:00"/>
    <x v="0"/>
    <x v="1"/>
    <s v="NEUMATICO VOLVO PT-240R"/>
    <n v="30"/>
    <n v="27"/>
    <n v="810"/>
    <s v="DIESEL"/>
    <m/>
  </r>
  <r>
    <s v="CO-25-023"/>
    <x v="1"/>
    <d v="2026-06-16T00:00:00"/>
    <x v="0"/>
    <x v="1"/>
    <s v="BARREDORA BROCE RJ350"/>
    <n v="30"/>
    <n v="27"/>
    <n v="810"/>
    <s v="DIESEL"/>
    <m/>
  </r>
  <r>
    <s v="CO-25-024"/>
    <x v="1"/>
    <d v="2026-06-16T00:00:00"/>
    <x v="0"/>
    <x v="1"/>
    <s v="PAVIMENTADORA  VOGELE SJ 1800-3"/>
    <n v="107"/>
    <n v="27"/>
    <n v="2889"/>
    <s v="DIESEL"/>
    <m/>
  </r>
  <r>
    <s v="CO-25-025"/>
    <x v="1"/>
    <d v="2026-06-16T00:00:00"/>
    <x v="0"/>
    <x v="1"/>
    <s v="RETROEXCAVADORA JHONDEREE 310SK"/>
    <n v="40"/>
    <n v="27"/>
    <n v="1080"/>
    <s v="DIESEL"/>
    <m/>
  </r>
  <r>
    <s v="CO-25-026"/>
    <x v="1"/>
    <d v="2026-06-16T00:00:00"/>
    <x v="0"/>
    <x v="1"/>
    <s v="PETROLIZADORA    INTERNATIONAL"/>
    <n v="50"/>
    <n v="27"/>
    <n v="1350"/>
    <s v="DIESEL"/>
    <m/>
  </r>
  <r>
    <s v="CO-25-027"/>
    <x v="1"/>
    <d v="2026-06-16T00:00:00"/>
    <x v="1"/>
    <x v="1"/>
    <s v="PIPA DE AGUA (IMPACTO 01) FORD"/>
    <n v="50"/>
    <n v="27"/>
    <n v="1350"/>
    <s v="DIESEL"/>
    <m/>
  </r>
  <r>
    <s v="CO-25-028"/>
    <x v="1"/>
    <d v="2026-06-16T00:00:00"/>
    <x v="7"/>
    <x v="1"/>
    <s v="PETROLIZADORA    INTERNATIONAL"/>
    <n v="50"/>
    <n v="27"/>
    <n v="1350"/>
    <s v="DIESEL"/>
    <m/>
  </r>
  <r>
    <s v="CO-25-029"/>
    <x v="1"/>
    <d v="2026-06-16T00:00:00"/>
    <x v="7"/>
    <x v="1"/>
    <s v="Bidones"/>
    <n v="1001"/>
    <n v="27"/>
    <n v="27027"/>
    <s v="DIESEL"/>
    <m/>
  </r>
  <r>
    <s v="CO-25-030"/>
    <x v="1"/>
    <d v="2026-06-16T00:00:00"/>
    <x v="1"/>
    <x v="1"/>
    <s v="PERFILADORA RODATEC RX600-4-4008"/>
    <n v="350"/>
    <n v="27"/>
    <n v="9450"/>
    <s v="DIESEL"/>
    <m/>
  </r>
  <r>
    <s v="CO-25-031"/>
    <x v="1"/>
    <d v="2026-06-16T00:00:00"/>
    <x v="2"/>
    <x v="1"/>
    <s v="PERFILADORA RODATEC RX600-4-4008"/>
    <n v="200"/>
    <n v="27"/>
    <n v="5400"/>
    <s v="DIESEL"/>
    <m/>
  </r>
  <r>
    <s v="CO-25-032"/>
    <x v="1"/>
    <d v="2026-06-16T00:00:00"/>
    <x v="1"/>
    <x v="1"/>
    <s v="PIPA DE AGUA (IMPACTO 01) FORD"/>
    <n v="50"/>
    <n v="27"/>
    <n v="1350"/>
    <s v="DIESEL"/>
    <m/>
  </r>
  <r>
    <s v="CO-25-033"/>
    <x v="1"/>
    <d v="2026-06-16T00:00:00"/>
    <x v="1"/>
    <x v="1"/>
    <s v="PAVIMENTADORA  VOGELE 1800-3 i"/>
    <n v="165"/>
    <n v="27"/>
    <n v="4455"/>
    <s v="DIESEL"/>
    <m/>
  </r>
  <r>
    <s v="CO-25-034"/>
    <x v="1"/>
    <d v="2026-06-17T00:00:00"/>
    <x v="0"/>
    <x v="1"/>
    <s v="PERFILADORA WIRGENT-W200i"/>
    <n v="200"/>
    <n v="27"/>
    <n v="5400"/>
    <s v="DIESEL"/>
    <m/>
  </r>
  <r>
    <s v="CO-25-035"/>
    <x v="1"/>
    <d v="2026-06-17T00:00:00"/>
    <x v="0"/>
    <x v="1"/>
    <s v="PAVIMENTADORA  VOGELE SJ 1800-3"/>
    <n v="120"/>
    <n v="27"/>
    <n v="3240"/>
    <s v="DIESEL"/>
    <m/>
  </r>
  <r>
    <s v="CO-25-036"/>
    <x v="1"/>
    <d v="2026-06-17T00:00:00"/>
    <x v="0"/>
    <x v="1"/>
    <s v="TANDEM DOBLE RODILLO / VIBROCOMPACTOR RODILLO CAT CB54"/>
    <n v="30"/>
    <n v="27"/>
    <n v="810"/>
    <s v="DIESEL"/>
    <m/>
  </r>
  <r>
    <s v="CO-25-037"/>
    <x v="1"/>
    <d v="2026-06-17T00:00:00"/>
    <x v="0"/>
    <x v="1"/>
    <s v="NEUMATICO VOLVO PT-240R"/>
    <n v="30"/>
    <n v="27"/>
    <n v="810"/>
    <s v="DIESEL"/>
    <m/>
  </r>
  <r>
    <s v="CO-25-038"/>
    <x v="1"/>
    <d v="2026-06-17T00:00:00"/>
    <x v="0"/>
    <x v="1"/>
    <s v="BARREDORA BROCE RJ350"/>
    <n v="28"/>
    <n v="27"/>
    <n v="756"/>
    <s v="DIESEL"/>
    <m/>
  </r>
  <r>
    <s v="CO-25-039"/>
    <x v="1"/>
    <d v="2026-06-17T00:00:00"/>
    <x v="0"/>
    <x v="1"/>
    <s v="RETROEXCAVADORA JHONDEREE 310SK"/>
    <n v="60"/>
    <n v="27"/>
    <n v="1620"/>
    <s v="DIESEL"/>
    <m/>
  </r>
  <r>
    <s v="CO-25-040"/>
    <x v="1"/>
    <d v="2026-06-17T00:00:00"/>
    <x v="1"/>
    <x v="1"/>
    <s v="IMPACTO FORD 4300"/>
    <n v="80"/>
    <n v="27"/>
    <n v="2160"/>
    <s v="DIESEL"/>
    <m/>
  </r>
  <r>
    <s v="CO-25-041"/>
    <x v="1"/>
    <d v="2026-06-17T00:00:00"/>
    <x v="2"/>
    <x v="1"/>
    <s v="TANDEM DOBLE RODILLO / VIBROCOMPACTOR RODILLO CAT CB54"/>
    <n v="20"/>
    <n v="27"/>
    <n v="540"/>
    <s v="DIESEL"/>
    <m/>
  </r>
  <r>
    <s v="CO-25-042"/>
    <x v="1"/>
    <d v="2026-06-17T00:00:00"/>
    <x v="4"/>
    <x v="1"/>
    <s v="Generador"/>
    <n v="100"/>
    <n v="27"/>
    <n v="2700"/>
    <s v="DIESEL"/>
    <m/>
  </r>
  <r>
    <s v="CO-25-043"/>
    <x v="1"/>
    <d v="2026-06-17T00:00:00"/>
    <x v="4"/>
    <x v="1"/>
    <s v="GENERADOR AMMANN"/>
    <n v="200"/>
    <n v="27"/>
    <n v="5400"/>
    <s v="DIESEL"/>
    <m/>
  </r>
  <r>
    <s v="CO-25-044"/>
    <x v="1"/>
    <d v="2026-06-18T00:00:00"/>
    <x v="0"/>
    <x v="1"/>
    <s v="PERFILADORA WIRGENT-W200i"/>
    <n v="200"/>
    <n v="27"/>
    <n v="5400"/>
    <s v="DIESEL"/>
    <m/>
  </r>
  <r>
    <s v="CO-25-045"/>
    <x v="1"/>
    <d v="2026-06-18T00:00:00"/>
    <x v="0"/>
    <x v="1"/>
    <s v="PAVIMENTADORA  VOGELE SJ 1800-3"/>
    <n v="115"/>
    <n v="27"/>
    <n v="3105"/>
    <s v="DIESEL"/>
    <m/>
  </r>
  <r>
    <s v="CO-25-046"/>
    <x v="1"/>
    <d v="2026-06-18T00:00:00"/>
    <x v="0"/>
    <x v="1"/>
    <s v="NEUMATICO VOLVO PT-240R"/>
    <n v="30"/>
    <n v="27"/>
    <n v="810"/>
    <s v="DIESEL"/>
    <m/>
  </r>
  <r>
    <s v="CO-25-047"/>
    <x v="1"/>
    <d v="2026-06-18T00:00:00"/>
    <x v="0"/>
    <x v="1"/>
    <s v="TANDEM DOBLE RODILLO / VIBROCOMPACTOR RODILLO CAT CB54"/>
    <n v="30"/>
    <n v="27"/>
    <n v="810"/>
    <s v="DIESEL"/>
    <m/>
  </r>
  <r>
    <s v="CO-25-048"/>
    <x v="1"/>
    <d v="2026-06-18T00:00:00"/>
    <x v="0"/>
    <x v="1"/>
    <s v="RETROEXCAVADORA JHONDEREE 310SK"/>
    <n v="30"/>
    <n v="27"/>
    <n v="810"/>
    <s v="DIESEL"/>
    <m/>
  </r>
  <r>
    <s v="CO-25-049"/>
    <x v="1"/>
    <d v="2026-06-18T00:00:00"/>
    <x v="0"/>
    <x v="1"/>
    <s v="PETROLIZADORA    INTERNATIONAL"/>
    <n v="50"/>
    <n v="27"/>
    <n v="1350"/>
    <s v="DIESEL"/>
    <m/>
  </r>
  <r>
    <s v="CO-25-050"/>
    <x v="1"/>
    <d v="2026-06-18T00:00:00"/>
    <x v="4"/>
    <x v="1"/>
    <s v="Generador"/>
    <n v="200"/>
    <n v="27"/>
    <n v="5400"/>
    <s v="DIESEL"/>
    <m/>
  </r>
  <r>
    <s v="CO-25-051"/>
    <x v="1"/>
    <d v="2026-06-18T00:00:00"/>
    <x v="4"/>
    <x v="1"/>
    <s v="MAXILIGHT"/>
    <n v="100"/>
    <n v="27"/>
    <n v="2700"/>
    <s v="DIESEL"/>
    <m/>
  </r>
  <r>
    <s v="CO-25-052"/>
    <x v="1"/>
    <d v="2026-06-18T00:00:00"/>
    <x v="4"/>
    <x v="1"/>
    <s v="Criba Roja"/>
    <n v="100"/>
    <n v="27"/>
    <n v="2700"/>
    <s v="DIESEL"/>
    <m/>
  </r>
  <r>
    <s v="CO-25-053"/>
    <x v="1"/>
    <d v="2026-06-18T00:00:00"/>
    <x v="4"/>
    <x v="1"/>
    <s v="PayLoder"/>
    <n v="100"/>
    <n v="27"/>
    <n v="2700"/>
    <s v="DIESEL"/>
    <m/>
  </r>
  <r>
    <s v="CO-25-054"/>
    <x v="1"/>
    <d v="2026-06-19T00:00:00"/>
    <x v="1"/>
    <x v="1"/>
    <s v="PETROLIZADORA    INTERNATIONAL"/>
    <n v="40"/>
    <n v="27"/>
    <n v="1080"/>
    <s v="DIESEL"/>
    <m/>
  </r>
  <r>
    <s v="CO-25-055"/>
    <x v="1"/>
    <d v="2026-06-19T00:00:00"/>
    <x v="8"/>
    <x v="1"/>
    <s v="PETROLIZADORA    INTERNATIONAL"/>
    <n v="40"/>
    <n v="27"/>
    <n v="1080"/>
    <s v="DIESEL"/>
    <m/>
  </r>
  <r>
    <s v="CO-25-056"/>
    <x v="1"/>
    <d v="2026-06-19T00:00:00"/>
    <x v="1"/>
    <x v="1"/>
    <s v="BARREDORA LAYMOR SM400"/>
    <n v="43"/>
    <n v="27"/>
    <n v="1161"/>
    <s v="DIESEL"/>
    <m/>
  </r>
  <r>
    <s v="CO-25-057"/>
    <x v="1"/>
    <d v="2026-06-19T00:00:00"/>
    <x v="1"/>
    <x v="1"/>
    <s v="TANDEM DOBLE RODILLO / VIBROCOMPACTOR RODILLO CAT CB54"/>
    <n v="50"/>
    <n v="27"/>
    <n v="1350"/>
    <s v="DIESEL"/>
    <m/>
  </r>
  <r>
    <s v="CO-25-058"/>
    <x v="1"/>
    <d v="2026-06-19T00:00:00"/>
    <x v="1"/>
    <x v="1"/>
    <s v="RETROEXCAVADORA JHONDEREE 310SK"/>
    <n v="80"/>
    <n v="27"/>
    <n v="2160"/>
    <s v="DIESEL"/>
    <m/>
  </r>
  <r>
    <s v="CO-25-059"/>
    <x v="1"/>
    <d v="2026-06-19T00:00:00"/>
    <x v="1"/>
    <x v="1"/>
    <s v="NEUMATICO / COMPACTADOR DE NEUMATICOS DINAPAC CP271"/>
    <n v="30"/>
    <n v="27"/>
    <n v="810"/>
    <s v="DIESEL"/>
    <m/>
  </r>
  <r>
    <s v="CO-25-060"/>
    <x v="1"/>
    <d v="2026-06-19T00:00:00"/>
    <x v="1"/>
    <x v="1"/>
    <s v="PAVIMENTADORA  VOGELE 1800-3 i"/>
    <n v="160"/>
    <n v="27"/>
    <n v="4320"/>
    <s v="DIESEL"/>
    <m/>
  </r>
  <r>
    <s v="CO-25-061"/>
    <x v="1"/>
    <d v="2026-06-19T00:00:00"/>
    <x v="1"/>
    <x v="1"/>
    <s v="PIPA DE AGUA (IMPACTO 01) FORD"/>
    <n v="50"/>
    <n v="27"/>
    <n v="1350"/>
    <s v="DIESEL"/>
    <m/>
  </r>
  <r>
    <s v="CO-25-062"/>
    <x v="1"/>
    <d v="2026-06-19T00:00:00"/>
    <x v="2"/>
    <x v="1"/>
    <s v="RETROEXCAVADORA CASE 580 N"/>
    <n v="60"/>
    <n v="27"/>
    <n v="1620"/>
    <s v="DIESEL"/>
    <m/>
  </r>
  <r>
    <s v="CO-25-063"/>
    <x v="1"/>
    <d v="2026-06-19T00:00:00"/>
    <x v="0"/>
    <x v="1"/>
    <s v="PAVIMENTADORA  VOGELE SJ 1800-3"/>
    <n v="120"/>
    <n v="27"/>
    <n v="3240"/>
    <s v="DIESEL"/>
    <m/>
  </r>
  <r>
    <s v="CO-25-064"/>
    <x v="1"/>
    <d v="2026-06-19T00:00:00"/>
    <x v="0"/>
    <x v="1"/>
    <s v="TANDEM DOBLE RODILLO / VIBROCOMPACTOR RODILLO CAT CB54"/>
    <n v="30"/>
    <n v="27"/>
    <n v="810"/>
    <s v="DIESEL"/>
    <m/>
  </r>
  <r>
    <s v="CO-25-065"/>
    <x v="1"/>
    <d v="2026-06-19T00:00:00"/>
    <x v="0"/>
    <x v="1"/>
    <s v="NEUMATICO VOLVO PT-240R"/>
    <n v="84"/>
    <n v="27"/>
    <n v="2268"/>
    <s v="DIESEL"/>
    <m/>
  </r>
  <r>
    <s v="CO-25-066"/>
    <x v="1"/>
    <d v="2026-06-19T00:00:00"/>
    <x v="0"/>
    <x v="1"/>
    <s v="RETROEXCAVADORA JHONDEREE 310SK"/>
    <n v="40"/>
    <n v="27"/>
    <n v="1080"/>
    <s v="DIESEL"/>
    <m/>
  </r>
  <r>
    <s v="CO-25-067"/>
    <x v="1"/>
    <d v="2026-06-19T00:00:00"/>
    <x v="0"/>
    <x v="1"/>
    <s v="BARREDORA BROCE RJ350"/>
    <n v="30"/>
    <n v="27"/>
    <n v="810"/>
    <s v="DIESEL"/>
    <m/>
  </r>
  <r>
    <s v="CO-25-068"/>
    <x v="1"/>
    <d v="2026-06-19T00:00:00"/>
    <x v="2"/>
    <x v="1"/>
    <s v="RETROEXCAVADORA CASE 580 N"/>
    <n v="50"/>
    <n v="27"/>
    <n v="1350"/>
    <s v="DIESEL"/>
    <m/>
  </r>
  <r>
    <s v="CO-25-069"/>
    <x v="1"/>
    <d v="2026-06-19T00:00:00"/>
    <x v="2"/>
    <x v="1"/>
    <s v="HOMBRE A BORDO"/>
    <n v="10"/>
    <n v="27"/>
    <n v="270"/>
    <s v="DIESEL"/>
    <m/>
  </r>
  <r>
    <s v="CO-26-001"/>
    <x v="2"/>
    <d v="2026-06-22T00:00:00"/>
    <x v="0"/>
    <x v="1"/>
    <s v="PAVIMENTADORA VOGELE 1800-3 I"/>
    <n v="106"/>
    <n v="27"/>
    <n v="2862"/>
    <s v="DIESEL"/>
    <m/>
  </r>
  <r>
    <s v="CO-26-002"/>
    <x v="2"/>
    <d v="2026-06-22T00:00:00"/>
    <x v="0"/>
    <x v="1"/>
    <s v="NEUMATICO VOLVO PT-240R"/>
    <n v="50"/>
    <n v="27"/>
    <n v="1350"/>
    <s v="DIESEL"/>
    <m/>
  </r>
  <r>
    <s v="CO-26-003"/>
    <x v="2"/>
    <d v="2026-06-22T00:00:00"/>
    <x v="0"/>
    <x v="1"/>
    <s v="DOBLE RODILLO/VIBROCOMPACTADOR DE RODILLOS HAMM 120HD VV"/>
    <n v="50"/>
    <n v="27"/>
    <n v="1350"/>
    <s v="DIESEL"/>
    <m/>
  </r>
  <r>
    <s v="CO-26-004"/>
    <x v="2"/>
    <d v="2026-06-22T00:00:00"/>
    <x v="0"/>
    <x v="1"/>
    <s v="RETROEXCAVADORA JHONDEREE 310 K"/>
    <n v="60"/>
    <n v="27"/>
    <n v="1620"/>
    <s v="DIESEL"/>
    <m/>
  </r>
  <r>
    <s v="CO-26-005"/>
    <x v="2"/>
    <d v="2026-06-22T00:00:00"/>
    <x v="0"/>
    <x v="1"/>
    <s v="PERFILADORA RODATEC RX600-4-4008"/>
    <n v="250"/>
    <n v="27"/>
    <n v="6750"/>
    <s v="DIESEL"/>
    <m/>
  </r>
  <r>
    <s v="CO-26-006"/>
    <x v="2"/>
    <d v="2026-06-22T00:00:00"/>
    <x v="1"/>
    <x v="1"/>
    <s v="PETROLIZADORA INTERNATIONAL"/>
    <n v="40"/>
    <n v="27"/>
    <n v="1080"/>
    <s v="DIESEL"/>
    <m/>
  </r>
  <r>
    <s v="CO-26-007"/>
    <x v="2"/>
    <d v="2026-06-22T00:00:00"/>
    <x v="8"/>
    <x v="1"/>
    <s v="PETROLIZADORA INTERNATIONAL"/>
    <n v="40"/>
    <n v="27"/>
    <n v="1080"/>
    <s v="DIESEL"/>
    <m/>
  </r>
  <r>
    <s v="CO-26-008"/>
    <x v="2"/>
    <d v="2026-06-22T00:00:00"/>
    <x v="2"/>
    <x v="1"/>
    <s v="BIDONES"/>
    <n v="110"/>
    <n v="27"/>
    <n v="2970"/>
    <s v="DIESEL"/>
    <m/>
  </r>
  <r>
    <s v="CO-26-009"/>
    <x v="2"/>
    <d v="2026-06-22T00:00:00"/>
    <x v="1"/>
    <x v="1"/>
    <s v="VIBROCOMPACTADOR CATERPILLAR CB66B"/>
    <n v="50"/>
    <n v="27"/>
    <n v="1350"/>
    <s v="DIESEL"/>
    <m/>
  </r>
  <r>
    <s v="CO-26-010"/>
    <x v="2"/>
    <d v="2026-06-22T00:00:00"/>
    <x v="0"/>
    <x v="1"/>
    <s v="PERFILADORA RODATEC RX600E"/>
    <n v="250"/>
    <n v="27"/>
    <n v="6750"/>
    <s v="DIESEL"/>
    <m/>
  </r>
  <r>
    <s v="CO-26-011"/>
    <x v="2"/>
    <d v="2026-06-22T00:00:00"/>
    <x v="1"/>
    <x v="1"/>
    <s v="NEUMATICO / COMPACTADOR DE NEUMATICOS DINAPAC CP271"/>
    <n v="50"/>
    <n v="27"/>
    <n v="1350"/>
    <s v="DIESEL"/>
    <m/>
  </r>
  <r>
    <s v="CO-26-012"/>
    <x v="2"/>
    <d v="2026-06-22T00:00:00"/>
    <x v="1"/>
    <x v="1"/>
    <s v="PAVIMENTADORA VOGELE SJ 1800-3"/>
    <n v="162"/>
    <n v="27"/>
    <n v="4374"/>
    <s v="DIESEL"/>
    <m/>
  </r>
  <r>
    <s v="CO-26-013"/>
    <x v="2"/>
    <d v="2026-06-22T00:00:00"/>
    <x v="1"/>
    <x v="1"/>
    <s v="PIPA DE AGUA (IMPACTO 01) FORD"/>
    <n v="50"/>
    <n v="27"/>
    <n v="1350"/>
    <s v="DIESEL"/>
    <m/>
  </r>
  <r>
    <s v="CO-26-014"/>
    <x v="2"/>
    <d v="2026-06-22T00:00:00"/>
    <x v="1"/>
    <x v="1"/>
    <s v="NEUMATICO / COMPACTADOR DE NEUMATICOS DINAPAC CP271"/>
    <n v="50"/>
    <n v="27"/>
    <n v="1350"/>
    <s v="DIESEL"/>
    <m/>
  </r>
  <r>
    <s v="CO-26-015"/>
    <x v="2"/>
    <d v="2026-06-23T00:00:00"/>
    <x v="7"/>
    <x v="1"/>
    <s v="PayLoder"/>
    <n v="275"/>
    <n v="27"/>
    <n v="7425"/>
    <s v="DIESEL"/>
    <m/>
  </r>
  <r>
    <s v="CO-26-016"/>
    <x v="2"/>
    <d v="2026-06-23T00:00:00"/>
    <x v="7"/>
    <x v="1"/>
    <s v="Limpieza"/>
    <n v="20"/>
    <n v="27"/>
    <n v="540"/>
    <s v="DIESEL"/>
    <m/>
  </r>
  <r>
    <s v="CO-26-017"/>
    <x v="2"/>
    <d v="2026-06-23T00:00:00"/>
    <x v="2"/>
    <x v="1"/>
    <s v="BIDONES"/>
    <n v="110"/>
    <n v="27"/>
    <n v="2970"/>
    <s v="DIESEL"/>
    <m/>
  </r>
  <r>
    <s v="CO-26-018"/>
    <x v="2"/>
    <d v="2026-06-23T00:00:00"/>
    <x v="7"/>
    <x v="1"/>
    <s v="PAVIMENTADORA VOGELE 1800-2 SJ"/>
    <n v="100"/>
    <n v="27"/>
    <n v="2700"/>
    <s v="DIESEL"/>
    <m/>
  </r>
  <r>
    <s v="CO-26-019"/>
    <x v="2"/>
    <d v="2026-06-23T00:00:00"/>
    <x v="1"/>
    <x v="1"/>
    <s v="RETROEXCAVADORA JHONDEREE 310 K"/>
    <n v="50"/>
    <n v="27"/>
    <n v="1350"/>
    <s v="DIESEL"/>
    <m/>
  </r>
  <r>
    <s v="CO-26-020"/>
    <x v="2"/>
    <d v="2026-06-23T00:00:00"/>
    <x v="2"/>
    <x v="1"/>
    <s v="PERFILADORA RODATEC RX600E"/>
    <n v="96"/>
    <n v="27"/>
    <n v="2592"/>
    <s v="DIESEL"/>
    <m/>
  </r>
  <r>
    <s v="CO-26-021"/>
    <x v="2"/>
    <d v="2026-06-23T00:00:00"/>
    <x v="0"/>
    <x v="1"/>
    <s v="PAVIMENTADORA  VOGELE SJ 1800-3"/>
    <n v="21"/>
    <n v="27"/>
    <n v="567"/>
    <s v="DIESEL"/>
    <m/>
  </r>
  <r>
    <s v="CO-26-022"/>
    <x v="2"/>
    <d v="2026-06-23T00:00:00"/>
    <x v="0"/>
    <x v="1"/>
    <s v="RETROEXCAVADORA JHONDEREE 310SK"/>
    <n v="50"/>
    <n v="27"/>
    <n v="1350"/>
    <s v="DIESEL"/>
    <m/>
  </r>
  <r>
    <s v="CO-26-023"/>
    <x v="2"/>
    <d v="2026-06-23T00:00:00"/>
    <x v="0"/>
    <x v="1"/>
    <s v="BARREDORA BROCE RJ350"/>
    <n v="31"/>
    <n v="27"/>
    <n v="837"/>
    <s v="DIESEL"/>
    <m/>
  </r>
  <r>
    <s v="CO-26-024"/>
    <x v="2"/>
    <d v="2026-06-23T00:00:00"/>
    <x v="4"/>
    <x v="1"/>
    <s v="GENERADOR AMMANN"/>
    <n v="100"/>
    <n v="27"/>
    <n v="2700"/>
    <s v="DIESEL"/>
    <m/>
  </r>
  <r>
    <s v="CO-26-025"/>
    <x v="2"/>
    <d v="2026-06-23T00:00:00"/>
    <x v="4"/>
    <x v="1"/>
    <s v="MAXILIGHT"/>
    <n v="50"/>
    <n v="27"/>
    <n v="1350"/>
    <s v="DIESEL"/>
    <m/>
  </r>
  <r>
    <s v="CO-26-026"/>
    <x v="2"/>
    <d v="2026-06-24T00:00:00"/>
    <x v="0"/>
    <x v="1"/>
    <s v="TANDEM DOBLE RODILLO / VIBROCOMPACTOR RODILLO CAT CB54"/>
    <n v="35"/>
    <n v="27"/>
    <n v="945"/>
    <s v="DIESEL"/>
    <m/>
  </r>
  <r>
    <s v="CO-26-027"/>
    <x v="2"/>
    <d v="2026-06-24T00:00:00"/>
    <x v="0"/>
    <x v="1"/>
    <s v="PAVIMENTADORA VOGELE SJ 1800-3"/>
    <n v="76"/>
    <n v="27"/>
    <n v="2052"/>
    <s v="DIESEL"/>
    <m/>
  </r>
  <r>
    <s v="CO-26-028"/>
    <x v="2"/>
    <d v="2026-06-24T00:00:00"/>
    <x v="0"/>
    <x v="1"/>
    <s v="TANDEM DOBLE RODILLO / VIBROCOMPACTOR RODILLO CAT CB54"/>
    <n v="40"/>
    <n v="27"/>
    <n v="1080"/>
    <s v="DIESEL"/>
    <m/>
  </r>
  <r>
    <s v="CO-26-029"/>
    <x v="2"/>
    <d v="2026-06-24T00:00:00"/>
    <x v="0"/>
    <x v="1"/>
    <s v="RETROEXCAVADORA JHONDEREE 310SK"/>
    <n v="40"/>
    <n v="27"/>
    <n v="1080"/>
    <s v="DIESEL"/>
    <m/>
  </r>
  <r>
    <s v="CO-26-030"/>
    <x v="2"/>
    <d v="2026-06-24T00:00:00"/>
    <x v="0"/>
    <x v="1"/>
    <s v="PERFILADORA RODATEC RX600-4-4008"/>
    <n v="200"/>
    <n v="27"/>
    <n v="5400"/>
    <s v="DIESEL"/>
    <m/>
  </r>
  <r>
    <s v="CO-26-031"/>
    <x v="2"/>
    <d v="2026-06-24T00:00:00"/>
    <x v="2"/>
    <x v="1"/>
    <s v="BIDONES"/>
    <n v="120"/>
    <n v="27"/>
    <n v="3240"/>
    <s v="DIESEL"/>
    <m/>
  </r>
  <r>
    <s v="CO-26-032"/>
    <x v="2"/>
    <d v="2026-06-24T00:00:00"/>
    <x v="0"/>
    <x v="1"/>
    <s v="NEUMATICO VOLVO PT-240R"/>
    <n v="50"/>
    <n v="27"/>
    <n v="1350"/>
    <s v="DIESEL"/>
    <m/>
  </r>
  <r>
    <s v="CO-26-033"/>
    <x v="2"/>
    <d v="2026-06-24T00:00:00"/>
    <x v="0"/>
    <x v="1"/>
    <s v="NEUMATICO / COMPACTADOR DE NEUMATICOS DINAPAC CP271"/>
    <n v="30"/>
    <n v="27"/>
    <n v="810"/>
    <s v="DIESEL"/>
    <m/>
  </r>
  <r>
    <s v="CO-26-034"/>
    <x v="2"/>
    <d v="2026-06-24T00:00:00"/>
    <x v="1"/>
    <x v="1"/>
    <s v="IMPACTO FORD 4300"/>
    <n v="129"/>
    <n v="27"/>
    <n v="3483"/>
    <s v="DIESEL"/>
    <m/>
  </r>
  <r>
    <s v="CO-26-035"/>
    <x v="2"/>
    <d v="2026-06-24T00:00:00"/>
    <x v="1"/>
    <x v="1"/>
    <s v="COMPRESOR  SULLIVAN PALATEK D2010"/>
    <n v="88"/>
    <n v="27"/>
    <n v="2376"/>
    <s v="DIESEL"/>
    <m/>
  </r>
  <r>
    <s v="CO-26-036"/>
    <x v="2"/>
    <d v="2026-06-24T00:00:00"/>
    <x v="1"/>
    <x v="1"/>
    <s v="PIPA DE AGUA (IMPACTO 01) FORD"/>
    <n v="90"/>
    <n v="27"/>
    <n v="2430"/>
    <s v="DIESEL"/>
    <m/>
  </r>
  <r>
    <s v="CO-26-037"/>
    <x v="2"/>
    <d v="2026-06-24T00:00:00"/>
    <x v="1"/>
    <x v="1"/>
    <s v="PETROLIZADORA    INTERNATIONAL"/>
    <n v="62"/>
    <n v="27"/>
    <n v="1674"/>
    <s v="DIESEL"/>
    <m/>
  </r>
  <r>
    <s v="CO-26-038"/>
    <x v="2"/>
    <d v="2026-06-24T00:00:00"/>
    <x v="8"/>
    <x v="1"/>
    <s v="PETROLIZADORA    INTERNATIONAL"/>
    <n v="62"/>
    <n v="27"/>
    <n v="1674"/>
    <s v="DIESEL"/>
    <m/>
  </r>
  <r>
    <s v="CO-26-039"/>
    <x v="2"/>
    <d v="2026-06-25T00:00:00"/>
    <x v="0"/>
    <x v="1"/>
    <s v="BARREDORA BROCE RJ350"/>
    <n v="26"/>
    <n v="27"/>
    <n v="702"/>
    <s v="DIESEL"/>
    <m/>
  </r>
  <r>
    <s v="CO-26-040"/>
    <x v="2"/>
    <d v="2026-06-25T00:00:00"/>
    <x v="0"/>
    <x v="1"/>
    <s v="PETROLIZADORA    INTERNATIONAL"/>
    <n v="50"/>
    <n v="27"/>
    <n v="1350"/>
    <s v="DIESEL"/>
    <m/>
  </r>
  <r>
    <s v="CO-26-041"/>
    <x v="2"/>
    <d v="2026-06-25T00:00:00"/>
    <x v="0"/>
    <x v="1"/>
    <s v="TANDEM DOBLE RODILLO / VIBROCOMPACTOR RODILLO CAT CB54"/>
    <n v="30"/>
    <n v="27"/>
    <n v="810"/>
    <s v="DIESEL"/>
    <m/>
  </r>
  <r>
    <s v="CO-26-042"/>
    <x v="2"/>
    <d v="2026-06-25T00:00:00"/>
    <x v="0"/>
    <x v="1"/>
    <s v="NEUMATICO / COMPACTADOR DE NEUMATICOS DINAPAC CP271"/>
    <n v="14"/>
    <n v="27"/>
    <n v="378"/>
    <s v="DIESEL"/>
    <m/>
  </r>
  <r>
    <s v="CO-26-043"/>
    <x v="2"/>
    <d v="2026-06-25T00:00:00"/>
    <x v="0"/>
    <x v="1"/>
    <s v="NEUMATICO VOLVO PT-240R"/>
    <n v="30"/>
    <n v="27"/>
    <n v="810"/>
    <s v="DIESEL"/>
    <m/>
  </r>
  <r>
    <s v="CO-26-044"/>
    <x v="2"/>
    <d v="2026-06-25T00:00:00"/>
    <x v="2"/>
    <x v="1"/>
    <s v="BIDONES"/>
    <n v="120"/>
    <n v="27"/>
    <n v="3240"/>
    <s v="DIESEL"/>
    <m/>
  </r>
  <r>
    <s v="CO-26-045"/>
    <x v="2"/>
    <d v="2026-06-25T00:00:00"/>
    <x v="7"/>
    <x v="1"/>
    <s v="PETROLIZADORA    INTERNATIONAL"/>
    <n v="160"/>
    <n v="27"/>
    <n v="4320"/>
    <s v="DIESEL"/>
    <m/>
  </r>
  <r>
    <s v="CO-26-046"/>
    <x v="2"/>
    <d v="2026-06-25T00:00:00"/>
    <x v="1"/>
    <x v="1"/>
    <s v="PERFILADORA RODATEC RX600-4-4008"/>
    <n v="140"/>
    <n v="27"/>
    <n v="3780"/>
    <s v="DIESEL"/>
    <m/>
  </r>
  <r>
    <s v="CO-26-047"/>
    <x v="2"/>
    <d v="2026-06-25T00:00:00"/>
    <x v="7"/>
    <x v="1"/>
    <s v="PAVIMENTADORA  VOGELE 1800-2 SJ"/>
    <n v="222"/>
    <n v="27"/>
    <n v="5994"/>
    <s v="DIESEL"/>
    <m/>
  </r>
  <r>
    <s v="CO-26-048"/>
    <x v="2"/>
    <d v="2026-06-25T00:00:00"/>
    <x v="7"/>
    <x v="1"/>
    <s v="PayLoder"/>
    <n v="217"/>
    <n v="27"/>
    <n v="5859"/>
    <s v="DIESEL"/>
    <m/>
  </r>
  <r>
    <s v="CO-26-049"/>
    <x v="2"/>
    <d v="2026-06-25T00:00:00"/>
    <x v="7"/>
    <x v="1"/>
    <s v="BIDONES"/>
    <n v="850"/>
    <n v="27"/>
    <n v="22950"/>
    <s v="DIESEL"/>
    <m/>
  </r>
  <r>
    <s v="CO-26-050"/>
    <x v="2"/>
    <d v="2026-06-25T00:00:00"/>
    <x v="1"/>
    <x v="1"/>
    <s v="RETROEXCAVADORA JHONDEREE 310SK"/>
    <n v="50"/>
    <n v="27"/>
    <n v="1350"/>
    <s v="DIESEL"/>
    <m/>
  </r>
  <r>
    <s v="CO-26-051"/>
    <x v="2"/>
    <d v="2026-06-25T00:00:00"/>
    <x v="1"/>
    <x v="1"/>
    <s v="BARREDORA LAYMOR SM400"/>
    <n v="50"/>
    <n v="27"/>
    <n v="1350"/>
    <s v="DIESEL"/>
    <m/>
  </r>
  <r>
    <s v="CO-26-052"/>
    <x v="2"/>
    <d v="2026-06-25T00:00:00"/>
    <x v="1"/>
    <x v="1"/>
    <s v="PAVIMENTADORA  VOGELE 1800-3 i"/>
    <n v="177"/>
    <n v="27"/>
    <n v="4779"/>
    <s v="DIESEL"/>
    <m/>
  </r>
  <r>
    <s v="CO-26-053"/>
    <x v="2"/>
    <d v="2026-06-25T00:00:00"/>
    <x v="4"/>
    <x v="1"/>
    <s v="GENERADOR AMMANN"/>
    <n v="100"/>
    <n v="27"/>
    <n v="2700"/>
    <s v="DIESEL"/>
    <m/>
  </r>
  <r>
    <s v="CO-26-054"/>
    <x v="2"/>
    <d v="2026-06-26T00:00:00"/>
    <x v="2"/>
    <x v="1"/>
    <s v="MOTOCONFORMADORA RENTADA"/>
    <n v="90"/>
    <n v="27"/>
    <n v="2430"/>
    <s v="DIESEL"/>
    <m/>
  </r>
  <r>
    <s v="CO-26-055"/>
    <x v="2"/>
    <d v="2026-06-26T00:00:00"/>
    <x v="2"/>
    <x v="1"/>
    <s v="RETROEXCAVADORA CASE 580 N"/>
    <n v="48"/>
    <n v="27"/>
    <n v="1296"/>
    <s v="DIESEL"/>
    <m/>
  </r>
  <r>
    <s v="CO-26-056"/>
    <x v="2"/>
    <d v="2026-06-26T00:00:00"/>
    <x v="0"/>
    <x v="1"/>
    <s v="TANDEM DOBLE RODILLO / VIBROCOMPACTOR RODILLO CAT CB54"/>
    <n v="40"/>
    <n v="27"/>
    <n v="1080"/>
    <s v="DIESEL"/>
    <m/>
  </r>
  <r>
    <s v="CO-26-057"/>
    <x v="2"/>
    <d v="2026-06-26T00:00:00"/>
    <x v="0"/>
    <x v="1"/>
    <s v="NEUMATICO VOLVO PT-240R"/>
    <n v="30"/>
    <n v="27"/>
    <n v="810"/>
    <s v="DIESEL"/>
    <m/>
  </r>
  <r>
    <s v="CO-26-058"/>
    <x v="2"/>
    <d v="2026-06-26T00:00:00"/>
    <x v="0"/>
    <x v="1"/>
    <s v="NEUMATICO / COMPACTADOR DE NEUMATICOS DINAPAC CP271"/>
    <n v="16"/>
    <n v="27"/>
    <n v="432"/>
    <s v="DIESEL"/>
    <m/>
  </r>
  <r>
    <s v="CO-26-059"/>
    <x v="2"/>
    <d v="2026-06-26T00:00:00"/>
    <x v="0"/>
    <x v="1"/>
    <s v="PAVIMENTADORA  VOGELE SJ 1800-3"/>
    <n v="120"/>
    <n v="27"/>
    <n v="3240"/>
    <s v="DIESEL"/>
    <m/>
  </r>
  <r>
    <s v="CO-26-060"/>
    <x v="2"/>
    <d v="2026-06-26T00:00:00"/>
    <x v="0"/>
    <x v="1"/>
    <s v="TANDEM DOBLE RODILLO / VIBROCOMPACTOR RODILLO CAT CB54"/>
    <n v="32"/>
    <n v="27"/>
    <n v="864"/>
    <s v="DIESEL"/>
    <m/>
  </r>
  <r>
    <s v="CO-26-061"/>
    <x v="2"/>
    <d v="2026-06-26T00:00:00"/>
    <x v="0"/>
    <x v="1"/>
    <s v="RETROEXCAVADORA JHONDEREE 310SK"/>
    <n v="40"/>
    <n v="27"/>
    <n v="1080"/>
    <s v="DIESEL"/>
    <m/>
  </r>
  <r>
    <s v="CO-26-062"/>
    <x v="2"/>
    <d v="2026-06-26T00:00:00"/>
    <x v="1"/>
    <x v="1"/>
    <s v="PETROLIZADORA    INTERNATIONAL"/>
    <n v="41"/>
    <n v="27"/>
    <n v="1107"/>
    <s v="DIESEL"/>
    <m/>
  </r>
  <r>
    <s v="CO-26-063"/>
    <x v="2"/>
    <d v="2026-06-26T00:00:00"/>
    <x v="0"/>
    <x v="1"/>
    <s v="PERFILADORA RODATEC RX600E"/>
    <n v="329"/>
    <n v="27"/>
    <n v="8883"/>
    <s v="DIESEL"/>
    <m/>
  </r>
  <r>
    <s v="CO-26-064"/>
    <x v="2"/>
    <d v="2026-06-26T00:00:00"/>
    <x v="2"/>
    <x v="1"/>
    <s v="BIDONES"/>
    <n v="480"/>
    <n v="27"/>
    <n v="12960"/>
    <s v="DIESEL"/>
    <m/>
  </r>
  <r>
    <s v="CO-26-065"/>
    <x v="2"/>
    <d v="2026-06-26T00:00:00"/>
    <x v="2"/>
    <x v="1"/>
    <s v="MOTOCONFORMADORA RENTADA"/>
    <n v="220"/>
    <n v="27"/>
    <n v="5940"/>
    <s v="DIESEL"/>
    <m/>
  </r>
  <r>
    <s v="CO-26-066"/>
    <x v="2"/>
    <d v="2026-06-26T00:00:00"/>
    <x v="2"/>
    <x v="1"/>
    <s v="DOBLE RODILLO/VIBROCOMPACTADOR DE RODILLOS HAMM 140HD"/>
    <n v="80"/>
    <n v="27"/>
    <n v="2160"/>
    <s v="DIESEL"/>
    <m/>
  </r>
  <r>
    <s v="CO-26-067"/>
    <x v="2"/>
    <d v="2026-06-26T00:00:00"/>
    <x v="2"/>
    <x v="1"/>
    <s v="RETROEXCAVADORA CASE 580 N"/>
    <n v="80"/>
    <n v="27"/>
    <n v="2160"/>
    <s v="DIESEL"/>
    <m/>
  </r>
  <r>
    <s v="CO-26-068"/>
    <x v="2"/>
    <d v="2026-06-26T00:00:00"/>
    <x v="0"/>
    <x v="1"/>
    <s v="PERFILADORA RODATEC RX600E"/>
    <n v="200"/>
    <n v="27"/>
    <n v="5400"/>
    <s v="DIESEL"/>
    <m/>
  </r>
  <r>
    <s v="CO-26-069"/>
    <x v="2"/>
    <d v="2026-06-26T00:00:00"/>
    <x v="4"/>
    <x v="1"/>
    <s v="GENERADOR AMMANN"/>
    <n v="200"/>
    <n v="27"/>
    <n v="5400"/>
    <s v="DIESEL"/>
    <m/>
  </r>
  <r>
    <s v="CO-26-070"/>
    <x v="2"/>
    <d v="2026-06-27T00:00:00"/>
    <x v="0"/>
    <x v="1"/>
    <s v="BARREDORA BROCE RJ350"/>
    <n v="24"/>
    <n v="27"/>
    <n v="648"/>
    <s v="DIESEL"/>
    <m/>
  </r>
  <r>
    <s v="CO-26-071"/>
    <x v="2"/>
    <d v="2026-06-27T00:00:00"/>
    <x v="0"/>
    <x v="1"/>
    <s v="PIPA DE AGUA (IMPACTO 01) FORD"/>
    <n v="50"/>
    <n v="27"/>
    <n v="1350"/>
    <s v="DIESEL"/>
    <m/>
  </r>
  <r>
    <s v="CO-26-072"/>
    <x v="2"/>
    <d v="2026-06-27T00:00:00"/>
    <x v="0"/>
    <x v="1"/>
    <s v="PERFILADORA RODATEC RX600E"/>
    <n v="118"/>
    <n v="27"/>
    <n v="3186"/>
    <s v="DIESEL"/>
    <m/>
  </r>
  <r>
    <s v="CO-26-073"/>
    <x v="2"/>
    <d v="2026-06-27T00:00:00"/>
    <x v="4"/>
    <x v="1"/>
    <s v="GENERADOR AMMANN"/>
    <n v="100"/>
    <n v="27"/>
    <n v="2700"/>
    <s v="DIESEL"/>
    <m/>
  </r>
  <r>
    <s v="CO-26-074"/>
    <x v="2"/>
    <d v="2026-06-27T00:00:00"/>
    <x v="4"/>
    <x v="1"/>
    <s v="Criba Roja"/>
    <n v="60"/>
    <n v="27"/>
    <n v="1620"/>
    <s v="DIESEL"/>
    <m/>
  </r>
  <r>
    <s v="CO-26-075"/>
    <x v="2"/>
    <d v="2026-06-27T00:00:00"/>
    <x v="4"/>
    <x v="1"/>
    <s v="MAXILIGHT"/>
    <n v="40"/>
    <n v="27"/>
    <n v="1080"/>
    <s v="DIESEL"/>
    <m/>
  </r>
  <r>
    <s v="CO-26-076"/>
    <x v="2"/>
    <d v="2026-06-27T00:00:00"/>
    <x v="4"/>
    <x v="1"/>
    <s v="PayLoder"/>
    <n v="200"/>
    <n v="27"/>
    <n v="5400"/>
    <s v="DIESEL"/>
    <m/>
  </r>
  <r>
    <s v="CO-26-077"/>
    <x v="2"/>
    <d v="2026-06-27T00:00:00"/>
    <x v="4"/>
    <x v="1"/>
    <s v="AUTOTANQUE(QUEMADOR)"/>
    <n v="200"/>
    <n v="27"/>
    <n v="5400"/>
    <s v="DIESEL"/>
    <m/>
  </r>
  <r>
    <s v="CO-27-001"/>
    <x v="3"/>
    <d v="2026-06-29T00:00:00"/>
    <x v="0"/>
    <x v="1"/>
    <s v="PAVIMENTADORA  VOGELE SJ 1800-3"/>
    <n v="102"/>
    <n v="27"/>
    <n v="2754"/>
    <s v="DIESEL"/>
    <m/>
  </r>
  <r>
    <s v="CO-27-002"/>
    <x v="3"/>
    <d v="2026-06-29T00:00:00"/>
    <x v="0"/>
    <x v="1"/>
    <s v="DOBLE RODILLO/VIBROCOMPACTADOR DE RODILLOS HAMM 120HD VV"/>
    <n v="41"/>
    <n v="27"/>
    <n v="1107"/>
    <s v="DIESEL"/>
    <m/>
  </r>
  <r>
    <s v="CO-27-003"/>
    <x v="3"/>
    <d v="2026-06-29T00:00:00"/>
    <x v="0"/>
    <x v="1"/>
    <s v="DOBLE RODILLO/VIBROCOMPACTADOR DE RODILLOS HAMM 140HD"/>
    <n v="23"/>
    <n v="27"/>
    <n v="621"/>
    <s v="DIESEL"/>
    <m/>
  </r>
  <r>
    <s v="CO-27-004"/>
    <x v="3"/>
    <d v="2026-06-29T00:00:00"/>
    <x v="0"/>
    <x v="1"/>
    <s v="RETROEXCAVADORA JHONDEREE 310SK"/>
    <n v="60"/>
    <n v="27"/>
    <n v="1620"/>
    <s v="DIESEL"/>
    <m/>
  </r>
  <r>
    <s v="CO-27-005"/>
    <x v="3"/>
    <d v="2026-06-29T00:00:00"/>
    <x v="0"/>
    <x v="1"/>
    <s v="PERFILADORA RODATEC RX600E"/>
    <n v="97"/>
    <n v="27"/>
    <n v="2619"/>
    <s v="DIESEL"/>
    <m/>
  </r>
  <r>
    <s v="CO-27-006"/>
    <x v="3"/>
    <d v="2026-06-29T00:00:00"/>
    <x v="1"/>
    <x v="1"/>
    <s v="PAVIMENTADORA  VOGELE 1800-3 i"/>
    <n v="178"/>
    <n v="27"/>
    <n v="4806"/>
    <s v="DIESEL"/>
    <m/>
  </r>
  <r>
    <s v="CO-27-007"/>
    <x v="3"/>
    <d v="2026-06-29T00:00:00"/>
    <x v="1"/>
    <x v="1"/>
    <s v="TANDEM DOBLE RODILLO / VIBROCOMPACTOR RODILLO CAT CB54"/>
    <n v="38"/>
    <n v="27"/>
    <n v="1026"/>
    <s v="DIESEL"/>
    <m/>
  </r>
  <r>
    <s v="CO-27-008"/>
    <x v="3"/>
    <d v="2026-06-29T00:00:00"/>
    <x v="0"/>
    <x v="1"/>
    <s v="PETROLIZADORA    INTERNATIONAL"/>
    <n v="50"/>
    <n v="27"/>
    <n v="1350"/>
    <s v="DIESEL"/>
    <m/>
  </r>
  <r>
    <s v="CO-27-009"/>
    <x v="3"/>
    <d v="2026-06-29T00:00:00"/>
    <x v="4"/>
    <x v="1"/>
    <s v="GENERADOR AMMANN"/>
    <n v="200"/>
    <n v="27"/>
    <n v="5400"/>
    <s v="DIESEL"/>
    <m/>
  </r>
  <r>
    <s v="CO-27-010"/>
    <x v="3"/>
    <d v="2026-06-29T00:00:00"/>
    <x v="4"/>
    <x v="1"/>
    <s v="GENERADOR AMMANN"/>
    <n v="80"/>
    <n v="27"/>
    <n v="2160"/>
    <s v="DIESEL"/>
    <m/>
  </r>
  <r>
    <s v="CO-27-011"/>
    <x v="3"/>
    <d v="2026-06-29T00:00:00"/>
    <x v="4"/>
    <x v="1"/>
    <s v="Generador"/>
    <n v="300"/>
    <n v="27"/>
    <n v="8100"/>
    <s v="DIESEL"/>
    <m/>
  </r>
  <r>
    <s v="CO-27-012"/>
    <x v="3"/>
    <d v="2026-06-29T00:00:00"/>
    <x v="1"/>
    <x v="1"/>
    <s v="TANDEM DOBLE RODILLO / VIBROCOMPACTOR RODILLO CAT CB54"/>
    <n v="38"/>
    <n v="27"/>
    <n v="1026"/>
    <s v="DIESEL"/>
    <m/>
  </r>
  <r>
    <s v="CO-27-013"/>
    <x v="3"/>
    <d v="2026-06-29T00:00:00"/>
    <x v="5"/>
    <x v="1"/>
    <s v="PayLoder"/>
    <n v="210"/>
    <n v="27"/>
    <n v="5670"/>
    <s v="DIESEL"/>
    <m/>
  </r>
  <r>
    <s v="CO-27-014"/>
    <x v="3"/>
    <d v="2026-06-29T00:00:00"/>
    <x v="5"/>
    <x v="1"/>
    <s v="CALDERA TRIASO"/>
    <n v="300"/>
    <n v="27"/>
    <n v="8100"/>
    <s v="DIESEL"/>
    <m/>
  </r>
  <r>
    <s v="CO-27-015"/>
    <x v="3"/>
    <d v="2026-06-29T00:00:00"/>
    <x v="8"/>
    <x v="1"/>
    <s v="PETROLIZADORA    INTERNATIONAL"/>
    <n v="60"/>
    <n v="27"/>
    <n v="1620"/>
    <s v="DIESEL"/>
    <m/>
  </r>
  <r>
    <s v="CO-27-016"/>
    <x v="3"/>
    <d v="2026-06-29T00:00:00"/>
    <x v="1"/>
    <x v="1"/>
    <s v="PETROLIZADORA    INTERNATIONAL"/>
    <n v="59"/>
    <n v="27"/>
    <n v="1593"/>
    <s v="DIESEL"/>
    <m/>
  </r>
  <r>
    <s v="CO-27-017"/>
    <x v="3"/>
    <d v="2026-06-29T00:00:00"/>
    <x v="1"/>
    <x v="1"/>
    <s v="PIPA DE AGUA (IMPACTO 01) FORD"/>
    <n v="94"/>
    <n v="27"/>
    <n v="2538"/>
    <s v="DIESEL"/>
    <m/>
  </r>
  <r>
    <s v="CO-27-018"/>
    <x v="3"/>
    <d v="2026-06-29T00:00:00"/>
    <x v="2"/>
    <x v="1"/>
    <s v="RETROEXCAVADORA JHONDEREE 310SK"/>
    <n v="45"/>
    <n v="27"/>
    <n v="1215"/>
    <s v="DIESEL"/>
    <m/>
  </r>
  <r>
    <s v="CO-27-019"/>
    <x v="3"/>
    <d v="2026-06-30T00:00:00"/>
    <x v="1"/>
    <x v="1"/>
    <s v="PERFILADORA RODATEC RX600-4-4008"/>
    <n v="400"/>
    <n v="27"/>
    <n v="10800"/>
    <s v="DIESEL"/>
    <m/>
  </r>
  <r>
    <s v="CO-27-020"/>
    <x v="3"/>
    <d v="2026-06-30T00:00:00"/>
    <x v="1"/>
    <x v="1"/>
    <s v="BARREDORA LAYMOR SM400"/>
    <n v="30"/>
    <n v="27"/>
    <n v="810"/>
    <s v="DIESEL"/>
    <m/>
  </r>
  <r>
    <s v="CO-27-021"/>
    <x v="3"/>
    <d v="2026-06-30T00:00:00"/>
    <x v="4"/>
    <x v="1"/>
    <s v="GENERADOR AMMANN"/>
    <n v="100"/>
    <n v="27"/>
    <n v="2700"/>
    <s v="DIESEL"/>
    <m/>
  </r>
  <r>
    <s v="CO-27-022"/>
    <x v="3"/>
    <d v="2026-06-30T00:00:00"/>
    <x v="9"/>
    <x v="1"/>
    <s v="NEUMATICO VOLVO PT-125R"/>
    <n v="50"/>
    <n v="27"/>
    <n v="1350"/>
    <s v="DIESEL"/>
    <m/>
  </r>
  <r>
    <s v="CO-27-023"/>
    <x v="3"/>
    <d v="2026-06-30T00:00:00"/>
    <x v="9"/>
    <x v="1"/>
    <s v="NEUMATICO / COMPACTADOR DE NEUMATICOS DINAPAC CP271"/>
    <n v="50"/>
    <n v="27"/>
    <n v="1350"/>
    <s v="DIESEL"/>
    <m/>
  </r>
  <r>
    <s v="CO-27-024"/>
    <x v="3"/>
    <d v="2026-06-30T00:00:00"/>
    <x v="9"/>
    <x v="1"/>
    <s v="CAMION DE SELLO"/>
    <n v="100"/>
    <n v="27"/>
    <n v="2700"/>
    <s v="DIESEL"/>
    <m/>
  </r>
  <r>
    <s v="CO-27-025"/>
    <x v="3"/>
    <d v="2026-06-30T00:00:00"/>
    <x v="1"/>
    <x v="1"/>
    <s v="Limpieza"/>
    <n v="29"/>
    <n v="27"/>
    <n v="783"/>
    <s v="DIESEL"/>
    <m/>
  </r>
  <r>
    <s v="CO-27-026"/>
    <x v="3"/>
    <d v="2026-07-01T00:00:00"/>
    <x v="0"/>
    <x v="1"/>
    <s v="DOBLE RODILLO/VIBROCOMPACTADOR DE RODILLOS HAMM 120HD VV"/>
    <n v="33"/>
    <n v="27"/>
    <n v="891"/>
    <s v="DIESEL"/>
    <m/>
  </r>
  <r>
    <s v="CO-27-027"/>
    <x v="3"/>
    <d v="2026-07-01T00:00:00"/>
    <x v="0"/>
    <x v="1"/>
    <s v="NEUMATICO / COMPACTADOR DE NEUMATICOS DINAPAC CP271"/>
    <n v="40"/>
    <n v="27"/>
    <n v="1080"/>
    <s v="DIESEL"/>
    <m/>
  </r>
  <r>
    <s v="CO-27-028"/>
    <x v="3"/>
    <d v="2026-07-01T00:00:00"/>
    <x v="0"/>
    <x v="1"/>
    <s v="DOBLE RODILLO/VIBROCOMPACTADOR DE RODILLOS HAMM 140HD"/>
    <n v="40"/>
    <n v="27"/>
    <n v="1080"/>
    <s v="DIESEL"/>
    <m/>
  </r>
  <r>
    <s v="CO-27-029"/>
    <x v="3"/>
    <d v="2026-07-01T00:00:00"/>
    <x v="0"/>
    <x v="1"/>
    <s v="NEUMATICO VOLVO PT-240R"/>
    <n v="40"/>
    <n v="27"/>
    <n v="1080"/>
    <s v="DIESEL"/>
    <m/>
  </r>
  <r>
    <s v="CO-27-030"/>
    <x v="3"/>
    <d v="2026-07-01T00:00:00"/>
    <x v="0"/>
    <x v="1"/>
    <s v="PAVIMENTADORA  VOGELE 1800-2 SJ"/>
    <n v="120"/>
    <n v="27"/>
    <n v="3240"/>
    <s v="DIESEL"/>
    <m/>
  </r>
  <r>
    <s v="CO-24-061"/>
    <x v="0"/>
    <d v="2026-06-08T00:00:00"/>
    <x v="0"/>
    <x v="1"/>
    <s v="(Captura_Marimba_M01) Neuomatico"/>
    <n v="30"/>
    <n v="28.3"/>
    <n v="849"/>
    <s v="DIESEL"/>
    <m/>
  </r>
  <r>
    <s v="CO-24-062"/>
    <x v="0"/>
    <d v="2026-06-08T00:00:00"/>
    <x v="0"/>
    <x v="1"/>
    <s v="(Captura_Marimba_M01) Compactador"/>
    <n v="32"/>
    <n v="28.3"/>
    <n v="905.6"/>
    <s v="DIESEL"/>
    <m/>
  </r>
  <r>
    <s v="CO-24-063"/>
    <x v="0"/>
    <d v="2026-06-08T00:00:00"/>
    <x v="0"/>
    <x v="1"/>
    <s v="(Captura_Marimba_M01) Perfiladora"/>
    <n v="277"/>
    <n v="28.3"/>
    <n v="7839.1"/>
    <s v="DIESEL"/>
    <m/>
  </r>
  <r>
    <s v="CO-24-064"/>
    <x v="0"/>
    <d v="2026-06-08T00:00:00"/>
    <x v="0"/>
    <x v="1"/>
    <s v="(Captura_Marimba_M01) Retroexcavadora"/>
    <n v="30"/>
    <n v="28.3"/>
    <n v="849"/>
    <s v="DIESEL"/>
    <m/>
  </r>
  <r>
    <s v="CO-24-065"/>
    <x v="0"/>
    <d v="2026-06-08T00:00:00"/>
    <x v="1"/>
    <x v="1"/>
    <s v="(Captura_Marimba_M01) Vogel"/>
    <n v="97"/>
    <n v="28.3"/>
    <n v="2745.1"/>
    <s v="DIESEL"/>
    <m/>
  </r>
  <r>
    <s v="CO-24-066"/>
    <x v="0"/>
    <d v="2026-06-08T00:00:00"/>
    <x v="3"/>
    <x v="1"/>
    <s v="(Captura_Marimba_M01) Perfiladora Wirgent"/>
    <n v="198"/>
    <n v="28.3"/>
    <n v="5603.4000000000005"/>
    <s v="DIESEL"/>
    <m/>
  </r>
  <r>
    <s v="CO-24-067"/>
    <x v="0"/>
    <d v="2026-06-08T00:00:00"/>
    <x v="3"/>
    <x v="1"/>
    <s v="(Captura_Marimba_M01) Maxilihgs"/>
    <n v="10"/>
    <n v="28.3"/>
    <n v="283"/>
    <s v="DIESEL"/>
    <m/>
  </r>
  <r>
    <s v="CO-24-068"/>
    <x v="0"/>
    <d v="2026-06-08T00:00:00"/>
    <x v="3"/>
    <x v="1"/>
    <s v="(Captura_Marimba_M01) Neuomatico Dynapac"/>
    <n v="27"/>
    <n v="28.3"/>
    <n v="764.1"/>
    <s v="DIESEL"/>
    <m/>
  </r>
  <r>
    <s v="CO-24-069"/>
    <x v="0"/>
    <d v="2026-06-08T00:00:00"/>
    <x v="3"/>
    <x v="1"/>
    <s v="(Captura_Marimba_M01) Compresor"/>
    <n v="30"/>
    <n v="28.3"/>
    <n v="849"/>
    <s v="DIESEL"/>
    <m/>
  </r>
  <r>
    <s v="CO-24-070"/>
    <x v="0"/>
    <d v="2026-06-08T00:00:00"/>
    <x v="3"/>
    <x v="1"/>
    <s v="(Captura_Marimba_M01) Retroexcavadora Jonh Deere"/>
    <n v="40"/>
    <n v="28.3"/>
    <n v="1132"/>
    <s v="DIESEL"/>
    <m/>
  </r>
  <r>
    <s v="CO-24-071"/>
    <x v="0"/>
    <d v="2026-06-08T00:00:00"/>
    <x v="3"/>
    <x v="1"/>
    <s v="(Captura_Marimba_M01) Vogele Guion"/>
    <n v="120"/>
    <n v="28.3"/>
    <n v="3396"/>
    <s v="DIESEL"/>
    <m/>
  </r>
  <r>
    <s v="CO-24-072"/>
    <x v="0"/>
    <d v="2026-06-08T00:00:00"/>
    <x v="3"/>
    <x v="1"/>
    <s v="(Captura_Marimba_M01) Petrolizadora Elton"/>
    <n v="30"/>
    <n v="28.3"/>
    <n v="849"/>
    <s v="DIESEL"/>
    <m/>
  </r>
  <r>
    <s v="CO-24-073"/>
    <x v="0"/>
    <d v="2026-06-09T00:00:00"/>
    <x v="3"/>
    <x v="1"/>
    <s v="(Captura_Marimba_M01) Barredora Broce"/>
    <n v="30"/>
    <n v="28.3"/>
    <n v="849"/>
    <s v="DIESEL"/>
    <m/>
  </r>
  <r>
    <s v="CO-24-074"/>
    <x v="0"/>
    <d v="2026-06-09T00:00:00"/>
    <x v="3"/>
    <x v="1"/>
    <s v="(Captura_Marimba_M01) Buggy Trasnfer"/>
    <n v="100"/>
    <n v="28.3"/>
    <n v="2830"/>
    <s v="DIESEL"/>
    <m/>
  </r>
  <r>
    <s v="CO-24-075"/>
    <x v="0"/>
    <d v="2026-06-09T00:00:00"/>
    <x v="3"/>
    <x v="1"/>
    <s v="(Captura_Marimba_M01) Tandem Hamm"/>
    <n v="30"/>
    <n v="28.3"/>
    <n v="849"/>
    <s v="DIESEL"/>
    <m/>
  </r>
  <r>
    <s v="CO-24-076"/>
    <x v="0"/>
    <d v="2026-06-09T00:00:00"/>
    <x v="3"/>
    <x v="1"/>
    <s v="(Captura_Marimba_M01) Perfiladora Wirgent"/>
    <n v="150"/>
    <n v="28.3"/>
    <n v="4245"/>
    <s v="DIESEL"/>
    <m/>
  </r>
  <r>
    <s v="CO-24-077"/>
    <x v="0"/>
    <d v="2026-06-09T00:00:00"/>
    <x v="3"/>
    <x v="1"/>
    <s v="(Captura_Marimba_M01) Petrolizadora Elton"/>
    <n v="50"/>
    <n v="28.3"/>
    <n v="1415"/>
    <s v="DIESEL"/>
    <m/>
  </r>
  <r>
    <s v="CO-24-078"/>
    <x v="0"/>
    <d v="2026-06-09T00:00:00"/>
    <x v="3"/>
    <x v="1"/>
    <s v="(Captura_Marimba_M01) Vogele Guion"/>
    <n v="136"/>
    <n v="28.3"/>
    <n v="3848.8"/>
    <s v="DIESEL"/>
    <m/>
  </r>
  <r>
    <s v="CO-24-079"/>
    <x v="0"/>
    <d v="2026-06-09T00:00:00"/>
    <x v="3"/>
    <x v="1"/>
    <s v="(Captura_Marimba_M01) Tandem Hamm"/>
    <n v="30"/>
    <n v="28.3"/>
    <n v="849"/>
    <s v="DIESEL"/>
    <m/>
  </r>
  <r>
    <s v="CO-24-080"/>
    <x v="0"/>
    <d v="2026-06-09T00:00:00"/>
    <x v="3"/>
    <x v="1"/>
    <s v="(Captura_Marimba_M01) Neuomatico"/>
    <n v="30"/>
    <n v="28.3"/>
    <n v="849"/>
    <s v="DIESEL"/>
    <m/>
  </r>
  <r>
    <s v="CO-24-081"/>
    <x v="0"/>
    <d v="2026-06-09T00:00:00"/>
    <x v="3"/>
    <x v="1"/>
    <s v="(Captura_Marimba_M01) Buggy Trasnfer"/>
    <n v="100"/>
    <n v="28.3"/>
    <n v="2830"/>
    <s v="DIESEL"/>
    <m/>
  </r>
  <r>
    <s v="CO-24-082"/>
    <x v="0"/>
    <d v="2026-06-09T00:00:00"/>
    <x v="3"/>
    <x v="1"/>
    <s v="(Captura_Marimba_M01) Retroexcavadora Jonh Deere"/>
    <n v="60"/>
    <n v="28.3"/>
    <n v="1698"/>
    <s v="DIESEL"/>
    <m/>
  </r>
  <r>
    <s v="CO-24-083"/>
    <x v="0"/>
    <d v="2026-06-09T00:00:00"/>
    <x v="3"/>
    <x v="1"/>
    <s v="(Captura_Marimba_M01) Compresor"/>
    <n v="20"/>
    <n v="28.3"/>
    <n v="566"/>
    <s v="DIESEL"/>
    <m/>
  </r>
  <r>
    <s v="CO-24-084"/>
    <x v="0"/>
    <d v="2026-06-10T00:00:00"/>
    <x v="0"/>
    <x v="1"/>
    <s v="(Captura_Marimba_M01) Barredora"/>
    <n v="20"/>
    <n v="28.3"/>
    <n v="566"/>
    <s v="DIESEL"/>
    <m/>
  </r>
  <r>
    <s v="CO-24-085"/>
    <x v="0"/>
    <d v="2026-06-10T00:00:00"/>
    <x v="0"/>
    <x v="1"/>
    <s v="(Captura_Marimba_M01) Perfiladora"/>
    <n v="250"/>
    <n v="28.3"/>
    <n v="7075"/>
    <s v="DIESEL"/>
    <m/>
  </r>
  <r>
    <s v="CO-24-086"/>
    <x v="0"/>
    <d v="2026-06-10T00:00:00"/>
    <x v="0"/>
    <x v="1"/>
    <s v="(Captura_Marimba_M01) Retroexcavadora"/>
    <n v="30"/>
    <n v="28.3"/>
    <n v="849"/>
    <s v="DIESEL"/>
    <m/>
  </r>
  <r>
    <s v="CO-24-087"/>
    <x v="0"/>
    <d v="2026-06-11T00:00:00"/>
    <x v="0"/>
    <x v="1"/>
    <s v="(Captura_Marimba_M01) Compactador"/>
    <n v="30"/>
    <n v="28.3"/>
    <n v="849"/>
    <s v="DIESEL"/>
    <m/>
  </r>
  <r>
    <s v="CO-24-088"/>
    <x v="0"/>
    <d v="2026-06-11T00:00:00"/>
    <x v="0"/>
    <x v="1"/>
    <s v="(Captura_Marimba_M01) Neuomatico"/>
    <n v="30"/>
    <n v="28.3"/>
    <n v="849"/>
    <s v="DIESEL"/>
    <m/>
  </r>
  <r>
    <s v="CO-24-089"/>
    <x v="0"/>
    <d v="2026-06-11T00:00:00"/>
    <x v="0"/>
    <x v="1"/>
    <s v="(Captura_Marimba_M01) Vogel"/>
    <n v="136"/>
    <n v="28.3"/>
    <n v="3848.8"/>
    <s v="DIESEL"/>
    <m/>
  </r>
  <r>
    <s v="CO-24-090"/>
    <x v="0"/>
    <d v="2026-06-11T00:00:00"/>
    <x v="0"/>
    <x v="1"/>
    <s v="(Captura_Marimba_M01) Barredora"/>
    <n v="20"/>
    <n v="28.3"/>
    <n v="566"/>
    <s v="DIESEL"/>
    <m/>
  </r>
  <r>
    <s v="CO-24-091"/>
    <x v="0"/>
    <d v="2026-06-11T00:00:00"/>
    <x v="0"/>
    <x v="1"/>
    <s v="(Captura_Marimba_M01) Retroexcavadora"/>
    <n v="20"/>
    <n v="28.3"/>
    <n v="566"/>
    <s v="DIESEL"/>
    <m/>
  </r>
  <r>
    <s v="CO-24-092"/>
    <x v="0"/>
    <d v="2026-06-11T00:00:00"/>
    <x v="0"/>
    <x v="1"/>
    <s v="(Captura_Marimba_M01) Maxilihgs"/>
    <n v="20"/>
    <n v="28.3"/>
    <n v="566"/>
    <s v="DIESEL"/>
    <m/>
  </r>
  <r>
    <s v="CO-24-093"/>
    <x v="0"/>
    <d v="2026-06-12T00:00:00"/>
    <x v="3"/>
    <x v="1"/>
    <s v="(Captura_Marimba_M01) Tandem Hamm"/>
    <n v="32"/>
    <n v="28.3"/>
    <n v="905.6"/>
    <s v="DIESEL"/>
    <m/>
  </r>
  <r>
    <s v="CO-24-094"/>
    <x v="0"/>
    <d v="2026-06-12T00:00:00"/>
    <x v="3"/>
    <x v="1"/>
    <s v="(Captura_Marimba_M01) Neuomatico Dynapac"/>
    <n v="30"/>
    <n v="28.3"/>
    <n v="849"/>
    <s v="DIESEL"/>
    <m/>
  </r>
  <r>
    <s v="CO-24-095"/>
    <x v="0"/>
    <d v="2026-06-12T00:00:00"/>
    <x v="3"/>
    <x v="1"/>
    <s v="(Captura_Marimba_M01) Barredora Broce"/>
    <n v="30"/>
    <n v="28.3"/>
    <n v="849"/>
    <s v="DIESEL"/>
    <m/>
  </r>
  <r>
    <s v="CO-24-096"/>
    <x v="0"/>
    <d v="2026-06-12T00:00:00"/>
    <x v="3"/>
    <x v="1"/>
    <s v="(Captura_Marimba_M01) Retroexcavadora Jonh Deere"/>
    <n v="50"/>
    <n v="28.3"/>
    <n v="1415"/>
    <s v="DIESEL"/>
    <m/>
  </r>
  <r>
    <s v="CO-24-097"/>
    <x v="0"/>
    <d v="2026-06-12T00:00:00"/>
    <x v="3"/>
    <x v="1"/>
    <s v="(Captura_Marimba_M01) Vogele Guion"/>
    <n v="120"/>
    <n v="28.3"/>
    <n v="3396"/>
    <s v="DIESEL"/>
    <m/>
  </r>
  <r>
    <s v="CO-24-098"/>
    <x v="0"/>
    <d v="2026-06-12T00:00:00"/>
    <x v="3"/>
    <x v="1"/>
    <s v="(Captura_Marimba_M01) Petrolizadora Elton"/>
    <n v="40"/>
    <n v="28.3"/>
    <n v="1132"/>
    <s v="DIESEL"/>
    <m/>
  </r>
  <r>
    <s v="CO-24-099"/>
    <x v="0"/>
    <d v="2026-06-12T00:00:00"/>
    <x v="3"/>
    <x v="1"/>
    <s v="(Captura_Marimba_M01) Perfiladora Wirgent"/>
    <n v="200"/>
    <n v="28.3"/>
    <n v="5660"/>
    <s v="DIESEL"/>
    <m/>
  </r>
  <r>
    <s v="CO-24-100"/>
    <x v="0"/>
    <d v="2026-06-12T00:00:00"/>
    <x v="0"/>
    <x v="1"/>
    <s v="(Captura_Marimba_M01) Barredora"/>
    <n v="20"/>
    <n v="28.3"/>
    <n v="566"/>
    <s v="DIESEL"/>
    <m/>
  </r>
  <r>
    <s v="CO-24-101"/>
    <x v="0"/>
    <d v="2026-06-12T00:00:00"/>
    <x v="0"/>
    <x v="1"/>
    <s v="(Captura_Marimba_M01) Neuomatico"/>
    <n v="30"/>
    <n v="28.3"/>
    <n v="849"/>
    <s v="DIESEL"/>
    <m/>
  </r>
  <r>
    <s v="CO-24-102"/>
    <x v="0"/>
    <d v="2026-06-12T00:00:00"/>
    <x v="0"/>
    <x v="1"/>
    <s v="(Captura_Marimba_M01) Maxilihgs"/>
    <n v="20"/>
    <n v="28.3"/>
    <n v="566"/>
    <s v="DIESEL"/>
    <m/>
  </r>
  <r>
    <s v="CO-24-103"/>
    <x v="0"/>
    <d v="2026-06-12T00:00:00"/>
    <x v="0"/>
    <x v="1"/>
    <s v="(Captura_Marimba_M01) Compactador"/>
    <n v="40"/>
    <n v="28.3"/>
    <n v="1132"/>
    <s v="DIESEL"/>
    <m/>
  </r>
  <r>
    <s v="CO-24-104"/>
    <x v="0"/>
    <d v="2026-06-12T00:00:00"/>
    <x v="0"/>
    <x v="1"/>
    <s v="(Captura_Marimba_M01) Perfiladora"/>
    <n v="250"/>
    <n v="28.3"/>
    <n v="7075"/>
    <s v="DIESEL"/>
    <m/>
  </r>
  <r>
    <s v="CO-25-070"/>
    <x v="1"/>
    <d v="2026-06-15T00:00:00"/>
    <x v="0"/>
    <x v="1"/>
    <s v="(Captura_Marimba_M01) PERFILADORA WIRGENT-W200i"/>
    <n v="200"/>
    <n v="28.3"/>
    <n v="5660"/>
    <s v="DIESEL"/>
    <m/>
  </r>
  <r>
    <s v="CO-25-071"/>
    <x v="1"/>
    <d v="2026-06-15T00:00:00"/>
    <x v="0"/>
    <x v="1"/>
    <s v="(Captura_Marimba_M01) RETROEXCAVADORA JHONDEREE 310SK"/>
    <n v="40"/>
    <n v="28.3"/>
    <n v="1132"/>
    <s v="DIESEL"/>
    <m/>
  </r>
  <r>
    <s v="CO-25-072"/>
    <x v="1"/>
    <d v="2026-06-15T00:00:00"/>
    <x v="0"/>
    <x v="1"/>
    <s v="(Captura_Marimba_M01) TANDEM DOBLE RODILLO / VIBROCOMPACTOR RODILLO CAT CB54"/>
    <n v="30"/>
    <n v="28.3"/>
    <n v="849"/>
    <s v="DIESEL"/>
    <m/>
  </r>
  <r>
    <s v="CO-25-073"/>
    <x v="1"/>
    <d v="2026-06-15T00:00:00"/>
    <x v="0"/>
    <x v="1"/>
    <s v="(Captura_Marimba_M01) NEUMATICO VOLVO PT-240R"/>
    <n v="50"/>
    <n v="28.3"/>
    <n v="1415"/>
    <s v="DIESEL"/>
    <m/>
  </r>
  <r>
    <s v="CO-25-074"/>
    <x v="1"/>
    <d v="2026-06-15T00:00:00"/>
    <x v="0"/>
    <x v="1"/>
    <s v="(Captura_Marimba_M01) PAVIMENTADORA  VOGELE SJ 1800-3"/>
    <n v="99"/>
    <n v="28.3"/>
    <n v="2801.7000000000003"/>
    <s v="DIESEL"/>
    <m/>
  </r>
  <r>
    <s v="CO-25-075"/>
    <x v="1"/>
    <d v="2026-06-15T00:00:00"/>
    <x v="0"/>
    <x v="1"/>
    <s v="(Captura_Marimba_M01) PETROLIZADORA    INTERNATIONAL"/>
    <n v="50"/>
    <n v="28.3"/>
    <n v="1415"/>
    <s v="DIESEL"/>
    <m/>
  </r>
  <r>
    <s v="CO-25-076"/>
    <x v="1"/>
    <d v="2026-06-16T00:00:00"/>
    <x v="0"/>
    <x v="1"/>
    <s v="(Captura_Marimba_M01) PERFILADORA WIRGENT-W200i"/>
    <n v="200"/>
    <n v="28.3"/>
    <n v="5660"/>
    <s v="DIESEL"/>
    <m/>
  </r>
  <r>
    <s v="CO-25-077"/>
    <x v="1"/>
    <d v="2026-06-16T00:00:00"/>
    <x v="0"/>
    <x v="1"/>
    <s v="(Captura_Marimba_M01) TANDEM DOBLE RODILLO / VIBROCOMPACTOR RODILLO CAT CB54"/>
    <n v="32"/>
    <n v="28.3"/>
    <n v="905.6"/>
    <s v="DIESEL"/>
    <m/>
  </r>
  <r>
    <s v="CO-25-078"/>
    <x v="1"/>
    <d v="2026-06-16T00:00:00"/>
    <x v="0"/>
    <x v="1"/>
    <s v="(Captura_Marimba_M01) NEUMATICO VOLVO PT-240R"/>
    <n v="30"/>
    <n v="28.3"/>
    <n v="849"/>
    <s v="DIESEL"/>
    <m/>
  </r>
  <r>
    <s v="CO-25-079"/>
    <x v="1"/>
    <d v="2026-06-16T00:00:00"/>
    <x v="0"/>
    <x v="1"/>
    <s v="(Captura_Marimba_M01) BARREDORA BROCE RJ350"/>
    <n v="30"/>
    <n v="28.3"/>
    <n v="849"/>
    <s v="DIESEL"/>
    <m/>
  </r>
  <r>
    <s v="CO-25-080"/>
    <x v="1"/>
    <d v="2026-06-16T00:00:00"/>
    <x v="0"/>
    <x v="1"/>
    <s v="(Captura_Marimba_M01) PAVIMENTADORA  VOGELE SJ 1800-3"/>
    <n v="107"/>
    <n v="28.3"/>
    <n v="3028.1"/>
    <s v="DIESEL"/>
    <m/>
  </r>
  <r>
    <s v="CO-25-081"/>
    <x v="1"/>
    <d v="2026-06-16T00:00:00"/>
    <x v="0"/>
    <x v="1"/>
    <s v="(Captura_Marimba_M01) RETROEXCAVADORA JHONDEREE 310SK"/>
    <n v="40"/>
    <n v="28.3"/>
    <n v="1132"/>
    <s v="DIESEL"/>
    <m/>
  </r>
  <r>
    <s v="CO-25-082"/>
    <x v="1"/>
    <d v="2026-06-16T00:00:00"/>
    <x v="0"/>
    <x v="1"/>
    <s v="(Captura_Marimba_M01) PETROLIZADORA    INTERNATIONAL"/>
    <n v="50"/>
    <n v="28.3"/>
    <n v="1415"/>
    <s v="DIESEL"/>
    <m/>
  </r>
  <r>
    <s v="CO-25-083"/>
    <x v="1"/>
    <d v="2026-06-17T00:00:00"/>
    <x v="0"/>
    <x v="1"/>
    <s v="(Captura_Marimba_M01) PERFILADORA WIRGENT-W200i"/>
    <n v="200"/>
    <n v="28.3"/>
    <n v="5660"/>
    <s v="DIESEL"/>
    <m/>
  </r>
  <r>
    <s v="CO-25-084"/>
    <x v="1"/>
    <d v="2026-06-17T00:00:00"/>
    <x v="0"/>
    <x v="1"/>
    <s v="(Captura_Marimba_M01) PAVIMENTADORA  VOGELE SJ 1800-3"/>
    <n v="120"/>
    <n v="28.3"/>
    <n v="3396"/>
    <s v="DIESEL"/>
    <m/>
  </r>
  <r>
    <s v="CO-25-085"/>
    <x v="1"/>
    <d v="2026-06-17T00:00:00"/>
    <x v="0"/>
    <x v="1"/>
    <s v="(Captura_Marimba_M01) TANDEM DOBLE RODILLO / VIBROCOMPACTOR RODILLO CAT CB54"/>
    <n v="32"/>
    <n v="28.3"/>
    <n v="905.6"/>
    <s v="DIESEL"/>
    <m/>
  </r>
  <r>
    <s v="CO-25-086"/>
    <x v="1"/>
    <d v="2026-06-17T00:00:00"/>
    <x v="0"/>
    <x v="1"/>
    <s v="(Captura_Marimba_M01) NEUMATICO VOLVO PT-240R"/>
    <n v="30"/>
    <n v="28.3"/>
    <n v="849"/>
    <s v="DIESEL"/>
    <m/>
  </r>
  <r>
    <s v="CO-25-087"/>
    <x v="1"/>
    <d v="2026-06-17T00:00:00"/>
    <x v="0"/>
    <x v="1"/>
    <s v="(Captura_Marimba_M01) BARREDORA BROCE RJ350"/>
    <n v="28"/>
    <n v="28.3"/>
    <n v="792.4"/>
    <s v="DIESEL"/>
    <m/>
  </r>
  <r>
    <s v="CO-25-088"/>
    <x v="1"/>
    <d v="2026-06-17T00:00:00"/>
    <x v="0"/>
    <x v="1"/>
    <s v="(Captura_Marimba_M01) RETROEXCAVADORA JHONDEREE 310SK"/>
    <n v="60"/>
    <n v="28.3"/>
    <n v="1698"/>
    <s v="DIESEL"/>
    <m/>
  </r>
  <r>
    <s v="CO-25-089"/>
    <x v="1"/>
    <d v="2026-06-18T00:00:00"/>
    <x v="0"/>
    <x v="1"/>
    <s v="(Captura_Marimba_M01) PETROLIZADORA    INTERNATIONAL"/>
    <n v="50"/>
    <n v="28.3"/>
    <n v="1415"/>
    <s v="DIESEL"/>
    <m/>
  </r>
  <r>
    <s v="CO-25-090"/>
    <x v="1"/>
    <d v="2026-06-18T00:00:00"/>
    <x v="0"/>
    <x v="1"/>
    <s v="(Captura_Marimba_M01) PERFILADORA WIRGENT-W200i"/>
    <n v="200"/>
    <n v="28.3"/>
    <n v="5660"/>
    <s v="DIESEL"/>
    <m/>
  </r>
  <r>
    <s v="CO-25-091"/>
    <x v="1"/>
    <d v="2026-06-18T00:00:00"/>
    <x v="0"/>
    <x v="1"/>
    <s v="(Captura_Marimba_M01) PAVIMENTADORA  VOGELE SJ 1800-3"/>
    <n v="115"/>
    <n v="28.3"/>
    <n v="3254.5"/>
    <s v="DIESEL"/>
    <m/>
  </r>
  <r>
    <s v="CO-25-092"/>
    <x v="1"/>
    <d v="2026-06-18T00:00:00"/>
    <x v="0"/>
    <x v="1"/>
    <s v="(Captura_Marimba_M01) NEUMATICO VOLVO PT-240R"/>
    <n v="30"/>
    <n v="28.3"/>
    <n v="849"/>
    <s v="DIESEL"/>
    <m/>
  </r>
  <r>
    <s v="CO-25-093"/>
    <x v="1"/>
    <d v="2026-06-18T00:00:00"/>
    <x v="0"/>
    <x v="1"/>
    <s v="(Captura_Marimba_M01) TANDEM DOBLE RODILLO / VIBROCOMPACTOR RODILLO CAT CB54"/>
    <n v="30"/>
    <n v="28.3"/>
    <n v="849"/>
    <s v="DIESEL"/>
    <m/>
  </r>
  <r>
    <s v="CO-25-094"/>
    <x v="1"/>
    <d v="2026-06-19T00:00:00"/>
    <x v="0"/>
    <x v="1"/>
    <s v="(Captura_Marimba_M01) PAVIMENTADORA  VOGELE SJ 1800-3"/>
    <n v="120"/>
    <n v="28.3"/>
    <n v="3396"/>
    <s v="DIESEL"/>
    <m/>
  </r>
  <r>
    <s v="CO-25-095"/>
    <x v="1"/>
    <d v="2026-06-19T00:00:00"/>
    <x v="0"/>
    <x v="1"/>
    <s v="(Captura_Marimba_M01) TANDEM DOBLE RODILLO / VIBROCOMPACTOR RODILLO CAT CB54"/>
    <n v="30"/>
    <n v="28.3"/>
    <n v="849"/>
    <s v="DIESEL"/>
    <m/>
  </r>
  <r>
    <s v="CO-25-096"/>
    <x v="1"/>
    <d v="2026-06-19T00:00:00"/>
    <x v="0"/>
    <x v="1"/>
    <s v="(Captura_Marimba_M01) NEUMATICO VOLVO PT-240R"/>
    <n v="84"/>
    <n v="28.3"/>
    <n v="2377.2000000000003"/>
    <s v="DIESEL"/>
    <m/>
  </r>
  <r>
    <s v="CO-25-097"/>
    <x v="1"/>
    <d v="2026-06-19T00:00:00"/>
    <x v="0"/>
    <x v="1"/>
    <s v="(Captura_Marimba_M01) RETROEXCAVADORA JHONDEREE 310SK"/>
    <n v="40"/>
    <n v="28.3"/>
    <n v="1132"/>
    <s v="DIESEL"/>
    <m/>
  </r>
  <r>
    <s v="CO-25-098"/>
    <x v="1"/>
    <d v="2026-06-19T00:00:00"/>
    <x v="0"/>
    <x v="1"/>
    <s v="(Captura_Marimba_M01) BARREDORA BROCE RJ350"/>
    <n v="30"/>
    <n v="28.3"/>
    <n v="849"/>
    <s v="DIESEL"/>
    <m/>
  </r>
  <r>
    <s v="CO-25-099"/>
    <x v="1"/>
    <d v="2026-06-18T00:00:00"/>
    <x v="0"/>
    <x v="1"/>
    <s v="(Captura_Marimba_M01) RETROEXCAVADORA JHONDEREE 310SK"/>
    <n v="32"/>
    <n v="28.3"/>
    <n v="905.6"/>
    <s v="DIESEL"/>
    <m/>
  </r>
  <r>
    <s v="CO-22-001"/>
    <x v="4"/>
    <d v="2026-05-26T00:00:00"/>
    <x v="10"/>
    <x v="1"/>
    <s v="(Captura_Jalisco) Motoconformadora Rentada"/>
    <n v="89"/>
    <n v="27"/>
    <n v="2403"/>
    <s v="DIESEL"/>
    <m/>
  </r>
  <r>
    <s v="CO-22-002"/>
    <x v="4"/>
    <d v="2026-05-27T00:00:00"/>
    <x v="10"/>
    <x v="1"/>
    <s v="(Captura_Jalisco) Motoconformadora Rentada"/>
    <n v="89"/>
    <n v="27"/>
    <n v="2403"/>
    <s v="DIESEL"/>
    <m/>
  </r>
  <r>
    <s v="CO-22-003"/>
    <x v="4"/>
    <d v="2026-05-29T00:00:00"/>
    <x v="10"/>
    <x v="1"/>
    <s v="(Captura_Jalisco) Motoconformadora Rentada"/>
    <n v="99"/>
    <n v="27"/>
    <n v="2673"/>
    <s v="DIESEL"/>
    <m/>
  </r>
  <r>
    <s v="CO-22-004"/>
    <x v="4"/>
    <d v="2026-05-29T00:00:00"/>
    <x v="10"/>
    <x v="1"/>
    <s v="(Captura_Jalisco) Motoconformadora"/>
    <n v="99"/>
    <n v="27"/>
    <n v="2673"/>
    <s v="DIESEL"/>
    <m/>
  </r>
  <r>
    <s v="CO-22-005"/>
    <x v="4"/>
    <d v="2026-05-30T00:00:00"/>
    <x v="10"/>
    <x v="1"/>
    <s v="(Captura_Jalisco) Motoconformadora Rentada"/>
    <n v="90"/>
    <n v="27"/>
    <n v="2430"/>
    <s v="DIESEL"/>
    <m/>
  </r>
  <r>
    <s v="CO-22-006"/>
    <x v="4"/>
    <d v="2026-05-30T00:00:00"/>
    <x v="10"/>
    <x v="1"/>
    <s v="(Captura_Jalisco) Motoconformadora"/>
    <n v="90"/>
    <n v="27"/>
    <n v="2430"/>
    <s v="DIESEL"/>
    <m/>
  </r>
  <r>
    <s v="CO-23-001"/>
    <x v="5"/>
    <d v="2026-06-01T00:00:00"/>
    <x v="10"/>
    <x v="1"/>
    <s v="(Captura_Jalisco) Retroexcavadora"/>
    <n v="50"/>
    <n v="27"/>
    <n v="1350"/>
    <s v="DIESEL"/>
    <m/>
  </r>
  <r>
    <s v="CO-23-002"/>
    <x v="5"/>
    <d v="2026-06-02T00:00:00"/>
    <x v="10"/>
    <x v="1"/>
    <s v="(Captura_Jalisco) Motoconformadora Rentada"/>
    <n v="74"/>
    <n v="27"/>
    <n v="1998"/>
    <s v="DIESEL"/>
    <m/>
  </r>
  <r>
    <s v="CO-23-003"/>
    <x v="5"/>
    <d v="2026-06-02T00:00:00"/>
    <x v="10"/>
    <x v="1"/>
    <s v="(Captura_Jalisco) Motoconformadora"/>
    <n v="80"/>
    <n v="27"/>
    <n v="2160"/>
    <s v="DIESEL"/>
    <m/>
  </r>
  <r>
    <s v="CO-23-004"/>
    <x v="5"/>
    <d v="2026-06-02T00:00:00"/>
    <x v="10"/>
    <x v="1"/>
    <s v="(Captura_Jalisco) Vibro Compactador"/>
    <n v="40"/>
    <n v="27"/>
    <n v="1080"/>
    <s v="DIESEL"/>
    <m/>
  </r>
  <r>
    <s v="CO-23-005"/>
    <x v="5"/>
    <d v="2026-06-04T00:00:00"/>
    <x v="10"/>
    <x v="1"/>
    <s v="(Captura_Jalisco) Motoconformadora Rentada"/>
    <n v="70"/>
    <n v="27"/>
    <n v="1890"/>
    <s v="DIESEL"/>
    <m/>
  </r>
  <r>
    <s v="CO-23-006"/>
    <x v="5"/>
    <d v="2026-06-04T00:00:00"/>
    <x v="10"/>
    <x v="1"/>
    <s v="(Captura_Jalisco) Pipa"/>
    <n v="100"/>
    <n v="27"/>
    <n v="2700"/>
    <s v="DIESEL"/>
    <m/>
  </r>
  <r>
    <s v="CO-23-007"/>
    <x v="5"/>
    <d v="2026-06-05T00:00:00"/>
    <x v="10"/>
    <x v="1"/>
    <s v="(Captura_Jalisco) Motoconformadora Rentada"/>
    <n v="60"/>
    <n v="27"/>
    <n v="1620"/>
    <s v="DIESEL"/>
    <m/>
  </r>
  <r>
    <s v="CO-23-008"/>
    <x v="5"/>
    <d v="2026-06-05T00:00:00"/>
    <x v="10"/>
    <x v="1"/>
    <s v="(Captura_Jalisco) Motoconformadora"/>
    <n v="70"/>
    <n v="27"/>
    <n v="1890"/>
    <s v="DIESEL"/>
    <m/>
  </r>
  <r>
    <s v="CO-23-009"/>
    <x v="5"/>
    <d v="2026-06-05T00:00:00"/>
    <x v="10"/>
    <x v="1"/>
    <s v="(Captura_Jalisco) Vibro Compactador"/>
    <n v="40"/>
    <n v="27"/>
    <n v="1080"/>
    <s v="DIESEL"/>
    <m/>
  </r>
  <r>
    <s v="CO-23-010"/>
    <x v="5"/>
    <d v="2026-06-06T00:00:00"/>
    <x v="10"/>
    <x v="1"/>
    <s v="(Captura_Jalisco) Motoconformadora Rentada"/>
    <n v="100"/>
    <n v="27"/>
    <n v="2700"/>
    <s v="DIESEL"/>
    <m/>
  </r>
  <r>
    <s v="CO-23-011"/>
    <x v="5"/>
    <d v="2026-06-06T00:00:00"/>
    <x v="10"/>
    <x v="1"/>
    <s v="(Captura_Jalisco) Motoconformadora"/>
    <n v="100"/>
    <n v="27"/>
    <n v="2700"/>
    <s v="DIESEL"/>
    <m/>
  </r>
  <r>
    <s v="CO-23-012"/>
    <x v="5"/>
    <d v="2026-06-06T00:00:00"/>
    <x v="10"/>
    <x v="1"/>
    <s v="(Captura_Jalisco) Retroexcavadora"/>
    <n v="40"/>
    <n v="27"/>
    <n v="1080"/>
    <s v="DIESEL"/>
    <m/>
  </r>
  <r>
    <s v="CO-24-105"/>
    <x v="0"/>
    <d v="2026-06-08T00:00:00"/>
    <x v="10"/>
    <x v="1"/>
    <s v="(Captura_Jalisco) Motoconformadora Rentada"/>
    <n v="70"/>
    <n v="27"/>
    <n v="1890"/>
    <s v="DIESEL"/>
    <m/>
  </r>
  <r>
    <s v="CO-24-106"/>
    <x v="0"/>
    <d v="2026-06-08T00:00:00"/>
    <x v="10"/>
    <x v="1"/>
    <s v="(Captura_Jalisco) Vibro Compactador"/>
    <n v="40"/>
    <n v="27"/>
    <n v="1080"/>
    <s v="DIESEL"/>
    <m/>
  </r>
  <r>
    <s v="CO-24-107"/>
    <x v="0"/>
    <d v="2026-06-11T00:00:00"/>
    <x v="10"/>
    <x v="1"/>
    <s v="(Captura_Jalisco) Excavadora"/>
    <n v="70"/>
    <n v="27"/>
    <n v="1890"/>
    <s v="DIESEL"/>
    <m/>
  </r>
  <r>
    <s v="CO-25-100"/>
    <x v="1"/>
    <d v="2026-06-15T00:00:00"/>
    <x v="10"/>
    <x v="1"/>
    <s v="(Captura_Jalisco) Excavadora"/>
    <n v="100"/>
    <n v="27"/>
    <n v="2700"/>
    <s v="DIESEL"/>
    <m/>
  </r>
  <r>
    <s v="CO-25-101"/>
    <x v="1"/>
    <d v="2026-06-16T00:00:00"/>
    <x v="10"/>
    <x v="1"/>
    <s v="(Captura_Jalisco) Motoconformadora Rentada"/>
    <n v="90"/>
    <n v="27"/>
    <n v="2430"/>
    <s v="DIESEL"/>
    <m/>
  </r>
  <r>
    <s v="CO-25-102"/>
    <x v="1"/>
    <d v="2026-06-16T00:00:00"/>
    <x v="10"/>
    <x v="1"/>
    <s v="(Captura_Jalisco) Excavadora"/>
    <n v="140"/>
    <n v="27"/>
    <n v="3780"/>
    <s v="DIESEL"/>
    <m/>
  </r>
  <r>
    <s v="CO-25-103"/>
    <x v="1"/>
    <d v="2026-06-17T00:00:00"/>
    <x v="10"/>
    <x v="1"/>
    <s v="(Captura_Jalisco) Vibro Compactador"/>
    <n v="50"/>
    <n v="27"/>
    <n v="1350"/>
    <s v="DIESEL"/>
    <m/>
  </r>
  <r>
    <s v="CO-25-104"/>
    <x v="1"/>
    <d v="2026-06-17T00:00:00"/>
    <x v="10"/>
    <x v="1"/>
    <s v="(Captura_Jalisco) Excavadora"/>
    <n v="100"/>
    <n v="27"/>
    <n v="2700"/>
    <s v="DIESEL"/>
    <m/>
  </r>
  <r>
    <s v="CO-25-105"/>
    <x v="1"/>
    <d v="2026-06-18T00:00:00"/>
    <x v="10"/>
    <x v="1"/>
    <s v="(Captura_Jalisco) Motoconformadora"/>
    <n v="70"/>
    <n v="27"/>
    <n v="1890"/>
    <s v="DIESEL"/>
    <m/>
  </r>
  <r>
    <s v="CO-25-106"/>
    <x v="1"/>
    <d v="2026-06-18T00:00:00"/>
    <x v="10"/>
    <x v="1"/>
    <s v="(Captura_Jalisco) Retroexcavadora"/>
    <n v="40"/>
    <n v="27"/>
    <n v="1080"/>
    <s v="DIESEL"/>
    <m/>
  </r>
  <r>
    <s v="CO-25-107"/>
    <x v="1"/>
    <d v="2026-06-18T00:00:00"/>
    <x v="10"/>
    <x v="1"/>
    <s v="(Captura_Jalisco) Excavadora"/>
    <n v="100"/>
    <n v="27"/>
    <n v="2700"/>
    <s v="DIESEL"/>
    <m/>
  </r>
  <r>
    <s v="CO-25-108"/>
    <x v="1"/>
    <d v="2026-06-19T00:00:00"/>
    <x v="10"/>
    <x v="1"/>
    <s v="(Captura_Jalisco) EXCAVADORA"/>
    <n v="150"/>
    <n v="27"/>
    <n v="4050"/>
    <s v="DIESEL"/>
    <m/>
  </r>
  <r>
    <s v="CO-25-109"/>
    <x v="1"/>
    <d v="2026-06-20T00:00:00"/>
    <x v="10"/>
    <x v="1"/>
    <s v="(Captura_Jalisco) EXCAVADORA"/>
    <n v="90"/>
    <n v="27"/>
    <n v="2430"/>
    <s v="DIESEL"/>
    <m/>
  </r>
  <r>
    <s v="CO-26-078"/>
    <x v="2"/>
    <d v="2026-06-22T00:00:00"/>
    <x v="10"/>
    <x v="1"/>
    <s v="(Captura_Jalisco) RETROEXCAVADORA CASE 580 N"/>
    <n v="20"/>
    <n v="27"/>
    <n v="540"/>
    <s v="DIESEL"/>
    <m/>
  </r>
  <r>
    <s v="CO-26-079"/>
    <x v="2"/>
    <d v="2026-06-22T00:00:00"/>
    <x v="10"/>
    <x v="1"/>
    <s v="(Captura_Jalisco) EXCAVADORA"/>
    <n v="140"/>
    <n v="27"/>
    <n v="3780"/>
    <s v="DIESEL"/>
    <m/>
  </r>
  <r>
    <s v="CO-26-080"/>
    <x v="2"/>
    <d v="2026-06-22T00:00:00"/>
    <x v="10"/>
    <x v="1"/>
    <s v="(Captura_Jalisco) TRACTOR"/>
    <n v="100.74"/>
    <n v="27"/>
    <n v="2719.98"/>
    <s v="DIESEL"/>
    <m/>
  </r>
  <r>
    <s v="CO-26-081"/>
    <x v="2"/>
    <d v="2026-06-23T00:00:00"/>
    <x v="10"/>
    <x v="1"/>
    <s v="(Captura_Jalisco) EXCAVADORA"/>
    <n v="140"/>
    <n v="27"/>
    <n v="3780"/>
    <s v="DIESEL"/>
    <m/>
  </r>
  <r>
    <s v="CO-26-082"/>
    <x v="2"/>
    <d v="2026-06-23T00:00:00"/>
    <x v="10"/>
    <x v="1"/>
    <s v="(Captura_Jalisco) TRACTOR"/>
    <n v="119.26"/>
    <n v="27"/>
    <n v="3220.02"/>
    <s v="DIESEL"/>
    <m/>
  </r>
  <r>
    <s v="CO-26-083"/>
    <x v="2"/>
    <d v="2026-06-24T00:00:00"/>
    <x v="10"/>
    <x v="1"/>
    <s v="(Captura_Jalisco) MOTOCONFORMADORA RENTADA"/>
    <n v="200"/>
    <n v="27"/>
    <n v="5400"/>
    <s v="DIESEL"/>
    <m/>
  </r>
  <r>
    <s v="CO-26-084"/>
    <x v="2"/>
    <d v="2026-06-24T00:00:00"/>
    <x v="10"/>
    <x v="1"/>
    <s v="(Captura_Jalisco) MOTOCONFORMADORA RENTADA"/>
    <n v="50"/>
    <n v="27"/>
    <n v="1350"/>
    <s v="DIESEL"/>
    <m/>
  </r>
  <r>
    <s v="CO-26-085"/>
    <x v="2"/>
    <d v="2026-06-24T00:00:00"/>
    <x v="10"/>
    <x v="1"/>
    <s v="(Captura_Jalisco) EXCAVADORA"/>
    <n v="200"/>
    <n v="27"/>
    <n v="5400"/>
    <s v="DIESEL"/>
    <m/>
  </r>
  <r>
    <s v="CO-26-086"/>
    <x v="2"/>
    <d v="2026-06-24T00:00:00"/>
    <x v="10"/>
    <x v="1"/>
    <s v="(Captura_Jalisco) TRACTOR"/>
    <n v="100"/>
    <n v="27"/>
    <n v="2700"/>
    <s v="DIESEL"/>
    <m/>
  </r>
  <r>
    <s v="CO-26-087"/>
    <x v="2"/>
    <d v="2026-06-26T00:00:00"/>
    <x v="10"/>
    <x v="1"/>
    <s v="(Captura_Jalisco) EXCAVADORA"/>
    <n v="160"/>
    <n v="27"/>
    <n v="4320"/>
    <s v="DIESEL"/>
    <m/>
  </r>
  <r>
    <s v="CO-26-088"/>
    <x v="2"/>
    <d v="2026-06-27T00:00:00"/>
    <x v="10"/>
    <x v="1"/>
    <s v="(Captura_Jalisco) EXCAVADORA"/>
    <n v="108"/>
    <n v="27"/>
    <n v="2916"/>
    <s v="DIESEL"/>
    <m/>
  </r>
  <r>
    <s v="FAC-25-001"/>
    <x v="1"/>
    <d v="2026-06-20T00:00:00"/>
    <x v="11"/>
    <x v="2"/>
    <s v="Factura: A-10128"/>
    <n v="4000"/>
    <n v="27.00009"/>
    <n v="108000.36"/>
    <s v="DIESEL"/>
    <s v="Facturacion"/>
  </r>
  <r>
    <s v="FAC-25-002"/>
    <x v="1"/>
    <d v="2026-06-15T00:00:00"/>
    <x v="4"/>
    <x v="2"/>
    <s v="Factura: A-10053"/>
    <n v="800.00600000000009"/>
    <n v="26.999985000112499"/>
    <n v="21600.15"/>
    <s v="DIESEL"/>
    <s v="Facturacion"/>
  </r>
  <r>
    <s v="FAC-25-003"/>
    <x v="1"/>
    <d v="2026-06-15T00:00:00"/>
    <x v="11"/>
    <x v="2"/>
    <s v="Factura: A-10056"/>
    <n v="4000.0120000000006"/>
    <n v="27.000008999972994"/>
    <n v="108000.36"/>
    <s v="DIESEL"/>
    <s v="Facturacion"/>
  </r>
  <r>
    <s v="FAC-26-001"/>
    <x v="2"/>
    <d v="2026-06-22T00:00:00"/>
    <x v="0"/>
    <x v="2"/>
    <s v="Factura: A-10148"/>
    <n v="660"/>
    <n v="27"/>
    <n v="17820"/>
    <s v="DIESEL"/>
    <s v="Facturacion"/>
  </r>
  <r>
    <s v="FAC-26-002"/>
    <x v="2"/>
    <d v="2026-06-23T00:00:00"/>
    <x v="0"/>
    <x v="2"/>
    <s v="Factura: A-10166"/>
    <n v="63"/>
    <n v="23.80952380952381"/>
    <n v="1500"/>
    <s v="DIESEL"/>
    <s v="Facturacion"/>
  </r>
  <r>
    <s v="FAC-26-003"/>
    <x v="2"/>
    <d v="2026-06-23T00:00:00"/>
    <x v="0"/>
    <x v="2"/>
    <s v="Factura: A-10167"/>
    <n v="42"/>
    <n v="23.80952380952381"/>
    <n v="1000"/>
    <s v="DIESEL"/>
    <s v="Facturacion"/>
  </r>
  <r>
    <s v="FAC-26-004"/>
    <x v="2"/>
    <d v="2026-06-23T00:00:00"/>
    <x v="0"/>
    <x v="2"/>
    <s v="Factura: A-10168"/>
    <n v="63"/>
    <n v="23.80952380952381"/>
    <n v="1500"/>
    <s v="DIESEL"/>
    <s v="Facturacion"/>
  </r>
  <r>
    <s v="FAC-26-005"/>
    <x v="2"/>
    <d v="2026-06-23T00:00:00"/>
    <x v="11"/>
    <x v="2"/>
    <s v="Factura: A-10172"/>
    <n v="3900"/>
    <n v="27.692399999999999"/>
    <n v="108000.36"/>
    <s v="DIESEL"/>
    <s v="Facturacion"/>
  </r>
  <r>
    <s v="FAC-26-006"/>
    <x v="2"/>
    <d v="2026-06-24T00:00:00"/>
    <x v="0"/>
    <x v="2"/>
    <s v="Factura: A-10198"/>
    <n v="550"/>
    <n v="27"/>
    <n v="14850"/>
    <s v="DIESEL"/>
    <s v="Facturacion"/>
  </r>
  <r>
    <s v="FAC-26-007"/>
    <x v="2"/>
    <d v="2026-06-25T00:00:00"/>
    <x v="0"/>
    <x v="2"/>
    <s v="Factura: A-10211"/>
    <n v="550"/>
    <n v="27"/>
    <n v="14850"/>
    <s v="DIESEL"/>
    <s v="Facturacion"/>
  </r>
  <r>
    <s v="FAC-26-008"/>
    <x v="2"/>
    <d v="2026-06-25T00:00:00"/>
    <x v="0"/>
    <x v="2"/>
    <s v="Factura: A-10213"/>
    <n v="42"/>
    <n v="23.80952380952381"/>
    <n v="1000"/>
    <s v="DIESEL"/>
    <s v="Facturacion"/>
  </r>
  <r>
    <s v="FAC-26-009"/>
    <x v="2"/>
    <d v="2026-06-25T00:00:00"/>
    <x v="0"/>
    <x v="2"/>
    <s v="Factura: A-10214"/>
    <n v="63"/>
    <n v="23.810793650793649"/>
    <n v="1500.08"/>
    <s v="DIESEL"/>
    <s v="Facturacion"/>
  </r>
  <r>
    <s v="FAC-26-010"/>
    <x v="2"/>
    <d v="2026-06-25T00:00:00"/>
    <x v="4"/>
    <x v="2"/>
    <s v="Factura: A-10216"/>
    <n v="400"/>
    <n v="40.500250000000001"/>
    <n v="16200.1"/>
    <s v="DIESEL"/>
    <s v="Facturacion"/>
  </r>
  <r>
    <s v="FAC-26-011"/>
    <x v="2"/>
    <d v="2026-06-25T00:00:00"/>
    <x v="11"/>
    <x v="2"/>
    <s v="Factura: A-10225"/>
    <n v="4000"/>
    <n v="27.00009"/>
    <n v="108000.36"/>
    <s v="DIESEL"/>
    <s v="Facturacion"/>
  </r>
  <r>
    <s v="FAC-26-012"/>
    <x v="2"/>
    <d v="2026-06-26T00:00:00"/>
    <x v="0"/>
    <x v="2"/>
    <s v="Factura: A-10226"/>
    <n v="480"/>
    <n v="30.937666666666665"/>
    <n v="14850.08"/>
    <s v="DIESEL"/>
    <s v="Facturacion"/>
  </r>
  <r>
    <s v="FAC-25-004"/>
    <x v="1"/>
    <d v="2026-06-16T00:00:00"/>
    <x v="0"/>
    <x v="2"/>
    <s v="Factura: A-10058"/>
    <n v="500.00200000000001"/>
    <n v="27.000011999951997"/>
    <n v="13500.06"/>
    <s v="DIESEL"/>
    <s v="Facturacion"/>
  </r>
  <r>
    <s v="FAC-25-005"/>
    <x v="1"/>
    <d v="2026-06-17T00:00:00"/>
    <x v="4"/>
    <x v="2"/>
    <s v="Factura: A-10072"/>
    <n v="600.00400000000002"/>
    <n v="26.999986666755554"/>
    <n v="16200.1"/>
    <s v="DIESEL"/>
    <s v="Facturacion"/>
  </r>
  <r>
    <s v="FAC-25-006"/>
    <x v="1"/>
    <d v="2026-06-18T00:00:00"/>
    <x v="7"/>
    <x v="2"/>
    <s v="Factura: A-10088"/>
    <n v="4000.0120000000006"/>
    <n v="27.000008999972994"/>
    <n v="108000.36"/>
    <s v="DIESEL"/>
    <s v="Facturacion"/>
  </r>
  <r>
    <s v="FAC-25-007"/>
    <x v="1"/>
    <d v="2026-06-18T00:00:00"/>
    <x v="0"/>
    <x v="2"/>
    <s v="Factura: A-10087"/>
    <n v="490.00400000000002"/>
    <n v="26.999983673602664"/>
    <n v="13230.1"/>
    <s v="DIESEL"/>
    <s v="Facturacion"/>
  </r>
  <r>
    <s v="FAC-25-008"/>
    <x v="1"/>
    <d v="2026-06-17T00:00:00"/>
    <x v="0"/>
    <x v="2"/>
    <s v="Factura: A-10078"/>
    <n v="520.00199999999995"/>
    <n v="26.999992307721893"/>
    <n v="14040.05"/>
    <s v="DIESEL"/>
    <s v="Facturacion"/>
  </r>
  <r>
    <s v="FAC-25-009"/>
    <x v="1"/>
    <d v="2026-06-19T00:00:00"/>
    <x v="0"/>
    <x v="2"/>
    <s v="Factura: A-10108"/>
    <n v="400.00400000000002"/>
    <n v="26.999980000199997"/>
    <n v="10800.1"/>
    <s v="DIESEL"/>
    <s v="Facturacion"/>
  </r>
  <r>
    <s v="FAC-25-010"/>
    <x v="1"/>
    <d v="2026-06-20T00:00:00"/>
    <x v="4"/>
    <x v="2"/>
    <s v="Factura: A-23783082"/>
    <n v="600.00400000000002"/>
    <n v="26.999986666755554"/>
    <n v="16200.1"/>
    <s v="DIESEL"/>
    <s v="Facturacion"/>
  </r>
  <r>
    <s v="FAC-25-011"/>
    <x v="1"/>
    <d v="2026-06-15T00:00:00"/>
    <x v="0"/>
    <x v="2"/>
    <s v="Factura: A-10052"/>
    <n v="500.00200000000001"/>
    <n v="27.000011999951997"/>
    <n v="13500.06"/>
    <s v="DIESEL"/>
    <s v="Facturacion"/>
  </r>
  <r>
    <s v="FAC-25-012"/>
    <x v="1"/>
    <d v="2026-06-18T00:00:00"/>
    <x v="7"/>
    <x v="2"/>
    <s v="Factura: A-10090"/>
    <n v="161.91200000000001"/>
    <n v="23.900019763822321"/>
    <n v="3869.7"/>
    <s v="DIESEL"/>
    <s v="Facturacion"/>
  </r>
  <r>
    <s v="FAC-25-013"/>
    <x v="1"/>
    <d v="2026-06-18T00:00:00"/>
    <x v="4"/>
    <x v="2"/>
    <s v="Factura: A-10091"/>
    <n v="500.00199999999995"/>
    <n v="27.000011999952001"/>
    <n v="13500.06"/>
    <s v="DIESEL"/>
    <s v="Facturacion"/>
  </r>
  <r>
    <s v="FAC-25-014"/>
    <x v="1"/>
    <d v="2026-06-19T00:00:00"/>
    <x v="11"/>
    <x v="2"/>
    <s v="Factura: A-10113"/>
    <n v="4000.0120000000006"/>
    <n v="27.000008999972994"/>
    <n v="108000.36"/>
    <s v="DIESEL"/>
    <s v="Facturacion"/>
  </r>
  <r>
    <s v="FAC-25-015"/>
    <x v="1"/>
    <d v="2026-06-19T00:00:00"/>
    <x v="11"/>
    <x v="2"/>
    <s v="Factura: A-10111"/>
    <n v="4000.0120000000006"/>
    <n v="27.000008999972994"/>
    <n v="108000.36"/>
    <s v="DIESEL"/>
    <s v="Facturac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394D7-ECFD-4D8D-993E-95010B253AEE}" name="PT_Cos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5:J45" firstHeaderRow="1" firstDataRow="3" firstDataCol="1"/>
  <pivotFields count="11">
    <pivotField showAll="0"/>
    <pivotField axis="axisRow" showAll="0">
      <items count="7">
        <item sd="0" x="4"/>
        <item sd="0" x="5"/>
        <item x="0"/>
        <item x="1"/>
        <item x="2"/>
        <item x="3"/>
        <item t="default"/>
      </items>
    </pivotField>
    <pivotField showAll="0"/>
    <pivotField axis="axisRow" showAll="0">
      <items count="13">
        <item x="2"/>
        <item x="3"/>
        <item x="8"/>
        <item x="10"/>
        <item x="1"/>
        <item x="7"/>
        <item x="0"/>
        <item x="6"/>
        <item x="5"/>
        <item x="4"/>
        <item x="9"/>
        <item x="1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4" showAll="0"/>
    <pivotField numFmtId="165" showAll="0"/>
    <pivotField dataField="1" numFmtId="165" showAll="0"/>
    <pivotField showAll="0"/>
    <pivotField showAll="0"/>
  </pivotFields>
  <rowFields count="2">
    <field x="1"/>
    <field x="3"/>
  </rowFields>
  <rowItems count="38">
    <i>
      <x/>
    </i>
    <i>
      <x v="1"/>
    </i>
    <i>
      <x v="2"/>
    </i>
    <i r="1">
      <x/>
    </i>
    <i r="1">
      <x v="1"/>
    </i>
    <i r="1">
      <x v="3"/>
    </i>
    <i r="1">
      <x v="4"/>
    </i>
    <i r="1">
      <x v="5"/>
    </i>
    <i r="1">
      <x v="6"/>
    </i>
    <i>
      <x v="3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1"/>
    </i>
    <i>
      <x v="4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>
      <x v="5"/>
    </i>
    <i r="1">
      <x/>
    </i>
    <i r="1">
      <x v="2"/>
    </i>
    <i r="1">
      <x v="4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uenta de Costo Total" fld="8" subtotal="count" baseField="0" baseItem="0" numFmtId="165"/>
    <dataField name="Cuenta de Litros" fld="6" subtotal="count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27EE1-D0D6-489C-AE56-DB454AE596B5}" name="PT_Operaci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5:F46" firstHeaderRow="1" firstDataRow="2" firstDataCol="1"/>
  <pivotFields count="11">
    <pivotField showAll="0"/>
    <pivotField axis="axisRow" showAll="0">
      <items count="7">
        <item x="4"/>
        <item x="5"/>
        <item x="0"/>
        <item x="1"/>
        <item x="2"/>
        <item x="3"/>
        <item t="default"/>
      </items>
    </pivotField>
    <pivotField showAll="0"/>
    <pivotField axis="axisRow" showAll="0">
      <items count="13">
        <item x="2"/>
        <item x="3"/>
        <item x="8"/>
        <item x="10"/>
        <item x="1"/>
        <item x="7"/>
        <item x="0"/>
        <item x="6"/>
        <item x="5"/>
        <item x="4"/>
        <item x="9"/>
        <item x="1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numFmtId="4" showAll="0"/>
    <pivotField numFmtId="165" showAll="0"/>
    <pivotField numFmtId="165" showAll="0"/>
    <pivotField showAll="0"/>
    <pivotField showAll="0"/>
  </pivotFields>
  <rowFields count="2">
    <field x="1"/>
    <field x="3"/>
  </rowFields>
  <rowItems count="40">
    <i>
      <x/>
    </i>
    <i r="1">
      <x v="3"/>
    </i>
    <i>
      <x v="1"/>
    </i>
    <i r="1">
      <x v="3"/>
    </i>
    <i>
      <x v="2"/>
    </i>
    <i r="1">
      <x/>
    </i>
    <i r="1">
      <x v="1"/>
    </i>
    <i r="1">
      <x v="3"/>
    </i>
    <i r="1">
      <x v="4"/>
    </i>
    <i r="1">
      <x v="5"/>
    </i>
    <i r="1">
      <x v="6"/>
    </i>
    <i>
      <x v="3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1"/>
    </i>
    <i>
      <x v="4"/>
    </i>
    <i r="1"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>
      <x v="5"/>
    </i>
    <i r="1">
      <x/>
    </i>
    <i r="1">
      <x v="2"/>
    </i>
    <i r="1">
      <x v="4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uenta de Lts Operativos" fld="6" subtotal="count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FF4D1-85AF-4E87-8E18-EB9B95509896}" name="Tabla_Combustible" displayName="Tabla_Combustible" ref="A1:K763" totalsRowShown="0">
  <autoFilter ref="A1:K763" xr:uid="{C18FF4D1-85AF-4E87-8E18-EB9B95509896}"/>
  <tableColumns count="11">
    <tableColumn id="1" xr3:uid="{D266C9FE-E1EA-4511-BF87-CF3BC3C68DA6}" name="ID_TICKET">
      <calculatedColumnFormula>IF(LEFT(E2,1)="1","SOL",IF(LEFT(E2,1)="2","CO",IF(LEFT(E2,1)="3","ALM",IF(LEFT(E2,1)="4","FAC","TRX")))) &amp; "-" &amp; B2 &amp; "-" &amp; TEXT(COUNTIFS($E$2:$E2,E2,$B$2:$B2,B2),"000")</calculatedColumnFormula>
    </tableColumn>
    <tableColumn id="2" xr3:uid="{4118A17D-B2F9-49B3-BCB9-AB433F9AACBA}" name="SEMANA"/>
    <tableColumn id="3" xr3:uid="{1CFC0F0D-741B-425C-B9BD-3C8ECA1B88D0}" name="FECHA" dataDxfId="3"/>
    <tableColumn id="4" xr3:uid="{00420AE6-C114-4537-9C6F-C82DC564D72E}" name="OBRA"/>
    <tableColumn id="5" xr3:uid="{50DDB7EC-C519-4817-B33D-E24E868D9C75}" name="TIPO_REGISTRO"/>
    <tableColumn id="6" xr3:uid="{2A39DA96-F5C0-440B-BB7C-9803BD5C0A57}" name="EQUIPO_CONCEPTO"/>
    <tableColumn id="7" xr3:uid="{054E1ADB-1D6D-4725-916D-351410AF1232}" name="LITROS" dataDxfId="2"/>
    <tableColumn id="8" xr3:uid="{68526C2C-5671-49E0-9679-E5BA92AA7C5A}" name="PRECIO_UNITARIO" dataDxfId="1"/>
    <tableColumn id="9" xr3:uid="{1CFDC7C6-6B35-4F6B-AD2E-C874FDFED1C9}" name="COSTO_TOTAL" dataDxfId="0"/>
    <tableColumn id="10" xr3:uid="{DDFB8D92-81C7-4916-AB6B-DCFD16409AC2}" name="CATEGORIA"/>
    <tableColumn id="11" xr3:uid="{D6C25E9E-2144-4490-B418-26F80F48EC6B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9B77-9FFD-465D-B031-6C3A68AEC520}">
  <dimension ref="B2:J45"/>
  <sheetViews>
    <sheetView topLeftCell="A8" zoomScale="87" workbookViewId="0">
      <selection activeCell="G30" sqref="G30"/>
    </sheetView>
  </sheetViews>
  <sheetFormatPr baseColWidth="10" defaultRowHeight="13.8"/>
  <cols>
    <col min="2" max="2" width="26.5" bestFit="1" customWidth="1"/>
    <col min="3" max="3" width="21.8984375" bestFit="1" customWidth="1"/>
    <col min="4" max="4" width="15.296875" bestFit="1" customWidth="1"/>
    <col min="5" max="5" width="20.296875" bestFit="1" customWidth="1"/>
    <col min="6" max="6" width="15.296875" bestFit="1" customWidth="1"/>
    <col min="7" max="7" width="20.296875" bestFit="1" customWidth="1"/>
    <col min="8" max="8" width="15.296875" bestFit="1" customWidth="1"/>
    <col min="9" max="9" width="25.19921875" bestFit="1" customWidth="1"/>
    <col min="10" max="10" width="20.19921875" bestFit="1" customWidth="1"/>
  </cols>
  <sheetData>
    <row r="2" spans="2:10">
      <c r="B2" s="18048" t="s">
        <v>920</v>
      </c>
    </row>
    <row r="5" spans="2:10">
      <c r="C5" s="18049" t="s">
        <v>918</v>
      </c>
    </row>
    <row r="6" spans="2:10">
      <c r="C6" t="s">
        <v>850</v>
      </c>
      <c r="E6" t="s">
        <v>852</v>
      </c>
      <c r="G6" t="s">
        <v>886</v>
      </c>
      <c r="I6" t="s">
        <v>922</v>
      </c>
      <c r="J6" t="s">
        <v>923</v>
      </c>
    </row>
    <row r="7" spans="2:10">
      <c r="B7" s="18049" t="s">
        <v>916</v>
      </c>
      <c r="C7" t="s">
        <v>921</v>
      </c>
      <c r="D7" t="s">
        <v>924</v>
      </c>
      <c r="E7" t="s">
        <v>921</v>
      </c>
      <c r="F7" t="s">
        <v>924</v>
      </c>
      <c r="G7" t="s">
        <v>921</v>
      </c>
      <c r="H7" t="s">
        <v>924</v>
      </c>
    </row>
    <row r="8" spans="2:10">
      <c r="B8" s="18050">
        <v>22</v>
      </c>
      <c r="C8" s="18047"/>
      <c r="D8" s="3"/>
      <c r="E8" s="18047">
        <v>6</v>
      </c>
      <c r="F8" s="3">
        <v>6</v>
      </c>
      <c r="G8" s="18047"/>
      <c r="H8" s="3"/>
      <c r="I8" s="18047">
        <v>6</v>
      </c>
      <c r="J8" s="3">
        <v>6</v>
      </c>
    </row>
    <row r="9" spans="2:10">
      <c r="B9" s="18050">
        <v>23</v>
      </c>
      <c r="C9" s="18047"/>
      <c r="D9" s="3"/>
      <c r="E9" s="18047">
        <v>12</v>
      </c>
      <c r="F9" s="3">
        <v>12</v>
      </c>
      <c r="G9" s="18047"/>
      <c r="H9" s="3"/>
      <c r="I9" s="18047">
        <v>12</v>
      </c>
      <c r="J9" s="3">
        <v>12</v>
      </c>
    </row>
    <row r="10" spans="2:10">
      <c r="B10" s="18050">
        <v>24</v>
      </c>
      <c r="C10" s="18047">
        <v>70</v>
      </c>
      <c r="D10" s="3">
        <v>70</v>
      </c>
      <c r="E10" s="18047">
        <v>107</v>
      </c>
      <c r="F10" s="3">
        <v>107</v>
      </c>
      <c r="G10" s="18047"/>
      <c r="H10" s="3"/>
      <c r="I10" s="18047">
        <v>177</v>
      </c>
      <c r="J10" s="3">
        <v>177</v>
      </c>
    </row>
    <row r="11" spans="2:10">
      <c r="B11" s="18051" t="s">
        <v>111</v>
      </c>
      <c r="C11" s="18047">
        <v>5</v>
      </c>
      <c r="D11" s="3">
        <v>5</v>
      </c>
      <c r="E11" s="18047">
        <v>2</v>
      </c>
      <c r="F11" s="3">
        <v>2</v>
      </c>
      <c r="G11" s="18047"/>
      <c r="H11" s="3"/>
      <c r="I11" s="18047">
        <v>7</v>
      </c>
      <c r="J11" s="3">
        <v>7</v>
      </c>
    </row>
    <row r="12" spans="2:10">
      <c r="B12" s="18051" t="s">
        <v>3</v>
      </c>
      <c r="C12" s="18047">
        <v>33</v>
      </c>
      <c r="D12" s="3">
        <v>33</v>
      </c>
      <c r="E12" s="18047">
        <v>50</v>
      </c>
      <c r="F12" s="3">
        <v>50</v>
      </c>
      <c r="G12" s="18047"/>
      <c r="H12" s="3"/>
      <c r="I12" s="18047">
        <v>83</v>
      </c>
      <c r="J12" s="3">
        <v>83</v>
      </c>
    </row>
    <row r="13" spans="2:10">
      <c r="B13" s="18051" t="s">
        <v>166</v>
      </c>
      <c r="C13" s="18047"/>
      <c r="D13" s="3"/>
      <c r="E13" s="18047">
        <v>3</v>
      </c>
      <c r="F13" s="3">
        <v>3</v>
      </c>
      <c r="G13" s="18047"/>
      <c r="H13" s="3"/>
      <c r="I13" s="18047">
        <v>3</v>
      </c>
      <c r="J13" s="3">
        <v>3</v>
      </c>
    </row>
    <row r="14" spans="2:10">
      <c r="B14" s="18051" t="s">
        <v>2</v>
      </c>
      <c r="C14" s="18047">
        <v>14</v>
      </c>
      <c r="D14" s="3">
        <v>14</v>
      </c>
      <c r="E14" s="18047">
        <v>13</v>
      </c>
      <c r="F14" s="3">
        <v>13</v>
      </c>
      <c r="G14" s="18047"/>
      <c r="H14" s="3"/>
      <c r="I14" s="18047">
        <v>27</v>
      </c>
      <c r="J14" s="3">
        <v>27</v>
      </c>
    </row>
    <row r="15" spans="2:10">
      <c r="B15" s="18051" t="s">
        <v>400</v>
      </c>
      <c r="C15" s="18047"/>
      <c r="D15" s="3"/>
      <c r="E15" s="18047">
        <v>3</v>
      </c>
      <c r="F15" s="3">
        <v>3</v>
      </c>
      <c r="G15" s="18047"/>
      <c r="H15" s="3"/>
      <c r="I15" s="18047">
        <v>3</v>
      </c>
      <c r="J15" s="3">
        <v>3</v>
      </c>
    </row>
    <row r="16" spans="2:10">
      <c r="B16" s="18051" t="s">
        <v>1</v>
      </c>
      <c r="C16" s="18047">
        <v>18</v>
      </c>
      <c r="D16" s="3">
        <v>18</v>
      </c>
      <c r="E16" s="18047">
        <v>36</v>
      </c>
      <c r="F16" s="3">
        <v>36</v>
      </c>
      <c r="G16" s="18047"/>
      <c r="H16" s="3"/>
      <c r="I16" s="18047">
        <v>54</v>
      </c>
      <c r="J16" s="3">
        <v>54</v>
      </c>
    </row>
    <row r="17" spans="2:10">
      <c r="B17" s="18050">
        <v>25</v>
      </c>
      <c r="C17" s="18047">
        <v>67</v>
      </c>
      <c r="D17" s="3">
        <v>67</v>
      </c>
      <c r="E17" s="18047">
        <v>109</v>
      </c>
      <c r="F17" s="3">
        <v>109</v>
      </c>
      <c r="G17" s="18047">
        <v>15</v>
      </c>
      <c r="H17" s="3">
        <v>15</v>
      </c>
      <c r="I17" s="18047">
        <v>191</v>
      </c>
      <c r="J17" s="3">
        <v>191</v>
      </c>
    </row>
    <row r="18" spans="2:10">
      <c r="B18" s="18051" t="s">
        <v>111</v>
      </c>
      <c r="C18" s="18047">
        <v>9</v>
      </c>
      <c r="D18" s="3">
        <v>9</v>
      </c>
      <c r="E18" s="18047">
        <v>8</v>
      </c>
      <c r="F18" s="3">
        <v>8</v>
      </c>
      <c r="G18" s="18047"/>
      <c r="H18" s="3"/>
      <c r="I18" s="18047">
        <v>17</v>
      </c>
      <c r="J18" s="3">
        <v>17</v>
      </c>
    </row>
    <row r="19" spans="2:10">
      <c r="B19" s="18051" t="s">
        <v>159</v>
      </c>
      <c r="C19" s="18047"/>
      <c r="D19" s="3"/>
      <c r="E19" s="18047">
        <v>1</v>
      </c>
      <c r="F19" s="3">
        <v>1</v>
      </c>
      <c r="G19" s="18047"/>
      <c r="H19" s="3"/>
      <c r="I19" s="18047">
        <v>1</v>
      </c>
      <c r="J19" s="3">
        <v>1</v>
      </c>
    </row>
    <row r="20" spans="2:10">
      <c r="B20" s="18051" t="s">
        <v>166</v>
      </c>
      <c r="C20" s="18047"/>
      <c r="D20" s="3"/>
      <c r="E20" s="18047">
        <v>10</v>
      </c>
      <c r="F20" s="3">
        <v>10</v>
      </c>
      <c r="G20" s="18047"/>
      <c r="H20" s="3"/>
      <c r="I20" s="18047">
        <v>10</v>
      </c>
      <c r="J20" s="3">
        <v>10</v>
      </c>
    </row>
    <row r="21" spans="2:10">
      <c r="B21" s="18051" t="s">
        <v>2</v>
      </c>
      <c r="C21" s="18047">
        <v>19</v>
      </c>
      <c r="D21" s="3">
        <v>19</v>
      </c>
      <c r="E21" s="18047">
        <v>18</v>
      </c>
      <c r="F21" s="3">
        <v>18</v>
      </c>
      <c r="G21" s="18047"/>
      <c r="H21" s="3"/>
      <c r="I21" s="18047">
        <v>37</v>
      </c>
      <c r="J21" s="3">
        <v>37</v>
      </c>
    </row>
    <row r="22" spans="2:10">
      <c r="B22" s="18051" t="s">
        <v>400</v>
      </c>
      <c r="C22" s="18047"/>
      <c r="D22" s="3"/>
      <c r="E22" s="18047">
        <v>3</v>
      </c>
      <c r="F22" s="3">
        <v>3</v>
      </c>
      <c r="G22" s="18047">
        <v>2</v>
      </c>
      <c r="H22" s="3">
        <v>2</v>
      </c>
      <c r="I22" s="18047">
        <v>5</v>
      </c>
      <c r="J22" s="3">
        <v>5</v>
      </c>
    </row>
    <row r="23" spans="2:10">
      <c r="B23" s="18051" t="s">
        <v>1</v>
      </c>
      <c r="C23" s="18047">
        <v>39</v>
      </c>
      <c r="D23" s="3">
        <v>39</v>
      </c>
      <c r="E23" s="18047">
        <v>60</v>
      </c>
      <c r="F23" s="3">
        <v>60</v>
      </c>
      <c r="G23" s="18047">
        <v>5</v>
      </c>
      <c r="H23" s="3">
        <v>5</v>
      </c>
      <c r="I23" s="18047">
        <v>104</v>
      </c>
      <c r="J23" s="3">
        <v>104</v>
      </c>
    </row>
    <row r="24" spans="2:10">
      <c r="B24" s="18051" t="s">
        <v>124</v>
      </c>
      <c r="C24" s="18047"/>
      <c r="D24" s="3"/>
      <c r="E24" s="18047">
        <v>9</v>
      </c>
      <c r="F24" s="3">
        <v>9</v>
      </c>
      <c r="G24" s="18047">
        <v>4</v>
      </c>
      <c r="H24" s="3">
        <v>4</v>
      </c>
      <c r="I24" s="18047">
        <v>13</v>
      </c>
      <c r="J24" s="3">
        <v>13</v>
      </c>
    </row>
    <row r="25" spans="2:10">
      <c r="B25" s="18051" t="s">
        <v>775</v>
      </c>
      <c r="C25" s="18047"/>
      <c r="D25" s="3"/>
      <c r="E25" s="18047"/>
      <c r="F25" s="3"/>
      <c r="G25" s="18047">
        <v>4</v>
      </c>
      <c r="H25" s="3">
        <v>4</v>
      </c>
      <c r="I25" s="18047">
        <v>4</v>
      </c>
      <c r="J25" s="3">
        <v>4</v>
      </c>
    </row>
    <row r="26" spans="2:10">
      <c r="B26" s="18050">
        <v>26</v>
      </c>
      <c r="C26" s="18047">
        <v>142</v>
      </c>
      <c r="D26" s="3">
        <v>142</v>
      </c>
      <c r="E26" s="18047">
        <v>88</v>
      </c>
      <c r="F26" s="3">
        <v>88</v>
      </c>
      <c r="G26" s="18047">
        <v>12</v>
      </c>
      <c r="H26" s="3">
        <v>12</v>
      </c>
      <c r="I26" s="18047">
        <v>242</v>
      </c>
      <c r="J26" s="3">
        <v>242</v>
      </c>
    </row>
    <row r="27" spans="2:10">
      <c r="B27" s="18051" t="s">
        <v>111</v>
      </c>
      <c r="C27" s="18047">
        <v>19</v>
      </c>
      <c r="D27" s="3">
        <v>19</v>
      </c>
      <c r="E27" s="18047">
        <v>11</v>
      </c>
      <c r="F27" s="3">
        <v>11</v>
      </c>
      <c r="G27" s="18047"/>
      <c r="H27" s="3"/>
      <c r="I27" s="18047">
        <v>30</v>
      </c>
      <c r="J27" s="3">
        <v>30</v>
      </c>
    </row>
    <row r="28" spans="2:10">
      <c r="B28" s="18051" t="s">
        <v>159</v>
      </c>
      <c r="C28" s="18047"/>
      <c r="D28" s="3"/>
      <c r="E28" s="18047">
        <v>2</v>
      </c>
      <c r="F28" s="3">
        <v>2</v>
      </c>
      <c r="G28" s="18047"/>
      <c r="H28" s="3"/>
      <c r="I28" s="18047">
        <v>2</v>
      </c>
      <c r="J28" s="3">
        <v>2</v>
      </c>
    </row>
    <row r="29" spans="2:10">
      <c r="B29" s="18051" t="s">
        <v>166</v>
      </c>
      <c r="C29" s="18047"/>
      <c r="D29" s="3"/>
      <c r="E29" s="18047">
        <v>11</v>
      </c>
      <c r="F29" s="3">
        <v>11</v>
      </c>
      <c r="G29" s="18047"/>
      <c r="H29" s="3"/>
      <c r="I29" s="18047">
        <v>11</v>
      </c>
      <c r="J29" s="3">
        <v>11</v>
      </c>
    </row>
    <row r="30" spans="2:10">
      <c r="B30" s="18051" t="s">
        <v>2</v>
      </c>
      <c r="C30" s="18047">
        <v>60</v>
      </c>
      <c r="D30" s="3">
        <v>60</v>
      </c>
      <c r="E30" s="18047">
        <v>16</v>
      </c>
      <c r="F30" s="3">
        <v>16</v>
      </c>
      <c r="G30" s="18047"/>
      <c r="H30" s="3"/>
      <c r="I30" s="18047">
        <v>76</v>
      </c>
      <c r="J30" s="3">
        <v>76</v>
      </c>
    </row>
    <row r="31" spans="2:10">
      <c r="B31" s="18051" t="s">
        <v>400</v>
      </c>
      <c r="C31" s="18047"/>
      <c r="D31" s="3"/>
      <c r="E31" s="18047">
        <v>7</v>
      </c>
      <c r="F31" s="3">
        <v>7</v>
      </c>
      <c r="G31" s="18047"/>
      <c r="H31" s="3"/>
      <c r="I31" s="18047">
        <v>7</v>
      </c>
      <c r="J31" s="3">
        <v>7</v>
      </c>
    </row>
    <row r="32" spans="2:10">
      <c r="B32" s="18051" t="s">
        <v>1</v>
      </c>
      <c r="C32" s="18047">
        <v>39</v>
      </c>
      <c r="D32" s="3">
        <v>39</v>
      </c>
      <c r="E32" s="18047">
        <v>32</v>
      </c>
      <c r="F32" s="3">
        <v>32</v>
      </c>
      <c r="G32" s="18047">
        <v>9</v>
      </c>
      <c r="H32" s="3">
        <v>9</v>
      </c>
      <c r="I32" s="18047">
        <v>80</v>
      </c>
      <c r="J32" s="3">
        <v>80</v>
      </c>
    </row>
    <row r="33" spans="2:10">
      <c r="B33" s="18051" t="s">
        <v>115</v>
      </c>
      <c r="C33" s="18047">
        <v>4</v>
      </c>
      <c r="D33" s="3">
        <v>4</v>
      </c>
      <c r="E33" s="18047"/>
      <c r="F33" s="3"/>
      <c r="G33" s="18047"/>
      <c r="H33" s="3"/>
      <c r="I33" s="18047">
        <v>4</v>
      </c>
      <c r="J33" s="3">
        <v>4</v>
      </c>
    </row>
    <row r="34" spans="2:10">
      <c r="B34" s="18051" t="s">
        <v>124</v>
      </c>
      <c r="C34" s="18047">
        <v>20</v>
      </c>
      <c r="D34" s="3">
        <v>20</v>
      </c>
      <c r="E34" s="18047">
        <v>9</v>
      </c>
      <c r="F34" s="3">
        <v>9</v>
      </c>
      <c r="G34" s="18047">
        <v>1</v>
      </c>
      <c r="H34" s="3">
        <v>1</v>
      </c>
      <c r="I34" s="18047">
        <v>30</v>
      </c>
      <c r="J34" s="3">
        <v>30</v>
      </c>
    </row>
    <row r="35" spans="2:10">
      <c r="B35" s="18051" t="s">
        <v>775</v>
      </c>
      <c r="C35" s="18047"/>
      <c r="D35" s="3"/>
      <c r="E35" s="18047"/>
      <c r="F35" s="3"/>
      <c r="G35" s="18047">
        <v>2</v>
      </c>
      <c r="H35" s="3">
        <v>2</v>
      </c>
      <c r="I35" s="18047">
        <v>2</v>
      </c>
      <c r="J35" s="3">
        <v>2</v>
      </c>
    </row>
    <row r="36" spans="2:10">
      <c r="B36" s="18050">
        <v>27</v>
      </c>
      <c r="C36" s="18047">
        <v>104</v>
      </c>
      <c r="D36" s="3">
        <v>104</v>
      </c>
      <c r="E36" s="18047">
        <v>30</v>
      </c>
      <c r="F36" s="3">
        <v>30</v>
      </c>
      <c r="G36" s="18047"/>
      <c r="H36" s="3"/>
      <c r="I36" s="18047">
        <v>134</v>
      </c>
      <c r="J36" s="3">
        <v>134</v>
      </c>
    </row>
    <row r="37" spans="2:10">
      <c r="B37" s="18051" t="s">
        <v>111</v>
      </c>
      <c r="C37" s="18047">
        <v>26</v>
      </c>
      <c r="D37" s="3">
        <v>26</v>
      </c>
      <c r="E37" s="18047">
        <v>1</v>
      </c>
      <c r="F37" s="3">
        <v>1</v>
      </c>
      <c r="G37" s="18047"/>
      <c r="H37" s="3"/>
      <c r="I37" s="18047">
        <v>27</v>
      </c>
      <c r="J37" s="3">
        <v>27</v>
      </c>
    </row>
    <row r="38" spans="2:10">
      <c r="B38" s="18051" t="s">
        <v>159</v>
      </c>
      <c r="C38" s="18047"/>
      <c r="D38" s="3"/>
      <c r="E38" s="18047">
        <v>1</v>
      </c>
      <c r="F38" s="3">
        <v>1</v>
      </c>
      <c r="G38" s="18047"/>
      <c r="H38" s="3"/>
      <c r="I38" s="18047">
        <v>1</v>
      </c>
      <c r="J38" s="3">
        <v>1</v>
      </c>
    </row>
    <row r="39" spans="2:10">
      <c r="B39" s="18051" t="s">
        <v>2</v>
      </c>
      <c r="C39" s="18047"/>
      <c r="D39" s="3"/>
      <c r="E39" s="18047">
        <v>8</v>
      </c>
      <c r="F39" s="3">
        <v>8</v>
      </c>
      <c r="G39" s="18047"/>
      <c r="H39" s="3"/>
      <c r="I39" s="18047">
        <v>8</v>
      </c>
      <c r="J39" s="3">
        <v>8</v>
      </c>
    </row>
    <row r="40" spans="2:10">
      <c r="B40" s="18051" t="s">
        <v>1</v>
      </c>
      <c r="C40" s="18047">
        <v>53</v>
      </c>
      <c r="D40" s="3">
        <v>53</v>
      </c>
      <c r="E40" s="18047">
        <v>11</v>
      </c>
      <c r="F40" s="3">
        <v>11</v>
      </c>
      <c r="G40" s="18047"/>
      <c r="H40" s="3"/>
      <c r="I40" s="18047">
        <v>64</v>
      </c>
      <c r="J40" s="3">
        <v>64</v>
      </c>
    </row>
    <row r="41" spans="2:10">
      <c r="B41" s="18051" t="s">
        <v>654</v>
      </c>
      <c r="C41" s="18047">
        <v>25</v>
      </c>
      <c r="D41" s="3">
        <v>25</v>
      </c>
      <c r="E41" s="18047"/>
      <c r="F41" s="3"/>
      <c r="G41" s="18047"/>
      <c r="H41" s="3"/>
      <c r="I41" s="18047">
        <v>25</v>
      </c>
      <c r="J41" s="3">
        <v>25</v>
      </c>
    </row>
    <row r="42" spans="2:10">
      <c r="B42" s="18051" t="s">
        <v>115</v>
      </c>
      <c r="C42" s="18047"/>
      <c r="D42" s="3"/>
      <c r="E42" s="18047">
        <v>2</v>
      </c>
      <c r="F42" s="3">
        <v>2</v>
      </c>
      <c r="G42" s="18047"/>
      <c r="H42" s="3"/>
      <c r="I42" s="18047">
        <v>2</v>
      </c>
      <c r="J42" s="3">
        <v>2</v>
      </c>
    </row>
    <row r="43" spans="2:10">
      <c r="B43" s="18051" t="s">
        <v>124</v>
      </c>
      <c r="C43" s="18047"/>
      <c r="D43" s="3"/>
      <c r="E43" s="18047">
        <v>4</v>
      </c>
      <c r="F43" s="3">
        <v>4</v>
      </c>
      <c r="G43" s="18047"/>
      <c r="H43" s="3"/>
      <c r="I43" s="18047">
        <v>4</v>
      </c>
      <c r="J43" s="3">
        <v>4</v>
      </c>
    </row>
    <row r="44" spans="2:10">
      <c r="B44" s="18051" t="s">
        <v>833</v>
      </c>
      <c r="C44" s="18047"/>
      <c r="D44" s="3"/>
      <c r="E44" s="18047">
        <v>3</v>
      </c>
      <c r="F44" s="3">
        <v>3</v>
      </c>
      <c r="G44" s="18047"/>
      <c r="H44" s="3"/>
      <c r="I44" s="18047">
        <v>3</v>
      </c>
      <c r="J44" s="3">
        <v>3</v>
      </c>
    </row>
    <row r="45" spans="2:10">
      <c r="B45" s="18050" t="s">
        <v>917</v>
      </c>
      <c r="C45" s="18047">
        <v>383</v>
      </c>
      <c r="D45" s="3">
        <v>383</v>
      </c>
      <c r="E45" s="18047">
        <v>352</v>
      </c>
      <c r="F45" s="3">
        <v>352</v>
      </c>
      <c r="G45" s="18047">
        <v>27</v>
      </c>
      <c r="H45" s="3">
        <v>27</v>
      </c>
      <c r="I45" s="18047">
        <v>762</v>
      </c>
      <c r="J45" s="3"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4238-8ED1-4EBB-A19B-D719D369C28F}">
  <dimension ref="B2:F46"/>
  <sheetViews>
    <sheetView workbookViewId="0"/>
  </sheetViews>
  <sheetFormatPr baseColWidth="10" defaultRowHeight="13.8"/>
  <cols>
    <col min="2" max="2" width="26.5" bestFit="1" customWidth="1"/>
    <col min="3" max="3" width="21.8984375" bestFit="1" customWidth="1"/>
    <col min="4" max="4" width="15.69921875" bestFit="1" customWidth="1"/>
    <col min="5" max="5" width="10.3984375" bestFit="1" customWidth="1"/>
    <col min="6" max="6" width="12.296875" bestFit="1" customWidth="1"/>
  </cols>
  <sheetData>
    <row r="2" spans="2:6">
      <c r="B2" s="18048" t="s">
        <v>915</v>
      </c>
    </row>
    <row r="5" spans="2:6">
      <c r="B5" s="18049" t="s">
        <v>919</v>
      </c>
      <c r="C5" s="18049" t="s">
        <v>918</v>
      </c>
    </row>
    <row r="6" spans="2:6">
      <c r="B6" s="18049" t="s">
        <v>916</v>
      </c>
      <c r="C6" t="s">
        <v>850</v>
      </c>
      <c r="D6" t="s">
        <v>852</v>
      </c>
      <c r="E6" t="s">
        <v>886</v>
      </c>
      <c r="F6" t="s">
        <v>917</v>
      </c>
    </row>
    <row r="7" spans="2:6">
      <c r="B7" s="18050">
        <v>22</v>
      </c>
      <c r="C7" s="3"/>
      <c r="D7" s="3">
        <v>6</v>
      </c>
      <c r="E7" s="3"/>
      <c r="F7" s="3">
        <v>6</v>
      </c>
    </row>
    <row r="8" spans="2:6">
      <c r="B8" s="18051" t="s">
        <v>166</v>
      </c>
      <c r="C8" s="3"/>
      <c r="D8" s="3">
        <v>6</v>
      </c>
      <c r="E8" s="3"/>
      <c r="F8" s="3">
        <v>6</v>
      </c>
    </row>
    <row r="9" spans="2:6">
      <c r="B9" s="18050">
        <v>23</v>
      </c>
      <c r="C9" s="3"/>
      <c r="D9" s="3">
        <v>12</v>
      </c>
      <c r="E9" s="3"/>
      <c r="F9" s="3">
        <v>12</v>
      </c>
    </row>
    <row r="10" spans="2:6">
      <c r="B10" s="18051" t="s">
        <v>166</v>
      </c>
      <c r="C10" s="3"/>
      <c r="D10" s="3">
        <v>12</v>
      </c>
      <c r="E10" s="3"/>
      <c r="F10" s="3">
        <v>12</v>
      </c>
    </row>
    <row r="11" spans="2:6">
      <c r="B11" s="18050">
        <v>24</v>
      </c>
      <c r="C11" s="3">
        <v>70</v>
      </c>
      <c r="D11" s="3">
        <v>107</v>
      </c>
      <c r="E11" s="3"/>
      <c r="F11" s="3">
        <v>177</v>
      </c>
    </row>
    <row r="12" spans="2:6">
      <c r="B12" s="18051" t="s">
        <v>111</v>
      </c>
      <c r="C12" s="3">
        <v>5</v>
      </c>
      <c r="D12" s="3">
        <v>2</v>
      </c>
      <c r="E12" s="3"/>
      <c r="F12" s="3">
        <v>7</v>
      </c>
    </row>
    <row r="13" spans="2:6">
      <c r="B13" s="18051" t="s">
        <v>3</v>
      </c>
      <c r="C13" s="3">
        <v>33</v>
      </c>
      <c r="D13" s="3">
        <v>50</v>
      </c>
      <c r="E13" s="3"/>
      <c r="F13" s="3">
        <v>83</v>
      </c>
    </row>
    <row r="14" spans="2:6">
      <c r="B14" s="18051" t="s">
        <v>166</v>
      </c>
      <c r="C14" s="3"/>
      <c r="D14" s="3">
        <v>3</v>
      </c>
      <c r="E14" s="3"/>
      <c r="F14" s="3">
        <v>3</v>
      </c>
    </row>
    <row r="15" spans="2:6">
      <c r="B15" s="18051" t="s">
        <v>2</v>
      </c>
      <c r="C15" s="3">
        <v>14</v>
      </c>
      <c r="D15" s="3">
        <v>13</v>
      </c>
      <c r="E15" s="3"/>
      <c r="F15" s="3">
        <v>27</v>
      </c>
    </row>
    <row r="16" spans="2:6">
      <c r="B16" s="18051" t="s">
        <v>400</v>
      </c>
      <c r="C16" s="3"/>
      <c r="D16" s="3">
        <v>3</v>
      </c>
      <c r="E16" s="3"/>
      <c r="F16" s="3">
        <v>3</v>
      </c>
    </row>
    <row r="17" spans="2:6">
      <c r="B17" s="18051" t="s">
        <v>1</v>
      </c>
      <c r="C17" s="3">
        <v>18</v>
      </c>
      <c r="D17" s="3">
        <v>36</v>
      </c>
      <c r="E17" s="3"/>
      <c r="F17" s="3">
        <v>54</v>
      </c>
    </row>
    <row r="18" spans="2:6">
      <c r="B18" s="18050">
        <v>25</v>
      </c>
      <c r="C18" s="3">
        <v>67</v>
      </c>
      <c r="D18" s="3">
        <v>109</v>
      </c>
      <c r="E18" s="3">
        <v>15</v>
      </c>
      <c r="F18" s="3">
        <v>191</v>
      </c>
    </row>
    <row r="19" spans="2:6">
      <c r="B19" s="18051" t="s">
        <v>111</v>
      </c>
      <c r="C19" s="3">
        <v>9</v>
      </c>
      <c r="D19" s="3">
        <v>8</v>
      </c>
      <c r="E19" s="3"/>
      <c r="F19" s="3">
        <v>17</v>
      </c>
    </row>
    <row r="20" spans="2:6">
      <c r="B20" s="18051" t="s">
        <v>159</v>
      </c>
      <c r="C20" s="3"/>
      <c r="D20" s="3">
        <v>1</v>
      </c>
      <c r="E20" s="3"/>
      <c r="F20" s="3">
        <v>1</v>
      </c>
    </row>
    <row r="21" spans="2:6">
      <c r="B21" s="18051" t="s">
        <v>166</v>
      </c>
      <c r="C21" s="3"/>
      <c r="D21" s="3">
        <v>10</v>
      </c>
      <c r="E21" s="3"/>
      <c r="F21" s="3">
        <v>10</v>
      </c>
    </row>
    <row r="22" spans="2:6">
      <c r="B22" s="18051" t="s">
        <v>2</v>
      </c>
      <c r="C22" s="3">
        <v>19</v>
      </c>
      <c r="D22" s="3">
        <v>18</v>
      </c>
      <c r="E22" s="3"/>
      <c r="F22" s="3">
        <v>37</v>
      </c>
    </row>
    <row r="23" spans="2:6">
      <c r="B23" s="18051" t="s">
        <v>400</v>
      </c>
      <c r="C23" s="3"/>
      <c r="D23" s="3">
        <v>3</v>
      </c>
      <c r="E23" s="3">
        <v>2</v>
      </c>
      <c r="F23" s="3">
        <v>5</v>
      </c>
    </row>
    <row r="24" spans="2:6">
      <c r="B24" s="18051" t="s">
        <v>1</v>
      </c>
      <c r="C24" s="3">
        <v>39</v>
      </c>
      <c r="D24" s="3">
        <v>60</v>
      </c>
      <c r="E24" s="3">
        <v>5</v>
      </c>
      <c r="F24" s="3">
        <v>104</v>
      </c>
    </row>
    <row r="25" spans="2:6">
      <c r="B25" s="18051" t="s">
        <v>124</v>
      </c>
      <c r="C25" s="3"/>
      <c r="D25" s="3">
        <v>9</v>
      </c>
      <c r="E25" s="3">
        <v>4</v>
      </c>
      <c r="F25" s="3">
        <v>13</v>
      </c>
    </row>
    <row r="26" spans="2:6">
      <c r="B26" s="18051" t="s">
        <v>775</v>
      </c>
      <c r="C26" s="3"/>
      <c r="D26" s="3"/>
      <c r="E26" s="3">
        <v>4</v>
      </c>
      <c r="F26" s="3">
        <v>4</v>
      </c>
    </row>
    <row r="27" spans="2:6">
      <c r="B27" s="18050">
        <v>26</v>
      </c>
      <c r="C27" s="3">
        <v>142</v>
      </c>
      <c r="D27" s="3">
        <v>88</v>
      </c>
      <c r="E27" s="3">
        <v>12</v>
      </c>
      <c r="F27" s="3">
        <v>242</v>
      </c>
    </row>
    <row r="28" spans="2:6">
      <c r="B28" s="18051" t="s">
        <v>111</v>
      </c>
      <c r="C28" s="3">
        <v>19</v>
      </c>
      <c r="D28" s="3">
        <v>11</v>
      </c>
      <c r="E28" s="3"/>
      <c r="F28" s="3">
        <v>30</v>
      </c>
    </row>
    <row r="29" spans="2:6">
      <c r="B29" s="18051" t="s">
        <v>159</v>
      </c>
      <c r="C29" s="3"/>
      <c r="D29" s="3">
        <v>2</v>
      </c>
      <c r="E29" s="3"/>
      <c r="F29" s="3">
        <v>2</v>
      </c>
    </row>
    <row r="30" spans="2:6">
      <c r="B30" s="18051" t="s">
        <v>166</v>
      </c>
      <c r="C30" s="3"/>
      <c r="D30" s="3">
        <v>11</v>
      </c>
      <c r="E30" s="3"/>
      <c r="F30" s="3">
        <v>11</v>
      </c>
    </row>
    <row r="31" spans="2:6">
      <c r="B31" s="18051" t="s">
        <v>2</v>
      </c>
      <c r="C31" s="3">
        <v>60</v>
      </c>
      <c r="D31" s="3">
        <v>16</v>
      </c>
      <c r="E31" s="3"/>
      <c r="F31" s="3">
        <v>76</v>
      </c>
    </row>
    <row r="32" spans="2:6">
      <c r="B32" s="18051" t="s">
        <v>400</v>
      </c>
      <c r="C32" s="3"/>
      <c r="D32" s="3">
        <v>7</v>
      </c>
      <c r="E32" s="3"/>
      <c r="F32" s="3">
        <v>7</v>
      </c>
    </row>
    <row r="33" spans="2:6">
      <c r="B33" s="18051" t="s">
        <v>1</v>
      </c>
      <c r="C33" s="3">
        <v>39</v>
      </c>
      <c r="D33" s="3">
        <v>32</v>
      </c>
      <c r="E33" s="3">
        <v>9</v>
      </c>
      <c r="F33" s="3">
        <v>80</v>
      </c>
    </row>
    <row r="34" spans="2:6">
      <c r="B34" s="18051" t="s">
        <v>115</v>
      </c>
      <c r="C34" s="3">
        <v>4</v>
      </c>
      <c r="D34" s="3"/>
      <c r="E34" s="3"/>
      <c r="F34" s="3">
        <v>4</v>
      </c>
    </row>
    <row r="35" spans="2:6">
      <c r="B35" s="18051" t="s">
        <v>124</v>
      </c>
      <c r="C35" s="3">
        <v>20</v>
      </c>
      <c r="D35" s="3">
        <v>9</v>
      </c>
      <c r="E35" s="3">
        <v>1</v>
      </c>
      <c r="F35" s="3">
        <v>30</v>
      </c>
    </row>
    <row r="36" spans="2:6">
      <c r="B36" s="18051" t="s">
        <v>775</v>
      </c>
      <c r="C36" s="3"/>
      <c r="D36" s="3"/>
      <c r="E36" s="3">
        <v>2</v>
      </c>
      <c r="F36" s="3">
        <v>2</v>
      </c>
    </row>
    <row r="37" spans="2:6">
      <c r="B37" s="18050">
        <v>27</v>
      </c>
      <c r="C37" s="3">
        <v>104</v>
      </c>
      <c r="D37" s="3">
        <v>30</v>
      </c>
      <c r="E37" s="3"/>
      <c r="F37" s="3">
        <v>134</v>
      </c>
    </row>
    <row r="38" spans="2:6">
      <c r="B38" s="18051" t="s">
        <v>111</v>
      </c>
      <c r="C38" s="3">
        <v>26</v>
      </c>
      <c r="D38" s="3">
        <v>1</v>
      </c>
      <c r="E38" s="3"/>
      <c r="F38" s="3">
        <v>27</v>
      </c>
    </row>
    <row r="39" spans="2:6">
      <c r="B39" s="18051" t="s">
        <v>159</v>
      </c>
      <c r="C39" s="3"/>
      <c r="D39" s="3">
        <v>1</v>
      </c>
      <c r="E39" s="3"/>
      <c r="F39" s="3">
        <v>1</v>
      </c>
    </row>
    <row r="40" spans="2:6">
      <c r="B40" s="18051" t="s">
        <v>2</v>
      </c>
      <c r="C40" s="3"/>
      <c r="D40" s="3">
        <v>8</v>
      </c>
      <c r="E40" s="3"/>
      <c r="F40" s="3">
        <v>8</v>
      </c>
    </row>
    <row r="41" spans="2:6">
      <c r="B41" s="18051" t="s">
        <v>1</v>
      </c>
      <c r="C41" s="3">
        <v>53</v>
      </c>
      <c r="D41" s="3">
        <v>11</v>
      </c>
      <c r="E41" s="3"/>
      <c r="F41" s="3">
        <v>64</v>
      </c>
    </row>
    <row r="42" spans="2:6">
      <c r="B42" s="18051" t="s">
        <v>654</v>
      </c>
      <c r="C42" s="3">
        <v>25</v>
      </c>
      <c r="D42" s="3"/>
      <c r="E42" s="3"/>
      <c r="F42" s="3">
        <v>25</v>
      </c>
    </row>
    <row r="43" spans="2:6">
      <c r="B43" s="18051" t="s">
        <v>115</v>
      </c>
      <c r="C43" s="3"/>
      <c r="D43" s="3">
        <v>2</v>
      </c>
      <c r="E43" s="3"/>
      <c r="F43" s="3">
        <v>2</v>
      </c>
    </row>
    <row r="44" spans="2:6">
      <c r="B44" s="18051" t="s">
        <v>124</v>
      </c>
      <c r="C44" s="3"/>
      <c r="D44" s="3">
        <v>4</v>
      </c>
      <c r="E44" s="3"/>
      <c r="F44" s="3">
        <v>4</v>
      </c>
    </row>
    <row r="45" spans="2:6">
      <c r="B45" s="18051" t="s">
        <v>833</v>
      </c>
      <c r="C45" s="3"/>
      <c r="D45" s="3">
        <v>3</v>
      </c>
      <c r="E45" s="3"/>
      <c r="F45" s="3">
        <v>3</v>
      </c>
    </row>
    <row r="46" spans="2:6">
      <c r="B46" s="18050" t="s">
        <v>917</v>
      </c>
      <c r="C46" s="3">
        <v>383</v>
      </c>
      <c r="D46" s="3">
        <v>352</v>
      </c>
      <c r="E46" s="3">
        <v>27</v>
      </c>
      <c r="F46" s="3">
        <v>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682F-77CE-48F3-9D3C-F9B849308753}">
  <dimension ref="A1:K763"/>
  <sheetViews>
    <sheetView workbookViewId="0"/>
  </sheetViews>
  <sheetFormatPr baseColWidth="10" defaultRowHeight="13.8"/>
  <cols>
    <col min="1" max="1" width="12.19921875" bestFit="1" customWidth="1"/>
    <col min="2" max="2" width="10.69921875" bestFit="1" customWidth="1"/>
    <col min="3" max="3" width="9.5" style="18046" bestFit="1" customWidth="1"/>
    <col min="4" max="4" width="22.796875" bestFit="1" customWidth="1"/>
    <col min="5" max="5" width="17.5" bestFit="1" customWidth="1"/>
    <col min="6" max="6" width="81.19921875" bestFit="1" customWidth="1"/>
    <col min="7" max="7" width="9.5" style="3" bestFit="1" customWidth="1"/>
    <col min="8" max="8" width="19.59765625" style="18047" bestFit="1" customWidth="1"/>
    <col min="9" max="9" width="16.296875" style="18047" bestFit="1" customWidth="1"/>
    <col min="10" max="10" width="13.69921875" bestFit="1" customWidth="1"/>
    <col min="11" max="11" width="18.8984375" bestFit="1" customWidth="1"/>
  </cols>
  <sheetData>
    <row r="1" spans="1:11">
      <c r="A1" t="s">
        <v>839</v>
      </c>
      <c r="B1" t="s">
        <v>840</v>
      </c>
      <c r="C1" s="18046" t="s">
        <v>841</v>
      </c>
      <c r="D1" t="s">
        <v>842</v>
      </c>
      <c r="E1" t="s">
        <v>843</v>
      </c>
      <c r="F1" t="s">
        <v>844</v>
      </c>
      <c r="G1" s="3" t="s">
        <v>845</v>
      </c>
      <c r="H1" s="18047" t="s">
        <v>846</v>
      </c>
      <c r="I1" s="18047" t="s">
        <v>847</v>
      </c>
      <c r="J1" t="s">
        <v>848</v>
      </c>
      <c r="K1" t="s">
        <v>849</v>
      </c>
    </row>
    <row r="2" spans="1:11">
      <c r="A2" t="str">
        <f>IF(LEFT(E2,1)="1","SOL",IF(LEFT(E2,1)="2","CO",IF(LEFT(E2,1)="3","ALM",IF(LEFT(E2,1)="4","FAC","TRX")))) &amp; "-" &amp; B2 &amp; "-" &amp; TEXT(COUNTIFS($E$2:$E2,E2,$B$2:$B2,B2),"000")</f>
        <v>SOL-24-001</v>
      </c>
      <c r="B2">
        <v>24</v>
      </c>
      <c r="C2" s="18046">
        <v>46181</v>
      </c>
      <c r="D2" t="s">
        <v>1</v>
      </c>
      <c r="E2" t="s">
        <v>850</v>
      </c>
      <c r="F2" t="s">
        <v>65</v>
      </c>
      <c r="G2" s="3">
        <v>200</v>
      </c>
      <c r="H2" s="18047">
        <v>27</v>
      </c>
      <c r="I2" s="18047">
        <v>5400</v>
      </c>
      <c r="J2" t="s">
        <v>851</v>
      </c>
      <c r="K2">
        <v>27</v>
      </c>
    </row>
    <row r="3" spans="1:11">
      <c r="A3" t="str">
        <f>IF(LEFT(E3,1)="1","SOL",IF(LEFT(E3,1)="2","CO",IF(LEFT(E3,1)="3","ALM",IF(LEFT(E3,1)="4","FAC","TRX")))) &amp; "-" &amp; B3 &amp; "-" &amp; TEXT(COUNTIFS($E$2:$E3,E3,$B$2:$B3,B3),"000")</f>
        <v>SOL-24-002</v>
      </c>
      <c r="B3">
        <v>24</v>
      </c>
      <c r="C3" s="18046">
        <v>46181</v>
      </c>
      <c r="D3" t="s">
        <v>1</v>
      </c>
      <c r="E3" t="s">
        <v>850</v>
      </c>
      <c r="F3" t="s">
        <v>69</v>
      </c>
      <c r="G3" s="3">
        <v>300</v>
      </c>
      <c r="H3" s="18047">
        <v>27</v>
      </c>
      <c r="I3" s="18047">
        <v>8100</v>
      </c>
      <c r="J3" t="s">
        <v>851</v>
      </c>
      <c r="K3">
        <v>27</v>
      </c>
    </row>
    <row r="4" spans="1:11">
      <c r="A4" t="str">
        <f>IF(LEFT(E4,1)="1","SOL",IF(LEFT(E4,1)="2","CO",IF(LEFT(E4,1)="3","ALM",IF(LEFT(E4,1)="4","FAC","TRX")))) &amp; "-" &amp; B4 &amp; "-" &amp; TEXT(COUNTIFS($E$2:$E4,E4,$B$2:$B4,B4),"000")</f>
        <v>SOL-24-003</v>
      </c>
      <c r="B4">
        <v>24</v>
      </c>
      <c r="C4" s="18046">
        <v>46181</v>
      </c>
      <c r="D4" t="s">
        <v>1</v>
      </c>
      <c r="E4" t="s">
        <v>850</v>
      </c>
      <c r="F4" t="s">
        <v>56</v>
      </c>
      <c r="G4" s="3">
        <v>30</v>
      </c>
      <c r="H4" s="18047">
        <v>27</v>
      </c>
      <c r="I4" s="18047">
        <v>810</v>
      </c>
      <c r="J4" t="s">
        <v>851</v>
      </c>
      <c r="K4">
        <v>27</v>
      </c>
    </row>
    <row r="5" spans="1:11">
      <c r="A5" t="str">
        <f>IF(LEFT(E5,1)="1","SOL",IF(LEFT(E5,1)="2","CO",IF(LEFT(E5,1)="3","ALM",IF(LEFT(E5,1)="4","FAC","TRX")))) &amp; "-" &amp; B5 &amp; "-" &amp; TEXT(COUNTIFS($E$2:$E5,E5,$B$2:$B5,B5),"000")</f>
        <v>SOL-24-004</v>
      </c>
      <c r="B5">
        <v>24</v>
      </c>
      <c r="C5" s="18046">
        <v>46181</v>
      </c>
      <c r="D5" t="s">
        <v>1</v>
      </c>
      <c r="E5" t="s">
        <v>850</v>
      </c>
      <c r="F5" t="s">
        <v>70</v>
      </c>
      <c r="G5" s="3">
        <v>20</v>
      </c>
      <c r="H5" s="18047">
        <v>27</v>
      </c>
      <c r="I5" s="18047">
        <v>540</v>
      </c>
      <c r="J5" t="s">
        <v>851</v>
      </c>
      <c r="K5">
        <v>27</v>
      </c>
    </row>
    <row r="6" spans="1:11">
      <c r="A6" t="str">
        <f>IF(LEFT(E6,1)="1","SOL",IF(LEFT(E6,1)="2","CO",IF(LEFT(E6,1)="3","ALM",IF(LEFT(E6,1)="4","FAC","TRX")))) &amp; "-" &amp; B6 &amp; "-" &amp; TEXT(COUNTIFS($E$2:$E6,E6,$B$2:$B6,B6),"000")</f>
        <v>SOL-24-005</v>
      </c>
      <c r="B6">
        <v>24</v>
      </c>
      <c r="C6" s="18046">
        <v>46181</v>
      </c>
      <c r="D6" t="s">
        <v>1</v>
      </c>
      <c r="E6" t="s">
        <v>850</v>
      </c>
      <c r="F6" t="s">
        <v>85</v>
      </c>
      <c r="G6" s="3">
        <v>30</v>
      </c>
      <c r="H6" s="18047">
        <v>27</v>
      </c>
      <c r="I6" s="18047">
        <v>810</v>
      </c>
      <c r="J6" t="s">
        <v>851</v>
      </c>
      <c r="K6">
        <v>27</v>
      </c>
    </row>
    <row r="7" spans="1:11">
      <c r="A7" t="str">
        <f>IF(LEFT(E7,1)="1","SOL",IF(LEFT(E7,1)="2","CO",IF(LEFT(E7,1)="3","ALM",IF(LEFT(E7,1)="4","FAC","TRX")))) &amp; "-" &amp; B7 &amp; "-" &amp; TEXT(COUNTIFS($E$2:$E7,E7,$B$2:$B7,B7),"000")</f>
        <v>SOL-24-006</v>
      </c>
      <c r="B7">
        <v>24</v>
      </c>
      <c r="C7" s="18046">
        <v>46181</v>
      </c>
      <c r="D7" t="s">
        <v>1</v>
      </c>
      <c r="E7" t="s">
        <v>850</v>
      </c>
      <c r="F7" t="s">
        <v>48</v>
      </c>
      <c r="G7" s="3">
        <v>30</v>
      </c>
      <c r="H7" s="18047">
        <v>27</v>
      </c>
      <c r="I7" s="18047">
        <v>810</v>
      </c>
      <c r="J7" t="s">
        <v>851</v>
      </c>
      <c r="K7">
        <v>27</v>
      </c>
    </row>
    <row r="8" spans="1:11">
      <c r="A8" t="str">
        <f>IF(LEFT(E8,1)="1","SOL",IF(LEFT(E8,1)="2","CO",IF(LEFT(E8,1)="3","ALM",IF(LEFT(E8,1)="4","FAC","TRX")))) &amp; "-" &amp; B8 &amp; "-" &amp; TEXT(COUNTIFS($E$2:$E8,E8,$B$2:$B8,B8),"000")</f>
        <v>SOL-24-007</v>
      </c>
      <c r="B8">
        <v>24</v>
      </c>
      <c r="C8" s="18046">
        <v>46181</v>
      </c>
      <c r="D8" t="s">
        <v>1</v>
      </c>
      <c r="E8" t="s">
        <v>850</v>
      </c>
      <c r="F8" t="s">
        <v>102</v>
      </c>
      <c r="G8" s="3">
        <v>30</v>
      </c>
      <c r="H8" s="18047">
        <v>27</v>
      </c>
      <c r="I8" s="18047">
        <v>810</v>
      </c>
      <c r="J8" t="s">
        <v>851</v>
      </c>
      <c r="K8">
        <v>27</v>
      </c>
    </row>
    <row r="9" spans="1:11">
      <c r="A9" t="str">
        <f>IF(LEFT(E9,1)="1","SOL",IF(LEFT(E9,1)="2","CO",IF(LEFT(E9,1)="3","ALM",IF(LEFT(E9,1)="4","FAC","TRX")))) &amp; "-" &amp; B9 &amp; "-" &amp; TEXT(COUNTIFS($E$2:$E9,E9,$B$2:$B9,B9),"000")</f>
        <v>SOL-24-008</v>
      </c>
      <c r="B9">
        <v>24</v>
      </c>
      <c r="C9" s="18046">
        <v>46181</v>
      </c>
      <c r="D9" t="s">
        <v>2</v>
      </c>
      <c r="E9" t="s">
        <v>850</v>
      </c>
      <c r="F9" t="s">
        <v>56</v>
      </c>
      <c r="G9" s="3">
        <v>50</v>
      </c>
      <c r="H9" s="18047">
        <v>27</v>
      </c>
      <c r="I9" s="18047">
        <v>1350</v>
      </c>
      <c r="J9" t="s">
        <v>851</v>
      </c>
      <c r="K9">
        <v>27</v>
      </c>
    </row>
    <row r="10" spans="1:11">
      <c r="A10" t="str">
        <f>IF(LEFT(E10,1)="1","SOL",IF(LEFT(E10,1)="2","CO",IF(LEFT(E10,1)="3","ALM",IF(LEFT(E10,1)="4","FAC","TRX")))) &amp; "-" &amp; B10 &amp; "-" &amp; TEXT(COUNTIFS($E$2:$E10,E10,$B$2:$B10,B10),"000")</f>
        <v>SOL-24-009</v>
      </c>
      <c r="B10">
        <v>24</v>
      </c>
      <c r="C10" s="18046">
        <v>46181</v>
      </c>
      <c r="D10" t="s">
        <v>2</v>
      </c>
      <c r="E10" t="s">
        <v>850</v>
      </c>
      <c r="F10" t="s">
        <v>85</v>
      </c>
      <c r="G10" s="3">
        <v>50</v>
      </c>
      <c r="H10" s="18047">
        <v>27</v>
      </c>
      <c r="I10" s="18047">
        <v>1350</v>
      </c>
      <c r="J10" t="s">
        <v>851</v>
      </c>
      <c r="K10">
        <v>27</v>
      </c>
    </row>
    <row r="11" spans="1:11">
      <c r="A11" t="str">
        <f>IF(LEFT(E11,1)="1","SOL",IF(LEFT(E11,1)="2","CO",IF(LEFT(E11,1)="3","ALM",IF(LEFT(E11,1)="4","FAC","TRX")))) &amp; "-" &amp; B11 &amp; "-" &amp; TEXT(COUNTIFS($E$2:$E11,E11,$B$2:$B11,B11),"000")</f>
        <v>SOL-24-010</v>
      </c>
      <c r="B11">
        <v>24</v>
      </c>
      <c r="C11" s="18046">
        <v>46181</v>
      </c>
      <c r="D11" t="s">
        <v>2</v>
      </c>
      <c r="E11" t="s">
        <v>850</v>
      </c>
      <c r="F11" t="s">
        <v>60</v>
      </c>
      <c r="G11" s="3">
        <v>60</v>
      </c>
      <c r="H11" s="18047">
        <v>27</v>
      </c>
      <c r="I11" s="18047">
        <v>1620</v>
      </c>
      <c r="J11" t="s">
        <v>851</v>
      </c>
      <c r="K11">
        <v>27</v>
      </c>
    </row>
    <row r="12" spans="1:11">
      <c r="A12" t="str">
        <f>IF(LEFT(E12,1)="1","SOL",IF(LEFT(E12,1)="2","CO",IF(LEFT(E12,1)="3","ALM",IF(LEFT(E12,1)="4","FAC","TRX")))) &amp; "-" &amp; B12 &amp; "-" &amp; TEXT(COUNTIFS($E$2:$E12,E12,$B$2:$B12,B12),"000")</f>
        <v>SOL-24-011</v>
      </c>
      <c r="B12">
        <v>24</v>
      </c>
      <c r="D12" t="s">
        <v>111</v>
      </c>
      <c r="E12" t="s">
        <v>850</v>
      </c>
      <c r="F12" t="s">
        <v>56</v>
      </c>
      <c r="G12" s="3">
        <v>100</v>
      </c>
      <c r="H12" s="18047">
        <v>27</v>
      </c>
      <c r="I12" s="18047">
        <v>2700</v>
      </c>
      <c r="J12" t="s">
        <v>851</v>
      </c>
      <c r="K12">
        <v>27</v>
      </c>
    </row>
    <row r="13" spans="1:11">
      <c r="A13" t="str">
        <f>IF(LEFT(E13,1)="1","SOL",IF(LEFT(E13,1)="2","CO",IF(LEFT(E13,1)="3","ALM",IF(LEFT(E13,1)="4","FAC","TRX")))) &amp; "-" &amp; B13 &amp; "-" &amp; TEXT(COUNTIFS($E$2:$E13,E13,$B$2:$B13,B13),"000")</f>
        <v>SOL-24-012</v>
      </c>
      <c r="B13">
        <v>24</v>
      </c>
      <c r="C13" s="18046">
        <v>46181</v>
      </c>
      <c r="D13" t="s">
        <v>3</v>
      </c>
      <c r="E13" t="s">
        <v>850</v>
      </c>
      <c r="F13" t="s">
        <v>76</v>
      </c>
      <c r="G13" s="3">
        <v>250</v>
      </c>
      <c r="H13" s="18047">
        <v>27</v>
      </c>
      <c r="I13" s="18047">
        <v>6750</v>
      </c>
      <c r="J13" t="s">
        <v>851</v>
      </c>
      <c r="K13">
        <v>27</v>
      </c>
    </row>
    <row r="14" spans="1:11">
      <c r="A14" t="str">
        <f>IF(LEFT(E14,1)="1","SOL",IF(LEFT(E14,1)="2","CO",IF(LEFT(E14,1)="3","ALM",IF(LEFT(E14,1)="4","FAC","TRX")))) &amp; "-" &amp; B14 &amp; "-" &amp; TEXT(COUNTIFS($E$2:$E14,E14,$B$2:$B14,B14),"000")</f>
        <v>SOL-24-013</v>
      </c>
      <c r="B14">
        <v>24</v>
      </c>
      <c r="C14" s="18046">
        <v>46181</v>
      </c>
      <c r="D14" t="s">
        <v>3</v>
      </c>
      <c r="E14" t="s">
        <v>850</v>
      </c>
      <c r="F14" t="s">
        <v>78</v>
      </c>
      <c r="G14" s="3">
        <v>150</v>
      </c>
      <c r="H14" s="18047">
        <v>27</v>
      </c>
      <c r="I14" s="18047">
        <v>4050</v>
      </c>
      <c r="J14" t="s">
        <v>851</v>
      </c>
      <c r="K14">
        <v>27</v>
      </c>
    </row>
    <row r="15" spans="1:11">
      <c r="A15" t="str">
        <f>IF(LEFT(E15,1)="1","SOL",IF(LEFT(E15,1)="2","CO",IF(LEFT(E15,1)="3","ALM",IF(LEFT(E15,1)="4","FAC","TRX")))) &amp; "-" &amp; B15 &amp; "-" &amp; TEXT(COUNTIFS($E$2:$E15,E15,$B$2:$B15,B15),"000")</f>
        <v>SOL-24-014</v>
      </c>
      <c r="B15">
        <v>24</v>
      </c>
      <c r="C15" s="18046">
        <v>46181</v>
      </c>
      <c r="D15" t="s">
        <v>3</v>
      </c>
      <c r="E15" t="s">
        <v>850</v>
      </c>
      <c r="F15" t="s">
        <v>79</v>
      </c>
      <c r="G15" s="3">
        <v>40</v>
      </c>
      <c r="H15" s="18047">
        <v>27</v>
      </c>
      <c r="I15" s="18047">
        <v>1080</v>
      </c>
      <c r="J15" t="s">
        <v>851</v>
      </c>
      <c r="K15">
        <v>27</v>
      </c>
    </row>
    <row r="16" spans="1:11">
      <c r="A16" t="str">
        <f>IF(LEFT(E16,1)="1","SOL",IF(LEFT(E16,1)="2","CO",IF(LEFT(E16,1)="3","ALM",IF(LEFT(E16,1)="4","FAC","TRX")))) &amp; "-" &amp; B16 &amp; "-" &amp; TEXT(COUNTIFS($E$2:$E16,E16,$B$2:$B16,B16),"000")</f>
        <v>SOL-24-015</v>
      </c>
      <c r="B16">
        <v>24</v>
      </c>
      <c r="C16" s="18046">
        <v>46181</v>
      </c>
      <c r="D16" t="s">
        <v>3</v>
      </c>
      <c r="E16" t="s">
        <v>850</v>
      </c>
      <c r="F16" t="s">
        <v>81</v>
      </c>
      <c r="G16" s="3">
        <v>60</v>
      </c>
      <c r="H16" s="18047">
        <v>27</v>
      </c>
      <c r="I16" s="18047">
        <v>1620</v>
      </c>
      <c r="J16" t="s">
        <v>851</v>
      </c>
      <c r="K16">
        <v>27</v>
      </c>
    </row>
    <row r="17" spans="1:11">
      <c r="A17" t="str">
        <f>IF(LEFT(E17,1)="1","SOL",IF(LEFT(E17,1)="2","CO",IF(LEFT(E17,1)="3","ALM",IF(LEFT(E17,1)="4","FAC","TRX")))) &amp; "-" &amp; B17 &amp; "-" &amp; TEXT(COUNTIFS($E$2:$E17,E17,$B$2:$B17,B17),"000")</f>
        <v>SOL-24-016</v>
      </c>
      <c r="B17">
        <v>24</v>
      </c>
      <c r="C17" s="18046">
        <v>46181</v>
      </c>
      <c r="D17" t="s">
        <v>3</v>
      </c>
      <c r="E17" t="s">
        <v>850</v>
      </c>
      <c r="F17" t="s">
        <v>83</v>
      </c>
      <c r="G17" s="3">
        <v>100</v>
      </c>
      <c r="H17" s="18047">
        <v>27</v>
      </c>
      <c r="I17" s="18047">
        <v>2700</v>
      </c>
      <c r="J17" t="s">
        <v>851</v>
      </c>
      <c r="K17">
        <v>27</v>
      </c>
    </row>
    <row r="18" spans="1:11">
      <c r="A18" t="str">
        <f>IF(LEFT(E18,1)="1","SOL",IF(LEFT(E18,1)="2","CO",IF(LEFT(E18,1)="3","ALM",IF(LEFT(E18,1)="4","FAC","TRX")))) &amp; "-" &amp; B18 &amp; "-" &amp; TEXT(COUNTIFS($E$2:$E18,E18,$B$2:$B18,B18),"000")</f>
        <v>SOL-24-017</v>
      </c>
      <c r="B18">
        <v>24</v>
      </c>
      <c r="C18" s="18046">
        <v>46181</v>
      </c>
      <c r="D18" t="s">
        <v>3</v>
      </c>
      <c r="E18" t="s">
        <v>850</v>
      </c>
      <c r="F18" t="s">
        <v>86</v>
      </c>
      <c r="G18" s="3">
        <v>100</v>
      </c>
      <c r="H18" s="18047">
        <v>27</v>
      </c>
      <c r="I18" s="18047">
        <v>2700</v>
      </c>
      <c r="J18" t="s">
        <v>851</v>
      </c>
      <c r="K18">
        <v>27</v>
      </c>
    </row>
    <row r="19" spans="1:11">
      <c r="A19" t="str">
        <f>IF(LEFT(E19,1)="1","SOL",IF(LEFT(E19,1)="2","CO",IF(LEFT(E19,1)="3","ALM",IF(LEFT(E19,1)="4","FAC","TRX")))) &amp; "-" &amp; B19 &amp; "-" &amp; TEXT(COUNTIFS($E$2:$E19,E19,$B$2:$B19,B19),"000")</f>
        <v>SOL-24-018</v>
      </c>
      <c r="B19">
        <v>24</v>
      </c>
      <c r="C19" s="18046">
        <v>46181</v>
      </c>
      <c r="D19" t="s">
        <v>3</v>
      </c>
      <c r="E19" t="s">
        <v>850</v>
      </c>
      <c r="F19" t="s">
        <v>102</v>
      </c>
      <c r="G19" s="3">
        <v>20</v>
      </c>
      <c r="H19" s="18047">
        <v>27</v>
      </c>
      <c r="I19" s="18047">
        <v>540</v>
      </c>
      <c r="J19" t="s">
        <v>851</v>
      </c>
      <c r="K19">
        <v>27</v>
      </c>
    </row>
    <row r="20" spans="1:11">
      <c r="A20" t="str">
        <f>IF(LEFT(E20,1)="1","SOL",IF(LEFT(E20,1)="2","CO",IF(LEFT(E20,1)="3","ALM",IF(LEFT(E20,1)="4","FAC","TRX")))) &amp; "-" &amp; B20 &amp; "-" &amp; TEXT(COUNTIFS($E$2:$E20,E20,$B$2:$B20,B20),"000")</f>
        <v>SOL-24-019</v>
      </c>
      <c r="B20">
        <v>24</v>
      </c>
      <c r="C20" s="18046">
        <v>46181</v>
      </c>
      <c r="D20" t="s">
        <v>3</v>
      </c>
      <c r="E20" t="s">
        <v>850</v>
      </c>
      <c r="F20" t="s">
        <v>88</v>
      </c>
      <c r="G20" s="3">
        <v>50</v>
      </c>
      <c r="H20" s="18047">
        <v>27</v>
      </c>
      <c r="I20" s="18047">
        <v>1350</v>
      </c>
      <c r="J20" t="s">
        <v>851</v>
      </c>
      <c r="K20">
        <v>27</v>
      </c>
    </row>
    <row r="21" spans="1:11">
      <c r="A21" t="str">
        <f>IF(LEFT(E21,1)="1","SOL",IF(LEFT(E21,1)="2","CO",IF(LEFT(E21,1)="3","ALM",IF(LEFT(E21,1)="4","FAC","TRX")))) &amp; "-" &amp; B21 &amp; "-" &amp; TEXT(COUNTIFS($E$2:$E21,E21,$B$2:$B21,B21),"000")</f>
        <v>SOL-24-020</v>
      </c>
      <c r="B21">
        <v>24</v>
      </c>
      <c r="C21" s="18046">
        <v>46181</v>
      </c>
      <c r="D21" t="s">
        <v>3</v>
      </c>
      <c r="E21" t="s">
        <v>850</v>
      </c>
      <c r="F21" t="s">
        <v>90</v>
      </c>
      <c r="G21" s="3">
        <v>50</v>
      </c>
      <c r="H21" s="18047">
        <v>27</v>
      </c>
      <c r="I21" s="18047">
        <v>1350</v>
      </c>
      <c r="J21" t="s">
        <v>851</v>
      </c>
      <c r="K21">
        <v>27</v>
      </c>
    </row>
    <row r="22" spans="1:11">
      <c r="A22" t="str">
        <f>IF(LEFT(E22,1)="1","SOL",IF(LEFT(E22,1)="2","CO",IF(LEFT(E22,1)="3","ALM",IF(LEFT(E22,1)="4","FAC","TRX")))) &amp; "-" &amp; B22 &amp; "-" &amp; TEXT(COUNTIFS($E$2:$E22,E22,$B$2:$B22,B22),"000")</f>
        <v>SOL-24-021</v>
      </c>
      <c r="B22">
        <v>24</v>
      </c>
      <c r="C22" s="18046">
        <v>46181</v>
      </c>
      <c r="D22" t="s">
        <v>3</v>
      </c>
      <c r="E22" t="s">
        <v>850</v>
      </c>
      <c r="F22" t="s">
        <v>92</v>
      </c>
      <c r="G22" s="3">
        <v>50</v>
      </c>
      <c r="H22" s="18047">
        <v>27</v>
      </c>
      <c r="I22" s="18047">
        <v>1350</v>
      </c>
      <c r="J22" t="s">
        <v>851</v>
      </c>
      <c r="K22">
        <v>27</v>
      </c>
    </row>
    <row r="23" spans="1:11">
      <c r="A23" t="str">
        <f>IF(LEFT(E23,1)="1","SOL",IF(LEFT(E23,1)="2","CO",IF(LEFT(E23,1)="3","ALM",IF(LEFT(E23,1)="4","FAC","TRX")))) &amp; "-" &amp; B23 &amp; "-" &amp; TEXT(COUNTIFS($E$2:$E23,E23,$B$2:$B23,B23),"000")</f>
        <v>SOL-24-022</v>
      </c>
      <c r="B23">
        <v>24</v>
      </c>
      <c r="C23" s="18046">
        <v>46181</v>
      </c>
      <c r="D23" t="s">
        <v>3</v>
      </c>
      <c r="E23" t="s">
        <v>850</v>
      </c>
      <c r="F23" t="s">
        <v>94</v>
      </c>
      <c r="G23" s="3">
        <v>20</v>
      </c>
      <c r="H23" s="18047">
        <v>27</v>
      </c>
      <c r="I23" s="18047">
        <v>540</v>
      </c>
      <c r="J23" t="s">
        <v>851</v>
      </c>
      <c r="K23">
        <v>27</v>
      </c>
    </row>
    <row r="24" spans="1:11">
      <c r="A24" t="str">
        <f>IF(LEFT(E24,1)="1","SOL",IF(LEFT(E24,1)="2","CO",IF(LEFT(E24,1)="3","ALM",IF(LEFT(E24,1)="4","FAC","TRX")))) &amp; "-" &amp; B24 &amp; "-" &amp; TEXT(COUNTIFS($E$2:$E24,E24,$B$2:$B24,B24),"000")</f>
        <v>SOL-24-023</v>
      </c>
      <c r="B24">
        <v>24</v>
      </c>
      <c r="C24" s="18046">
        <v>46181</v>
      </c>
      <c r="D24" t="s">
        <v>3</v>
      </c>
      <c r="E24" t="s">
        <v>850</v>
      </c>
      <c r="F24" t="s">
        <v>96</v>
      </c>
      <c r="G24" s="3">
        <v>50</v>
      </c>
      <c r="H24" s="18047">
        <v>27</v>
      </c>
      <c r="I24" s="18047">
        <v>1350</v>
      </c>
      <c r="J24" t="s">
        <v>851</v>
      </c>
      <c r="K24">
        <v>27</v>
      </c>
    </row>
    <row r="25" spans="1:11">
      <c r="A25" t="str">
        <f>IF(LEFT(E25,1)="1","SOL",IF(LEFT(E25,1)="2","CO",IF(LEFT(E25,1)="3","ALM",IF(LEFT(E25,1)="4","FAC","TRX")))) &amp; "-" &amp; B25 &amp; "-" &amp; TEXT(COUNTIFS($E$2:$E25,E25,$B$2:$B25,B25),"000")</f>
        <v>SOL-24-024</v>
      </c>
      <c r="B25">
        <v>24</v>
      </c>
      <c r="C25" s="18046">
        <v>46181</v>
      </c>
      <c r="D25" t="s">
        <v>3</v>
      </c>
      <c r="E25" t="s">
        <v>850</v>
      </c>
      <c r="F25" t="s">
        <v>98</v>
      </c>
      <c r="G25" s="3">
        <v>40</v>
      </c>
      <c r="H25" s="18047">
        <v>27</v>
      </c>
      <c r="I25" s="18047">
        <v>1080</v>
      </c>
      <c r="J25" t="s">
        <v>851</v>
      </c>
      <c r="K25">
        <v>27</v>
      </c>
    </row>
    <row r="26" spans="1:11">
      <c r="A26" t="str">
        <f>IF(LEFT(E26,1)="1","SOL",IF(LEFT(E26,1)="2","CO",IF(LEFT(E26,1)="3","ALM",IF(LEFT(E26,1)="4","FAC","TRX")))) &amp; "-" &amp; B26 &amp; "-" &amp; TEXT(COUNTIFS($E$2:$E26,E26,$B$2:$B26,B26),"000")</f>
        <v>SOL-24-025</v>
      </c>
      <c r="B26">
        <v>24</v>
      </c>
      <c r="C26" s="18046">
        <v>46181</v>
      </c>
      <c r="D26" t="s">
        <v>3</v>
      </c>
      <c r="E26" t="s">
        <v>850</v>
      </c>
      <c r="F26" t="s">
        <v>100</v>
      </c>
      <c r="G26" s="3">
        <v>10</v>
      </c>
      <c r="H26" s="18047">
        <v>27</v>
      </c>
      <c r="I26" s="18047">
        <v>270</v>
      </c>
      <c r="J26" t="s">
        <v>851</v>
      </c>
      <c r="K26">
        <v>27</v>
      </c>
    </row>
    <row r="27" spans="1:11">
      <c r="A27" t="str">
        <f>IF(LEFT(E27,1)="1","SOL",IF(LEFT(E27,1)="2","CO",IF(LEFT(E27,1)="3","ALM",IF(LEFT(E27,1)="4","FAC","TRX")))) &amp; "-" &amp; B27 &amp; "-" &amp; TEXT(COUNTIFS($E$2:$E27,E27,$B$2:$B27,B27),"000")</f>
        <v>SOL-24-026</v>
      </c>
      <c r="B27">
        <v>24</v>
      </c>
      <c r="C27" s="18046">
        <v>46182</v>
      </c>
      <c r="D27" t="s">
        <v>3</v>
      </c>
      <c r="E27" t="s">
        <v>850</v>
      </c>
      <c r="F27" t="s">
        <v>76</v>
      </c>
      <c r="G27" s="3">
        <v>250</v>
      </c>
      <c r="H27" s="18047">
        <v>27</v>
      </c>
      <c r="I27" s="18047">
        <v>6750</v>
      </c>
      <c r="J27" t="s">
        <v>851</v>
      </c>
      <c r="K27">
        <v>27</v>
      </c>
    </row>
    <row r="28" spans="1:11">
      <c r="A28" t="str">
        <f>IF(LEFT(E28,1)="1","SOL",IF(LEFT(E28,1)="2","CO",IF(LEFT(E28,1)="3","ALM",IF(LEFT(E28,1)="4","FAC","TRX")))) &amp; "-" &amp; B28 &amp; "-" &amp; TEXT(COUNTIFS($E$2:$E28,E28,$B$2:$B28,B28),"000")</f>
        <v>SOL-24-027</v>
      </c>
      <c r="B28">
        <v>24</v>
      </c>
      <c r="C28" s="18046">
        <v>46182</v>
      </c>
      <c r="D28" t="s">
        <v>3</v>
      </c>
      <c r="E28" t="s">
        <v>850</v>
      </c>
      <c r="F28" t="s">
        <v>79</v>
      </c>
      <c r="G28" s="3">
        <v>40</v>
      </c>
      <c r="H28" s="18047">
        <v>27</v>
      </c>
      <c r="I28" s="18047">
        <v>1080</v>
      </c>
      <c r="J28" t="s">
        <v>851</v>
      </c>
      <c r="K28">
        <v>27</v>
      </c>
    </row>
    <row r="29" spans="1:11">
      <c r="A29" t="str">
        <f>IF(LEFT(E29,1)="1","SOL",IF(LEFT(E29,1)="2","CO",IF(LEFT(E29,1)="3","ALM",IF(LEFT(E29,1)="4","FAC","TRX")))) &amp; "-" &amp; B29 &amp; "-" &amp; TEXT(COUNTIFS($E$2:$E29,E29,$B$2:$B29,B29),"000")</f>
        <v>SOL-24-028</v>
      </c>
      <c r="B29">
        <v>24</v>
      </c>
      <c r="C29" s="18046">
        <v>46182</v>
      </c>
      <c r="D29" t="s">
        <v>3</v>
      </c>
      <c r="E29" t="s">
        <v>850</v>
      </c>
      <c r="F29" t="s">
        <v>81</v>
      </c>
      <c r="G29" s="3">
        <v>60</v>
      </c>
      <c r="H29" s="18047">
        <v>27</v>
      </c>
      <c r="I29" s="18047">
        <v>1620</v>
      </c>
      <c r="J29" t="s">
        <v>851</v>
      </c>
      <c r="K29">
        <v>27</v>
      </c>
    </row>
    <row r="30" spans="1:11">
      <c r="A30" t="str">
        <f>IF(LEFT(E30,1)="1","SOL",IF(LEFT(E30,1)="2","CO",IF(LEFT(E30,1)="3","ALM",IF(LEFT(E30,1)="4","FAC","TRX")))) &amp; "-" &amp; B30 &amp; "-" &amp; TEXT(COUNTIFS($E$2:$E30,E30,$B$2:$B30,B30),"000")</f>
        <v>SOL-24-029</v>
      </c>
      <c r="B30">
        <v>24</v>
      </c>
      <c r="C30" s="18046">
        <v>46182</v>
      </c>
      <c r="D30" t="s">
        <v>3</v>
      </c>
      <c r="E30" t="s">
        <v>850</v>
      </c>
      <c r="F30" t="s">
        <v>83</v>
      </c>
      <c r="G30" s="3">
        <v>100</v>
      </c>
      <c r="H30" s="18047">
        <v>27</v>
      </c>
      <c r="I30" s="18047">
        <v>2700</v>
      </c>
      <c r="J30" t="s">
        <v>851</v>
      </c>
      <c r="K30">
        <v>27</v>
      </c>
    </row>
    <row r="31" spans="1:11">
      <c r="A31" t="str">
        <f>IF(LEFT(E31,1)="1","SOL",IF(LEFT(E31,1)="2","CO",IF(LEFT(E31,1)="3","ALM",IF(LEFT(E31,1)="4","FAC","TRX")))) &amp; "-" &amp; B31 &amp; "-" &amp; TEXT(COUNTIFS($E$2:$E31,E31,$B$2:$B31,B31),"000")</f>
        <v>SOL-24-030</v>
      </c>
      <c r="B31">
        <v>24</v>
      </c>
      <c r="C31" s="18046">
        <v>46182</v>
      </c>
      <c r="D31" t="s">
        <v>3</v>
      </c>
      <c r="E31" t="s">
        <v>850</v>
      </c>
      <c r="F31" t="s">
        <v>86</v>
      </c>
      <c r="G31" s="3">
        <v>100</v>
      </c>
      <c r="H31" s="18047">
        <v>27</v>
      </c>
      <c r="I31" s="18047">
        <v>2700</v>
      </c>
      <c r="J31" t="s">
        <v>851</v>
      </c>
      <c r="K31">
        <v>27</v>
      </c>
    </row>
    <row r="32" spans="1:11">
      <c r="A32" t="str">
        <f>IF(LEFT(E32,1)="1","SOL",IF(LEFT(E32,1)="2","CO",IF(LEFT(E32,1)="3","ALM",IF(LEFT(E32,1)="4","FAC","TRX")))) &amp; "-" &amp; B32 &amp; "-" &amp; TEXT(COUNTIFS($E$2:$E32,E32,$B$2:$B32,B32),"000")</f>
        <v>SOL-24-031</v>
      </c>
      <c r="B32">
        <v>24</v>
      </c>
      <c r="C32" s="18046">
        <v>46182</v>
      </c>
      <c r="D32" t="s">
        <v>3</v>
      </c>
      <c r="E32" t="s">
        <v>850</v>
      </c>
      <c r="F32" t="s">
        <v>102</v>
      </c>
      <c r="G32" s="3">
        <v>20</v>
      </c>
      <c r="H32" s="18047">
        <v>27</v>
      </c>
      <c r="I32" s="18047">
        <v>540</v>
      </c>
      <c r="J32" t="s">
        <v>851</v>
      </c>
      <c r="K32">
        <v>27</v>
      </c>
    </row>
    <row r="33" spans="1:11">
      <c r="A33" t="str">
        <f>IF(LEFT(E33,1)="1","SOL",IF(LEFT(E33,1)="2","CO",IF(LEFT(E33,1)="3","ALM",IF(LEFT(E33,1)="4","FAC","TRX")))) &amp; "-" &amp; B33 &amp; "-" &amp; TEXT(COUNTIFS($E$2:$E33,E33,$B$2:$B33,B33),"000")</f>
        <v>SOL-24-032</v>
      </c>
      <c r="B33">
        <v>24</v>
      </c>
      <c r="C33" s="18046">
        <v>46182</v>
      </c>
      <c r="D33" t="s">
        <v>3</v>
      </c>
      <c r="E33" t="s">
        <v>850</v>
      </c>
      <c r="F33" t="s">
        <v>88</v>
      </c>
      <c r="G33" s="3">
        <v>50</v>
      </c>
      <c r="H33" s="18047">
        <v>27</v>
      </c>
      <c r="I33" s="18047">
        <v>1350</v>
      </c>
      <c r="J33" t="s">
        <v>851</v>
      </c>
      <c r="K33">
        <v>27</v>
      </c>
    </row>
    <row r="34" spans="1:11">
      <c r="A34" t="str">
        <f>IF(LEFT(E34,1)="1","SOL",IF(LEFT(E34,1)="2","CO",IF(LEFT(E34,1)="3","ALM",IF(LEFT(E34,1)="4","FAC","TRX")))) &amp; "-" &amp; B34 &amp; "-" &amp; TEXT(COUNTIFS($E$2:$E34,E34,$B$2:$B34,B34),"000")</f>
        <v>SOL-24-033</v>
      </c>
      <c r="B34">
        <v>24</v>
      </c>
      <c r="C34" s="18046">
        <v>46182</v>
      </c>
      <c r="D34" t="s">
        <v>3</v>
      </c>
      <c r="E34" t="s">
        <v>850</v>
      </c>
      <c r="F34" t="s">
        <v>90</v>
      </c>
      <c r="G34" s="3">
        <v>50</v>
      </c>
      <c r="H34" s="18047">
        <v>27</v>
      </c>
      <c r="I34" s="18047">
        <v>1350</v>
      </c>
      <c r="J34" t="s">
        <v>851</v>
      </c>
      <c r="K34">
        <v>27</v>
      </c>
    </row>
    <row r="35" spans="1:11">
      <c r="A35" t="str">
        <f>IF(LEFT(E35,1)="1","SOL",IF(LEFT(E35,1)="2","CO",IF(LEFT(E35,1)="3","ALM",IF(LEFT(E35,1)="4","FAC","TRX")))) &amp; "-" &amp; B35 &amp; "-" &amp; TEXT(COUNTIFS($E$2:$E35,E35,$B$2:$B35,B35),"000")</f>
        <v>SOL-24-034</v>
      </c>
      <c r="B35">
        <v>24</v>
      </c>
      <c r="C35" s="18046">
        <v>46182</v>
      </c>
      <c r="D35" t="s">
        <v>3</v>
      </c>
      <c r="E35" t="s">
        <v>850</v>
      </c>
      <c r="F35" t="s">
        <v>92</v>
      </c>
      <c r="G35" s="3">
        <v>50</v>
      </c>
      <c r="H35" s="18047">
        <v>27</v>
      </c>
      <c r="I35" s="18047">
        <v>1350</v>
      </c>
      <c r="J35" t="s">
        <v>851</v>
      </c>
      <c r="K35">
        <v>27</v>
      </c>
    </row>
    <row r="36" spans="1:11">
      <c r="A36" t="str">
        <f>IF(LEFT(E36,1)="1","SOL",IF(LEFT(E36,1)="2","CO",IF(LEFT(E36,1)="3","ALM",IF(LEFT(E36,1)="4","FAC","TRX")))) &amp; "-" &amp; B36 &amp; "-" &amp; TEXT(COUNTIFS($E$2:$E36,E36,$B$2:$B36,B36),"000")</f>
        <v>SOL-24-035</v>
      </c>
      <c r="B36">
        <v>24</v>
      </c>
      <c r="C36" s="18046">
        <v>46182</v>
      </c>
      <c r="D36" t="s">
        <v>3</v>
      </c>
      <c r="E36" t="s">
        <v>850</v>
      </c>
      <c r="F36" t="s">
        <v>96</v>
      </c>
      <c r="G36" s="3">
        <v>40</v>
      </c>
      <c r="H36" s="18047">
        <v>27</v>
      </c>
      <c r="I36" s="18047">
        <v>1080</v>
      </c>
      <c r="J36" t="s">
        <v>851</v>
      </c>
      <c r="K36">
        <v>27</v>
      </c>
    </row>
    <row r="37" spans="1:11">
      <c r="A37" t="str">
        <f>IF(LEFT(E37,1)="1","SOL",IF(LEFT(E37,1)="2","CO",IF(LEFT(E37,1)="3","ALM",IF(LEFT(E37,1)="4","FAC","TRX")))) &amp; "-" &amp; B37 &amp; "-" &amp; TEXT(COUNTIFS($E$2:$E37,E37,$B$2:$B37,B37),"000")</f>
        <v>SOL-24-036</v>
      </c>
      <c r="B37">
        <v>24</v>
      </c>
      <c r="C37" s="18046">
        <v>46182</v>
      </c>
      <c r="D37" t="s">
        <v>3</v>
      </c>
      <c r="E37" t="s">
        <v>850</v>
      </c>
      <c r="F37" t="s">
        <v>98</v>
      </c>
      <c r="G37" s="3">
        <v>30</v>
      </c>
      <c r="H37" s="18047">
        <v>27</v>
      </c>
      <c r="I37" s="18047">
        <v>810</v>
      </c>
      <c r="J37" t="s">
        <v>851</v>
      </c>
      <c r="K37">
        <v>27</v>
      </c>
    </row>
    <row r="38" spans="1:11">
      <c r="A38" t="str">
        <f>IF(LEFT(E38,1)="1","SOL",IF(LEFT(E38,1)="2","CO",IF(LEFT(E38,1)="3","ALM",IF(LEFT(E38,1)="4","FAC","TRX")))) &amp; "-" &amp; B38 &amp; "-" &amp; TEXT(COUNTIFS($E$2:$E38,E38,$B$2:$B38,B38),"000")</f>
        <v>SOL-24-037</v>
      </c>
      <c r="B38">
        <v>24</v>
      </c>
      <c r="C38" s="18046">
        <v>46182</v>
      </c>
      <c r="D38" t="s">
        <v>2</v>
      </c>
      <c r="E38" t="s">
        <v>850</v>
      </c>
      <c r="F38" t="s">
        <v>56</v>
      </c>
      <c r="G38" s="3">
        <v>50</v>
      </c>
      <c r="H38" s="18047">
        <v>27</v>
      </c>
      <c r="I38" s="18047">
        <v>1350</v>
      </c>
      <c r="J38" t="s">
        <v>851</v>
      </c>
      <c r="K38">
        <v>27</v>
      </c>
    </row>
    <row r="39" spans="1:11">
      <c r="A39" t="str">
        <f>IF(LEFT(E39,1)="1","SOL",IF(LEFT(E39,1)="2","CO",IF(LEFT(E39,1)="3","ALM",IF(LEFT(E39,1)="4","FAC","TRX")))) &amp; "-" &amp; B39 &amp; "-" &amp; TEXT(COUNTIFS($E$2:$E39,E39,$B$2:$B39,B39),"000")</f>
        <v>SOL-24-038</v>
      </c>
      <c r="B39">
        <v>24</v>
      </c>
      <c r="C39" s="18046">
        <v>46182</v>
      </c>
      <c r="D39" t="s">
        <v>2</v>
      </c>
      <c r="E39" t="s">
        <v>850</v>
      </c>
      <c r="F39" t="s">
        <v>85</v>
      </c>
      <c r="G39" s="3">
        <v>50</v>
      </c>
      <c r="H39" s="18047">
        <v>27</v>
      </c>
      <c r="I39" s="18047">
        <v>1350</v>
      </c>
      <c r="J39" t="s">
        <v>851</v>
      </c>
      <c r="K39">
        <v>27</v>
      </c>
    </row>
    <row r="40" spans="1:11">
      <c r="A40" t="str">
        <f>IF(LEFT(E40,1)="1","SOL",IF(LEFT(E40,1)="2","CO",IF(LEFT(E40,1)="3","ALM",IF(LEFT(E40,1)="4","FAC","TRX")))) &amp; "-" &amp; B40 &amp; "-" &amp; TEXT(COUNTIFS($E$2:$E40,E40,$B$2:$B40,B40),"000")</f>
        <v>SOL-24-039</v>
      </c>
      <c r="B40">
        <v>24</v>
      </c>
      <c r="C40" s="18046">
        <v>46182</v>
      </c>
      <c r="D40" t="s">
        <v>2</v>
      </c>
      <c r="E40" t="s">
        <v>850</v>
      </c>
      <c r="F40" t="s">
        <v>60</v>
      </c>
      <c r="G40" s="3">
        <v>60</v>
      </c>
      <c r="H40" s="18047">
        <v>27</v>
      </c>
      <c r="I40" s="18047">
        <v>1620</v>
      </c>
      <c r="J40" t="s">
        <v>851</v>
      </c>
      <c r="K40">
        <v>27</v>
      </c>
    </row>
    <row r="41" spans="1:11">
      <c r="A41" t="str">
        <f>IF(LEFT(E41,1)="1","SOL",IF(LEFT(E41,1)="2","CO",IF(LEFT(E41,1)="3","ALM",IF(LEFT(E41,1)="4","FAC","TRX")))) &amp; "-" &amp; B41 &amp; "-" &amp; TEXT(COUNTIFS($E$2:$E41,E41,$B$2:$B41,B41),"000")</f>
        <v>SOL-24-040</v>
      </c>
      <c r="B41">
        <v>24</v>
      </c>
      <c r="C41" s="18046">
        <v>46182</v>
      </c>
      <c r="D41" t="s">
        <v>2</v>
      </c>
      <c r="E41" t="s">
        <v>850</v>
      </c>
      <c r="F41" t="s">
        <v>104</v>
      </c>
      <c r="G41" s="3">
        <v>50</v>
      </c>
      <c r="H41" s="18047">
        <v>27</v>
      </c>
      <c r="I41" s="18047">
        <v>1350</v>
      </c>
      <c r="J41" t="s">
        <v>851</v>
      </c>
      <c r="K41">
        <v>27</v>
      </c>
    </row>
    <row r="42" spans="1:11">
      <c r="A42" t="str">
        <f>IF(LEFT(E42,1)="1","SOL",IF(LEFT(E42,1)="2","CO",IF(LEFT(E42,1)="3","ALM",IF(LEFT(E42,1)="4","FAC","TRX")))) &amp; "-" &amp; B42 &amp; "-" &amp; TEXT(COUNTIFS($E$2:$E42,E42,$B$2:$B42,B42),"000")</f>
        <v>SOL-24-041</v>
      </c>
      <c r="B42">
        <v>24</v>
      </c>
      <c r="D42" t="s">
        <v>111</v>
      </c>
      <c r="E42" t="s">
        <v>850</v>
      </c>
      <c r="F42" t="s">
        <v>56</v>
      </c>
      <c r="G42" s="3">
        <v>100</v>
      </c>
      <c r="H42" s="18047">
        <v>27</v>
      </c>
      <c r="I42" s="18047">
        <v>2700</v>
      </c>
      <c r="J42" t="s">
        <v>851</v>
      </c>
      <c r="K42">
        <v>27</v>
      </c>
    </row>
    <row r="43" spans="1:11">
      <c r="A43" t="str">
        <f>IF(LEFT(E43,1)="1","SOL",IF(LEFT(E43,1)="2","CO",IF(LEFT(E43,1)="3","ALM",IF(LEFT(E43,1)="4","FAC","TRX")))) &amp; "-" &amp; B43 &amp; "-" &amp; TEXT(COUNTIFS($E$2:$E43,E43,$B$2:$B43,B43),"000")</f>
        <v>SOL-24-042</v>
      </c>
      <c r="B43">
        <v>24</v>
      </c>
      <c r="C43" s="18046">
        <v>46183</v>
      </c>
      <c r="D43" t="s">
        <v>1</v>
      </c>
      <c r="E43" t="s">
        <v>850</v>
      </c>
      <c r="F43" t="s">
        <v>69</v>
      </c>
      <c r="G43" s="3">
        <v>250</v>
      </c>
      <c r="H43" s="18047">
        <v>27</v>
      </c>
      <c r="I43" s="18047">
        <v>6750</v>
      </c>
      <c r="J43" t="s">
        <v>851</v>
      </c>
      <c r="K43">
        <v>27</v>
      </c>
    </row>
    <row r="44" spans="1:11">
      <c r="A44" t="str">
        <f>IF(LEFT(E44,1)="1","SOL",IF(LEFT(E44,1)="2","CO",IF(LEFT(E44,1)="3","ALM",IF(LEFT(E44,1)="4","FAC","TRX")))) &amp; "-" &amp; B44 &amp; "-" &amp; TEXT(COUNTIFS($E$2:$E44,E44,$B$2:$B44,B44),"000")</f>
        <v>SOL-24-043</v>
      </c>
      <c r="B44">
        <v>24</v>
      </c>
      <c r="C44" s="18046">
        <v>46183</v>
      </c>
      <c r="D44" t="s">
        <v>1</v>
      </c>
      <c r="E44" t="s">
        <v>850</v>
      </c>
      <c r="F44" t="s">
        <v>56</v>
      </c>
      <c r="G44" s="3">
        <v>30</v>
      </c>
      <c r="H44" s="18047">
        <v>27</v>
      </c>
      <c r="I44" s="18047">
        <v>810</v>
      </c>
      <c r="J44" t="s">
        <v>851</v>
      </c>
      <c r="K44">
        <v>27</v>
      </c>
    </row>
    <row r="45" spans="1:11">
      <c r="A45" t="str">
        <f>IF(LEFT(E45,1)="1","SOL",IF(LEFT(E45,1)="2","CO",IF(LEFT(E45,1)="3","ALM",IF(LEFT(E45,1)="4","FAC","TRX")))) &amp; "-" &amp; B45 &amp; "-" &amp; TEXT(COUNTIFS($E$2:$E45,E45,$B$2:$B45,B45),"000")</f>
        <v>SOL-24-044</v>
      </c>
      <c r="B45">
        <v>24</v>
      </c>
      <c r="C45" s="18046">
        <v>46183</v>
      </c>
      <c r="D45" t="s">
        <v>1</v>
      </c>
      <c r="E45" t="s">
        <v>850</v>
      </c>
      <c r="F45" t="s">
        <v>70</v>
      </c>
      <c r="G45" s="3">
        <v>20</v>
      </c>
      <c r="H45" s="18047">
        <v>27</v>
      </c>
      <c r="I45" s="18047">
        <v>540</v>
      </c>
      <c r="J45" t="s">
        <v>851</v>
      </c>
      <c r="K45">
        <v>27</v>
      </c>
    </row>
    <row r="46" spans="1:11">
      <c r="A46" t="str">
        <f>IF(LEFT(E46,1)="1","SOL",IF(LEFT(E46,1)="2","CO",IF(LEFT(E46,1)="3","ALM",IF(LEFT(E46,1)="4","FAC","TRX")))) &amp; "-" &amp; B46 &amp; "-" &amp; TEXT(COUNTIFS($E$2:$E46,E46,$B$2:$B46,B46),"000")</f>
        <v>SOL-24-045</v>
      </c>
      <c r="B46">
        <v>24</v>
      </c>
      <c r="C46" s="18046">
        <v>46183</v>
      </c>
      <c r="D46" t="s">
        <v>1</v>
      </c>
      <c r="E46" t="s">
        <v>850</v>
      </c>
      <c r="F46" t="s">
        <v>96</v>
      </c>
      <c r="G46" s="3">
        <v>20</v>
      </c>
      <c r="H46" s="18047">
        <v>27</v>
      </c>
      <c r="I46" s="18047">
        <v>540</v>
      </c>
      <c r="J46" t="s">
        <v>851</v>
      </c>
      <c r="K46">
        <v>27</v>
      </c>
    </row>
    <row r="47" spans="1:11">
      <c r="A47" t="str">
        <f>IF(LEFT(E47,1)="1","SOL",IF(LEFT(E47,1)="2","CO",IF(LEFT(E47,1)="3","ALM",IF(LEFT(E47,1)="4","FAC","TRX")))) &amp; "-" &amp; B47 &amp; "-" &amp; TEXT(COUNTIFS($E$2:$E47,E47,$B$2:$B47,B47),"000")</f>
        <v>SOL-24-046</v>
      </c>
      <c r="B47">
        <v>24</v>
      </c>
      <c r="C47" s="18046">
        <v>46184</v>
      </c>
      <c r="D47" t="s">
        <v>2</v>
      </c>
      <c r="E47" t="s">
        <v>850</v>
      </c>
      <c r="F47" t="s">
        <v>60</v>
      </c>
      <c r="G47" s="3">
        <v>80</v>
      </c>
      <c r="H47" s="18047">
        <v>27</v>
      </c>
      <c r="I47" s="18047">
        <v>2160</v>
      </c>
      <c r="J47" t="s">
        <v>851</v>
      </c>
      <c r="K47">
        <v>27</v>
      </c>
    </row>
    <row r="48" spans="1:11">
      <c r="A48" t="str">
        <f>IF(LEFT(E48,1)="1","SOL",IF(LEFT(E48,1)="2","CO",IF(LEFT(E48,1)="3","ALM",IF(LEFT(E48,1)="4","FAC","TRX")))) &amp; "-" &amp; B48 &amp; "-" &amp; TEXT(COUNTIFS($E$2:$E48,E48,$B$2:$B48,B48),"000")</f>
        <v>SOL-24-047</v>
      </c>
      <c r="B48">
        <v>24</v>
      </c>
      <c r="C48" s="18046">
        <v>46184</v>
      </c>
      <c r="D48" t="s">
        <v>2</v>
      </c>
      <c r="E48" t="s">
        <v>850</v>
      </c>
      <c r="F48" t="s">
        <v>94</v>
      </c>
      <c r="G48" s="3">
        <v>80</v>
      </c>
      <c r="H48" s="18047">
        <v>27</v>
      </c>
      <c r="I48" s="18047">
        <v>2160</v>
      </c>
      <c r="J48" t="s">
        <v>851</v>
      </c>
      <c r="K48">
        <v>27</v>
      </c>
    </row>
    <row r="49" spans="1:11">
      <c r="A49" t="str">
        <f>IF(LEFT(E49,1)="1","SOL",IF(LEFT(E49,1)="2","CO",IF(LEFT(E49,1)="3","ALM",IF(LEFT(E49,1)="4","FAC","TRX")))) &amp; "-" &amp; B49 &amp; "-" &amp; TEXT(COUNTIFS($E$2:$E49,E49,$B$2:$B49,B49),"000")</f>
        <v>SOL-24-048</v>
      </c>
      <c r="B49">
        <v>24</v>
      </c>
      <c r="C49" s="18046">
        <v>46184</v>
      </c>
      <c r="D49" t="s">
        <v>2</v>
      </c>
      <c r="E49" t="s">
        <v>850</v>
      </c>
      <c r="F49" t="s">
        <v>56</v>
      </c>
      <c r="G49" s="3">
        <v>70</v>
      </c>
      <c r="H49" s="18047">
        <v>27</v>
      </c>
      <c r="I49" s="18047">
        <v>1890</v>
      </c>
      <c r="J49" t="s">
        <v>851</v>
      </c>
      <c r="K49">
        <v>27</v>
      </c>
    </row>
    <row r="50" spans="1:11">
      <c r="A50" t="str">
        <f>IF(LEFT(E50,1)="1","SOL",IF(LEFT(E50,1)="2","CO",IF(LEFT(E50,1)="3","ALM",IF(LEFT(E50,1)="4","FAC","TRX")))) &amp; "-" &amp; B50 &amp; "-" &amp; TEXT(COUNTIFS($E$2:$E50,E50,$B$2:$B50,B50),"000")</f>
        <v>SOL-24-049</v>
      </c>
      <c r="B50">
        <v>24</v>
      </c>
      <c r="C50" s="18046">
        <v>46184</v>
      </c>
      <c r="D50" t="s">
        <v>2</v>
      </c>
      <c r="E50" t="s">
        <v>850</v>
      </c>
      <c r="F50" t="s">
        <v>104</v>
      </c>
      <c r="G50" s="3">
        <v>40</v>
      </c>
      <c r="H50" s="18047">
        <v>27</v>
      </c>
      <c r="I50" s="18047">
        <v>1080</v>
      </c>
      <c r="J50" t="s">
        <v>851</v>
      </c>
      <c r="K50">
        <v>27</v>
      </c>
    </row>
    <row r="51" spans="1:11">
      <c r="A51" t="str">
        <f>IF(LEFT(E51,1)="1","SOL",IF(LEFT(E51,1)="2","CO",IF(LEFT(E51,1)="3","ALM",IF(LEFT(E51,1)="4","FAC","TRX")))) &amp; "-" &amp; B51 &amp; "-" &amp; TEXT(COUNTIFS($E$2:$E51,E51,$B$2:$B51,B51),"000")</f>
        <v>SOL-24-050</v>
      </c>
      <c r="B51">
        <v>24</v>
      </c>
      <c r="C51" s="18046">
        <v>46184</v>
      </c>
      <c r="D51" t="s">
        <v>2</v>
      </c>
      <c r="E51" t="s">
        <v>850</v>
      </c>
      <c r="F51" t="s">
        <v>65</v>
      </c>
      <c r="G51" s="3">
        <v>150</v>
      </c>
      <c r="H51" s="18047">
        <v>27</v>
      </c>
      <c r="I51" s="18047">
        <v>4050</v>
      </c>
      <c r="J51" t="s">
        <v>851</v>
      </c>
      <c r="K51">
        <v>27</v>
      </c>
    </row>
    <row r="52" spans="1:11">
      <c r="A52" t="str">
        <f>IF(LEFT(E52,1)="1","SOL",IF(LEFT(E52,1)="2","CO",IF(LEFT(E52,1)="3","ALM",IF(LEFT(E52,1)="4","FAC","TRX")))) &amp; "-" &amp; B52 &amp; "-" &amp; TEXT(COUNTIFS($E$2:$E52,E52,$B$2:$B52,B52),"000")</f>
        <v>SOL-24-051</v>
      </c>
      <c r="B52">
        <v>24</v>
      </c>
      <c r="C52" s="18046">
        <v>46184</v>
      </c>
      <c r="D52" t="s">
        <v>2</v>
      </c>
      <c r="E52" t="s">
        <v>850</v>
      </c>
      <c r="F52" t="s">
        <v>102</v>
      </c>
      <c r="G52" s="3">
        <v>30</v>
      </c>
      <c r="H52" s="18047">
        <v>27</v>
      </c>
      <c r="I52" s="18047">
        <v>810</v>
      </c>
      <c r="J52" t="s">
        <v>851</v>
      </c>
      <c r="K52">
        <v>27</v>
      </c>
    </row>
    <row r="53" spans="1:11">
      <c r="A53" t="str">
        <f>IF(LEFT(E53,1)="1","SOL",IF(LEFT(E53,1)="2","CO",IF(LEFT(E53,1)="3","ALM",IF(LEFT(E53,1)="4","FAC","TRX")))) &amp; "-" &amp; B53 &amp; "-" &amp; TEXT(COUNTIFS($E$2:$E53,E53,$B$2:$B53,B53),"000")</f>
        <v>SOL-24-052</v>
      </c>
      <c r="B53">
        <v>24</v>
      </c>
      <c r="C53" s="18046">
        <v>46184</v>
      </c>
      <c r="D53" t="s">
        <v>2</v>
      </c>
      <c r="E53" t="s">
        <v>850</v>
      </c>
      <c r="F53" t="s">
        <v>100</v>
      </c>
      <c r="G53" s="3">
        <v>10</v>
      </c>
      <c r="H53" s="18047">
        <v>27</v>
      </c>
      <c r="I53" s="18047">
        <v>270</v>
      </c>
      <c r="J53" t="s">
        <v>851</v>
      </c>
      <c r="K53">
        <v>27</v>
      </c>
    </row>
    <row r="54" spans="1:11">
      <c r="A54" t="str">
        <f>IF(LEFT(E54,1)="1","SOL",IF(LEFT(E54,1)="2","CO",IF(LEFT(E54,1)="3","ALM",IF(LEFT(E54,1)="4","FAC","TRX")))) &amp; "-" &amp; B54 &amp; "-" &amp; TEXT(COUNTIFS($E$2:$E54,E54,$B$2:$B54,B54),"000")</f>
        <v>SOL-24-053</v>
      </c>
      <c r="B54">
        <v>24</v>
      </c>
      <c r="D54" t="s">
        <v>111</v>
      </c>
      <c r="E54" t="s">
        <v>850</v>
      </c>
      <c r="F54" t="s">
        <v>56</v>
      </c>
      <c r="G54" s="3">
        <v>50</v>
      </c>
      <c r="H54" s="18047">
        <v>27</v>
      </c>
      <c r="I54" s="18047">
        <v>1350</v>
      </c>
      <c r="J54" t="s">
        <v>851</v>
      </c>
      <c r="K54">
        <v>27</v>
      </c>
    </row>
    <row r="55" spans="1:11">
      <c r="A55" t="str">
        <f>IF(LEFT(E55,1)="1","SOL",IF(LEFT(E55,1)="2","CO",IF(LEFT(E55,1)="3","ALM",IF(LEFT(E55,1)="4","FAC","TRX")))) &amp; "-" &amp; B55 &amp; "-" &amp; TEXT(COUNTIFS($E$2:$E55,E55,$B$2:$B55,B55),"000")</f>
        <v>SOL-24-054</v>
      </c>
      <c r="B55">
        <v>24</v>
      </c>
      <c r="D55" t="s">
        <v>111</v>
      </c>
      <c r="E55" t="s">
        <v>850</v>
      </c>
      <c r="F55" t="s">
        <v>57</v>
      </c>
      <c r="G55" s="3">
        <v>10</v>
      </c>
      <c r="H55" s="18047">
        <v>27</v>
      </c>
      <c r="I55" s="18047">
        <v>270</v>
      </c>
      <c r="J55" t="s">
        <v>851</v>
      </c>
      <c r="K55">
        <v>27</v>
      </c>
    </row>
    <row r="56" spans="1:11">
      <c r="A56" t="str">
        <f>IF(LEFT(E56,1)="1","SOL",IF(LEFT(E56,1)="2","CO",IF(LEFT(E56,1)="3","ALM",IF(LEFT(E56,1)="4","FAC","TRX")))) &amp; "-" &amp; B56 &amp; "-" &amp; TEXT(COUNTIFS($E$2:$E56,E56,$B$2:$B56,B56),"000")</f>
        <v>SOL-24-055</v>
      </c>
      <c r="B56">
        <v>24</v>
      </c>
      <c r="D56" t="s">
        <v>111</v>
      </c>
      <c r="E56" t="s">
        <v>850</v>
      </c>
      <c r="F56" t="s">
        <v>102</v>
      </c>
      <c r="G56" s="3">
        <v>10</v>
      </c>
      <c r="H56" s="18047">
        <v>27</v>
      </c>
      <c r="I56" s="18047">
        <v>270</v>
      </c>
      <c r="J56" t="s">
        <v>851</v>
      </c>
      <c r="K56">
        <v>27</v>
      </c>
    </row>
    <row r="57" spans="1:11">
      <c r="A57" t="str">
        <f>IF(LEFT(E57,1)="1","SOL",IF(LEFT(E57,1)="2","CO",IF(LEFT(E57,1)="3","ALM",IF(LEFT(E57,1)="4","FAC","TRX")))) &amp; "-" &amp; B57 &amp; "-" &amp; TEXT(COUNTIFS($E$2:$E57,E57,$B$2:$B57,B57),"000")</f>
        <v>SOL-24-056</v>
      </c>
      <c r="B57">
        <v>24</v>
      </c>
      <c r="C57" s="18046">
        <v>46185</v>
      </c>
      <c r="D57" t="s">
        <v>1</v>
      </c>
      <c r="E57" t="s">
        <v>850</v>
      </c>
      <c r="F57" t="s">
        <v>69</v>
      </c>
      <c r="G57" s="3">
        <v>250</v>
      </c>
      <c r="H57" s="18047">
        <v>27</v>
      </c>
      <c r="I57" s="18047">
        <v>6750</v>
      </c>
      <c r="J57" t="s">
        <v>851</v>
      </c>
      <c r="K57">
        <v>27</v>
      </c>
    </row>
    <row r="58" spans="1:11">
      <c r="A58" t="str">
        <f>IF(LEFT(E58,1)="1","SOL",IF(LEFT(E58,1)="2","CO",IF(LEFT(E58,1)="3","ALM",IF(LEFT(E58,1)="4","FAC","TRX")))) &amp; "-" &amp; B58 &amp; "-" &amp; TEXT(COUNTIFS($E$2:$E58,E58,$B$2:$B58,B58),"000")</f>
        <v>SOL-24-057</v>
      </c>
      <c r="B58">
        <v>24</v>
      </c>
      <c r="C58" s="18046">
        <v>46185</v>
      </c>
      <c r="D58" t="s">
        <v>1</v>
      </c>
      <c r="E58" t="s">
        <v>850</v>
      </c>
      <c r="F58" t="s">
        <v>65</v>
      </c>
      <c r="G58" s="3">
        <v>150</v>
      </c>
      <c r="H58" s="18047">
        <v>27</v>
      </c>
      <c r="I58" s="18047">
        <v>4050</v>
      </c>
      <c r="J58" t="s">
        <v>851</v>
      </c>
      <c r="K58">
        <v>27</v>
      </c>
    </row>
    <row r="59" spans="1:11">
      <c r="A59" t="str">
        <f>IF(LEFT(E59,1)="1","SOL",IF(LEFT(E59,1)="2","CO",IF(LEFT(E59,1)="3","ALM",IF(LEFT(E59,1)="4","FAC","TRX")))) &amp; "-" &amp; B59 &amp; "-" &amp; TEXT(COUNTIFS($E$2:$E59,E59,$B$2:$B59,B59),"000")</f>
        <v>SOL-24-058</v>
      </c>
      <c r="B59">
        <v>24</v>
      </c>
      <c r="C59" s="18046">
        <v>46185</v>
      </c>
      <c r="D59" t="s">
        <v>1</v>
      </c>
      <c r="E59" t="s">
        <v>850</v>
      </c>
      <c r="F59" t="s">
        <v>48</v>
      </c>
      <c r="G59" s="3">
        <v>40</v>
      </c>
      <c r="H59" s="18047">
        <v>27</v>
      </c>
      <c r="I59" s="18047">
        <v>1080</v>
      </c>
      <c r="J59" t="s">
        <v>851</v>
      </c>
      <c r="K59">
        <v>27</v>
      </c>
    </row>
    <row r="60" spans="1:11">
      <c r="A60" t="str">
        <f>IF(LEFT(E60,1)="1","SOL",IF(LEFT(E60,1)="2","CO",IF(LEFT(E60,1)="3","ALM",IF(LEFT(E60,1)="4","FAC","TRX")))) &amp; "-" &amp; B60 &amp; "-" &amp; TEXT(COUNTIFS($E$2:$E60,E60,$B$2:$B60,B60),"000")</f>
        <v>SOL-24-059</v>
      </c>
      <c r="B60">
        <v>24</v>
      </c>
      <c r="C60" s="18046">
        <v>46185</v>
      </c>
      <c r="D60" t="s">
        <v>1</v>
      </c>
      <c r="E60" t="s">
        <v>850</v>
      </c>
      <c r="F60" t="s">
        <v>85</v>
      </c>
      <c r="G60" s="3">
        <v>30</v>
      </c>
      <c r="H60" s="18047">
        <v>27</v>
      </c>
      <c r="I60" s="18047">
        <v>810</v>
      </c>
      <c r="J60" t="s">
        <v>851</v>
      </c>
      <c r="K60">
        <v>27</v>
      </c>
    </row>
    <row r="61" spans="1:11">
      <c r="A61" t="str">
        <f>IF(LEFT(E61,1)="1","SOL",IF(LEFT(E61,1)="2","CO",IF(LEFT(E61,1)="3","ALM",IF(LEFT(E61,1)="4","FAC","TRX")))) &amp; "-" &amp; B61 &amp; "-" &amp; TEXT(COUNTIFS($E$2:$E61,E61,$B$2:$B61,B61),"000")</f>
        <v>SOL-24-060</v>
      </c>
      <c r="B61">
        <v>24</v>
      </c>
      <c r="C61" s="18046">
        <v>46185</v>
      </c>
      <c r="D61" t="s">
        <v>1</v>
      </c>
      <c r="E61" t="s">
        <v>850</v>
      </c>
      <c r="F61" t="s">
        <v>56</v>
      </c>
      <c r="G61" s="3">
        <v>30</v>
      </c>
      <c r="H61" s="18047">
        <v>27</v>
      </c>
      <c r="I61" s="18047">
        <v>810</v>
      </c>
      <c r="J61" t="s">
        <v>851</v>
      </c>
      <c r="K61">
        <v>27</v>
      </c>
    </row>
    <row r="62" spans="1:11">
      <c r="A62" t="str">
        <f>IF(LEFT(E62,1)="1","SOL",IF(LEFT(E62,1)="2","CO",IF(LEFT(E62,1)="3","ALM",IF(LEFT(E62,1)="4","FAC","TRX")))) &amp; "-" &amp; B62 &amp; "-" &amp; TEXT(COUNTIFS($E$2:$E62,E62,$B$2:$B62,B62),"000")</f>
        <v>SOL-24-061</v>
      </c>
      <c r="B62">
        <v>24</v>
      </c>
      <c r="C62" s="18046">
        <v>46185</v>
      </c>
      <c r="D62" t="s">
        <v>1</v>
      </c>
      <c r="E62" t="s">
        <v>850</v>
      </c>
      <c r="F62" t="s">
        <v>70</v>
      </c>
      <c r="G62" s="3">
        <v>20</v>
      </c>
      <c r="H62" s="18047">
        <v>27</v>
      </c>
      <c r="I62" s="18047">
        <v>540</v>
      </c>
      <c r="J62" t="s">
        <v>851</v>
      </c>
      <c r="K62">
        <v>27</v>
      </c>
    </row>
    <row r="63" spans="1:11">
      <c r="A63" t="str">
        <f>IF(LEFT(E63,1)="1","SOL",IF(LEFT(E63,1)="2","CO",IF(LEFT(E63,1)="3","ALM",IF(LEFT(E63,1)="4","FAC","TRX")))) &amp; "-" &amp; B63 &amp; "-" &amp; TEXT(COUNTIFS($E$2:$E63,E63,$B$2:$B63,B63),"000")</f>
        <v>SOL-24-062</v>
      </c>
      <c r="B63">
        <v>24</v>
      </c>
      <c r="C63" s="18046">
        <v>46185</v>
      </c>
      <c r="D63" t="s">
        <v>1</v>
      </c>
      <c r="E63" t="s">
        <v>850</v>
      </c>
      <c r="F63" t="s">
        <v>96</v>
      </c>
      <c r="G63" s="3">
        <v>20</v>
      </c>
      <c r="H63" s="18047">
        <v>27</v>
      </c>
      <c r="I63" s="18047">
        <v>540</v>
      </c>
      <c r="J63" t="s">
        <v>851</v>
      </c>
      <c r="K63">
        <v>27</v>
      </c>
    </row>
    <row r="64" spans="1:11">
      <c r="A64" t="str">
        <f>IF(LEFT(E64,1)="1","SOL",IF(LEFT(E64,1)="2","CO",IF(LEFT(E64,1)="3","ALM",IF(LEFT(E64,1)="4","FAC","TRX")))) &amp; "-" &amp; B64 &amp; "-" &amp; TEXT(COUNTIFS($E$2:$E64,E64,$B$2:$B64,B64),"000")</f>
        <v>SOL-24-063</v>
      </c>
      <c r="B64">
        <v>24</v>
      </c>
      <c r="C64" s="18046">
        <v>46185</v>
      </c>
      <c r="D64" t="s">
        <v>3</v>
      </c>
      <c r="E64" t="s">
        <v>850</v>
      </c>
      <c r="F64" t="s">
        <v>76</v>
      </c>
      <c r="G64" s="3">
        <v>250</v>
      </c>
      <c r="H64" s="18047">
        <v>27</v>
      </c>
      <c r="I64" s="18047">
        <v>6750</v>
      </c>
      <c r="J64" t="s">
        <v>851</v>
      </c>
      <c r="K64">
        <v>27</v>
      </c>
    </row>
    <row r="65" spans="1:11">
      <c r="A65" t="str">
        <f>IF(LEFT(E65,1)="1","SOL",IF(LEFT(E65,1)="2","CO",IF(LEFT(E65,1)="3","ALM",IF(LEFT(E65,1)="4","FAC","TRX")))) &amp; "-" &amp; B65 &amp; "-" &amp; TEXT(COUNTIFS($E$2:$E65,E65,$B$2:$B65,B65),"000")</f>
        <v>SOL-24-064</v>
      </c>
      <c r="B65">
        <v>24</v>
      </c>
      <c r="C65" s="18046">
        <v>46185</v>
      </c>
      <c r="D65" t="s">
        <v>3</v>
      </c>
      <c r="E65" t="s">
        <v>850</v>
      </c>
      <c r="F65" t="s">
        <v>79</v>
      </c>
      <c r="G65" s="3">
        <v>40</v>
      </c>
      <c r="H65" s="18047">
        <v>27</v>
      </c>
      <c r="I65" s="18047">
        <v>1080</v>
      </c>
      <c r="J65" t="s">
        <v>851</v>
      </c>
      <c r="K65">
        <v>27</v>
      </c>
    </row>
    <row r="66" spans="1:11">
      <c r="A66" t="str">
        <f>IF(LEFT(E66,1)="1","SOL",IF(LEFT(E66,1)="2","CO",IF(LEFT(E66,1)="3","ALM",IF(LEFT(E66,1)="4","FAC","TRX")))) &amp; "-" &amp; B66 &amp; "-" &amp; TEXT(COUNTIFS($E$2:$E66,E66,$B$2:$B66,B66),"000")</f>
        <v>SOL-24-065</v>
      </c>
      <c r="B66">
        <v>24</v>
      </c>
      <c r="C66" s="18046">
        <v>46185</v>
      </c>
      <c r="D66" t="s">
        <v>3</v>
      </c>
      <c r="E66" t="s">
        <v>850</v>
      </c>
      <c r="F66" t="s">
        <v>81</v>
      </c>
      <c r="G66" s="3">
        <v>60</v>
      </c>
      <c r="H66" s="18047">
        <v>27</v>
      </c>
      <c r="I66" s="18047">
        <v>1620</v>
      </c>
      <c r="J66" t="s">
        <v>851</v>
      </c>
      <c r="K66">
        <v>27</v>
      </c>
    </row>
    <row r="67" spans="1:11">
      <c r="A67" t="str">
        <f>IF(LEFT(E67,1)="1","SOL",IF(LEFT(E67,1)="2","CO",IF(LEFT(E67,1)="3","ALM",IF(LEFT(E67,1)="4","FAC","TRX")))) &amp; "-" &amp; B67 &amp; "-" &amp; TEXT(COUNTIFS($E$2:$E67,E67,$B$2:$B67,B67),"000")</f>
        <v>SOL-24-066</v>
      </c>
      <c r="B67">
        <v>24</v>
      </c>
      <c r="C67" s="18046">
        <v>46185</v>
      </c>
      <c r="D67" t="s">
        <v>3</v>
      </c>
      <c r="E67" t="s">
        <v>850</v>
      </c>
      <c r="F67" t="s">
        <v>86</v>
      </c>
      <c r="G67" s="3">
        <v>100</v>
      </c>
      <c r="H67" s="18047">
        <v>27</v>
      </c>
      <c r="I67" s="18047">
        <v>2700</v>
      </c>
      <c r="J67" t="s">
        <v>851</v>
      </c>
      <c r="K67">
        <v>27</v>
      </c>
    </row>
    <row r="68" spans="1:11">
      <c r="A68" t="str">
        <f>IF(LEFT(E68,1)="1","SOL",IF(LEFT(E68,1)="2","CO",IF(LEFT(E68,1)="3","ALM",IF(LEFT(E68,1)="4","FAC","TRX")))) &amp; "-" &amp; B68 &amp; "-" &amp; TEXT(COUNTIFS($E$2:$E68,E68,$B$2:$B68,B68),"000")</f>
        <v>SOL-24-067</v>
      </c>
      <c r="B68">
        <v>24</v>
      </c>
      <c r="C68" s="18046">
        <v>46185</v>
      </c>
      <c r="D68" t="s">
        <v>3</v>
      </c>
      <c r="E68" t="s">
        <v>850</v>
      </c>
      <c r="F68" t="s">
        <v>102</v>
      </c>
      <c r="G68" s="3">
        <v>20</v>
      </c>
      <c r="H68" s="18047">
        <v>27</v>
      </c>
      <c r="I68" s="18047">
        <v>540</v>
      </c>
      <c r="J68" t="s">
        <v>851</v>
      </c>
      <c r="K68">
        <v>27</v>
      </c>
    </row>
    <row r="69" spans="1:11">
      <c r="A69" t="str">
        <f>IF(LEFT(E69,1)="1","SOL",IF(LEFT(E69,1)="2","CO",IF(LEFT(E69,1)="3","ALM",IF(LEFT(E69,1)="4","FAC","TRX")))) &amp; "-" &amp; B69 &amp; "-" &amp; TEXT(COUNTIFS($E$2:$E69,E69,$B$2:$B69,B69),"000")</f>
        <v>SOL-24-068</v>
      </c>
      <c r="B69">
        <v>24</v>
      </c>
      <c r="C69" s="18046">
        <v>46185</v>
      </c>
      <c r="D69" t="s">
        <v>3</v>
      </c>
      <c r="E69" t="s">
        <v>850</v>
      </c>
      <c r="F69" t="s">
        <v>88</v>
      </c>
      <c r="G69" s="3">
        <v>50</v>
      </c>
      <c r="H69" s="18047">
        <v>27</v>
      </c>
      <c r="I69" s="18047">
        <v>1350</v>
      </c>
      <c r="J69" t="s">
        <v>851</v>
      </c>
      <c r="K69">
        <v>27</v>
      </c>
    </row>
    <row r="70" spans="1:11">
      <c r="A70" t="str">
        <f>IF(LEFT(E70,1)="1","SOL",IF(LEFT(E70,1)="2","CO",IF(LEFT(E70,1)="3","ALM",IF(LEFT(E70,1)="4","FAC","TRX")))) &amp; "-" &amp; B70 &amp; "-" &amp; TEXT(COUNTIFS($E$2:$E70,E70,$B$2:$B70,B70),"000")</f>
        <v>SOL-24-069</v>
      </c>
      <c r="B70">
        <v>24</v>
      </c>
      <c r="C70" s="18046">
        <v>46185</v>
      </c>
      <c r="D70" t="s">
        <v>3</v>
      </c>
      <c r="E70" t="s">
        <v>850</v>
      </c>
      <c r="F70" t="s">
        <v>90</v>
      </c>
      <c r="G70" s="3">
        <v>50</v>
      </c>
      <c r="H70" s="18047">
        <v>27</v>
      </c>
      <c r="I70" s="18047">
        <v>1350</v>
      </c>
      <c r="J70" t="s">
        <v>851</v>
      </c>
      <c r="K70">
        <v>27</v>
      </c>
    </row>
    <row r="71" spans="1:11">
      <c r="A71" t="str">
        <f>IF(LEFT(E71,1)="1","SOL",IF(LEFT(E71,1)="2","CO",IF(LEFT(E71,1)="3","ALM",IF(LEFT(E71,1)="4","FAC","TRX")))) &amp; "-" &amp; B71 &amp; "-" &amp; TEXT(COUNTIFS($E$2:$E71,E71,$B$2:$B71,B71),"000")</f>
        <v>SOL-24-070</v>
      </c>
      <c r="B71">
        <v>24</v>
      </c>
      <c r="C71" s="18046">
        <v>46185</v>
      </c>
      <c r="D71" t="s">
        <v>3</v>
      </c>
      <c r="E71" t="s">
        <v>850</v>
      </c>
      <c r="F71" t="s">
        <v>92</v>
      </c>
      <c r="G71" s="3">
        <v>50</v>
      </c>
      <c r="H71" s="18047">
        <v>27</v>
      </c>
      <c r="I71" s="18047">
        <v>1350</v>
      </c>
      <c r="J71" t="s">
        <v>851</v>
      </c>
      <c r="K71">
        <v>27</v>
      </c>
    </row>
    <row r="72" spans="1:11">
      <c r="A72" t="str">
        <f>IF(LEFT(E72,1)="1","SOL",IF(LEFT(E72,1)="2","CO",IF(LEFT(E72,1)="3","ALM",IF(LEFT(E72,1)="4","FAC","TRX")))) &amp; "-" &amp; B72 &amp; "-" &amp; TEXT(COUNTIFS($E$2:$E72,E72,$B$2:$B72,B72),"000")</f>
        <v>SOL-25-001</v>
      </c>
      <c r="B72">
        <v>25</v>
      </c>
      <c r="C72" s="18046">
        <v>46188</v>
      </c>
      <c r="D72" t="s">
        <v>1</v>
      </c>
      <c r="E72" t="s">
        <v>850</v>
      </c>
      <c r="F72" t="s">
        <v>76</v>
      </c>
      <c r="G72" s="3">
        <v>250</v>
      </c>
      <c r="H72" s="18047">
        <v>27</v>
      </c>
      <c r="I72" s="18047">
        <v>6750</v>
      </c>
      <c r="J72" t="s">
        <v>851</v>
      </c>
      <c r="K72">
        <v>27</v>
      </c>
    </row>
    <row r="73" spans="1:11">
      <c r="A73" t="str">
        <f>IF(LEFT(E73,1)="1","SOL",IF(LEFT(E73,1)="2","CO",IF(LEFT(E73,1)="3","ALM",IF(LEFT(E73,1)="4","FAC","TRX")))) &amp; "-" &amp; B73 &amp; "-" &amp; TEXT(COUNTIFS($E$2:$E73,E73,$B$2:$B73,B73),"000")</f>
        <v>SOL-25-002</v>
      </c>
      <c r="B73">
        <v>25</v>
      </c>
      <c r="C73" s="18046">
        <v>46188</v>
      </c>
      <c r="D73" t="s">
        <v>1</v>
      </c>
      <c r="E73" t="s">
        <v>850</v>
      </c>
      <c r="F73" t="s">
        <v>86</v>
      </c>
      <c r="G73" s="3">
        <v>100</v>
      </c>
      <c r="H73" s="18047">
        <v>27</v>
      </c>
      <c r="I73" s="18047">
        <v>2700</v>
      </c>
      <c r="J73" t="s">
        <v>851</v>
      </c>
      <c r="K73">
        <v>27</v>
      </c>
    </row>
    <row r="74" spans="1:11">
      <c r="A74" t="str">
        <f>IF(LEFT(E74,1)="1","SOL",IF(LEFT(E74,1)="2","CO",IF(LEFT(E74,1)="3","ALM",IF(LEFT(E74,1)="4","FAC","TRX")))) &amp; "-" &amp; B74 &amp; "-" &amp; TEXT(COUNTIFS($E$2:$E74,E74,$B$2:$B74,B74),"000")</f>
        <v>SOL-25-003</v>
      </c>
      <c r="B74">
        <v>25</v>
      </c>
      <c r="C74" s="18046">
        <v>46188</v>
      </c>
      <c r="D74" t="s">
        <v>1</v>
      </c>
      <c r="E74" t="s">
        <v>850</v>
      </c>
      <c r="F74" t="s">
        <v>88</v>
      </c>
      <c r="G74" s="3">
        <v>50</v>
      </c>
      <c r="H74" s="18047">
        <v>27</v>
      </c>
      <c r="I74" s="18047">
        <v>1350</v>
      </c>
      <c r="J74" t="s">
        <v>851</v>
      </c>
      <c r="K74">
        <v>27</v>
      </c>
    </row>
    <row r="75" spans="1:11">
      <c r="A75" t="str">
        <f>IF(LEFT(E75,1)="1","SOL",IF(LEFT(E75,1)="2","CO",IF(LEFT(E75,1)="3","ALM",IF(LEFT(E75,1)="4","FAC","TRX")))) &amp; "-" &amp; B75 &amp; "-" &amp; TEXT(COUNTIFS($E$2:$E75,E75,$B$2:$B75,B75),"000")</f>
        <v>SOL-25-004</v>
      </c>
      <c r="B75">
        <v>25</v>
      </c>
      <c r="C75" s="18046">
        <v>46188</v>
      </c>
      <c r="D75" t="s">
        <v>1</v>
      </c>
      <c r="E75" t="s">
        <v>850</v>
      </c>
      <c r="F75" t="s">
        <v>102</v>
      </c>
      <c r="G75" s="3">
        <v>20</v>
      </c>
      <c r="H75" s="18047">
        <v>27</v>
      </c>
      <c r="I75" s="18047">
        <v>540</v>
      </c>
      <c r="J75" t="s">
        <v>851</v>
      </c>
      <c r="K75">
        <v>27</v>
      </c>
    </row>
    <row r="76" spans="1:11">
      <c r="A76" t="str">
        <f>IF(LEFT(E76,1)="1","SOL",IF(LEFT(E76,1)="2","CO",IF(LEFT(E76,1)="3","ALM",IF(LEFT(E76,1)="4","FAC","TRX")))) &amp; "-" &amp; B76 &amp; "-" &amp; TEXT(COUNTIFS($E$2:$E76,E76,$B$2:$B76,B76),"000")</f>
        <v>SOL-25-005</v>
      </c>
      <c r="B76">
        <v>25</v>
      </c>
      <c r="C76" s="18046">
        <v>46188</v>
      </c>
      <c r="D76" t="s">
        <v>1</v>
      </c>
      <c r="E76" t="s">
        <v>850</v>
      </c>
      <c r="F76" t="s">
        <v>90</v>
      </c>
      <c r="G76" s="3">
        <v>50</v>
      </c>
      <c r="H76" s="18047">
        <v>27</v>
      </c>
      <c r="I76" s="18047">
        <v>1350</v>
      </c>
      <c r="J76" t="s">
        <v>851</v>
      </c>
      <c r="K76">
        <v>27</v>
      </c>
    </row>
    <row r="77" spans="1:11">
      <c r="A77" t="str">
        <f>IF(LEFT(E77,1)="1","SOL",IF(LEFT(E77,1)="2","CO",IF(LEFT(E77,1)="3","ALM",IF(LEFT(E77,1)="4","FAC","TRX")))) &amp; "-" &amp; B77 &amp; "-" &amp; TEXT(COUNTIFS($E$2:$E77,E77,$B$2:$B77,B77),"000")</f>
        <v>SOL-25-006</v>
      </c>
      <c r="B77">
        <v>25</v>
      </c>
      <c r="C77" s="18046">
        <v>46188</v>
      </c>
      <c r="D77" t="s">
        <v>1</v>
      </c>
      <c r="E77" t="s">
        <v>850</v>
      </c>
      <c r="F77" t="s">
        <v>79</v>
      </c>
      <c r="G77" s="3">
        <v>40</v>
      </c>
      <c r="H77" s="18047">
        <v>27</v>
      </c>
      <c r="I77" s="18047">
        <v>1080</v>
      </c>
      <c r="J77" t="s">
        <v>851</v>
      </c>
      <c r="K77">
        <v>27</v>
      </c>
    </row>
    <row r="78" spans="1:11">
      <c r="A78" t="str">
        <f>IF(LEFT(E78,1)="1","SOL",IF(LEFT(E78,1)="2","CO",IF(LEFT(E78,1)="3","ALM",IF(LEFT(E78,1)="4","FAC","TRX")))) &amp; "-" &amp; B78 &amp; "-" &amp; TEXT(COUNTIFS($E$2:$E78,E78,$B$2:$B78,B78),"000")</f>
        <v>SOL-25-007</v>
      </c>
      <c r="B78">
        <v>25</v>
      </c>
      <c r="C78" s="18046">
        <v>46188</v>
      </c>
      <c r="D78" t="s">
        <v>1</v>
      </c>
      <c r="E78" t="s">
        <v>850</v>
      </c>
      <c r="F78" t="s">
        <v>56</v>
      </c>
      <c r="G78" s="3">
        <v>60</v>
      </c>
      <c r="H78" s="18047">
        <v>27</v>
      </c>
      <c r="I78" s="18047">
        <v>1620</v>
      </c>
      <c r="J78" t="s">
        <v>851</v>
      </c>
      <c r="K78">
        <v>27</v>
      </c>
    </row>
    <row r="79" spans="1:11">
      <c r="A79" t="str">
        <f>IF(LEFT(E79,1)="1","SOL",IF(LEFT(E79,1)="2","CO",IF(LEFT(E79,1)="3","ALM",IF(LEFT(E79,1)="4","FAC","TRX")))) &amp; "-" &amp; B79 &amp; "-" &amp; TEXT(COUNTIFS($E$2:$E79,E79,$B$2:$B79,B79),"000")</f>
        <v>SOL-25-008</v>
      </c>
      <c r="B79">
        <v>25</v>
      </c>
      <c r="C79" s="18046">
        <v>46188</v>
      </c>
      <c r="D79" t="s">
        <v>1</v>
      </c>
      <c r="E79" t="s">
        <v>850</v>
      </c>
      <c r="F79" t="s">
        <v>92</v>
      </c>
      <c r="G79" s="3">
        <v>50</v>
      </c>
      <c r="H79" s="18047">
        <v>27</v>
      </c>
      <c r="I79" s="18047">
        <v>1350</v>
      </c>
      <c r="J79" t="s">
        <v>851</v>
      </c>
      <c r="K79">
        <v>27</v>
      </c>
    </row>
    <row r="80" spans="1:11">
      <c r="A80" t="str">
        <f>IF(LEFT(E80,1)="1","SOL",IF(LEFT(E80,1)="2","CO",IF(LEFT(E80,1)="3","ALM",IF(LEFT(E80,1)="4","FAC","TRX")))) &amp; "-" &amp; B80 &amp; "-" &amp; TEXT(COUNTIFS($E$2:$E80,E80,$B$2:$B80,B80),"000")</f>
        <v>SOL-25-009</v>
      </c>
      <c r="B80">
        <v>25</v>
      </c>
      <c r="C80" s="18046">
        <v>46188</v>
      </c>
      <c r="D80" t="s">
        <v>2</v>
      </c>
      <c r="E80" t="s">
        <v>850</v>
      </c>
      <c r="F80" t="s">
        <v>65</v>
      </c>
      <c r="G80" s="3">
        <v>90</v>
      </c>
      <c r="H80" s="18047">
        <v>27</v>
      </c>
      <c r="I80" s="18047">
        <v>2430</v>
      </c>
      <c r="J80" t="s">
        <v>851</v>
      </c>
      <c r="K80">
        <v>27</v>
      </c>
    </row>
    <row r="81" spans="1:11">
      <c r="A81" t="str">
        <f>IF(LEFT(E81,1)="1","SOL",IF(LEFT(E81,1)="2","CO",IF(LEFT(E81,1)="3","ALM",IF(LEFT(E81,1)="4","FAC","TRX")))) &amp; "-" &amp; B81 &amp; "-" &amp; TEXT(COUNTIFS($E$2:$E81,E81,$B$2:$B81,B81),"000")</f>
        <v>SOL-25-010</v>
      </c>
      <c r="B81">
        <v>25</v>
      </c>
      <c r="C81" s="18046">
        <v>46188</v>
      </c>
      <c r="D81" t="s">
        <v>2</v>
      </c>
      <c r="E81" t="s">
        <v>850</v>
      </c>
      <c r="F81" t="s">
        <v>85</v>
      </c>
      <c r="G81" s="3">
        <v>40</v>
      </c>
      <c r="H81" s="18047">
        <v>27</v>
      </c>
      <c r="I81" s="18047">
        <v>1080</v>
      </c>
      <c r="J81" t="s">
        <v>851</v>
      </c>
      <c r="K81">
        <v>27</v>
      </c>
    </row>
    <row r="82" spans="1:11">
      <c r="A82" t="str">
        <f>IF(LEFT(E82,1)="1","SOL",IF(LEFT(E82,1)="2","CO",IF(LEFT(E82,1)="3","ALM",IF(LEFT(E82,1)="4","FAC","TRX")))) &amp; "-" &amp; B82 &amp; "-" &amp; TEXT(COUNTIFS($E$2:$E82,E82,$B$2:$B82,B82),"000")</f>
        <v>SOL-25-011</v>
      </c>
      <c r="B82">
        <v>25</v>
      </c>
      <c r="C82" s="18046">
        <v>46188</v>
      </c>
      <c r="D82" t="s">
        <v>2</v>
      </c>
      <c r="E82" t="s">
        <v>850</v>
      </c>
      <c r="F82" t="s">
        <v>70</v>
      </c>
      <c r="G82" s="3">
        <v>40</v>
      </c>
      <c r="H82" s="18047">
        <v>27</v>
      </c>
      <c r="I82" s="18047">
        <v>1080</v>
      </c>
      <c r="J82" t="s">
        <v>851</v>
      </c>
      <c r="K82">
        <v>27</v>
      </c>
    </row>
    <row r="83" spans="1:11">
      <c r="A83" t="str">
        <f>IF(LEFT(E83,1)="1","SOL",IF(LEFT(E83,1)="2","CO",IF(LEFT(E83,1)="3","ALM",IF(LEFT(E83,1)="4","FAC","TRX")))) &amp; "-" &amp; B83 &amp; "-" &amp; TEXT(COUNTIFS($E$2:$E83,E83,$B$2:$B83,B83),"000")</f>
        <v>SOL-25-012</v>
      </c>
      <c r="B83">
        <v>25</v>
      </c>
      <c r="D83" t="s">
        <v>111</v>
      </c>
      <c r="E83" t="s">
        <v>850</v>
      </c>
      <c r="F83" t="s">
        <v>56</v>
      </c>
      <c r="G83" s="3">
        <v>70</v>
      </c>
      <c r="H83" s="18047">
        <v>27</v>
      </c>
      <c r="I83" s="18047">
        <v>1890</v>
      </c>
      <c r="J83" t="s">
        <v>851</v>
      </c>
      <c r="K83">
        <v>27</v>
      </c>
    </row>
    <row r="84" spans="1:11">
      <c r="A84" t="str">
        <f>IF(LEFT(E84,1)="1","SOL",IF(LEFT(E84,1)="2","CO",IF(LEFT(E84,1)="3","ALM",IF(LEFT(E84,1)="4","FAC","TRX")))) &amp; "-" &amp; B84 &amp; "-" &amp; TEXT(COUNTIFS($E$2:$E84,E84,$B$2:$B84,B84),"000")</f>
        <v>SOL-25-013</v>
      </c>
      <c r="B84">
        <v>25</v>
      </c>
      <c r="D84" t="s">
        <v>111</v>
      </c>
      <c r="E84" t="s">
        <v>850</v>
      </c>
      <c r="F84" t="s">
        <v>69</v>
      </c>
      <c r="G84" s="3">
        <v>200</v>
      </c>
      <c r="H84" s="18047">
        <v>27</v>
      </c>
      <c r="I84" s="18047">
        <v>5400</v>
      </c>
      <c r="J84" t="s">
        <v>851</v>
      </c>
      <c r="K84">
        <v>27</v>
      </c>
    </row>
    <row r="85" spans="1:11">
      <c r="A85" t="str">
        <f>IF(LEFT(E85,1)="1","SOL",IF(LEFT(E85,1)="2","CO",IF(LEFT(E85,1)="3","ALM",IF(LEFT(E85,1)="4","FAC","TRX")))) &amp; "-" &amp; B85 &amp; "-" &amp; TEXT(COUNTIFS($E$2:$E85,E85,$B$2:$B85,B85),"000")</f>
        <v>SOL-25-014</v>
      </c>
      <c r="B85">
        <v>25</v>
      </c>
      <c r="D85" t="s">
        <v>111</v>
      </c>
      <c r="E85" t="s">
        <v>850</v>
      </c>
      <c r="F85" t="s">
        <v>104</v>
      </c>
      <c r="G85" s="3">
        <v>40</v>
      </c>
      <c r="H85" s="18047">
        <v>27</v>
      </c>
      <c r="I85" s="18047">
        <v>1080</v>
      </c>
      <c r="J85" t="s">
        <v>851</v>
      </c>
      <c r="K85">
        <v>27</v>
      </c>
    </row>
    <row r="86" spans="1:11">
      <c r="A86" t="str">
        <f>IF(LEFT(E86,1)="1","SOL",IF(LEFT(E86,1)="2","CO",IF(LEFT(E86,1)="3","ALM",IF(LEFT(E86,1)="4","FAC","TRX")))) &amp; "-" &amp; B86 &amp; "-" &amp; TEXT(COUNTIFS($E$2:$E86,E86,$B$2:$B86,B86),"000")</f>
        <v>SOL-25-015</v>
      </c>
      <c r="B86">
        <v>25</v>
      </c>
      <c r="C86" s="18046">
        <v>46189</v>
      </c>
      <c r="D86" t="s">
        <v>2</v>
      </c>
      <c r="E86" t="s">
        <v>850</v>
      </c>
      <c r="F86" t="s">
        <v>102</v>
      </c>
      <c r="G86" s="3">
        <v>25</v>
      </c>
      <c r="H86" s="18047">
        <v>27</v>
      </c>
      <c r="I86" s="18047">
        <v>675</v>
      </c>
      <c r="J86" t="s">
        <v>851</v>
      </c>
      <c r="K86">
        <v>27</v>
      </c>
    </row>
    <row r="87" spans="1:11">
      <c r="A87" t="str">
        <f>IF(LEFT(E87,1)="1","SOL",IF(LEFT(E87,1)="2","CO",IF(LEFT(E87,1)="3","ALM",IF(LEFT(E87,1)="4","FAC","TRX")))) &amp; "-" &amp; B87 &amp; "-" &amp; TEXT(COUNTIFS($E$2:$E87,E87,$B$2:$B87,B87),"000")</f>
        <v>SOL-25-016</v>
      </c>
      <c r="B87">
        <v>25</v>
      </c>
      <c r="C87" s="18046">
        <v>46189</v>
      </c>
      <c r="D87" t="s">
        <v>2</v>
      </c>
      <c r="E87" t="s">
        <v>850</v>
      </c>
      <c r="F87" t="s">
        <v>60</v>
      </c>
      <c r="G87" s="3">
        <v>60</v>
      </c>
      <c r="H87" s="18047">
        <v>27</v>
      </c>
      <c r="I87" s="18047">
        <v>1620</v>
      </c>
      <c r="J87" t="s">
        <v>851</v>
      </c>
      <c r="K87">
        <v>27</v>
      </c>
    </row>
    <row r="88" spans="1:11">
      <c r="A88" t="str">
        <f>IF(LEFT(E88,1)="1","SOL",IF(LEFT(E88,1)="2","CO",IF(LEFT(E88,1)="3","ALM",IF(LEFT(E88,1)="4","FAC","TRX")))) &amp; "-" &amp; B88 &amp; "-" &amp; TEXT(COUNTIFS($E$2:$E88,E88,$B$2:$B88,B88),"000")</f>
        <v>SOL-25-017</v>
      </c>
      <c r="B88">
        <v>25</v>
      </c>
      <c r="C88" s="18046">
        <v>46189</v>
      </c>
      <c r="D88" t="s">
        <v>2</v>
      </c>
      <c r="E88" t="s">
        <v>850</v>
      </c>
      <c r="F88" t="s">
        <v>88</v>
      </c>
      <c r="G88" s="3">
        <v>50</v>
      </c>
      <c r="H88" s="18047">
        <v>27</v>
      </c>
      <c r="I88" s="18047">
        <v>1350</v>
      </c>
      <c r="J88" t="s">
        <v>851</v>
      </c>
      <c r="K88">
        <v>27</v>
      </c>
    </row>
    <row r="89" spans="1:11">
      <c r="A89" t="str">
        <f>IF(LEFT(E89,1)="1","SOL",IF(LEFT(E89,1)="2","CO",IF(LEFT(E89,1)="3","ALM",IF(LEFT(E89,1)="4","FAC","TRX")))) &amp; "-" &amp; B89 &amp; "-" &amp; TEXT(COUNTIFS($E$2:$E89,E89,$B$2:$B89,B89),"000")</f>
        <v>SOL-25-018</v>
      </c>
      <c r="B89">
        <v>25</v>
      </c>
      <c r="C89" s="18046">
        <v>46189</v>
      </c>
      <c r="D89" t="s">
        <v>2</v>
      </c>
      <c r="E89" t="s">
        <v>850</v>
      </c>
      <c r="F89" t="s">
        <v>69</v>
      </c>
      <c r="G89" s="3">
        <v>250</v>
      </c>
      <c r="H89" s="18047">
        <v>27</v>
      </c>
      <c r="I89" s="18047">
        <v>6750</v>
      </c>
      <c r="J89" t="s">
        <v>851</v>
      </c>
      <c r="K89">
        <v>27</v>
      </c>
    </row>
    <row r="90" spans="1:11">
      <c r="A90" t="str">
        <f>IF(LEFT(E90,1)="1","SOL",IF(LEFT(E90,1)="2","CO",IF(LEFT(E90,1)="3","ALM",IF(LEFT(E90,1)="4","FAC","TRX")))) &amp; "-" &amp; B90 &amp; "-" &amp; TEXT(COUNTIFS($E$2:$E90,E90,$B$2:$B90,B90),"000")</f>
        <v>SOL-25-019</v>
      </c>
      <c r="B90">
        <v>25</v>
      </c>
      <c r="C90" s="18046">
        <v>46189</v>
      </c>
      <c r="D90" t="s">
        <v>2</v>
      </c>
      <c r="E90" t="s">
        <v>850</v>
      </c>
      <c r="F90" t="s">
        <v>70</v>
      </c>
      <c r="G90" s="3">
        <v>70</v>
      </c>
      <c r="H90" s="18047">
        <v>27</v>
      </c>
      <c r="I90" s="18047">
        <v>1890</v>
      </c>
      <c r="J90" t="s">
        <v>851</v>
      </c>
      <c r="K90">
        <v>27</v>
      </c>
    </row>
    <row r="91" spans="1:11">
      <c r="A91" t="str">
        <f>IF(LEFT(E91,1)="1","SOL",IF(LEFT(E91,1)="2","CO",IF(LEFT(E91,1)="3","ALM",IF(LEFT(E91,1)="4","FAC","TRX")))) &amp; "-" &amp; B91 &amp; "-" &amp; TEXT(COUNTIFS($E$2:$E91,E91,$B$2:$B91,B91),"000")</f>
        <v>SOL-25-020</v>
      </c>
      <c r="B91">
        <v>25</v>
      </c>
      <c r="C91" s="18046">
        <v>46189</v>
      </c>
      <c r="D91" t="s">
        <v>2</v>
      </c>
      <c r="E91" t="s">
        <v>850</v>
      </c>
      <c r="F91" t="s">
        <v>56</v>
      </c>
      <c r="G91" s="3">
        <v>50</v>
      </c>
      <c r="H91" s="18047">
        <v>27</v>
      </c>
      <c r="I91" s="18047">
        <v>1350</v>
      </c>
      <c r="J91" t="s">
        <v>851</v>
      </c>
      <c r="K91">
        <v>27</v>
      </c>
    </row>
    <row r="92" spans="1:11">
      <c r="A92" t="str">
        <f>IF(LEFT(E92,1)="1","SOL",IF(LEFT(E92,1)="2","CO",IF(LEFT(E92,1)="3","ALM",IF(LEFT(E92,1)="4","FAC","TRX")))) &amp; "-" &amp; B92 &amp; "-" &amp; TEXT(COUNTIFS($E$2:$E92,E92,$B$2:$B92,B92),"000")</f>
        <v>SOL-25-021</v>
      </c>
      <c r="B92">
        <v>25</v>
      </c>
      <c r="C92" s="18046">
        <v>46189</v>
      </c>
      <c r="D92" t="s">
        <v>1</v>
      </c>
      <c r="E92" t="s">
        <v>850</v>
      </c>
      <c r="F92" t="s">
        <v>76</v>
      </c>
      <c r="G92" s="3">
        <v>250</v>
      </c>
      <c r="H92" s="18047">
        <v>27</v>
      </c>
      <c r="I92" s="18047">
        <v>6750</v>
      </c>
      <c r="J92" t="s">
        <v>851</v>
      </c>
      <c r="K92">
        <v>27</v>
      </c>
    </row>
    <row r="93" spans="1:11">
      <c r="A93" t="str">
        <f>IF(LEFT(E93,1)="1","SOL",IF(LEFT(E93,1)="2","CO",IF(LEFT(E93,1)="3","ALM",IF(LEFT(E93,1)="4","FAC","TRX")))) &amp; "-" &amp; B93 &amp; "-" &amp; TEXT(COUNTIFS($E$2:$E93,E93,$B$2:$B93,B93),"000")</f>
        <v>SOL-25-022</v>
      </c>
      <c r="B93">
        <v>25</v>
      </c>
      <c r="C93" s="18046">
        <v>46189</v>
      </c>
      <c r="D93" t="s">
        <v>1</v>
      </c>
      <c r="E93" t="s">
        <v>850</v>
      </c>
      <c r="F93" t="s">
        <v>86</v>
      </c>
      <c r="G93" s="3">
        <v>200</v>
      </c>
      <c r="H93" s="18047">
        <v>27</v>
      </c>
      <c r="I93" s="18047">
        <v>5400</v>
      </c>
      <c r="J93" t="s">
        <v>851</v>
      </c>
      <c r="K93">
        <v>27</v>
      </c>
    </row>
    <row r="94" spans="1:11">
      <c r="A94" t="str">
        <f>IF(LEFT(E94,1)="1","SOL",IF(LEFT(E94,1)="2","CO",IF(LEFT(E94,1)="3","ALM",IF(LEFT(E94,1)="4","FAC","TRX")))) &amp; "-" &amp; B94 &amp; "-" &amp; TEXT(COUNTIFS($E$2:$E94,E94,$B$2:$B94,B94),"000")</f>
        <v>SOL-25-023</v>
      </c>
      <c r="B94">
        <v>25</v>
      </c>
      <c r="C94" s="18046">
        <v>46189</v>
      </c>
      <c r="D94" t="s">
        <v>1</v>
      </c>
      <c r="E94" t="s">
        <v>850</v>
      </c>
      <c r="F94" t="s">
        <v>102</v>
      </c>
      <c r="G94" s="3">
        <v>20</v>
      </c>
      <c r="H94" s="18047">
        <v>27</v>
      </c>
      <c r="I94" s="18047">
        <v>540</v>
      </c>
      <c r="J94" t="s">
        <v>851</v>
      </c>
      <c r="K94">
        <v>27</v>
      </c>
    </row>
    <row r="95" spans="1:11">
      <c r="A95" t="str">
        <f>IF(LEFT(E95,1)="1","SOL",IF(LEFT(E95,1)="2","CO",IF(LEFT(E95,1)="3","ALM",IF(LEFT(E95,1)="4","FAC","TRX")))) &amp; "-" &amp; B95 &amp; "-" &amp; TEXT(COUNTIFS($E$2:$E95,E95,$B$2:$B95,B95),"000")</f>
        <v>SOL-25-024</v>
      </c>
      <c r="B95">
        <v>25</v>
      </c>
      <c r="C95" s="18046">
        <v>46189</v>
      </c>
      <c r="D95" t="s">
        <v>1</v>
      </c>
      <c r="E95" t="s">
        <v>850</v>
      </c>
      <c r="F95" t="s">
        <v>88</v>
      </c>
      <c r="G95" s="3">
        <v>50</v>
      </c>
      <c r="H95" s="18047">
        <v>27</v>
      </c>
      <c r="I95" s="18047">
        <v>1350</v>
      </c>
      <c r="J95" t="s">
        <v>851</v>
      </c>
      <c r="K95">
        <v>27</v>
      </c>
    </row>
    <row r="96" spans="1:11">
      <c r="A96" t="str">
        <f>IF(LEFT(E96,1)="1","SOL",IF(LEFT(E96,1)="2","CO",IF(LEFT(E96,1)="3","ALM",IF(LEFT(E96,1)="4","FAC","TRX")))) &amp; "-" &amp; B96 &amp; "-" &amp; TEXT(COUNTIFS($E$2:$E96,E96,$B$2:$B96,B96),"000")</f>
        <v>SOL-25-025</v>
      </c>
      <c r="B96">
        <v>25</v>
      </c>
      <c r="C96" s="18046">
        <v>46189</v>
      </c>
      <c r="D96" t="s">
        <v>1</v>
      </c>
      <c r="E96" t="s">
        <v>850</v>
      </c>
      <c r="F96" t="s">
        <v>85</v>
      </c>
      <c r="G96" s="3">
        <v>50</v>
      </c>
      <c r="H96" s="18047">
        <v>27</v>
      </c>
      <c r="I96" s="18047">
        <v>1350</v>
      </c>
      <c r="J96" t="s">
        <v>851</v>
      </c>
      <c r="K96">
        <v>27</v>
      </c>
    </row>
    <row r="97" spans="1:11">
      <c r="A97" t="str">
        <f>IF(LEFT(E97,1)="1","SOL",IF(LEFT(E97,1)="2","CO",IF(LEFT(E97,1)="3","ALM",IF(LEFT(E97,1)="4","FAC","TRX")))) &amp; "-" &amp; B97 &amp; "-" &amp; TEXT(COUNTIFS($E$2:$E97,E97,$B$2:$B97,B97),"000")</f>
        <v>SOL-25-026</v>
      </c>
      <c r="B97">
        <v>25</v>
      </c>
      <c r="C97" s="18046">
        <v>46189</v>
      </c>
      <c r="D97" t="s">
        <v>1</v>
      </c>
      <c r="E97" t="s">
        <v>850</v>
      </c>
      <c r="F97" t="s">
        <v>79</v>
      </c>
      <c r="G97" s="3">
        <v>40</v>
      </c>
      <c r="H97" s="18047">
        <v>27</v>
      </c>
      <c r="I97" s="18047">
        <v>1080</v>
      </c>
      <c r="J97" t="s">
        <v>851</v>
      </c>
      <c r="K97">
        <v>27</v>
      </c>
    </row>
    <row r="98" spans="1:11">
      <c r="A98" t="str">
        <f>IF(LEFT(E98,1)="1","SOL",IF(LEFT(E98,1)="2","CO",IF(LEFT(E98,1)="3","ALM",IF(LEFT(E98,1)="4","FAC","TRX")))) &amp; "-" &amp; B98 &amp; "-" &amp; TEXT(COUNTIFS($E$2:$E98,E98,$B$2:$B98,B98),"000")</f>
        <v>SOL-25-027</v>
      </c>
      <c r="B98">
        <v>25</v>
      </c>
      <c r="C98" s="18046">
        <v>46189</v>
      </c>
      <c r="D98" t="s">
        <v>1</v>
      </c>
      <c r="E98" t="s">
        <v>850</v>
      </c>
      <c r="F98" t="s">
        <v>56</v>
      </c>
      <c r="G98" s="3">
        <v>50</v>
      </c>
      <c r="H98" s="18047">
        <v>27</v>
      </c>
      <c r="I98" s="18047">
        <v>1350</v>
      </c>
      <c r="J98" t="s">
        <v>851</v>
      </c>
      <c r="K98">
        <v>27</v>
      </c>
    </row>
    <row r="99" spans="1:11">
      <c r="A99" t="str">
        <f>IF(LEFT(E99,1)="1","SOL",IF(LEFT(E99,1)="2","CO",IF(LEFT(E99,1)="3","ALM",IF(LEFT(E99,1)="4","FAC","TRX")))) &amp; "-" &amp; B99 &amp; "-" &amp; TEXT(COUNTIFS($E$2:$E99,E99,$B$2:$B99,B99),"000")</f>
        <v>SOL-25-028</v>
      </c>
      <c r="B99">
        <v>25</v>
      </c>
      <c r="C99" s="18046">
        <v>46189</v>
      </c>
      <c r="D99" t="s">
        <v>1</v>
      </c>
      <c r="E99" t="s">
        <v>850</v>
      </c>
      <c r="F99" t="s">
        <v>92</v>
      </c>
      <c r="G99" s="3">
        <v>50</v>
      </c>
      <c r="H99" s="18047">
        <v>27</v>
      </c>
      <c r="I99" s="18047">
        <v>1350</v>
      </c>
      <c r="J99" t="s">
        <v>851</v>
      </c>
      <c r="K99">
        <v>27</v>
      </c>
    </row>
    <row r="100" spans="1:11">
      <c r="A100" t="str">
        <f>IF(LEFT(E100,1)="1","SOL",IF(LEFT(E100,1)="2","CO",IF(LEFT(E100,1)="3","ALM",IF(LEFT(E100,1)="4","FAC","TRX")))) &amp; "-" &amp; B100 &amp; "-" &amp; TEXT(COUNTIFS($E$2:$E100,E100,$B$2:$B100,B100),"000")</f>
        <v>SOL-25-029</v>
      </c>
      <c r="B100">
        <v>25</v>
      </c>
      <c r="C100" s="18046">
        <v>46190</v>
      </c>
      <c r="D100" t="s">
        <v>2</v>
      </c>
      <c r="E100" t="s">
        <v>850</v>
      </c>
      <c r="F100" t="s">
        <v>62</v>
      </c>
      <c r="G100" s="3">
        <v>50</v>
      </c>
      <c r="H100" s="18047">
        <v>27</v>
      </c>
      <c r="I100" s="18047">
        <v>1350</v>
      </c>
      <c r="J100" t="s">
        <v>851</v>
      </c>
      <c r="K100">
        <v>27</v>
      </c>
    </row>
    <row r="101" spans="1:11">
      <c r="A101" t="str">
        <f>IF(LEFT(E101,1)="1","SOL",IF(LEFT(E101,1)="2","CO",IF(LEFT(E101,1)="3","ALM",IF(LEFT(E101,1)="4","FAC","TRX")))) &amp; "-" &amp; B101 &amp; "-" &amp; TEXT(COUNTIFS($E$2:$E101,E101,$B$2:$B101,B101),"000")</f>
        <v>SOL-25-030</v>
      </c>
      <c r="B101">
        <v>25</v>
      </c>
      <c r="C101" s="18046">
        <v>46190</v>
      </c>
      <c r="D101" t="s">
        <v>2</v>
      </c>
      <c r="E101" t="s">
        <v>850</v>
      </c>
      <c r="F101" t="s">
        <v>85</v>
      </c>
      <c r="G101" s="3">
        <v>30</v>
      </c>
      <c r="H101" s="18047">
        <v>27</v>
      </c>
      <c r="I101" s="18047">
        <v>810</v>
      </c>
      <c r="J101" t="s">
        <v>851</v>
      </c>
      <c r="K101">
        <v>27</v>
      </c>
    </row>
    <row r="102" spans="1:11">
      <c r="A102" t="str">
        <f>IF(LEFT(E102,1)="1","SOL",IF(LEFT(E102,1)="2","CO",IF(LEFT(E102,1)="3","ALM",IF(LEFT(E102,1)="4","FAC","TRX")))) &amp; "-" &amp; B102 &amp; "-" &amp; TEXT(COUNTIFS($E$2:$E102,E102,$B$2:$B102,B102),"000")</f>
        <v>SOL-25-031</v>
      </c>
      <c r="B102">
        <v>25</v>
      </c>
      <c r="C102" s="18046">
        <v>46190</v>
      </c>
      <c r="D102" t="s">
        <v>2</v>
      </c>
      <c r="E102" t="s">
        <v>850</v>
      </c>
      <c r="F102" t="s">
        <v>104</v>
      </c>
      <c r="G102" s="3">
        <v>50</v>
      </c>
      <c r="H102" s="18047">
        <v>27</v>
      </c>
      <c r="I102" s="18047">
        <v>1350</v>
      </c>
      <c r="J102" t="s">
        <v>851</v>
      </c>
      <c r="K102">
        <v>27</v>
      </c>
    </row>
    <row r="103" spans="1:11">
      <c r="A103" t="str">
        <f>IF(LEFT(E103,1)="1","SOL",IF(LEFT(E103,1)="2","CO",IF(LEFT(E103,1)="3","ALM",IF(LEFT(E103,1)="4","FAC","TRX")))) &amp; "-" &amp; B103 &amp; "-" &amp; TEXT(COUNTIFS($E$2:$E103,E103,$B$2:$B103,B103),"000")</f>
        <v>SOL-25-032</v>
      </c>
      <c r="B103">
        <v>25</v>
      </c>
      <c r="C103" s="18046">
        <v>46190</v>
      </c>
      <c r="D103" t="s">
        <v>2</v>
      </c>
      <c r="E103" t="s">
        <v>850</v>
      </c>
      <c r="F103" t="s">
        <v>65</v>
      </c>
      <c r="G103" s="3">
        <v>130</v>
      </c>
      <c r="H103" s="18047">
        <v>27</v>
      </c>
      <c r="I103" s="18047">
        <v>3510</v>
      </c>
      <c r="J103" t="s">
        <v>851</v>
      </c>
      <c r="K103">
        <v>27</v>
      </c>
    </row>
    <row r="104" spans="1:11">
      <c r="A104" t="str">
        <f>IF(LEFT(E104,1)="1","SOL",IF(LEFT(E104,1)="2","CO",IF(LEFT(E104,1)="3","ALM",IF(LEFT(E104,1)="4","FAC","TRX")))) &amp; "-" &amp; B104 &amp; "-" &amp; TEXT(COUNTIFS($E$2:$E104,E104,$B$2:$B104,B104),"000")</f>
        <v>SOL-25-033</v>
      </c>
      <c r="B104">
        <v>25</v>
      </c>
      <c r="C104" s="18046">
        <v>46190</v>
      </c>
      <c r="D104" t="s">
        <v>2</v>
      </c>
      <c r="E104" t="s">
        <v>850</v>
      </c>
      <c r="F104" t="s">
        <v>102</v>
      </c>
      <c r="G104" s="3">
        <v>20</v>
      </c>
      <c r="H104" s="18047">
        <v>27</v>
      </c>
      <c r="I104" s="18047">
        <v>540</v>
      </c>
      <c r="J104" t="s">
        <v>851</v>
      </c>
      <c r="K104">
        <v>27</v>
      </c>
    </row>
    <row r="105" spans="1:11">
      <c r="A105" t="str">
        <f>IF(LEFT(E105,1)="1","SOL",IF(LEFT(E105,1)="2","CO",IF(LEFT(E105,1)="3","ALM",IF(LEFT(E105,1)="4","FAC","TRX")))) &amp; "-" &amp; B105 &amp; "-" &amp; TEXT(COUNTIFS($E$2:$E105,E105,$B$2:$B105,B105),"000")</f>
        <v>SOL-25-034</v>
      </c>
      <c r="B105">
        <v>25</v>
      </c>
      <c r="C105" s="18046">
        <v>46190</v>
      </c>
      <c r="D105" t="s">
        <v>2</v>
      </c>
      <c r="E105" t="s">
        <v>850</v>
      </c>
      <c r="F105" t="s">
        <v>100</v>
      </c>
      <c r="G105" s="3">
        <v>160</v>
      </c>
      <c r="H105" s="18047">
        <v>27</v>
      </c>
      <c r="I105" s="18047">
        <v>4320</v>
      </c>
      <c r="J105" t="s">
        <v>851</v>
      </c>
      <c r="K105">
        <v>27</v>
      </c>
    </row>
    <row r="106" spans="1:11">
      <c r="A106" t="str">
        <f>IF(LEFT(E106,1)="1","SOL",IF(LEFT(E106,1)="2","CO",IF(LEFT(E106,1)="3","ALM",IF(LEFT(E106,1)="4","FAC","TRX")))) &amp; "-" &amp; B106 &amp; "-" &amp; TEXT(COUNTIFS($E$2:$E106,E106,$B$2:$B106,B106),"000")</f>
        <v>SOL-25-035</v>
      </c>
      <c r="B106">
        <v>25</v>
      </c>
      <c r="C106" s="18046">
        <v>46190</v>
      </c>
      <c r="D106" t="s">
        <v>2</v>
      </c>
      <c r="E106" t="s">
        <v>850</v>
      </c>
      <c r="F106" t="s">
        <v>60</v>
      </c>
      <c r="G106" s="3">
        <v>70</v>
      </c>
      <c r="H106" s="18047">
        <v>27</v>
      </c>
      <c r="I106" s="18047">
        <v>1890</v>
      </c>
      <c r="J106" t="s">
        <v>851</v>
      </c>
      <c r="K106">
        <v>27</v>
      </c>
    </row>
    <row r="107" spans="1:11">
      <c r="A107" t="str">
        <f>IF(LEFT(E107,1)="1","SOL",IF(LEFT(E107,1)="2","CO",IF(LEFT(E107,1)="3","ALM",IF(LEFT(E107,1)="4","FAC","TRX")))) &amp; "-" &amp; B107 &amp; "-" &amp; TEXT(COUNTIFS($E$2:$E107,E107,$B$2:$B107,B107),"000")</f>
        <v>SOL-25-036</v>
      </c>
      <c r="B107">
        <v>25</v>
      </c>
      <c r="C107" s="18046">
        <v>46190</v>
      </c>
      <c r="D107" t="s">
        <v>2</v>
      </c>
      <c r="E107" t="s">
        <v>850</v>
      </c>
      <c r="F107" t="s">
        <v>69</v>
      </c>
      <c r="G107" s="3">
        <v>250</v>
      </c>
      <c r="H107" s="18047">
        <v>27</v>
      </c>
      <c r="I107" s="18047">
        <v>6750</v>
      </c>
      <c r="J107" t="s">
        <v>851</v>
      </c>
      <c r="K107">
        <v>27</v>
      </c>
    </row>
    <row r="108" spans="1:11">
      <c r="A108" t="str">
        <f>IF(LEFT(E108,1)="1","SOL",IF(LEFT(E108,1)="2","CO",IF(LEFT(E108,1)="3","ALM",IF(LEFT(E108,1)="4","FAC","TRX")))) &amp; "-" &amp; B108 &amp; "-" &amp; TEXT(COUNTIFS($E$2:$E108,E108,$B$2:$B108,B108),"000")</f>
        <v>SOL-25-037</v>
      </c>
      <c r="B108">
        <v>25</v>
      </c>
      <c r="C108" s="18046">
        <v>46190</v>
      </c>
      <c r="D108" t="s">
        <v>2</v>
      </c>
      <c r="E108" t="s">
        <v>850</v>
      </c>
      <c r="F108" t="s">
        <v>62</v>
      </c>
      <c r="G108" s="3">
        <v>150</v>
      </c>
      <c r="H108" s="18047">
        <v>27</v>
      </c>
      <c r="I108" s="18047">
        <v>4050</v>
      </c>
      <c r="J108" t="s">
        <v>851</v>
      </c>
      <c r="K108">
        <v>27</v>
      </c>
    </row>
    <row r="109" spans="1:11">
      <c r="A109" t="str">
        <f>IF(LEFT(E109,1)="1","SOL",IF(LEFT(E109,1)="2","CO",IF(LEFT(E109,1)="3","ALM",IF(LEFT(E109,1)="4","FAC","TRX")))) &amp; "-" &amp; B109 &amp; "-" &amp; TEXT(COUNTIFS($E$2:$E109,E109,$B$2:$B109,B109),"000")</f>
        <v>SOL-25-038</v>
      </c>
      <c r="B109">
        <v>25</v>
      </c>
      <c r="C109" s="18046">
        <v>46190</v>
      </c>
      <c r="D109" t="s">
        <v>1</v>
      </c>
      <c r="E109" t="s">
        <v>850</v>
      </c>
      <c r="F109" t="s">
        <v>76</v>
      </c>
      <c r="G109" s="3">
        <v>250</v>
      </c>
      <c r="H109" s="18047">
        <v>27</v>
      </c>
      <c r="I109" s="18047">
        <v>6750</v>
      </c>
      <c r="J109" t="s">
        <v>851</v>
      </c>
      <c r="K109">
        <v>27</v>
      </c>
    </row>
    <row r="110" spans="1:11">
      <c r="A110" t="str">
        <f>IF(LEFT(E110,1)="1","SOL",IF(LEFT(E110,1)="2","CO",IF(LEFT(E110,1)="3","ALM",IF(LEFT(E110,1)="4","FAC","TRX")))) &amp; "-" &amp; B110 &amp; "-" &amp; TEXT(COUNTIFS($E$2:$E110,E110,$B$2:$B110,B110),"000")</f>
        <v>SOL-25-039</v>
      </c>
      <c r="B110">
        <v>25</v>
      </c>
      <c r="C110" s="18046">
        <v>46190</v>
      </c>
      <c r="D110" t="s">
        <v>1</v>
      </c>
      <c r="E110" t="s">
        <v>850</v>
      </c>
      <c r="F110" t="s">
        <v>86</v>
      </c>
      <c r="G110" s="3">
        <v>100</v>
      </c>
      <c r="H110" s="18047">
        <v>27</v>
      </c>
      <c r="I110" s="18047">
        <v>2700</v>
      </c>
      <c r="J110" t="s">
        <v>851</v>
      </c>
      <c r="K110">
        <v>27</v>
      </c>
    </row>
    <row r="111" spans="1:11">
      <c r="A111" t="str">
        <f>IF(LEFT(E111,1)="1","SOL",IF(LEFT(E111,1)="2","CO",IF(LEFT(E111,1)="3","ALM",IF(LEFT(E111,1)="4","FAC","TRX")))) &amp; "-" &amp; B111 &amp; "-" &amp; TEXT(COUNTIFS($E$2:$E111,E111,$B$2:$B111,B111),"000")</f>
        <v>SOL-25-040</v>
      </c>
      <c r="B111">
        <v>25</v>
      </c>
      <c r="C111" s="18046">
        <v>46190</v>
      </c>
      <c r="D111" t="s">
        <v>1</v>
      </c>
      <c r="E111" t="s">
        <v>850</v>
      </c>
      <c r="F111" t="s">
        <v>102</v>
      </c>
      <c r="G111" s="3">
        <v>20</v>
      </c>
      <c r="H111" s="18047">
        <v>27</v>
      </c>
      <c r="I111" s="18047">
        <v>540</v>
      </c>
      <c r="J111" t="s">
        <v>851</v>
      </c>
      <c r="K111">
        <v>27</v>
      </c>
    </row>
    <row r="112" spans="1:11">
      <c r="A112" t="str">
        <f>IF(LEFT(E112,1)="1","SOL",IF(LEFT(E112,1)="2","CO",IF(LEFT(E112,1)="3","ALM",IF(LEFT(E112,1)="4","FAC","TRX")))) &amp; "-" &amp; B112 &amp; "-" &amp; TEXT(COUNTIFS($E$2:$E112,E112,$B$2:$B112,B112),"000")</f>
        <v>SOL-25-041</v>
      </c>
      <c r="B112">
        <v>25</v>
      </c>
      <c r="C112" s="18046">
        <v>46190</v>
      </c>
      <c r="D112" t="s">
        <v>1</v>
      </c>
      <c r="E112" t="s">
        <v>850</v>
      </c>
      <c r="F112" t="s">
        <v>88</v>
      </c>
      <c r="G112" s="3">
        <v>50</v>
      </c>
      <c r="H112" s="18047">
        <v>27</v>
      </c>
      <c r="I112" s="18047">
        <v>1350</v>
      </c>
      <c r="J112" t="s">
        <v>851</v>
      </c>
      <c r="K112">
        <v>27</v>
      </c>
    </row>
    <row r="113" spans="1:11">
      <c r="A113" t="str">
        <f>IF(LEFT(E113,1)="1","SOL",IF(LEFT(E113,1)="2","CO",IF(LEFT(E113,1)="3","ALM",IF(LEFT(E113,1)="4","FAC","TRX")))) &amp; "-" &amp; B113 &amp; "-" &amp; TEXT(COUNTIFS($E$2:$E113,E113,$B$2:$B113,B113),"000")</f>
        <v>SOL-25-042</v>
      </c>
      <c r="B113">
        <v>25</v>
      </c>
      <c r="C113" s="18046">
        <v>46190</v>
      </c>
      <c r="D113" t="s">
        <v>1</v>
      </c>
      <c r="E113" t="s">
        <v>850</v>
      </c>
      <c r="F113" t="s">
        <v>85</v>
      </c>
      <c r="G113" s="3">
        <v>50</v>
      </c>
      <c r="H113" s="18047">
        <v>27</v>
      </c>
      <c r="I113" s="18047">
        <v>1350</v>
      </c>
      <c r="J113" t="s">
        <v>851</v>
      </c>
      <c r="K113">
        <v>27</v>
      </c>
    </row>
    <row r="114" spans="1:11">
      <c r="A114" t="str">
        <f>IF(LEFT(E114,1)="1","SOL",IF(LEFT(E114,1)="2","CO",IF(LEFT(E114,1)="3","ALM",IF(LEFT(E114,1)="4","FAC","TRX")))) &amp; "-" &amp; B114 &amp; "-" &amp; TEXT(COUNTIFS($E$2:$E114,E114,$B$2:$B114,B114),"000")</f>
        <v>SOL-25-043</v>
      </c>
      <c r="B114">
        <v>25</v>
      </c>
      <c r="C114" s="18046">
        <v>46190</v>
      </c>
      <c r="D114" t="s">
        <v>1</v>
      </c>
      <c r="E114" t="s">
        <v>850</v>
      </c>
      <c r="F114" t="s">
        <v>79</v>
      </c>
      <c r="G114" s="3">
        <v>30</v>
      </c>
      <c r="H114" s="18047">
        <v>27</v>
      </c>
      <c r="I114" s="18047">
        <v>810</v>
      </c>
      <c r="J114" t="s">
        <v>851</v>
      </c>
      <c r="K114">
        <v>27</v>
      </c>
    </row>
    <row r="115" spans="1:11">
      <c r="A115" t="str">
        <f>IF(LEFT(E115,1)="1","SOL",IF(LEFT(E115,1)="2","CO",IF(LEFT(E115,1)="3","ALM",IF(LEFT(E115,1)="4","FAC","TRX")))) &amp; "-" &amp; B115 &amp; "-" &amp; TEXT(COUNTIFS($E$2:$E115,E115,$B$2:$B115,B115),"000")</f>
        <v>SOL-25-044</v>
      </c>
      <c r="B115">
        <v>25</v>
      </c>
      <c r="C115" s="18046">
        <v>46190</v>
      </c>
      <c r="D115" t="s">
        <v>1</v>
      </c>
      <c r="E115" t="s">
        <v>850</v>
      </c>
      <c r="F115" t="s">
        <v>56</v>
      </c>
      <c r="G115" s="3">
        <v>80</v>
      </c>
      <c r="H115" s="18047">
        <v>27</v>
      </c>
      <c r="I115" s="18047">
        <v>2160</v>
      </c>
      <c r="J115" t="s">
        <v>851</v>
      </c>
      <c r="K115">
        <v>27</v>
      </c>
    </row>
    <row r="116" spans="1:11">
      <c r="A116" t="str">
        <f>IF(LEFT(E116,1)="1","SOL",IF(LEFT(E116,1)="2","CO",IF(LEFT(E116,1)="3","ALM",IF(LEFT(E116,1)="4","FAC","TRX")))) &amp; "-" &amp; B116 &amp; "-" &amp; TEXT(COUNTIFS($E$2:$E116,E116,$B$2:$B116,B116),"000")</f>
        <v>SOL-25-045</v>
      </c>
      <c r="B116">
        <v>25</v>
      </c>
      <c r="C116" s="18046">
        <v>46190</v>
      </c>
      <c r="D116" t="s">
        <v>1</v>
      </c>
      <c r="E116" t="s">
        <v>850</v>
      </c>
      <c r="F116" t="s">
        <v>92</v>
      </c>
      <c r="G116" s="3">
        <v>50</v>
      </c>
      <c r="H116" s="18047">
        <v>27</v>
      </c>
      <c r="I116" s="18047">
        <v>1350</v>
      </c>
      <c r="J116" t="s">
        <v>851</v>
      </c>
      <c r="K116">
        <v>27</v>
      </c>
    </row>
    <row r="117" spans="1:11">
      <c r="A117" t="str">
        <f>IF(LEFT(E117,1)="1","SOL",IF(LEFT(E117,1)="2","CO",IF(LEFT(E117,1)="3","ALM",IF(LEFT(E117,1)="4","FAC","TRX")))) &amp; "-" &amp; B117 &amp; "-" &amp; TEXT(COUNTIFS($E$2:$E117,E117,$B$2:$B117,B117),"000")</f>
        <v>SOL-25-046</v>
      </c>
      <c r="B117">
        <v>25</v>
      </c>
      <c r="C117" s="18046">
        <v>46190</v>
      </c>
      <c r="D117" t="s">
        <v>111</v>
      </c>
      <c r="E117" t="s">
        <v>850</v>
      </c>
      <c r="F117" t="s">
        <v>56</v>
      </c>
      <c r="G117" s="3">
        <v>70</v>
      </c>
      <c r="H117" s="18047">
        <v>27</v>
      </c>
      <c r="I117" s="18047">
        <v>1890</v>
      </c>
      <c r="J117" t="s">
        <v>851</v>
      </c>
      <c r="K117">
        <v>27</v>
      </c>
    </row>
    <row r="118" spans="1:11">
      <c r="A118" t="str">
        <f>IF(LEFT(E118,1)="1","SOL",IF(LEFT(E118,1)="2","CO",IF(LEFT(E118,1)="3","ALM",IF(LEFT(E118,1)="4","FAC","TRX")))) &amp; "-" &amp; B118 &amp; "-" &amp; TEXT(COUNTIFS($E$2:$E118,E118,$B$2:$B118,B118),"000")</f>
        <v>SOL-25-047</v>
      </c>
      <c r="B118">
        <v>25</v>
      </c>
      <c r="C118" s="18046">
        <v>46190</v>
      </c>
      <c r="D118" t="s">
        <v>111</v>
      </c>
      <c r="E118" t="s">
        <v>850</v>
      </c>
      <c r="F118" t="s">
        <v>56</v>
      </c>
      <c r="G118" s="3">
        <v>70</v>
      </c>
      <c r="H118" s="18047">
        <v>27</v>
      </c>
      <c r="I118" s="18047">
        <v>1890</v>
      </c>
      <c r="J118" t="s">
        <v>851</v>
      </c>
      <c r="K118">
        <v>27</v>
      </c>
    </row>
    <row r="119" spans="1:11">
      <c r="A119" t="str">
        <f>IF(LEFT(E119,1)="1","SOL",IF(LEFT(E119,1)="2","CO",IF(LEFT(E119,1)="3","ALM",IF(LEFT(E119,1)="4","FAC","TRX")))) &amp; "-" &amp; B119 &amp; "-" &amp; TEXT(COUNTIFS($E$2:$E119,E119,$B$2:$B119,B119),"000")</f>
        <v>SOL-25-048</v>
      </c>
      <c r="B119">
        <v>25</v>
      </c>
      <c r="C119" s="18046">
        <v>46190</v>
      </c>
      <c r="D119" t="s">
        <v>111</v>
      </c>
      <c r="E119" t="s">
        <v>850</v>
      </c>
      <c r="F119" t="s">
        <v>69</v>
      </c>
      <c r="G119" s="3">
        <v>200</v>
      </c>
      <c r="H119" s="18047">
        <v>27</v>
      </c>
      <c r="I119" s="18047">
        <v>5400</v>
      </c>
      <c r="J119" t="s">
        <v>851</v>
      </c>
      <c r="K119">
        <v>27</v>
      </c>
    </row>
    <row r="120" spans="1:11">
      <c r="A120" t="str">
        <f>IF(LEFT(E120,1)="1","SOL",IF(LEFT(E120,1)="2","CO",IF(LEFT(E120,1)="3","ALM",IF(LEFT(E120,1)="4","FAC","TRX")))) &amp; "-" &amp; B120 &amp; "-" &amp; TEXT(COUNTIFS($E$2:$E120,E120,$B$2:$B120,B120),"000")</f>
        <v>SOL-25-049</v>
      </c>
      <c r="B120">
        <v>25</v>
      </c>
      <c r="C120" s="18046">
        <v>46190</v>
      </c>
      <c r="D120" t="s">
        <v>111</v>
      </c>
      <c r="E120" t="s">
        <v>850</v>
      </c>
      <c r="F120" t="s">
        <v>104</v>
      </c>
      <c r="G120" s="3">
        <v>20</v>
      </c>
      <c r="H120" s="18047">
        <v>27</v>
      </c>
      <c r="I120" s="18047">
        <v>540</v>
      </c>
      <c r="J120" t="s">
        <v>851</v>
      </c>
      <c r="K120">
        <v>27</v>
      </c>
    </row>
    <row r="121" spans="1:11">
      <c r="A121" t="str">
        <f>IF(LEFT(E121,1)="1","SOL",IF(LEFT(E121,1)="2","CO",IF(LEFT(E121,1)="3","ALM",IF(LEFT(E121,1)="4","FAC","TRX")))) &amp; "-" &amp; B121 &amp; "-" &amp; TEXT(COUNTIFS($E$2:$E121,E121,$B$2:$B121,B121),"000")</f>
        <v>SOL-25-050</v>
      </c>
      <c r="B121">
        <v>25</v>
      </c>
      <c r="C121" s="18046">
        <v>46191</v>
      </c>
      <c r="D121" t="s">
        <v>1</v>
      </c>
      <c r="E121" t="s">
        <v>850</v>
      </c>
      <c r="F121" t="s">
        <v>76</v>
      </c>
      <c r="G121" s="3">
        <v>250</v>
      </c>
      <c r="H121" s="18047">
        <v>27</v>
      </c>
      <c r="I121" s="18047">
        <v>6750</v>
      </c>
      <c r="J121" t="s">
        <v>851</v>
      </c>
      <c r="K121">
        <v>27</v>
      </c>
    </row>
    <row r="122" spans="1:11">
      <c r="A122" t="str">
        <f>IF(LEFT(E122,1)="1","SOL",IF(LEFT(E122,1)="2","CO",IF(LEFT(E122,1)="3","ALM",IF(LEFT(E122,1)="4","FAC","TRX")))) &amp; "-" &amp; B122 &amp; "-" &amp; TEXT(COUNTIFS($E$2:$E122,E122,$B$2:$B122,B122),"000")</f>
        <v>SOL-25-051</v>
      </c>
      <c r="B122">
        <v>25</v>
      </c>
      <c r="C122" s="18046">
        <v>46191</v>
      </c>
      <c r="D122" t="s">
        <v>1</v>
      </c>
      <c r="E122" t="s">
        <v>850</v>
      </c>
      <c r="F122" t="s">
        <v>86</v>
      </c>
      <c r="G122" s="3">
        <v>100</v>
      </c>
      <c r="H122" s="18047">
        <v>27</v>
      </c>
      <c r="I122" s="18047">
        <v>2700</v>
      </c>
      <c r="J122" t="s">
        <v>851</v>
      </c>
      <c r="K122">
        <v>27</v>
      </c>
    </row>
    <row r="123" spans="1:11">
      <c r="A123" t="str">
        <f>IF(LEFT(E123,1)="1","SOL",IF(LEFT(E123,1)="2","CO",IF(LEFT(E123,1)="3","ALM",IF(LEFT(E123,1)="4","FAC","TRX")))) &amp; "-" &amp; B123 &amp; "-" &amp; TEXT(COUNTIFS($E$2:$E123,E123,$B$2:$B123,B123),"000")</f>
        <v>SOL-25-052</v>
      </c>
      <c r="B123">
        <v>25</v>
      </c>
      <c r="C123" s="18046">
        <v>46191</v>
      </c>
      <c r="D123" t="s">
        <v>1</v>
      </c>
      <c r="E123" t="s">
        <v>850</v>
      </c>
      <c r="F123" t="s">
        <v>102</v>
      </c>
      <c r="G123" s="3">
        <v>20</v>
      </c>
      <c r="H123" s="18047">
        <v>27</v>
      </c>
      <c r="I123" s="18047">
        <v>540</v>
      </c>
      <c r="J123" t="s">
        <v>851</v>
      </c>
      <c r="K123">
        <v>27</v>
      </c>
    </row>
    <row r="124" spans="1:11">
      <c r="A124" t="str">
        <f>IF(LEFT(E124,1)="1","SOL",IF(LEFT(E124,1)="2","CO",IF(LEFT(E124,1)="3","ALM",IF(LEFT(E124,1)="4","FAC","TRX")))) &amp; "-" &amp; B124 &amp; "-" &amp; TEXT(COUNTIFS($E$2:$E124,E124,$B$2:$B124,B124),"000")</f>
        <v>SOL-25-053</v>
      </c>
      <c r="B124">
        <v>25</v>
      </c>
      <c r="C124" s="18046">
        <v>46191</v>
      </c>
      <c r="D124" t="s">
        <v>1</v>
      </c>
      <c r="E124" t="s">
        <v>850</v>
      </c>
      <c r="F124" t="s">
        <v>88</v>
      </c>
      <c r="G124" s="3">
        <v>40</v>
      </c>
      <c r="H124" s="18047">
        <v>27</v>
      </c>
      <c r="I124" s="18047">
        <v>1080</v>
      </c>
      <c r="J124" t="s">
        <v>851</v>
      </c>
      <c r="K124">
        <v>27</v>
      </c>
    </row>
    <row r="125" spans="1:11">
      <c r="A125" t="str">
        <f>IF(LEFT(E125,1)="1","SOL",IF(LEFT(E125,1)="2","CO",IF(LEFT(E125,1)="3","ALM",IF(LEFT(E125,1)="4","FAC","TRX")))) &amp; "-" &amp; B125 &amp; "-" &amp; TEXT(COUNTIFS($E$2:$E125,E125,$B$2:$B125,B125),"000")</f>
        <v>SOL-25-054</v>
      </c>
      <c r="B125">
        <v>25</v>
      </c>
      <c r="C125" s="18046">
        <v>46191</v>
      </c>
      <c r="D125" t="s">
        <v>1</v>
      </c>
      <c r="E125" t="s">
        <v>850</v>
      </c>
      <c r="F125" t="s">
        <v>85</v>
      </c>
      <c r="G125" s="3">
        <v>40</v>
      </c>
      <c r="H125" s="18047">
        <v>27</v>
      </c>
      <c r="I125" s="18047">
        <v>1080</v>
      </c>
      <c r="J125" t="s">
        <v>851</v>
      </c>
      <c r="K125">
        <v>27</v>
      </c>
    </row>
    <row r="126" spans="1:11">
      <c r="A126" t="str">
        <f>IF(LEFT(E126,1)="1","SOL",IF(LEFT(E126,1)="2","CO",IF(LEFT(E126,1)="3","ALM",IF(LEFT(E126,1)="4","FAC","TRX")))) &amp; "-" &amp; B126 &amp; "-" &amp; TEXT(COUNTIFS($E$2:$E126,E126,$B$2:$B126,B126),"000")</f>
        <v>SOL-25-055</v>
      </c>
      <c r="B126">
        <v>25</v>
      </c>
      <c r="C126" s="18046">
        <v>46191</v>
      </c>
      <c r="D126" t="s">
        <v>1</v>
      </c>
      <c r="E126" t="s">
        <v>850</v>
      </c>
      <c r="F126" t="s">
        <v>79</v>
      </c>
      <c r="G126" s="3">
        <v>30</v>
      </c>
      <c r="H126" s="18047">
        <v>27</v>
      </c>
      <c r="I126" s="18047">
        <v>810</v>
      </c>
      <c r="J126" t="s">
        <v>851</v>
      </c>
      <c r="K126">
        <v>27</v>
      </c>
    </row>
    <row r="127" spans="1:11">
      <c r="A127" t="str">
        <f>IF(LEFT(E127,1)="1","SOL",IF(LEFT(E127,1)="2","CO",IF(LEFT(E127,1)="3","ALM",IF(LEFT(E127,1)="4","FAC","TRX")))) &amp; "-" &amp; B127 &amp; "-" &amp; TEXT(COUNTIFS($E$2:$E127,E127,$B$2:$B127,B127),"000")</f>
        <v>SOL-25-056</v>
      </c>
      <c r="B127">
        <v>25</v>
      </c>
      <c r="C127" s="18046">
        <v>46191</v>
      </c>
      <c r="D127" t="s">
        <v>1</v>
      </c>
      <c r="E127" t="s">
        <v>850</v>
      </c>
      <c r="F127" t="s">
        <v>56</v>
      </c>
      <c r="G127" s="3">
        <v>70</v>
      </c>
      <c r="H127" s="18047">
        <v>27</v>
      </c>
      <c r="I127" s="18047">
        <v>1890</v>
      </c>
      <c r="J127" t="s">
        <v>851</v>
      </c>
      <c r="K127">
        <v>27</v>
      </c>
    </row>
    <row r="128" spans="1:11">
      <c r="A128" t="str">
        <f>IF(LEFT(E128,1)="1","SOL",IF(LEFT(E128,1)="2","CO",IF(LEFT(E128,1)="3","ALM",IF(LEFT(E128,1)="4","FAC","TRX")))) &amp; "-" &amp; B128 &amp; "-" &amp; TEXT(COUNTIFS($E$2:$E128,E128,$B$2:$B128,B128),"000")</f>
        <v>SOL-25-057</v>
      </c>
      <c r="B128">
        <v>25</v>
      </c>
      <c r="C128" s="18046">
        <v>46191</v>
      </c>
      <c r="D128" t="s">
        <v>1</v>
      </c>
      <c r="E128" t="s">
        <v>850</v>
      </c>
      <c r="F128" t="s">
        <v>92</v>
      </c>
      <c r="G128" s="3">
        <v>40</v>
      </c>
      <c r="H128" s="18047">
        <v>27</v>
      </c>
      <c r="I128" s="18047">
        <v>1080</v>
      </c>
      <c r="J128" t="s">
        <v>851</v>
      </c>
      <c r="K128">
        <v>27</v>
      </c>
    </row>
    <row r="129" spans="1:11">
      <c r="A129" t="str">
        <f>IF(LEFT(E129,1)="1","SOL",IF(LEFT(E129,1)="2","CO",IF(LEFT(E129,1)="3","ALM",IF(LEFT(E129,1)="4","FAC","TRX")))) &amp; "-" &amp; B129 &amp; "-" &amp; TEXT(COUNTIFS($E$2:$E129,E129,$B$2:$B129,B129),"000")</f>
        <v>SOL-25-058</v>
      </c>
      <c r="B129">
        <v>25</v>
      </c>
      <c r="C129" s="18046">
        <v>46191</v>
      </c>
      <c r="D129" t="s">
        <v>2</v>
      </c>
      <c r="E129" t="s">
        <v>850</v>
      </c>
      <c r="F129" t="s">
        <v>94</v>
      </c>
      <c r="G129" s="3">
        <v>80</v>
      </c>
      <c r="H129" s="18047">
        <v>27</v>
      </c>
      <c r="I129" s="18047">
        <v>2160</v>
      </c>
      <c r="J129" t="s">
        <v>851</v>
      </c>
      <c r="K129">
        <v>27</v>
      </c>
    </row>
    <row r="130" spans="1:11">
      <c r="A130" t="str">
        <f>IF(LEFT(E130,1)="1","SOL",IF(LEFT(E130,1)="2","CO",IF(LEFT(E130,1)="3","ALM",IF(LEFT(E130,1)="4","FAC","TRX")))) &amp; "-" &amp; B130 &amp; "-" &amp; TEXT(COUNTIFS($E$2:$E130,E130,$B$2:$B130,B130),"000")</f>
        <v>SOL-26-001</v>
      </c>
      <c r="B130">
        <v>26</v>
      </c>
      <c r="C130" s="18046">
        <v>38887</v>
      </c>
      <c r="D130" t="s">
        <v>124</v>
      </c>
      <c r="E130" t="s">
        <v>850</v>
      </c>
      <c r="F130" t="s">
        <v>96</v>
      </c>
      <c r="G130" s="3">
        <v>100</v>
      </c>
      <c r="H130" s="18047">
        <v>27</v>
      </c>
      <c r="I130" s="18047">
        <v>2700</v>
      </c>
      <c r="J130" t="s">
        <v>851</v>
      </c>
      <c r="K130">
        <v>27</v>
      </c>
    </row>
    <row r="131" spans="1:11">
      <c r="A131" t="str">
        <f>IF(LEFT(E131,1)="1","SOL",IF(LEFT(E131,1)="2","CO",IF(LEFT(E131,1)="3","ALM",IF(LEFT(E131,1)="4","FAC","TRX")))) &amp; "-" &amp; B131 &amp; "-" &amp; TEXT(COUNTIFS($E$2:$E131,E131,$B$2:$B131,B131),"000")</f>
        <v>SOL-26-002</v>
      </c>
      <c r="B131">
        <v>26</v>
      </c>
      <c r="C131" s="18046">
        <v>38887</v>
      </c>
      <c r="D131" t="s">
        <v>124</v>
      </c>
      <c r="E131" t="s">
        <v>850</v>
      </c>
      <c r="F131" t="s">
        <v>160</v>
      </c>
      <c r="G131" s="3">
        <v>200</v>
      </c>
      <c r="H131" s="18047">
        <v>27</v>
      </c>
      <c r="I131" s="18047">
        <v>5400</v>
      </c>
      <c r="J131" t="s">
        <v>851</v>
      </c>
      <c r="K131">
        <v>27</v>
      </c>
    </row>
    <row r="132" spans="1:11">
      <c r="A132" t="str">
        <f>IF(LEFT(E132,1)="1","SOL",IF(LEFT(E132,1)="2","CO",IF(LEFT(E132,1)="3","ALM",IF(LEFT(E132,1)="4","FAC","TRX")))) &amp; "-" &amp; B132 &amp; "-" &amp; TEXT(COUNTIFS($E$2:$E132,E132,$B$2:$B132,B132),"000")</f>
        <v>SOL-26-003</v>
      </c>
      <c r="B132">
        <v>26</v>
      </c>
      <c r="C132" s="18046">
        <v>38887</v>
      </c>
      <c r="D132" t="s">
        <v>124</v>
      </c>
      <c r="E132" t="s">
        <v>850</v>
      </c>
      <c r="F132" t="s">
        <v>117</v>
      </c>
      <c r="G132" s="3">
        <v>100</v>
      </c>
      <c r="H132" s="18047">
        <v>27</v>
      </c>
      <c r="I132" s="18047">
        <v>2700</v>
      </c>
      <c r="J132" t="s">
        <v>851</v>
      </c>
      <c r="K132">
        <v>27</v>
      </c>
    </row>
    <row r="133" spans="1:11">
      <c r="A133" t="str">
        <f>IF(LEFT(E133,1)="1","SOL",IF(LEFT(E133,1)="2","CO",IF(LEFT(E133,1)="3","ALM",IF(LEFT(E133,1)="4","FAC","TRX")))) &amp; "-" &amp; B133 &amp; "-" &amp; TEXT(COUNTIFS($E$2:$E133,E133,$B$2:$B133,B133),"000")</f>
        <v>SOL-26-004</v>
      </c>
      <c r="B133">
        <v>26</v>
      </c>
      <c r="C133" s="18046">
        <v>38887</v>
      </c>
      <c r="D133" t="s">
        <v>124</v>
      </c>
      <c r="E133" t="s">
        <v>850</v>
      </c>
      <c r="F133" t="s">
        <v>162</v>
      </c>
      <c r="G133" s="3">
        <v>100</v>
      </c>
      <c r="H133" s="18047">
        <v>27</v>
      </c>
      <c r="I133" s="18047">
        <v>2700</v>
      </c>
      <c r="J133" t="s">
        <v>851</v>
      </c>
      <c r="K133">
        <v>27</v>
      </c>
    </row>
    <row r="134" spans="1:11">
      <c r="A134" t="str">
        <f>IF(LEFT(E134,1)="1","SOL",IF(LEFT(E134,1)="2","CO",IF(LEFT(E134,1)="3","ALM",IF(LEFT(E134,1)="4","FAC","TRX")))) &amp; "-" &amp; B134 &amp; "-" &amp; TEXT(COUNTIFS($E$2:$E134,E134,$B$2:$B134,B134),"000")</f>
        <v>SOL-26-005</v>
      </c>
      <c r="B134">
        <v>26</v>
      </c>
      <c r="C134" s="18046">
        <v>38887</v>
      </c>
      <c r="D134" t="s">
        <v>2</v>
      </c>
      <c r="E134" t="s">
        <v>850</v>
      </c>
      <c r="F134" t="s">
        <v>56</v>
      </c>
      <c r="G134" s="3">
        <v>80</v>
      </c>
      <c r="H134" s="18047">
        <v>27</v>
      </c>
      <c r="I134" s="18047">
        <v>2160</v>
      </c>
      <c r="J134" t="s">
        <v>851</v>
      </c>
      <c r="K134">
        <v>27</v>
      </c>
    </row>
    <row r="135" spans="1:11">
      <c r="A135" t="str">
        <f>IF(LEFT(E135,1)="1","SOL",IF(LEFT(E135,1)="2","CO",IF(LEFT(E135,1)="3","ALM",IF(LEFT(E135,1)="4","FAC","TRX")))) &amp; "-" &amp; B135 &amp; "-" &amp; TEXT(COUNTIFS($E$2:$E135,E135,$B$2:$B135,B135),"000")</f>
        <v>SOL-26-006</v>
      </c>
      <c r="B135">
        <v>26</v>
      </c>
      <c r="C135" s="18046">
        <v>38887</v>
      </c>
      <c r="D135" t="s">
        <v>2</v>
      </c>
      <c r="E135" t="s">
        <v>850</v>
      </c>
      <c r="F135" t="s">
        <v>88</v>
      </c>
      <c r="G135" s="3">
        <v>50</v>
      </c>
      <c r="H135" s="18047">
        <v>27</v>
      </c>
      <c r="I135" s="18047">
        <v>1350</v>
      </c>
      <c r="J135" t="s">
        <v>851</v>
      </c>
      <c r="K135">
        <v>27</v>
      </c>
    </row>
    <row r="136" spans="1:11">
      <c r="A136" t="str">
        <f>IF(LEFT(E136,1)="1","SOL",IF(LEFT(E136,1)="2","CO",IF(LEFT(E136,1)="3","ALM",IF(LEFT(E136,1)="4","FAC","TRX")))) &amp; "-" &amp; B136 &amp; "-" &amp; TEXT(COUNTIFS($E$2:$E136,E136,$B$2:$B136,B136),"000")</f>
        <v>SOL-26-007</v>
      </c>
      <c r="B136">
        <v>26</v>
      </c>
      <c r="C136" s="18046">
        <v>38887</v>
      </c>
      <c r="D136" t="s">
        <v>2</v>
      </c>
      <c r="E136" t="s">
        <v>850</v>
      </c>
      <c r="F136" t="s">
        <v>90</v>
      </c>
      <c r="G136" s="3">
        <v>30</v>
      </c>
      <c r="H136" s="18047">
        <v>27</v>
      </c>
      <c r="I136" s="18047">
        <v>810</v>
      </c>
      <c r="J136" t="s">
        <v>851</v>
      </c>
      <c r="K136">
        <v>27</v>
      </c>
    </row>
    <row r="137" spans="1:11">
      <c r="A137" t="str">
        <f>IF(LEFT(E137,1)="1","SOL",IF(LEFT(E137,1)="2","CO",IF(LEFT(E137,1)="3","ALM",IF(LEFT(E137,1)="4","FAC","TRX")))) &amp; "-" &amp; B137 &amp; "-" &amp; TEXT(COUNTIFS($E$2:$E137,E137,$B$2:$B137,B137),"000")</f>
        <v>SOL-26-008</v>
      </c>
      <c r="B137">
        <v>26</v>
      </c>
      <c r="C137" s="18046">
        <v>38887</v>
      </c>
      <c r="D137" t="s">
        <v>2</v>
      </c>
      <c r="E137" t="s">
        <v>850</v>
      </c>
      <c r="F137" t="s">
        <v>70</v>
      </c>
      <c r="G137" s="3">
        <v>50</v>
      </c>
      <c r="H137" s="18047">
        <v>27</v>
      </c>
      <c r="I137" s="18047">
        <v>1350</v>
      </c>
      <c r="J137" t="s">
        <v>851</v>
      </c>
      <c r="K137">
        <v>27</v>
      </c>
    </row>
    <row r="138" spans="1:11">
      <c r="A138" t="str">
        <f>IF(LEFT(E138,1)="1","SOL",IF(LEFT(E138,1)="2","CO",IF(LEFT(E138,1)="3","ALM",IF(LEFT(E138,1)="4","FAC","TRX")))) &amp; "-" &amp; B138 &amp; "-" &amp; TEXT(COUNTIFS($E$2:$E138,E138,$B$2:$B138,B138),"000")</f>
        <v>SOL-26-009</v>
      </c>
      <c r="B138">
        <v>26</v>
      </c>
      <c r="C138" s="18046">
        <v>38887</v>
      </c>
      <c r="D138" t="s">
        <v>2</v>
      </c>
      <c r="E138" t="s">
        <v>850</v>
      </c>
      <c r="F138" t="s">
        <v>62</v>
      </c>
      <c r="G138" s="3">
        <v>50</v>
      </c>
      <c r="H138" s="18047">
        <v>27</v>
      </c>
      <c r="I138" s="18047">
        <v>1350</v>
      </c>
      <c r="J138" t="s">
        <v>851</v>
      </c>
      <c r="K138">
        <v>27</v>
      </c>
    </row>
    <row r="139" spans="1:11">
      <c r="A139" t="str">
        <f>IF(LEFT(E139,1)="1","SOL",IF(LEFT(E139,1)="2","CO",IF(LEFT(E139,1)="3","ALM",IF(LEFT(E139,1)="4","FAC","TRX")))) &amp; "-" &amp; B139 &amp; "-" &amp; TEXT(COUNTIFS($E$2:$E139,E139,$B$2:$B139,B139),"000")</f>
        <v>SOL-26-010</v>
      </c>
      <c r="B139">
        <v>26</v>
      </c>
      <c r="C139" s="18046">
        <v>38887</v>
      </c>
      <c r="D139" t="s">
        <v>2</v>
      </c>
      <c r="E139" t="s">
        <v>850</v>
      </c>
      <c r="F139" t="s">
        <v>69</v>
      </c>
      <c r="G139" s="3">
        <v>200</v>
      </c>
      <c r="H139" s="18047">
        <v>27</v>
      </c>
      <c r="I139" s="18047">
        <v>5400</v>
      </c>
      <c r="J139" t="s">
        <v>851</v>
      </c>
      <c r="K139">
        <v>27</v>
      </c>
    </row>
    <row r="140" spans="1:11">
      <c r="A140" t="str">
        <f>IF(LEFT(E140,1)="1","SOL",IF(LEFT(E140,1)="2","CO",IF(LEFT(E140,1)="3","ALM",IF(LEFT(E140,1)="4","FAC","TRX")))) &amp; "-" &amp; B140 &amp; "-" &amp; TEXT(COUNTIFS($E$2:$E140,E140,$B$2:$B140,B140),"000")</f>
        <v>SOL-26-011</v>
      </c>
      <c r="B140">
        <v>26</v>
      </c>
      <c r="C140" s="18046">
        <v>38887</v>
      </c>
      <c r="D140" t="s">
        <v>2</v>
      </c>
      <c r="E140" t="s">
        <v>850</v>
      </c>
      <c r="F140" t="s">
        <v>65</v>
      </c>
      <c r="G140" s="3">
        <v>130</v>
      </c>
      <c r="H140" s="18047">
        <v>27</v>
      </c>
      <c r="I140" s="18047">
        <v>3510</v>
      </c>
      <c r="J140" t="s">
        <v>851</v>
      </c>
      <c r="K140">
        <v>27</v>
      </c>
    </row>
    <row r="141" spans="1:11">
      <c r="A141" t="str">
        <f>IF(LEFT(E141,1)="1","SOL",IF(LEFT(E141,1)="2","CO",IF(LEFT(E141,1)="3","ALM",IF(LEFT(E141,1)="4","FAC","TRX")))) &amp; "-" &amp; B141 &amp; "-" &amp; TEXT(COUNTIFS($E$2:$E141,E141,$B$2:$B141,B141),"000")</f>
        <v>SOL-26-012</v>
      </c>
      <c r="B141">
        <v>26</v>
      </c>
      <c r="C141" s="18046">
        <v>38887</v>
      </c>
      <c r="D141" t="s">
        <v>2</v>
      </c>
      <c r="E141" t="s">
        <v>850</v>
      </c>
      <c r="F141" t="s">
        <v>102</v>
      </c>
      <c r="G141" s="3">
        <v>20</v>
      </c>
      <c r="H141" s="18047">
        <v>27</v>
      </c>
      <c r="I141" s="18047">
        <v>540</v>
      </c>
      <c r="J141" t="s">
        <v>851</v>
      </c>
      <c r="K141">
        <v>27</v>
      </c>
    </row>
    <row r="142" spans="1:11">
      <c r="A142" t="str">
        <f>IF(LEFT(E142,1)="1","SOL",IF(LEFT(E142,1)="2","CO",IF(LEFT(E142,1)="3","ALM",IF(LEFT(E142,1)="4","FAC","TRX")))) &amp; "-" &amp; B142 &amp; "-" &amp; TEXT(COUNTIFS($E$2:$E142,E142,$B$2:$B142,B142),"000")</f>
        <v>SOL-26-013</v>
      </c>
      <c r="B142">
        <v>26</v>
      </c>
      <c r="C142" s="18046">
        <v>38887</v>
      </c>
      <c r="D142" t="s">
        <v>2</v>
      </c>
      <c r="E142" t="s">
        <v>850</v>
      </c>
      <c r="F142" t="s">
        <v>100</v>
      </c>
      <c r="G142" s="3">
        <v>10</v>
      </c>
      <c r="H142" s="18047">
        <v>27</v>
      </c>
      <c r="I142" s="18047">
        <v>270</v>
      </c>
      <c r="J142" t="s">
        <v>851</v>
      </c>
      <c r="K142">
        <v>27</v>
      </c>
    </row>
    <row r="143" spans="1:11">
      <c r="A143" t="str">
        <f>IF(LEFT(E143,1)="1","SOL",IF(LEFT(E143,1)="2","CO",IF(LEFT(E143,1)="3","ALM",IF(LEFT(E143,1)="4","FAC","TRX")))) &amp; "-" &amp; B143 &amp; "-" &amp; TEXT(COUNTIFS($E$2:$E143,E143,$B$2:$B143,B143),"000")</f>
        <v>SOL-26-014</v>
      </c>
      <c r="B143">
        <v>26</v>
      </c>
      <c r="C143" s="18046">
        <v>38887</v>
      </c>
      <c r="D143" t="s">
        <v>2</v>
      </c>
      <c r="E143" t="s">
        <v>850</v>
      </c>
      <c r="F143" t="s">
        <v>60</v>
      </c>
      <c r="G143" s="3">
        <v>80</v>
      </c>
      <c r="H143" s="18047">
        <v>27</v>
      </c>
      <c r="I143" s="18047">
        <v>2160</v>
      </c>
      <c r="J143" t="s">
        <v>851</v>
      </c>
      <c r="K143">
        <v>27</v>
      </c>
    </row>
    <row r="144" spans="1:11">
      <c r="A144" t="str">
        <f>IF(LEFT(E144,1)="1","SOL",IF(LEFT(E144,1)="2","CO",IF(LEFT(E144,1)="3","ALM",IF(LEFT(E144,1)="4","FAC","TRX")))) &amp; "-" &amp; B144 &amp; "-" &amp; TEXT(COUNTIFS($E$2:$E144,E144,$B$2:$B144,B144),"000")</f>
        <v>SOL-25-059</v>
      </c>
      <c r="B144">
        <v>25</v>
      </c>
      <c r="C144" s="18046">
        <v>46192</v>
      </c>
      <c r="D144" t="s">
        <v>1</v>
      </c>
      <c r="E144" t="s">
        <v>850</v>
      </c>
      <c r="F144" t="s">
        <v>86</v>
      </c>
      <c r="G144" s="3">
        <v>100</v>
      </c>
      <c r="H144" s="18047">
        <v>27</v>
      </c>
      <c r="I144" s="18047">
        <v>2700</v>
      </c>
      <c r="J144" t="s">
        <v>851</v>
      </c>
      <c r="K144">
        <v>27</v>
      </c>
    </row>
    <row r="145" spans="1:11">
      <c r="A145" t="str">
        <f>IF(LEFT(E145,1)="1","SOL",IF(LEFT(E145,1)="2","CO",IF(LEFT(E145,1)="3","ALM",IF(LEFT(E145,1)="4","FAC","TRX")))) &amp; "-" &amp; B145 &amp; "-" &amp; TEXT(COUNTIFS($E$2:$E145,E145,$B$2:$B145,B145),"000")</f>
        <v>SOL-25-060</v>
      </c>
      <c r="B145">
        <v>25</v>
      </c>
      <c r="C145" s="18046">
        <v>46192</v>
      </c>
      <c r="D145" t="s">
        <v>1</v>
      </c>
      <c r="E145" t="s">
        <v>850</v>
      </c>
      <c r="F145" t="s">
        <v>102</v>
      </c>
      <c r="G145" s="3">
        <v>20</v>
      </c>
      <c r="H145" s="18047">
        <v>27</v>
      </c>
      <c r="I145" s="18047">
        <v>540</v>
      </c>
      <c r="J145" t="s">
        <v>851</v>
      </c>
      <c r="K145">
        <v>27</v>
      </c>
    </row>
    <row r="146" spans="1:11">
      <c r="A146" t="str">
        <f>IF(LEFT(E146,1)="1","SOL",IF(LEFT(E146,1)="2","CO",IF(LEFT(E146,1)="3","ALM",IF(LEFT(E146,1)="4","FAC","TRX")))) &amp; "-" &amp; B146 &amp; "-" &amp; TEXT(COUNTIFS($E$2:$E146,E146,$B$2:$B146,B146),"000")</f>
        <v>SOL-25-061</v>
      </c>
      <c r="B146">
        <v>25</v>
      </c>
      <c r="C146" s="18046">
        <v>46192</v>
      </c>
      <c r="D146" t="s">
        <v>1</v>
      </c>
      <c r="E146" t="s">
        <v>850</v>
      </c>
      <c r="F146" t="s">
        <v>163</v>
      </c>
      <c r="G146" s="3">
        <v>60</v>
      </c>
      <c r="H146" s="18047">
        <v>27</v>
      </c>
      <c r="I146" s="18047">
        <v>1620</v>
      </c>
      <c r="J146" t="s">
        <v>851</v>
      </c>
      <c r="K146">
        <v>27</v>
      </c>
    </row>
    <row r="147" spans="1:11">
      <c r="A147" t="str">
        <f>IF(LEFT(E147,1)="1","SOL",IF(LEFT(E147,1)="2","CO",IF(LEFT(E147,1)="3","ALM",IF(LEFT(E147,1)="4","FAC","TRX")))) &amp; "-" &amp; B147 &amp; "-" &amp; TEXT(COUNTIFS($E$2:$E147,E147,$B$2:$B147,B147),"000")</f>
        <v>SOL-25-062</v>
      </c>
      <c r="B147">
        <v>25</v>
      </c>
      <c r="C147" s="18046">
        <v>46192</v>
      </c>
      <c r="D147" t="s">
        <v>1</v>
      </c>
      <c r="E147" t="s">
        <v>850</v>
      </c>
      <c r="F147" t="s">
        <v>85</v>
      </c>
      <c r="G147" s="3">
        <v>80</v>
      </c>
      <c r="H147" s="18047">
        <v>27</v>
      </c>
      <c r="I147" s="18047">
        <v>2160</v>
      </c>
      <c r="J147" t="s">
        <v>851</v>
      </c>
      <c r="K147">
        <v>27</v>
      </c>
    </row>
    <row r="148" spans="1:11">
      <c r="A148" t="str">
        <f>IF(LEFT(E148,1)="1","SOL",IF(LEFT(E148,1)="2","CO",IF(LEFT(E148,1)="3","ALM",IF(LEFT(E148,1)="4","FAC","TRX")))) &amp; "-" &amp; B148 &amp; "-" &amp; TEXT(COUNTIFS($E$2:$E148,E148,$B$2:$B148,B148),"000")</f>
        <v>SOL-25-063</v>
      </c>
      <c r="B148">
        <v>25</v>
      </c>
      <c r="C148" s="18046">
        <v>46192</v>
      </c>
      <c r="D148" t="s">
        <v>1</v>
      </c>
      <c r="E148" t="s">
        <v>850</v>
      </c>
      <c r="F148" t="s">
        <v>79</v>
      </c>
      <c r="G148" s="3">
        <v>40</v>
      </c>
      <c r="H148" s="18047">
        <v>27</v>
      </c>
      <c r="I148" s="18047">
        <v>1080</v>
      </c>
      <c r="J148" t="s">
        <v>851</v>
      </c>
      <c r="K148">
        <v>27</v>
      </c>
    </row>
    <row r="149" spans="1:11">
      <c r="A149" t="str">
        <f>IF(LEFT(E149,1)="1","SOL",IF(LEFT(E149,1)="2","CO",IF(LEFT(E149,1)="3","ALM",IF(LEFT(E149,1)="4","FAC","TRX")))) &amp; "-" &amp; B149 &amp; "-" &amp; TEXT(COUNTIFS($E$2:$E149,E149,$B$2:$B149,B149),"000")</f>
        <v>SOL-25-064</v>
      </c>
      <c r="B149">
        <v>25</v>
      </c>
      <c r="C149" s="18046">
        <v>46192</v>
      </c>
      <c r="D149" t="s">
        <v>1</v>
      </c>
      <c r="E149" t="s">
        <v>850</v>
      </c>
      <c r="F149" t="s">
        <v>56</v>
      </c>
      <c r="G149" s="3">
        <v>80</v>
      </c>
      <c r="H149" s="18047">
        <v>27</v>
      </c>
      <c r="I149" s="18047">
        <v>2160</v>
      </c>
      <c r="J149" t="s">
        <v>851</v>
      </c>
      <c r="K149">
        <v>27</v>
      </c>
    </row>
    <row r="150" spans="1:11">
      <c r="A150" t="str">
        <f>IF(LEFT(E150,1)="1","SOL",IF(LEFT(E150,1)="2","CO",IF(LEFT(E150,1)="3","ALM",IF(LEFT(E150,1)="4","FAC","TRX")))) &amp; "-" &amp; B150 &amp; "-" &amp; TEXT(COUNTIFS($E$2:$E150,E150,$B$2:$B150,B150),"000")</f>
        <v>SOL-25-065</v>
      </c>
      <c r="B150">
        <v>25</v>
      </c>
      <c r="C150" s="18046">
        <v>46192</v>
      </c>
      <c r="D150" t="s">
        <v>1</v>
      </c>
      <c r="E150" t="s">
        <v>850</v>
      </c>
      <c r="F150" t="s">
        <v>60</v>
      </c>
      <c r="G150" s="3">
        <v>50</v>
      </c>
      <c r="H150" s="18047">
        <v>27</v>
      </c>
      <c r="I150" s="18047">
        <v>1350</v>
      </c>
      <c r="J150" t="s">
        <v>851</v>
      </c>
      <c r="K150">
        <v>27</v>
      </c>
    </row>
    <row r="151" spans="1:11">
      <c r="A151" t="str">
        <f>IF(LEFT(E151,1)="1","SOL",IF(LEFT(E151,1)="2","CO",IF(LEFT(E151,1)="3","ALM",IF(LEFT(E151,1)="4","FAC","TRX")))) &amp; "-" &amp; B151 &amp; "-" &amp; TEXT(COUNTIFS($E$2:$E151,E151,$B$2:$B151,B151),"000")</f>
        <v>SOL-25-066</v>
      </c>
      <c r="B151">
        <v>25</v>
      </c>
      <c r="D151" t="s">
        <v>111</v>
      </c>
      <c r="E151" t="s">
        <v>850</v>
      </c>
      <c r="F151" t="s">
        <v>56</v>
      </c>
      <c r="G151" s="3">
        <v>60</v>
      </c>
      <c r="H151" s="18047">
        <v>27</v>
      </c>
      <c r="I151" s="18047">
        <v>1620</v>
      </c>
      <c r="J151" t="s">
        <v>851</v>
      </c>
      <c r="K151">
        <v>27</v>
      </c>
    </row>
    <row r="152" spans="1:11">
      <c r="A152" t="str">
        <f>IF(LEFT(E152,1)="1","SOL",IF(LEFT(E152,1)="2","CO",IF(LEFT(E152,1)="3","ALM",IF(LEFT(E152,1)="4","FAC","TRX")))) &amp; "-" &amp; B152 &amp; "-" &amp; TEXT(COUNTIFS($E$2:$E152,E152,$B$2:$B152,B152),"000")</f>
        <v>SOL-25-067</v>
      </c>
      <c r="B152">
        <v>25</v>
      </c>
      <c r="D152" t="s">
        <v>111</v>
      </c>
      <c r="E152" t="s">
        <v>850</v>
      </c>
      <c r="F152" t="s">
        <v>56</v>
      </c>
      <c r="G152" s="3">
        <v>50</v>
      </c>
      <c r="H152" s="18047">
        <v>27</v>
      </c>
      <c r="I152" s="18047">
        <v>1350</v>
      </c>
      <c r="J152" t="s">
        <v>851</v>
      </c>
      <c r="K152">
        <v>27</v>
      </c>
    </row>
    <row r="153" spans="1:11">
      <c r="A153" t="str">
        <f>IF(LEFT(E153,1)="1","SOL",IF(LEFT(E153,1)="2","CO",IF(LEFT(E153,1)="3","ALM",IF(LEFT(E153,1)="4","FAC","TRX")))) &amp; "-" &amp; B153 &amp; "-" &amp; TEXT(COUNTIFS($E$2:$E153,E153,$B$2:$B153,B153),"000")</f>
        <v>SOL-26-015</v>
      </c>
      <c r="B153">
        <v>26</v>
      </c>
      <c r="C153" s="18046">
        <v>46195</v>
      </c>
      <c r="D153" t="s">
        <v>2</v>
      </c>
      <c r="E153" t="s">
        <v>850</v>
      </c>
      <c r="F153" t="s">
        <v>215</v>
      </c>
      <c r="G153" s="3">
        <v>240</v>
      </c>
      <c r="H153" s="18047">
        <v>27</v>
      </c>
      <c r="I153" s="18047">
        <v>6480</v>
      </c>
      <c r="J153" t="s">
        <v>851</v>
      </c>
      <c r="K153">
        <v>27</v>
      </c>
    </row>
    <row r="154" spans="1:11">
      <c r="A154" t="str">
        <f>IF(LEFT(E154,1)="1","SOL",IF(LEFT(E154,1)="2","CO",IF(LEFT(E154,1)="3","ALM",IF(LEFT(E154,1)="4","FAC","TRX")))) &amp; "-" &amp; B154 &amp; "-" &amp; TEXT(COUNTIFS($E$2:$E154,E154,$B$2:$B154,B154),"000")</f>
        <v>SOL-26-016</v>
      </c>
      <c r="B154">
        <v>26</v>
      </c>
      <c r="C154" s="18046">
        <v>46195</v>
      </c>
      <c r="D154" t="s">
        <v>2</v>
      </c>
      <c r="E154" t="s">
        <v>850</v>
      </c>
      <c r="F154" t="s">
        <v>217</v>
      </c>
      <c r="G154" s="3">
        <v>20</v>
      </c>
      <c r="H154" s="18047">
        <v>27</v>
      </c>
      <c r="I154" s="18047">
        <v>540</v>
      </c>
      <c r="J154" t="s">
        <v>851</v>
      </c>
      <c r="K154">
        <v>27</v>
      </c>
    </row>
    <row r="155" spans="1:11">
      <c r="A155" t="str">
        <f>IF(LEFT(E155,1)="1","SOL",IF(LEFT(E155,1)="2","CO",IF(LEFT(E155,1)="3","ALM",IF(LEFT(E155,1)="4","FAC","TRX")))) &amp; "-" &amp; B155 &amp; "-" &amp; TEXT(COUNTIFS($E$2:$E155,E155,$B$2:$B155,B155),"000")</f>
        <v>SOL-26-017</v>
      </c>
      <c r="B155">
        <v>26</v>
      </c>
      <c r="C155" s="18046">
        <v>46195</v>
      </c>
      <c r="D155" t="s">
        <v>2</v>
      </c>
      <c r="E155" t="s">
        <v>850</v>
      </c>
      <c r="F155" t="s">
        <v>210</v>
      </c>
      <c r="G155" s="3">
        <v>30</v>
      </c>
      <c r="H155" s="18047">
        <v>27</v>
      </c>
      <c r="I155" s="18047">
        <v>810</v>
      </c>
      <c r="J155" t="s">
        <v>851</v>
      </c>
      <c r="K155">
        <v>27</v>
      </c>
    </row>
    <row r="156" spans="1:11">
      <c r="A156" t="str">
        <f>IF(LEFT(E156,1)="1","SOL",IF(LEFT(E156,1)="2","CO",IF(LEFT(E156,1)="3","ALM",IF(LEFT(E156,1)="4","FAC","TRX")))) &amp; "-" &amp; B156 &amp; "-" &amp; TEXT(COUNTIFS($E$2:$E156,E156,$B$2:$B156,B156),"000")</f>
        <v>SOL-26-018</v>
      </c>
      <c r="B156">
        <v>26</v>
      </c>
      <c r="C156" s="18046">
        <v>46195</v>
      </c>
      <c r="D156" t="s">
        <v>2</v>
      </c>
      <c r="E156" t="s">
        <v>850</v>
      </c>
      <c r="F156" t="s">
        <v>211</v>
      </c>
      <c r="G156" s="3">
        <v>80</v>
      </c>
      <c r="H156" s="18047">
        <v>27</v>
      </c>
      <c r="I156" s="18047">
        <v>2160</v>
      </c>
      <c r="J156" t="s">
        <v>851</v>
      </c>
      <c r="K156">
        <v>27</v>
      </c>
    </row>
    <row r="157" spans="1:11">
      <c r="A157" t="str">
        <f>IF(LEFT(E157,1)="1","SOL",IF(LEFT(E157,1)="2","CO",IF(LEFT(E157,1)="3","ALM",IF(LEFT(E157,1)="4","FAC","TRX")))) &amp; "-" &amp; B157 &amp; "-" &amp; TEXT(COUNTIFS($E$2:$E157,E157,$B$2:$B157,B157),"000")</f>
        <v>SOL-26-019</v>
      </c>
      <c r="B157">
        <v>26</v>
      </c>
      <c r="C157" s="18046">
        <v>46195</v>
      </c>
      <c r="D157" t="s">
        <v>2</v>
      </c>
      <c r="E157" t="s">
        <v>850</v>
      </c>
      <c r="F157" t="s">
        <v>236</v>
      </c>
      <c r="G157" s="3">
        <v>40</v>
      </c>
      <c r="H157" s="18047">
        <v>27</v>
      </c>
      <c r="I157" s="18047">
        <v>1080</v>
      </c>
      <c r="J157" t="s">
        <v>851</v>
      </c>
      <c r="K157">
        <v>27</v>
      </c>
    </row>
    <row r="158" spans="1:11">
      <c r="A158" t="str">
        <f>IF(LEFT(E158,1)="1","SOL",IF(LEFT(E158,1)="2","CO",IF(LEFT(E158,1)="3","ALM",IF(LEFT(E158,1)="4","FAC","TRX")))) &amp; "-" &amp; B158 &amp; "-" &amp; TEXT(COUNTIFS($E$2:$E158,E158,$B$2:$B158,B158),"000")</f>
        <v>SOL-26-020</v>
      </c>
      <c r="B158">
        <v>26</v>
      </c>
      <c r="C158" s="18046">
        <v>46195</v>
      </c>
      <c r="D158" t="s">
        <v>2</v>
      </c>
      <c r="E158" t="s">
        <v>850</v>
      </c>
      <c r="F158" t="s">
        <v>223</v>
      </c>
      <c r="G158" s="3">
        <v>24</v>
      </c>
      <c r="H158" s="18047">
        <v>27</v>
      </c>
      <c r="I158" s="18047">
        <v>648</v>
      </c>
      <c r="J158" t="s">
        <v>851</v>
      </c>
      <c r="K158">
        <v>27</v>
      </c>
    </row>
    <row r="159" spans="1:11">
      <c r="A159" t="str">
        <f>IF(LEFT(E159,1)="1","SOL",IF(LEFT(E159,1)="2","CO",IF(LEFT(E159,1)="3","ALM",IF(LEFT(E159,1)="4","FAC","TRX")))) &amp; "-" &amp; B159 &amp; "-" &amp; TEXT(COUNTIFS($E$2:$E159,E159,$B$2:$B159,B159),"000")</f>
        <v>SOL-26-021</v>
      </c>
      <c r="B159">
        <v>26</v>
      </c>
      <c r="C159" s="18046">
        <v>46195</v>
      </c>
      <c r="D159" t="s">
        <v>2</v>
      </c>
      <c r="E159" t="s">
        <v>850</v>
      </c>
      <c r="F159" t="s">
        <v>231</v>
      </c>
      <c r="G159" s="3">
        <v>60</v>
      </c>
      <c r="H159" s="18047">
        <v>27</v>
      </c>
      <c r="I159" s="18047">
        <v>1620</v>
      </c>
      <c r="J159" t="s">
        <v>851</v>
      </c>
      <c r="K159">
        <v>27</v>
      </c>
    </row>
    <row r="160" spans="1:11">
      <c r="A160" t="str">
        <f>IF(LEFT(E160,1)="1","SOL",IF(LEFT(E160,1)="2","CO",IF(LEFT(E160,1)="3","ALM",IF(LEFT(E160,1)="4","FAC","TRX")))) &amp; "-" &amp; B160 &amp; "-" &amp; TEXT(COUNTIFS($E$2:$E160,E160,$B$2:$B160,B160),"000")</f>
        <v>SOL-26-022</v>
      </c>
      <c r="B160">
        <v>26</v>
      </c>
      <c r="C160" s="18046">
        <v>46195</v>
      </c>
      <c r="D160" t="s">
        <v>2</v>
      </c>
      <c r="E160" t="s">
        <v>850</v>
      </c>
      <c r="F160" t="s">
        <v>225</v>
      </c>
      <c r="G160" s="3">
        <v>24</v>
      </c>
      <c r="H160" s="18047">
        <v>27</v>
      </c>
      <c r="I160" s="18047">
        <v>648</v>
      </c>
      <c r="J160" t="s">
        <v>851</v>
      </c>
      <c r="K160">
        <v>27</v>
      </c>
    </row>
    <row r="161" spans="1:11">
      <c r="A161" t="str">
        <f>IF(LEFT(E161,1)="1","SOL",IF(LEFT(E161,1)="2","CO",IF(LEFT(E161,1)="3","ALM",IF(LEFT(E161,1)="4","FAC","TRX")))) &amp; "-" &amp; B161 &amp; "-" &amp; TEXT(COUNTIFS($E$2:$E161,E161,$B$2:$B161,B161),"000")</f>
        <v>SOL-26-023</v>
      </c>
      <c r="B161">
        <v>26</v>
      </c>
      <c r="C161" s="18046">
        <v>46195</v>
      </c>
      <c r="D161" t="s">
        <v>2</v>
      </c>
      <c r="E161" t="s">
        <v>850</v>
      </c>
      <c r="F161" t="s">
        <v>234</v>
      </c>
      <c r="G161" s="3">
        <v>60</v>
      </c>
      <c r="H161" s="18047">
        <v>27</v>
      </c>
      <c r="I161" s="18047">
        <v>1620</v>
      </c>
      <c r="J161" t="s">
        <v>851</v>
      </c>
      <c r="K161">
        <v>27</v>
      </c>
    </row>
    <row r="162" spans="1:11">
      <c r="A162" t="str">
        <f>IF(LEFT(E162,1)="1","SOL",IF(LEFT(E162,1)="2","CO",IF(LEFT(E162,1)="3","ALM",IF(LEFT(E162,1)="4","FAC","TRX")))) &amp; "-" &amp; B162 &amp; "-" &amp; TEXT(COUNTIFS($E$2:$E162,E162,$B$2:$B162,B162),"000")</f>
        <v>SOL-26-024</v>
      </c>
      <c r="B162">
        <v>26</v>
      </c>
      <c r="C162" s="18046">
        <v>46196</v>
      </c>
      <c r="D162" t="s">
        <v>2</v>
      </c>
      <c r="E162" t="s">
        <v>850</v>
      </c>
      <c r="F162" t="s">
        <v>215</v>
      </c>
      <c r="G162" s="3">
        <v>240</v>
      </c>
      <c r="H162" s="18047">
        <v>27</v>
      </c>
      <c r="I162" s="18047">
        <v>6480</v>
      </c>
      <c r="J162" t="s">
        <v>851</v>
      </c>
      <c r="K162">
        <v>27</v>
      </c>
    </row>
    <row r="163" spans="1:11">
      <c r="A163" t="str">
        <f>IF(LEFT(E163,1)="1","SOL",IF(LEFT(E163,1)="2","CO",IF(LEFT(E163,1)="3","ALM",IF(LEFT(E163,1)="4","FAC","TRX")))) &amp; "-" &amp; B163 &amp; "-" &amp; TEXT(COUNTIFS($E$2:$E163,E163,$B$2:$B163,B163),"000")</f>
        <v>SOL-26-025</v>
      </c>
      <c r="B163">
        <v>26</v>
      </c>
      <c r="C163" s="18046">
        <v>46196</v>
      </c>
      <c r="D163" t="s">
        <v>2</v>
      </c>
      <c r="E163" t="s">
        <v>850</v>
      </c>
      <c r="F163" t="s">
        <v>217</v>
      </c>
      <c r="G163" s="3">
        <v>20</v>
      </c>
      <c r="H163" s="18047">
        <v>27</v>
      </c>
      <c r="I163" s="18047">
        <v>540</v>
      </c>
      <c r="J163" t="s">
        <v>851</v>
      </c>
      <c r="K163">
        <v>27</v>
      </c>
    </row>
    <row r="164" spans="1:11">
      <c r="A164" t="str">
        <f>IF(LEFT(E164,1)="1","SOL",IF(LEFT(E164,1)="2","CO",IF(LEFT(E164,1)="3","ALM",IF(LEFT(E164,1)="4","FAC","TRX")))) &amp; "-" &amp; B164 &amp; "-" &amp; TEXT(COUNTIFS($E$2:$E164,E164,$B$2:$B164,B164),"000")</f>
        <v>SOL-26-026</v>
      </c>
      <c r="B164">
        <v>26</v>
      </c>
      <c r="C164" s="18046">
        <v>46196</v>
      </c>
      <c r="D164" t="s">
        <v>2</v>
      </c>
      <c r="E164" t="s">
        <v>850</v>
      </c>
      <c r="F164" t="s">
        <v>210</v>
      </c>
      <c r="G164" s="3">
        <v>30</v>
      </c>
      <c r="H164" s="18047">
        <v>27</v>
      </c>
      <c r="I164" s="18047">
        <v>810</v>
      </c>
      <c r="J164" t="s">
        <v>851</v>
      </c>
      <c r="K164">
        <v>27</v>
      </c>
    </row>
    <row r="165" spans="1:11">
      <c r="A165" t="str">
        <f>IF(LEFT(E165,1)="1","SOL",IF(LEFT(E165,1)="2","CO",IF(LEFT(E165,1)="3","ALM",IF(LEFT(E165,1)="4","FAC","TRX")))) &amp; "-" &amp; B165 &amp; "-" &amp; TEXT(COUNTIFS($E$2:$E165,E165,$B$2:$B165,B165),"000")</f>
        <v>SOL-26-027</v>
      </c>
      <c r="B165">
        <v>26</v>
      </c>
      <c r="C165" s="18046">
        <v>46196</v>
      </c>
      <c r="D165" t="s">
        <v>2</v>
      </c>
      <c r="E165" t="s">
        <v>850</v>
      </c>
      <c r="F165" t="s">
        <v>211</v>
      </c>
      <c r="G165" s="3">
        <v>80</v>
      </c>
      <c r="H165" s="18047">
        <v>27</v>
      </c>
      <c r="I165" s="18047">
        <v>2160</v>
      </c>
      <c r="J165" t="s">
        <v>851</v>
      </c>
      <c r="K165">
        <v>27</v>
      </c>
    </row>
    <row r="166" spans="1:11">
      <c r="A166" t="str">
        <f>IF(LEFT(E166,1)="1","SOL",IF(LEFT(E166,1)="2","CO",IF(LEFT(E166,1)="3","ALM",IF(LEFT(E166,1)="4","FAC","TRX")))) &amp; "-" &amp; B166 &amp; "-" &amp; TEXT(COUNTIFS($E$2:$E166,E166,$B$2:$B166,B166),"000")</f>
        <v>SOL-26-028</v>
      </c>
      <c r="B166">
        <v>26</v>
      </c>
      <c r="C166" s="18046">
        <v>46196</v>
      </c>
      <c r="D166" t="s">
        <v>2</v>
      </c>
      <c r="E166" t="s">
        <v>850</v>
      </c>
      <c r="F166" t="s">
        <v>236</v>
      </c>
      <c r="G166" s="3">
        <v>40</v>
      </c>
      <c r="H166" s="18047">
        <v>27</v>
      </c>
      <c r="I166" s="18047">
        <v>1080</v>
      </c>
      <c r="J166" t="s">
        <v>851</v>
      </c>
      <c r="K166">
        <v>27</v>
      </c>
    </row>
    <row r="167" spans="1:11">
      <c r="A167" t="str">
        <f>IF(LEFT(E167,1)="1","SOL",IF(LEFT(E167,1)="2","CO",IF(LEFT(E167,1)="3","ALM",IF(LEFT(E167,1)="4","FAC","TRX")))) &amp; "-" &amp; B167 &amp; "-" &amp; TEXT(COUNTIFS($E$2:$E167,E167,$B$2:$B167,B167),"000")</f>
        <v>SOL-26-029</v>
      </c>
      <c r="B167">
        <v>26</v>
      </c>
      <c r="C167" s="18046">
        <v>46196</v>
      </c>
      <c r="D167" t="s">
        <v>2</v>
      </c>
      <c r="E167" t="s">
        <v>850</v>
      </c>
      <c r="F167" t="s">
        <v>223</v>
      </c>
      <c r="G167" s="3">
        <v>24</v>
      </c>
      <c r="H167" s="18047">
        <v>27</v>
      </c>
      <c r="I167" s="18047">
        <v>648</v>
      </c>
      <c r="J167" t="s">
        <v>851</v>
      </c>
      <c r="K167">
        <v>27</v>
      </c>
    </row>
    <row r="168" spans="1:11">
      <c r="A168" t="str">
        <f>IF(LEFT(E168,1)="1","SOL",IF(LEFT(E168,1)="2","CO",IF(LEFT(E168,1)="3","ALM",IF(LEFT(E168,1)="4","FAC","TRX")))) &amp; "-" &amp; B168 &amp; "-" &amp; TEXT(COUNTIFS($E$2:$E168,E168,$B$2:$B168,B168),"000")</f>
        <v>SOL-26-030</v>
      </c>
      <c r="B168">
        <v>26</v>
      </c>
      <c r="C168" s="18046">
        <v>46196</v>
      </c>
      <c r="D168" t="s">
        <v>2</v>
      </c>
      <c r="E168" t="s">
        <v>850</v>
      </c>
      <c r="F168" t="s">
        <v>231</v>
      </c>
      <c r="G168" s="3">
        <v>60</v>
      </c>
      <c r="H168" s="18047">
        <v>27</v>
      </c>
      <c r="I168" s="18047">
        <v>1620</v>
      </c>
      <c r="J168" t="s">
        <v>851</v>
      </c>
      <c r="K168">
        <v>27</v>
      </c>
    </row>
    <row r="169" spans="1:11">
      <c r="A169" t="str">
        <f>IF(LEFT(E169,1)="1","SOL",IF(LEFT(E169,1)="2","CO",IF(LEFT(E169,1)="3","ALM",IF(LEFT(E169,1)="4","FAC","TRX")))) &amp; "-" &amp; B169 &amp; "-" &amp; TEXT(COUNTIFS($E$2:$E169,E169,$B$2:$B169,B169),"000")</f>
        <v>SOL-26-031</v>
      </c>
      <c r="B169">
        <v>26</v>
      </c>
      <c r="C169" s="18046">
        <v>46196</v>
      </c>
      <c r="D169" t="s">
        <v>2</v>
      </c>
      <c r="E169" t="s">
        <v>850</v>
      </c>
      <c r="F169" t="s">
        <v>225</v>
      </c>
      <c r="G169" s="3">
        <v>24</v>
      </c>
      <c r="H169" s="18047">
        <v>27</v>
      </c>
      <c r="I169" s="18047">
        <v>648</v>
      </c>
      <c r="J169" t="s">
        <v>851</v>
      </c>
      <c r="K169">
        <v>27</v>
      </c>
    </row>
    <row r="170" spans="1:11">
      <c r="A170" t="str">
        <f>IF(LEFT(E170,1)="1","SOL",IF(LEFT(E170,1)="2","CO",IF(LEFT(E170,1)="3","ALM",IF(LEFT(E170,1)="4","FAC","TRX")))) &amp; "-" &amp; B170 &amp; "-" &amp; TEXT(COUNTIFS($E$2:$E170,E170,$B$2:$B170,B170),"000")</f>
        <v>SOL-26-032</v>
      </c>
      <c r="B170">
        <v>26</v>
      </c>
      <c r="C170" s="18046">
        <v>46196</v>
      </c>
      <c r="D170" t="s">
        <v>2</v>
      </c>
      <c r="E170" t="s">
        <v>850</v>
      </c>
      <c r="F170" t="s">
        <v>234</v>
      </c>
      <c r="G170" s="3">
        <v>60</v>
      </c>
      <c r="H170" s="18047">
        <v>27</v>
      </c>
      <c r="I170" s="18047">
        <v>1620</v>
      </c>
      <c r="J170" t="s">
        <v>851</v>
      </c>
      <c r="K170">
        <v>27</v>
      </c>
    </row>
    <row r="171" spans="1:11">
      <c r="A171" t="str">
        <f>IF(LEFT(E171,1)="1","SOL",IF(LEFT(E171,1)="2","CO",IF(LEFT(E171,1)="3","ALM",IF(LEFT(E171,1)="4","FAC","TRX")))) &amp; "-" &amp; B171 &amp; "-" &amp; TEXT(COUNTIFS($E$2:$E171,E171,$B$2:$B171,B171),"000")</f>
        <v>SOL-26-033</v>
      </c>
      <c r="B171">
        <v>26</v>
      </c>
      <c r="C171" s="18046">
        <v>46197</v>
      </c>
      <c r="D171" t="s">
        <v>2</v>
      </c>
      <c r="E171" t="s">
        <v>850</v>
      </c>
      <c r="F171" t="s">
        <v>215</v>
      </c>
      <c r="G171" s="3">
        <v>240</v>
      </c>
      <c r="H171" s="18047">
        <v>27</v>
      </c>
      <c r="I171" s="18047">
        <v>6480</v>
      </c>
      <c r="J171" t="s">
        <v>851</v>
      </c>
      <c r="K171">
        <v>27</v>
      </c>
    </row>
    <row r="172" spans="1:11">
      <c r="A172" t="str">
        <f>IF(LEFT(E172,1)="1","SOL",IF(LEFT(E172,1)="2","CO",IF(LEFT(E172,1)="3","ALM",IF(LEFT(E172,1)="4","FAC","TRX")))) &amp; "-" &amp; B172 &amp; "-" &amp; TEXT(COUNTIFS($E$2:$E172,E172,$B$2:$B172,B172),"000")</f>
        <v>SOL-26-034</v>
      </c>
      <c r="B172">
        <v>26</v>
      </c>
      <c r="C172" s="18046">
        <v>46197</v>
      </c>
      <c r="D172" t="s">
        <v>2</v>
      </c>
      <c r="E172" t="s">
        <v>850</v>
      </c>
      <c r="F172" t="s">
        <v>217</v>
      </c>
      <c r="G172" s="3">
        <v>20</v>
      </c>
      <c r="H172" s="18047">
        <v>27</v>
      </c>
      <c r="I172" s="18047">
        <v>540</v>
      </c>
      <c r="J172" t="s">
        <v>851</v>
      </c>
      <c r="K172">
        <v>27</v>
      </c>
    </row>
    <row r="173" spans="1:11">
      <c r="A173" t="str">
        <f>IF(LEFT(E173,1)="1","SOL",IF(LEFT(E173,1)="2","CO",IF(LEFT(E173,1)="3","ALM",IF(LEFT(E173,1)="4","FAC","TRX")))) &amp; "-" &amp; B173 &amp; "-" &amp; TEXT(COUNTIFS($E$2:$E173,E173,$B$2:$B173,B173),"000")</f>
        <v>SOL-26-035</v>
      </c>
      <c r="B173">
        <v>26</v>
      </c>
      <c r="C173" s="18046">
        <v>46197</v>
      </c>
      <c r="D173" t="s">
        <v>2</v>
      </c>
      <c r="E173" t="s">
        <v>850</v>
      </c>
      <c r="F173" t="s">
        <v>210</v>
      </c>
      <c r="G173" s="3">
        <v>30</v>
      </c>
      <c r="H173" s="18047">
        <v>27</v>
      </c>
      <c r="I173" s="18047">
        <v>810</v>
      </c>
      <c r="J173" t="s">
        <v>851</v>
      </c>
      <c r="K173">
        <v>27</v>
      </c>
    </row>
    <row r="174" spans="1:11">
      <c r="A174" t="str">
        <f>IF(LEFT(E174,1)="1","SOL",IF(LEFT(E174,1)="2","CO",IF(LEFT(E174,1)="3","ALM",IF(LEFT(E174,1)="4","FAC","TRX")))) &amp; "-" &amp; B174 &amp; "-" &amp; TEXT(COUNTIFS($E$2:$E174,E174,$B$2:$B174,B174),"000")</f>
        <v>SOL-26-036</v>
      </c>
      <c r="B174">
        <v>26</v>
      </c>
      <c r="C174" s="18046">
        <v>46197</v>
      </c>
      <c r="D174" t="s">
        <v>2</v>
      </c>
      <c r="E174" t="s">
        <v>850</v>
      </c>
      <c r="F174" t="s">
        <v>211</v>
      </c>
      <c r="G174" s="3">
        <v>80</v>
      </c>
      <c r="H174" s="18047">
        <v>27</v>
      </c>
      <c r="I174" s="18047">
        <v>2160</v>
      </c>
      <c r="J174" t="s">
        <v>851</v>
      </c>
      <c r="K174">
        <v>27</v>
      </c>
    </row>
    <row r="175" spans="1:11">
      <c r="A175" t="str">
        <f>IF(LEFT(E175,1)="1","SOL",IF(LEFT(E175,1)="2","CO",IF(LEFT(E175,1)="3","ALM",IF(LEFT(E175,1)="4","FAC","TRX")))) &amp; "-" &amp; B175 &amp; "-" &amp; TEXT(COUNTIFS($E$2:$E175,E175,$B$2:$B175,B175),"000")</f>
        <v>SOL-26-037</v>
      </c>
      <c r="B175">
        <v>26</v>
      </c>
      <c r="C175" s="18046">
        <v>46197</v>
      </c>
      <c r="D175" t="s">
        <v>2</v>
      </c>
      <c r="E175" t="s">
        <v>850</v>
      </c>
      <c r="F175" t="s">
        <v>236</v>
      </c>
      <c r="G175" s="3">
        <v>40</v>
      </c>
      <c r="H175" s="18047">
        <v>27</v>
      </c>
      <c r="I175" s="18047">
        <v>1080</v>
      </c>
      <c r="J175" t="s">
        <v>851</v>
      </c>
      <c r="K175">
        <v>27</v>
      </c>
    </row>
    <row r="176" spans="1:11">
      <c r="A176" t="str">
        <f>IF(LEFT(E176,1)="1","SOL",IF(LEFT(E176,1)="2","CO",IF(LEFT(E176,1)="3","ALM",IF(LEFT(E176,1)="4","FAC","TRX")))) &amp; "-" &amp; B176 &amp; "-" &amp; TEXT(COUNTIFS($E$2:$E176,E176,$B$2:$B176,B176),"000")</f>
        <v>SOL-26-038</v>
      </c>
      <c r="B176">
        <v>26</v>
      </c>
      <c r="C176" s="18046">
        <v>46197</v>
      </c>
      <c r="D176" t="s">
        <v>2</v>
      </c>
      <c r="E176" t="s">
        <v>850</v>
      </c>
      <c r="F176" t="s">
        <v>223</v>
      </c>
      <c r="G176" s="3">
        <v>24</v>
      </c>
      <c r="H176" s="18047">
        <v>27</v>
      </c>
      <c r="I176" s="18047">
        <v>648</v>
      </c>
      <c r="J176" t="s">
        <v>851</v>
      </c>
      <c r="K176">
        <v>27</v>
      </c>
    </row>
    <row r="177" spans="1:11">
      <c r="A177" t="str">
        <f>IF(LEFT(E177,1)="1","SOL",IF(LEFT(E177,1)="2","CO",IF(LEFT(E177,1)="3","ALM",IF(LEFT(E177,1)="4","FAC","TRX")))) &amp; "-" &amp; B177 &amp; "-" &amp; TEXT(COUNTIFS($E$2:$E177,E177,$B$2:$B177,B177),"000")</f>
        <v>SOL-26-039</v>
      </c>
      <c r="B177">
        <v>26</v>
      </c>
      <c r="C177" s="18046">
        <v>46197</v>
      </c>
      <c r="D177" t="s">
        <v>2</v>
      </c>
      <c r="E177" t="s">
        <v>850</v>
      </c>
      <c r="F177" t="s">
        <v>231</v>
      </c>
      <c r="G177" s="3">
        <v>60</v>
      </c>
      <c r="H177" s="18047">
        <v>27</v>
      </c>
      <c r="I177" s="18047">
        <v>1620</v>
      </c>
      <c r="J177" t="s">
        <v>851</v>
      </c>
      <c r="K177">
        <v>27</v>
      </c>
    </row>
    <row r="178" spans="1:11">
      <c r="A178" t="str">
        <f>IF(LEFT(E178,1)="1","SOL",IF(LEFT(E178,1)="2","CO",IF(LEFT(E178,1)="3","ALM",IF(LEFT(E178,1)="4","FAC","TRX")))) &amp; "-" &amp; B178 &amp; "-" &amp; TEXT(COUNTIFS($E$2:$E178,E178,$B$2:$B178,B178),"000")</f>
        <v>SOL-26-040</v>
      </c>
      <c r="B178">
        <v>26</v>
      </c>
      <c r="C178" s="18046">
        <v>46197</v>
      </c>
      <c r="D178" t="s">
        <v>2</v>
      </c>
      <c r="E178" t="s">
        <v>850</v>
      </c>
      <c r="F178" t="s">
        <v>225</v>
      </c>
      <c r="G178" s="3">
        <v>24</v>
      </c>
      <c r="H178" s="18047">
        <v>27</v>
      </c>
      <c r="I178" s="18047">
        <v>648</v>
      </c>
      <c r="J178" t="s">
        <v>851</v>
      </c>
      <c r="K178">
        <v>27</v>
      </c>
    </row>
    <row r="179" spans="1:11">
      <c r="A179" t="str">
        <f>IF(LEFT(E179,1)="1","SOL",IF(LEFT(E179,1)="2","CO",IF(LEFT(E179,1)="3","ALM",IF(LEFT(E179,1)="4","FAC","TRX")))) &amp; "-" &amp; B179 &amp; "-" &amp; TEXT(COUNTIFS($E$2:$E179,E179,$B$2:$B179,B179),"000")</f>
        <v>SOL-26-041</v>
      </c>
      <c r="B179">
        <v>26</v>
      </c>
      <c r="C179" s="18046">
        <v>46197</v>
      </c>
      <c r="D179" t="s">
        <v>2</v>
      </c>
      <c r="E179" t="s">
        <v>850</v>
      </c>
      <c r="F179" t="s">
        <v>234</v>
      </c>
      <c r="G179" s="3">
        <v>60</v>
      </c>
      <c r="H179" s="18047">
        <v>27</v>
      </c>
      <c r="I179" s="18047">
        <v>1620</v>
      </c>
      <c r="J179" t="s">
        <v>851</v>
      </c>
      <c r="K179">
        <v>27</v>
      </c>
    </row>
    <row r="180" spans="1:11">
      <c r="A180" t="str">
        <f>IF(LEFT(E180,1)="1","SOL",IF(LEFT(E180,1)="2","CO",IF(LEFT(E180,1)="3","ALM",IF(LEFT(E180,1)="4","FAC","TRX")))) &amp; "-" &amp; B180 &amp; "-" &amp; TEXT(COUNTIFS($E$2:$E180,E180,$B$2:$B180,B180),"000")</f>
        <v>SOL-26-042</v>
      </c>
      <c r="B180">
        <v>26</v>
      </c>
      <c r="C180" s="18046">
        <v>46198</v>
      </c>
      <c r="D180" t="s">
        <v>2</v>
      </c>
      <c r="E180" t="s">
        <v>850</v>
      </c>
      <c r="F180" t="s">
        <v>215</v>
      </c>
      <c r="G180" s="3">
        <v>240</v>
      </c>
      <c r="H180" s="18047">
        <v>27</v>
      </c>
      <c r="I180" s="18047">
        <v>6480</v>
      </c>
      <c r="J180" t="s">
        <v>851</v>
      </c>
      <c r="K180">
        <v>27</v>
      </c>
    </row>
    <row r="181" spans="1:11">
      <c r="A181" t="str">
        <f>IF(LEFT(E181,1)="1","SOL",IF(LEFT(E181,1)="2","CO",IF(LEFT(E181,1)="3","ALM",IF(LEFT(E181,1)="4","FAC","TRX")))) &amp; "-" &amp; B181 &amp; "-" &amp; TEXT(COUNTIFS($E$2:$E181,E181,$B$2:$B181,B181),"000")</f>
        <v>SOL-26-043</v>
      </c>
      <c r="B181">
        <v>26</v>
      </c>
      <c r="C181" s="18046">
        <v>46198</v>
      </c>
      <c r="D181" t="s">
        <v>2</v>
      </c>
      <c r="E181" t="s">
        <v>850</v>
      </c>
      <c r="F181" t="s">
        <v>217</v>
      </c>
      <c r="G181" s="3">
        <v>20</v>
      </c>
      <c r="H181" s="18047">
        <v>27</v>
      </c>
      <c r="I181" s="18047">
        <v>540</v>
      </c>
      <c r="J181" t="s">
        <v>851</v>
      </c>
      <c r="K181">
        <v>27</v>
      </c>
    </row>
    <row r="182" spans="1:11">
      <c r="A182" t="str">
        <f>IF(LEFT(E182,1)="1","SOL",IF(LEFT(E182,1)="2","CO",IF(LEFT(E182,1)="3","ALM",IF(LEFT(E182,1)="4","FAC","TRX")))) &amp; "-" &amp; B182 &amp; "-" &amp; TEXT(COUNTIFS($E$2:$E182,E182,$B$2:$B182,B182),"000")</f>
        <v>SOL-26-044</v>
      </c>
      <c r="B182">
        <v>26</v>
      </c>
      <c r="C182" s="18046">
        <v>46198</v>
      </c>
      <c r="D182" t="s">
        <v>2</v>
      </c>
      <c r="E182" t="s">
        <v>850</v>
      </c>
      <c r="F182" t="s">
        <v>210</v>
      </c>
      <c r="G182" s="3">
        <v>30</v>
      </c>
      <c r="H182" s="18047">
        <v>27</v>
      </c>
      <c r="I182" s="18047">
        <v>810</v>
      </c>
      <c r="J182" t="s">
        <v>851</v>
      </c>
      <c r="K182">
        <v>27</v>
      </c>
    </row>
    <row r="183" spans="1:11">
      <c r="A183" t="str">
        <f>IF(LEFT(E183,1)="1","SOL",IF(LEFT(E183,1)="2","CO",IF(LEFT(E183,1)="3","ALM",IF(LEFT(E183,1)="4","FAC","TRX")))) &amp; "-" &amp; B183 &amp; "-" &amp; TEXT(COUNTIFS($E$2:$E183,E183,$B$2:$B183,B183),"000")</f>
        <v>SOL-26-045</v>
      </c>
      <c r="B183">
        <v>26</v>
      </c>
      <c r="C183" s="18046">
        <v>46198</v>
      </c>
      <c r="D183" t="s">
        <v>2</v>
      </c>
      <c r="E183" t="s">
        <v>850</v>
      </c>
      <c r="F183" t="s">
        <v>211</v>
      </c>
      <c r="G183" s="3">
        <v>80</v>
      </c>
      <c r="H183" s="18047">
        <v>27</v>
      </c>
      <c r="I183" s="18047">
        <v>2160</v>
      </c>
      <c r="J183" t="s">
        <v>851</v>
      </c>
      <c r="K183">
        <v>27</v>
      </c>
    </row>
    <row r="184" spans="1:11">
      <c r="A184" t="str">
        <f>IF(LEFT(E184,1)="1","SOL",IF(LEFT(E184,1)="2","CO",IF(LEFT(E184,1)="3","ALM",IF(LEFT(E184,1)="4","FAC","TRX")))) &amp; "-" &amp; B184 &amp; "-" &amp; TEXT(COUNTIFS($E$2:$E184,E184,$B$2:$B184,B184),"000")</f>
        <v>SOL-26-046</v>
      </c>
      <c r="B184">
        <v>26</v>
      </c>
      <c r="C184" s="18046">
        <v>46198</v>
      </c>
      <c r="D184" t="s">
        <v>2</v>
      </c>
      <c r="E184" t="s">
        <v>850</v>
      </c>
      <c r="F184" t="s">
        <v>236</v>
      </c>
      <c r="G184" s="3">
        <v>40</v>
      </c>
      <c r="H184" s="18047">
        <v>27</v>
      </c>
      <c r="I184" s="18047">
        <v>1080</v>
      </c>
      <c r="J184" t="s">
        <v>851</v>
      </c>
      <c r="K184">
        <v>27</v>
      </c>
    </row>
    <row r="185" spans="1:11">
      <c r="A185" t="str">
        <f>IF(LEFT(E185,1)="1","SOL",IF(LEFT(E185,1)="2","CO",IF(LEFT(E185,1)="3","ALM",IF(LEFT(E185,1)="4","FAC","TRX")))) &amp; "-" &amp; B185 &amp; "-" &amp; TEXT(COUNTIFS($E$2:$E185,E185,$B$2:$B185,B185),"000")</f>
        <v>SOL-26-047</v>
      </c>
      <c r="B185">
        <v>26</v>
      </c>
      <c r="C185" s="18046">
        <v>46198</v>
      </c>
      <c r="D185" t="s">
        <v>2</v>
      </c>
      <c r="E185" t="s">
        <v>850</v>
      </c>
      <c r="F185" t="s">
        <v>223</v>
      </c>
      <c r="G185" s="3">
        <v>24</v>
      </c>
      <c r="H185" s="18047">
        <v>27</v>
      </c>
      <c r="I185" s="18047">
        <v>648</v>
      </c>
      <c r="J185" t="s">
        <v>851</v>
      </c>
      <c r="K185">
        <v>27</v>
      </c>
    </row>
    <row r="186" spans="1:11">
      <c r="A186" t="str">
        <f>IF(LEFT(E186,1)="1","SOL",IF(LEFT(E186,1)="2","CO",IF(LEFT(E186,1)="3","ALM",IF(LEFT(E186,1)="4","FAC","TRX")))) &amp; "-" &amp; B186 &amp; "-" &amp; TEXT(COUNTIFS($E$2:$E186,E186,$B$2:$B186,B186),"000")</f>
        <v>SOL-26-048</v>
      </c>
      <c r="B186">
        <v>26</v>
      </c>
      <c r="C186" s="18046">
        <v>46198</v>
      </c>
      <c r="D186" t="s">
        <v>2</v>
      </c>
      <c r="E186" t="s">
        <v>850</v>
      </c>
      <c r="F186" t="s">
        <v>231</v>
      </c>
      <c r="G186" s="3">
        <v>60</v>
      </c>
      <c r="H186" s="18047">
        <v>27</v>
      </c>
      <c r="I186" s="18047">
        <v>1620</v>
      </c>
      <c r="J186" t="s">
        <v>851</v>
      </c>
      <c r="K186">
        <v>27</v>
      </c>
    </row>
    <row r="187" spans="1:11">
      <c r="A187" t="str">
        <f>IF(LEFT(E187,1)="1","SOL",IF(LEFT(E187,1)="2","CO",IF(LEFT(E187,1)="3","ALM",IF(LEFT(E187,1)="4","FAC","TRX")))) &amp; "-" &amp; B187 &amp; "-" &amp; TEXT(COUNTIFS($E$2:$E187,E187,$B$2:$B187,B187),"000")</f>
        <v>SOL-26-049</v>
      </c>
      <c r="B187">
        <v>26</v>
      </c>
      <c r="C187" s="18046">
        <v>46198</v>
      </c>
      <c r="D187" t="s">
        <v>2</v>
      </c>
      <c r="E187" t="s">
        <v>850</v>
      </c>
      <c r="F187" t="s">
        <v>225</v>
      </c>
      <c r="G187" s="3">
        <v>24</v>
      </c>
      <c r="H187" s="18047">
        <v>27</v>
      </c>
      <c r="I187" s="18047">
        <v>648</v>
      </c>
      <c r="J187" t="s">
        <v>851</v>
      </c>
      <c r="K187">
        <v>27</v>
      </c>
    </row>
    <row r="188" spans="1:11">
      <c r="A188" t="str">
        <f>IF(LEFT(E188,1)="1","SOL",IF(LEFT(E188,1)="2","CO",IF(LEFT(E188,1)="3","ALM",IF(LEFT(E188,1)="4","FAC","TRX")))) &amp; "-" &amp; B188 &amp; "-" &amp; TEXT(COUNTIFS($E$2:$E188,E188,$B$2:$B188,B188),"000")</f>
        <v>SOL-26-050</v>
      </c>
      <c r="B188">
        <v>26</v>
      </c>
      <c r="C188" s="18046">
        <v>46198</v>
      </c>
      <c r="D188" t="s">
        <v>2</v>
      </c>
      <c r="E188" t="s">
        <v>850</v>
      </c>
      <c r="F188" t="s">
        <v>234</v>
      </c>
      <c r="G188" s="3">
        <v>60</v>
      </c>
      <c r="H188" s="18047">
        <v>27</v>
      </c>
      <c r="I188" s="18047">
        <v>1620</v>
      </c>
      <c r="J188" t="s">
        <v>851</v>
      </c>
      <c r="K188">
        <v>27</v>
      </c>
    </row>
    <row r="189" spans="1:11">
      <c r="A189" t="str">
        <f>IF(LEFT(E189,1)="1","SOL",IF(LEFT(E189,1)="2","CO",IF(LEFT(E189,1)="3","ALM",IF(LEFT(E189,1)="4","FAC","TRX")))) &amp; "-" &amp; B189 &amp; "-" &amp; TEXT(COUNTIFS($E$2:$E189,E189,$B$2:$B189,B189),"000")</f>
        <v>SOL-26-051</v>
      </c>
      <c r="B189">
        <v>26</v>
      </c>
      <c r="C189" s="18046">
        <v>46199</v>
      </c>
      <c r="D189" t="s">
        <v>2</v>
      </c>
      <c r="E189" t="s">
        <v>850</v>
      </c>
      <c r="F189" t="s">
        <v>215</v>
      </c>
      <c r="G189" s="3">
        <v>240</v>
      </c>
      <c r="H189" s="18047">
        <v>27</v>
      </c>
      <c r="I189" s="18047">
        <v>6480</v>
      </c>
      <c r="J189" t="s">
        <v>851</v>
      </c>
      <c r="K189">
        <v>27</v>
      </c>
    </row>
    <row r="190" spans="1:11">
      <c r="A190" t="str">
        <f>IF(LEFT(E190,1)="1","SOL",IF(LEFT(E190,1)="2","CO",IF(LEFT(E190,1)="3","ALM",IF(LEFT(E190,1)="4","FAC","TRX")))) &amp; "-" &amp; B190 &amp; "-" &amp; TEXT(COUNTIFS($E$2:$E190,E190,$B$2:$B190,B190),"000")</f>
        <v>SOL-26-052</v>
      </c>
      <c r="B190">
        <v>26</v>
      </c>
      <c r="C190" s="18046">
        <v>46199</v>
      </c>
      <c r="D190" t="s">
        <v>2</v>
      </c>
      <c r="E190" t="s">
        <v>850</v>
      </c>
      <c r="F190" t="s">
        <v>217</v>
      </c>
      <c r="G190" s="3">
        <v>20</v>
      </c>
      <c r="H190" s="18047">
        <v>27</v>
      </c>
      <c r="I190" s="18047">
        <v>540</v>
      </c>
      <c r="J190" t="s">
        <v>851</v>
      </c>
      <c r="K190">
        <v>27</v>
      </c>
    </row>
    <row r="191" spans="1:11">
      <c r="A191" t="str">
        <f>IF(LEFT(E191,1)="1","SOL",IF(LEFT(E191,1)="2","CO",IF(LEFT(E191,1)="3","ALM",IF(LEFT(E191,1)="4","FAC","TRX")))) &amp; "-" &amp; B191 &amp; "-" &amp; TEXT(COUNTIFS($E$2:$E191,E191,$B$2:$B191,B191),"000")</f>
        <v>SOL-26-053</v>
      </c>
      <c r="B191">
        <v>26</v>
      </c>
      <c r="C191" s="18046">
        <v>46199</v>
      </c>
      <c r="D191" t="s">
        <v>2</v>
      </c>
      <c r="E191" t="s">
        <v>850</v>
      </c>
      <c r="F191" t="s">
        <v>210</v>
      </c>
      <c r="G191" s="3">
        <v>30</v>
      </c>
      <c r="H191" s="18047">
        <v>27</v>
      </c>
      <c r="I191" s="18047">
        <v>810</v>
      </c>
      <c r="J191" t="s">
        <v>851</v>
      </c>
      <c r="K191">
        <v>27</v>
      </c>
    </row>
    <row r="192" spans="1:11">
      <c r="A192" t="str">
        <f>IF(LEFT(E192,1)="1","SOL",IF(LEFT(E192,1)="2","CO",IF(LEFT(E192,1)="3","ALM",IF(LEFT(E192,1)="4","FAC","TRX")))) &amp; "-" &amp; B192 &amp; "-" &amp; TEXT(COUNTIFS($E$2:$E192,E192,$B$2:$B192,B192),"000")</f>
        <v>SOL-26-054</v>
      </c>
      <c r="B192">
        <v>26</v>
      </c>
      <c r="C192" s="18046">
        <v>46199</v>
      </c>
      <c r="D192" t="s">
        <v>2</v>
      </c>
      <c r="E192" t="s">
        <v>850</v>
      </c>
      <c r="F192" t="s">
        <v>211</v>
      </c>
      <c r="G192" s="3">
        <v>80</v>
      </c>
      <c r="H192" s="18047">
        <v>27</v>
      </c>
      <c r="I192" s="18047">
        <v>2160</v>
      </c>
      <c r="J192" t="s">
        <v>851</v>
      </c>
      <c r="K192">
        <v>27</v>
      </c>
    </row>
    <row r="193" spans="1:11">
      <c r="A193" t="str">
        <f>IF(LEFT(E193,1)="1","SOL",IF(LEFT(E193,1)="2","CO",IF(LEFT(E193,1)="3","ALM",IF(LEFT(E193,1)="4","FAC","TRX")))) &amp; "-" &amp; B193 &amp; "-" &amp; TEXT(COUNTIFS($E$2:$E193,E193,$B$2:$B193,B193),"000")</f>
        <v>SOL-26-055</v>
      </c>
      <c r="B193">
        <v>26</v>
      </c>
      <c r="C193" s="18046">
        <v>46199</v>
      </c>
      <c r="D193" t="s">
        <v>2</v>
      </c>
      <c r="E193" t="s">
        <v>850</v>
      </c>
      <c r="F193" t="s">
        <v>236</v>
      </c>
      <c r="G193" s="3">
        <v>40</v>
      </c>
      <c r="H193" s="18047">
        <v>27</v>
      </c>
      <c r="I193" s="18047">
        <v>1080</v>
      </c>
      <c r="J193" t="s">
        <v>851</v>
      </c>
      <c r="K193">
        <v>27</v>
      </c>
    </row>
    <row r="194" spans="1:11">
      <c r="A194" t="str">
        <f>IF(LEFT(E194,1)="1","SOL",IF(LEFT(E194,1)="2","CO",IF(LEFT(E194,1)="3","ALM",IF(LEFT(E194,1)="4","FAC","TRX")))) &amp; "-" &amp; B194 &amp; "-" &amp; TEXT(COUNTIFS($E$2:$E194,E194,$B$2:$B194,B194),"000")</f>
        <v>SOL-26-056</v>
      </c>
      <c r="B194">
        <v>26</v>
      </c>
      <c r="C194" s="18046">
        <v>46199</v>
      </c>
      <c r="D194" t="s">
        <v>2</v>
      </c>
      <c r="E194" t="s">
        <v>850</v>
      </c>
      <c r="F194" t="s">
        <v>223</v>
      </c>
      <c r="G194" s="3">
        <v>24</v>
      </c>
      <c r="H194" s="18047">
        <v>27</v>
      </c>
      <c r="I194" s="18047">
        <v>648</v>
      </c>
      <c r="J194" t="s">
        <v>851</v>
      </c>
      <c r="K194">
        <v>27</v>
      </c>
    </row>
    <row r="195" spans="1:11">
      <c r="A195" t="str">
        <f>IF(LEFT(E195,1)="1","SOL",IF(LEFT(E195,1)="2","CO",IF(LEFT(E195,1)="3","ALM",IF(LEFT(E195,1)="4","FAC","TRX")))) &amp; "-" &amp; B195 &amp; "-" &amp; TEXT(COUNTIFS($E$2:$E195,E195,$B$2:$B195,B195),"000")</f>
        <v>SOL-26-057</v>
      </c>
      <c r="B195">
        <v>26</v>
      </c>
      <c r="C195" s="18046">
        <v>46199</v>
      </c>
      <c r="D195" t="s">
        <v>2</v>
      </c>
      <c r="E195" t="s">
        <v>850</v>
      </c>
      <c r="F195" t="s">
        <v>231</v>
      </c>
      <c r="G195" s="3">
        <v>60</v>
      </c>
      <c r="H195" s="18047">
        <v>27</v>
      </c>
      <c r="I195" s="18047">
        <v>1620</v>
      </c>
      <c r="J195" t="s">
        <v>851</v>
      </c>
      <c r="K195">
        <v>27</v>
      </c>
    </row>
    <row r="196" spans="1:11">
      <c r="A196" t="str">
        <f>IF(LEFT(E196,1)="1","SOL",IF(LEFT(E196,1)="2","CO",IF(LEFT(E196,1)="3","ALM",IF(LEFT(E196,1)="4","FAC","TRX")))) &amp; "-" &amp; B196 &amp; "-" &amp; TEXT(COUNTIFS($E$2:$E196,E196,$B$2:$B196,B196),"000")</f>
        <v>SOL-26-058</v>
      </c>
      <c r="B196">
        <v>26</v>
      </c>
      <c r="C196" s="18046">
        <v>46199</v>
      </c>
      <c r="D196" t="s">
        <v>2</v>
      </c>
      <c r="E196" t="s">
        <v>850</v>
      </c>
      <c r="F196" t="s">
        <v>225</v>
      </c>
      <c r="G196" s="3">
        <v>24</v>
      </c>
      <c r="H196" s="18047">
        <v>27</v>
      </c>
      <c r="I196" s="18047">
        <v>648</v>
      </c>
      <c r="J196" t="s">
        <v>851</v>
      </c>
      <c r="K196">
        <v>27</v>
      </c>
    </row>
    <row r="197" spans="1:11">
      <c r="A197" t="str">
        <f>IF(LEFT(E197,1)="1","SOL",IF(LEFT(E197,1)="2","CO",IF(LEFT(E197,1)="3","ALM",IF(LEFT(E197,1)="4","FAC","TRX")))) &amp; "-" &amp; B197 &amp; "-" &amp; TEXT(COUNTIFS($E$2:$E197,E197,$B$2:$B197,B197),"000")</f>
        <v>SOL-26-059</v>
      </c>
      <c r="B197">
        <v>26</v>
      </c>
      <c r="C197" s="18046">
        <v>46199</v>
      </c>
      <c r="D197" t="s">
        <v>2</v>
      </c>
      <c r="E197" t="s">
        <v>850</v>
      </c>
      <c r="F197" t="s">
        <v>234</v>
      </c>
      <c r="G197" s="3">
        <v>60</v>
      </c>
      <c r="H197" s="18047">
        <v>27</v>
      </c>
      <c r="I197" s="18047">
        <v>1620</v>
      </c>
      <c r="J197" t="s">
        <v>851</v>
      </c>
      <c r="K197">
        <v>27</v>
      </c>
    </row>
    <row r="198" spans="1:11">
      <c r="A198" t="str">
        <f>IF(LEFT(E198,1)="1","SOL",IF(LEFT(E198,1)="2","CO",IF(LEFT(E198,1)="3","ALM",IF(LEFT(E198,1)="4","FAC","TRX")))) &amp; "-" &amp; B198 &amp; "-" &amp; TEXT(COUNTIFS($E$2:$E198,E198,$B$2:$B198,B198),"000")</f>
        <v>SOL-26-060</v>
      </c>
      <c r="B198">
        <v>26</v>
      </c>
      <c r="C198" s="18046">
        <v>46195</v>
      </c>
      <c r="D198" t="s">
        <v>124</v>
      </c>
      <c r="E198" t="s">
        <v>850</v>
      </c>
      <c r="F198" t="s">
        <v>240</v>
      </c>
      <c r="G198" s="3">
        <v>300</v>
      </c>
      <c r="H198" s="18047">
        <v>27</v>
      </c>
      <c r="I198" s="18047">
        <v>8100</v>
      </c>
      <c r="J198" t="s">
        <v>851</v>
      </c>
      <c r="K198">
        <v>27</v>
      </c>
    </row>
    <row r="199" spans="1:11">
      <c r="A199" t="str">
        <f>IF(LEFT(E199,1)="1","SOL",IF(LEFT(E199,1)="2","CO",IF(LEFT(E199,1)="3","ALM",IF(LEFT(E199,1)="4","FAC","TRX")))) &amp; "-" &amp; B199 &amp; "-" &amp; TEXT(COUNTIFS($E$2:$E199,E199,$B$2:$B199,B199),"000")</f>
        <v>SOL-26-061</v>
      </c>
      <c r="B199">
        <v>26</v>
      </c>
      <c r="C199" s="18046">
        <v>46195</v>
      </c>
      <c r="D199" t="s">
        <v>124</v>
      </c>
      <c r="E199" t="s">
        <v>850</v>
      </c>
      <c r="F199" t="s">
        <v>209</v>
      </c>
      <c r="G199" s="3">
        <v>100</v>
      </c>
      <c r="H199" s="18047">
        <v>27</v>
      </c>
      <c r="I199" s="18047">
        <v>2700</v>
      </c>
      <c r="J199" t="s">
        <v>851</v>
      </c>
      <c r="K199">
        <v>27</v>
      </c>
    </row>
    <row r="200" spans="1:11">
      <c r="A200" t="str">
        <f>IF(LEFT(E200,1)="1","SOL",IF(LEFT(E200,1)="2","CO",IF(LEFT(E200,1)="3","ALM",IF(LEFT(E200,1)="4","FAC","TRX")))) &amp; "-" &amp; B200 &amp; "-" &amp; TEXT(COUNTIFS($E$2:$E200,E200,$B$2:$B200,B200),"000")</f>
        <v>SOL-26-062</v>
      </c>
      <c r="B200">
        <v>26</v>
      </c>
      <c r="C200" s="18046">
        <v>46195</v>
      </c>
      <c r="D200" t="s">
        <v>124</v>
      </c>
      <c r="E200" t="s">
        <v>850</v>
      </c>
      <c r="F200" t="s">
        <v>248</v>
      </c>
      <c r="G200" s="3">
        <v>100</v>
      </c>
      <c r="H200" s="18047">
        <v>27</v>
      </c>
      <c r="I200" s="18047">
        <v>2700</v>
      </c>
      <c r="J200" t="s">
        <v>851</v>
      </c>
      <c r="K200">
        <v>27</v>
      </c>
    </row>
    <row r="201" spans="1:11">
      <c r="A201" t="str">
        <f>IF(LEFT(E201,1)="1","SOL",IF(LEFT(E201,1)="2","CO",IF(LEFT(E201,1)="3","ALM",IF(LEFT(E201,1)="4","FAC","TRX")))) &amp; "-" &amp; B201 &amp; "-" &amp; TEXT(COUNTIFS($E$2:$E201,E201,$B$2:$B201,B201),"000")</f>
        <v>SOL-26-063</v>
      </c>
      <c r="B201">
        <v>26</v>
      </c>
      <c r="C201" s="18046">
        <v>46195</v>
      </c>
      <c r="D201" t="s">
        <v>124</v>
      </c>
      <c r="E201" t="s">
        <v>850</v>
      </c>
      <c r="F201" t="s">
        <v>241</v>
      </c>
      <c r="G201" s="3">
        <v>100</v>
      </c>
      <c r="H201" s="18047">
        <v>27</v>
      </c>
      <c r="I201" s="18047">
        <v>2700</v>
      </c>
      <c r="J201" t="s">
        <v>851</v>
      </c>
      <c r="K201">
        <v>27</v>
      </c>
    </row>
    <row r="202" spans="1:11">
      <c r="A202" t="str">
        <f>IF(LEFT(E202,1)="1","SOL",IF(LEFT(E202,1)="2","CO",IF(LEFT(E202,1)="3","ALM",IF(LEFT(E202,1)="4","FAC","TRX")))) &amp; "-" &amp; B202 &amp; "-" &amp; TEXT(COUNTIFS($E$2:$E202,E202,$B$2:$B202,B202),"000")</f>
        <v>SOL-26-064</v>
      </c>
      <c r="B202">
        <v>26</v>
      </c>
      <c r="C202" s="18046">
        <v>46196</v>
      </c>
      <c r="D202" t="s">
        <v>124</v>
      </c>
      <c r="E202" t="s">
        <v>850</v>
      </c>
      <c r="F202" t="s">
        <v>240</v>
      </c>
      <c r="G202" s="3">
        <v>300</v>
      </c>
      <c r="H202" s="18047">
        <v>27</v>
      </c>
      <c r="I202" s="18047">
        <v>8100</v>
      </c>
      <c r="J202" t="s">
        <v>851</v>
      </c>
      <c r="K202">
        <v>27</v>
      </c>
    </row>
    <row r="203" spans="1:11">
      <c r="A203" t="str">
        <f>IF(LEFT(E203,1)="1","SOL",IF(LEFT(E203,1)="2","CO",IF(LEFT(E203,1)="3","ALM",IF(LEFT(E203,1)="4","FAC","TRX")))) &amp; "-" &amp; B203 &amp; "-" &amp; TEXT(COUNTIFS($E$2:$E203,E203,$B$2:$B203,B203),"000")</f>
        <v>SOL-26-065</v>
      </c>
      <c r="B203">
        <v>26</v>
      </c>
      <c r="C203" s="18046">
        <v>46196</v>
      </c>
      <c r="D203" t="s">
        <v>124</v>
      </c>
      <c r="E203" t="s">
        <v>850</v>
      </c>
      <c r="F203" t="s">
        <v>209</v>
      </c>
      <c r="G203" s="3">
        <v>100</v>
      </c>
      <c r="H203" s="18047">
        <v>27</v>
      </c>
      <c r="I203" s="18047">
        <v>2700</v>
      </c>
      <c r="J203" t="s">
        <v>851</v>
      </c>
      <c r="K203">
        <v>27</v>
      </c>
    </row>
    <row r="204" spans="1:11">
      <c r="A204" t="str">
        <f>IF(LEFT(E204,1)="1","SOL",IF(LEFT(E204,1)="2","CO",IF(LEFT(E204,1)="3","ALM",IF(LEFT(E204,1)="4","FAC","TRX")))) &amp; "-" &amp; B204 &amp; "-" &amp; TEXT(COUNTIFS($E$2:$E204,E204,$B$2:$B204,B204),"000")</f>
        <v>SOL-26-066</v>
      </c>
      <c r="B204">
        <v>26</v>
      </c>
      <c r="C204" s="18046">
        <v>46197</v>
      </c>
      <c r="D204" t="s">
        <v>124</v>
      </c>
      <c r="E204" t="s">
        <v>850</v>
      </c>
      <c r="F204" t="s">
        <v>240</v>
      </c>
      <c r="G204" s="3">
        <v>300</v>
      </c>
      <c r="H204" s="18047">
        <v>27</v>
      </c>
      <c r="I204" s="18047">
        <v>8100</v>
      </c>
      <c r="J204" t="s">
        <v>851</v>
      </c>
      <c r="K204">
        <v>27</v>
      </c>
    </row>
    <row r="205" spans="1:11">
      <c r="A205" t="str">
        <f>IF(LEFT(E205,1)="1","SOL",IF(LEFT(E205,1)="2","CO",IF(LEFT(E205,1)="3","ALM",IF(LEFT(E205,1)="4","FAC","TRX")))) &amp; "-" &amp; B205 &amp; "-" &amp; TEXT(COUNTIFS($E$2:$E205,E205,$B$2:$B205,B205),"000")</f>
        <v>SOL-26-067</v>
      </c>
      <c r="B205">
        <v>26</v>
      </c>
      <c r="C205" s="18046">
        <v>46197</v>
      </c>
      <c r="D205" t="s">
        <v>124</v>
      </c>
      <c r="E205" t="s">
        <v>850</v>
      </c>
      <c r="F205" t="s">
        <v>209</v>
      </c>
      <c r="G205" s="3">
        <v>100</v>
      </c>
      <c r="H205" s="18047">
        <v>27</v>
      </c>
      <c r="I205" s="18047">
        <v>2700</v>
      </c>
      <c r="J205" t="s">
        <v>851</v>
      </c>
      <c r="K205">
        <v>27</v>
      </c>
    </row>
    <row r="206" spans="1:11">
      <c r="A206" t="str">
        <f>IF(LEFT(E206,1)="1","SOL",IF(LEFT(E206,1)="2","CO",IF(LEFT(E206,1)="3","ALM",IF(LEFT(E206,1)="4","FAC","TRX")))) &amp; "-" &amp; B206 &amp; "-" &amp; TEXT(COUNTIFS($E$2:$E206,E206,$B$2:$B206,B206),"000")</f>
        <v>SOL-26-068</v>
      </c>
      <c r="B206">
        <v>26</v>
      </c>
      <c r="C206" s="18046">
        <v>46197</v>
      </c>
      <c r="D206" t="s">
        <v>124</v>
      </c>
      <c r="E206" t="s">
        <v>850</v>
      </c>
      <c r="F206" t="s">
        <v>241</v>
      </c>
      <c r="G206" s="3">
        <v>100</v>
      </c>
      <c r="H206" s="18047">
        <v>27</v>
      </c>
      <c r="I206" s="18047">
        <v>2700</v>
      </c>
      <c r="J206" t="s">
        <v>851</v>
      </c>
      <c r="K206">
        <v>27</v>
      </c>
    </row>
    <row r="207" spans="1:11">
      <c r="A207" t="str">
        <f>IF(LEFT(E207,1)="1","SOL",IF(LEFT(E207,1)="2","CO",IF(LEFT(E207,1)="3","ALM",IF(LEFT(E207,1)="4","FAC","TRX")))) &amp; "-" &amp; B207 &amp; "-" &amp; TEXT(COUNTIFS($E$2:$E207,E207,$B$2:$B207,B207),"000")</f>
        <v>SOL-26-069</v>
      </c>
      <c r="B207">
        <v>26</v>
      </c>
      <c r="C207" s="18046">
        <v>46198</v>
      </c>
      <c r="D207" t="s">
        <v>124</v>
      </c>
      <c r="E207" t="s">
        <v>850</v>
      </c>
      <c r="F207" t="s">
        <v>240</v>
      </c>
      <c r="G207" s="3">
        <v>300</v>
      </c>
      <c r="H207" s="18047">
        <v>27</v>
      </c>
      <c r="I207" s="18047">
        <v>8100</v>
      </c>
      <c r="J207" t="s">
        <v>851</v>
      </c>
      <c r="K207">
        <v>27</v>
      </c>
    </row>
    <row r="208" spans="1:11">
      <c r="A208" t="str">
        <f>IF(LEFT(E208,1)="1","SOL",IF(LEFT(E208,1)="2","CO",IF(LEFT(E208,1)="3","ALM",IF(LEFT(E208,1)="4","FAC","TRX")))) &amp; "-" &amp; B208 &amp; "-" &amp; TEXT(COUNTIFS($E$2:$E208,E208,$B$2:$B208,B208),"000")</f>
        <v>SOL-26-070</v>
      </c>
      <c r="B208">
        <v>26</v>
      </c>
      <c r="C208" s="18046">
        <v>46198</v>
      </c>
      <c r="D208" t="s">
        <v>124</v>
      </c>
      <c r="E208" t="s">
        <v>850</v>
      </c>
      <c r="F208" t="s">
        <v>209</v>
      </c>
      <c r="G208" s="3">
        <v>100</v>
      </c>
      <c r="H208" s="18047">
        <v>27</v>
      </c>
      <c r="I208" s="18047">
        <v>2700</v>
      </c>
      <c r="J208" t="s">
        <v>851</v>
      </c>
      <c r="K208">
        <v>27</v>
      </c>
    </row>
    <row r="209" spans="1:11">
      <c r="A209" t="str">
        <f>IF(LEFT(E209,1)="1","SOL",IF(LEFT(E209,1)="2","CO",IF(LEFT(E209,1)="3","ALM",IF(LEFT(E209,1)="4","FAC","TRX")))) &amp; "-" &amp; B209 &amp; "-" &amp; TEXT(COUNTIFS($E$2:$E209,E209,$B$2:$B209,B209),"000")</f>
        <v>SOL-26-071</v>
      </c>
      <c r="B209">
        <v>26</v>
      </c>
      <c r="C209" s="18046">
        <v>46198</v>
      </c>
      <c r="D209" t="s">
        <v>124</v>
      </c>
      <c r="E209" t="s">
        <v>850</v>
      </c>
      <c r="F209" t="s">
        <v>248</v>
      </c>
      <c r="G209" s="3">
        <v>100</v>
      </c>
      <c r="H209" s="18047">
        <v>27</v>
      </c>
      <c r="I209" s="18047">
        <v>2700</v>
      </c>
      <c r="J209" t="s">
        <v>851</v>
      </c>
      <c r="K209">
        <v>27</v>
      </c>
    </row>
    <row r="210" spans="1:11">
      <c r="A210" t="str">
        <f>IF(LEFT(E210,1)="1","SOL",IF(LEFT(E210,1)="2","CO",IF(LEFT(E210,1)="3","ALM",IF(LEFT(E210,1)="4","FAC","TRX")))) &amp; "-" &amp; B210 &amp; "-" &amp; TEXT(COUNTIFS($E$2:$E210,E210,$B$2:$B210,B210),"000")</f>
        <v>SOL-26-072</v>
      </c>
      <c r="B210">
        <v>26</v>
      </c>
      <c r="C210" s="18046">
        <v>46199</v>
      </c>
      <c r="D210" t="s">
        <v>124</v>
      </c>
      <c r="E210" t="s">
        <v>850</v>
      </c>
      <c r="F210" t="s">
        <v>240</v>
      </c>
      <c r="G210" s="3">
        <v>300</v>
      </c>
      <c r="H210" s="18047">
        <v>27</v>
      </c>
      <c r="I210" s="18047">
        <v>8100</v>
      </c>
      <c r="J210" t="s">
        <v>851</v>
      </c>
      <c r="K210">
        <v>27</v>
      </c>
    </row>
    <row r="211" spans="1:11">
      <c r="A211" t="str">
        <f>IF(LEFT(E211,1)="1","SOL",IF(LEFT(E211,1)="2","CO",IF(LEFT(E211,1)="3","ALM",IF(LEFT(E211,1)="4","FAC","TRX")))) &amp; "-" &amp; B211 &amp; "-" &amp; TEXT(COUNTIFS($E$2:$E211,E211,$B$2:$B211,B211),"000")</f>
        <v>SOL-26-073</v>
      </c>
      <c r="B211">
        <v>26</v>
      </c>
      <c r="C211" s="18046">
        <v>46199</v>
      </c>
      <c r="D211" t="s">
        <v>124</v>
      </c>
      <c r="E211" t="s">
        <v>850</v>
      </c>
      <c r="F211" t="s">
        <v>209</v>
      </c>
      <c r="G211" s="3">
        <v>100</v>
      </c>
      <c r="H211" s="18047">
        <v>27</v>
      </c>
      <c r="I211" s="18047">
        <v>2700</v>
      </c>
      <c r="J211" t="s">
        <v>851</v>
      </c>
      <c r="K211">
        <v>27</v>
      </c>
    </row>
    <row r="212" spans="1:11">
      <c r="A212" t="str">
        <f>IF(LEFT(E212,1)="1","SOL",IF(LEFT(E212,1)="2","CO",IF(LEFT(E212,1)="3","ALM",IF(LEFT(E212,1)="4","FAC","TRX")))) &amp; "-" &amp; B212 &amp; "-" &amp; TEXT(COUNTIFS($E$2:$E212,E212,$B$2:$B212,B212),"000")</f>
        <v>SOL-26-074</v>
      </c>
      <c r="B212">
        <v>26</v>
      </c>
      <c r="C212" s="18046">
        <v>46199</v>
      </c>
      <c r="D212" t="s">
        <v>124</v>
      </c>
      <c r="E212" t="s">
        <v>850</v>
      </c>
      <c r="F212" t="s">
        <v>241</v>
      </c>
      <c r="G212" s="3">
        <v>100</v>
      </c>
      <c r="H212" s="18047">
        <v>27</v>
      </c>
      <c r="I212" s="18047">
        <v>2700</v>
      </c>
      <c r="J212" t="s">
        <v>851</v>
      </c>
      <c r="K212">
        <v>27</v>
      </c>
    </row>
    <row r="213" spans="1:11">
      <c r="A213" t="str">
        <f>IF(LEFT(E213,1)="1","SOL",IF(LEFT(E213,1)="2","CO",IF(LEFT(E213,1)="3","ALM",IF(LEFT(E213,1)="4","FAC","TRX")))) &amp; "-" &amp; B213 &amp; "-" &amp; TEXT(COUNTIFS($E$2:$E213,E213,$B$2:$B213,B213),"000")</f>
        <v>SOL-26-075</v>
      </c>
      <c r="B213">
        <v>26</v>
      </c>
      <c r="C213" s="18046">
        <v>46200</v>
      </c>
      <c r="D213" t="s">
        <v>124</v>
      </c>
      <c r="E213" t="s">
        <v>850</v>
      </c>
      <c r="F213" t="s">
        <v>209</v>
      </c>
      <c r="G213" s="3">
        <v>100</v>
      </c>
      <c r="H213" s="18047">
        <v>27</v>
      </c>
      <c r="I213" s="18047">
        <v>2700</v>
      </c>
      <c r="J213" t="s">
        <v>851</v>
      </c>
      <c r="K213">
        <v>27</v>
      </c>
    </row>
    <row r="214" spans="1:11">
      <c r="A214" t="str">
        <f>IF(LEFT(E214,1)="1","SOL",IF(LEFT(E214,1)="2","CO",IF(LEFT(E214,1)="3","ALM",IF(LEFT(E214,1)="4","FAC","TRX")))) &amp; "-" &amp; B214 &amp; "-" &amp; TEXT(COUNTIFS($E$2:$E214,E214,$B$2:$B214,B214),"000")</f>
        <v>SOL-26-076</v>
      </c>
      <c r="B214">
        <v>26</v>
      </c>
      <c r="C214" s="18046">
        <v>46195</v>
      </c>
      <c r="D214" t="s">
        <v>1</v>
      </c>
      <c r="E214" t="s">
        <v>850</v>
      </c>
      <c r="F214" t="s">
        <v>215</v>
      </c>
      <c r="G214" s="3">
        <v>250</v>
      </c>
      <c r="H214" s="18047">
        <v>27</v>
      </c>
      <c r="I214" s="18047">
        <v>6750</v>
      </c>
      <c r="J214" t="s">
        <v>851</v>
      </c>
      <c r="K214">
        <v>27</v>
      </c>
    </row>
    <row r="215" spans="1:11">
      <c r="A215" t="str">
        <f>IF(LEFT(E215,1)="1","SOL",IF(LEFT(E215,1)="2","CO",IF(LEFT(E215,1)="3","ALM",IF(LEFT(E215,1)="4","FAC","TRX")))) &amp; "-" &amp; B215 &amp; "-" &amp; TEXT(COUNTIFS($E$2:$E215,E215,$B$2:$B215,B215),"000")</f>
        <v>SOL-26-077</v>
      </c>
      <c r="B215">
        <v>26</v>
      </c>
      <c r="C215" s="18046">
        <v>46195</v>
      </c>
      <c r="D215" t="s">
        <v>1</v>
      </c>
      <c r="E215" t="s">
        <v>850</v>
      </c>
      <c r="F215" t="s">
        <v>211</v>
      </c>
      <c r="G215" s="3">
        <v>120</v>
      </c>
      <c r="H215" s="18047">
        <v>27</v>
      </c>
      <c r="I215" s="18047">
        <v>3240</v>
      </c>
      <c r="J215" t="s">
        <v>851</v>
      </c>
      <c r="K215">
        <v>27</v>
      </c>
    </row>
    <row r="216" spans="1:11">
      <c r="A216" t="str">
        <f>IF(LEFT(E216,1)="1","SOL",IF(LEFT(E216,1)="2","CO",IF(LEFT(E216,1)="3","ALM",IF(LEFT(E216,1)="4","FAC","TRX")))) &amp; "-" &amp; B216 &amp; "-" &amp; TEXT(COUNTIFS($E$2:$E216,E216,$B$2:$B216,B216),"000")</f>
        <v>SOL-26-078</v>
      </c>
      <c r="B216">
        <v>26</v>
      </c>
      <c r="C216" s="18046">
        <v>46195</v>
      </c>
      <c r="D216" t="s">
        <v>1</v>
      </c>
      <c r="E216" t="s">
        <v>850</v>
      </c>
      <c r="F216" t="s">
        <v>221</v>
      </c>
      <c r="G216" s="3">
        <v>50</v>
      </c>
      <c r="H216" s="18047">
        <v>27</v>
      </c>
      <c r="I216" s="18047">
        <v>1350</v>
      </c>
      <c r="J216" t="s">
        <v>851</v>
      </c>
      <c r="K216">
        <v>27</v>
      </c>
    </row>
    <row r="217" spans="1:11">
      <c r="A217" t="str">
        <f>IF(LEFT(E217,1)="1","SOL",IF(LEFT(E217,1)="2","CO",IF(LEFT(E217,1)="3","ALM",IF(LEFT(E217,1)="4","FAC","TRX")))) &amp; "-" &amp; B217 &amp; "-" &amp; TEXT(COUNTIFS($E$2:$E217,E217,$B$2:$B217,B217),"000")</f>
        <v>SOL-26-079</v>
      </c>
      <c r="B217">
        <v>26</v>
      </c>
      <c r="C217" s="18046">
        <v>46195</v>
      </c>
      <c r="D217" t="s">
        <v>1</v>
      </c>
      <c r="E217" t="s">
        <v>850</v>
      </c>
      <c r="F217" t="s">
        <v>221</v>
      </c>
      <c r="G217" s="3">
        <v>50</v>
      </c>
      <c r="H217" s="18047">
        <v>27</v>
      </c>
      <c r="I217" s="18047">
        <v>1350</v>
      </c>
      <c r="J217" t="s">
        <v>851</v>
      </c>
      <c r="K217">
        <v>27</v>
      </c>
    </row>
    <row r="218" spans="1:11">
      <c r="A218" t="str">
        <f>IF(LEFT(E218,1)="1","SOL",IF(LEFT(E218,1)="2","CO",IF(LEFT(E218,1)="3","ALM",IF(LEFT(E218,1)="4","FAC","TRX")))) &amp; "-" &amp; B218 &amp; "-" &amp; TEXT(COUNTIFS($E$2:$E218,E218,$B$2:$B218,B218),"000")</f>
        <v>SOL-26-080</v>
      </c>
      <c r="B218">
        <v>26</v>
      </c>
      <c r="C218" s="18046">
        <v>46195</v>
      </c>
      <c r="D218" t="s">
        <v>1</v>
      </c>
      <c r="E218" t="s">
        <v>850</v>
      </c>
      <c r="F218" t="s">
        <v>224</v>
      </c>
      <c r="G218" s="3">
        <v>50</v>
      </c>
      <c r="H218" s="18047">
        <v>27</v>
      </c>
      <c r="I218" s="18047">
        <v>1350</v>
      </c>
      <c r="J218" t="s">
        <v>851</v>
      </c>
      <c r="K218">
        <v>27</v>
      </c>
    </row>
    <row r="219" spans="1:11">
      <c r="A219" t="str">
        <f>IF(LEFT(E219,1)="1","SOL",IF(LEFT(E219,1)="2","CO",IF(LEFT(E219,1)="3","ALM",IF(LEFT(E219,1)="4","FAC","TRX")))) &amp; "-" &amp; B219 &amp; "-" &amp; TEXT(COUNTIFS($E$2:$E219,E219,$B$2:$B219,B219),"000")</f>
        <v>SOL-26-081</v>
      </c>
      <c r="B219">
        <v>26</v>
      </c>
      <c r="C219" s="18046">
        <v>46195</v>
      </c>
      <c r="D219" t="s">
        <v>1</v>
      </c>
      <c r="E219" t="s">
        <v>850</v>
      </c>
      <c r="F219" t="s">
        <v>227</v>
      </c>
      <c r="G219" s="3">
        <v>30</v>
      </c>
      <c r="H219" s="18047">
        <v>27</v>
      </c>
      <c r="I219" s="18047">
        <v>810</v>
      </c>
      <c r="J219" t="s">
        <v>851</v>
      </c>
      <c r="K219">
        <v>27</v>
      </c>
    </row>
    <row r="220" spans="1:11">
      <c r="A220" t="str">
        <f>IF(LEFT(E220,1)="1","SOL",IF(LEFT(E220,1)="2","CO",IF(LEFT(E220,1)="3","ALM",IF(LEFT(E220,1)="4","FAC","TRX")))) &amp; "-" &amp; B220 &amp; "-" &amp; TEXT(COUNTIFS($E$2:$E220,E220,$B$2:$B220,B220),"000")</f>
        <v>SOL-26-082</v>
      </c>
      <c r="B220">
        <v>26</v>
      </c>
      <c r="C220" s="18046">
        <v>46195</v>
      </c>
      <c r="D220" t="s">
        <v>1</v>
      </c>
      <c r="E220" t="s">
        <v>850</v>
      </c>
      <c r="F220" t="s">
        <v>210</v>
      </c>
      <c r="G220" s="3">
        <v>60</v>
      </c>
      <c r="H220" s="18047">
        <v>27</v>
      </c>
      <c r="I220" s="18047">
        <v>1620</v>
      </c>
      <c r="J220" t="s">
        <v>851</v>
      </c>
      <c r="K220">
        <v>27</v>
      </c>
    </row>
    <row r="221" spans="1:11">
      <c r="A221" t="str">
        <f>IF(LEFT(E221,1)="1","SOL",IF(LEFT(E221,1)="2","CO",IF(LEFT(E221,1)="3","ALM",IF(LEFT(E221,1)="4","FAC","TRX")))) &amp; "-" &amp; B221 &amp; "-" &amp; TEXT(COUNTIFS($E$2:$E221,E221,$B$2:$B221,B221),"000")</f>
        <v>SOL-26-083</v>
      </c>
      <c r="B221">
        <v>26</v>
      </c>
      <c r="C221" s="18046">
        <v>46195</v>
      </c>
      <c r="D221" t="s">
        <v>1</v>
      </c>
      <c r="E221" t="s">
        <v>850</v>
      </c>
      <c r="F221" t="s">
        <v>234</v>
      </c>
      <c r="G221" s="3">
        <v>50</v>
      </c>
      <c r="H221" s="18047">
        <v>27</v>
      </c>
      <c r="I221" s="18047">
        <v>1350</v>
      </c>
      <c r="J221" t="s">
        <v>851</v>
      </c>
      <c r="K221">
        <v>27</v>
      </c>
    </row>
    <row r="222" spans="1:11">
      <c r="A222" t="str">
        <f>IF(LEFT(E222,1)="1","SOL",IF(LEFT(E222,1)="2","CO",IF(LEFT(E222,1)="3","ALM",IF(LEFT(E222,1)="4","FAC","TRX")))) &amp; "-" &amp; B222 &amp; "-" &amp; TEXT(COUNTIFS($E$2:$E222,E222,$B$2:$B222,B222),"000")</f>
        <v>SOL-26-084</v>
      </c>
      <c r="B222">
        <v>26</v>
      </c>
      <c r="C222" s="18046">
        <v>46196</v>
      </c>
      <c r="D222" t="s">
        <v>1</v>
      </c>
      <c r="E222" t="s">
        <v>850</v>
      </c>
      <c r="F222" t="s">
        <v>211</v>
      </c>
      <c r="G222" s="3">
        <v>120</v>
      </c>
      <c r="H222" s="18047">
        <v>27</v>
      </c>
      <c r="I222" s="18047">
        <v>3240</v>
      </c>
      <c r="J222" t="s">
        <v>851</v>
      </c>
      <c r="K222">
        <v>27</v>
      </c>
    </row>
    <row r="223" spans="1:11">
      <c r="A223" t="str">
        <f>IF(LEFT(E223,1)="1","SOL",IF(LEFT(E223,1)="2","CO",IF(LEFT(E223,1)="3","ALM",IF(LEFT(E223,1)="4","FAC","TRX")))) &amp; "-" &amp; B223 &amp; "-" &amp; TEXT(COUNTIFS($E$2:$E223,E223,$B$2:$B223,B223),"000")</f>
        <v>SOL-26-085</v>
      </c>
      <c r="B223">
        <v>26</v>
      </c>
      <c r="C223" s="18046">
        <v>46196</v>
      </c>
      <c r="D223" t="s">
        <v>1</v>
      </c>
      <c r="E223" t="s">
        <v>850</v>
      </c>
      <c r="F223" t="s">
        <v>221</v>
      </c>
      <c r="G223" s="3">
        <v>40</v>
      </c>
      <c r="H223" s="18047">
        <v>27</v>
      </c>
      <c r="I223" s="18047">
        <v>1080</v>
      </c>
      <c r="J223" t="s">
        <v>851</v>
      </c>
      <c r="K223">
        <v>27</v>
      </c>
    </row>
    <row r="224" spans="1:11">
      <c r="A224" t="str">
        <f>IF(LEFT(E224,1)="1","SOL",IF(LEFT(E224,1)="2","CO",IF(LEFT(E224,1)="3","ALM",IF(LEFT(E224,1)="4","FAC","TRX")))) &amp; "-" &amp; B224 &amp; "-" &amp; TEXT(COUNTIFS($E$2:$E224,E224,$B$2:$B224,B224),"000")</f>
        <v>SOL-26-086</v>
      </c>
      <c r="B224">
        <v>26</v>
      </c>
      <c r="C224" s="18046">
        <v>46196</v>
      </c>
      <c r="D224" t="s">
        <v>1</v>
      </c>
      <c r="E224" t="s">
        <v>850</v>
      </c>
      <c r="F224" t="s">
        <v>221</v>
      </c>
      <c r="G224" s="3">
        <v>40</v>
      </c>
      <c r="H224" s="18047">
        <v>27</v>
      </c>
      <c r="I224" s="18047">
        <v>1080</v>
      </c>
      <c r="J224" t="s">
        <v>851</v>
      </c>
      <c r="K224">
        <v>27</v>
      </c>
    </row>
    <row r="225" spans="1:11">
      <c r="A225" t="str">
        <f>IF(LEFT(E225,1)="1","SOL",IF(LEFT(E225,1)="2","CO",IF(LEFT(E225,1)="3","ALM",IF(LEFT(E225,1)="4","FAC","TRX")))) &amp; "-" &amp; B225 &amp; "-" &amp; TEXT(COUNTIFS($E$2:$E225,E225,$B$2:$B225,B225),"000")</f>
        <v>SOL-26-087</v>
      </c>
      <c r="B225">
        <v>26</v>
      </c>
      <c r="C225" s="18046">
        <v>46196</v>
      </c>
      <c r="D225" t="s">
        <v>1</v>
      </c>
      <c r="E225" t="s">
        <v>850</v>
      </c>
      <c r="F225" t="s">
        <v>224</v>
      </c>
      <c r="G225" s="3">
        <v>50</v>
      </c>
      <c r="H225" s="18047">
        <v>27</v>
      </c>
      <c r="I225" s="18047">
        <v>1350</v>
      </c>
      <c r="J225" t="s">
        <v>851</v>
      </c>
      <c r="K225">
        <v>27</v>
      </c>
    </row>
    <row r="226" spans="1:11">
      <c r="A226" t="str">
        <f>IF(LEFT(E226,1)="1","SOL",IF(LEFT(E226,1)="2","CO",IF(LEFT(E226,1)="3","ALM",IF(LEFT(E226,1)="4","FAC","TRX")))) &amp; "-" &amp; B226 &amp; "-" &amp; TEXT(COUNTIFS($E$2:$E226,E226,$B$2:$B226,B226),"000")</f>
        <v>SOL-26-088</v>
      </c>
      <c r="B226">
        <v>26</v>
      </c>
      <c r="C226" s="18046">
        <v>46196</v>
      </c>
      <c r="D226" t="s">
        <v>1</v>
      </c>
      <c r="E226" t="s">
        <v>850</v>
      </c>
      <c r="F226" t="s">
        <v>227</v>
      </c>
      <c r="G226" s="3">
        <v>30</v>
      </c>
      <c r="H226" s="18047">
        <v>27</v>
      </c>
      <c r="I226" s="18047">
        <v>810</v>
      </c>
      <c r="J226" t="s">
        <v>851</v>
      </c>
      <c r="K226">
        <v>27</v>
      </c>
    </row>
    <row r="227" spans="1:11">
      <c r="A227" t="str">
        <f>IF(LEFT(E227,1)="1","SOL",IF(LEFT(E227,1)="2","CO",IF(LEFT(E227,1)="3","ALM",IF(LEFT(E227,1)="4","FAC","TRX")))) &amp; "-" &amp; B227 &amp; "-" &amp; TEXT(COUNTIFS($E$2:$E227,E227,$B$2:$B227,B227),"000")</f>
        <v>SOL-26-089</v>
      </c>
      <c r="B227">
        <v>26</v>
      </c>
      <c r="C227" s="18046">
        <v>46196</v>
      </c>
      <c r="D227" t="s">
        <v>1</v>
      </c>
      <c r="E227" t="s">
        <v>850</v>
      </c>
      <c r="F227" t="s">
        <v>210</v>
      </c>
      <c r="G227" s="3">
        <v>50</v>
      </c>
      <c r="H227" s="18047">
        <v>27</v>
      </c>
      <c r="I227" s="18047">
        <v>1350</v>
      </c>
      <c r="J227" t="s">
        <v>851</v>
      </c>
      <c r="K227">
        <v>27</v>
      </c>
    </row>
    <row r="228" spans="1:11">
      <c r="A228" t="str">
        <f>IF(LEFT(E228,1)="1","SOL",IF(LEFT(E228,1)="2","CO",IF(LEFT(E228,1)="3","ALM",IF(LEFT(E228,1)="4","FAC","TRX")))) &amp; "-" &amp; B228 &amp; "-" &amp; TEXT(COUNTIFS($E$2:$E228,E228,$B$2:$B228,B228),"000")</f>
        <v>SOL-26-090</v>
      </c>
      <c r="B228">
        <v>26</v>
      </c>
      <c r="C228" s="18046">
        <v>46196</v>
      </c>
      <c r="D228" t="s">
        <v>1</v>
      </c>
      <c r="E228" t="s">
        <v>850</v>
      </c>
      <c r="F228" t="s">
        <v>234</v>
      </c>
      <c r="G228" s="3">
        <v>50</v>
      </c>
      <c r="H228" s="18047">
        <v>27</v>
      </c>
      <c r="I228" s="18047">
        <v>1350</v>
      </c>
      <c r="J228" t="s">
        <v>851</v>
      </c>
      <c r="K228">
        <v>27</v>
      </c>
    </row>
    <row r="229" spans="1:11">
      <c r="A229" t="str">
        <f>IF(LEFT(E229,1)="1","SOL",IF(LEFT(E229,1)="2","CO",IF(LEFT(E229,1)="3","ALM",IF(LEFT(E229,1)="4","FAC","TRX")))) &amp; "-" &amp; B229 &amp; "-" &amp; TEXT(COUNTIFS($E$2:$E229,E229,$B$2:$B229,B229),"000")</f>
        <v>SOL-26-091</v>
      </c>
      <c r="B229">
        <v>26</v>
      </c>
      <c r="C229" s="18046">
        <v>46197</v>
      </c>
      <c r="D229" t="s">
        <v>1</v>
      </c>
      <c r="E229" t="s">
        <v>850</v>
      </c>
      <c r="F229" t="s">
        <v>215</v>
      </c>
      <c r="G229" s="3">
        <v>250</v>
      </c>
      <c r="H229" s="18047">
        <v>27</v>
      </c>
      <c r="I229" s="18047">
        <v>6750</v>
      </c>
      <c r="J229" t="s">
        <v>851</v>
      </c>
      <c r="K229">
        <v>27</v>
      </c>
    </row>
    <row r="230" spans="1:11">
      <c r="A230" t="str">
        <f>IF(LEFT(E230,1)="1","SOL",IF(LEFT(E230,1)="2","CO",IF(LEFT(E230,1)="3","ALM",IF(LEFT(E230,1)="4","FAC","TRX")))) &amp; "-" &amp; B230 &amp; "-" &amp; TEXT(COUNTIFS($E$2:$E230,E230,$B$2:$B230,B230),"000")</f>
        <v>SOL-26-092</v>
      </c>
      <c r="B230">
        <v>26</v>
      </c>
      <c r="C230" s="18046">
        <v>46197</v>
      </c>
      <c r="D230" t="s">
        <v>1</v>
      </c>
      <c r="E230" t="s">
        <v>850</v>
      </c>
      <c r="F230" t="s">
        <v>211</v>
      </c>
      <c r="G230" s="3">
        <v>120</v>
      </c>
      <c r="H230" s="18047">
        <v>27</v>
      </c>
      <c r="I230" s="18047">
        <v>3240</v>
      </c>
      <c r="J230" t="s">
        <v>851</v>
      </c>
      <c r="K230">
        <v>27</v>
      </c>
    </row>
    <row r="231" spans="1:11">
      <c r="A231" t="str">
        <f>IF(LEFT(E231,1)="1","SOL",IF(LEFT(E231,1)="2","CO",IF(LEFT(E231,1)="3","ALM",IF(LEFT(E231,1)="4","FAC","TRX")))) &amp; "-" &amp; B231 &amp; "-" &amp; TEXT(COUNTIFS($E$2:$E231,E231,$B$2:$B231,B231),"000")</f>
        <v>SOL-26-093</v>
      </c>
      <c r="B231">
        <v>26</v>
      </c>
      <c r="C231" s="18046">
        <v>46197</v>
      </c>
      <c r="D231" t="s">
        <v>1</v>
      </c>
      <c r="E231" t="s">
        <v>850</v>
      </c>
      <c r="F231" t="s">
        <v>221</v>
      </c>
      <c r="G231" s="3">
        <v>40</v>
      </c>
      <c r="H231" s="18047">
        <v>27</v>
      </c>
      <c r="I231" s="18047">
        <v>1080</v>
      </c>
      <c r="J231" t="s">
        <v>851</v>
      </c>
      <c r="K231">
        <v>27</v>
      </c>
    </row>
    <row r="232" spans="1:11">
      <c r="A232" t="str">
        <f>IF(LEFT(E232,1)="1","SOL",IF(LEFT(E232,1)="2","CO",IF(LEFT(E232,1)="3","ALM",IF(LEFT(E232,1)="4","FAC","TRX")))) &amp; "-" &amp; B232 &amp; "-" &amp; TEXT(COUNTIFS($E$2:$E232,E232,$B$2:$B232,B232),"000")</f>
        <v>SOL-26-094</v>
      </c>
      <c r="B232">
        <v>26</v>
      </c>
      <c r="C232" s="18046">
        <v>46197</v>
      </c>
      <c r="D232" t="s">
        <v>1</v>
      </c>
      <c r="E232" t="s">
        <v>850</v>
      </c>
      <c r="F232" t="s">
        <v>221</v>
      </c>
      <c r="G232" s="3">
        <v>40</v>
      </c>
      <c r="H232" s="18047">
        <v>27</v>
      </c>
      <c r="I232" s="18047">
        <v>1080</v>
      </c>
      <c r="J232" t="s">
        <v>851</v>
      </c>
      <c r="K232">
        <v>27</v>
      </c>
    </row>
    <row r="233" spans="1:11">
      <c r="A233" t="str">
        <f>IF(LEFT(E233,1)="1","SOL",IF(LEFT(E233,1)="2","CO",IF(LEFT(E233,1)="3","ALM",IF(LEFT(E233,1)="4","FAC","TRX")))) &amp; "-" &amp; B233 &amp; "-" &amp; TEXT(COUNTIFS($E$2:$E233,E233,$B$2:$B233,B233),"000")</f>
        <v>SOL-26-095</v>
      </c>
      <c r="B233">
        <v>26</v>
      </c>
      <c r="C233" s="18046">
        <v>46197</v>
      </c>
      <c r="D233" t="s">
        <v>1</v>
      </c>
      <c r="E233" t="s">
        <v>850</v>
      </c>
      <c r="F233" t="s">
        <v>224</v>
      </c>
      <c r="G233" s="3">
        <v>50</v>
      </c>
      <c r="H233" s="18047">
        <v>27</v>
      </c>
      <c r="I233" s="18047">
        <v>1350</v>
      </c>
      <c r="J233" t="s">
        <v>851</v>
      </c>
      <c r="K233">
        <v>27</v>
      </c>
    </row>
    <row r="234" spans="1:11">
      <c r="A234" t="str">
        <f>IF(LEFT(E234,1)="1","SOL",IF(LEFT(E234,1)="2","CO",IF(LEFT(E234,1)="3","ALM",IF(LEFT(E234,1)="4","FAC","TRX")))) &amp; "-" &amp; B234 &amp; "-" &amp; TEXT(COUNTIFS($E$2:$E234,E234,$B$2:$B234,B234),"000")</f>
        <v>SOL-26-096</v>
      </c>
      <c r="B234">
        <v>26</v>
      </c>
      <c r="C234" s="18046">
        <v>46197</v>
      </c>
      <c r="D234" t="s">
        <v>1</v>
      </c>
      <c r="E234" t="s">
        <v>850</v>
      </c>
      <c r="F234" t="s">
        <v>227</v>
      </c>
      <c r="G234" s="3">
        <v>20</v>
      </c>
      <c r="H234" s="18047">
        <v>27</v>
      </c>
      <c r="I234" s="18047">
        <v>540</v>
      </c>
      <c r="J234" t="s">
        <v>851</v>
      </c>
      <c r="K234">
        <v>27</v>
      </c>
    </row>
    <row r="235" spans="1:11">
      <c r="A235" t="str">
        <f>IF(LEFT(E235,1)="1","SOL",IF(LEFT(E235,1)="2","CO",IF(LEFT(E235,1)="3","ALM",IF(LEFT(E235,1)="4","FAC","TRX")))) &amp; "-" &amp; B235 &amp; "-" &amp; TEXT(COUNTIFS($E$2:$E235,E235,$B$2:$B235,B235),"000")</f>
        <v>SOL-26-097</v>
      </c>
      <c r="B235">
        <v>26</v>
      </c>
      <c r="C235" s="18046">
        <v>46197</v>
      </c>
      <c r="D235" t="s">
        <v>1</v>
      </c>
      <c r="E235" t="s">
        <v>850</v>
      </c>
      <c r="F235" t="s">
        <v>210</v>
      </c>
      <c r="G235" s="3">
        <v>50</v>
      </c>
      <c r="H235" s="18047">
        <v>27</v>
      </c>
      <c r="I235" s="18047">
        <v>1350</v>
      </c>
      <c r="J235" t="s">
        <v>851</v>
      </c>
      <c r="K235">
        <v>27</v>
      </c>
    </row>
    <row r="236" spans="1:11">
      <c r="A236" t="str">
        <f>IF(LEFT(E236,1)="1","SOL",IF(LEFT(E236,1)="2","CO",IF(LEFT(E236,1)="3","ALM",IF(LEFT(E236,1)="4","FAC","TRX")))) &amp; "-" &amp; B236 &amp; "-" &amp; TEXT(COUNTIFS($E$2:$E236,E236,$B$2:$B236,B236),"000")</f>
        <v>SOL-26-098</v>
      </c>
      <c r="B236">
        <v>26</v>
      </c>
      <c r="C236" s="18046">
        <v>46197</v>
      </c>
      <c r="D236" t="s">
        <v>1</v>
      </c>
      <c r="E236" t="s">
        <v>850</v>
      </c>
      <c r="F236" t="s">
        <v>234</v>
      </c>
      <c r="G236" s="3">
        <v>50</v>
      </c>
      <c r="H236" s="18047">
        <v>27</v>
      </c>
      <c r="I236" s="18047">
        <v>1350</v>
      </c>
      <c r="J236" t="s">
        <v>851</v>
      </c>
      <c r="K236">
        <v>27</v>
      </c>
    </row>
    <row r="237" spans="1:11">
      <c r="A237" t="str">
        <f>IF(LEFT(E237,1)="1","SOL",IF(LEFT(E237,1)="2","CO",IF(LEFT(E237,1)="3","ALM",IF(LEFT(E237,1)="4","FAC","TRX")))) &amp; "-" &amp; B237 &amp; "-" &amp; TEXT(COUNTIFS($E$2:$E237,E237,$B$2:$B237,B237),"000")</f>
        <v>SOL-26-099</v>
      </c>
      <c r="B237">
        <v>26</v>
      </c>
      <c r="C237" s="18046">
        <v>46198</v>
      </c>
      <c r="D237" t="s">
        <v>1</v>
      </c>
      <c r="E237" t="s">
        <v>850</v>
      </c>
      <c r="F237" t="s">
        <v>215</v>
      </c>
      <c r="G237" s="3">
        <v>250</v>
      </c>
      <c r="H237" s="18047">
        <v>27</v>
      </c>
      <c r="I237" s="18047">
        <v>6750</v>
      </c>
      <c r="J237" t="s">
        <v>851</v>
      </c>
      <c r="K237">
        <v>27</v>
      </c>
    </row>
    <row r="238" spans="1:11">
      <c r="A238" t="str">
        <f>IF(LEFT(E238,1)="1","SOL",IF(LEFT(E238,1)="2","CO",IF(LEFT(E238,1)="3","ALM",IF(LEFT(E238,1)="4","FAC","TRX")))) &amp; "-" &amp; B238 &amp; "-" &amp; TEXT(COUNTIFS($E$2:$E238,E238,$B$2:$B238,B238),"000")</f>
        <v>SOL-26-100</v>
      </c>
      <c r="B238">
        <v>26</v>
      </c>
      <c r="C238" s="18046">
        <v>46198</v>
      </c>
      <c r="D238" t="s">
        <v>1</v>
      </c>
      <c r="E238" t="s">
        <v>850</v>
      </c>
      <c r="F238" t="s">
        <v>211</v>
      </c>
      <c r="G238" s="3">
        <v>120</v>
      </c>
      <c r="H238" s="18047">
        <v>27</v>
      </c>
      <c r="I238" s="18047">
        <v>3240</v>
      </c>
      <c r="J238" t="s">
        <v>851</v>
      </c>
      <c r="K238">
        <v>27</v>
      </c>
    </row>
    <row r="239" spans="1:11">
      <c r="A239" t="str">
        <f>IF(LEFT(E239,1)="1","SOL",IF(LEFT(E239,1)="2","CO",IF(LEFT(E239,1)="3","ALM",IF(LEFT(E239,1)="4","FAC","TRX")))) &amp; "-" &amp; B239 &amp; "-" &amp; TEXT(COUNTIFS($E$2:$E239,E239,$B$2:$B239,B239),"000")</f>
        <v>SOL-26-101</v>
      </c>
      <c r="B239">
        <v>26</v>
      </c>
      <c r="C239" s="18046">
        <v>46198</v>
      </c>
      <c r="D239" t="s">
        <v>1</v>
      </c>
      <c r="E239" t="s">
        <v>850</v>
      </c>
      <c r="F239" t="s">
        <v>221</v>
      </c>
      <c r="G239" s="3">
        <v>40</v>
      </c>
      <c r="H239" s="18047">
        <v>27</v>
      </c>
      <c r="I239" s="18047">
        <v>1080</v>
      </c>
      <c r="J239" t="s">
        <v>851</v>
      </c>
      <c r="K239">
        <v>27</v>
      </c>
    </row>
    <row r="240" spans="1:11">
      <c r="A240" t="str">
        <f>IF(LEFT(E240,1)="1","SOL",IF(LEFT(E240,1)="2","CO",IF(LEFT(E240,1)="3","ALM",IF(LEFT(E240,1)="4","FAC","TRX")))) &amp; "-" &amp; B240 &amp; "-" &amp; TEXT(COUNTIFS($E$2:$E240,E240,$B$2:$B240,B240),"000")</f>
        <v>SOL-26-102</v>
      </c>
      <c r="B240">
        <v>26</v>
      </c>
      <c r="C240" s="18046">
        <v>46198</v>
      </c>
      <c r="D240" t="s">
        <v>1</v>
      </c>
      <c r="E240" t="s">
        <v>850</v>
      </c>
      <c r="F240" t="s">
        <v>221</v>
      </c>
      <c r="G240" s="3">
        <v>40</v>
      </c>
      <c r="H240" s="18047">
        <v>27</v>
      </c>
      <c r="I240" s="18047">
        <v>1080</v>
      </c>
      <c r="J240" t="s">
        <v>851</v>
      </c>
      <c r="K240">
        <v>27</v>
      </c>
    </row>
    <row r="241" spans="1:11">
      <c r="A241" t="str">
        <f>IF(LEFT(E241,1)="1","SOL",IF(LEFT(E241,1)="2","CO",IF(LEFT(E241,1)="3","ALM",IF(LEFT(E241,1)="4","FAC","TRX")))) &amp; "-" &amp; B241 &amp; "-" &amp; TEXT(COUNTIFS($E$2:$E241,E241,$B$2:$B241,B241),"000")</f>
        <v>SOL-26-103</v>
      </c>
      <c r="B241">
        <v>26</v>
      </c>
      <c r="C241" s="18046">
        <v>46198</v>
      </c>
      <c r="D241" t="s">
        <v>1</v>
      </c>
      <c r="E241" t="s">
        <v>850</v>
      </c>
      <c r="F241" t="s">
        <v>224</v>
      </c>
      <c r="G241" s="3">
        <v>50</v>
      </c>
      <c r="H241" s="18047">
        <v>27</v>
      </c>
      <c r="I241" s="18047">
        <v>1350</v>
      </c>
      <c r="J241" t="s">
        <v>851</v>
      </c>
      <c r="K241">
        <v>27</v>
      </c>
    </row>
    <row r="242" spans="1:11">
      <c r="A242" t="str">
        <f>IF(LEFT(E242,1)="1","SOL",IF(LEFT(E242,1)="2","CO",IF(LEFT(E242,1)="3","ALM",IF(LEFT(E242,1)="4","FAC","TRX")))) &amp; "-" &amp; B242 &amp; "-" &amp; TEXT(COUNTIFS($E$2:$E242,E242,$B$2:$B242,B242),"000")</f>
        <v>SOL-26-104</v>
      </c>
      <c r="B242">
        <v>26</v>
      </c>
      <c r="C242" s="18046">
        <v>46198</v>
      </c>
      <c r="D242" t="s">
        <v>1</v>
      </c>
      <c r="E242" t="s">
        <v>850</v>
      </c>
      <c r="F242" t="s">
        <v>227</v>
      </c>
      <c r="G242" s="3">
        <v>20</v>
      </c>
      <c r="H242" s="18047">
        <v>27</v>
      </c>
      <c r="I242" s="18047">
        <v>540</v>
      </c>
      <c r="J242" t="s">
        <v>851</v>
      </c>
      <c r="K242">
        <v>27</v>
      </c>
    </row>
    <row r="243" spans="1:11">
      <c r="A243" t="str">
        <f>IF(LEFT(E243,1)="1","SOL",IF(LEFT(E243,1)="2","CO",IF(LEFT(E243,1)="3","ALM",IF(LEFT(E243,1)="4","FAC","TRX")))) &amp; "-" &amp; B243 &amp; "-" &amp; TEXT(COUNTIFS($E$2:$E243,E243,$B$2:$B243,B243),"000")</f>
        <v>SOL-26-105</v>
      </c>
      <c r="B243">
        <v>26</v>
      </c>
      <c r="C243" s="18046">
        <v>46198</v>
      </c>
      <c r="D243" t="s">
        <v>1</v>
      </c>
      <c r="E243" t="s">
        <v>850</v>
      </c>
      <c r="F243" t="s">
        <v>210</v>
      </c>
      <c r="G243" s="3">
        <v>50</v>
      </c>
      <c r="H243" s="18047">
        <v>27</v>
      </c>
      <c r="I243" s="18047">
        <v>1350</v>
      </c>
      <c r="J243" t="s">
        <v>851</v>
      </c>
      <c r="K243">
        <v>27</v>
      </c>
    </row>
    <row r="244" spans="1:11">
      <c r="A244" t="str">
        <f>IF(LEFT(E244,1)="1","SOL",IF(LEFT(E244,1)="2","CO",IF(LEFT(E244,1)="3","ALM",IF(LEFT(E244,1)="4","FAC","TRX")))) &amp; "-" &amp; B244 &amp; "-" &amp; TEXT(COUNTIFS($E$2:$E244,E244,$B$2:$B244,B244),"000")</f>
        <v>SOL-26-106</v>
      </c>
      <c r="B244">
        <v>26</v>
      </c>
      <c r="C244" s="18046">
        <v>46198</v>
      </c>
      <c r="D244" t="s">
        <v>1</v>
      </c>
      <c r="E244" t="s">
        <v>850</v>
      </c>
      <c r="F244" t="s">
        <v>234</v>
      </c>
      <c r="G244" s="3">
        <v>50</v>
      </c>
      <c r="H244" s="18047">
        <v>27</v>
      </c>
      <c r="I244" s="18047">
        <v>1350</v>
      </c>
      <c r="J244" t="s">
        <v>851</v>
      </c>
      <c r="K244">
        <v>27</v>
      </c>
    </row>
    <row r="245" spans="1:11">
      <c r="A245" t="str">
        <f>IF(LEFT(E245,1)="1","SOL",IF(LEFT(E245,1)="2","CO",IF(LEFT(E245,1)="3","ALM",IF(LEFT(E245,1)="4","FAC","TRX")))) &amp; "-" &amp; B245 &amp; "-" &amp; TEXT(COUNTIFS($E$2:$E245,E245,$B$2:$B245,B245),"000")</f>
        <v>SOL-26-107</v>
      </c>
      <c r="B245">
        <v>26</v>
      </c>
      <c r="C245" s="18046">
        <v>46199</v>
      </c>
      <c r="D245" t="s">
        <v>1</v>
      </c>
      <c r="E245" t="s">
        <v>850</v>
      </c>
      <c r="F245" t="s">
        <v>215</v>
      </c>
      <c r="G245" s="3">
        <v>250</v>
      </c>
      <c r="H245" s="18047">
        <v>27</v>
      </c>
      <c r="I245" s="18047">
        <v>6750</v>
      </c>
      <c r="J245" t="s">
        <v>851</v>
      </c>
      <c r="K245">
        <v>27</v>
      </c>
    </row>
    <row r="246" spans="1:11">
      <c r="A246" t="str">
        <f>IF(LEFT(E246,1)="1","SOL",IF(LEFT(E246,1)="2","CO",IF(LEFT(E246,1)="3","ALM",IF(LEFT(E246,1)="4","FAC","TRX")))) &amp; "-" &amp; B246 &amp; "-" &amp; TEXT(COUNTIFS($E$2:$E246,E246,$B$2:$B246,B246),"000")</f>
        <v>SOL-26-108</v>
      </c>
      <c r="B246">
        <v>26</v>
      </c>
      <c r="C246" s="18046">
        <v>46199</v>
      </c>
      <c r="D246" t="s">
        <v>1</v>
      </c>
      <c r="E246" t="s">
        <v>850</v>
      </c>
      <c r="F246" t="s">
        <v>211</v>
      </c>
      <c r="G246" s="3">
        <v>120</v>
      </c>
      <c r="H246" s="18047">
        <v>27</v>
      </c>
      <c r="I246" s="18047">
        <v>3240</v>
      </c>
      <c r="J246" t="s">
        <v>851</v>
      </c>
      <c r="K246">
        <v>27</v>
      </c>
    </row>
    <row r="247" spans="1:11">
      <c r="A247" t="str">
        <f>IF(LEFT(E247,1)="1","SOL",IF(LEFT(E247,1)="2","CO",IF(LEFT(E247,1)="3","ALM",IF(LEFT(E247,1)="4","FAC","TRX")))) &amp; "-" &amp; B247 &amp; "-" &amp; TEXT(COUNTIFS($E$2:$E247,E247,$B$2:$B247,B247),"000")</f>
        <v>SOL-26-109</v>
      </c>
      <c r="B247">
        <v>26</v>
      </c>
      <c r="C247" s="18046">
        <v>46199</v>
      </c>
      <c r="D247" t="s">
        <v>1</v>
      </c>
      <c r="E247" t="s">
        <v>850</v>
      </c>
      <c r="F247" t="s">
        <v>221</v>
      </c>
      <c r="G247" s="3">
        <v>40</v>
      </c>
      <c r="H247" s="18047">
        <v>27</v>
      </c>
      <c r="I247" s="18047">
        <v>1080</v>
      </c>
      <c r="J247" t="s">
        <v>851</v>
      </c>
      <c r="K247">
        <v>27</v>
      </c>
    </row>
    <row r="248" spans="1:11">
      <c r="A248" t="str">
        <f>IF(LEFT(E248,1)="1","SOL",IF(LEFT(E248,1)="2","CO",IF(LEFT(E248,1)="3","ALM",IF(LEFT(E248,1)="4","FAC","TRX")))) &amp; "-" &amp; B248 &amp; "-" &amp; TEXT(COUNTIFS($E$2:$E248,E248,$B$2:$B248,B248),"000")</f>
        <v>SOL-26-110</v>
      </c>
      <c r="B248">
        <v>26</v>
      </c>
      <c r="C248" s="18046">
        <v>46199</v>
      </c>
      <c r="D248" t="s">
        <v>1</v>
      </c>
      <c r="E248" t="s">
        <v>850</v>
      </c>
      <c r="F248" t="s">
        <v>221</v>
      </c>
      <c r="G248" s="3">
        <v>40</v>
      </c>
      <c r="H248" s="18047">
        <v>27</v>
      </c>
      <c r="I248" s="18047">
        <v>1080</v>
      </c>
      <c r="J248" t="s">
        <v>851</v>
      </c>
      <c r="K248">
        <v>27</v>
      </c>
    </row>
    <row r="249" spans="1:11">
      <c r="A249" t="str">
        <f>IF(LEFT(E249,1)="1","SOL",IF(LEFT(E249,1)="2","CO",IF(LEFT(E249,1)="3","ALM",IF(LEFT(E249,1)="4","FAC","TRX")))) &amp; "-" &amp; B249 &amp; "-" &amp; TEXT(COUNTIFS($E$2:$E249,E249,$B$2:$B249,B249),"000")</f>
        <v>SOL-26-111</v>
      </c>
      <c r="B249">
        <v>26</v>
      </c>
      <c r="C249" s="18046">
        <v>46199</v>
      </c>
      <c r="D249" t="s">
        <v>1</v>
      </c>
      <c r="E249" t="s">
        <v>850</v>
      </c>
      <c r="F249" t="s">
        <v>224</v>
      </c>
      <c r="G249" s="3">
        <v>50</v>
      </c>
      <c r="H249" s="18047">
        <v>27</v>
      </c>
      <c r="I249" s="18047">
        <v>1350</v>
      </c>
      <c r="J249" t="s">
        <v>851</v>
      </c>
      <c r="K249">
        <v>27</v>
      </c>
    </row>
    <row r="250" spans="1:11">
      <c r="A250" t="str">
        <f>IF(LEFT(E250,1)="1","SOL",IF(LEFT(E250,1)="2","CO",IF(LEFT(E250,1)="3","ALM",IF(LEFT(E250,1)="4","FAC","TRX")))) &amp; "-" &amp; B250 &amp; "-" &amp; TEXT(COUNTIFS($E$2:$E250,E250,$B$2:$B250,B250),"000")</f>
        <v>SOL-26-112</v>
      </c>
      <c r="B250">
        <v>26</v>
      </c>
      <c r="C250" s="18046">
        <v>46199</v>
      </c>
      <c r="D250" t="s">
        <v>1</v>
      </c>
      <c r="E250" t="s">
        <v>850</v>
      </c>
      <c r="F250" t="s">
        <v>227</v>
      </c>
      <c r="G250" s="3">
        <v>20</v>
      </c>
      <c r="H250" s="18047">
        <v>27</v>
      </c>
      <c r="I250" s="18047">
        <v>540</v>
      </c>
      <c r="J250" t="s">
        <v>851</v>
      </c>
      <c r="K250">
        <v>27</v>
      </c>
    </row>
    <row r="251" spans="1:11">
      <c r="A251" t="str">
        <f>IF(LEFT(E251,1)="1","SOL",IF(LEFT(E251,1)="2","CO",IF(LEFT(E251,1)="3","ALM",IF(LEFT(E251,1)="4","FAC","TRX")))) &amp; "-" &amp; B251 &amp; "-" &amp; TEXT(COUNTIFS($E$2:$E251,E251,$B$2:$B251,B251),"000")</f>
        <v>SOL-26-113</v>
      </c>
      <c r="B251">
        <v>26</v>
      </c>
      <c r="C251" s="18046">
        <v>46199</v>
      </c>
      <c r="D251" t="s">
        <v>1</v>
      </c>
      <c r="E251" t="s">
        <v>850</v>
      </c>
      <c r="F251" t="s">
        <v>210</v>
      </c>
      <c r="G251" s="3">
        <v>50</v>
      </c>
      <c r="H251" s="18047">
        <v>27</v>
      </c>
      <c r="I251" s="18047">
        <v>1350</v>
      </c>
      <c r="J251" t="s">
        <v>851</v>
      </c>
      <c r="K251">
        <v>27</v>
      </c>
    </row>
    <row r="252" spans="1:11">
      <c r="A252" t="str">
        <f>IF(LEFT(E252,1)="1","SOL",IF(LEFT(E252,1)="2","CO",IF(LEFT(E252,1)="3","ALM",IF(LEFT(E252,1)="4","FAC","TRX")))) &amp; "-" &amp; B252 &amp; "-" &amp; TEXT(COUNTIFS($E$2:$E252,E252,$B$2:$B252,B252),"000")</f>
        <v>SOL-26-114</v>
      </c>
      <c r="B252">
        <v>26</v>
      </c>
      <c r="C252" s="18046">
        <v>46199</v>
      </c>
      <c r="D252" t="s">
        <v>1</v>
      </c>
      <c r="E252" t="s">
        <v>850</v>
      </c>
      <c r="F252" t="s">
        <v>234</v>
      </c>
      <c r="G252" s="3">
        <v>50</v>
      </c>
      <c r="H252" s="18047">
        <v>27</v>
      </c>
      <c r="I252" s="18047">
        <v>1350</v>
      </c>
      <c r="J252" t="s">
        <v>851</v>
      </c>
      <c r="K252">
        <v>27</v>
      </c>
    </row>
    <row r="253" spans="1:11">
      <c r="A253" t="str">
        <f>IF(LEFT(E253,1)="1","SOL",IF(LEFT(E253,1)="2","CO",IF(LEFT(E253,1)="3","ALM",IF(LEFT(E253,1)="4","FAC","TRX")))) &amp; "-" &amp; B253 &amp; "-" &amp; TEXT(COUNTIFS($E$2:$E253,E253,$B$2:$B253,B253),"000")</f>
        <v>SOL-26-115</v>
      </c>
      <c r="B253">
        <v>26</v>
      </c>
      <c r="C253" s="18046">
        <v>46195</v>
      </c>
      <c r="D253" t="s">
        <v>111</v>
      </c>
      <c r="E253" t="s">
        <v>850</v>
      </c>
      <c r="F253" t="s">
        <v>209</v>
      </c>
      <c r="G253" s="3">
        <v>50</v>
      </c>
      <c r="H253" s="18047">
        <v>27</v>
      </c>
      <c r="I253" s="18047">
        <v>1350</v>
      </c>
      <c r="J253" t="s">
        <v>851</v>
      </c>
      <c r="K253">
        <v>27</v>
      </c>
    </row>
    <row r="254" spans="1:11">
      <c r="A254" t="str">
        <f>IF(LEFT(E254,1)="1","SOL",IF(LEFT(E254,1)="2","CO",IF(LEFT(E254,1)="3","ALM",IF(LEFT(E254,1)="4","FAC","TRX")))) &amp; "-" &amp; B254 &amp; "-" &amp; TEXT(COUNTIFS($E$2:$E254,E254,$B$2:$B254,B254),"000")</f>
        <v>SOL-26-116</v>
      </c>
      <c r="B254">
        <v>26</v>
      </c>
      <c r="C254" s="18046">
        <v>46195</v>
      </c>
      <c r="D254" t="s">
        <v>111</v>
      </c>
      <c r="E254" t="s">
        <v>850</v>
      </c>
      <c r="F254" t="s">
        <v>209</v>
      </c>
      <c r="G254" s="3">
        <v>50</v>
      </c>
      <c r="H254" s="18047">
        <v>27</v>
      </c>
      <c r="I254" s="18047">
        <v>1350</v>
      </c>
      <c r="J254" t="s">
        <v>851</v>
      </c>
      <c r="K254">
        <v>27</v>
      </c>
    </row>
    <row r="255" spans="1:11">
      <c r="A255" t="str">
        <f>IF(LEFT(E255,1)="1","SOL",IF(LEFT(E255,1)="2","CO",IF(LEFT(E255,1)="3","ALM",IF(LEFT(E255,1)="4","FAC","TRX")))) &amp; "-" &amp; B255 &amp; "-" &amp; TEXT(COUNTIFS($E$2:$E255,E255,$B$2:$B255,B255),"000")</f>
        <v>SOL-26-117</v>
      </c>
      <c r="B255">
        <v>26</v>
      </c>
      <c r="C255" s="18046">
        <v>46195</v>
      </c>
      <c r="D255" t="s">
        <v>111</v>
      </c>
      <c r="E255" t="s">
        <v>850</v>
      </c>
      <c r="F255" t="s">
        <v>250</v>
      </c>
      <c r="G255" s="3">
        <v>10</v>
      </c>
      <c r="H255" s="18047">
        <v>27</v>
      </c>
      <c r="I255" s="18047">
        <v>270</v>
      </c>
      <c r="J255" t="s">
        <v>851</v>
      </c>
      <c r="K255">
        <v>27</v>
      </c>
    </row>
    <row r="256" spans="1:11">
      <c r="A256" t="str">
        <f>IF(LEFT(E256,1)="1","SOL",IF(LEFT(E256,1)="2","CO",IF(LEFT(E256,1)="3","ALM",IF(LEFT(E256,1)="4","FAC","TRX")))) &amp; "-" &amp; B256 &amp; "-" &amp; TEXT(COUNTIFS($E$2:$E256,E256,$B$2:$B256,B256),"000")</f>
        <v>SOL-26-118</v>
      </c>
      <c r="B256">
        <v>26</v>
      </c>
      <c r="C256" s="18046">
        <v>46195</v>
      </c>
      <c r="D256" t="s">
        <v>111</v>
      </c>
      <c r="E256" t="s">
        <v>850</v>
      </c>
      <c r="F256" t="s">
        <v>246</v>
      </c>
      <c r="G256" s="3">
        <v>8</v>
      </c>
      <c r="H256" s="18047">
        <v>27</v>
      </c>
      <c r="I256" s="18047">
        <v>216</v>
      </c>
      <c r="J256" t="s">
        <v>851</v>
      </c>
      <c r="K256">
        <v>27</v>
      </c>
    </row>
    <row r="257" spans="1:11">
      <c r="A257" t="str">
        <f>IF(LEFT(E257,1)="1","SOL",IF(LEFT(E257,1)="2","CO",IF(LEFT(E257,1)="3","ALM",IF(LEFT(E257,1)="4","FAC","TRX")))) &amp; "-" &amp; B257 &amp; "-" &amp; TEXT(COUNTIFS($E$2:$E257,E257,$B$2:$B257,B257),"000")</f>
        <v>SOL-26-119</v>
      </c>
      <c r="B257">
        <v>26</v>
      </c>
      <c r="C257" s="18046">
        <v>46196</v>
      </c>
      <c r="D257" t="s">
        <v>111</v>
      </c>
      <c r="E257" t="s">
        <v>850</v>
      </c>
      <c r="F257" t="s">
        <v>209</v>
      </c>
      <c r="G257" s="3">
        <v>50</v>
      </c>
      <c r="H257" s="18047">
        <v>27</v>
      </c>
      <c r="I257" s="18047">
        <v>1350</v>
      </c>
      <c r="J257" t="s">
        <v>851</v>
      </c>
      <c r="K257">
        <v>27</v>
      </c>
    </row>
    <row r="258" spans="1:11">
      <c r="A258" t="str">
        <f>IF(LEFT(E258,1)="1","SOL",IF(LEFT(E258,1)="2","CO",IF(LEFT(E258,1)="3","ALM",IF(LEFT(E258,1)="4","FAC","TRX")))) &amp; "-" &amp; B258 &amp; "-" &amp; TEXT(COUNTIFS($E$2:$E258,E258,$B$2:$B258,B258),"000")</f>
        <v>SOL-26-120</v>
      </c>
      <c r="B258">
        <v>26</v>
      </c>
      <c r="C258" s="18046">
        <v>46196</v>
      </c>
      <c r="D258" t="s">
        <v>111</v>
      </c>
      <c r="E258" t="s">
        <v>850</v>
      </c>
      <c r="F258" t="s">
        <v>209</v>
      </c>
      <c r="G258" s="3">
        <v>40</v>
      </c>
      <c r="H258" s="18047">
        <v>27</v>
      </c>
      <c r="I258" s="18047">
        <v>1080</v>
      </c>
      <c r="J258" t="s">
        <v>851</v>
      </c>
      <c r="K258">
        <v>27</v>
      </c>
    </row>
    <row r="259" spans="1:11">
      <c r="A259" t="str">
        <f>IF(LEFT(E259,1)="1","SOL",IF(LEFT(E259,1)="2","CO",IF(LEFT(E259,1)="3","ALM",IF(LEFT(E259,1)="4","FAC","TRX")))) &amp; "-" &amp; B259 &amp; "-" &amp; TEXT(COUNTIFS($E$2:$E259,E259,$B$2:$B259,B259),"000")</f>
        <v>SOL-26-121</v>
      </c>
      <c r="B259">
        <v>26</v>
      </c>
      <c r="C259" s="18046">
        <v>46196</v>
      </c>
      <c r="D259" t="s">
        <v>111</v>
      </c>
      <c r="E259" t="s">
        <v>850</v>
      </c>
      <c r="F259" t="s">
        <v>250</v>
      </c>
      <c r="G259" s="3">
        <v>10</v>
      </c>
      <c r="H259" s="18047">
        <v>27</v>
      </c>
      <c r="I259" s="18047">
        <v>270</v>
      </c>
      <c r="J259" t="s">
        <v>851</v>
      </c>
      <c r="K259">
        <v>27</v>
      </c>
    </row>
    <row r="260" spans="1:11">
      <c r="A260" t="str">
        <f>IF(LEFT(E260,1)="1","SOL",IF(LEFT(E260,1)="2","CO",IF(LEFT(E260,1)="3","ALM",IF(LEFT(E260,1)="4","FAC","TRX")))) &amp; "-" &amp; B260 &amp; "-" &amp; TEXT(COUNTIFS($E$2:$E260,E260,$B$2:$B260,B260),"000")</f>
        <v>SOL-26-122</v>
      </c>
      <c r="B260">
        <v>26</v>
      </c>
      <c r="C260" s="18046">
        <v>46196</v>
      </c>
      <c r="D260" t="s">
        <v>111</v>
      </c>
      <c r="E260" t="s">
        <v>850</v>
      </c>
      <c r="F260" t="s">
        <v>246</v>
      </c>
      <c r="G260" s="3">
        <v>5</v>
      </c>
      <c r="H260" s="18047">
        <v>27</v>
      </c>
      <c r="I260" s="18047">
        <v>135</v>
      </c>
      <c r="J260" t="s">
        <v>851</v>
      </c>
      <c r="K260">
        <v>27</v>
      </c>
    </row>
    <row r="261" spans="1:11">
      <c r="A261" t="str">
        <f>IF(LEFT(E261,1)="1","SOL",IF(LEFT(E261,1)="2","CO",IF(LEFT(E261,1)="3","ALM",IF(LEFT(E261,1)="4","FAC","TRX")))) &amp; "-" &amp; B261 &amp; "-" &amp; TEXT(COUNTIFS($E$2:$E261,E261,$B$2:$B261,B261),"000")</f>
        <v>SOL-26-123</v>
      </c>
      <c r="B261">
        <v>26</v>
      </c>
      <c r="C261" s="18046">
        <v>46197</v>
      </c>
      <c r="D261" t="s">
        <v>111</v>
      </c>
      <c r="E261" t="s">
        <v>850</v>
      </c>
      <c r="F261" t="s">
        <v>209</v>
      </c>
      <c r="G261" s="3">
        <v>50</v>
      </c>
      <c r="H261" s="18047">
        <v>27</v>
      </c>
      <c r="I261" s="18047">
        <v>1350</v>
      </c>
      <c r="J261" t="s">
        <v>851</v>
      </c>
      <c r="K261">
        <v>27</v>
      </c>
    </row>
    <row r="262" spans="1:11">
      <c r="A262" t="str">
        <f>IF(LEFT(E262,1)="1","SOL",IF(LEFT(E262,1)="2","CO",IF(LEFT(E262,1)="3","ALM",IF(LEFT(E262,1)="4","FAC","TRX")))) &amp; "-" &amp; B262 &amp; "-" &amp; TEXT(COUNTIFS($E$2:$E262,E262,$B$2:$B262,B262),"000")</f>
        <v>SOL-26-124</v>
      </c>
      <c r="B262">
        <v>26</v>
      </c>
      <c r="C262" s="18046">
        <v>46197</v>
      </c>
      <c r="D262" t="s">
        <v>111</v>
      </c>
      <c r="E262" t="s">
        <v>850</v>
      </c>
      <c r="F262" t="s">
        <v>209</v>
      </c>
      <c r="G262" s="3">
        <v>40</v>
      </c>
      <c r="H262" s="18047">
        <v>27</v>
      </c>
      <c r="I262" s="18047">
        <v>1080</v>
      </c>
      <c r="J262" t="s">
        <v>851</v>
      </c>
      <c r="K262">
        <v>27</v>
      </c>
    </row>
    <row r="263" spans="1:11">
      <c r="A263" t="str">
        <f>IF(LEFT(E263,1)="1","SOL",IF(LEFT(E263,1)="2","CO",IF(LEFT(E263,1)="3","ALM",IF(LEFT(E263,1)="4","FAC","TRX")))) &amp; "-" &amp; B263 &amp; "-" &amp; TEXT(COUNTIFS($E$2:$E263,E263,$B$2:$B263,B263),"000")</f>
        <v>SOL-26-125</v>
      </c>
      <c r="B263">
        <v>26</v>
      </c>
      <c r="C263" s="18046">
        <v>46197</v>
      </c>
      <c r="D263" t="s">
        <v>111</v>
      </c>
      <c r="E263" t="s">
        <v>850</v>
      </c>
      <c r="F263" t="s">
        <v>250</v>
      </c>
      <c r="G263" s="3">
        <v>10</v>
      </c>
      <c r="H263" s="18047">
        <v>27</v>
      </c>
      <c r="I263" s="18047">
        <v>270</v>
      </c>
      <c r="J263" t="s">
        <v>851</v>
      </c>
      <c r="K263">
        <v>27</v>
      </c>
    </row>
    <row r="264" spans="1:11">
      <c r="A264" t="str">
        <f>IF(LEFT(E264,1)="1","SOL",IF(LEFT(E264,1)="2","CO",IF(LEFT(E264,1)="3","ALM",IF(LEFT(E264,1)="4","FAC","TRX")))) &amp; "-" &amp; B264 &amp; "-" &amp; TEXT(COUNTIFS($E$2:$E264,E264,$B$2:$B264,B264),"000")</f>
        <v>SOL-26-126</v>
      </c>
      <c r="B264">
        <v>26</v>
      </c>
      <c r="C264" s="18046">
        <v>46197</v>
      </c>
      <c r="D264" t="s">
        <v>111</v>
      </c>
      <c r="E264" t="s">
        <v>850</v>
      </c>
      <c r="F264" t="s">
        <v>246</v>
      </c>
      <c r="G264" s="3">
        <v>8</v>
      </c>
      <c r="H264" s="18047">
        <v>27</v>
      </c>
      <c r="I264" s="18047">
        <v>216</v>
      </c>
      <c r="J264" t="s">
        <v>851</v>
      </c>
      <c r="K264">
        <v>27</v>
      </c>
    </row>
    <row r="265" spans="1:11">
      <c r="A265" t="str">
        <f>IF(LEFT(E265,1)="1","SOL",IF(LEFT(E265,1)="2","CO",IF(LEFT(E265,1)="3","ALM",IF(LEFT(E265,1)="4","FAC","TRX")))) &amp; "-" &amp; B265 &amp; "-" &amp; TEXT(COUNTIFS($E$2:$E265,E265,$B$2:$B265,B265),"000")</f>
        <v>SOL-26-127</v>
      </c>
      <c r="B265">
        <v>26</v>
      </c>
      <c r="C265" s="18046">
        <v>46198</v>
      </c>
      <c r="D265" t="s">
        <v>111</v>
      </c>
      <c r="E265" t="s">
        <v>850</v>
      </c>
      <c r="F265" t="s">
        <v>209</v>
      </c>
      <c r="G265" s="3">
        <v>60</v>
      </c>
      <c r="H265" s="18047">
        <v>27</v>
      </c>
      <c r="I265" s="18047">
        <v>1620</v>
      </c>
      <c r="J265" t="s">
        <v>851</v>
      </c>
      <c r="K265">
        <v>27</v>
      </c>
    </row>
    <row r="266" spans="1:11">
      <c r="A266" t="str">
        <f>IF(LEFT(E266,1)="1","SOL",IF(LEFT(E266,1)="2","CO",IF(LEFT(E266,1)="3","ALM",IF(LEFT(E266,1)="4","FAC","TRX")))) &amp; "-" &amp; B266 &amp; "-" &amp; TEXT(COUNTIFS($E$2:$E266,E266,$B$2:$B266,B266),"000")</f>
        <v>SOL-26-128</v>
      </c>
      <c r="B266">
        <v>26</v>
      </c>
      <c r="C266" s="18046">
        <v>46198</v>
      </c>
      <c r="D266" t="s">
        <v>111</v>
      </c>
      <c r="E266" t="s">
        <v>850</v>
      </c>
      <c r="F266" t="s">
        <v>209</v>
      </c>
      <c r="G266" s="3">
        <v>60</v>
      </c>
      <c r="H266" s="18047">
        <v>27</v>
      </c>
      <c r="I266" s="18047">
        <v>1620</v>
      </c>
      <c r="J266" t="s">
        <v>851</v>
      </c>
      <c r="K266">
        <v>27</v>
      </c>
    </row>
    <row r="267" spans="1:11">
      <c r="A267" t="str">
        <f>IF(LEFT(E267,1)="1","SOL",IF(LEFT(E267,1)="2","CO",IF(LEFT(E267,1)="3","ALM",IF(LEFT(E267,1)="4","FAC","TRX")))) &amp; "-" &amp; B267 &amp; "-" &amp; TEXT(COUNTIFS($E$2:$E267,E267,$B$2:$B267,B267),"000")</f>
        <v>SOL-26-129</v>
      </c>
      <c r="B267">
        <v>26</v>
      </c>
      <c r="C267" s="18046">
        <v>46198</v>
      </c>
      <c r="D267" t="s">
        <v>111</v>
      </c>
      <c r="E267" t="s">
        <v>850</v>
      </c>
      <c r="F267" t="s">
        <v>246</v>
      </c>
      <c r="G267" s="3">
        <v>5</v>
      </c>
      <c r="H267" s="18047">
        <v>27</v>
      </c>
      <c r="I267" s="18047">
        <v>135</v>
      </c>
      <c r="J267" t="s">
        <v>851</v>
      </c>
      <c r="K267">
        <v>27</v>
      </c>
    </row>
    <row r="268" spans="1:11">
      <c r="A268" t="str">
        <f>IF(LEFT(E268,1)="1","SOL",IF(LEFT(E268,1)="2","CO",IF(LEFT(E268,1)="3","ALM",IF(LEFT(E268,1)="4","FAC","TRX")))) &amp; "-" &amp; B268 &amp; "-" &amp; TEXT(COUNTIFS($E$2:$E268,E268,$B$2:$B268,B268),"000")</f>
        <v>SOL-26-130</v>
      </c>
      <c r="B268">
        <v>26</v>
      </c>
      <c r="C268" s="18046">
        <v>46199</v>
      </c>
      <c r="D268" t="s">
        <v>111</v>
      </c>
      <c r="E268" t="s">
        <v>850</v>
      </c>
      <c r="F268" t="s">
        <v>209</v>
      </c>
      <c r="G268" s="3">
        <v>50</v>
      </c>
      <c r="H268" s="18047">
        <v>27</v>
      </c>
      <c r="I268" s="18047">
        <v>1350</v>
      </c>
      <c r="J268" t="s">
        <v>851</v>
      </c>
      <c r="K268">
        <v>27</v>
      </c>
    </row>
    <row r="269" spans="1:11">
      <c r="A269" t="str">
        <f>IF(LEFT(E269,1)="1","SOL",IF(LEFT(E269,1)="2","CO",IF(LEFT(E269,1)="3","ALM",IF(LEFT(E269,1)="4","FAC","TRX")))) &amp; "-" &amp; B269 &amp; "-" &amp; TEXT(COUNTIFS($E$2:$E269,E269,$B$2:$B269,B269),"000")</f>
        <v>SOL-26-131</v>
      </c>
      <c r="B269">
        <v>26</v>
      </c>
      <c r="C269" s="18046">
        <v>46199</v>
      </c>
      <c r="D269" t="s">
        <v>111</v>
      </c>
      <c r="E269" t="s">
        <v>850</v>
      </c>
      <c r="F269" t="s">
        <v>209</v>
      </c>
      <c r="G269" s="3">
        <v>50</v>
      </c>
      <c r="H269" s="18047">
        <v>27</v>
      </c>
      <c r="I269" s="18047">
        <v>1350</v>
      </c>
      <c r="J269" t="s">
        <v>851</v>
      </c>
      <c r="K269">
        <v>27</v>
      </c>
    </row>
    <row r="270" spans="1:11">
      <c r="A270" t="str">
        <f>IF(LEFT(E270,1)="1","SOL",IF(LEFT(E270,1)="2","CO",IF(LEFT(E270,1)="3","ALM",IF(LEFT(E270,1)="4","FAC","TRX")))) &amp; "-" &amp; B270 &amp; "-" &amp; TEXT(COUNTIFS($E$2:$E270,E270,$B$2:$B270,B270),"000")</f>
        <v>SOL-26-132</v>
      </c>
      <c r="B270">
        <v>26</v>
      </c>
      <c r="C270" s="18046">
        <v>46199</v>
      </c>
      <c r="D270" t="s">
        <v>111</v>
      </c>
      <c r="E270" t="s">
        <v>850</v>
      </c>
      <c r="F270" t="s">
        <v>250</v>
      </c>
      <c r="G270" s="3">
        <v>10</v>
      </c>
      <c r="H270" s="18047">
        <v>27</v>
      </c>
      <c r="I270" s="18047">
        <v>270</v>
      </c>
      <c r="J270" t="s">
        <v>851</v>
      </c>
      <c r="K270">
        <v>27</v>
      </c>
    </row>
    <row r="271" spans="1:11">
      <c r="A271" t="str">
        <f>IF(LEFT(E271,1)="1","SOL",IF(LEFT(E271,1)="2","CO",IF(LEFT(E271,1)="3","ALM",IF(LEFT(E271,1)="4","FAC","TRX")))) &amp; "-" &amp; B271 &amp; "-" &amp; TEXT(COUNTIFS($E$2:$E271,E271,$B$2:$B271,B271),"000")</f>
        <v>SOL-26-133</v>
      </c>
      <c r="B271">
        <v>26</v>
      </c>
      <c r="C271" s="18046">
        <v>46199</v>
      </c>
      <c r="D271" t="s">
        <v>111</v>
      </c>
      <c r="E271" t="s">
        <v>850</v>
      </c>
      <c r="F271" t="s">
        <v>246</v>
      </c>
      <c r="G271" s="3">
        <v>8</v>
      </c>
      <c r="H271" s="18047">
        <v>27</v>
      </c>
      <c r="I271" s="18047">
        <v>216</v>
      </c>
      <c r="J271" t="s">
        <v>851</v>
      </c>
      <c r="K271">
        <v>27</v>
      </c>
    </row>
    <row r="272" spans="1:11">
      <c r="A272" t="str">
        <f>IF(LEFT(E272,1)="1","SOL",IF(LEFT(E272,1)="2","CO",IF(LEFT(E272,1)="3","ALM",IF(LEFT(E272,1)="4","FAC","TRX")))) &amp; "-" &amp; B272 &amp; "-" &amp; TEXT(COUNTIFS($E$2:$E272,E272,$B$2:$B272,B272),"000")</f>
        <v>SOL-26-134</v>
      </c>
      <c r="B272">
        <v>26</v>
      </c>
      <c r="C272" s="18046">
        <v>46196</v>
      </c>
      <c r="D272" t="s">
        <v>115</v>
      </c>
      <c r="E272" t="s">
        <v>850</v>
      </c>
      <c r="F272" t="s">
        <v>245</v>
      </c>
      <c r="G272" s="3">
        <v>300</v>
      </c>
      <c r="H272" s="18047">
        <v>27</v>
      </c>
      <c r="I272" s="18047">
        <v>8100</v>
      </c>
      <c r="J272" t="s">
        <v>851</v>
      </c>
      <c r="K272">
        <v>27</v>
      </c>
    </row>
    <row r="273" spans="1:11">
      <c r="A273" t="str">
        <f>IF(LEFT(E273,1)="1","SOL",IF(LEFT(E273,1)="2","CO",IF(LEFT(E273,1)="3","ALM",IF(LEFT(E273,1)="4","FAC","TRX")))) &amp; "-" &amp; B273 &amp; "-" &amp; TEXT(COUNTIFS($E$2:$E273,E273,$B$2:$B273,B273),"000")</f>
        <v>SOL-26-135</v>
      </c>
      <c r="B273">
        <v>26</v>
      </c>
      <c r="C273" s="18046">
        <v>46197</v>
      </c>
      <c r="D273" t="s">
        <v>115</v>
      </c>
      <c r="E273" t="s">
        <v>850</v>
      </c>
      <c r="F273" t="s">
        <v>347</v>
      </c>
      <c r="G273" s="3">
        <v>600</v>
      </c>
      <c r="H273" s="18047">
        <v>27</v>
      </c>
      <c r="I273" s="18047">
        <v>16200</v>
      </c>
      <c r="J273" t="s">
        <v>851</v>
      </c>
      <c r="K273">
        <v>27</v>
      </c>
    </row>
    <row r="274" spans="1:11">
      <c r="A274" t="str">
        <f>IF(LEFT(E274,1)="1","SOL",IF(LEFT(E274,1)="2","CO",IF(LEFT(E274,1)="3","ALM",IF(LEFT(E274,1)="4","FAC","TRX")))) &amp; "-" &amp; B274 &amp; "-" &amp; TEXT(COUNTIFS($E$2:$E274,E274,$B$2:$B274,B274),"000")</f>
        <v>SOL-26-136</v>
      </c>
      <c r="B274">
        <v>26</v>
      </c>
      <c r="C274" s="18046">
        <v>46197</v>
      </c>
      <c r="D274" t="s">
        <v>115</v>
      </c>
      <c r="E274" t="s">
        <v>850</v>
      </c>
      <c r="F274" t="s">
        <v>349</v>
      </c>
      <c r="G274" s="3">
        <v>400</v>
      </c>
      <c r="H274" s="18047">
        <v>27</v>
      </c>
      <c r="I274" s="18047">
        <v>10800</v>
      </c>
      <c r="J274" t="s">
        <v>851</v>
      </c>
      <c r="K274">
        <v>27</v>
      </c>
    </row>
    <row r="275" spans="1:11">
      <c r="A275" t="str">
        <f>IF(LEFT(E275,1)="1","SOL",IF(LEFT(E275,1)="2","CO",IF(LEFT(E275,1)="3","ALM",IF(LEFT(E275,1)="4","FAC","TRX")))) &amp; "-" &amp; B275 &amp; "-" &amp; TEXT(COUNTIFS($E$2:$E275,E275,$B$2:$B275,B275),"000")</f>
        <v>SOL-26-137</v>
      </c>
      <c r="B275">
        <v>26</v>
      </c>
      <c r="C275" s="18046">
        <v>46198</v>
      </c>
      <c r="D275" t="s">
        <v>115</v>
      </c>
      <c r="E275" t="s">
        <v>850</v>
      </c>
      <c r="F275" t="s">
        <v>245</v>
      </c>
      <c r="G275" s="3">
        <v>300</v>
      </c>
      <c r="H275" s="18047">
        <v>27</v>
      </c>
      <c r="I275" s="18047">
        <v>8100</v>
      </c>
      <c r="J275" t="s">
        <v>851</v>
      </c>
      <c r="K275">
        <v>27</v>
      </c>
    </row>
    <row r="276" spans="1:11">
      <c r="A276" t="str">
        <f>IF(LEFT(E276,1)="1","SOL",IF(LEFT(E276,1)="2","CO",IF(LEFT(E276,1)="3","ALM",IF(LEFT(E276,1)="4","FAC","TRX")))) &amp; "-" &amp; B276 &amp; "-" &amp; TEXT(COUNTIFS($E$2:$E276,E276,$B$2:$B276,B276),"000")</f>
        <v>SOL-26-138</v>
      </c>
      <c r="B276">
        <v>26</v>
      </c>
      <c r="C276" s="18046">
        <v>46195</v>
      </c>
      <c r="D276" t="s">
        <v>2</v>
      </c>
      <c r="E276" t="s">
        <v>850</v>
      </c>
      <c r="F276" t="s">
        <v>235</v>
      </c>
      <c r="G276" s="3">
        <v>30</v>
      </c>
      <c r="H276" s="18047">
        <v>27</v>
      </c>
      <c r="I276" s="18047">
        <v>810</v>
      </c>
      <c r="J276" t="s">
        <v>851</v>
      </c>
      <c r="K276">
        <v>27</v>
      </c>
    </row>
    <row r="277" spans="1:11">
      <c r="A277" t="str">
        <f>IF(LEFT(E277,1)="1","SOL",IF(LEFT(E277,1)="2","CO",IF(LEFT(E277,1)="3","ALM",IF(LEFT(E277,1)="4","FAC","TRX")))) &amp; "-" &amp; B277 &amp; "-" &amp; TEXT(COUNTIFS($E$2:$E277,E277,$B$2:$B277,B277),"000")</f>
        <v>SOL-26-139</v>
      </c>
      <c r="B277">
        <v>26</v>
      </c>
      <c r="C277" s="18046">
        <v>46196</v>
      </c>
      <c r="D277" t="s">
        <v>2</v>
      </c>
      <c r="E277" t="s">
        <v>850</v>
      </c>
      <c r="F277" t="s">
        <v>235</v>
      </c>
      <c r="G277" s="3">
        <v>30</v>
      </c>
      <c r="H277" s="18047">
        <v>27</v>
      </c>
      <c r="I277" s="18047">
        <v>810</v>
      </c>
      <c r="J277" t="s">
        <v>851</v>
      </c>
      <c r="K277">
        <v>27</v>
      </c>
    </row>
    <row r="278" spans="1:11">
      <c r="A278" t="str">
        <f>IF(LEFT(E278,1)="1","SOL",IF(LEFT(E278,1)="2","CO",IF(LEFT(E278,1)="3","ALM",IF(LEFT(E278,1)="4","FAC","TRX")))) &amp; "-" &amp; B278 &amp; "-" &amp; TEXT(COUNTIFS($E$2:$E278,E278,$B$2:$B278,B278),"000")</f>
        <v>SOL-26-140</v>
      </c>
      <c r="B278">
        <v>26</v>
      </c>
      <c r="C278" s="18046">
        <v>46197</v>
      </c>
      <c r="D278" t="s">
        <v>2</v>
      </c>
      <c r="E278" t="s">
        <v>850</v>
      </c>
      <c r="F278" t="s">
        <v>235</v>
      </c>
      <c r="G278" s="3">
        <v>30</v>
      </c>
      <c r="H278" s="18047">
        <v>27</v>
      </c>
      <c r="I278" s="18047">
        <v>810</v>
      </c>
      <c r="J278" t="s">
        <v>851</v>
      </c>
      <c r="K278">
        <v>27</v>
      </c>
    </row>
    <row r="279" spans="1:11">
      <c r="A279" t="str">
        <f>IF(LEFT(E279,1)="1","SOL",IF(LEFT(E279,1)="2","CO",IF(LEFT(E279,1)="3","ALM",IF(LEFT(E279,1)="4","FAC","TRX")))) &amp; "-" &amp; B279 &amp; "-" &amp; TEXT(COUNTIFS($E$2:$E279,E279,$B$2:$B279,B279),"000")</f>
        <v>SOL-26-141</v>
      </c>
      <c r="B279">
        <v>26</v>
      </c>
      <c r="C279" s="18046">
        <v>46198</v>
      </c>
      <c r="D279" t="s">
        <v>2</v>
      </c>
      <c r="E279" t="s">
        <v>850</v>
      </c>
      <c r="F279" t="s">
        <v>235</v>
      </c>
      <c r="G279" s="3">
        <v>30</v>
      </c>
      <c r="H279" s="18047">
        <v>27</v>
      </c>
      <c r="I279" s="18047">
        <v>810</v>
      </c>
      <c r="J279" t="s">
        <v>851</v>
      </c>
      <c r="K279">
        <v>27</v>
      </c>
    </row>
    <row r="280" spans="1:11">
      <c r="A280" t="str">
        <f>IF(LEFT(E280,1)="1","SOL",IF(LEFT(E280,1)="2","CO",IF(LEFT(E280,1)="3","ALM",IF(LEFT(E280,1)="4","FAC","TRX")))) &amp; "-" &amp; B280 &amp; "-" &amp; TEXT(COUNTIFS($E$2:$E280,E280,$B$2:$B280,B280),"000")</f>
        <v>SOL-26-142</v>
      </c>
      <c r="B280">
        <v>26</v>
      </c>
      <c r="C280" s="18046">
        <v>46199</v>
      </c>
      <c r="D280" t="s">
        <v>2</v>
      </c>
      <c r="E280" t="s">
        <v>850</v>
      </c>
      <c r="F280" t="s">
        <v>235</v>
      </c>
      <c r="G280" s="3">
        <v>30</v>
      </c>
      <c r="H280" s="18047">
        <v>27</v>
      </c>
      <c r="I280" s="18047">
        <v>810</v>
      </c>
      <c r="J280" t="s">
        <v>851</v>
      </c>
      <c r="K280">
        <v>27</v>
      </c>
    </row>
    <row r="281" spans="1:11">
      <c r="A281" t="str">
        <f>IF(LEFT(E281,1)="1","SOL",IF(LEFT(E281,1)="2","CO",IF(LEFT(E281,1)="3","ALM",IF(LEFT(E281,1)="4","FAC","TRX")))) &amp; "-" &amp; B281 &amp; "-" &amp; TEXT(COUNTIFS($E$2:$E281,E281,$B$2:$B281,B281),"000")</f>
        <v>SOL-27-001</v>
      </c>
      <c r="B281">
        <v>27</v>
      </c>
      <c r="C281" s="18046">
        <v>46202</v>
      </c>
      <c r="D281" t="s">
        <v>654</v>
      </c>
      <c r="E281" t="s">
        <v>850</v>
      </c>
      <c r="F281" t="s">
        <v>817</v>
      </c>
      <c r="G281" s="3">
        <v>300</v>
      </c>
      <c r="H281" s="18047">
        <v>27</v>
      </c>
      <c r="I281" s="18047">
        <v>8100</v>
      </c>
      <c r="J281" t="s">
        <v>851</v>
      </c>
      <c r="K281">
        <v>23.95</v>
      </c>
    </row>
    <row r="282" spans="1:11">
      <c r="A282" t="str">
        <f>IF(LEFT(E282,1)="1","SOL",IF(LEFT(E282,1)="2","CO",IF(LEFT(E282,1)="3","ALM",IF(LEFT(E282,1)="4","FAC","TRX")))) &amp; "-" &amp; B282 &amp; "-" &amp; TEXT(COUNTIFS($E$2:$E282,E282,$B$2:$B282,B282),"000")</f>
        <v>SOL-27-002</v>
      </c>
      <c r="B282">
        <v>27</v>
      </c>
      <c r="C282" s="18046">
        <v>46202</v>
      </c>
      <c r="D282" t="s">
        <v>654</v>
      </c>
      <c r="E282" t="s">
        <v>850</v>
      </c>
      <c r="F282" t="s">
        <v>818</v>
      </c>
      <c r="G282" s="3">
        <v>100</v>
      </c>
      <c r="H282" s="18047">
        <v>27</v>
      </c>
      <c r="I282" s="18047">
        <v>2700</v>
      </c>
      <c r="J282" t="s">
        <v>851</v>
      </c>
      <c r="K282">
        <v>23.95</v>
      </c>
    </row>
    <row r="283" spans="1:11">
      <c r="A283" t="str">
        <f>IF(LEFT(E283,1)="1","SOL",IF(LEFT(E283,1)="2","CO",IF(LEFT(E283,1)="3","ALM",IF(LEFT(E283,1)="4","FAC","TRX")))) &amp; "-" &amp; B283 &amp; "-" &amp; TEXT(COUNTIFS($E$2:$E283,E283,$B$2:$B283,B283),"000")</f>
        <v>SOL-27-003</v>
      </c>
      <c r="B283">
        <v>27</v>
      </c>
      <c r="C283" s="18046">
        <v>46202</v>
      </c>
      <c r="D283" t="s">
        <v>654</v>
      </c>
      <c r="E283" t="s">
        <v>850</v>
      </c>
      <c r="F283" t="s">
        <v>819</v>
      </c>
      <c r="G283" s="3">
        <v>100</v>
      </c>
      <c r="H283" s="18047">
        <v>27</v>
      </c>
      <c r="I283" s="18047">
        <v>2700</v>
      </c>
      <c r="J283" t="s">
        <v>851</v>
      </c>
      <c r="K283">
        <v>23.95</v>
      </c>
    </row>
    <row r="284" spans="1:11">
      <c r="A284" t="str">
        <f>IF(LEFT(E284,1)="1","SOL",IF(LEFT(E284,1)="2","CO",IF(LEFT(E284,1)="3","ALM",IF(LEFT(E284,1)="4","FAC","TRX")))) &amp; "-" &amp; B284 &amp; "-" &amp; TEXT(COUNTIFS($E$2:$E284,E284,$B$2:$B284,B284),"000")</f>
        <v>SOL-27-004</v>
      </c>
      <c r="B284">
        <v>27</v>
      </c>
      <c r="C284" s="18046">
        <v>46202</v>
      </c>
      <c r="D284" t="s">
        <v>654</v>
      </c>
      <c r="E284" t="s">
        <v>850</v>
      </c>
      <c r="F284" t="s">
        <v>820</v>
      </c>
      <c r="G284" s="3">
        <v>100</v>
      </c>
      <c r="H284" s="18047">
        <v>27</v>
      </c>
      <c r="I284" s="18047">
        <v>2700</v>
      </c>
      <c r="J284" t="s">
        <v>851</v>
      </c>
      <c r="K284">
        <v>23.95</v>
      </c>
    </row>
    <row r="285" spans="1:11">
      <c r="A285" t="str">
        <f>IF(LEFT(E285,1)="1","SOL",IF(LEFT(E285,1)="2","CO",IF(LEFT(E285,1)="3","ALM",IF(LEFT(E285,1)="4","FAC","TRX")))) &amp; "-" &amp; B285 &amp; "-" &amp; TEXT(COUNTIFS($E$2:$E285,E285,$B$2:$B285,B285),"000")</f>
        <v>SOL-27-005</v>
      </c>
      <c r="B285">
        <v>27</v>
      </c>
      <c r="C285" s="18046">
        <v>46203</v>
      </c>
      <c r="D285" t="s">
        <v>654</v>
      </c>
      <c r="E285" t="s">
        <v>850</v>
      </c>
      <c r="F285" t="s">
        <v>817</v>
      </c>
      <c r="G285" s="3">
        <v>300</v>
      </c>
      <c r="H285" s="18047">
        <v>27</v>
      </c>
      <c r="I285" s="18047">
        <v>8100</v>
      </c>
      <c r="J285" t="s">
        <v>851</v>
      </c>
      <c r="K285">
        <v>23.95</v>
      </c>
    </row>
    <row r="286" spans="1:11">
      <c r="A286" t="str">
        <f>IF(LEFT(E286,1)="1","SOL",IF(LEFT(E286,1)="2","CO",IF(LEFT(E286,1)="3","ALM",IF(LEFT(E286,1)="4","FAC","TRX")))) &amp; "-" &amp; B286 &amp; "-" &amp; TEXT(COUNTIFS($E$2:$E286,E286,$B$2:$B286,B286),"000")</f>
        <v>SOL-27-006</v>
      </c>
      <c r="B286">
        <v>27</v>
      </c>
      <c r="C286" s="18046">
        <v>46203</v>
      </c>
      <c r="D286" t="s">
        <v>654</v>
      </c>
      <c r="E286" t="s">
        <v>850</v>
      </c>
      <c r="F286" t="s">
        <v>821</v>
      </c>
      <c r="G286" s="3">
        <v>50</v>
      </c>
      <c r="H286" s="18047">
        <v>27</v>
      </c>
      <c r="I286" s="18047">
        <v>1350</v>
      </c>
      <c r="J286" t="s">
        <v>851</v>
      </c>
      <c r="K286">
        <v>23.95</v>
      </c>
    </row>
    <row r="287" spans="1:11">
      <c r="A287" t="str">
        <f>IF(LEFT(E287,1)="1","SOL",IF(LEFT(E287,1)="2","CO",IF(LEFT(E287,1)="3","ALM",IF(LEFT(E287,1)="4","FAC","TRX")))) &amp; "-" &amp; B287 &amp; "-" &amp; TEXT(COUNTIFS($E$2:$E287,E287,$B$2:$B287,B287),"000")</f>
        <v>SOL-27-007</v>
      </c>
      <c r="B287">
        <v>27</v>
      </c>
      <c r="C287" s="18046">
        <v>46203</v>
      </c>
      <c r="D287" t="s">
        <v>654</v>
      </c>
      <c r="E287" t="s">
        <v>850</v>
      </c>
      <c r="F287" t="s">
        <v>819</v>
      </c>
      <c r="G287" s="3">
        <v>100</v>
      </c>
      <c r="H287" s="18047">
        <v>27</v>
      </c>
      <c r="I287" s="18047">
        <v>2700</v>
      </c>
      <c r="J287" t="s">
        <v>851</v>
      </c>
      <c r="K287">
        <v>23.95</v>
      </c>
    </row>
    <row r="288" spans="1:11">
      <c r="A288" t="str">
        <f>IF(LEFT(E288,1)="1","SOL",IF(LEFT(E288,1)="2","CO",IF(LEFT(E288,1)="3","ALM",IF(LEFT(E288,1)="4","FAC","TRX")))) &amp; "-" &amp; B288 &amp; "-" &amp; TEXT(COUNTIFS($E$2:$E288,E288,$B$2:$B288,B288),"000")</f>
        <v>SOL-27-008</v>
      </c>
      <c r="B288">
        <v>27</v>
      </c>
      <c r="C288" s="18046">
        <v>46203</v>
      </c>
      <c r="D288" t="s">
        <v>654</v>
      </c>
      <c r="E288" t="s">
        <v>850</v>
      </c>
      <c r="F288" t="s">
        <v>820</v>
      </c>
      <c r="G288" s="3">
        <v>100</v>
      </c>
      <c r="H288" s="18047">
        <v>27</v>
      </c>
      <c r="I288" s="18047">
        <v>2700</v>
      </c>
      <c r="J288" t="s">
        <v>851</v>
      </c>
      <c r="K288">
        <v>23.95</v>
      </c>
    </row>
    <row r="289" spans="1:11">
      <c r="A289" t="str">
        <f>IF(LEFT(E289,1)="1","SOL",IF(LEFT(E289,1)="2","CO",IF(LEFT(E289,1)="3","ALM",IF(LEFT(E289,1)="4","FAC","TRX")))) &amp; "-" &amp; B289 &amp; "-" &amp; TEXT(COUNTIFS($E$2:$E289,E289,$B$2:$B289,B289),"000")</f>
        <v>SOL-27-009</v>
      </c>
      <c r="B289">
        <v>27</v>
      </c>
      <c r="C289" s="18046">
        <v>46204</v>
      </c>
      <c r="D289" t="s">
        <v>654</v>
      </c>
      <c r="E289" t="s">
        <v>850</v>
      </c>
      <c r="F289" t="s">
        <v>817</v>
      </c>
      <c r="G289" s="3">
        <v>300</v>
      </c>
      <c r="H289" s="18047">
        <v>27</v>
      </c>
      <c r="I289" s="18047">
        <v>8100</v>
      </c>
      <c r="J289" t="s">
        <v>851</v>
      </c>
      <c r="K289">
        <v>23.95</v>
      </c>
    </row>
    <row r="290" spans="1:11">
      <c r="A290" t="str">
        <f>IF(LEFT(E290,1)="1","SOL",IF(LEFT(E290,1)="2","CO",IF(LEFT(E290,1)="3","ALM",IF(LEFT(E290,1)="4","FAC","TRX")))) &amp; "-" &amp; B290 &amp; "-" &amp; TEXT(COUNTIFS($E$2:$E290,E290,$B$2:$B290,B290),"000")</f>
        <v>SOL-27-010</v>
      </c>
      <c r="B290">
        <v>27</v>
      </c>
      <c r="C290" s="18046">
        <v>46204</v>
      </c>
      <c r="D290" t="s">
        <v>654</v>
      </c>
      <c r="E290" t="s">
        <v>850</v>
      </c>
      <c r="F290" t="s">
        <v>819</v>
      </c>
      <c r="G290" s="3">
        <v>100</v>
      </c>
      <c r="H290" s="18047">
        <v>27</v>
      </c>
      <c r="I290" s="18047">
        <v>2700</v>
      </c>
      <c r="J290" t="s">
        <v>851</v>
      </c>
      <c r="K290">
        <v>23.95</v>
      </c>
    </row>
    <row r="291" spans="1:11">
      <c r="A291" t="str">
        <f>IF(LEFT(E291,1)="1","SOL",IF(LEFT(E291,1)="2","CO",IF(LEFT(E291,1)="3","ALM",IF(LEFT(E291,1)="4","FAC","TRX")))) &amp; "-" &amp; B291 &amp; "-" &amp; TEXT(COUNTIFS($E$2:$E291,E291,$B$2:$B291,B291),"000")</f>
        <v>SOL-27-011</v>
      </c>
      <c r="B291">
        <v>27</v>
      </c>
      <c r="C291" s="18046">
        <v>46204</v>
      </c>
      <c r="D291" t="s">
        <v>654</v>
      </c>
      <c r="E291" t="s">
        <v>850</v>
      </c>
      <c r="F291" t="s">
        <v>820</v>
      </c>
      <c r="G291" s="3">
        <v>100</v>
      </c>
      <c r="H291" s="18047">
        <v>27</v>
      </c>
      <c r="I291" s="18047">
        <v>2700</v>
      </c>
      <c r="J291" t="s">
        <v>851</v>
      </c>
      <c r="K291">
        <v>23.95</v>
      </c>
    </row>
    <row r="292" spans="1:11">
      <c r="A292" t="str">
        <f>IF(LEFT(E292,1)="1","SOL",IF(LEFT(E292,1)="2","CO",IF(LEFT(E292,1)="3","ALM",IF(LEFT(E292,1)="4","FAC","TRX")))) &amp; "-" &amp; B292 &amp; "-" &amp; TEXT(COUNTIFS($E$2:$E292,E292,$B$2:$B292,B292),"000")</f>
        <v>SOL-27-012</v>
      </c>
      <c r="B292">
        <v>27</v>
      </c>
      <c r="C292" s="18046">
        <v>46205</v>
      </c>
      <c r="D292" t="s">
        <v>654</v>
      </c>
      <c r="E292" t="s">
        <v>850</v>
      </c>
      <c r="F292" t="s">
        <v>817</v>
      </c>
      <c r="G292" s="3">
        <v>300</v>
      </c>
      <c r="H292" s="18047">
        <v>27</v>
      </c>
      <c r="I292" s="18047">
        <v>8100</v>
      </c>
      <c r="J292" t="s">
        <v>851</v>
      </c>
      <c r="K292">
        <v>23.95</v>
      </c>
    </row>
    <row r="293" spans="1:11">
      <c r="A293" t="str">
        <f>IF(LEFT(E293,1)="1","SOL",IF(LEFT(E293,1)="2","CO",IF(LEFT(E293,1)="3","ALM",IF(LEFT(E293,1)="4","FAC","TRX")))) &amp; "-" &amp; B293 &amp; "-" &amp; TEXT(COUNTIFS($E$2:$E293,E293,$B$2:$B293,B293),"000")</f>
        <v>SOL-27-013</v>
      </c>
      <c r="B293">
        <v>27</v>
      </c>
      <c r="C293" s="18046">
        <v>46205</v>
      </c>
      <c r="D293" t="s">
        <v>654</v>
      </c>
      <c r="E293" t="s">
        <v>850</v>
      </c>
      <c r="F293" t="s">
        <v>821</v>
      </c>
      <c r="G293" s="3">
        <v>50</v>
      </c>
      <c r="H293" s="18047">
        <v>27</v>
      </c>
      <c r="I293" s="18047">
        <v>1350</v>
      </c>
      <c r="J293" t="s">
        <v>851</v>
      </c>
      <c r="K293">
        <v>23.95</v>
      </c>
    </row>
    <row r="294" spans="1:11">
      <c r="A294" t="str">
        <f>IF(LEFT(E294,1)="1","SOL",IF(LEFT(E294,1)="2","CO",IF(LEFT(E294,1)="3","ALM",IF(LEFT(E294,1)="4","FAC","TRX")))) &amp; "-" &amp; B294 &amp; "-" &amp; TEXT(COUNTIFS($E$2:$E294,E294,$B$2:$B294,B294),"000")</f>
        <v>SOL-27-014</v>
      </c>
      <c r="B294">
        <v>27</v>
      </c>
      <c r="C294" s="18046">
        <v>46205</v>
      </c>
      <c r="D294" t="s">
        <v>654</v>
      </c>
      <c r="E294" t="s">
        <v>850</v>
      </c>
      <c r="F294" t="s">
        <v>818</v>
      </c>
      <c r="G294" s="3">
        <v>100</v>
      </c>
      <c r="H294" s="18047">
        <v>27</v>
      </c>
      <c r="I294" s="18047">
        <v>2700</v>
      </c>
      <c r="J294" t="s">
        <v>851</v>
      </c>
      <c r="K294">
        <v>23.95</v>
      </c>
    </row>
    <row r="295" spans="1:11">
      <c r="A295" t="str">
        <f>IF(LEFT(E295,1)="1","SOL",IF(LEFT(E295,1)="2","CO",IF(LEFT(E295,1)="3","ALM",IF(LEFT(E295,1)="4","FAC","TRX")))) &amp; "-" &amp; B295 &amp; "-" &amp; TEXT(COUNTIFS($E$2:$E295,E295,$B$2:$B295,B295),"000")</f>
        <v>SOL-27-015</v>
      </c>
      <c r="B295">
        <v>27</v>
      </c>
      <c r="C295" s="18046">
        <v>46205</v>
      </c>
      <c r="D295" t="s">
        <v>654</v>
      </c>
      <c r="E295" t="s">
        <v>850</v>
      </c>
      <c r="F295" t="s">
        <v>819</v>
      </c>
      <c r="G295" s="3">
        <v>100</v>
      </c>
      <c r="H295" s="18047">
        <v>27</v>
      </c>
      <c r="I295" s="18047">
        <v>2700</v>
      </c>
      <c r="J295" t="s">
        <v>851</v>
      </c>
      <c r="K295">
        <v>23.95</v>
      </c>
    </row>
    <row r="296" spans="1:11">
      <c r="A296" t="str">
        <f>IF(LEFT(E296,1)="1","SOL",IF(LEFT(E296,1)="2","CO",IF(LEFT(E296,1)="3","ALM",IF(LEFT(E296,1)="4","FAC","TRX")))) &amp; "-" &amp; B296 &amp; "-" &amp; TEXT(COUNTIFS($E$2:$E296,E296,$B$2:$B296,B296),"000")</f>
        <v>SOL-27-016</v>
      </c>
      <c r="B296">
        <v>27</v>
      </c>
      <c r="C296" s="18046">
        <v>46205</v>
      </c>
      <c r="D296" t="s">
        <v>654</v>
      </c>
      <c r="E296" t="s">
        <v>850</v>
      </c>
      <c r="F296" t="s">
        <v>820</v>
      </c>
      <c r="G296" s="3">
        <v>100</v>
      </c>
      <c r="H296" s="18047">
        <v>27</v>
      </c>
      <c r="I296" s="18047">
        <v>2700</v>
      </c>
      <c r="J296" t="s">
        <v>851</v>
      </c>
      <c r="K296">
        <v>23.95</v>
      </c>
    </row>
    <row r="297" spans="1:11">
      <c r="A297" t="str">
        <f>IF(LEFT(E297,1)="1","SOL",IF(LEFT(E297,1)="2","CO",IF(LEFT(E297,1)="3","ALM",IF(LEFT(E297,1)="4","FAC","TRX")))) &amp; "-" &amp; B297 &amp; "-" &amp; TEXT(COUNTIFS($E$2:$E297,E297,$B$2:$B297,B297),"000")</f>
        <v>SOL-27-017</v>
      </c>
      <c r="B297">
        <v>27</v>
      </c>
      <c r="C297" s="18046">
        <v>46206</v>
      </c>
      <c r="D297" t="s">
        <v>654</v>
      </c>
      <c r="E297" t="s">
        <v>850</v>
      </c>
      <c r="F297" t="s">
        <v>817</v>
      </c>
      <c r="G297" s="3">
        <v>300</v>
      </c>
      <c r="H297" s="18047">
        <v>27</v>
      </c>
      <c r="I297" s="18047">
        <v>8100</v>
      </c>
      <c r="J297" t="s">
        <v>851</v>
      </c>
      <c r="K297">
        <v>23.95</v>
      </c>
    </row>
    <row r="298" spans="1:11">
      <c r="A298" t="str">
        <f>IF(LEFT(E298,1)="1","SOL",IF(LEFT(E298,1)="2","CO",IF(LEFT(E298,1)="3","ALM",IF(LEFT(E298,1)="4","FAC","TRX")))) &amp; "-" &amp; B298 &amp; "-" &amp; TEXT(COUNTIFS($E$2:$E298,E298,$B$2:$B298,B298),"000")</f>
        <v>SOL-27-018</v>
      </c>
      <c r="B298">
        <v>27</v>
      </c>
      <c r="C298" s="18046">
        <v>46206</v>
      </c>
      <c r="D298" t="s">
        <v>654</v>
      </c>
      <c r="E298" t="s">
        <v>850</v>
      </c>
      <c r="F298" t="s">
        <v>819</v>
      </c>
      <c r="G298" s="3">
        <v>100</v>
      </c>
      <c r="H298" s="18047">
        <v>27</v>
      </c>
      <c r="I298" s="18047">
        <v>2700</v>
      </c>
      <c r="J298" t="s">
        <v>851</v>
      </c>
      <c r="K298">
        <v>23.95</v>
      </c>
    </row>
    <row r="299" spans="1:11">
      <c r="A299" t="str">
        <f>IF(LEFT(E299,1)="1","SOL",IF(LEFT(E299,1)="2","CO",IF(LEFT(E299,1)="3","ALM",IF(LEFT(E299,1)="4","FAC","TRX")))) &amp; "-" &amp; B299 &amp; "-" &amp; TEXT(COUNTIFS($E$2:$E299,E299,$B$2:$B299,B299),"000")</f>
        <v>SOL-27-019</v>
      </c>
      <c r="B299">
        <v>27</v>
      </c>
      <c r="C299" s="18046">
        <v>46206</v>
      </c>
      <c r="D299" t="s">
        <v>654</v>
      </c>
      <c r="E299" t="s">
        <v>850</v>
      </c>
      <c r="F299" t="s">
        <v>820</v>
      </c>
      <c r="G299" s="3">
        <v>100</v>
      </c>
      <c r="H299" s="18047">
        <v>27</v>
      </c>
      <c r="I299" s="18047">
        <v>2700</v>
      </c>
      <c r="J299" t="s">
        <v>851</v>
      </c>
      <c r="K299">
        <v>23.95</v>
      </c>
    </row>
    <row r="300" spans="1:11">
      <c r="A300" t="str">
        <f>IF(LEFT(E300,1)="1","SOL",IF(LEFT(E300,1)="2","CO",IF(LEFT(E300,1)="3","ALM",IF(LEFT(E300,1)="4","FAC","TRX")))) &amp; "-" &amp; B300 &amp; "-" &amp; TEXT(COUNTIFS($E$2:$E300,E300,$B$2:$B300,B300),"000")</f>
        <v>SOL-27-020</v>
      </c>
      <c r="B300">
        <v>27</v>
      </c>
      <c r="C300" s="18046">
        <v>46207</v>
      </c>
      <c r="D300" t="s">
        <v>654</v>
      </c>
      <c r="E300" t="s">
        <v>850</v>
      </c>
      <c r="F300" t="s">
        <v>817</v>
      </c>
      <c r="G300" s="3">
        <v>100</v>
      </c>
      <c r="H300" s="18047">
        <v>27</v>
      </c>
      <c r="I300" s="18047">
        <v>2700</v>
      </c>
      <c r="J300" t="s">
        <v>851</v>
      </c>
      <c r="K300">
        <v>23.95</v>
      </c>
    </row>
    <row r="301" spans="1:11">
      <c r="A301" t="str">
        <f>IF(LEFT(E301,1)="1","SOL",IF(LEFT(E301,1)="2","CO",IF(LEFT(E301,1)="3","ALM",IF(LEFT(E301,1)="4","FAC","TRX")))) &amp; "-" &amp; B301 &amp; "-" &amp; TEXT(COUNTIFS($E$2:$E301,E301,$B$2:$B301,B301),"000")</f>
        <v>SOL-27-021</v>
      </c>
      <c r="B301">
        <v>27</v>
      </c>
      <c r="C301" s="18046">
        <v>46207</v>
      </c>
      <c r="D301" t="s">
        <v>654</v>
      </c>
      <c r="E301" t="s">
        <v>850</v>
      </c>
      <c r="F301" t="s">
        <v>821</v>
      </c>
      <c r="G301" s="3">
        <v>50</v>
      </c>
      <c r="H301" s="18047">
        <v>27</v>
      </c>
      <c r="I301" s="18047">
        <v>1350</v>
      </c>
      <c r="J301" t="s">
        <v>851</v>
      </c>
      <c r="K301">
        <v>23.95</v>
      </c>
    </row>
    <row r="302" spans="1:11">
      <c r="A302" t="str">
        <f>IF(LEFT(E302,1)="1","SOL",IF(LEFT(E302,1)="2","CO",IF(LEFT(E302,1)="3","ALM",IF(LEFT(E302,1)="4","FAC","TRX")))) &amp; "-" &amp; B302 &amp; "-" &amp; TEXT(COUNTIFS($E$2:$E302,E302,$B$2:$B302,B302),"000")</f>
        <v>SOL-27-022</v>
      </c>
      <c r="B302">
        <v>27</v>
      </c>
      <c r="C302" s="18046">
        <v>46207</v>
      </c>
      <c r="D302" t="s">
        <v>654</v>
      </c>
      <c r="E302" t="s">
        <v>850</v>
      </c>
      <c r="F302" t="s">
        <v>819</v>
      </c>
      <c r="G302" s="3">
        <v>100</v>
      </c>
      <c r="H302" s="18047">
        <v>27</v>
      </c>
      <c r="I302" s="18047">
        <v>2700</v>
      </c>
      <c r="J302" t="s">
        <v>851</v>
      </c>
      <c r="K302">
        <v>23.95</v>
      </c>
    </row>
    <row r="303" spans="1:11">
      <c r="A303" t="str">
        <f>IF(LEFT(E303,1)="1","SOL",IF(LEFT(E303,1)="2","CO",IF(LEFT(E303,1)="3","ALM",IF(LEFT(E303,1)="4","FAC","TRX")))) &amp; "-" &amp; B303 &amp; "-" &amp; TEXT(COUNTIFS($E$2:$E303,E303,$B$2:$B303,B303),"000")</f>
        <v>SOL-27-023</v>
      </c>
      <c r="B303">
        <v>27</v>
      </c>
      <c r="C303" s="18046">
        <v>46207</v>
      </c>
      <c r="D303" t="s">
        <v>654</v>
      </c>
      <c r="E303" t="s">
        <v>850</v>
      </c>
      <c r="F303" t="s">
        <v>820</v>
      </c>
      <c r="G303" s="3">
        <v>100</v>
      </c>
      <c r="H303" s="18047">
        <v>27</v>
      </c>
      <c r="I303" s="18047">
        <v>2700</v>
      </c>
      <c r="J303" t="s">
        <v>851</v>
      </c>
      <c r="K303">
        <v>23.95</v>
      </c>
    </row>
    <row r="304" spans="1:11">
      <c r="A304" t="str">
        <f>IF(LEFT(E304,1)="1","SOL",IF(LEFT(E304,1)="2","CO",IF(LEFT(E304,1)="3","ALM",IF(LEFT(E304,1)="4","FAC","TRX")))) &amp; "-" &amp; B304 &amp; "-" &amp; TEXT(COUNTIFS($E$2:$E304,E304,$B$2:$B304,B304),"000")</f>
        <v>SOL-27-024</v>
      </c>
      <c r="B304">
        <v>27</v>
      </c>
      <c r="C304" s="18046">
        <v>46208</v>
      </c>
      <c r="D304" t="s">
        <v>654</v>
      </c>
      <c r="E304" t="s">
        <v>850</v>
      </c>
      <c r="F304" t="s">
        <v>817</v>
      </c>
      <c r="G304" s="3">
        <v>100</v>
      </c>
      <c r="H304" s="18047">
        <v>27</v>
      </c>
      <c r="I304" s="18047">
        <v>2700</v>
      </c>
      <c r="J304" t="s">
        <v>851</v>
      </c>
      <c r="K304">
        <v>23.95</v>
      </c>
    </row>
    <row r="305" spans="1:11">
      <c r="A305" t="str">
        <f>IF(LEFT(E305,1)="1","SOL",IF(LEFT(E305,1)="2","CO",IF(LEFT(E305,1)="3","ALM",IF(LEFT(E305,1)="4","FAC","TRX")))) &amp; "-" &amp; B305 &amp; "-" &amp; TEXT(COUNTIFS($E$2:$E305,E305,$B$2:$B305,B305),"000")</f>
        <v>SOL-27-025</v>
      </c>
      <c r="B305">
        <v>27</v>
      </c>
      <c r="C305" s="18046">
        <v>46208</v>
      </c>
      <c r="D305" t="s">
        <v>654</v>
      </c>
      <c r="E305" t="s">
        <v>850</v>
      </c>
      <c r="F305" t="s">
        <v>819</v>
      </c>
      <c r="G305" s="3">
        <v>100</v>
      </c>
      <c r="H305" s="18047">
        <v>27</v>
      </c>
      <c r="I305" s="18047">
        <v>2700</v>
      </c>
      <c r="J305" t="s">
        <v>851</v>
      </c>
      <c r="K305">
        <v>23.95</v>
      </c>
    </row>
    <row r="306" spans="1:11">
      <c r="A306" t="str">
        <f>IF(LEFT(E306,1)="1","SOL",IF(LEFT(E306,1)="2","CO",IF(LEFT(E306,1)="3","ALM",IF(LEFT(E306,1)="4","FAC","TRX")))) &amp; "-" &amp; B306 &amp; "-" &amp; TEXT(COUNTIFS($E$2:$E306,E306,$B$2:$B306,B306),"000")</f>
        <v>SOL-27-026</v>
      </c>
      <c r="B306">
        <v>27</v>
      </c>
      <c r="C306" s="18046">
        <v>46202</v>
      </c>
      <c r="D306" t="s">
        <v>1</v>
      </c>
      <c r="E306" t="s">
        <v>850</v>
      </c>
      <c r="F306" t="s">
        <v>215</v>
      </c>
      <c r="G306" s="3">
        <v>250</v>
      </c>
      <c r="H306" s="18047">
        <v>27</v>
      </c>
      <c r="I306" s="18047">
        <v>6750</v>
      </c>
      <c r="J306" t="s">
        <v>851</v>
      </c>
      <c r="K306">
        <v>23.95</v>
      </c>
    </row>
    <row r="307" spans="1:11">
      <c r="A307" t="str">
        <f>IF(LEFT(E307,1)="1","SOL",IF(LEFT(E307,1)="2","CO",IF(LEFT(E307,1)="3","ALM",IF(LEFT(E307,1)="4","FAC","TRX")))) &amp; "-" &amp; B307 &amp; "-" &amp; TEXT(COUNTIFS($E$2:$E307,E307,$B$2:$B307,B307),"000")</f>
        <v>SOL-27-027</v>
      </c>
      <c r="B307">
        <v>27</v>
      </c>
      <c r="C307" s="18046">
        <v>46203</v>
      </c>
      <c r="D307" t="s">
        <v>1</v>
      </c>
      <c r="E307" t="s">
        <v>850</v>
      </c>
      <c r="F307" t="s">
        <v>215</v>
      </c>
      <c r="G307" s="3">
        <v>200</v>
      </c>
      <c r="H307" s="18047">
        <v>27</v>
      </c>
      <c r="I307" s="18047">
        <v>5400</v>
      </c>
      <c r="J307" t="s">
        <v>851</v>
      </c>
      <c r="K307">
        <v>23.95</v>
      </c>
    </row>
    <row r="308" spans="1:11">
      <c r="A308" t="str">
        <f>IF(LEFT(E308,1)="1","SOL",IF(LEFT(E308,1)="2","CO",IF(LEFT(E308,1)="3","ALM",IF(LEFT(E308,1)="4","FAC","TRX")))) &amp; "-" &amp; B308 &amp; "-" &amp; TEXT(COUNTIFS($E$2:$E308,E308,$B$2:$B308,B308),"000")</f>
        <v>SOL-27-028</v>
      </c>
      <c r="B308">
        <v>27</v>
      </c>
      <c r="C308" s="18046">
        <v>46204</v>
      </c>
      <c r="D308" t="s">
        <v>1</v>
      </c>
      <c r="E308" t="s">
        <v>850</v>
      </c>
      <c r="F308" t="s">
        <v>215</v>
      </c>
      <c r="G308" s="3">
        <v>250</v>
      </c>
      <c r="H308" s="18047">
        <v>27</v>
      </c>
      <c r="I308" s="18047">
        <v>6750</v>
      </c>
      <c r="J308" t="s">
        <v>851</v>
      </c>
      <c r="K308">
        <v>23.95</v>
      </c>
    </row>
    <row r="309" spans="1:11">
      <c r="A309" t="str">
        <f>IF(LEFT(E309,1)="1","SOL",IF(LEFT(E309,1)="2","CO",IF(LEFT(E309,1)="3","ALM",IF(LEFT(E309,1)="4","FAC","TRX")))) &amp; "-" &amp; B309 &amp; "-" &amp; TEXT(COUNTIFS($E$2:$E309,E309,$B$2:$B309,B309),"000")</f>
        <v>SOL-27-029</v>
      </c>
      <c r="B309">
        <v>27</v>
      </c>
      <c r="C309" s="18046">
        <v>46205</v>
      </c>
      <c r="D309" t="s">
        <v>1</v>
      </c>
      <c r="E309" t="s">
        <v>850</v>
      </c>
      <c r="F309" t="s">
        <v>215</v>
      </c>
      <c r="G309" s="3">
        <v>200</v>
      </c>
      <c r="H309" s="18047">
        <v>27</v>
      </c>
      <c r="I309" s="18047">
        <v>5400</v>
      </c>
      <c r="J309" t="s">
        <v>851</v>
      </c>
      <c r="K309">
        <v>23.95</v>
      </c>
    </row>
    <row r="310" spans="1:11">
      <c r="A310" t="str">
        <f>IF(LEFT(E310,1)="1","SOL",IF(LEFT(E310,1)="2","CO",IF(LEFT(E310,1)="3","ALM",IF(LEFT(E310,1)="4","FAC","TRX")))) &amp; "-" &amp; B310 &amp; "-" &amp; TEXT(COUNTIFS($E$2:$E310,E310,$B$2:$B310,B310),"000")</f>
        <v>SOL-27-030</v>
      </c>
      <c r="B310">
        <v>27</v>
      </c>
      <c r="C310" s="18046">
        <v>46206</v>
      </c>
      <c r="D310" t="s">
        <v>1</v>
      </c>
      <c r="E310" t="s">
        <v>850</v>
      </c>
      <c r="F310" t="s">
        <v>215</v>
      </c>
      <c r="G310" s="3">
        <v>250</v>
      </c>
      <c r="H310" s="18047">
        <v>27</v>
      </c>
      <c r="I310" s="18047">
        <v>6750</v>
      </c>
      <c r="J310" t="s">
        <v>851</v>
      </c>
      <c r="K310">
        <v>23.95</v>
      </c>
    </row>
    <row r="311" spans="1:11">
      <c r="A311" t="str">
        <f>IF(LEFT(E311,1)="1","SOL",IF(LEFT(E311,1)="2","CO",IF(LEFT(E311,1)="3","ALM",IF(LEFT(E311,1)="4","FAC","TRX")))) &amp; "-" &amp; B311 &amp; "-" &amp; TEXT(COUNTIFS($E$2:$E311,E311,$B$2:$B311,B311),"000")</f>
        <v>SOL-27-031</v>
      </c>
      <c r="B311">
        <v>27</v>
      </c>
      <c r="C311" s="18046">
        <v>46207</v>
      </c>
      <c r="D311" t="s">
        <v>1</v>
      </c>
      <c r="E311" t="s">
        <v>850</v>
      </c>
      <c r="F311" t="s">
        <v>215</v>
      </c>
      <c r="G311" s="3">
        <v>150</v>
      </c>
      <c r="H311" s="18047">
        <v>27</v>
      </c>
      <c r="I311" s="18047">
        <v>4050</v>
      </c>
      <c r="J311" t="s">
        <v>851</v>
      </c>
      <c r="K311">
        <v>23.95</v>
      </c>
    </row>
    <row r="312" spans="1:11">
      <c r="A312" t="str">
        <f>IF(LEFT(E312,1)="1","SOL",IF(LEFT(E312,1)="2","CO",IF(LEFT(E312,1)="3","ALM",IF(LEFT(E312,1)="4","FAC","TRX")))) &amp; "-" &amp; B312 &amp; "-" &amp; TEXT(COUNTIFS($E$2:$E312,E312,$B$2:$B312,B312),"000")</f>
        <v>SOL-27-032</v>
      </c>
      <c r="B312">
        <v>27</v>
      </c>
      <c r="C312" s="18046">
        <v>46202</v>
      </c>
      <c r="D312" t="s">
        <v>1</v>
      </c>
      <c r="E312" t="s">
        <v>850</v>
      </c>
      <c r="F312" t="s">
        <v>211</v>
      </c>
      <c r="G312" s="3">
        <v>120</v>
      </c>
      <c r="H312" s="18047">
        <v>27</v>
      </c>
      <c r="I312" s="18047">
        <v>3240</v>
      </c>
      <c r="J312" t="s">
        <v>851</v>
      </c>
      <c r="K312">
        <v>23.95</v>
      </c>
    </row>
    <row r="313" spans="1:11">
      <c r="A313" t="str">
        <f>IF(LEFT(E313,1)="1","SOL",IF(LEFT(E313,1)="2","CO",IF(LEFT(E313,1)="3","ALM",IF(LEFT(E313,1)="4","FAC","TRX")))) &amp; "-" &amp; B313 &amp; "-" &amp; TEXT(COUNTIFS($E$2:$E313,E313,$B$2:$B313,B313),"000")</f>
        <v>SOL-27-033</v>
      </c>
      <c r="B313">
        <v>27</v>
      </c>
      <c r="C313" s="18046">
        <v>46203</v>
      </c>
      <c r="D313" t="s">
        <v>1</v>
      </c>
      <c r="E313" t="s">
        <v>850</v>
      </c>
      <c r="F313" t="s">
        <v>211</v>
      </c>
      <c r="G313" s="3">
        <v>120</v>
      </c>
      <c r="H313" s="18047">
        <v>27</v>
      </c>
      <c r="I313" s="18047">
        <v>3240</v>
      </c>
      <c r="J313" t="s">
        <v>851</v>
      </c>
      <c r="K313">
        <v>23.95</v>
      </c>
    </row>
    <row r="314" spans="1:11">
      <c r="A314" t="str">
        <f>IF(LEFT(E314,1)="1","SOL",IF(LEFT(E314,1)="2","CO",IF(LEFT(E314,1)="3","ALM",IF(LEFT(E314,1)="4","FAC","TRX")))) &amp; "-" &amp; B314 &amp; "-" &amp; TEXT(COUNTIFS($E$2:$E314,E314,$B$2:$B314,B314),"000")</f>
        <v>SOL-27-034</v>
      </c>
      <c r="B314">
        <v>27</v>
      </c>
      <c r="C314" s="18046">
        <v>46204</v>
      </c>
      <c r="D314" t="s">
        <v>1</v>
      </c>
      <c r="E314" t="s">
        <v>850</v>
      </c>
      <c r="F314" t="s">
        <v>211</v>
      </c>
      <c r="G314" s="3">
        <v>120</v>
      </c>
      <c r="H314" s="18047">
        <v>27</v>
      </c>
      <c r="I314" s="18047">
        <v>3240</v>
      </c>
      <c r="J314" t="s">
        <v>851</v>
      </c>
      <c r="K314">
        <v>23.95</v>
      </c>
    </row>
    <row r="315" spans="1:11">
      <c r="A315" t="str">
        <f>IF(LEFT(E315,1)="1","SOL",IF(LEFT(E315,1)="2","CO",IF(LEFT(E315,1)="3","ALM",IF(LEFT(E315,1)="4","FAC","TRX")))) &amp; "-" &amp; B315 &amp; "-" &amp; TEXT(COUNTIFS($E$2:$E315,E315,$B$2:$B315,B315),"000")</f>
        <v>SOL-27-035</v>
      </c>
      <c r="B315">
        <v>27</v>
      </c>
      <c r="C315" s="18046">
        <v>46205</v>
      </c>
      <c r="D315" t="s">
        <v>1</v>
      </c>
      <c r="E315" t="s">
        <v>850</v>
      </c>
      <c r="F315" t="s">
        <v>211</v>
      </c>
      <c r="G315" s="3">
        <v>120</v>
      </c>
      <c r="H315" s="18047">
        <v>27</v>
      </c>
      <c r="I315" s="18047">
        <v>3240</v>
      </c>
      <c r="J315" t="s">
        <v>851</v>
      </c>
      <c r="K315">
        <v>23.95</v>
      </c>
    </row>
    <row r="316" spans="1:11">
      <c r="A316" t="str">
        <f>IF(LEFT(E316,1)="1","SOL",IF(LEFT(E316,1)="2","CO",IF(LEFT(E316,1)="3","ALM",IF(LEFT(E316,1)="4","FAC","TRX")))) &amp; "-" &amp; B316 &amp; "-" &amp; TEXT(COUNTIFS($E$2:$E316,E316,$B$2:$B316,B316),"000")</f>
        <v>SOL-27-036</v>
      </c>
      <c r="B316">
        <v>27</v>
      </c>
      <c r="C316" s="18046">
        <v>46206</v>
      </c>
      <c r="D316" t="s">
        <v>1</v>
      </c>
      <c r="E316" t="s">
        <v>850</v>
      </c>
      <c r="F316" t="s">
        <v>211</v>
      </c>
      <c r="G316" s="3">
        <v>100</v>
      </c>
      <c r="H316" s="18047">
        <v>27</v>
      </c>
      <c r="I316" s="18047">
        <v>2700</v>
      </c>
      <c r="J316" t="s">
        <v>851</v>
      </c>
      <c r="K316">
        <v>23.95</v>
      </c>
    </row>
    <row r="317" spans="1:11">
      <c r="A317" t="str">
        <f>IF(LEFT(E317,1)="1","SOL",IF(LEFT(E317,1)="2","CO",IF(LEFT(E317,1)="3","ALM",IF(LEFT(E317,1)="4","FAC","TRX")))) &amp; "-" &amp; B317 &amp; "-" &amp; TEXT(COUNTIFS($E$2:$E317,E317,$B$2:$B317,B317),"000")</f>
        <v>SOL-27-037</v>
      </c>
      <c r="B317">
        <v>27</v>
      </c>
      <c r="C317" s="18046">
        <v>46207</v>
      </c>
      <c r="D317" t="s">
        <v>1</v>
      </c>
      <c r="E317" t="s">
        <v>850</v>
      </c>
      <c r="F317" t="s">
        <v>211</v>
      </c>
      <c r="G317" s="3">
        <v>80</v>
      </c>
      <c r="H317" s="18047">
        <v>27</v>
      </c>
      <c r="I317" s="18047">
        <v>2160</v>
      </c>
      <c r="J317" t="s">
        <v>851</v>
      </c>
      <c r="K317">
        <v>23.95</v>
      </c>
    </row>
    <row r="318" spans="1:11">
      <c r="A318" t="str">
        <f>IF(LEFT(E318,1)="1","SOL",IF(LEFT(E318,1)="2","CO",IF(LEFT(E318,1)="3","ALM",IF(LEFT(E318,1)="4","FAC","TRX")))) &amp; "-" &amp; B318 &amp; "-" &amp; TEXT(COUNTIFS($E$2:$E318,E318,$B$2:$B318,B318),"000")</f>
        <v>SOL-27-038</v>
      </c>
      <c r="B318">
        <v>27</v>
      </c>
      <c r="C318" s="18046">
        <v>46202</v>
      </c>
      <c r="D318" t="s">
        <v>1</v>
      </c>
      <c r="E318" t="s">
        <v>850</v>
      </c>
      <c r="F318" t="s">
        <v>219</v>
      </c>
      <c r="G318" s="3">
        <v>50</v>
      </c>
      <c r="H318" s="18047">
        <v>27</v>
      </c>
      <c r="I318" s="18047">
        <v>1350</v>
      </c>
      <c r="J318" t="s">
        <v>851</v>
      </c>
      <c r="K318">
        <v>23.95</v>
      </c>
    </row>
    <row r="319" spans="1:11">
      <c r="A319" t="str">
        <f>IF(LEFT(E319,1)="1","SOL",IF(LEFT(E319,1)="2","CO",IF(LEFT(E319,1)="3","ALM",IF(LEFT(E319,1)="4","FAC","TRX")))) &amp; "-" &amp; B319 &amp; "-" &amp; TEXT(COUNTIFS($E$2:$E319,E319,$B$2:$B319,B319),"000")</f>
        <v>SOL-27-039</v>
      </c>
      <c r="B319">
        <v>27</v>
      </c>
      <c r="C319" s="18046">
        <v>46203</v>
      </c>
      <c r="D319" t="s">
        <v>1</v>
      </c>
      <c r="E319" t="s">
        <v>850</v>
      </c>
      <c r="F319" t="s">
        <v>219</v>
      </c>
      <c r="G319" s="3">
        <v>40</v>
      </c>
      <c r="H319" s="18047">
        <v>27</v>
      </c>
      <c r="I319" s="18047">
        <v>1080</v>
      </c>
      <c r="J319" t="s">
        <v>851</v>
      </c>
      <c r="K319">
        <v>23.95</v>
      </c>
    </row>
    <row r="320" spans="1:11">
      <c r="A320" t="str">
        <f>IF(LEFT(E320,1)="1","SOL",IF(LEFT(E320,1)="2","CO",IF(LEFT(E320,1)="3","ALM",IF(LEFT(E320,1)="4","FAC","TRX")))) &amp; "-" &amp; B320 &amp; "-" &amp; TEXT(COUNTIFS($E$2:$E320,E320,$B$2:$B320,B320),"000")</f>
        <v>SOL-27-040</v>
      </c>
      <c r="B320">
        <v>27</v>
      </c>
      <c r="C320" s="18046">
        <v>46204</v>
      </c>
      <c r="D320" t="s">
        <v>1</v>
      </c>
      <c r="E320" t="s">
        <v>850</v>
      </c>
      <c r="F320" t="s">
        <v>219</v>
      </c>
      <c r="G320" s="3">
        <v>40</v>
      </c>
      <c r="H320" s="18047">
        <v>27</v>
      </c>
      <c r="I320" s="18047">
        <v>1080</v>
      </c>
      <c r="J320" t="s">
        <v>851</v>
      </c>
      <c r="K320">
        <v>23.95</v>
      </c>
    </row>
    <row r="321" spans="1:11">
      <c r="A321" t="str">
        <f>IF(LEFT(E321,1)="1","SOL",IF(LEFT(E321,1)="2","CO",IF(LEFT(E321,1)="3","ALM",IF(LEFT(E321,1)="4","FAC","TRX")))) &amp; "-" &amp; B321 &amp; "-" &amp; TEXT(COUNTIFS($E$2:$E321,E321,$B$2:$B321,B321),"000")</f>
        <v>SOL-27-041</v>
      </c>
      <c r="B321">
        <v>27</v>
      </c>
      <c r="C321" s="18046">
        <v>46205</v>
      </c>
      <c r="D321" t="s">
        <v>1</v>
      </c>
      <c r="E321" t="s">
        <v>850</v>
      </c>
      <c r="F321" t="s">
        <v>219</v>
      </c>
      <c r="G321" s="3">
        <v>40</v>
      </c>
      <c r="H321" s="18047">
        <v>27</v>
      </c>
      <c r="I321" s="18047">
        <v>1080</v>
      </c>
      <c r="J321" t="s">
        <v>851</v>
      </c>
      <c r="K321">
        <v>23.95</v>
      </c>
    </row>
    <row r="322" spans="1:11">
      <c r="A322" t="str">
        <f>IF(LEFT(E322,1)="1","SOL",IF(LEFT(E322,1)="2","CO",IF(LEFT(E322,1)="3","ALM",IF(LEFT(E322,1)="4","FAC","TRX")))) &amp; "-" &amp; B322 &amp; "-" &amp; TEXT(COUNTIFS($E$2:$E322,E322,$B$2:$B322,B322),"000")</f>
        <v>SOL-27-042</v>
      </c>
      <c r="B322">
        <v>27</v>
      </c>
      <c r="C322" s="18046">
        <v>46206</v>
      </c>
      <c r="D322" t="s">
        <v>1</v>
      </c>
      <c r="E322" t="s">
        <v>850</v>
      </c>
      <c r="F322" t="s">
        <v>219</v>
      </c>
      <c r="G322" s="3">
        <v>30</v>
      </c>
      <c r="H322" s="18047">
        <v>27</v>
      </c>
      <c r="I322" s="18047">
        <v>810</v>
      </c>
      <c r="J322" t="s">
        <v>851</v>
      </c>
      <c r="K322">
        <v>23.95</v>
      </c>
    </row>
    <row r="323" spans="1:11">
      <c r="A323" t="str">
        <f>IF(LEFT(E323,1)="1","SOL",IF(LEFT(E323,1)="2","CO",IF(LEFT(E323,1)="3","ALM",IF(LEFT(E323,1)="4","FAC","TRX")))) &amp; "-" &amp; B323 &amp; "-" &amp; TEXT(COUNTIFS($E$2:$E323,E323,$B$2:$B323,B323),"000")</f>
        <v>SOL-27-043</v>
      </c>
      <c r="B323">
        <v>27</v>
      </c>
      <c r="C323" s="18046">
        <v>46207</v>
      </c>
      <c r="D323" t="s">
        <v>1</v>
      </c>
      <c r="E323" t="s">
        <v>850</v>
      </c>
      <c r="F323" t="s">
        <v>219</v>
      </c>
      <c r="G323" s="3">
        <v>30</v>
      </c>
      <c r="H323" s="18047">
        <v>27</v>
      </c>
      <c r="I323" s="18047">
        <v>810</v>
      </c>
      <c r="J323" t="s">
        <v>851</v>
      </c>
      <c r="K323">
        <v>23.95</v>
      </c>
    </row>
    <row r="324" spans="1:11">
      <c r="A324" t="str">
        <f>IF(LEFT(E324,1)="1","SOL",IF(LEFT(E324,1)="2","CO",IF(LEFT(E324,1)="3","ALM",IF(LEFT(E324,1)="4","FAC","TRX")))) &amp; "-" &amp; B324 &amp; "-" &amp; TEXT(COUNTIFS($E$2:$E324,E324,$B$2:$B324,B324),"000")</f>
        <v>SOL-27-044</v>
      </c>
      <c r="B324">
        <v>27</v>
      </c>
      <c r="C324" s="18046">
        <v>46202</v>
      </c>
      <c r="D324" t="s">
        <v>1</v>
      </c>
      <c r="E324" t="s">
        <v>850</v>
      </c>
      <c r="F324" t="s">
        <v>219</v>
      </c>
      <c r="G324" s="3">
        <v>50</v>
      </c>
      <c r="H324" s="18047">
        <v>27</v>
      </c>
      <c r="I324" s="18047">
        <v>1350</v>
      </c>
      <c r="J324" t="s">
        <v>851</v>
      </c>
      <c r="K324">
        <v>23.95</v>
      </c>
    </row>
    <row r="325" spans="1:11">
      <c r="A325" t="str">
        <f>IF(LEFT(E325,1)="1","SOL",IF(LEFT(E325,1)="2","CO",IF(LEFT(E325,1)="3","ALM",IF(LEFT(E325,1)="4","FAC","TRX")))) &amp; "-" &amp; B325 &amp; "-" &amp; TEXT(COUNTIFS($E$2:$E325,E325,$B$2:$B325,B325),"000")</f>
        <v>SOL-27-045</v>
      </c>
      <c r="B325">
        <v>27</v>
      </c>
      <c r="C325" s="18046">
        <v>46203</v>
      </c>
      <c r="D325" t="s">
        <v>1</v>
      </c>
      <c r="E325" t="s">
        <v>850</v>
      </c>
      <c r="F325" t="s">
        <v>219</v>
      </c>
      <c r="G325" s="3">
        <v>40</v>
      </c>
      <c r="H325" s="18047">
        <v>27</v>
      </c>
      <c r="I325" s="18047">
        <v>1080</v>
      </c>
      <c r="J325" t="s">
        <v>851</v>
      </c>
      <c r="K325">
        <v>23.95</v>
      </c>
    </row>
    <row r="326" spans="1:11">
      <c r="A326" t="str">
        <f>IF(LEFT(E326,1)="1","SOL",IF(LEFT(E326,1)="2","CO",IF(LEFT(E326,1)="3","ALM",IF(LEFT(E326,1)="4","FAC","TRX")))) &amp; "-" &amp; B326 &amp; "-" &amp; TEXT(COUNTIFS($E$2:$E326,E326,$B$2:$B326,B326),"000")</f>
        <v>SOL-27-046</v>
      </c>
      <c r="B326">
        <v>27</v>
      </c>
      <c r="C326" s="18046">
        <v>46204</v>
      </c>
      <c r="D326" t="s">
        <v>1</v>
      </c>
      <c r="E326" t="s">
        <v>850</v>
      </c>
      <c r="F326" t="s">
        <v>219</v>
      </c>
      <c r="G326" s="3">
        <v>40</v>
      </c>
      <c r="H326" s="18047">
        <v>27</v>
      </c>
      <c r="I326" s="18047">
        <v>1080</v>
      </c>
      <c r="J326" t="s">
        <v>851</v>
      </c>
      <c r="K326">
        <v>23.95</v>
      </c>
    </row>
    <row r="327" spans="1:11">
      <c r="A327" t="str">
        <f>IF(LEFT(E327,1)="1","SOL",IF(LEFT(E327,1)="2","CO",IF(LEFT(E327,1)="3","ALM",IF(LEFT(E327,1)="4","FAC","TRX")))) &amp; "-" &amp; B327 &amp; "-" &amp; TEXT(COUNTIFS($E$2:$E327,E327,$B$2:$B327,B327),"000")</f>
        <v>SOL-27-047</v>
      </c>
      <c r="B327">
        <v>27</v>
      </c>
      <c r="C327" s="18046">
        <v>46205</v>
      </c>
      <c r="D327" t="s">
        <v>1</v>
      </c>
      <c r="E327" t="s">
        <v>850</v>
      </c>
      <c r="F327" t="s">
        <v>219</v>
      </c>
      <c r="G327" s="3">
        <v>40</v>
      </c>
      <c r="H327" s="18047">
        <v>27</v>
      </c>
      <c r="I327" s="18047">
        <v>1080</v>
      </c>
      <c r="J327" t="s">
        <v>851</v>
      </c>
      <c r="K327">
        <v>23.95</v>
      </c>
    </row>
    <row r="328" spans="1:11">
      <c r="A328" t="str">
        <f>IF(LEFT(E328,1)="1","SOL",IF(LEFT(E328,1)="2","CO",IF(LEFT(E328,1)="3","ALM",IF(LEFT(E328,1)="4","FAC","TRX")))) &amp; "-" &amp; B328 &amp; "-" &amp; TEXT(COUNTIFS($E$2:$E328,E328,$B$2:$B328,B328),"000")</f>
        <v>SOL-27-048</v>
      </c>
      <c r="B328">
        <v>27</v>
      </c>
      <c r="C328" s="18046">
        <v>46206</v>
      </c>
      <c r="D328" t="s">
        <v>1</v>
      </c>
      <c r="E328" t="s">
        <v>850</v>
      </c>
      <c r="F328" t="s">
        <v>219</v>
      </c>
      <c r="G328" s="3">
        <v>30</v>
      </c>
      <c r="H328" s="18047">
        <v>27</v>
      </c>
      <c r="I328" s="18047">
        <v>810</v>
      </c>
      <c r="J328" t="s">
        <v>851</v>
      </c>
      <c r="K328">
        <v>23.95</v>
      </c>
    </row>
    <row r="329" spans="1:11">
      <c r="A329" t="str">
        <f>IF(LEFT(E329,1)="1","SOL",IF(LEFT(E329,1)="2","CO",IF(LEFT(E329,1)="3","ALM",IF(LEFT(E329,1)="4","FAC","TRX")))) &amp; "-" &amp; B329 &amp; "-" &amp; TEXT(COUNTIFS($E$2:$E329,E329,$B$2:$B329,B329),"000")</f>
        <v>SOL-27-049</v>
      </c>
      <c r="B329">
        <v>27</v>
      </c>
      <c r="C329" s="18046">
        <v>46207</v>
      </c>
      <c r="D329" t="s">
        <v>1</v>
      </c>
      <c r="E329" t="s">
        <v>850</v>
      </c>
      <c r="F329" t="s">
        <v>219</v>
      </c>
      <c r="G329" s="3">
        <v>30</v>
      </c>
      <c r="H329" s="18047">
        <v>27</v>
      </c>
      <c r="I329" s="18047">
        <v>810</v>
      </c>
      <c r="J329" t="s">
        <v>851</v>
      </c>
      <c r="K329">
        <v>23.95</v>
      </c>
    </row>
    <row r="330" spans="1:11">
      <c r="A330" t="str">
        <f>IF(LEFT(E330,1)="1","SOL",IF(LEFT(E330,1)="2","CO",IF(LEFT(E330,1)="3","ALM",IF(LEFT(E330,1)="4","FAC","TRX")))) &amp; "-" &amp; B330 &amp; "-" &amp; TEXT(COUNTIFS($E$2:$E330,E330,$B$2:$B330,B330),"000")</f>
        <v>SOL-27-050</v>
      </c>
      <c r="B330">
        <v>27</v>
      </c>
      <c r="C330" s="18046">
        <v>46202</v>
      </c>
      <c r="D330" t="s">
        <v>1</v>
      </c>
      <c r="E330" t="s">
        <v>850</v>
      </c>
      <c r="F330" t="s">
        <v>223</v>
      </c>
      <c r="G330" s="3">
        <v>50</v>
      </c>
      <c r="H330" s="18047">
        <v>27</v>
      </c>
      <c r="I330" s="18047">
        <v>1350</v>
      </c>
      <c r="J330" t="s">
        <v>851</v>
      </c>
      <c r="K330">
        <v>23.95</v>
      </c>
    </row>
    <row r="331" spans="1:11">
      <c r="A331" t="str">
        <f>IF(LEFT(E331,1)="1","SOL",IF(LEFT(E331,1)="2","CO",IF(LEFT(E331,1)="3","ALM",IF(LEFT(E331,1)="4","FAC","TRX")))) &amp; "-" &amp; B331 &amp; "-" &amp; TEXT(COUNTIFS($E$2:$E331,E331,$B$2:$B331,B331),"000")</f>
        <v>SOL-27-051</v>
      </c>
      <c r="B331">
        <v>27</v>
      </c>
      <c r="C331" s="18046">
        <v>46203</v>
      </c>
      <c r="D331" t="s">
        <v>1</v>
      </c>
      <c r="E331" t="s">
        <v>850</v>
      </c>
      <c r="F331" t="s">
        <v>223</v>
      </c>
      <c r="G331" s="3">
        <v>40</v>
      </c>
      <c r="H331" s="18047">
        <v>27</v>
      </c>
      <c r="I331" s="18047">
        <v>1080</v>
      </c>
      <c r="J331" t="s">
        <v>851</v>
      </c>
      <c r="K331">
        <v>23.95</v>
      </c>
    </row>
    <row r="332" spans="1:11">
      <c r="A332" t="str">
        <f>IF(LEFT(E332,1)="1","SOL",IF(LEFT(E332,1)="2","CO",IF(LEFT(E332,1)="3","ALM",IF(LEFT(E332,1)="4","FAC","TRX")))) &amp; "-" &amp; B332 &amp; "-" &amp; TEXT(COUNTIFS($E$2:$E332,E332,$B$2:$B332,B332),"000")</f>
        <v>SOL-27-052</v>
      </c>
      <c r="B332">
        <v>27</v>
      </c>
      <c r="C332" s="18046">
        <v>46204</v>
      </c>
      <c r="D332" t="s">
        <v>1</v>
      </c>
      <c r="E332" t="s">
        <v>850</v>
      </c>
      <c r="F332" t="s">
        <v>223</v>
      </c>
      <c r="G332" s="3">
        <v>40</v>
      </c>
      <c r="H332" s="18047">
        <v>27</v>
      </c>
      <c r="I332" s="18047">
        <v>1080</v>
      </c>
      <c r="J332" t="s">
        <v>851</v>
      </c>
      <c r="K332">
        <v>23.95</v>
      </c>
    </row>
    <row r="333" spans="1:11">
      <c r="A333" t="str">
        <f>IF(LEFT(E333,1)="1","SOL",IF(LEFT(E333,1)="2","CO",IF(LEFT(E333,1)="3","ALM",IF(LEFT(E333,1)="4","FAC","TRX")))) &amp; "-" &amp; B333 &amp; "-" &amp; TEXT(COUNTIFS($E$2:$E333,E333,$B$2:$B333,B333),"000")</f>
        <v>SOL-27-053</v>
      </c>
      <c r="B333">
        <v>27</v>
      </c>
      <c r="C333" s="18046">
        <v>46205</v>
      </c>
      <c r="D333" t="s">
        <v>1</v>
      </c>
      <c r="E333" t="s">
        <v>850</v>
      </c>
      <c r="F333" t="s">
        <v>223</v>
      </c>
      <c r="G333" s="3">
        <v>30</v>
      </c>
      <c r="H333" s="18047">
        <v>27</v>
      </c>
      <c r="I333" s="18047">
        <v>810</v>
      </c>
      <c r="J333" t="s">
        <v>851</v>
      </c>
      <c r="K333">
        <v>23.95</v>
      </c>
    </row>
    <row r="334" spans="1:11">
      <c r="A334" t="str">
        <f>IF(LEFT(E334,1)="1","SOL",IF(LEFT(E334,1)="2","CO",IF(LEFT(E334,1)="3","ALM",IF(LEFT(E334,1)="4","FAC","TRX")))) &amp; "-" &amp; B334 &amp; "-" &amp; TEXT(COUNTIFS($E$2:$E334,E334,$B$2:$B334,B334),"000")</f>
        <v>SOL-27-054</v>
      </c>
      <c r="B334">
        <v>27</v>
      </c>
      <c r="C334" s="18046">
        <v>46206</v>
      </c>
      <c r="D334" t="s">
        <v>1</v>
      </c>
      <c r="E334" t="s">
        <v>850</v>
      </c>
      <c r="F334" t="s">
        <v>223</v>
      </c>
      <c r="G334" s="3">
        <v>30</v>
      </c>
      <c r="H334" s="18047">
        <v>27</v>
      </c>
      <c r="I334" s="18047">
        <v>810</v>
      </c>
      <c r="J334" t="s">
        <v>851</v>
      </c>
      <c r="K334">
        <v>23.95</v>
      </c>
    </row>
    <row r="335" spans="1:11">
      <c r="A335" t="str">
        <f>IF(LEFT(E335,1)="1","SOL",IF(LEFT(E335,1)="2","CO",IF(LEFT(E335,1)="3","ALM",IF(LEFT(E335,1)="4","FAC","TRX")))) &amp; "-" &amp; B335 &amp; "-" &amp; TEXT(COUNTIFS($E$2:$E335,E335,$B$2:$B335,B335),"000")</f>
        <v>SOL-27-055</v>
      </c>
      <c r="B335">
        <v>27</v>
      </c>
      <c r="C335" s="18046">
        <v>46207</v>
      </c>
      <c r="D335" t="s">
        <v>1</v>
      </c>
      <c r="E335" t="s">
        <v>850</v>
      </c>
      <c r="F335" t="s">
        <v>223</v>
      </c>
      <c r="G335" s="3">
        <v>30</v>
      </c>
      <c r="H335" s="18047">
        <v>27</v>
      </c>
      <c r="I335" s="18047">
        <v>810</v>
      </c>
      <c r="J335" t="s">
        <v>851</v>
      </c>
      <c r="K335">
        <v>23.95</v>
      </c>
    </row>
    <row r="336" spans="1:11">
      <c r="A336" t="str">
        <f>IF(LEFT(E336,1)="1","SOL",IF(LEFT(E336,1)="2","CO",IF(LEFT(E336,1)="3","ALM",IF(LEFT(E336,1)="4","FAC","TRX")))) &amp; "-" &amp; B336 &amp; "-" &amp; TEXT(COUNTIFS($E$2:$E336,E336,$B$2:$B336,B336),"000")</f>
        <v>SOL-27-056</v>
      </c>
      <c r="B336">
        <v>27</v>
      </c>
      <c r="C336" s="18046">
        <v>46202</v>
      </c>
      <c r="D336" t="s">
        <v>1</v>
      </c>
      <c r="E336" t="s">
        <v>850</v>
      </c>
      <c r="F336" t="s">
        <v>224</v>
      </c>
      <c r="G336" s="3">
        <v>50</v>
      </c>
      <c r="H336" s="18047">
        <v>27</v>
      </c>
      <c r="I336" s="18047">
        <v>1350</v>
      </c>
      <c r="J336" t="s">
        <v>851</v>
      </c>
      <c r="K336">
        <v>23.95</v>
      </c>
    </row>
    <row r="337" spans="1:11">
      <c r="A337" t="str">
        <f>IF(LEFT(E337,1)="1","SOL",IF(LEFT(E337,1)="2","CO",IF(LEFT(E337,1)="3","ALM",IF(LEFT(E337,1)="4","FAC","TRX")))) &amp; "-" &amp; B337 &amp; "-" &amp; TEXT(COUNTIFS($E$2:$E337,E337,$B$2:$B337,B337),"000")</f>
        <v>SOL-27-057</v>
      </c>
      <c r="B337">
        <v>27</v>
      </c>
      <c r="C337" s="18046">
        <v>46203</v>
      </c>
      <c r="D337" t="s">
        <v>1</v>
      </c>
      <c r="E337" t="s">
        <v>850</v>
      </c>
      <c r="F337" t="s">
        <v>224</v>
      </c>
      <c r="G337" s="3">
        <v>40</v>
      </c>
      <c r="H337" s="18047">
        <v>27</v>
      </c>
      <c r="I337" s="18047">
        <v>1080</v>
      </c>
      <c r="J337" t="s">
        <v>851</v>
      </c>
      <c r="K337">
        <v>23.95</v>
      </c>
    </row>
    <row r="338" spans="1:11">
      <c r="A338" t="str">
        <f>IF(LEFT(E338,1)="1","SOL",IF(LEFT(E338,1)="2","CO",IF(LEFT(E338,1)="3","ALM",IF(LEFT(E338,1)="4","FAC","TRX")))) &amp; "-" &amp; B338 &amp; "-" &amp; TEXT(COUNTIFS($E$2:$E338,E338,$B$2:$B338,B338),"000")</f>
        <v>SOL-27-058</v>
      </c>
      <c r="B338">
        <v>27</v>
      </c>
      <c r="C338" s="18046">
        <v>46204</v>
      </c>
      <c r="D338" t="s">
        <v>1</v>
      </c>
      <c r="E338" t="s">
        <v>850</v>
      </c>
      <c r="F338" t="s">
        <v>224</v>
      </c>
      <c r="G338" s="3">
        <v>40</v>
      </c>
      <c r="H338" s="18047">
        <v>27</v>
      </c>
      <c r="I338" s="18047">
        <v>1080</v>
      </c>
      <c r="J338" t="s">
        <v>851</v>
      </c>
      <c r="K338">
        <v>23.95</v>
      </c>
    </row>
    <row r="339" spans="1:11">
      <c r="A339" t="str">
        <f>IF(LEFT(E339,1)="1","SOL",IF(LEFT(E339,1)="2","CO",IF(LEFT(E339,1)="3","ALM",IF(LEFT(E339,1)="4","FAC","TRX")))) &amp; "-" &amp; B339 &amp; "-" &amp; TEXT(COUNTIFS($E$2:$E339,E339,$B$2:$B339,B339),"000")</f>
        <v>SOL-27-059</v>
      </c>
      <c r="B339">
        <v>27</v>
      </c>
      <c r="C339" s="18046">
        <v>46205</v>
      </c>
      <c r="D339" t="s">
        <v>1</v>
      </c>
      <c r="E339" t="s">
        <v>850</v>
      </c>
      <c r="F339" t="s">
        <v>224</v>
      </c>
      <c r="G339" s="3">
        <v>30</v>
      </c>
      <c r="H339" s="18047">
        <v>27</v>
      </c>
      <c r="I339" s="18047">
        <v>810</v>
      </c>
      <c r="J339" t="s">
        <v>851</v>
      </c>
      <c r="K339">
        <v>23.95</v>
      </c>
    </row>
    <row r="340" spans="1:11">
      <c r="A340" t="str">
        <f>IF(LEFT(E340,1)="1","SOL",IF(LEFT(E340,1)="2","CO",IF(LEFT(E340,1)="3","ALM",IF(LEFT(E340,1)="4","FAC","TRX")))) &amp; "-" &amp; B340 &amp; "-" &amp; TEXT(COUNTIFS($E$2:$E340,E340,$B$2:$B340,B340),"000")</f>
        <v>SOL-27-060</v>
      </c>
      <c r="B340">
        <v>27</v>
      </c>
      <c r="C340" s="18046">
        <v>46206</v>
      </c>
      <c r="D340" t="s">
        <v>1</v>
      </c>
      <c r="E340" t="s">
        <v>850</v>
      </c>
      <c r="F340" t="s">
        <v>224</v>
      </c>
      <c r="G340" s="3">
        <v>30</v>
      </c>
      <c r="H340" s="18047">
        <v>27</v>
      </c>
      <c r="I340" s="18047">
        <v>810</v>
      </c>
      <c r="J340" t="s">
        <v>851</v>
      </c>
      <c r="K340">
        <v>23.95</v>
      </c>
    </row>
    <row r="341" spans="1:11">
      <c r="A341" t="str">
        <f>IF(LEFT(E341,1)="1","SOL",IF(LEFT(E341,1)="2","CO",IF(LEFT(E341,1)="3","ALM",IF(LEFT(E341,1)="4","FAC","TRX")))) &amp; "-" &amp; B341 &amp; "-" &amp; TEXT(COUNTIFS($E$2:$E341,E341,$B$2:$B341,B341),"000")</f>
        <v>SOL-27-061</v>
      </c>
      <c r="B341">
        <v>27</v>
      </c>
      <c r="C341" s="18046">
        <v>46207</v>
      </c>
      <c r="D341" t="s">
        <v>1</v>
      </c>
      <c r="E341" t="s">
        <v>850</v>
      </c>
      <c r="F341" t="s">
        <v>224</v>
      </c>
      <c r="G341" s="3">
        <v>30</v>
      </c>
      <c r="H341" s="18047">
        <v>27</v>
      </c>
      <c r="I341" s="18047">
        <v>810</v>
      </c>
      <c r="J341" t="s">
        <v>851</v>
      </c>
      <c r="K341">
        <v>23.95</v>
      </c>
    </row>
    <row r="342" spans="1:11">
      <c r="A342" t="str">
        <f>IF(LEFT(E342,1)="1","SOL",IF(LEFT(E342,1)="2","CO",IF(LEFT(E342,1)="3","ALM",IF(LEFT(E342,1)="4","FAC","TRX")))) &amp; "-" &amp; B342 &amp; "-" &amp; TEXT(COUNTIFS($E$2:$E342,E342,$B$2:$B342,B342),"000")</f>
        <v>SOL-27-062</v>
      </c>
      <c r="B342">
        <v>27</v>
      </c>
      <c r="C342" s="18046">
        <v>46202</v>
      </c>
      <c r="D342" t="s">
        <v>1</v>
      </c>
      <c r="E342" t="s">
        <v>850</v>
      </c>
      <c r="F342" t="s">
        <v>216</v>
      </c>
      <c r="G342" s="3">
        <v>30</v>
      </c>
      <c r="H342" s="18047">
        <v>27</v>
      </c>
      <c r="I342" s="18047">
        <v>810</v>
      </c>
      <c r="J342" t="s">
        <v>851</v>
      </c>
      <c r="K342">
        <v>23.95</v>
      </c>
    </row>
    <row r="343" spans="1:11">
      <c r="A343" t="str">
        <f>IF(LEFT(E343,1)="1","SOL",IF(LEFT(E343,1)="2","CO",IF(LEFT(E343,1)="3","ALM",IF(LEFT(E343,1)="4","FAC","TRX")))) &amp; "-" &amp; B343 &amp; "-" &amp; TEXT(COUNTIFS($E$2:$E343,E343,$B$2:$B343,B343),"000")</f>
        <v>SOL-27-063</v>
      </c>
      <c r="B343">
        <v>27</v>
      </c>
      <c r="C343" s="18046">
        <v>46203</v>
      </c>
      <c r="D343" t="s">
        <v>1</v>
      </c>
      <c r="E343" t="s">
        <v>850</v>
      </c>
      <c r="F343" t="s">
        <v>216</v>
      </c>
      <c r="G343" s="3">
        <v>30</v>
      </c>
      <c r="H343" s="18047">
        <v>27</v>
      </c>
      <c r="I343" s="18047">
        <v>810</v>
      </c>
      <c r="J343" t="s">
        <v>851</v>
      </c>
      <c r="K343">
        <v>23.95</v>
      </c>
    </row>
    <row r="344" spans="1:11">
      <c r="A344" t="str">
        <f>IF(LEFT(E344,1)="1","SOL",IF(LEFT(E344,1)="2","CO",IF(LEFT(E344,1)="3","ALM",IF(LEFT(E344,1)="4","FAC","TRX")))) &amp; "-" &amp; B344 &amp; "-" &amp; TEXT(COUNTIFS($E$2:$E344,E344,$B$2:$B344,B344),"000")</f>
        <v>SOL-27-064</v>
      </c>
      <c r="B344">
        <v>27</v>
      </c>
      <c r="C344" s="18046">
        <v>46204</v>
      </c>
      <c r="D344" t="s">
        <v>1</v>
      </c>
      <c r="E344" t="s">
        <v>850</v>
      </c>
      <c r="F344" t="s">
        <v>216</v>
      </c>
      <c r="G344" s="3">
        <v>30</v>
      </c>
      <c r="H344" s="18047">
        <v>27</v>
      </c>
      <c r="I344" s="18047">
        <v>810</v>
      </c>
      <c r="J344" t="s">
        <v>851</v>
      </c>
      <c r="K344">
        <v>23.95</v>
      </c>
    </row>
    <row r="345" spans="1:11">
      <c r="A345" t="str">
        <f>IF(LEFT(E345,1)="1","SOL",IF(LEFT(E345,1)="2","CO",IF(LEFT(E345,1)="3","ALM",IF(LEFT(E345,1)="4","FAC","TRX")))) &amp; "-" &amp; B345 &amp; "-" &amp; TEXT(COUNTIFS($E$2:$E345,E345,$B$2:$B345,B345),"000")</f>
        <v>SOL-27-065</v>
      </c>
      <c r="B345">
        <v>27</v>
      </c>
      <c r="C345" s="18046">
        <v>46205</v>
      </c>
      <c r="D345" t="s">
        <v>1</v>
      </c>
      <c r="E345" t="s">
        <v>850</v>
      </c>
      <c r="F345" t="s">
        <v>216</v>
      </c>
      <c r="G345" s="3">
        <v>20</v>
      </c>
      <c r="H345" s="18047">
        <v>27</v>
      </c>
      <c r="I345" s="18047">
        <v>540</v>
      </c>
      <c r="J345" t="s">
        <v>851</v>
      </c>
      <c r="K345">
        <v>23.95</v>
      </c>
    </row>
    <row r="346" spans="1:11">
      <c r="A346" t="str">
        <f>IF(LEFT(E346,1)="1","SOL",IF(LEFT(E346,1)="2","CO",IF(LEFT(E346,1)="3","ALM",IF(LEFT(E346,1)="4","FAC","TRX")))) &amp; "-" &amp; B346 &amp; "-" &amp; TEXT(COUNTIFS($E$2:$E346,E346,$B$2:$B346,B346),"000")</f>
        <v>SOL-27-066</v>
      </c>
      <c r="B346">
        <v>27</v>
      </c>
      <c r="C346" s="18046">
        <v>46206</v>
      </c>
      <c r="D346" t="s">
        <v>1</v>
      </c>
      <c r="E346" t="s">
        <v>850</v>
      </c>
      <c r="F346" t="s">
        <v>216</v>
      </c>
      <c r="G346" s="3">
        <v>20</v>
      </c>
      <c r="H346" s="18047">
        <v>27</v>
      </c>
      <c r="I346" s="18047">
        <v>540</v>
      </c>
      <c r="J346" t="s">
        <v>851</v>
      </c>
      <c r="K346">
        <v>23.95</v>
      </c>
    </row>
    <row r="347" spans="1:11">
      <c r="A347" t="str">
        <f>IF(LEFT(E347,1)="1","SOL",IF(LEFT(E347,1)="2","CO",IF(LEFT(E347,1)="3","ALM",IF(LEFT(E347,1)="4","FAC","TRX")))) &amp; "-" &amp; B347 &amp; "-" &amp; TEXT(COUNTIFS($E$2:$E347,E347,$B$2:$B347,B347),"000")</f>
        <v>SOL-27-067</v>
      </c>
      <c r="B347">
        <v>27</v>
      </c>
      <c r="C347" s="18046">
        <v>46207</v>
      </c>
      <c r="D347" t="s">
        <v>1</v>
      </c>
      <c r="E347" t="s">
        <v>850</v>
      </c>
      <c r="F347" t="s">
        <v>216</v>
      </c>
      <c r="G347" s="3">
        <v>20</v>
      </c>
      <c r="H347" s="18047">
        <v>27</v>
      </c>
      <c r="I347" s="18047">
        <v>540</v>
      </c>
      <c r="J347" t="s">
        <v>851</v>
      </c>
      <c r="K347">
        <v>23.95</v>
      </c>
    </row>
    <row r="348" spans="1:11">
      <c r="A348" t="str">
        <f>IF(LEFT(E348,1)="1","SOL",IF(LEFT(E348,1)="2","CO",IF(LEFT(E348,1)="3","ALM",IF(LEFT(E348,1)="4","FAC","TRX")))) &amp; "-" &amp; B348 &amp; "-" &amp; TEXT(COUNTIFS($E$2:$E348,E348,$B$2:$B348,B348),"000")</f>
        <v>SOL-27-068</v>
      </c>
      <c r="B348">
        <v>27</v>
      </c>
      <c r="C348" s="18046">
        <v>46202</v>
      </c>
      <c r="D348" t="s">
        <v>1</v>
      </c>
      <c r="E348" t="s">
        <v>850</v>
      </c>
      <c r="F348" t="s">
        <v>210</v>
      </c>
      <c r="G348" s="3">
        <v>60</v>
      </c>
      <c r="H348" s="18047">
        <v>27</v>
      </c>
      <c r="I348" s="18047">
        <v>1620</v>
      </c>
      <c r="J348" t="s">
        <v>851</v>
      </c>
      <c r="K348">
        <v>23.95</v>
      </c>
    </row>
    <row r="349" spans="1:11">
      <c r="A349" t="str">
        <f>IF(LEFT(E349,1)="1","SOL",IF(LEFT(E349,1)="2","CO",IF(LEFT(E349,1)="3","ALM",IF(LEFT(E349,1)="4","FAC","TRX")))) &amp; "-" &amp; B349 &amp; "-" &amp; TEXT(COUNTIFS($E$2:$E349,E349,$B$2:$B349,B349),"000")</f>
        <v>SOL-27-069</v>
      </c>
      <c r="B349">
        <v>27</v>
      </c>
      <c r="C349" s="18046">
        <v>46203</v>
      </c>
      <c r="D349" t="s">
        <v>1</v>
      </c>
      <c r="E349" t="s">
        <v>850</v>
      </c>
      <c r="F349" t="s">
        <v>210</v>
      </c>
      <c r="G349" s="3">
        <v>50</v>
      </c>
      <c r="H349" s="18047">
        <v>27</v>
      </c>
      <c r="I349" s="18047">
        <v>1350</v>
      </c>
      <c r="J349" t="s">
        <v>851</v>
      </c>
      <c r="K349">
        <v>23.95</v>
      </c>
    </row>
    <row r="350" spans="1:11">
      <c r="A350" t="str">
        <f>IF(LEFT(E350,1)="1","SOL",IF(LEFT(E350,1)="2","CO",IF(LEFT(E350,1)="3","ALM",IF(LEFT(E350,1)="4","FAC","TRX")))) &amp; "-" &amp; B350 &amp; "-" &amp; TEXT(COUNTIFS($E$2:$E350,E350,$B$2:$B350,B350),"000")</f>
        <v>SOL-27-070</v>
      </c>
      <c r="B350">
        <v>27</v>
      </c>
      <c r="C350" s="18046">
        <v>46204</v>
      </c>
      <c r="D350" t="s">
        <v>1</v>
      </c>
      <c r="E350" t="s">
        <v>850</v>
      </c>
      <c r="F350" t="s">
        <v>210</v>
      </c>
      <c r="G350" s="3">
        <v>50</v>
      </c>
      <c r="H350" s="18047">
        <v>27</v>
      </c>
      <c r="I350" s="18047">
        <v>1350</v>
      </c>
      <c r="J350" t="s">
        <v>851</v>
      </c>
      <c r="K350">
        <v>23.95</v>
      </c>
    </row>
    <row r="351" spans="1:11">
      <c r="A351" t="str">
        <f>IF(LEFT(E351,1)="1","SOL",IF(LEFT(E351,1)="2","CO",IF(LEFT(E351,1)="3","ALM",IF(LEFT(E351,1)="4","FAC","TRX")))) &amp; "-" &amp; B351 &amp; "-" &amp; TEXT(COUNTIFS($E$2:$E351,E351,$B$2:$B351,B351),"000")</f>
        <v>SOL-27-071</v>
      </c>
      <c r="B351">
        <v>27</v>
      </c>
      <c r="C351" s="18046">
        <v>46205</v>
      </c>
      <c r="D351" t="s">
        <v>1</v>
      </c>
      <c r="E351" t="s">
        <v>850</v>
      </c>
      <c r="F351" t="s">
        <v>210</v>
      </c>
      <c r="G351" s="3">
        <v>50</v>
      </c>
      <c r="H351" s="18047">
        <v>27</v>
      </c>
      <c r="I351" s="18047">
        <v>1350</v>
      </c>
      <c r="J351" t="s">
        <v>851</v>
      </c>
      <c r="K351">
        <v>23.95</v>
      </c>
    </row>
    <row r="352" spans="1:11">
      <c r="A352" t="str">
        <f>IF(LEFT(E352,1)="1","SOL",IF(LEFT(E352,1)="2","CO",IF(LEFT(E352,1)="3","ALM",IF(LEFT(E352,1)="4","FAC","TRX")))) &amp; "-" &amp; B352 &amp; "-" &amp; TEXT(COUNTIFS($E$2:$E352,E352,$B$2:$B352,B352),"000")</f>
        <v>SOL-27-072</v>
      </c>
      <c r="B352">
        <v>27</v>
      </c>
      <c r="C352" s="18046">
        <v>46206</v>
      </c>
      <c r="D352" t="s">
        <v>1</v>
      </c>
      <c r="E352" t="s">
        <v>850</v>
      </c>
      <c r="F352" t="s">
        <v>210</v>
      </c>
      <c r="G352" s="3">
        <v>50</v>
      </c>
      <c r="H352" s="18047">
        <v>27</v>
      </c>
      <c r="I352" s="18047">
        <v>1350</v>
      </c>
      <c r="J352" t="s">
        <v>851</v>
      </c>
      <c r="K352">
        <v>23.95</v>
      </c>
    </row>
    <row r="353" spans="1:11">
      <c r="A353" t="str">
        <f>IF(LEFT(E353,1)="1","SOL",IF(LEFT(E353,1)="2","CO",IF(LEFT(E353,1)="3","ALM",IF(LEFT(E353,1)="4","FAC","TRX")))) &amp; "-" &amp; B353 &amp; "-" &amp; TEXT(COUNTIFS($E$2:$E353,E353,$B$2:$B353,B353),"000")</f>
        <v>SOL-27-073</v>
      </c>
      <c r="B353">
        <v>27</v>
      </c>
      <c r="C353" s="18046">
        <v>46207</v>
      </c>
      <c r="D353" t="s">
        <v>1</v>
      </c>
      <c r="E353" t="s">
        <v>850</v>
      </c>
      <c r="F353" t="s">
        <v>210</v>
      </c>
      <c r="G353" s="3">
        <v>40</v>
      </c>
      <c r="H353" s="18047">
        <v>27</v>
      </c>
      <c r="I353" s="18047">
        <v>1080</v>
      </c>
      <c r="J353" t="s">
        <v>851</v>
      </c>
      <c r="K353">
        <v>23.95</v>
      </c>
    </row>
    <row r="354" spans="1:11">
      <c r="A354" t="str">
        <f>IF(LEFT(E354,1)="1","SOL",IF(LEFT(E354,1)="2","CO",IF(LEFT(E354,1)="3","ALM",IF(LEFT(E354,1)="4","FAC","TRX")))) &amp; "-" &amp; B354 &amp; "-" &amp; TEXT(COUNTIFS($E$2:$E354,E354,$B$2:$B354,B354),"000")</f>
        <v>SOL-27-074</v>
      </c>
      <c r="B354">
        <v>27</v>
      </c>
      <c r="C354" s="18046">
        <v>46202</v>
      </c>
      <c r="D354" t="s">
        <v>1</v>
      </c>
      <c r="E354" t="s">
        <v>850</v>
      </c>
      <c r="F354" t="s">
        <v>234</v>
      </c>
      <c r="G354" s="3">
        <v>50</v>
      </c>
      <c r="H354" s="18047">
        <v>27</v>
      </c>
      <c r="I354" s="18047">
        <v>1350</v>
      </c>
      <c r="J354" t="s">
        <v>851</v>
      </c>
      <c r="K354">
        <v>23.95</v>
      </c>
    </row>
    <row r="355" spans="1:11">
      <c r="A355" t="str">
        <f>IF(LEFT(E355,1)="1","SOL",IF(LEFT(E355,1)="2","CO",IF(LEFT(E355,1)="3","ALM",IF(LEFT(E355,1)="4","FAC","TRX")))) &amp; "-" &amp; B355 &amp; "-" &amp; TEXT(COUNTIFS($E$2:$E355,E355,$B$2:$B355,B355),"000")</f>
        <v>SOL-27-075</v>
      </c>
      <c r="B355">
        <v>27</v>
      </c>
      <c r="C355" s="18046">
        <v>46203</v>
      </c>
      <c r="D355" t="s">
        <v>1</v>
      </c>
      <c r="E355" t="s">
        <v>850</v>
      </c>
      <c r="F355" t="s">
        <v>234</v>
      </c>
      <c r="G355" s="3">
        <v>50</v>
      </c>
      <c r="H355" s="18047">
        <v>27</v>
      </c>
      <c r="I355" s="18047">
        <v>1350</v>
      </c>
      <c r="J355" t="s">
        <v>851</v>
      </c>
      <c r="K355">
        <v>23.95</v>
      </c>
    </row>
    <row r="356" spans="1:11">
      <c r="A356" t="str">
        <f>IF(LEFT(E356,1)="1","SOL",IF(LEFT(E356,1)="2","CO",IF(LEFT(E356,1)="3","ALM",IF(LEFT(E356,1)="4","FAC","TRX")))) &amp; "-" &amp; B356 &amp; "-" &amp; TEXT(COUNTIFS($E$2:$E356,E356,$B$2:$B356,B356),"000")</f>
        <v>SOL-27-076</v>
      </c>
      <c r="B356">
        <v>27</v>
      </c>
      <c r="C356" s="18046">
        <v>46204</v>
      </c>
      <c r="D356" t="s">
        <v>1</v>
      </c>
      <c r="E356" t="s">
        <v>850</v>
      </c>
      <c r="F356" t="s">
        <v>234</v>
      </c>
      <c r="G356" s="3">
        <v>50</v>
      </c>
      <c r="H356" s="18047">
        <v>27</v>
      </c>
      <c r="I356" s="18047">
        <v>1350</v>
      </c>
      <c r="J356" t="s">
        <v>851</v>
      </c>
      <c r="K356">
        <v>23.95</v>
      </c>
    </row>
    <row r="357" spans="1:11">
      <c r="A357" t="str">
        <f>IF(LEFT(E357,1)="1","SOL",IF(LEFT(E357,1)="2","CO",IF(LEFT(E357,1)="3","ALM",IF(LEFT(E357,1)="4","FAC","TRX")))) &amp; "-" &amp; B357 &amp; "-" &amp; TEXT(COUNTIFS($E$2:$E357,E357,$B$2:$B357,B357),"000")</f>
        <v>SOL-27-077</v>
      </c>
      <c r="B357">
        <v>27</v>
      </c>
      <c r="C357" s="18046">
        <v>46205</v>
      </c>
      <c r="D357" t="s">
        <v>1</v>
      </c>
      <c r="E357" t="s">
        <v>850</v>
      </c>
      <c r="F357" t="s">
        <v>234</v>
      </c>
      <c r="G357" s="3">
        <v>50</v>
      </c>
      <c r="H357" s="18047">
        <v>27</v>
      </c>
      <c r="I357" s="18047">
        <v>1350</v>
      </c>
      <c r="J357" t="s">
        <v>851</v>
      </c>
      <c r="K357">
        <v>23.95</v>
      </c>
    </row>
    <row r="358" spans="1:11">
      <c r="A358" t="str">
        <f>IF(LEFT(E358,1)="1","SOL",IF(LEFT(E358,1)="2","CO",IF(LEFT(E358,1)="3","ALM",IF(LEFT(E358,1)="4","FAC","TRX")))) &amp; "-" &amp; B358 &amp; "-" &amp; TEXT(COUNTIFS($E$2:$E358,E358,$B$2:$B358,B358),"000")</f>
        <v>SOL-27-078</v>
      </c>
      <c r="B358">
        <v>27</v>
      </c>
      <c r="C358" s="18046">
        <v>46206</v>
      </c>
      <c r="D358" t="s">
        <v>1</v>
      </c>
      <c r="E358" t="s">
        <v>850</v>
      </c>
      <c r="F358" t="s">
        <v>234</v>
      </c>
      <c r="G358" s="3">
        <v>50</v>
      </c>
      <c r="H358" s="18047">
        <v>27</v>
      </c>
      <c r="I358" s="18047">
        <v>1350</v>
      </c>
      <c r="J358" t="s">
        <v>851</v>
      </c>
      <c r="K358">
        <v>23.95</v>
      </c>
    </row>
    <row r="359" spans="1:11">
      <c r="A359" t="str">
        <f>IF(LEFT(E359,1)="1","SOL",IF(LEFT(E359,1)="2","CO",IF(LEFT(E359,1)="3","ALM",IF(LEFT(E359,1)="4","FAC","TRX")))) &amp; "-" &amp; B359 &amp; "-" &amp; TEXT(COUNTIFS($E$2:$E359,E359,$B$2:$B359,B359),"000")</f>
        <v>SOL-27-079</v>
      </c>
      <c r="B359">
        <v>27</v>
      </c>
      <c r="C359" s="18046">
        <v>46202</v>
      </c>
      <c r="D359" t="s">
        <v>111</v>
      </c>
      <c r="E359" t="s">
        <v>850</v>
      </c>
      <c r="F359" t="s">
        <v>209</v>
      </c>
      <c r="G359" s="3">
        <v>100</v>
      </c>
      <c r="H359" s="18047">
        <v>27</v>
      </c>
      <c r="I359" s="18047">
        <v>2700</v>
      </c>
      <c r="J359" t="s">
        <v>851</v>
      </c>
      <c r="K359">
        <v>23.95</v>
      </c>
    </row>
    <row r="360" spans="1:11">
      <c r="A360" t="str">
        <f>IF(LEFT(E360,1)="1","SOL",IF(LEFT(E360,1)="2","CO",IF(LEFT(E360,1)="3","ALM",IF(LEFT(E360,1)="4","FAC","TRX")))) &amp; "-" &amp; B360 &amp; "-" &amp; TEXT(COUNTIFS($E$2:$E360,E360,$B$2:$B360,B360),"000")</f>
        <v>SOL-27-080</v>
      </c>
      <c r="B360">
        <v>27</v>
      </c>
      <c r="C360" s="18046">
        <v>46203</v>
      </c>
      <c r="D360" t="s">
        <v>111</v>
      </c>
      <c r="E360" t="s">
        <v>850</v>
      </c>
      <c r="F360" t="s">
        <v>209</v>
      </c>
      <c r="G360" s="3">
        <v>30</v>
      </c>
      <c r="H360" s="18047">
        <v>27</v>
      </c>
      <c r="I360" s="18047">
        <v>810</v>
      </c>
      <c r="J360" t="s">
        <v>851</v>
      </c>
      <c r="K360">
        <v>23.95</v>
      </c>
    </row>
    <row r="361" spans="1:11">
      <c r="A361" t="str">
        <f>IF(LEFT(E361,1)="1","SOL",IF(LEFT(E361,1)="2","CO",IF(LEFT(E361,1)="3","ALM",IF(LEFT(E361,1)="4","FAC","TRX")))) &amp; "-" &amp; B361 &amp; "-" &amp; TEXT(COUNTIFS($E$2:$E361,E361,$B$2:$B361,B361),"000")</f>
        <v>SOL-27-081</v>
      </c>
      <c r="B361">
        <v>27</v>
      </c>
      <c r="C361" s="18046">
        <v>46204</v>
      </c>
      <c r="D361" t="s">
        <v>111</v>
      </c>
      <c r="E361" t="s">
        <v>850</v>
      </c>
      <c r="F361" t="s">
        <v>209</v>
      </c>
      <c r="G361" s="3">
        <v>30</v>
      </c>
      <c r="H361" s="18047">
        <v>27</v>
      </c>
      <c r="I361" s="18047">
        <v>810</v>
      </c>
      <c r="J361" t="s">
        <v>851</v>
      </c>
      <c r="K361">
        <v>23.95</v>
      </c>
    </row>
    <row r="362" spans="1:11">
      <c r="A362" t="str">
        <f>IF(LEFT(E362,1)="1","SOL",IF(LEFT(E362,1)="2","CO",IF(LEFT(E362,1)="3","ALM",IF(LEFT(E362,1)="4","FAC","TRX")))) &amp; "-" &amp; B362 &amp; "-" &amp; TEXT(COUNTIFS($E$2:$E362,E362,$B$2:$B362,B362),"000")</f>
        <v>SOL-27-082</v>
      </c>
      <c r="B362">
        <v>27</v>
      </c>
      <c r="C362" s="18046">
        <v>46205</v>
      </c>
      <c r="D362" t="s">
        <v>111</v>
      </c>
      <c r="E362" t="s">
        <v>850</v>
      </c>
      <c r="F362" t="s">
        <v>209</v>
      </c>
      <c r="G362" s="3">
        <v>60</v>
      </c>
      <c r="H362" s="18047">
        <v>27</v>
      </c>
      <c r="I362" s="18047">
        <v>1620</v>
      </c>
      <c r="J362" t="s">
        <v>851</v>
      </c>
      <c r="K362">
        <v>23.95</v>
      </c>
    </row>
    <row r="363" spans="1:11">
      <c r="A363" t="str">
        <f>IF(LEFT(E363,1)="1","SOL",IF(LEFT(E363,1)="2","CO",IF(LEFT(E363,1)="3","ALM",IF(LEFT(E363,1)="4","FAC","TRX")))) &amp; "-" &amp; B363 &amp; "-" &amp; TEXT(COUNTIFS($E$2:$E363,E363,$B$2:$B363,B363),"000")</f>
        <v>SOL-27-083</v>
      </c>
      <c r="B363">
        <v>27</v>
      </c>
      <c r="C363" s="18046">
        <v>46206</v>
      </c>
      <c r="D363" t="s">
        <v>111</v>
      </c>
      <c r="E363" t="s">
        <v>850</v>
      </c>
      <c r="F363" t="s">
        <v>209</v>
      </c>
      <c r="G363" s="3">
        <v>50</v>
      </c>
      <c r="H363" s="18047">
        <v>27</v>
      </c>
      <c r="I363" s="18047">
        <v>1350</v>
      </c>
      <c r="J363" t="s">
        <v>851</v>
      </c>
      <c r="K363">
        <v>23.95</v>
      </c>
    </row>
    <row r="364" spans="1:11">
      <c r="A364" t="str">
        <f>IF(LEFT(E364,1)="1","SOL",IF(LEFT(E364,1)="2","CO",IF(LEFT(E364,1)="3","ALM",IF(LEFT(E364,1)="4","FAC","TRX")))) &amp; "-" &amp; B364 &amp; "-" &amp; TEXT(COUNTIFS($E$2:$E364,E364,$B$2:$B364,B364),"000")</f>
        <v>SOL-27-084</v>
      </c>
      <c r="B364">
        <v>27</v>
      </c>
      <c r="C364" s="18046">
        <v>46203</v>
      </c>
      <c r="D364" t="s">
        <v>111</v>
      </c>
      <c r="E364" t="s">
        <v>850</v>
      </c>
      <c r="F364" t="s">
        <v>209</v>
      </c>
      <c r="G364" s="3">
        <v>50</v>
      </c>
      <c r="H364" s="18047">
        <v>27</v>
      </c>
      <c r="I364" s="18047">
        <v>1350</v>
      </c>
      <c r="J364" t="s">
        <v>851</v>
      </c>
      <c r="K364">
        <v>23.95</v>
      </c>
    </row>
    <row r="365" spans="1:11">
      <c r="A365" t="str">
        <f>IF(LEFT(E365,1)="1","SOL",IF(LEFT(E365,1)="2","CO",IF(LEFT(E365,1)="3","ALM",IF(LEFT(E365,1)="4","FAC","TRX")))) &amp; "-" &amp; B365 &amp; "-" &amp; TEXT(COUNTIFS($E$2:$E365,E365,$B$2:$B365,B365),"000")</f>
        <v>SOL-27-085</v>
      </c>
      <c r="B365">
        <v>27</v>
      </c>
      <c r="C365" s="18046">
        <v>46204</v>
      </c>
      <c r="D365" t="s">
        <v>111</v>
      </c>
      <c r="E365" t="s">
        <v>850</v>
      </c>
      <c r="F365" t="s">
        <v>209</v>
      </c>
      <c r="G365" s="3">
        <v>50</v>
      </c>
      <c r="H365" s="18047">
        <v>27</v>
      </c>
      <c r="I365" s="18047">
        <v>1350</v>
      </c>
      <c r="J365" t="s">
        <v>851</v>
      </c>
      <c r="K365">
        <v>23.95</v>
      </c>
    </row>
    <row r="366" spans="1:11">
      <c r="A366" t="str">
        <f>IF(LEFT(E366,1)="1","SOL",IF(LEFT(E366,1)="2","CO",IF(LEFT(E366,1)="3","ALM",IF(LEFT(E366,1)="4","FAC","TRX")))) &amp; "-" &amp; B366 &amp; "-" &amp; TEXT(COUNTIFS($E$2:$E366,E366,$B$2:$B366,B366),"000")</f>
        <v>SOL-27-086</v>
      </c>
      <c r="B366">
        <v>27</v>
      </c>
      <c r="C366" s="18046">
        <v>46205</v>
      </c>
      <c r="D366" t="s">
        <v>111</v>
      </c>
      <c r="E366" t="s">
        <v>850</v>
      </c>
      <c r="F366" t="s">
        <v>209</v>
      </c>
      <c r="G366" s="3">
        <v>60</v>
      </c>
      <c r="H366" s="18047">
        <v>27</v>
      </c>
      <c r="I366" s="18047">
        <v>1620</v>
      </c>
      <c r="J366" t="s">
        <v>851</v>
      </c>
      <c r="K366">
        <v>23.95</v>
      </c>
    </row>
    <row r="367" spans="1:11">
      <c r="A367" t="str">
        <f>IF(LEFT(E367,1)="1","SOL",IF(LEFT(E367,1)="2","CO",IF(LEFT(E367,1)="3","ALM",IF(LEFT(E367,1)="4","FAC","TRX")))) &amp; "-" &amp; B367 &amp; "-" &amp; TEXT(COUNTIFS($E$2:$E367,E367,$B$2:$B367,B367),"000")</f>
        <v>SOL-27-087</v>
      </c>
      <c r="B367">
        <v>27</v>
      </c>
      <c r="C367" s="18046">
        <v>46206</v>
      </c>
      <c r="D367" t="s">
        <v>111</v>
      </c>
      <c r="E367" t="s">
        <v>850</v>
      </c>
      <c r="F367" t="s">
        <v>209</v>
      </c>
      <c r="G367" s="3">
        <v>50</v>
      </c>
      <c r="H367" s="18047">
        <v>27</v>
      </c>
      <c r="I367" s="18047">
        <v>1350</v>
      </c>
      <c r="J367" t="s">
        <v>851</v>
      </c>
      <c r="K367">
        <v>23.95</v>
      </c>
    </row>
    <row r="368" spans="1:11">
      <c r="A368" t="str">
        <f>IF(LEFT(E368,1)="1","SOL",IF(LEFT(E368,1)="2","CO",IF(LEFT(E368,1)="3","ALM",IF(LEFT(E368,1)="4","FAC","TRX")))) &amp; "-" &amp; B368 &amp; "-" &amp; TEXT(COUNTIFS($E$2:$E368,E368,$B$2:$B368,B368),"000")</f>
        <v>SOL-27-088</v>
      </c>
      <c r="B368">
        <v>27</v>
      </c>
      <c r="C368" s="18046">
        <v>46207</v>
      </c>
      <c r="D368" t="s">
        <v>111</v>
      </c>
      <c r="E368" t="s">
        <v>850</v>
      </c>
      <c r="F368" t="s">
        <v>209</v>
      </c>
      <c r="G368" s="3">
        <v>100</v>
      </c>
      <c r="H368" s="18047">
        <v>27</v>
      </c>
      <c r="I368" s="18047">
        <v>2700</v>
      </c>
      <c r="J368" t="s">
        <v>851</v>
      </c>
      <c r="K368">
        <v>23.95</v>
      </c>
    </row>
    <row r="369" spans="1:11">
      <c r="A369" t="str">
        <f>IF(LEFT(E369,1)="1","SOL",IF(LEFT(E369,1)="2","CO",IF(LEFT(E369,1)="3","ALM",IF(LEFT(E369,1)="4","FAC","TRX")))) &amp; "-" &amp; B369 &amp; "-" &amp; TEXT(COUNTIFS($E$2:$E369,E369,$B$2:$B369,B369),"000")</f>
        <v>SOL-27-089</v>
      </c>
      <c r="B369">
        <v>27</v>
      </c>
      <c r="C369" s="18046">
        <v>46203</v>
      </c>
      <c r="D369" t="s">
        <v>111</v>
      </c>
      <c r="E369" t="s">
        <v>850</v>
      </c>
      <c r="F369" t="s">
        <v>250</v>
      </c>
      <c r="G369" s="3">
        <v>10</v>
      </c>
      <c r="H369" s="18047">
        <v>27</v>
      </c>
      <c r="I369" s="18047">
        <v>270</v>
      </c>
      <c r="J369" t="s">
        <v>851</v>
      </c>
      <c r="K369">
        <v>23.95</v>
      </c>
    </row>
    <row r="370" spans="1:11">
      <c r="A370" t="str">
        <f>IF(LEFT(E370,1)="1","SOL",IF(LEFT(E370,1)="2","CO",IF(LEFT(E370,1)="3","ALM",IF(LEFT(E370,1)="4","FAC","TRX")))) &amp; "-" &amp; B370 &amp; "-" &amp; TEXT(COUNTIFS($E$2:$E370,E370,$B$2:$B370,B370),"000")</f>
        <v>SOL-27-090</v>
      </c>
      <c r="B370">
        <v>27</v>
      </c>
      <c r="C370" s="18046">
        <v>46204</v>
      </c>
      <c r="D370" t="s">
        <v>111</v>
      </c>
      <c r="E370" t="s">
        <v>850</v>
      </c>
      <c r="F370" t="s">
        <v>250</v>
      </c>
      <c r="G370" s="3">
        <v>10</v>
      </c>
      <c r="H370" s="18047">
        <v>27</v>
      </c>
      <c r="I370" s="18047">
        <v>270</v>
      </c>
      <c r="J370" t="s">
        <v>851</v>
      </c>
      <c r="K370">
        <v>23.95</v>
      </c>
    </row>
    <row r="371" spans="1:11">
      <c r="A371" t="str">
        <f>IF(LEFT(E371,1)="1","SOL",IF(LEFT(E371,1)="2","CO",IF(LEFT(E371,1)="3","ALM",IF(LEFT(E371,1)="4","FAC","TRX")))) &amp; "-" &amp; B371 &amp; "-" &amp; TEXT(COUNTIFS($E$2:$E371,E371,$B$2:$B371,B371),"000")</f>
        <v>SOL-27-091</v>
      </c>
      <c r="B371">
        <v>27</v>
      </c>
      <c r="C371" s="18046">
        <v>46205</v>
      </c>
      <c r="D371" t="s">
        <v>111</v>
      </c>
      <c r="E371" t="s">
        <v>850</v>
      </c>
      <c r="F371" t="s">
        <v>250</v>
      </c>
      <c r="G371" s="3">
        <v>5</v>
      </c>
      <c r="H371" s="18047">
        <v>27</v>
      </c>
      <c r="I371" s="18047">
        <v>135</v>
      </c>
      <c r="J371" t="s">
        <v>851</v>
      </c>
      <c r="K371">
        <v>23.95</v>
      </c>
    </row>
    <row r="372" spans="1:11">
      <c r="A372" t="str">
        <f>IF(LEFT(E372,1)="1","SOL",IF(LEFT(E372,1)="2","CO",IF(LEFT(E372,1)="3","ALM",IF(LEFT(E372,1)="4","FAC","TRX")))) &amp; "-" &amp; B372 &amp; "-" &amp; TEXT(COUNTIFS($E$2:$E372,E372,$B$2:$B372,B372),"000")</f>
        <v>SOL-27-092</v>
      </c>
      <c r="B372">
        <v>27</v>
      </c>
      <c r="C372" s="18046">
        <v>46206</v>
      </c>
      <c r="D372" t="s">
        <v>111</v>
      </c>
      <c r="E372" t="s">
        <v>850</v>
      </c>
      <c r="F372" t="s">
        <v>250</v>
      </c>
      <c r="G372" s="3">
        <v>10</v>
      </c>
      <c r="H372" s="18047">
        <v>27</v>
      </c>
      <c r="I372" s="18047">
        <v>270</v>
      </c>
      <c r="J372" t="s">
        <v>851</v>
      </c>
      <c r="K372">
        <v>23.95</v>
      </c>
    </row>
    <row r="373" spans="1:11">
      <c r="A373" t="str">
        <f>IF(LEFT(E373,1)="1","SOL",IF(LEFT(E373,1)="2","CO",IF(LEFT(E373,1)="3","ALM",IF(LEFT(E373,1)="4","FAC","TRX")))) &amp; "-" &amp; B373 &amp; "-" &amp; TEXT(COUNTIFS($E$2:$E373,E373,$B$2:$B373,B373),"000")</f>
        <v>SOL-27-093</v>
      </c>
      <c r="B373">
        <v>27</v>
      </c>
      <c r="C373" s="18046">
        <v>46202</v>
      </c>
      <c r="D373" t="s">
        <v>111</v>
      </c>
      <c r="E373" t="s">
        <v>850</v>
      </c>
      <c r="F373" t="s">
        <v>237</v>
      </c>
      <c r="G373" s="3">
        <v>5</v>
      </c>
      <c r="H373" s="18047">
        <v>27</v>
      </c>
      <c r="I373" s="18047">
        <v>135</v>
      </c>
      <c r="J373" t="s">
        <v>851</v>
      </c>
      <c r="K373">
        <v>23.95</v>
      </c>
    </row>
    <row r="374" spans="1:11">
      <c r="A374" t="str">
        <f>IF(LEFT(E374,1)="1","SOL",IF(LEFT(E374,1)="2","CO",IF(LEFT(E374,1)="3","ALM",IF(LEFT(E374,1)="4","FAC","TRX")))) &amp; "-" &amp; B374 &amp; "-" &amp; TEXT(COUNTIFS($E$2:$E374,E374,$B$2:$B374,B374),"000")</f>
        <v>SOL-27-094</v>
      </c>
      <c r="B374">
        <v>27</v>
      </c>
      <c r="C374" s="18046">
        <v>46203</v>
      </c>
      <c r="D374" t="s">
        <v>111</v>
      </c>
      <c r="E374" t="s">
        <v>850</v>
      </c>
      <c r="F374" t="s">
        <v>237</v>
      </c>
      <c r="G374" s="3">
        <v>5</v>
      </c>
      <c r="H374" s="18047">
        <v>27</v>
      </c>
      <c r="I374" s="18047">
        <v>135</v>
      </c>
      <c r="J374" t="s">
        <v>851</v>
      </c>
      <c r="K374">
        <v>23.95</v>
      </c>
    </row>
    <row r="375" spans="1:11">
      <c r="A375" t="str">
        <f>IF(LEFT(E375,1)="1","SOL",IF(LEFT(E375,1)="2","CO",IF(LEFT(E375,1)="3","ALM",IF(LEFT(E375,1)="4","FAC","TRX")))) &amp; "-" &amp; B375 &amp; "-" &amp; TEXT(COUNTIFS($E$2:$E375,E375,$B$2:$B375,B375),"000")</f>
        <v>SOL-27-095</v>
      </c>
      <c r="B375">
        <v>27</v>
      </c>
      <c r="C375" s="18046">
        <v>46204</v>
      </c>
      <c r="D375" t="s">
        <v>111</v>
      </c>
      <c r="E375" t="s">
        <v>850</v>
      </c>
      <c r="F375" t="s">
        <v>237</v>
      </c>
      <c r="G375" s="3">
        <v>5</v>
      </c>
      <c r="H375" s="18047">
        <v>27</v>
      </c>
      <c r="I375" s="18047">
        <v>135</v>
      </c>
      <c r="J375" t="s">
        <v>851</v>
      </c>
      <c r="K375">
        <v>23.95</v>
      </c>
    </row>
    <row r="376" spans="1:11">
      <c r="A376" t="str">
        <f>IF(LEFT(E376,1)="1","SOL",IF(LEFT(E376,1)="2","CO",IF(LEFT(E376,1)="3","ALM",IF(LEFT(E376,1)="4","FAC","TRX")))) &amp; "-" &amp; B376 &amp; "-" &amp; TEXT(COUNTIFS($E$2:$E376,E376,$B$2:$B376,B376),"000")</f>
        <v>SOL-27-096</v>
      </c>
      <c r="B376">
        <v>27</v>
      </c>
      <c r="C376" s="18046">
        <v>46205</v>
      </c>
      <c r="D376" t="s">
        <v>111</v>
      </c>
      <c r="E376" t="s">
        <v>850</v>
      </c>
      <c r="F376" t="s">
        <v>237</v>
      </c>
      <c r="G376" s="3">
        <v>5</v>
      </c>
      <c r="H376" s="18047">
        <v>27</v>
      </c>
      <c r="I376" s="18047">
        <v>135</v>
      </c>
      <c r="J376" t="s">
        <v>851</v>
      </c>
      <c r="K376">
        <v>23.95</v>
      </c>
    </row>
    <row r="377" spans="1:11">
      <c r="A377" t="str">
        <f>IF(LEFT(E377,1)="1","SOL",IF(LEFT(E377,1)="2","CO",IF(LEFT(E377,1)="3","ALM",IF(LEFT(E377,1)="4","FAC","TRX")))) &amp; "-" &amp; B377 &amp; "-" &amp; TEXT(COUNTIFS($E$2:$E377,E377,$B$2:$B377,B377),"000")</f>
        <v>SOL-27-097</v>
      </c>
      <c r="B377">
        <v>27</v>
      </c>
      <c r="C377" s="18046">
        <v>46206</v>
      </c>
      <c r="D377" t="s">
        <v>111</v>
      </c>
      <c r="E377" t="s">
        <v>850</v>
      </c>
      <c r="F377" t="s">
        <v>237</v>
      </c>
      <c r="G377" s="3">
        <v>5</v>
      </c>
      <c r="H377" s="18047">
        <v>27</v>
      </c>
      <c r="I377" s="18047">
        <v>135</v>
      </c>
      <c r="J377" t="s">
        <v>851</v>
      </c>
      <c r="K377">
        <v>23.95</v>
      </c>
    </row>
    <row r="378" spans="1:11">
      <c r="A378" t="str">
        <f>IF(LEFT(E378,1)="1","SOL",IF(LEFT(E378,1)="2","CO",IF(LEFT(E378,1)="3","ALM",IF(LEFT(E378,1)="4","FAC","TRX")))) &amp; "-" &amp; B378 &amp; "-" &amp; TEXT(COUNTIFS($E$2:$E378,E378,$B$2:$B378,B378),"000")</f>
        <v>SOL-27-098</v>
      </c>
      <c r="B378">
        <v>27</v>
      </c>
      <c r="C378" s="18046">
        <v>46203</v>
      </c>
      <c r="D378" t="s">
        <v>111</v>
      </c>
      <c r="E378" t="s">
        <v>850</v>
      </c>
      <c r="F378" t="s">
        <v>816</v>
      </c>
      <c r="G378" s="3">
        <v>100</v>
      </c>
      <c r="H378" s="18047">
        <v>27</v>
      </c>
      <c r="I378" s="18047">
        <v>2700</v>
      </c>
      <c r="J378" t="s">
        <v>851</v>
      </c>
      <c r="K378">
        <v>23.95</v>
      </c>
    </row>
    <row r="379" spans="1:11">
      <c r="A379" t="str">
        <f>IF(LEFT(E379,1)="1","SOL",IF(LEFT(E379,1)="2","CO",IF(LEFT(E379,1)="3","ALM",IF(LEFT(E379,1)="4","FAC","TRX")))) &amp; "-" &amp; B379 &amp; "-" &amp; TEXT(COUNTIFS($E$2:$E379,E379,$B$2:$B379,B379),"000")</f>
        <v>SOL-27-099</v>
      </c>
      <c r="B379">
        <v>27</v>
      </c>
      <c r="C379" s="18046">
        <v>46204</v>
      </c>
      <c r="D379" t="s">
        <v>111</v>
      </c>
      <c r="E379" t="s">
        <v>850</v>
      </c>
      <c r="F379" t="s">
        <v>816</v>
      </c>
      <c r="G379" s="3">
        <v>70</v>
      </c>
      <c r="H379" s="18047">
        <v>27</v>
      </c>
      <c r="I379" s="18047">
        <v>1890</v>
      </c>
      <c r="J379" t="s">
        <v>851</v>
      </c>
      <c r="K379">
        <v>23.95</v>
      </c>
    </row>
    <row r="380" spans="1:11">
      <c r="A380" t="str">
        <f>IF(LEFT(E380,1)="1","SOL",IF(LEFT(E380,1)="2","CO",IF(LEFT(E380,1)="3","ALM",IF(LEFT(E380,1)="4","FAC","TRX")))) &amp; "-" &amp; B380 &amp; "-" &amp; TEXT(COUNTIFS($E$2:$E380,E380,$B$2:$B380,B380),"000")</f>
        <v>SOL-27-100</v>
      </c>
      <c r="B380">
        <v>27</v>
      </c>
      <c r="C380" s="18046">
        <v>46205</v>
      </c>
      <c r="D380" t="s">
        <v>111</v>
      </c>
      <c r="E380" t="s">
        <v>850</v>
      </c>
      <c r="F380" t="s">
        <v>816</v>
      </c>
      <c r="G380" s="3">
        <v>100</v>
      </c>
      <c r="H380" s="18047">
        <v>27</v>
      </c>
      <c r="I380" s="18047">
        <v>2700</v>
      </c>
      <c r="J380" t="s">
        <v>851</v>
      </c>
      <c r="K380">
        <v>23.95</v>
      </c>
    </row>
    <row r="381" spans="1:11">
      <c r="A381" t="str">
        <f>IF(LEFT(E381,1)="1","SOL",IF(LEFT(E381,1)="2","CO",IF(LEFT(E381,1)="3","ALM",IF(LEFT(E381,1)="4","FAC","TRX")))) &amp; "-" &amp; B381 &amp; "-" &amp; TEXT(COUNTIFS($E$2:$E381,E381,$B$2:$B381,B381),"000")</f>
        <v>SOL-27-101</v>
      </c>
      <c r="B381">
        <v>27</v>
      </c>
      <c r="C381" s="18046">
        <v>46206</v>
      </c>
      <c r="D381" t="s">
        <v>111</v>
      </c>
      <c r="E381" t="s">
        <v>850</v>
      </c>
      <c r="F381" t="s">
        <v>816</v>
      </c>
      <c r="G381" s="3">
        <v>100</v>
      </c>
      <c r="H381" s="18047">
        <v>27</v>
      </c>
      <c r="I381" s="18047">
        <v>2700</v>
      </c>
      <c r="J381" t="s">
        <v>851</v>
      </c>
      <c r="K381">
        <v>23.95</v>
      </c>
    </row>
    <row r="382" spans="1:11">
      <c r="A382" t="str">
        <f>IF(LEFT(E382,1)="1","SOL",IF(LEFT(E382,1)="2","CO",IF(LEFT(E382,1)="3","ALM",IF(LEFT(E382,1)="4","FAC","TRX")))) &amp; "-" &amp; B382 &amp; "-" &amp; TEXT(COUNTIFS($E$2:$E382,E382,$B$2:$B382,B382),"000")</f>
        <v>SOL-27-102</v>
      </c>
      <c r="B382">
        <v>27</v>
      </c>
      <c r="C382" s="18046">
        <v>46207</v>
      </c>
      <c r="D382" t="s">
        <v>111</v>
      </c>
      <c r="E382" t="s">
        <v>850</v>
      </c>
      <c r="F382" t="s">
        <v>816</v>
      </c>
      <c r="G382" s="3">
        <v>100</v>
      </c>
      <c r="H382" s="18047">
        <v>27</v>
      </c>
      <c r="I382" s="18047">
        <v>2700</v>
      </c>
      <c r="J382" t="s">
        <v>851</v>
      </c>
      <c r="K382">
        <v>23.95</v>
      </c>
    </row>
    <row r="383" spans="1:11">
      <c r="A383" t="str">
        <f>IF(LEFT(E383,1)="1","SOL",IF(LEFT(E383,1)="2","CO",IF(LEFT(E383,1)="3","ALM",IF(LEFT(E383,1)="4","FAC","TRX")))) &amp; "-" &amp; B383 &amp; "-" &amp; TEXT(COUNTIFS($E$2:$E383,E383,$B$2:$B383,B383),"000")</f>
        <v>SOL-27-103</v>
      </c>
      <c r="B383">
        <v>27</v>
      </c>
      <c r="C383" s="18046">
        <v>46204</v>
      </c>
      <c r="D383" t="s">
        <v>111</v>
      </c>
      <c r="E383" t="s">
        <v>850</v>
      </c>
      <c r="F383" t="s">
        <v>222</v>
      </c>
      <c r="G383" s="3">
        <v>70</v>
      </c>
      <c r="H383" s="18047">
        <v>27</v>
      </c>
      <c r="I383" s="18047">
        <v>1890</v>
      </c>
      <c r="J383" t="s">
        <v>851</v>
      </c>
      <c r="K383">
        <v>23.95</v>
      </c>
    </row>
    <row r="384" spans="1:11">
      <c r="A384" t="str">
        <f>IF(LEFT(E384,1)="1","SOL",IF(LEFT(E384,1)="2","CO",IF(LEFT(E384,1)="3","ALM",IF(LEFT(E384,1)="4","FAC","TRX")))) &amp; "-" &amp; B384 &amp; "-" &amp; TEXT(COUNTIFS($E$2:$E384,E384,$B$2:$B384,B384),"000")</f>
        <v>SOL-27-104</v>
      </c>
      <c r="B384">
        <v>27</v>
      </c>
      <c r="C384" s="18046">
        <v>46206</v>
      </c>
      <c r="D384" t="s">
        <v>111</v>
      </c>
      <c r="E384" t="s">
        <v>850</v>
      </c>
      <c r="F384" t="s">
        <v>222</v>
      </c>
      <c r="G384" s="3">
        <v>70</v>
      </c>
      <c r="H384" s="18047">
        <v>27</v>
      </c>
      <c r="I384" s="18047">
        <v>1890</v>
      </c>
      <c r="J384" t="s">
        <v>851</v>
      </c>
      <c r="K384">
        <v>23.95</v>
      </c>
    </row>
    <row r="385" spans="1:10">
      <c r="A385" t="str">
        <f>IF(LEFT(E385,1)="1","SOL",IF(LEFT(E385,1)="2","CO",IF(LEFT(E385,1)="3","ALM",IF(LEFT(E385,1)="4","FAC","TRX")))) &amp; "-" &amp; B385 &amp; "-" &amp; TEXT(COUNTIFS($E$2:$E385,E385,$B$2:$B385,B385),"000")</f>
        <v>CO-24-001</v>
      </c>
      <c r="B385">
        <v>24</v>
      </c>
      <c r="C385" s="18046">
        <v>46181</v>
      </c>
      <c r="D385" t="s">
        <v>1</v>
      </c>
      <c r="E385" t="s">
        <v>852</v>
      </c>
      <c r="F385" t="s">
        <v>85</v>
      </c>
      <c r="G385" s="3">
        <v>30</v>
      </c>
      <c r="H385" s="18047">
        <v>27</v>
      </c>
      <c r="I385" s="18047">
        <v>810</v>
      </c>
      <c r="J385" t="s">
        <v>851</v>
      </c>
    </row>
    <row r="386" spans="1:10">
      <c r="A386" t="str">
        <f>IF(LEFT(E386,1)="1","SOL",IF(LEFT(E386,1)="2","CO",IF(LEFT(E386,1)="3","ALM",IF(LEFT(E386,1)="4","FAC","TRX")))) &amp; "-" &amp; B386 &amp; "-" &amp; TEXT(COUNTIFS($E$2:$E386,E386,$B$2:$B386,B386),"000")</f>
        <v>CO-24-002</v>
      </c>
      <c r="B386">
        <v>24</v>
      </c>
      <c r="C386" s="18046">
        <v>46181</v>
      </c>
      <c r="D386" t="s">
        <v>1</v>
      </c>
      <c r="E386" t="s">
        <v>852</v>
      </c>
      <c r="F386" t="s">
        <v>48</v>
      </c>
      <c r="G386" s="3">
        <v>32</v>
      </c>
      <c r="H386" s="18047">
        <v>27</v>
      </c>
      <c r="I386" s="18047">
        <v>864</v>
      </c>
      <c r="J386" t="s">
        <v>851</v>
      </c>
    </row>
    <row r="387" spans="1:10">
      <c r="A387" t="str">
        <f>IF(LEFT(E387,1)="1","SOL",IF(LEFT(E387,1)="2","CO",IF(LEFT(E387,1)="3","ALM",IF(LEFT(E387,1)="4","FAC","TRX")))) &amp; "-" &amp; B387 &amp; "-" &amp; TEXT(COUNTIFS($E$2:$E387,E387,$B$2:$B387,B387),"000")</f>
        <v>CO-24-003</v>
      </c>
      <c r="B387">
        <v>24</v>
      </c>
      <c r="C387" s="18046">
        <v>46181</v>
      </c>
      <c r="D387" t="s">
        <v>1</v>
      </c>
      <c r="E387" t="s">
        <v>852</v>
      </c>
      <c r="F387" t="s">
        <v>69</v>
      </c>
      <c r="G387" s="3">
        <v>277</v>
      </c>
      <c r="H387" s="18047">
        <v>27</v>
      </c>
      <c r="I387" s="18047">
        <v>7479</v>
      </c>
      <c r="J387" t="s">
        <v>851</v>
      </c>
    </row>
    <row r="388" spans="1:10">
      <c r="A388" t="str">
        <f>IF(LEFT(E388,1)="1","SOL",IF(LEFT(E388,1)="2","CO",IF(LEFT(E388,1)="3","ALM",IF(LEFT(E388,1)="4","FAC","TRX")))) &amp; "-" &amp; B388 &amp; "-" &amp; TEXT(COUNTIFS($E$2:$E388,E388,$B$2:$B388,B388),"000")</f>
        <v>CO-24-004</v>
      </c>
      <c r="B388">
        <v>24</v>
      </c>
      <c r="C388" s="18046">
        <v>46181</v>
      </c>
      <c r="D388" t="s">
        <v>1</v>
      </c>
      <c r="E388" t="s">
        <v>852</v>
      </c>
      <c r="F388" t="s">
        <v>56</v>
      </c>
      <c r="G388" s="3">
        <v>30</v>
      </c>
      <c r="H388" s="18047">
        <v>27</v>
      </c>
      <c r="I388" s="18047">
        <v>810</v>
      </c>
      <c r="J388" t="s">
        <v>851</v>
      </c>
    </row>
    <row r="389" spans="1:10">
      <c r="A389" t="str">
        <f>IF(LEFT(E389,1)="1","SOL",IF(LEFT(E389,1)="2","CO",IF(LEFT(E389,1)="3","ALM",IF(LEFT(E389,1)="4","FAC","TRX")))) &amp; "-" &amp; B389 &amp; "-" &amp; TEXT(COUNTIFS($E$2:$E389,E389,$B$2:$B389,B389),"000")</f>
        <v>CO-24-005</v>
      </c>
      <c r="B389">
        <v>24</v>
      </c>
      <c r="C389" s="18046">
        <v>46181</v>
      </c>
      <c r="D389" t="s">
        <v>2</v>
      </c>
      <c r="E389" t="s">
        <v>852</v>
      </c>
      <c r="F389" t="s">
        <v>65</v>
      </c>
      <c r="G389" s="3">
        <v>97</v>
      </c>
      <c r="H389" s="18047">
        <v>27</v>
      </c>
      <c r="I389" s="18047">
        <v>2619</v>
      </c>
      <c r="J389" t="s">
        <v>851</v>
      </c>
    </row>
    <row r="390" spans="1:10">
      <c r="A390" t="str">
        <f>IF(LEFT(E390,1)="1","SOL",IF(LEFT(E390,1)="2","CO",IF(LEFT(E390,1)="3","ALM",IF(LEFT(E390,1)="4","FAC","TRX")))) &amp; "-" &amp; B390 &amp; "-" &amp; TEXT(COUNTIFS($E$2:$E390,E390,$B$2:$B390,B390),"000")</f>
        <v>CO-24-006</v>
      </c>
      <c r="B390">
        <v>24</v>
      </c>
      <c r="C390" s="18046">
        <v>46181</v>
      </c>
      <c r="D390" t="s">
        <v>3</v>
      </c>
      <c r="E390" t="s">
        <v>852</v>
      </c>
      <c r="F390" t="s">
        <v>76</v>
      </c>
      <c r="G390" s="3">
        <v>198</v>
      </c>
      <c r="H390" s="18047">
        <v>27</v>
      </c>
      <c r="I390" s="18047">
        <v>5346</v>
      </c>
      <c r="J390" t="s">
        <v>851</v>
      </c>
    </row>
    <row r="391" spans="1:10">
      <c r="A391" t="str">
        <f>IF(LEFT(E391,1)="1","SOL",IF(LEFT(E391,1)="2","CO",IF(LEFT(E391,1)="3","ALM",IF(LEFT(E391,1)="4","FAC","TRX")))) &amp; "-" &amp; B391 &amp; "-" &amp; TEXT(COUNTIFS($E$2:$E391,E391,$B$2:$B391,B391),"000")</f>
        <v>CO-24-007</v>
      </c>
      <c r="B391">
        <v>24</v>
      </c>
      <c r="C391" s="18046">
        <v>46181</v>
      </c>
      <c r="D391" t="s">
        <v>3</v>
      </c>
      <c r="E391" t="s">
        <v>852</v>
      </c>
      <c r="F391" t="s">
        <v>96</v>
      </c>
      <c r="G391" s="3">
        <v>10</v>
      </c>
      <c r="H391" s="18047">
        <v>27</v>
      </c>
      <c r="I391" s="18047">
        <v>270</v>
      </c>
      <c r="J391" t="s">
        <v>851</v>
      </c>
    </row>
    <row r="392" spans="1:10">
      <c r="A392" t="str">
        <f>IF(LEFT(E392,1)="1","SOL",IF(LEFT(E392,1)="2","CO",IF(LEFT(E392,1)="3","ALM",IF(LEFT(E392,1)="4","FAC","TRX")))) &amp; "-" &amp; B392 &amp; "-" &amp; TEXT(COUNTIFS($E$2:$E392,E392,$B$2:$B392,B392),"000")</f>
        <v>CO-24-008</v>
      </c>
      <c r="B392">
        <v>24</v>
      </c>
      <c r="C392" s="18046">
        <v>46181</v>
      </c>
      <c r="D392" t="s">
        <v>3</v>
      </c>
      <c r="E392" t="s">
        <v>852</v>
      </c>
      <c r="F392" t="s">
        <v>90</v>
      </c>
      <c r="G392" s="3">
        <v>27</v>
      </c>
      <c r="H392" s="18047">
        <v>27</v>
      </c>
      <c r="I392" s="18047">
        <v>729</v>
      </c>
      <c r="J392" t="s">
        <v>851</v>
      </c>
    </row>
    <row r="393" spans="1:10">
      <c r="A393" t="str">
        <f>IF(LEFT(E393,1)="1","SOL",IF(LEFT(E393,1)="2","CO",IF(LEFT(E393,1)="3","ALM",IF(LEFT(E393,1)="4","FAC","TRX")))) &amp; "-" &amp; B393 &amp; "-" &amp; TEXT(COUNTIFS($E$2:$E393,E393,$B$2:$B393,B393),"000")</f>
        <v>CO-24-009</v>
      </c>
      <c r="B393">
        <v>24</v>
      </c>
      <c r="C393" s="18046">
        <v>46181</v>
      </c>
      <c r="D393" t="s">
        <v>3</v>
      </c>
      <c r="E393" t="s">
        <v>852</v>
      </c>
      <c r="F393" t="s">
        <v>98</v>
      </c>
      <c r="G393" s="3">
        <v>30</v>
      </c>
      <c r="H393" s="18047">
        <v>27</v>
      </c>
      <c r="I393" s="18047">
        <v>810</v>
      </c>
      <c r="J393" t="s">
        <v>851</v>
      </c>
    </row>
    <row r="394" spans="1:10">
      <c r="A394" t="str">
        <f>IF(LEFT(E394,1)="1","SOL",IF(LEFT(E394,1)="2","CO",IF(LEFT(E394,1)="3","ALM",IF(LEFT(E394,1)="4","FAC","TRX")))) &amp; "-" &amp; B394 &amp; "-" &amp; TEXT(COUNTIFS($E$2:$E394,E394,$B$2:$B394,B394),"000")</f>
        <v>CO-24-010</v>
      </c>
      <c r="B394">
        <v>24</v>
      </c>
      <c r="C394" s="18046">
        <v>46181</v>
      </c>
      <c r="D394" t="s">
        <v>3</v>
      </c>
      <c r="E394" t="s">
        <v>852</v>
      </c>
      <c r="F394" t="s">
        <v>81</v>
      </c>
      <c r="G394" s="3">
        <v>40</v>
      </c>
      <c r="H394" s="18047">
        <v>27</v>
      </c>
      <c r="I394" s="18047">
        <v>1080</v>
      </c>
      <c r="J394" t="s">
        <v>851</v>
      </c>
    </row>
    <row r="395" spans="1:10">
      <c r="A395" t="str">
        <f>IF(LEFT(E395,1)="1","SOL",IF(LEFT(E395,1)="2","CO",IF(LEFT(E395,1)="3","ALM",IF(LEFT(E395,1)="4","FAC","TRX")))) &amp; "-" &amp; B395 &amp; "-" &amp; TEXT(COUNTIFS($E$2:$E395,E395,$B$2:$B395,B395),"000")</f>
        <v>CO-24-011</v>
      </c>
      <c r="B395">
        <v>24</v>
      </c>
      <c r="C395" s="18046">
        <v>46181</v>
      </c>
      <c r="D395" t="s">
        <v>3</v>
      </c>
      <c r="E395" t="s">
        <v>852</v>
      </c>
      <c r="F395" t="s">
        <v>86</v>
      </c>
      <c r="G395" s="3">
        <v>120</v>
      </c>
      <c r="H395" s="18047">
        <v>27</v>
      </c>
      <c r="I395" s="18047">
        <v>3240</v>
      </c>
      <c r="J395" t="s">
        <v>851</v>
      </c>
    </row>
    <row r="396" spans="1:10">
      <c r="A396" t="str">
        <f>IF(LEFT(E396,1)="1","SOL",IF(LEFT(E396,1)="2","CO",IF(LEFT(E396,1)="3","ALM",IF(LEFT(E396,1)="4","FAC","TRX")))) &amp; "-" &amp; B396 &amp; "-" &amp; TEXT(COUNTIFS($E$2:$E396,E396,$B$2:$B396,B396),"000")</f>
        <v>CO-24-012</v>
      </c>
      <c r="B396">
        <v>24</v>
      </c>
      <c r="C396" s="18046">
        <v>46181</v>
      </c>
      <c r="D396" t="s">
        <v>3</v>
      </c>
      <c r="E396" t="s">
        <v>852</v>
      </c>
      <c r="F396" t="s">
        <v>92</v>
      </c>
      <c r="G396" s="3">
        <v>30</v>
      </c>
      <c r="H396" s="18047">
        <v>27</v>
      </c>
      <c r="I396" s="18047">
        <v>810</v>
      </c>
      <c r="J396" t="s">
        <v>851</v>
      </c>
    </row>
    <row r="397" spans="1:10">
      <c r="A397" t="str">
        <f>IF(LEFT(E397,1)="1","SOL",IF(LEFT(E397,1)="2","CO",IF(LEFT(E397,1)="3","ALM",IF(LEFT(E397,1)="4","FAC","TRX")))) &amp; "-" &amp; B397 &amp; "-" &amp; TEXT(COUNTIFS($E$2:$E397,E397,$B$2:$B397,B397),"000")</f>
        <v>CO-24-013</v>
      </c>
      <c r="B397">
        <v>24</v>
      </c>
      <c r="C397" s="18046">
        <v>46181</v>
      </c>
      <c r="D397" t="s">
        <v>111</v>
      </c>
      <c r="E397" t="s">
        <v>852</v>
      </c>
      <c r="F397" t="s">
        <v>112</v>
      </c>
      <c r="G397" s="3">
        <v>100</v>
      </c>
      <c r="H397" s="18047">
        <v>27</v>
      </c>
      <c r="I397" s="18047">
        <v>2700</v>
      </c>
      <c r="J397" t="s">
        <v>851</v>
      </c>
    </row>
    <row r="398" spans="1:10">
      <c r="A398" t="str">
        <f>IF(LEFT(E398,1)="1","SOL",IF(LEFT(E398,1)="2","CO",IF(LEFT(E398,1)="3","ALM",IF(LEFT(E398,1)="4","FAC","TRX")))) &amp; "-" &amp; B398 &amp; "-" &amp; TEXT(COUNTIFS($E$2:$E398,E398,$B$2:$B398,B398),"000")</f>
        <v>CO-24-014</v>
      </c>
      <c r="B398">
        <v>24</v>
      </c>
      <c r="C398" s="18046">
        <v>46181</v>
      </c>
      <c r="D398" t="s">
        <v>400</v>
      </c>
      <c r="E398" t="s">
        <v>852</v>
      </c>
      <c r="F398" t="s">
        <v>112</v>
      </c>
      <c r="G398" s="3">
        <v>200</v>
      </c>
      <c r="H398" s="18047">
        <v>27</v>
      </c>
      <c r="I398" s="18047">
        <v>5400</v>
      </c>
      <c r="J398" t="s">
        <v>851</v>
      </c>
    </row>
    <row r="399" spans="1:10">
      <c r="A399" t="str">
        <f>IF(LEFT(E399,1)="1","SOL",IF(LEFT(E399,1)="2","CO",IF(LEFT(E399,1)="3","ALM",IF(LEFT(E399,1)="4","FAC","TRX")))) &amp; "-" &amp; B399 &amp; "-" &amp; TEXT(COUNTIFS($E$2:$E399,E399,$B$2:$B399,B399),"000")</f>
        <v>CO-24-015</v>
      </c>
      <c r="B399">
        <v>24</v>
      </c>
      <c r="C399" s="18046">
        <v>46181</v>
      </c>
      <c r="D399" t="s">
        <v>400</v>
      </c>
      <c r="E399" t="s">
        <v>852</v>
      </c>
      <c r="F399" t="s">
        <v>112</v>
      </c>
      <c r="G399" s="3">
        <v>209</v>
      </c>
      <c r="H399" s="18047">
        <v>27</v>
      </c>
      <c r="I399" s="18047">
        <v>5643</v>
      </c>
      <c r="J399" t="s">
        <v>851</v>
      </c>
    </row>
    <row r="400" spans="1:10">
      <c r="A400" t="str">
        <f>IF(LEFT(E400,1)="1","SOL",IF(LEFT(E400,1)="2","CO",IF(LEFT(E400,1)="3","ALM",IF(LEFT(E400,1)="4","FAC","TRX")))) &amp; "-" &amp; B400 &amp; "-" &amp; TEXT(COUNTIFS($E$2:$E400,E400,$B$2:$B400,B400),"000")</f>
        <v>CO-24-016</v>
      </c>
      <c r="B400">
        <v>24</v>
      </c>
      <c r="C400" s="18046">
        <v>46182</v>
      </c>
      <c r="D400" t="s">
        <v>3</v>
      </c>
      <c r="E400" t="s">
        <v>852</v>
      </c>
      <c r="F400" t="s">
        <v>79</v>
      </c>
      <c r="G400" s="3">
        <v>30</v>
      </c>
      <c r="H400" s="18047">
        <v>27</v>
      </c>
      <c r="I400" s="18047">
        <v>810</v>
      </c>
      <c r="J400" t="s">
        <v>851</v>
      </c>
    </row>
    <row r="401" spans="1:10">
      <c r="A401" t="str">
        <f>IF(LEFT(E401,1)="1","SOL",IF(LEFT(E401,1)="2","CO",IF(LEFT(E401,1)="3","ALM",IF(LEFT(E401,1)="4","FAC","TRX")))) &amp; "-" &amp; B401 &amp; "-" &amp; TEXT(COUNTIFS($E$2:$E401,E401,$B$2:$B401,B401),"000")</f>
        <v>CO-24-017</v>
      </c>
      <c r="B401">
        <v>24</v>
      </c>
      <c r="C401" s="18046">
        <v>46182</v>
      </c>
      <c r="D401" t="s">
        <v>3</v>
      </c>
      <c r="E401" t="s">
        <v>852</v>
      </c>
      <c r="F401" t="s">
        <v>83</v>
      </c>
      <c r="G401" s="3">
        <v>100</v>
      </c>
      <c r="H401" s="18047">
        <v>27</v>
      </c>
      <c r="I401" s="18047">
        <v>2700</v>
      </c>
      <c r="J401" t="s">
        <v>851</v>
      </c>
    </row>
    <row r="402" spans="1:10">
      <c r="A402" t="str">
        <f>IF(LEFT(E402,1)="1","SOL",IF(LEFT(E402,1)="2","CO",IF(LEFT(E402,1)="3","ALM",IF(LEFT(E402,1)="4","FAC","TRX")))) &amp; "-" &amp; B402 &amp; "-" &amp; TEXT(COUNTIFS($E$2:$E402,E402,$B$2:$B402,B402),"000")</f>
        <v>CO-24-018</v>
      </c>
      <c r="B402">
        <v>24</v>
      </c>
      <c r="C402" s="18046">
        <v>46182</v>
      </c>
      <c r="D402" t="s">
        <v>3</v>
      </c>
      <c r="E402" t="s">
        <v>852</v>
      </c>
      <c r="F402" t="s">
        <v>88</v>
      </c>
      <c r="G402" s="3">
        <v>30</v>
      </c>
      <c r="H402" s="18047">
        <v>27</v>
      </c>
      <c r="I402" s="18047">
        <v>810</v>
      </c>
      <c r="J402" t="s">
        <v>851</v>
      </c>
    </row>
    <row r="403" spans="1:10">
      <c r="A403" t="str">
        <f>IF(LEFT(E403,1)="1","SOL",IF(LEFT(E403,1)="2","CO",IF(LEFT(E403,1)="3","ALM",IF(LEFT(E403,1)="4","FAC","TRX")))) &amp; "-" &amp; B403 &amp; "-" &amp; TEXT(COUNTIFS($E$2:$E403,E403,$B$2:$B403,B403),"000")</f>
        <v>CO-24-019</v>
      </c>
      <c r="B403">
        <v>24</v>
      </c>
      <c r="C403" s="18046">
        <v>46182</v>
      </c>
      <c r="D403" t="s">
        <v>3</v>
      </c>
      <c r="E403" t="s">
        <v>852</v>
      </c>
      <c r="F403" t="s">
        <v>76</v>
      </c>
      <c r="G403" s="3">
        <v>150</v>
      </c>
      <c r="H403" s="18047">
        <v>27</v>
      </c>
      <c r="I403" s="18047">
        <v>4050</v>
      </c>
      <c r="J403" t="s">
        <v>851</v>
      </c>
    </row>
    <row r="404" spans="1:10">
      <c r="A404" t="str">
        <f>IF(LEFT(E404,1)="1","SOL",IF(LEFT(E404,1)="2","CO",IF(LEFT(E404,1)="3","ALM",IF(LEFT(E404,1)="4","FAC","TRX")))) &amp; "-" &amp; B404 &amp; "-" &amp; TEXT(COUNTIFS($E$2:$E404,E404,$B$2:$B404,B404),"000")</f>
        <v>CO-24-020</v>
      </c>
      <c r="B404">
        <v>24</v>
      </c>
      <c r="C404" s="18046">
        <v>46182</v>
      </c>
      <c r="D404" t="s">
        <v>3</v>
      </c>
      <c r="E404" t="s">
        <v>852</v>
      </c>
      <c r="F404" t="s">
        <v>92</v>
      </c>
      <c r="G404" s="3">
        <v>50</v>
      </c>
      <c r="H404" s="18047">
        <v>27</v>
      </c>
      <c r="I404" s="18047">
        <v>1350</v>
      </c>
      <c r="J404" t="s">
        <v>851</v>
      </c>
    </row>
    <row r="405" spans="1:10">
      <c r="A405" t="str">
        <f>IF(LEFT(E405,1)="1","SOL",IF(LEFT(E405,1)="2","CO",IF(LEFT(E405,1)="3","ALM",IF(LEFT(E405,1)="4","FAC","TRX")))) &amp; "-" &amp; B405 &amp; "-" &amp; TEXT(COUNTIFS($E$2:$E405,E405,$B$2:$B405,B405),"000")</f>
        <v>CO-24-021</v>
      </c>
      <c r="B405">
        <v>24</v>
      </c>
      <c r="C405" s="18046">
        <v>46182</v>
      </c>
      <c r="D405" t="s">
        <v>3</v>
      </c>
      <c r="E405" t="s">
        <v>852</v>
      </c>
      <c r="F405" t="s">
        <v>86</v>
      </c>
      <c r="G405" s="3">
        <v>136</v>
      </c>
      <c r="H405" s="18047">
        <v>27</v>
      </c>
      <c r="I405" s="18047">
        <v>3672</v>
      </c>
      <c r="J405" t="s">
        <v>851</v>
      </c>
    </row>
    <row r="406" spans="1:10">
      <c r="A406" t="str">
        <f>IF(LEFT(E406,1)="1","SOL",IF(LEFT(E406,1)="2","CO",IF(LEFT(E406,1)="3","ALM",IF(LEFT(E406,1)="4","FAC","TRX")))) &amp; "-" &amp; B406 &amp; "-" &amp; TEXT(COUNTIFS($E$2:$E406,E406,$B$2:$B406,B406),"000")</f>
        <v>CO-24-022</v>
      </c>
      <c r="B406">
        <v>24</v>
      </c>
      <c r="C406" s="18046">
        <v>46182</v>
      </c>
      <c r="D406" t="s">
        <v>3</v>
      </c>
      <c r="E406" t="s">
        <v>852</v>
      </c>
      <c r="F406" t="s">
        <v>88</v>
      </c>
      <c r="G406" s="3">
        <v>30</v>
      </c>
      <c r="H406" s="18047">
        <v>27</v>
      </c>
      <c r="I406" s="18047">
        <v>810</v>
      </c>
      <c r="J406" t="s">
        <v>851</v>
      </c>
    </row>
    <row r="407" spans="1:10">
      <c r="A407" t="str">
        <f>IF(LEFT(E407,1)="1","SOL",IF(LEFT(E407,1)="2","CO",IF(LEFT(E407,1)="3","ALM",IF(LEFT(E407,1)="4","FAC","TRX")))) &amp; "-" &amp; B407 &amp; "-" &amp; TEXT(COUNTIFS($E$2:$E407,E407,$B$2:$B407,B407),"000")</f>
        <v>CO-24-023</v>
      </c>
      <c r="B407">
        <v>24</v>
      </c>
      <c r="C407" s="18046">
        <v>46182</v>
      </c>
      <c r="D407" t="s">
        <v>3</v>
      </c>
      <c r="E407" t="s">
        <v>852</v>
      </c>
      <c r="F407" t="s">
        <v>85</v>
      </c>
      <c r="G407" s="3">
        <v>30</v>
      </c>
      <c r="H407" s="18047">
        <v>27</v>
      </c>
      <c r="I407" s="18047">
        <v>810</v>
      </c>
      <c r="J407" t="s">
        <v>851</v>
      </c>
    </row>
    <row r="408" spans="1:10">
      <c r="A408" t="str">
        <f>IF(LEFT(E408,1)="1","SOL",IF(LEFT(E408,1)="2","CO",IF(LEFT(E408,1)="3","ALM",IF(LEFT(E408,1)="4","FAC","TRX")))) &amp; "-" &amp; B408 &amp; "-" &amp; TEXT(COUNTIFS($E$2:$E408,E408,$B$2:$B408,B408),"000")</f>
        <v>CO-24-024</v>
      </c>
      <c r="B408">
        <v>24</v>
      </c>
      <c r="C408" s="18046">
        <v>46182</v>
      </c>
      <c r="D408" t="s">
        <v>3</v>
      </c>
      <c r="E408" t="s">
        <v>852</v>
      </c>
      <c r="F408" t="s">
        <v>83</v>
      </c>
      <c r="G408" s="3">
        <v>100</v>
      </c>
      <c r="H408" s="18047">
        <v>27</v>
      </c>
      <c r="I408" s="18047">
        <v>2700</v>
      </c>
      <c r="J408" t="s">
        <v>851</v>
      </c>
    </row>
    <row r="409" spans="1:10">
      <c r="A409" t="str">
        <f>IF(LEFT(E409,1)="1","SOL",IF(LEFT(E409,1)="2","CO",IF(LEFT(E409,1)="3","ALM",IF(LEFT(E409,1)="4","FAC","TRX")))) &amp; "-" &amp; B409 &amp; "-" &amp; TEXT(COUNTIFS($E$2:$E409,E409,$B$2:$B409,B409),"000")</f>
        <v>CO-24-025</v>
      </c>
      <c r="B409">
        <v>24</v>
      </c>
      <c r="C409" s="18046">
        <v>46182</v>
      </c>
      <c r="D409" t="s">
        <v>3</v>
      </c>
      <c r="E409" t="s">
        <v>852</v>
      </c>
      <c r="F409" t="s">
        <v>81</v>
      </c>
      <c r="G409" s="3">
        <v>60</v>
      </c>
      <c r="H409" s="18047">
        <v>27</v>
      </c>
      <c r="I409" s="18047">
        <v>1620</v>
      </c>
      <c r="J409" t="s">
        <v>851</v>
      </c>
    </row>
    <row r="410" spans="1:10">
      <c r="A410" t="str">
        <f>IF(LEFT(E410,1)="1","SOL",IF(LEFT(E410,1)="2","CO",IF(LEFT(E410,1)="3","ALM",IF(LEFT(E410,1)="4","FAC","TRX")))) &amp; "-" &amp; B410 &amp; "-" &amp; TEXT(COUNTIFS($E$2:$E410,E410,$B$2:$B410,B410),"000")</f>
        <v>CO-24-026</v>
      </c>
      <c r="B410">
        <v>24</v>
      </c>
      <c r="C410" s="18046">
        <v>46182</v>
      </c>
      <c r="D410" t="s">
        <v>3</v>
      </c>
      <c r="E410" t="s">
        <v>852</v>
      </c>
      <c r="F410" t="s">
        <v>98</v>
      </c>
      <c r="G410" s="3">
        <v>20</v>
      </c>
      <c r="H410" s="18047">
        <v>27</v>
      </c>
      <c r="I410" s="18047">
        <v>540</v>
      </c>
      <c r="J410" t="s">
        <v>851</v>
      </c>
    </row>
    <row r="411" spans="1:10">
      <c r="A411" t="str">
        <f>IF(LEFT(E411,1)="1","SOL",IF(LEFT(E411,1)="2","CO",IF(LEFT(E411,1)="3","ALM",IF(LEFT(E411,1)="4","FAC","TRX")))) &amp; "-" &amp; B411 &amp; "-" &amp; TEXT(COUNTIFS($E$2:$E411,E411,$B$2:$B411,B411),"000")</f>
        <v>CO-24-027</v>
      </c>
      <c r="B411">
        <v>24</v>
      </c>
      <c r="C411" s="18046">
        <v>46182</v>
      </c>
      <c r="D411" t="s">
        <v>2</v>
      </c>
      <c r="E411" t="s">
        <v>852</v>
      </c>
      <c r="F411" t="s">
        <v>56</v>
      </c>
      <c r="G411" s="3">
        <v>70</v>
      </c>
      <c r="H411" s="18047">
        <v>27</v>
      </c>
      <c r="I411" s="18047">
        <v>1890</v>
      </c>
      <c r="J411" t="s">
        <v>851</v>
      </c>
    </row>
    <row r="412" spans="1:10">
      <c r="A412" t="str">
        <f>IF(LEFT(E412,1)="1","SOL",IF(LEFT(E412,1)="2","CO",IF(LEFT(E412,1)="3","ALM",IF(LEFT(E412,1)="4","FAC","TRX")))) &amp; "-" &amp; B412 &amp; "-" &amp; TEXT(COUNTIFS($E$2:$E412,E412,$B$2:$B412,B412),"000")</f>
        <v>CO-24-028</v>
      </c>
      <c r="B412">
        <v>24</v>
      </c>
      <c r="C412" s="18046">
        <v>46182</v>
      </c>
      <c r="D412" t="s">
        <v>2</v>
      </c>
      <c r="E412" t="s">
        <v>852</v>
      </c>
      <c r="F412" t="s">
        <v>104</v>
      </c>
      <c r="G412" s="3">
        <v>50</v>
      </c>
      <c r="H412" s="18047">
        <v>27</v>
      </c>
      <c r="I412" s="18047">
        <v>1350</v>
      </c>
      <c r="J412" t="s">
        <v>851</v>
      </c>
    </row>
    <row r="413" spans="1:10">
      <c r="A413" t="str">
        <f>IF(LEFT(E413,1)="1","SOL",IF(LEFT(E413,1)="2","CO",IF(LEFT(E413,1)="3","ALM",IF(LEFT(E413,1)="4","FAC","TRX")))) &amp; "-" &amp; B413 &amp; "-" &amp; TEXT(COUNTIFS($E$2:$E413,E413,$B$2:$B413,B413),"000")</f>
        <v>CO-24-029</v>
      </c>
      <c r="B413">
        <v>24</v>
      </c>
      <c r="C413" s="18046">
        <v>46182</v>
      </c>
      <c r="D413" t="s">
        <v>2</v>
      </c>
      <c r="E413" t="s">
        <v>852</v>
      </c>
      <c r="F413" t="s">
        <v>60</v>
      </c>
      <c r="G413" s="3">
        <v>60</v>
      </c>
      <c r="H413" s="18047">
        <v>27</v>
      </c>
      <c r="I413" s="18047">
        <v>1620</v>
      </c>
      <c r="J413" t="s">
        <v>851</v>
      </c>
    </row>
    <row r="414" spans="1:10">
      <c r="A414" t="str">
        <f>IF(LEFT(E414,1)="1","SOL",IF(LEFT(E414,1)="2","CO",IF(LEFT(E414,1)="3","ALM",IF(LEFT(E414,1)="4","FAC","TRX")))) &amp; "-" &amp; B414 &amp; "-" &amp; TEXT(COUNTIFS($E$2:$E414,E414,$B$2:$B414,B414),"000")</f>
        <v>CO-24-030</v>
      </c>
      <c r="B414">
        <v>24</v>
      </c>
      <c r="C414" s="18046">
        <v>46183</v>
      </c>
      <c r="D414" t="s">
        <v>1</v>
      </c>
      <c r="E414" t="s">
        <v>852</v>
      </c>
      <c r="F414" t="s">
        <v>70</v>
      </c>
      <c r="G414" s="3">
        <v>20</v>
      </c>
      <c r="H414" s="18047">
        <v>27</v>
      </c>
      <c r="I414" s="18047">
        <v>540</v>
      </c>
      <c r="J414" t="s">
        <v>851</v>
      </c>
    </row>
    <row r="415" spans="1:10">
      <c r="A415" t="str">
        <f>IF(LEFT(E415,1)="1","SOL",IF(LEFT(E415,1)="2","CO",IF(LEFT(E415,1)="3","ALM",IF(LEFT(E415,1)="4","FAC","TRX")))) &amp; "-" &amp; B415 &amp; "-" &amp; TEXT(COUNTIFS($E$2:$E415,E415,$B$2:$B415,B415),"000")</f>
        <v>CO-24-031</v>
      </c>
      <c r="B415">
        <v>24</v>
      </c>
      <c r="C415" s="18046">
        <v>46183</v>
      </c>
      <c r="D415" t="s">
        <v>1</v>
      </c>
      <c r="E415" t="s">
        <v>852</v>
      </c>
      <c r="F415" t="s">
        <v>69</v>
      </c>
      <c r="G415" s="3">
        <v>250</v>
      </c>
      <c r="H415" s="18047">
        <v>27</v>
      </c>
      <c r="I415" s="18047">
        <v>6750</v>
      </c>
      <c r="J415" t="s">
        <v>851</v>
      </c>
    </row>
    <row r="416" spans="1:10">
      <c r="A416" t="str">
        <f>IF(LEFT(E416,1)="1","SOL",IF(LEFT(E416,1)="2","CO",IF(LEFT(E416,1)="3","ALM",IF(LEFT(E416,1)="4","FAC","TRX")))) &amp; "-" &amp; B416 &amp; "-" &amp; TEXT(COUNTIFS($E$2:$E416,E416,$B$2:$B416,B416),"000")</f>
        <v>CO-24-032</v>
      </c>
      <c r="B416">
        <v>24</v>
      </c>
      <c r="C416" s="18046">
        <v>46183</v>
      </c>
      <c r="D416" t="s">
        <v>1</v>
      </c>
      <c r="E416" t="s">
        <v>852</v>
      </c>
      <c r="F416" t="s">
        <v>56</v>
      </c>
      <c r="G416" s="3">
        <v>30</v>
      </c>
      <c r="H416" s="18047">
        <v>27</v>
      </c>
      <c r="I416" s="18047">
        <v>810</v>
      </c>
      <c r="J416" t="s">
        <v>851</v>
      </c>
    </row>
    <row r="417" spans="1:10">
      <c r="A417" t="str">
        <f>IF(LEFT(E417,1)="1","SOL",IF(LEFT(E417,1)="2","CO",IF(LEFT(E417,1)="3","ALM",IF(LEFT(E417,1)="4","FAC","TRX")))) &amp; "-" &amp; B417 &amp; "-" &amp; TEXT(COUNTIFS($E$2:$E417,E417,$B$2:$B417,B417),"000")</f>
        <v>CO-24-033</v>
      </c>
      <c r="B417">
        <v>24</v>
      </c>
      <c r="C417" s="18046">
        <v>46183</v>
      </c>
      <c r="D417" t="s">
        <v>111</v>
      </c>
      <c r="E417" t="s">
        <v>852</v>
      </c>
      <c r="F417" t="s">
        <v>112</v>
      </c>
      <c r="G417" s="3">
        <v>100</v>
      </c>
      <c r="H417" s="18047">
        <v>27</v>
      </c>
      <c r="I417" s="18047">
        <v>2700</v>
      </c>
      <c r="J417" t="s">
        <v>851</v>
      </c>
    </row>
    <row r="418" spans="1:10">
      <c r="A418" t="str">
        <f>IF(LEFT(E418,1)="1","SOL",IF(LEFT(E418,1)="2","CO",IF(LEFT(E418,1)="3","ALM",IF(LEFT(E418,1)="4","FAC","TRX")))) &amp; "-" &amp; B418 &amp; "-" &amp; TEXT(COUNTIFS($E$2:$E418,E418,$B$2:$B418,B418),"000")</f>
        <v>CO-24-034</v>
      </c>
      <c r="B418">
        <v>24</v>
      </c>
      <c r="C418" s="18046">
        <v>46184</v>
      </c>
      <c r="D418" t="s">
        <v>1</v>
      </c>
      <c r="E418" t="s">
        <v>852</v>
      </c>
      <c r="F418" t="s">
        <v>48</v>
      </c>
      <c r="G418" s="3">
        <v>30</v>
      </c>
      <c r="H418" s="18047">
        <v>27</v>
      </c>
      <c r="I418" s="18047">
        <v>810</v>
      </c>
      <c r="J418" t="s">
        <v>851</v>
      </c>
    </row>
    <row r="419" spans="1:10">
      <c r="A419" t="str">
        <f>IF(LEFT(E419,1)="1","SOL",IF(LEFT(E419,1)="2","CO",IF(LEFT(E419,1)="3","ALM",IF(LEFT(E419,1)="4","FAC","TRX")))) &amp; "-" &amp; B419 &amp; "-" &amp; TEXT(COUNTIFS($E$2:$E419,E419,$B$2:$B419,B419),"000")</f>
        <v>CO-24-035</v>
      </c>
      <c r="B419">
        <v>24</v>
      </c>
      <c r="C419" s="18046">
        <v>46184</v>
      </c>
      <c r="D419" t="s">
        <v>1</v>
      </c>
      <c r="E419" t="s">
        <v>852</v>
      </c>
      <c r="F419" t="s">
        <v>85</v>
      </c>
      <c r="G419" s="3">
        <v>30</v>
      </c>
      <c r="H419" s="18047">
        <v>27</v>
      </c>
      <c r="I419" s="18047">
        <v>810</v>
      </c>
      <c r="J419" t="s">
        <v>851</v>
      </c>
    </row>
    <row r="420" spans="1:10">
      <c r="A420" t="str">
        <f>IF(LEFT(E420,1)="1","SOL",IF(LEFT(E420,1)="2","CO",IF(LEFT(E420,1)="3","ALM",IF(LEFT(E420,1)="4","FAC","TRX")))) &amp; "-" &amp; B420 &amp; "-" &amp; TEXT(COUNTIFS($E$2:$E420,E420,$B$2:$B420,B420),"000")</f>
        <v>CO-24-036</v>
      </c>
      <c r="B420">
        <v>24</v>
      </c>
      <c r="C420" s="18046">
        <v>46184</v>
      </c>
      <c r="D420" t="s">
        <v>1</v>
      </c>
      <c r="E420" t="s">
        <v>852</v>
      </c>
      <c r="F420" t="s">
        <v>65</v>
      </c>
      <c r="G420" s="3">
        <v>136</v>
      </c>
      <c r="H420" s="18047">
        <v>27</v>
      </c>
      <c r="I420" s="18047">
        <v>3672</v>
      </c>
      <c r="J420" t="s">
        <v>851</v>
      </c>
    </row>
    <row r="421" spans="1:10">
      <c r="A421" t="str">
        <f>IF(LEFT(E421,1)="1","SOL",IF(LEFT(E421,1)="2","CO",IF(LEFT(E421,1)="3","ALM",IF(LEFT(E421,1)="4","FAC","TRX")))) &amp; "-" &amp; B421 &amp; "-" &amp; TEXT(COUNTIFS($E$2:$E421,E421,$B$2:$B421,B421),"000")</f>
        <v>CO-24-037</v>
      </c>
      <c r="B421">
        <v>24</v>
      </c>
      <c r="C421" s="18046">
        <v>46184</v>
      </c>
      <c r="D421" t="s">
        <v>1</v>
      </c>
      <c r="E421" t="s">
        <v>852</v>
      </c>
      <c r="F421" t="s">
        <v>70</v>
      </c>
      <c r="G421" s="3">
        <v>20</v>
      </c>
      <c r="H421" s="18047">
        <v>27</v>
      </c>
      <c r="I421" s="18047">
        <v>540</v>
      </c>
      <c r="J421" t="s">
        <v>851</v>
      </c>
    </row>
    <row r="422" spans="1:10">
      <c r="A422" t="str">
        <f>IF(LEFT(E422,1)="1","SOL",IF(LEFT(E422,1)="2","CO",IF(LEFT(E422,1)="3","ALM",IF(LEFT(E422,1)="4","FAC","TRX")))) &amp; "-" &amp; B422 &amp; "-" &amp; TEXT(COUNTIFS($E$2:$E422,E422,$B$2:$B422,B422),"000")</f>
        <v>CO-24-038</v>
      </c>
      <c r="B422">
        <v>24</v>
      </c>
      <c r="C422" s="18046">
        <v>46184</v>
      </c>
      <c r="D422" t="s">
        <v>1</v>
      </c>
      <c r="E422" t="s">
        <v>852</v>
      </c>
      <c r="F422" t="s">
        <v>56</v>
      </c>
      <c r="G422" s="3">
        <v>20</v>
      </c>
      <c r="H422" s="18047">
        <v>27</v>
      </c>
      <c r="I422" s="18047">
        <v>540</v>
      </c>
      <c r="J422" t="s">
        <v>851</v>
      </c>
    </row>
    <row r="423" spans="1:10">
      <c r="A423" t="str">
        <f>IF(LEFT(E423,1)="1","SOL",IF(LEFT(E423,1)="2","CO",IF(LEFT(E423,1)="3","ALM",IF(LEFT(E423,1)="4","FAC","TRX")))) &amp; "-" &amp; B423 &amp; "-" &amp; TEXT(COUNTIFS($E$2:$E423,E423,$B$2:$B423,B423),"000")</f>
        <v>CO-24-039</v>
      </c>
      <c r="B423">
        <v>24</v>
      </c>
      <c r="C423" s="18046">
        <v>46184</v>
      </c>
      <c r="D423" t="s">
        <v>1</v>
      </c>
      <c r="E423" t="s">
        <v>852</v>
      </c>
      <c r="F423" t="s">
        <v>96</v>
      </c>
      <c r="G423" s="3">
        <v>20</v>
      </c>
      <c r="H423" s="18047">
        <v>27</v>
      </c>
      <c r="I423" s="18047">
        <v>540</v>
      </c>
      <c r="J423" t="s">
        <v>851</v>
      </c>
    </row>
    <row r="424" spans="1:10">
      <c r="A424" t="str">
        <f>IF(LEFT(E424,1)="1","SOL",IF(LEFT(E424,1)="2","CO",IF(LEFT(E424,1)="3","ALM",IF(LEFT(E424,1)="4","FAC","TRX")))) &amp; "-" &amp; B424 &amp; "-" &amp; TEXT(COUNTIFS($E$2:$E424,E424,$B$2:$B424,B424),"000")</f>
        <v>CO-24-040</v>
      </c>
      <c r="B424">
        <v>24</v>
      </c>
      <c r="C424" s="18046">
        <v>46184</v>
      </c>
      <c r="D424" t="s">
        <v>400</v>
      </c>
      <c r="E424" t="s">
        <v>852</v>
      </c>
      <c r="F424" t="s">
        <v>117</v>
      </c>
      <c r="G424" s="3">
        <v>238</v>
      </c>
      <c r="H424" s="18047">
        <v>27</v>
      </c>
      <c r="I424" s="18047">
        <v>6426</v>
      </c>
      <c r="J424" t="s">
        <v>851</v>
      </c>
    </row>
    <row r="425" spans="1:10">
      <c r="A425" t="str">
        <f>IF(LEFT(E425,1)="1","SOL",IF(LEFT(E425,1)="2","CO",IF(LEFT(E425,1)="3","ALM",IF(LEFT(E425,1)="4","FAC","TRX")))) &amp; "-" &amp; B425 &amp; "-" &amp; TEXT(COUNTIFS($E$2:$E425,E425,$B$2:$B425,B425),"000")</f>
        <v>CO-24-041</v>
      </c>
      <c r="B425">
        <v>24</v>
      </c>
      <c r="C425" s="18046">
        <v>46184</v>
      </c>
      <c r="D425" t="s">
        <v>2</v>
      </c>
      <c r="E425" t="s">
        <v>852</v>
      </c>
      <c r="F425" t="s">
        <v>60</v>
      </c>
      <c r="G425" s="3">
        <v>80</v>
      </c>
      <c r="H425" s="18047">
        <v>27</v>
      </c>
      <c r="I425" s="18047">
        <v>2160</v>
      </c>
      <c r="J425" t="s">
        <v>851</v>
      </c>
    </row>
    <row r="426" spans="1:10">
      <c r="A426" t="str">
        <f>IF(LEFT(E426,1)="1","SOL",IF(LEFT(E426,1)="2","CO",IF(LEFT(E426,1)="3","ALM",IF(LEFT(E426,1)="4","FAC","TRX")))) &amp; "-" &amp; B426 &amp; "-" &amp; TEXT(COUNTIFS($E$2:$E426,E426,$B$2:$B426,B426),"000")</f>
        <v>CO-24-042</v>
      </c>
      <c r="B426">
        <v>24</v>
      </c>
      <c r="C426" s="18046">
        <v>46184</v>
      </c>
      <c r="D426" t="s">
        <v>2</v>
      </c>
      <c r="E426" t="s">
        <v>852</v>
      </c>
      <c r="F426" t="s">
        <v>98</v>
      </c>
      <c r="G426" s="3">
        <v>50</v>
      </c>
      <c r="H426" s="18047">
        <v>27</v>
      </c>
      <c r="I426" s="18047">
        <v>1350</v>
      </c>
      <c r="J426" t="s">
        <v>851</v>
      </c>
    </row>
    <row r="427" spans="1:10">
      <c r="A427" t="str">
        <f>IF(LEFT(E427,1)="1","SOL",IF(LEFT(E427,1)="2","CO",IF(LEFT(E427,1)="3","ALM",IF(LEFT(E427,1)="4","FAC","TRX")))) &amp; "-" &amp; B427 &amp; "-" &amp; TEXT(COUNTIFS($E$2:$E427,E427,$B$2:$B427,B427),"000")</f>
        <v>CO-24-043</v>
      </c>
      <c r="B427">
        <v>24</v>
      </c>
      <c r="C427" s="18046">
        <v>46184</v>
      </c>
      <c r="D427" t="s">
        <v>2</v>
      </c>
      <c r="E427" t="s">
        <v>852</v>
      </c>
      <c r="F427" t="s">
        <v>56</v>
      </c>
      <c r="G427" s="3">
        <v>70</v>
      </c>
      <c r="H427" s="18047">
        <v>27</v>
      </c>
      <c r="I427" s="18047">
        <v>1890</v>
      </c>
      <c r="J427" t="s">
        <v>851</v>
      </c>
    </row>
    <row r="428" spans="1:10">
      <c r="A428" t="str">
        <f>IF(LEFT(E428,1)="1","SOL",IF(LEFT(E428,1)="2","CO",IF(LEFT(E428,1)="3","ALM",IF(LEFT(E428,1)="4","FAC","TRX")))) &amp; "-" &amp; B428 &amp; "-" &amp; TEXT(COUNTIFS($E$2:$E428,E428,$B$2:$B428,B428),"000")</f>
        <v>CO-24-044</v>
      </c>
      <c r="B428">
        <v>24</v>
      </c>
      <c r="C428" s="18046">
        <v>46184</v>
      </c>
      <c r="D428" t="s">
        <v>2</v>
      </c>
      <c r="E428" t="s">
        <v>852</v>
      </c>
      <c r="F428" t="s">
        <v>94</v>
      </c>
      <c r="G428" s="3">
        <v>80</v>
      </c>
      <c r="H428" s="18047">
        <v>27</v>
      </c>
      <c r="I428" s="18047">
        <v>2160</v>
      </c>
      <c r="J428" t="s">
        <v>851</v>
      </c>
    </row>
    <row r="429" spans="1:10">
      <c r="A429" t="str">
        <f>IF(LEFT(E429,1)="1","SOL",IF(LEFT(E429,1)="2","CO",IF(LEFT(E429,1)="3","ALM",IF(LEFT(E429,1)="4","FAC","TRX")))) &amp; "-" &amp; B429 &amp; "-" &amp; TEXT(COUNTIFS($E$2:$E429,E429,$B$2:$B429,B429),"000")</f>
        <v>CO-24-045</v>
      </c>
      <c r="B429">
        <v>24</v>
      </c>
      <c r="C429" s="18046">
        <v>46184</v>
      </c>
      <c r="D429" t="s">
        <v>2</v>
      </c>
      <c r="E429" t="s">
        <v>852</v>
      </c>
      <c r="F429" t="s">
        <v>65</v>
      </c>
      <c r="G429" s="3">
        <v>185</v>
      </c>
      <c r="H429" s="18047">
        <v>27</v>
      </c>
      <c r="I429" s="18047">
        <v>4995</v>
      </c>
      <c r="J429" t="s">
        <v>851</v>
      </c>
    </row>
    <row r="430" spans="1:10">
      <c r="A430" t="str">
        <f>IF(LEFT(E430,1)="1","SOL",IF(LEFT(E430,1)="2","CO",IF(LEFT(E430,1)="3","ALM",IF(LEFT(E430,1)="4","FAC","TRX")))) &amp; "-" &amp; B430 &amp; "-" &amp; TEXT(COUNTIFS($E$2:$E430,E430,$B$2:$B430,B430),"000")</f>
        <v>CO-24-046</v>
      </c>
      <c r="B430">
        <v>24</v>
      </c>
      <c r="C430" s="18046">
        <v>46184</v>
      </c>
      <c r="D430" t="s">
        <v>2</v>
      </c>
      <c r="E430" t="s">
        <v>852</v>
      </c>
      <c r="F430" t="s">
        <v>104</v>
      </c>
      <c r="G430" s="3">
        <v>50</v>
      </c>
      <c r="H430" s="18047">
        <v>27</v>
      </c>
      <c r="I430" s="18047">
        <v>1350</v>
      </c>
      <c r="J430" t="s">
        <v>851</v>
      </c>
    </row>
    <row r="431" spans="1:10">
      <c r="A431" t="str">
        <f>IF(LEFT(E431,1)="1","SOL",IF(LEFT(E431,1)="2","CO",IF(LEFT(E431,1)="3","ALM",IF(LEFT(E431,1)="4","FAC","TRX")))) &amp; "-" &amp; B431 &amp; "-" &amp; TEXT(COUNTIFS($E$2:$E431,E431,$B$2:$B431,B431),"000")</f>
        <v>CO-24-047</v>
      </c>
      <c r="B431">
        <v>24</v>
      </c>
      <c r="C431" s="18046">
        <v>46184</v>
      </c>
      <c r="D431" t="s">
        <v>2</v>
      </c>
      <c r="E431" t="s">
        <v>852</v>
      </c>
      <c r="F431" t="s">
        <v>104</v>
      </c>
      <c r="G431" s="3">
        <v>40</v>
      </c>
      <c r="H431" s="18047">
        <v>27</v>
      </c>
      <c r="I431" s="18047">
        <v>1080</v>
      </c>
      <c r="J431" t="s">
        <v>851</v>
      </c>
    </row>
    <row r="432" spans="1:10">
      <c r="A432" t="str">
        <f>IF(LEFT(E432,1)="1","SOL",IF(LEFT(E432,1)="2","CO",IF(LEFT(E432,1)="3","ALM",IF(LEFT(E432,1)="4","FAC","TRX")))) &amp; "-" &amp; B432 &amp; "-" &amp; TEXT(COUNTIFS($E$2:$E432,E432,$B$2:$B432,B432),"000")</f>
        <v>CO-24-048</v>
      </c>
      <c r="B432">
        <v>24</v>
      </c>
      <c r="C432" s="18046">
        <v>46184</v>
      </c>
      <c r="D432" t="s">
        <v>2</v>
      </c>
      <c r="E432" t="s">
        <v>852</v>
      </c>
      <c r="F432" t="s">
        <v>85</v>
      </c>
      <c r="G432" s="3">
        <v>40</v>
      </c>
      <c r="H432" s="18047">
        <v>27</v>
      </c>
      <c r="I432" s="18047">
        <v>1080</v>
      </c>
      <c r="J432" t="s">
        <v>851</v>
      </c>
    </row>
    <row r="433" spans="1:10">
      <c r="A433" t="str">
        <f>IF(LEFT(E433,1)="1","SOL",IF(LEFT(E433,1)="2","CO",IF(LEFT(E433,1)="3","ALM",IF(LEFT(E433,1)="4","FAC","TRX")))) &amp; "-" &amp; B433 &amp; "-" &amp; TEXT(COUNTIFS($E$2:$E433,E433,$B$2:$B433,B433),"000")</f>
        <v>CO-24-049</v>
      </c>
      <c r="B433">
        <v>24</v>
      </c>
      <c r="C433" s="18046">
        <v>46185</v>
      </c>
      <c r="D433" t="s">
        <v>3</v>
      </c>
      <c r="E433" t="s">
        <v>852</v>
      </c>
      <c r="F433" t="s">
        <v>88</v>
      </c>
      <c r="G433" s="3">
        <v>32</v>
      </c>
      <c r="H433" s="18047">
        <v>27</v>
      </c>
      <c r="I433" s="18047">
        <v>864</v>
      </c>
      <c r="J433" t="s">
        <v>851</v>
      </c>
    </row>
    <row r="434" spans="1:10">
      <c r="A434" t="str">
        <f>IF(LEFT(E434,1)="1","SOL",IF(LEFT(E434,1)="2","CO",IF(LEFT(E434,1)="3","ALM",IF(LEFT(E434,1)="4","FAC","TRX")))) &amp; "-" &amp; B434 &amp; "-" &amp; TEXT(COUNTIFS($E$2:$E434,E434,$B$2:$B434,B434),"000")</f>
        <v>CO-24-050</v>
      </c>
      <c r="B434">
        <v>24</v>
      </c>
      <c r="C434" s="18046">
        <v>46185</v>
      </c>
      <c r="D434" t="s">
        <v>3</v>
      </c>
      <c r="E434" t="s">
        <v>852</v>
      </c>
      <c r="F434" t="s">
        <v>90</v>
      </c>
      <c r="G434" s="3">
        <v>30</v>
      </c>
      <c r="H434" s="18047">
        <v>27</v>
      </c>
      <c r="I434" s="18047">
        <v>810</v>
      </c>
      <c r="J434" t="s">
        <v>851</v>
      </c>
    </row>
    <row r="435" spans="1:10">
      <c r="A435" t="str">
        <f>IF(LEFT(E435,1)="1","SOL",IF(LEFT(E435,1)="2","CO",IF(LEFT(E435,1)="3","ALM",IF(LEFT(E435,1)="4","FAC","TRX")))) &amp; "-" &amp; B435 &amp; "-" &amp; TEXT(COUNTIFS($E$2:$E435,E435,$B$2:$B435,B435),"000")</f>
        <v>CO-24-051</v>
      </c>
      <c r="B435">
        <v>24</v>
      </c>
      <c r="C435" s="18046">
        <v>46185</v>
      </c>
      <c r="D435" t="s">
        <v>3</v>
      </c>
      <c r="E435" t="s">
        <v>852</v>
      </c>
      <c r="F435" t="s">
        <v>79</v>
      </c>
      <c r="G435" s="3">
        <v>30</v>
      </c>
      <c r="H435" s="18047">
        <v>27</v>
      </c>
      <c r="I435" s="18047">
        <v>810</v>
      </c>
      <c r="J435" t="s">
        <v>851</v>
      </c>
    </row>
    <row r="436" spans="1:10">
      <c r="A436" t="str">
        <f>IF(LEFT(E436,1)="1","SOL",IF(LEFT(E436,1)="2","CO",IF(LEFT(E436,1)="3","ALM",IF(LEFT(E436,1)="4","FAC","TRX")))) &amp; "-" &amp; B436 &amp; "-" &amp; TEXT(COUNTIFS($E$2:$E436,E436,$B$2:$B436,B436),"000")</f>
        <v>CO-24-052</v>
      </c>
      <c r="B436">
        <v>24</v>
      </c>
      <c r="C436" s="18046">
        <v>46185</v>
      </c>
      <c r="D436" t="s">
        <v>3</v>
      </c>
      <c r="E436" t="s">
        <v>852</v>
      </c>
      <c r="F436" t="s">
        <v>81</v>
      </c>
      <c r="G436" s="3">
        <v>50</v>
      </c>
      <c r="H436" s="18047">
        <v>27</v>
      </c>
      <c r="I436" s="18047">
        <v>1350</v>
      </c>
      <c r="J436" t="s">
        <v>851</v>
      </c>
    </row>
    <row r="437" spans="1:10">
      <c r="A437" t="str">
        <f>IF(LEFT(E437,1)="1","SOL",IF(LEFT(E437,1)="2","CO",IF(LEFT(E437,1)="3","ALM",IF(LEFT(E437,1)="4","FAC","TRX")))) &amp; "-" &amp; B437 &amp; "-" &amp; TEXT(COUNTIFS($E$2:$E437,E437,$B$2:$B437,B437),"000")</f>
        <v>CO-24-053</v>
      </c>
      <c r="B437">
        <v>24</v>
      </c>
      <c r="C437" s="18046">
        <v>46185</v>
      </c>
      <c r="D437" t="s">
        <v>3</v>
      </c>
      <c r="E437" t="s">
        <v>852</v>
      </c>
      <c r="F437" t="s">
        <v>86</v>
      </c>
      <c r="G437" s="3">
        <v>120</v>
      </c>
      <c r="H437" s="18047">
        <v>27</v>
      </c>
      <c r="I437" s="18047">
        <v>3240</v>
      </c>
      <c r="J437" t="s">
        <v>851</v>
      </c>
    </row>
    <row r="438" spans="1:10">
      <c r="A438" t="str">
        <f>IF(LEFT(E438,1)="1","SOL",IF(LEFT(E438,1)="2","CO",IF(LEFT(E438,1)="3","ALM",IF(LEFT(E438,1)="4","FAC","TRX")))) &amp; "-" &amp; B438 &amp; "-" &amp; TEXT(COUNTIFS($E$2:$E438,E438,$B$2:$B438,B438),"000")</f>
        <v>CO-24-054</v>
      </c>
      <c r="B438">
        <v>24</v>
      </c>
      <c r="C438" s="18046">
        <v>46185</v>
      </c>
      <c r="D438" t="s">
        <v>3</v>
      </c>
      <c r="E438" t="s">
        <v>852</v>
      </c>
      <c r="F438" t="s">
        <v>92</v>
      </c>
      <c r="G438" s="3">
        <v>40</v>
      </c>
      <c r="H438" s="18047">
        <v>27</v>
      </c>
      <c r="I438" s="18047">
        <v>1080</v>
      </c>
      <c r="J438" t="s">
        <v>851</v>
      </c>
    </row>
    <row r="439" spans="1:10">
      <c r="A439" t="str">
        <f>IF(LEFT(E439,1)="1","SOL",IF(LEFT(E439,1)="2","CO",IF(LEFT(E439,1)="3","ALM",IF(LEFT(E439,1)="4","FAC","TRX")))) &amp; "-" &amp; B439 &amp; "-" &amp; TEXT(COUNTIFS($E$2:$E439,E439,$B$2:$B439,B439),"000")</f>
        <v>CO-24-055</v>
      </c>
      <c r="B439">
        <v>24</v>
      </c>
      <c r="C439" s="18046">
        <v>46185</v>
      </c>
      <c r="D439" t="s">
        <v>3</v>
      </c>
      <c r="E439" t="s">
        <v>852</v>
      </c>
      <c r="F439" t="s">
        <v>76</v>
      </c>
      <c r="G439" s="3">
        <v>200</v>
      </c>
      <c r="H439" s="18047">
        <v>27</v>
      </c>
      <c r="I439" s="18047">
        <v>5400</v>
      </c>
      <c r="J439" t="s">
        <v>851</v>
      </c>
    </row>
    <row r="440" spans="1:10">
      <c r="A440" t="str">
        <f>IF(LEFT(E440,1)="1","SOL",IF(LEFT(E440,1)="2","CO",IF(LEFT(E440,1)="3","ALM",IF(LEFT(E440,1)="4","FAC","TRX")))) &amp; "-" &amp; B440 &amp; "-" &amp; TEXT(COUNTIFS($E$2:$E440,E440,$B$2:$B440,B440),"000")</f>
        <v>CO-24-056</v>
      </c>
      <c r="B440">
        <v>24</v>
      </c>
      <c r="C440" s="18046">
        <v>46185</v>
      </c>
      <c r="D440" t="s">
        <v>1</v>
      </c>
      <c r="E440" t="s">
        <v>852</v>
      </c>
      <c r="F440" t="s">
        <v>70</v>
      </c>
      <c r="G440" s="3">
        <v>20</v>
      </c>
      <c r="H440" s="18047">
        <v>27</v>
      </c>
      <c r="I440" s="18047">
        <v>540</v>
      </c>
      <c r="J440" t="s">
        <v>851</v>
      </c>
    </row>
    <row r="441" spans="1:10">
      <c r="A441" t="str">
        <f>IF(LEFT(E441,1)="1","SOL",IF(LEFT(E441,1)="2","CO",IF(LEFT(E441,1)="3","ALM",IF(LEFT(E441,1)="4","FAC","TRX")))) &amp; "-" &amp; B441 &amp; "-" &amp; TEXT(COUNTIFS($E$2:$E441,E441,$B$2:$B441,B441),"000")</f>
        <v>CO-24-057</v>
      </c>
      <c r="B441">
        <v>24</v>
      </c>
      <c r="C441" s="18046">
        <v>46185</v>
      </c>
      <c r="D441" t="s">
        <v>1</v>
      </c>
      <c r="E441" t="s">
        <v>852</v>
      </c>
      <c r="F441" t="s">
        <v>85</v>
      </c>
      <c r="G441" s="3">
        <v>30</v>
      </c>
      <c r="H441" s="18047">
        <v>27</v>
      </c>
      <c r="I441" s="18047">
        <v>810</v>
      </c>
      <c r="J441" t="s">
        <v>851</v>
      </c>
    </row>
    <row r="442" spans="1:10">
      <c r="A442" t="str">
        <f>IF(LEFT(E442,1)="1","SOL",IF(LEFT(E442,1)="2","CO",IF(LEFT(E442,1)="3","ALM",IF(LEFT(E442,1)="4","FAC","TRX")))) &amp; "-" &amp; B442 &amp; "-" &amp; TEXT(COUNTIFS($E$2:$E442,E442,$B$2:$B442,B442),"000")</f>
        <v>CO-24-058</v>
      </c>
      <c r="B442">
        <v>24</v>
      </c>
      <c r="C442" s="18046">
        <v>46185</v>
      </c>
      <c r="D442" t="s">
        <v>1</v>
      </c>
      <c r="E442" t="s">
        <v>852</v>
      </c>
      <c r="F442" t="s">
        <v>96</v>
      </c>
      <c r="G442" s="3">
        <v>20</v>
      </c>
      <c r="H442" s="18047">
        <v>27</v>
      </c>
      <c r="I442" s="18047">
        <v>540</v>
      </c>
      <c r="J442" t="s">
        <v>851</v>
      </c>
    </row>
    <row r="443" spans="1:10">
      <c r="A443" t="str">
        <f>IF(LEFT(E443,1)="1","SOL",IF(LEFT(E443,1)="2","CO",IF(LEFT(E443,1)="3","ALM",IF(LEFT(E443,1)="4","FAC","TRX")))) &amp; "-" &amp; B443 &amp; "-" &amp; TEXT(COUNTIFS($E$2:$E443,E443,$B$2:$B443,B443),"000")</f>
        <v>CO-24-059</v>
      </c>
      <c r="B443">
        <v>24</v>
      </c>
      <c r="C443" s="18046">
        <v>46185</v>
      </c>
      <c r="D443" t="s">
        <v>1</v>
      </c>
      <c r="E443" t="s">
        <v>852</v>
      </c>
      <c r="F443" t="s">
        <v>48</v>
      </c>
      <c r="G443" s="3">
        <v>40</v>
      </c>
      <c r="H443" s="18047">
        <v>27</v>
      </c>
      <c r="I443" s="18047">
        <v>1080</v>
      </c>
      <c r="J443" t="s">
        <v>851</v>
      </c>
    </row>
    <row r="444" spans="1:10">
      <c r="A444" t="str">
        <f>IF(LEFT(E444,1)="1","SOL",IF(LEFT(E444,1)="2","CO",IF(LEFT(E444,1)="3","ALM",IF(LEFT(E444,1)="4","FAC","TRX")))) &amp; "-" &amp; B444 &amp; "-" &amp; TEXT(COUNTIFS($E$2:$E444,E444,$B$2:$B444,B444),"000")</f>
        <v>CO-24-060</v>
      </c>
      <c r="B444">
        <v>24</v>
      </c>
      <c r="C444" s="18046">
        <v>46185</v>
      </c>
      <c r="D444" t="s">
        <v>1</v>
      </c>
      <c r="E444" t="s">
        <v>852</v>
      </c>
      <c r="F444" t="s">
        <v>69</v>
      </c>
      <c r="G444" s="3">
        <v>250</v>
      </c>
      <c r="H444" s="18047">
        <v>27</v>
      </c>
      <c r="I444" s="18047">
        <v>6750</v>
      </c>
      <c r="J444" t="s">
        <v>851</v>
      </c>
    </row>
    <row r="445" spans="1:10">
      <c r="A445" t="str">
        <f>IF(LEFT(E445,1)="1","SOL",IF(LEFT(E445,1)="2","CO",IF(LEFT(E445,1)="3","ALM",IF(LEFT(E445,1)="4","FAC","TRX")))) &amp; "-" &amp; B445 &amp; "-" &amp; TEXT(COUNTIFS($E$2:$E445,E445,$B$2:$B445,B445),"000")</f>
        <v>CO-25-001</v>
      </c>
      <c r="B445">
        <v>25</v>
      </c>
      <c r="C445" s="18046">
        <v>46188</v>
      </c>
      <c r="D445" t="s">
        <v>1</v>
      </c>
      <c r="E445" t="s">
        <v>852</v>
      </c>
      <c r="F445" t="s">
        <v>386</v>
      </c>
      <c r="G445" s="3">
        <v>200</v>
      </c>
      <c r="H445" s="18047">
        <v>27</v>
      </c>
      <c r="I445" s="18047">
        <v>5400</v>
      </c>
      <c r="J445" t="s">
        <v>851</v>
      </c>
    </row>
    <row r="446" spans="1:10">
      <c r="A446" t="str">
        <f>IF(LEFT(E446,1)="1","SOL",IF(LEFT(E446,1)="2","CO",IF(LEFT(E446,1)="3","ALM",IF(LEFT(E446,1)="4","FAC","TRX")))) &amp; "-" &amp; B446 &amp; "-" &amp; TEXT(COUNTIFS($E$2:$E446,E446,$B$2:$B446,B446),"000")</f>
        <v>CO-25-002</v>
      </c>
      <c r="B446">
        <v>25</v>
      </c>
      <c r="C446" s="18046">
        <v>46188</v>
      </c>
      <c r="D446" t="s">
        <v>1</v>
      </c>
      <c r="E446" t="s">
        <v>852</v>
      </c>
      <c r="F446" t="s">
        <v>228</v>
      </c>
      <c r="G446" s="3">
        <v>40</v>
      </c>
      <c r="H446" s="18047">
        <v>27</v>
      </c>
      <c r="I446" s="18047">
        <v>1080</v>
      </c>
      <c r="J446" t="s">
        <v>851</v>
      </c>
    </row>
    <row r="447" spans="1:10">
      <c r="A447" t="str">
        <f>IF(LEFT(E447,1)="1","SOL",IF(LEFT(E447,1)="2","CO",IF(LEFT(E447,1)="3","ALM",IF(LEFT(E447,1)="4","FAC","TRX")))) &amp; "-" &amp; B447 &amp; "-" &amp; TEXT(COUNTIFS($E$2:$E447,E447,$B$2:$B447,B447),"000")</f>
        <v>CO-25-003</v>
      </c>
      <c r="B447">
        <v>25</v>
      </c>
      <c r="C447" s="18046">
        <v>46188</v>
      </c>
      <c r="D447" t="s">
        <v>1</v>
      </c>
      <c r="E447" t="s">
        <v>852</v>
      </c>
      <c r="F447" t="s">
        <v>221</v>
      </c>
      <c r="G447" s="3">
        <v>30</v>
      </c>
      <c r="H447" s="18047">
        <v>27</v>
      </c>
      <c r="I447" s="18047">
        <v>810</v>
      </c>
      <c r="J447" t="s">
        <v>851</v>
      </c>
    </row>
    <row r="448" spans="1:10">
      <c r="A448" t="str">
        <f>IF(LEFT(E448,1)="1","SOL",IF(LEFT(E448,1)="2","CO",IF(LEFT(E448,1)="3","ALM",IF(LEFT(E448,1)="4","FAC","TRX")))) &amp; "-" &amp; B448 &amp; "-" &amp; TEXT(COUNTIFS($E$2:$E448,E448,$B$2:$B448,B448),"000")</f>
        <v>CO-25-004</v>
      </c>
      <c r="B448">
        <v>25</v>
      </c>
      <c r="C448" s="18046">
        <v>46188</v>
      </c>
      <c r="D448" t="s">
        <v>1</v>
      </c>
      <c r="E448" t="s">
        <v>852</v>
      </c>
      <c r="F448" t="s">
        <v>224</v>
      </c>
      <c r="G448" s="3">
        <v>50</v>
      </c>
      <c r="H448" s="18047">
        <v>27</v>
      </c>
      <c r="I448" s="18047">
        <v>1350</v>
      </c>
      <c r="J448" t="s">
        <v>851</v>
      </c>
    </row>
    <row r="449" spans="1:10">
      <c r="A449" t="str">
        <f>IF(LEFT(E449,1)="1","SOL",IF(LEFT(E449,1)="2","CO",IF(LEFT(E449,1)="3","ALM",IF(LEFT(E449,1)="4","FAC","TRX")))) &amp; "-" &amp; B449 &amp; "-" &amp; TEXT(COUNTIFS($E$2:$E449,E449,$B$2:$B449,B449),"000")</f>
        <v>CO-25-005</v>
      </c>
      <c r="B449">
        <v>25</v>
      </c>
      <c r="C449" s="18046">
        <v>46188</v>
      </c>
      <c r="D449" t="s">
        <v>2</v>
      </c>
      <c r="E449" t="s">
        <v>852</v>
      </c>
      <c r="F449" t="s">
        <v>365</v>
      </c>
      <c r="G449" s="3">
        <v>73</v>
      </c>
      <c r="H449" s="18047">
        <v>27</v>
      </c>
      <c r="I449" s="18047">
        <v>1971</v>
      </c>
      <c r="J449" t="s">
        <v>851</v>
      </c>
    </row>
    <row r="450" spans="1:10">
      <c r="A450" t="str">
        <f>IF(LEFT(E450,1)="1","SOL",IF(LEFT(E450,1)="2","CO",IF(LEFT(E450,1)="3","ALM",IF(LEFT(E450,1)="4","FAC","TRX")))) &amp; "-" &amp; B450 &amp; "-" &amp; TEXT(COUNTIFS($E$2:$E450,E450,$B$2:$B450,B450),"000")</f>
        <v>CO-25-006</v>
      </c>
      <c r="B450">
        <v>25</v>
      </c>
      <c r="C450" s="18046">
        <v>46188</v>
      </c>
      <c r="D450" t="s">
        <v>1</v>
      </c>
      <c r="E450" t="s">
        <v>852</v>
      </c>
      <c r="F450" t="s">
        <v>368</v>
      </c>
      <c r="G450" s="3">
        <v>99</v>
      </c>
      <c r="H450" s="18047">
        <v>27</v>
      </c>
      <c r="I450" s="18047">
        <v>2673</v>
      </c>
      <c r="J450" t="s">
        <v>851</v>
      </c>
    </row>
    <row r="451" spans="1:10">
      <c r="A451" t="str">
        <f>IF(LEFT(E451,1)="1","SOL",IF(LEFT(E451,1)="2","CO",IF(LEFT(E451,1)="3","ALM",IF(LEFT(E451,1)="4","FAC","TRX")))) &amp; "-" &amp; B451 &amp; "-" &amp; TEXT(COUNTIFS($E$2:$E451,E451,$B$2:$B451,B451),"000")</f>
        <v>CO-25-007</v>
      </c>
      <c r="B451">
        <v>25</v>
      </c>
      <c r="C451" s="18046">
        <v>46188</v>
      </c>
      <c r="D451" t="s">
        <v>1</v>
      </c>
      <c r="E451" t="s">
        <v>852</v>
      </c>
      <c r="F451" t="s">
        <v>383</v>
      </c>
      <c r="G451" s="3">
        <v>50</v>
      </c>
      <c r="H451" s="18047">
        <v>27</v>
      </c>
      <c r="I451" s="18047">
        <v>1350</v>
      </c>
      <c r="J451" t="s">
        <v>851</v>
      </c>
    </row>
    <row r="452" spans="1:10">
      <c r="A452" t="str">
        <f>IF(LEFT(E452,1)="1","SOL",IF(LEFT(E452,1)="2","CO",IF(LEFT(E452,1)="3","ALM",IF(LEFT(E452,1)="4","FAC","TRX")))) &amp; "-" &amp; B452 &amp; "-" &amp; TEXT(COUNTIFS($E$2:$E452,E452,$B$2:$B452,B452),"000")</f>
        <v>CO-25-008</v>
      </c>
      <c r="B452">
        <v>25</v>
      </c>
      <c r="C452" s="18046">
        <v>46188</v>
      </c>
      <c r="D452" t="s">
        <v>111</v>
      </c>
      <c r="E452" t="s">
        <v>852</v>
      </c>
      <c r="F452" t="s">
        <v>112</v>
      </c>
      <c r="G452" s="3">
        <v>70</v>
      </c>
      <c r="H452" s="18047">
        <v>27</v>
      </c>
      <c r="I452" s="18047">
        <v>1890</v>
      </c>
      <c r="J452" t="s">
        <v>851</v>
      </c>
    </row>
    <row r="453" spans="1:10">
      <c r="A453" t="str">
        <f>IF(LEFT(E453,1)="1","SOL",IF(LEFT(E453,1)="2","CO",IF(LEFT(E453,1)="3","ALM",IF(LEFT(E453,1)="4","FAC","TRX")))) &amp; "-" &amp; B453 &amp; "-" &amp; TEXT(COUNTIFS($E$2:$E453,E453,$B$2:$B453,B453),"000")</f>
        <v>CO-25-009</v>
      </c>
      <c r="B453">
        <v>25</v>
      </c>
      <c r="C453" s="18046">
        <v>46188</v>
      </c>
      <c r="D453" t="s">
        <v>2</v>
      </c>
      <c r="E453" t="s">
        <v>852</v>
      </c>
      <c r="F453" t="s">
        <v>221</v>
      </c>
      <c r="G453" s="3">
        <v>24</v>
      </c>
      <c r="H453" s="18047">
        <v>27</v>
      </c>
      <c r="I453" s="18047">
        <v>648</v>
      </c>
      <c r="J453" t="s">
        <v>851</v>
      </c>
    </row>
    <row r="454" spans="1:10">
      <c r="A454" t="str">
        <f>IF(LEFT(E454,1)="1","SOL",IF(LEFT(E454,1)="2","CO",IF(LEFT(E454,1)="3","ALM",IF(LEFT(E454,1)="4","FAC","TRX")))) &amp; "-" &amp; B454 &amp; "-" &amp; TEXT(COUNTIFS($E$2:$E454,E454,$B$2:$B454,B454),"000")</f>
        <v>CO-25-010</v>
      </c>
      <c r="B454">
        <v>25</v>
      </c>
      <c r="C454" s="18046">
        <v>46188</v>
      </c>
      <c r="D454" t="s">
        <v>400</v>
      </c>
      <c r="E454" t="s">
        <v>852</v>
      </c>
      <c r="F454" t="s">
        <v>117</v>
      </c>
      <c r="G454" s="3">
        <v>265</v>
      </c>
      <c r="H454" s="18047">
        <v>27</v>
      </c>
      <c r="I454" s="18047">
        <v>7155</v>
      </c>
      <c r="J454" t="s">
        <v>851</v>
      </c>
    </row>
    <row r="455" spans="1:10">
      <c r="A455" t="str">
        <f>IF(LEFT(E455,1)="1","SOL",IF(LEFT(E455,1)="2","CO",IF(LEFT(E455,1)="3","ALM",IF(LEFT(E455,1)="4","FAC","TRX")))) &amp; "-" &amp; B455 &amp; "-" &amp; TEXT(COUNTIFS($E$2:$E455,E455,$B$2:$B455,B455),"000")</f>
        <v>CO-25-011</v>
      </c>
      <c r="B455">
        <v>25</v>
      </c>
      <c r="C455" s="18046">
        <v>46188</v>
      </c>
      <c r="D455" t="s">
        <v>111</v>
      </c>
      <c r="E455" t="s">
        <v>852</v>
      </c>
      <c r="F455" t="s">
        <v>220</v>
      </c>
      <c r="G455" s="3">
        <v>33</v>
      </c>
      <c r="H455" s="18047">
        <v>27</v>
      </c>
      <c r="I455" s="18047">
        <v>891</v>
      </c>
      <c r="J455" t="s">
        <v>851</v>
      </c>
    </row>
    <row r="456" spans="1:10">
      <c r="A456" t="str">
        <f>IF(LEFT(E456,1)="1","SOL",IF(LEFT(E456,1)="2","CO",IF(LEFT(E456,1)="3","ALM",IF(LEFT(E456,1)="4","FAC","TRX")))) &amp; "-" &amp; B456 &amp; "-" &amp; TEXT(COUNTIFS($E$2:$E456,E456,$B$2:$B456,B456),"000")</f>
        <v>CO-25-012</v>
      </c>
      <c r="B456">
        <v>25</v>
      </c>
      <c r="C456" s="18046">
        <v>46188</v>
      </c>
      <c r="D456" t="s">
        <v>2</v>
      </c>
      <c r="E456" t="s">
        <v>852</v>
      </c>
      <c r="F456" t="s">
        <v>383</v>
      </c>
      <c r="G456" s="3">
        <v>60</v>
      </c>
      <c r="H456" s="18047">
        <v>27</v>
      </c>
      <c r="I456" s="18047">
        <v>1620</v>
      </c>
      <c r="J456" t="s">
        <v>851</v>
      </c>
    </row>
    <row r="457" spans="1:10">
      <c r="A457" t="str">
        <f>IF(LEFT(E457,1)="1","SOL",IF(LEFT(E457,1)="2","CO",IF(LEFT(E457,1)="3","ALM",IF(LEFT(E457,1)="4","FAC","TRX")))) &amp; "-" &amp; B457 &amp; "-" &amp; TEXT(COUNTIFS($E$2:$E457,E457,$B$2:$B457,B457),"000")</f>
        <v>CO-25-013</v>
      </c>
      <c r="B457">
        <v>25</v>
      </c>
      <c r="C457" s="18046">
        <v>46188</v>
      </c>
      <c r="D457" t="s">
        <v>2</v>
      </c>
      <c r="E457" t="s">
        <v>852</v>
      </c>
      <c r="F457" t="s">
        <v>217</v>
      </c>
      <c r="G457" s="3">
        <v>52</v>
      </c>
      <c r="H457" s="18047">
        <v>27</v>
      </c>
      <c r="I457" s="18047">
        <v>1404</v>
      </c>
      <c r="J457" t="s">
        <v>851</v>
      </c>
    </row>
    <row r="458" spans="1:10">
      <c r="A458" t="str">
        <f>IF(LEFT(E458,1)="1","SOL",IF(LEFT(E458,1)="2","CO",IF(LEFT(E458,1)="3","ALM",IF(LEFT(E458,1)="4","FAC","TRX")))) &amp; "-" &amp; B458 &amp; "-" &amp; TEXT(COUNTIFS($E$2:$E458,E458,$B$2:$B458,B458),"000")</f>
        <v>CO-25-014</v>
      </c>
      <c r="B458">
        <v>25</v>
      </c>
      <c r="C458" s="18046">
        <v>46188</v>
      </c>
      <c r="D458" t="s">
        <v>2</v>
      </c>
      <c r="E458" t="s">
        <v>852</v>
      </c>
      <c r="F458" t="s">
        <v>102</v>
      </c>
      <c r="G458" s="3">
        <v>25</v>
      </c>
      <c r="H458" s="18047">
        <v>27</v>
      </c>
      <c r="I458" s="18047">
        <v>675</v>
      </c>
      <c r="J458" t="s">
        <v>851</v>
      </c>
    </row>
    <row r="459" spans="1:10">
      <c r="A459" t="str">
        <f>IF(LEFT(E459,1)="1","SOL",IF(LEFT(E459,1)="2","CO",IF(LEFT(E459,1)="3","ALM",IF(LEFT(E459,1)="4","FAC","TRX")))) &amp; "-" &amp; B459 &amp; "-" &amp; TEXT(COUNTIFS($E$2:$E459,E459,$B$2:$B459,B459),"000")</f>
        <v>CO-25-015</v>
      </c>
      <c r="B459">
        <v>25</v>
      </c>
      <c r="C459" s="18046">
        <v>46188</v>
      </c>
      <c r="D459" t="s">
        <v>2</v>
      </c>
      <c r="E459" t="s">
        <v>852</v>
      </c>
      <c r="F459" t="s">
        <v>228</v>
      </c>
      <c r="G459" s="3">
        <v>55</v>
      </c>
      <c r="H459" s="18047">
        <v>27</v>
      </c>
      <c r="I459" s="18047">
        <v>1485</v>
      </c>
      <c r="J459" t="s">
        <v>851</v>
      </c>
    </row>
    <row r="460" spans="1:10">
      <c r="A460" t="str">
        <f>IF(LEFT(E460,1)="1","SOL",IF(LEFT(E460,1)="2","CO",IF(LEFT(E460,1)="3","ALM",IF(LEFT(E460,1)="4","FAC","TRX")))) &amp; "-" &amp; B460 &amp; "-" &amp; TEXT(COUNTIFS($E$2:$E460,E460,$B$2:$B460,B460),"000")</f>
        <v>CO-25-016</v>
      </c>
      <c r="B460">
        <v>25</v>
      </c>
      <c r="C460" s="18046">
        <v>46188</v>
      </c>
      <c r="D460" t="s">
        <v>111</v>
      </c>
      <c r="E460" t="s">
        <v>852</v>
      </c>
      <c r="F460" t="s">
        <v>215</v>
      </c>
      <c r="G460" s="3">
        <v>200</v>
      </c>
      <c r="H460" s="18047">
        <v>27</v>
      </c>
      <c r="I460" s="18047">
        <v>5400</v>
      </c>
      <c r="J460" t="s">
        <v>851</v>
      </c>
    </row>
    <row r="461" spans="1:10">
      <c r="A461" t="str">
        <f>IF(LEFT(E461,1)="1","SOL",IF(LEFT(E461,1)="2","CO",IF(LEFT(E461,1)="3","ALM",IF(LEFT(E461,1)="4","FAC","TRX")))) &amp; "-" &amp; B461 &amp; "-" &amp; TEXT(COUNTIFS($E$2:$E461,E461,$B$2:$B461,B461),"000")</f>
        <v>CO-25-017</v>
      </c>
      <c r="B461">
        <v>25</v>
      </c>
      <c r="C461" s="18046">
        <v>46188</v>
      </c>
      <c r="D461" t="s">
        <v>124</v>
      </c>
      <c r="E461" t="s">
        <v>852</v>
      </c>
      <c r="F461" t="s">
        <v>240</v>
      </c>
      <c r="G461" s="3">
        <v>300</v>
      </c>
      <c r="H461" s="18047">
        <v>27</v>
      </c>
      <c r="I461" s="18047">
        <v>8100</v>
      </c>
      <c r="J461" t="s">
        <v>851</v>
      </c>
    </row>
    <row r="462" spans="1:10">
      <c r="A462" t="str">
        <f>IF(LEFT(E462,1)="1","SOL",IF(LEFT(E462,1)="2","CO",IF(LEFT(E462,1)="3","ALM",IF(LEFT(E462,1)="4","FAC","TRX")))) &amp; "-" &amp; B462 &amp; "-" &amp; TEXT(COUNTIFS($E$2:$E462,E462,$B$2:$B462,B462),"000")</f>
        <v>CO-25-018</v>
      </c>
      <c r="B462">
        <v>25</v>
      </c>
      <c r="C462" s="18046">
        <v>46188</v>
      </c>
      <c r="D462" t="s">
        <v>124</v>
      </c>
      <c r="E462" t="s">
        <v>852</v>
      </c>
      <c r="F462" t="s">
        <v>245</v>
      </c>
      <c r="G462" s="3">
        <v>100</v>
      </c>
      <c r="H462" s="18047">
        <v>27</v>
      </c>
      <c r="I462" s="18047">
        <v>2700</v>
      </c>
      <c r="J462" t="s">
        <v>851</v>
      </c>
    </row>
    <row r="463" spans="1:10">
      <c r="A463" t="str">
        <f>IF(LEFT(E463,1)="1","SOL",IF(LEFT(E463,1)="2","CO",IF(LEFT(E463,1)="3","ALM",IF(LEFT(E463,1)="4","FAC","TRX")))) &amp; "-" &amp; B463 &amp; "-" &amp; TEXT(COUNTIFS($E$2:$E463,E463,$B$2:$B463,B463),"000")</f>
        <v>CO-25-019</v>
      </c>
      <c r="B463">
        <v>25</v>
      </c>
      <c r="C463" s="18046">
        <v>46188</v>
      </c>
      <c r="D463" t="s">
        <v>124</v>
      </c>
      <c r="E463" t="s">
        <v>852</v>
      </c>
      <c r="F463" t="s">
        <v>798</v>
      </c>
      <c r="G463" s="3">
        <v>400</v>
      </c>
      <c r="H463" s="18047">
        <v>27</v>
      </c>
      <c r="I463" s="18047">
        <v>10800</v>
      </c>
      <c r="J463" t="s">
        <v>851</v>
      </c>
    </row>
    <row r="464" spans="1:10">
      <c r="A464" t="str">
        <f>IF(LEFT(E464,1)="1","SOL",IF(LEFT(E464,1)="2","CO",IF(LEFT(E464,1)="3","ALM",IF(LEFT(E464,1)="4","FAC","TRX")))) &amp; "-" &amp; B464 &amp; "-" &amp; TEXT(COUNTIFS($E$2:$E464,E464,$B$2:$B464,B464),"000")</f>
        <v>CO-25-020</v>
      </c>
      <c r="B464">
        <v>25</v>
      </c>
      <c r="C464" s="18046">
        <v>46189</v>
      </c>
      <c r="D464" t="s">
        <v>1</v>
      </c>
      <c r="E464" t="s">
        <v>852</v>
      </c>
      <c r="F464" t="s">
        <v>386</v>
      </c>
      <c r="G464" s="3">
        <v>200</v>
      </c>
      <c r="H464" s="18047">
        <v>27</v>
      </c>
      <c r="I464" s="18047">
        <v>5400</v>
      </c>
      <c r="J464" t="s">
        <v>851</v>
      </c>
    </row>
    <row r="465" spans="1:10">
      <c r="A465" t="str">
        <f>IF(LEFT(E465,1)="1","SOL",IF(LEFT(E465,1)="2","CO",IF(LEFT(E465,1)="3","ALM",IF(LEFT(E465,1)="4","FAC","TRX")))) &amp; "-" &amp; B465 &amp; "-" &amp; TEXT(COUNTIFS($E$2:$E465,E465,$B$2:$B465,B465),"000")</f>
        <v>CO-25-021</v>
      </c>
      <c r="B465">
        <v>25</v>
      </c>
      <c r="C465" s="18046">
        <v>46189</v>
      </c>
      <c r="D465" t="s">
        <v>1</v>
      </c>
      <c r="E465" t="s">
        <v>852</v>
      </c>
      <c r="F465" t="s">
        <v>221</v>
      </c>
      <c r="G465" s="3">
        <v>32</v>
      </c>
      <c r="H465" s="18047">
        <v>27</v>
      </c>
      <c r="I465" s="18047">
        <v>864</v>
      </c>
      <c r="J465" t="s">
        <v>851</v>
      </c>
    </row>
    <row r="466" spans="1:10">
      <c r="A466" t="str">
        <f>IF(LEFT(E466,1)="1","SOL",IF(LEFT(E466,1)="2","CO",IF(LEFT(E466,1)="3","ALM",IF(LEFT(E466,1)="4","FAC","TRX")))) &amp; "-" &amp; B466 &amp; "-" &amp; TEXT(COUNTIFS($E$2:$E466,E466,$B$2:$B466,B466),"000")</f>
        <v>CO-25-022</v>
      </c>
      <c r="B466">
        <v>25</v>
      </c>
      <c r="C466" s="18046">
        <v>46189</v>
      </c>
      <c r="D466" t="s">
        <v>1</v>
      </c>
      <c r="E466" t="s">
        <v>852</v>
      </c>
      <c r="F466" t="s">
        <v>224</v>
      </c>
      <c r="G466" s="3">
        <v>30</v>
      </c>
      <c r="H466" s="18047">
        <v>27</v>
      </c>
      <c r="I466" s="18047">
        <v>810</v>
      </c>
      <c r="J466" t="s">
        <v>851</v>
      </c>
    </row>
    <row r="467" spans="1:10">
      <c r="A467" t="str">
        <f>IF(LEFT(E467,1)="1","SOL",IF(LEFT(E467,1)="2","CO",IF(LEFT(E467,1)="3","ALM",IF(LEFT(E467,1)="4","FAC","TRX")))) &amp; "-" &amp; B467 &amp; "-" &amp; TEXT(COUNTIFS($E$2:$E467,E467,$B$2:$B467,B467),"000")</f>
        <v>CO-25-023</v>
      </c>
      <c r="B467">
        <v>25</v>
      </c>
      <c r="C467" s="18046">
        <v>46189</v>
      </c>
      <c r="D467" t="s">
        <v>1</v>
      </c>
      <c r="E467" t="s">
        <v>852</v>
      </c>
      <c r="F467" t="s">
        <v>216</v>
      </c>
      <c r="G467" s="3">
        <v>30</v>
      </c>
      <c r="H467" s="18047">
        <v>27</v>
      </c>
      <c r="I467" s="18047">
        <v>810</v>
      </c>
      <c r="J467" t="s">
        <v>851</v>
      </c>
    </row>
    <row r="468" spans="1:10">
      <c r="A468" t="str">
        <f>IF(LEFT(E468,1)="1","SOL",IF(LEFT(E468,1)="2","CO",IF(LEFT(E468,1)="3","ALM",IF(LEFT(E468,1)="4","FAC","TRX")))) &amp; "-" &amp; B468 &amp; "-" &amp; TEXT(COUNTIFS($E$2:$E468,E468,$B$2:$B468,B468),"000")</f>
        <v>CO-25-024</v>
      </c>
      <c r="B468">
        <v>25</v>
      </c>
      <c r="C468" s="18046">
        <v>46189</v>
      </c>
      <c r="D468" t="s">
        <v>1</v>
      </c>
      <c r="E468" t="s">
        <v>852</v>
      </c>
      <c r="F468" t="s">
        <v>368</v>
      </c>
      <c r="G468" s="3">
        <v>107</v>
      </c>
      <c r="H468" s="18047">
        <v>27</v>
      </c>
      <c r="I468" s="18047">
        <v>2889</v>
      </c>
      <c r="J468" t="s">
        <v>851</v>
      </c>
    </row>
    <row r="469" spans="1:10">
      <c r="A469" t="str">
        <f>IF(LEFT(E469,1)="1","SOL",IF(LEFT(E469,1)="2","CO",IF(LEFT(E469,1)="3","ALM",IF(LEFT(E469,1)="4","FAC","TRX")))) &amp; "-" &amp; B469 &amp; "-" &amp; TEXT(COUNTIFS($E$2:$E469,E469,$B$2:$B469,B469),"000")</f>
        <v>CO-25-025</v>
      </c>
      <c r="B469">
        <v>25</v>
      </c>
      <c r="C469" s="18046">
        <v>46189</v>
      </c>
      <c r="D469" t="s">
        <v>1</v>
      </c>
      <c r="E469" t="s">
        <v>852</v>
      </c>
      <c r="F469" t="s">
        <v>228</v>
      </c>
      <c r="G469" s="3">
        <v>40</v>
      </c>
      <c r="H469" s="18047">
        <v>27</v>
      </c>
      <c r="I469" s="18047">
        <v>1080</v>
      </c>
      <c r="J469" t="s">
        <v>851</v>
      </c>
    </row>
    <row r="470" spans="1:10">
      <c r="A470" t="str">
        <f>IF(LEFT(E470,1)="1","SOL",IF(LEFT(E470,1)="2","CO",IF(LEFT(E470,1)="3","ALM",IF(LEFT(E470,1)="4","FAC","TRX")))) &amp; "-" &amp; B470 &amp; "-" &amp; TEXT(COUNTIFS($E$2:$E470,E470,$B$2:$B470,B470),"000")</f>
        <v>CO-25-026</v>
      </c>
      <c r="B470">
        <v>25</v>
      </c>
      <c r="C470" s="18046">
        <v>46189</v>
      </c>
      <c r="D470" t="s">
        <v>1</v>
      </c>
      <c r="E470" t="s">
        <v>852</v>
      </c>
      <c r="F470" t="s">
        <v>383</v>
      </c>
      <c r="G470" s="3">
        <v>50</v>
      </c>
      <c r="H470" s="18047">
        <v>27</v>
      </c>
      <c r="I470" s="18047">
        <v>1350</v>
      </c>
      <c r="J470" t="s">
        <v>851</v>
      </c>
    </row>
    <row r="471" spans="1:10">
      <c r="A471" t="str">
        <f>IF(LEFT(E471,1)="1","SOL",IF(LEFT(E471,1)="2","CO",IF(LEFT(E471,1)="3","ALM",IF(LEFT(E471,1)="4","FAC","TRX")))) &amp; "-" &amp; B471 &amp; "-" &amp; TEXT(COUNTIFS($E$2:$E471,E471,$B$2:$B471,B471),"000")</f>
        <v>CO-25-027</v>
      </c>
      <c r="B471">
        <v>25</v>
      </c>
      <c r="C471" s="18046">
        <v>46189</v>
      </c>
      <c r="D471" t="s">
        <v>2</v>
      </c>
      <c r="E471" t="s">
        <v>852</v>
      </c>
      <c r="F471" t="s">
        <v>235</v>
      </c>
      <c r="G471" s="3">
        <v>50</v>
      </c>
      <c r="H471" s="18047">
        <v>27</v>
      </c>
      <c r="I471" s="18047">
        <v>1350</v>
      </c>
      <c r="J471" t="s">
        <v>851</v>
      </c>
    </row>
    <row r="472" spans="1:10">
      <c r="A472" t="str">
        <f>IF(LEFT(E472,1)="1","SOL",IF(LEFT(E472,1)="2","CO",IF(LEFT(E472,1)="3","ALM",IF(LEFT(E472,1)="4","FAC","TRX")))) &amp; "-" &amp; B472 &amp; "-" &amp; TEXT(COUNTIFS($E$2:$E472,E472,$B$2:$B472,B472),"000")</f>
        <v>CO-25-028</v>
      </c>
      <c r="B472">
        <v>25</v>
      </c>
      <c r="C472" s="18046">
        <v>46189</v>
      </c>
      <c r="D472" t="s">
        <v>400</v>
      </c>
      <c r="E472" t="s">
        <v>852</v>
      </c>
      <c r="F472" t="s">
        <v>383</v>
      </c>
      <c r="G472" s="3">
        <v>50</v>
      </c>
      <c r="H472" s="18047">
        <v>27</v>
      </c>
      <c r="I472" s="18047">
        <v>1350</v>
      </c>
      <c r="J472" t="s">
        <v>851</v>
      </c>
    </row>
    <row r="473" spans="1:10">
      <c r="A473" t="str">
        <f>IF(LEFT(E473,1)="1","SOL",IF(LEFT(E473,1)="2","CO",IF(LEFT(E473,1)="3","ALM",IF(LEFT(E473,1)="4","FAC","TRX")))) &amp; "-" &amp; B473 &amp; "-" &amp; TEXT(COUNTIFS($E$2:$E473,E473,$B$2:$B473,B473),"000")</f>
        <v>CO-25-029</v>
      </c>
      <c r="B473">
        <v>25</v>
      </c>
      <c r="C473" s="18046">
        <v>46189</v>
      </c>
      <c r="D473" t="s">
        <v>400</v>
      </c>
      <c r="E473" t="s">
        <v>852</v>
      </c>
      <c r="F473" t="s">
        <v>112</v>
      </c>
      <c r="G473" s="3">
        <v>1001</v>
      </c>
      <c r="H473" s="18047">
        <v>27</v>
      </c>
      <c r="I473" s="18047">
        <v>27027</v>
      </c>
      <c r="J473" t="s">
        <v>851</v>
      </c>
    </row>
    <row r="474" spans="1:10">
      <c r="A474" t="str">
        <f>IF(LEFT(E474,1)="1","SOL",IF(LEFT(E474,1)="2","CO",IF(LEFT(E474,1)="3","ALM",IF(LEFT(E474,1)="4","FAC","TRX")))) &amp; "-" &amp; B474 &amp; "-" &amp; TEXT(COUNTIFS($E$2:$E474,E474,$B$2:$B474,B474),"000")</f>
        <v>CO-25-030</v>
      </c>
      <c r="B474">
        <v>25</v>
      </c>
      <c r="C474" s="18046">
        <v>46189</v>
      </c>
      <c r="D474" t="s">
        <v>2</v>
      </c>
      <c r="E474" t="s">
        <v>852</v>
      </c>
      <c r="F474" t="s">
        <v>214</v>
      </c>
      <c r="G474" s="3">
        <v>350</v>
      </c>
      <c r="H474" s="18047">
        <v>27</v>
      </c>
      <c r="I474" s="18047">
        <v>9450</v>
      </c>
      <c r="J474" t="s">
        <v>851</v>
      </c>
    </row>
    <row r="475" spans="1:10">
      <c r="A475" t="str">
        <f>IF(LEFT(E475,1)="1","SOL",IF(LEFT(E475,1)="2","CO",IF(LEFT(E475,1)="3","ALM",IF(LEFT(E475,1)="4","FAC","TRX")))) &amp; "-" &amp; B475 &amp; "-" &amp; TEXT(COUNTIFS($E$2:$E475,E475,$B$2:$B475,B475),"000")</f>
        <v>CO-25-031</v>
      </c>
      <c r="B475">
        <v>25</v>
      </c>
      <c r="C475" s="18046">
        <v>46189</v>
      </c>
      <c r="D475" t="s">
        <v>111</v>
      </c>
      <c r="E475" t="s">
        <v>852</v>
      </c>
      <c r="F475" t="s">
        <v>214</v>
      </c>
      <c r="G475" s="3">
        <v>200</v>
      </c>
      <c r="H475" s="18047">
        <v>27</v>
      </c>
      <c r="I475" s="18047">
        <v>5400</v>
      </c>
      <c r="J475" t="s">
        <v>851</v>
      </c>
    </row>
    <row r="476" spans="1:10">
      <c r="A476" t="str">
        <f>IF(LEFT(E476,1)="1","SOL",IF(LEFT(E476,1)="2","CO",IF(LEFT(E476,1)="3","ALM",IF(LEFT(E476,1)="4","FAC","TRX")))) &amp; "-" &amp; B476 &amp; "-" &amp; TEXT(COUNTIFS($E$2:$E476,E476,$B$2:$B476,B476),"000")</f>
        <v>CO-25-032</v>
      </c>
      <c r="B476">
        <v>25</v>
      </c>
      <c r="C476" s="18046">
        <v>46189</v>
      </c>
      <c r="D476" t="s">
        <v>2</v>
      </c>
      <c r="E476" t="s">
        <v>852</v>
      </c>
      <c r="F476" t="s">
        <v>235</v>
      </c>
      <c r="G476" s="3">
        <v>50</v>
      </c>
      <c r="H476" s="18047">
        <v>27</v>
      </c>
      <c r="I476" s="18047">
        <v>1350</v>
      </c>
      <c r="J476" t="s">
        <v>851</v>
      </c>
    </row>
    <row r="477" spans="1:10">
      <c r="A477" t="str">
        <f>IF(LEFT(E477,1)="1","SOL",IF(LEFT(E477,1)="2","CO",IF(LEFT(E477,1)="3","ALM",IF(LEFT(E477,1)="4","FAC","TRX")))) &amp; "-" &amp; B477 &amp; "-" &amp; TEXT(COUNTIFS($E$2:$E477,E477,$B$2:$B477,B477),"000")</f>
        <v>CO-25-033</v>
      </c>
      <c r="B477">
        <v>25</v>
      </c>
      <c r="C477" s="18046">
        <v>46189</v>
      </c>
      <c r="D477" t="s">
        <v>2</v>
      </c>
      <c r="E477" t="s">
        <v>852</v>
      </c>
      <c r="F477" t="s">
        <v>365</v>
      </c>
      <c r="G477" s="3">
        <v>165</v>
      </c>
      <c r="H477" s="18047">
        <v>27</v>
      </c>
      <c r="I477" s="18047">
        <v>4455</v>
      </c>
      <c r="J477" t="s">
        <v>851</v>
      </c>
    </row>
    <row r="478" spans="1:10">
      <c r="A478" t="str">
        <f>IF(LEFT(E478,1)="1","SOL",IF(LEFT(E478,1)="2","CO",IF(LEFT(E478,1)="3","ALM",IF(LEFT(E478,1)="4","FAC","TRX")))) &amp; "-" &amp; B478 &amp; "-" &amp; TEXT(COUNTIFS($E$2:$E478,E478,$B$2:$B478,B478),"000")</f>
        <v>CO-25-034</v>
      </c>
      <c r="B478">
        <v>25</v>
      </c>
      <c r="C478" s="18046">
        <v>46190</v>
      </c>
      <c r="D478" t="s">
        <v>1</v>
      </c>
      <c r="E478" t="s">
        <v>852</v>
      </c>
      <c r="F478" t="s">
        <v>386</v>
      </c>
      <c r="G478" s="3">
        <v>200</v>
      </c>
      <c r="H478" s="18047">
        <v>27</v>
      </c>
      <c r="I478" s="18047">
        <v>5400</v>
      </c>
      <c r="J478" t="s">
        <v>851</v>
      </c>
    </row>
    <row r="479" spans="1:10">
      <c r="A479" t="str">
        <f>IF(LEFT(E479,1)="1","SOL",IF(LEFT(E479,1)="2","CO",IF(LEFT(E479,1)="3","ALM",IF(LEFT(E479,1)="4","FAC","TRX")))) &amp; "-" &amp; B479 &amp; "-" &amp; TEXT(COUNTIFS($E$2:$E479,E479,$B$2:$B479,B479),"000")</f>
        <v>CO-25-035</v>
      </c>
      <c r="B479">
        <v>25</v>
      </c>
      <c r="C479" s="18046">
        <v>46190</v>
      </c>
      <c r="D479" t="s">
        <v>1</v>
      </c>
      <c r="E479" t="s">
        <v>852</v>
      </c>
      <c r="F479" t="s">
        <v>368</v>
      </c>
      <c r="G479" s="3">
        <v>120</v>
      </c>
      <c r="H479" s="18047">
        <v>27</v>
      </c>
      <c r="I479" s="18047">
        <v>3240</v>
      </c>
      <c r="J479" t="s">
        <v>851</v>
      </c>
    </row>
    <row r="480" spans="1:10">
      <c r="A480" t="str">
        <f>IF(LEFT(E480,1)="1","SOL",IF(LEFT(E480,1)="2","CO",IF(LEFT(E480,1)="3","ALM",IF(LEFT(E480,1)="4","FAC","TRX")))) &amp; "-" &amp; B480 &amp; "-" &amp; TEXT(COUNTIFS($E$2:$E480,E480,$B$2:$B480,B480),"000")</f>
        <v>CO-25-036</v>
      </c>
      <c r="B480">
        <v>25</v>
      </c>
      <c r="C480" s="18046">
        <v>46190</v>
      </c>
      <c r="D480" t="s">
        <v>1</v>
      </c>
      <c r="E480" t="s">
        <v>852</v>
      </c>
      <c r="F480" t="s">
        <v>221</v>
      </c>
      <c r="G480" s="3">
        <v>30</v>
      </c>
      <c r="H480" s="18047">
        <v>27</v>
      </c>
      <c r="I480" s="18047">
        <v>810</v>
      </c>
      <c r="J480" t="s">
        <v>851</v>
      </c>
    </row>
    <row r="481" spans="1:10">
      <c r="A481" t="str">
        <f>IF(LEFT(E481,1)="1","SOL",IF(LEFT(E481,1)="2","CO",IF(LEFT(E481,1)="3","ALM",IF(LEFT(E481,1)="4","FAC","TRX")))) &amp; "-" &amp; B481 &amp; "-" &amp; TEXT(COUNTIFS($E$2:$E481,E481,$B$2:$B481,B481),"000")</f>
        <v>CO-25-037</v>
      </c>
      <c r="B481">
        <v>25</v>
      </c>
      <c r="C481" s="18046">
        <v>46190</v>
      </c>
      <c r="D481" t="s">
        <v>1</v>
      </c>
      <c r="E481" t="s">
        <v>852</v>
      </c>
      <c r="F481" t="s">
        <v>224</v>
      </c>
      <c r="G481" s="3">
        <v>30</v>
      </c>
      <c r="H481" s="18047">
        <v>27</v>
      </c>
      <c r="I481" s="18047">
        <v>810</v>
      </c>
      <c r="J481" t="s">
        <v>851</v>
      </c>
    </row>
    <row r="482" spans="1:10">
      <c r="A482" t="str">
        <f>IF(LEFT(E482,1)="1","SOL",IF(LEFT(E482,1)="2","CO",IF(LEFT(E482,1)="3","ALM",IF(LEFT(E482,1)="4","FAC","TRX")))) &amp; "-" &amp; B482 &amp; "-" &amp; TEXT(COUNTIFS($E$2:$E482,E482,$B$2:$B482,B482),"000")</f>
        <v>CO-25-038</v>
      </c>
      <c r="B482">
        <v>25</v>
      </c>
      <c r="C482" s="18046">
        <v>46190</v>
      </c>
      <c r="D482" t="s">
        <v>1</v>
      </c>
      <c r="E482" t="s">
        <v>852</v>
      </c>
      <c r="F482" t="s">
        <v>216</v>
      </c>
      <c r="G482" s="3">
        <v>28</v>
      </c>
      <c r="H482" s="18047">
        <v>27</v>
      </c>
      <c r="I482" s="18047">
        <v>756</v>
      </c>
      <c r="J482" t="s">
        <v>851</v>
      </c>
    </row>
    <row r="483" spans="1:10">
      <c r="A483" t="str">
        <f>IF(LEFT(E483,1)="1","SOL",IF(LEFT(E483,1)="2","CO",IF(LEFT(E483,1)="3","ALM",IF(LEFT(E483,1)="4","FAC","TRX")))) &amp; "-" &amp; B483 &amp; "-" &amp; TEXT(COUNTIFS($E$2:$E483,E483,$B$2:$B483,B483),"000")</f>
        <v>CO-25-039</v>
      </c>
      <c r="B483">
        <v>25</v>
      </c>
      <c r="C483" s="18046">
        <v>46190</v>
      </c>
      <c r="D483" t="s">
        <v>1</v>
      </c>
      <c r="E483" t="s">
        <v>852</v>
      </c>
      <c r="F483" t="s">
        <v>228</v>
      </c>
      <c r="G483" s="3">
        <v>60</v>
      </c>
      <c r="H483" s="18047">
        <v>27</v>
      </c>
      <c r="I483" s="18047">
        <v>1620</v>
      </c>
      <c r="J483" t="s">
        <v>851</v>
      </c>
    </row>
    <row r="484" spans="1:10">
      <c r="A484" t="str">
        <f>IF(LEFT(E484,1)="1","SOL",IF(LEFT(E484,1)="2","CO",IF(LEFT(E484,1)="3","ALM",IF(LEFT(E484,1)="4","FAC","TRX")))) &amp; "-" &amp; B484 &amp; "-" &amp; TEXT(COUNTIFS($E$2:$E484,E484,$B$2:$B484,B484),"000")</f>
        <v>CO-25-040</v>
      </c>
      <c r="B484">
        <v>25</v>
      </c>
      <c r="C484" s="18046">
        <v>46190</v>
      </c>
      <c r="D484" t="s">
        <v>2</v>
      </c>
      <c r="E484" t="s">
        <v>852</v>
      </c>
      <c r="F484" t="s">
        <v>231</v>
      </c>
      <c r="G484" s="3">
        <v>80</v>
      </c>
      <c r="H484" s="18047">
        <v>27</v>
      </c>
      <c r="I484" s="18047">
        <v>2160</v>
      </c>
      <c r="J484" t="s">
        <v>851</v>
      </c>
    </row>
    <row r="485" spans="1:10">
      <c r="A485" t="str">
        <f>IF(LEFT(E485,1)="1","SOL",IF(LEFT(E485,1)="2","CO",IF(LEFT(E485,1)="3","ALM",IF(LEFT(E485,1)="4","FAC","TRX")))) &amp; "-" &amp; B485 &amp; "-" &amp; TEXT(COUNTIFS($E$2:$E485,E485,$B$2:$B485,B485),"000")</f>
        <v>CO-25-041</v>
      </c>
      <c r="B485">
        <v>25</v>
      </c>
      <c r="C485" s="18046">
        <v>46190</v>
      </c>
      <c r="D485" t="s">
        <v>111</v>
      </c>
      <c r="E485" t="s">
        <v>852</v>
      </c>
      <c r="F485" t="s">
        <v>221</v>
      </c>
      <c r="G485" s="3">
        <v>20</v>
      </c>
      <c r="H485" s="18047">
        <v>27</v>
      </c>
      <c r="I485" s="18047">
        <v>540</v>
      </c>
      <c r="J485" t="s">
        <v>851</v>
      </c>
    </row>
    <row r="486" spans="1:10">
      <c r="A486" t="str">
        <f>IF(LEFT(E486,1)="1","SOL",IF(LEFT(E486,1)="2","CO",IF(LEFT(E486,1)="3","ALM",IF(LEFT(E486,1)="4","FAC","TRX")))) &amp; "-" &amp; B486 &amp; "-" &amp; TEXT(COUNTIFS($E$2:$E486,E486,$B$2:$B486,B486),"000")</f>
        <v>CO-25-042</v>
      </c>
      <c r="B486">
        <v>25</v>
      </c>
      <c r="C486" s="18046">
        <v>46190</v>
      </c>
      <c r="D486" t="s">
        <v>124</v>
      </c>
      <c r="E486" t="s">
        <v>852</v>
      </c>
      <c r="F486" t="s">
        <v>240</v>
      </c>
      <c r="G486" s="3">
        <v>100</v>
      </c>
      <c r="H486" s="18047">
        <v>27</v>
      </c>
      <c r="I486" s="18047">
        <v>2700</v>
      </c>
      <c r="J486" t="s">
        <v>851</v>
      </c>
    </row>
    <row r="487" spans="1:10">
      <c r="A487" t="str">
        <f>IF(LEFT(E487,1)="1","SOL",IF(LEFT(E487,1)="2","CO",IF(LEFT(E487,1)="3","ALM",IF(LEFT(E487,1)="4","FAC","TRX")))) &amp; "-" &amp; B487 &amp; "-" &amp; TEXT(COUNTIFS($E$2:$E487,E487,$B$2:$B487,B487),"000")</f>
        <v>CO-25-043</v>
      </c>
      <c r="B487">
        <v>25</v>
      </c>
      <c r="C487" s="18046">
        <v>46190</v>
      </c>
      <c r="D487" t="s">
        <v>124</v>
      </c>
      <c r="E487" t="s">
        <v>852</v>
      </c>
      <c r="F487" t="s">
        <v>798</v>
      </c>
      <c r="G487" s="3">
        <v>200</v>
      </c>
      <c r="H487" s="18047">
        <v>27</v>
      </c>
      <c r="I487" s="18047">
        <v>5400</v>
      </c>
      <c r="J487" t="s">
        <v>851</v>
      </c>
    </row>
    <row r="488" spans="1:10">
      <c r="A488" t="str">
        <f>IF(LEFT(E488,1)="1","SOL",IF(LEFT(E488,1)="2","CO",IF(LEFT(E488,1)="3","ALM",IF(LEFT(E488,1)="4","FAC","TRX")))) &amp; "-" &amp; B488 &amp; "-" &amp; TEXT(COUNTIFS($E$2:$E488,E488,$B$2:$B488,B488),"000")</f>
        <v>CO-25-044</v>
      </c>
      <c r="B488">
        <v>25</v>
      </c>
      <c r="C488" s="18046">
        <v>46191</v>
      </c>
      <c r="D488" t="s">
        <v>1</v>
      </c>
      <c r="E488" t="s">
        <v>852</v>
      </c>
      <c r="F488" t="s">
        <v>386</v>
      </c>
      <c r="G488" s="3">
        <v>200</v>
      </c>
      <c r="H488" s="18047">
        <v>27</v>
      </c>
      <c r="I488" s="18047">
        <v>5400</v>
      </c>
      <c r="J488" t="s">
        <v>851</v>
      </c>
    </row>
    <row r="489" spans="1:10">
      <c r="A489" t="str">
        <f>IF(LEFT(E489,1)="1","SOL",IF(LEFT(E489,1)="2","CO",IF(LEFT(E489,1)="3","ALM",IF(LEFT(E489,1)="4","FAC","TRX")))) &amp; "-" &amp; B489 &amp; "-" &amp; TEXT(COUNTIFS($E$2:$E489,E489,$B$2:$B489,B489),"000")</f>
        <v>CO-25-045</v>
      </c>
      <c r="B489">
        <v>25</v>
      </c>
      <c r="C489" s="18046">
        <v>46191</v>
      </c>
      <c r="D489" t="s">
        <v>1</v>
      </c>
      <c r="E489" t="s">
        <v>852</v>
      </c>
      <c r="F489" t="s">
        <v>368</v>
      </c>
      <c r="G489" s="3">
        <v>115</v>
      </c>
      <c r="H489" s="18047">
        <v>27</v>
      </c>
      <c r="I489" s="18047">
        <v>3105</v>
      </c>
      <c r="J489" t="s">
        <v>851</v>
      </c>
    </row>
    <row r="490" spans="1:10">
      <c r="A490" t="str">
        <f>IF(LEFT(E490,1)="1","SOL",IF(LEFT(E490,1)="2","CO",IF(LEFT(E490,1)="3","ALM",IF(LEFT(E490,1)="4","FAC","TRX")))) &amp; "-" &amp; B490 &amp; "-" &amp; TEXT(COUNTIFS($E$2:$E490,E490,$B$2:$B490,B490),"000")</f>
        <v>CO-25-046</v>
      </c>
      <c r="B490">
        <v>25</v>
      </c>
      <c r="C490" s="18046">
        <v>46191</v>
      </c>
      <c r="D490" t="s">
        <v>1</v>
      </c>
      <c r="E490" t="s">
        <v>852</v>
      </c>
      <c r="F490" t="s">
        <v>224</v>
      </c>
      <c r="G490" s="3">
        <v>30</v>
      </c>
      <c r="H490" s="18047">
        <v>27</v>
      </c>
      <c r="I490" s="18047">
        <v>810</v>
      </c>
      <c r="J490" t="s">
        <v>851</v>
      </c>
    </row>
    <row r="491" spans="1:10">
      <c r="A491" t="str">
        <f>IF(LEFT(E491,1)="1","SOL",IF(LEFT(E491,1)="2","CO",IF(LEFT(E491,1)="3","ALM",IF(LEFT(E491,1)="4","FAC","TRX")))) &amp; "-" &amp; B491 &amp; "-" &amp; TEXT(COUNTIFS($E$2:$E491,E491,$B$2:$B491,B491),"000")</f>
        <v>CO-25-047</v>
      </c>
      <c r="B491">
        <v>25</v>
      </c>
      <c r="C491" s="18046">
        <v>46191</v>
      </c>
      <c r="D491" t="s">
        <v>1</v>
      </c>
      <c r="E491" t="s">
        <v>852</v>
      </c>
      <c r="F491" t="s">
        <v>221</v>
      </c>
      <c r="G491" s="3">
        <v>30</v>
      </c>
      <c r="H491" s="18047">
        <v>27</v>
      </c>
      <c r="I491" s="18047">
        <v>810</v>
      </c>
      <c r="J491" t="s">
        <v>851</v>
      </c>
    </row>
    <row r="492" spans="1:10">
      <c r="A492" t="str">
        <f>IF(LEFT(E492,1)="1","SOL",IF(LEFT(E492,1)="2","CO",IF(LEFT(E492,1)="3","ALM",IF(LEFT(E492,1)="4","FAC","TRX")))) &amp; "-" &amp; B492 &amp; "-" &amp; TEXT(COUNTIFS($E$2:$E492,E492,$B$2:$B492,B492),"000")</f>
        <v>CO-25-048</v>
      </c>
      <c r="B492">
        <v>25</v>
      </c>
      <c r="C492" s="18046">
        <v>46191</v>
      </c>
      <c r="D492" t="s">
        <v>1</v>
      </c>
      <c r="E492" t="s">
        <v>852</v>
      </c>
      <c r="F492" t="s">
        <v>228</v>
      </c>
      <c r="G492" s="3">
        <v>30</v>
      </c>
      <c r="H492" s="18047">
        <v>27</v>
      </c>
      <c r="I492" s="18047">
        <v>810</v>
      </c>
      <c r="J492" t="s">
        <v>851</v>
      </c>
    </row>
    <row r="493" spans="1:10">
      <c r="A493" t="str">
        <f>IF(LEFT(E493,1)="1","SOL",IF(LEFT(E493,1)="2","CO",IF(LEFT(E493,1)="3","ALM",IF(LEFT(E493,1)="4","FAC","TRX")))) &amp; "-" &amp; B493 &amp; "-" &amp; TEXT(COUNTIFS($E$2:$E493,E493,$B$2:$B493,B493),"000")</f>
        <v>CO-25-049</v>
      </c>
      <c r="B493">
        <v>25</v>
      </c>
      <c r="C493" s="18046">
        <v>46191</v>
      </c>
      <c r="D493" t="s">
        <v>1</v>
      </c>
      <c r="E493" t="s">
        <v>852</v>
      </c>
      <c r="F493" t="s">
        <v>383</v>
      </c>
      <c r="G493" s="3">
        <v>50</v>
      </c>
      <c r="H493" s="18047">
        <v>27</v>
      </c>
      <c r="I493" s="18047">
        <v>1350</v>
      </c>
      <c r="J493" t="s">
        <v>851</v>
      </c>
    </row>
    <row r="494" spans="1:10">
      <c r="A494" t="str">
        <f>IF(LEFT(E494,1)="1","SOL",IF(LEFT(E494,1)="2","CO",IF(LEFT(E494,1)="3","ALM",IF(LEFT(E494,1)="4","FAC","TRX")))) &amp; "-" &amp; B494 &amp; "-" &amp; TEXT(COUNTIFS($E$2:$E494,E494,$B$2:$B494,B494),"000")</f>
        <v>CO-25-050</v>
      </c>
      <c r="B494">
        <v>25</v>
      </c>
      <c r="C494" s="18046">
        <v>46191</v>
      </c>
      <c r="D494" t="s">
        <v>124</v>
      </c>
      <c r="E494" t="s">
        <v>852</v>
      </c>
      <c r="F494" t="s">
        <v>240</v>
      </c>
      <c r="G494" s="3">
        <v>200</v>
      </c>
      <c r="H494" s="18047">
        <v>27</v>
      </c>
      <c r="I494" s="18047">
        <v>5400</v>
      </c>
      <c r="J494" t="s">
        <v>851</v>
      </c>
    </row>
    <row r="495" spans="1:10">
      <c r="A495" t="str">
        <f>IF(LEFT(E495,1)="1","SOL",IF(LEFT(E495,1)="2","CO",IF(LEFT(E495,1)="3","ALM",IF(LEFT(E495,1)="4","FAC","TRX")))) &amp; "-" &amp; B495 &amp; "-" &amp; TEXT(COUNTIFS($E$2:$E495,E495,$B$2:$B495,B495),"000")</f>
        <v>CO-25-051</v>
      </c>
      <c r="B495">
        <v>25</v>
      </c>
      <c r="C495" s="18046">
        <v>46191</v>
      </c>
      <c r="D495" t="s">
        <v>124</v>
      </c>
      <c r="E495" t="s">
        <v>852</v>
      </c>
      <c r="F495" t="s">
        <v>248</v>
      </c>
      <c r="G495" s="3">
        <v>100</v>
      </c>
      <c r="H495" s="18047">
        <v>27</v>
      </c>
      <c r="I495" s="18047">
        <v>2700</v>
      </c>
      <c r="J495" t="s">
        <v>851</v>
      </c>
    </row>
    <row r="496" spans="1:10">
      <c r="A496" t="str">
        <f>IF(LEFT(E496,1)="1","SOL",IF(LEFT(E496,1)="2","CO",IF(LEFT(E496,1)="3","ALM",IF(LEFT(E496,1)="4","FAC","TRX")))) &amp; "-" &amp; B496 &amp; "-" &amp; TEXT(COUNTIFS($E$2:$E496,E496,$B$2:$B496,B496),"000")</f>
        <v>CO-25-052</v>
      </c>
      <c r="B496">
        <v>25</v>
      </c>
      <c r="C496" s="18046">
        <v>46191</v>
      </c>
      <c r="D496" t="s">
        <v>124</v>
      </c>
      <c r="E496" t="s">
        <v>852</v>
      </c>
      <c r="F496" t="s">
        <v>241</v>
      </c>
      <c r="G496" s="3">
        <v>100</v>
      </c>
      <c r="H496" s="18047">
        <v>27</v>
      </c>
      <c r="I496" s="18047">
        <v>2700</v>
      </c>
      <c r="J496" t="s">
        <v>851</v>
      </c>
    </row>
    <row r="497" spans="1:10">
      <c r="A497" t="str">
        <f>IF(LEFT(E497,1)="1","SOL",IF(LEFT(E497,1)="2","CO",IF(LEFT(E497,1)="3","ALM",IF(LEFT(E497,1)="4","FAC","TRX")))) &amp; "-" &amp; B497 &amp; "-" &amp; TEXT(COUNTIFS($E$2:$E497,E497,$B$2:$B497,B497),"000")</f>
        <v>CO-25-053</v>
      </c>
      <c r="B497">
        <v>25</v>
      </c>
      <c r="C497" s="18046">
        <v>46191</v>
      </c>
      <c r="D497" t="s">
        <v>124</v>
      </c>
      <c r="E497" t="s">
        <v>852</v>
      </c>
      <c r="F497" t="s">
        <v>245</v>
      </c>
      <c r="G497" s="3">
        <v>100</v>
      </c>
      <c r="H497" s="18047">
        <v>27</v>
      </c>
      <c r="I497" s="18047">
        <v>2700</v>
      </c>
      <c r="J497" t="s">
        <v>851</v>
      </c>
    </row>
    <row r="498" spans="1:10">
      <c r="A498" t="str">
        <f>IF(LEFT(E498,1)="1","SOL",IF(LEFT(E498,1)="2","CO",IF(LEFT(E498,1)="3","ALM",IF(LEFT(E498,1)="4","FAC","TRX")))) &amp; "-" &amp; B498 &amp; "-" &amp; TEXT(COUNTIFS($E$2:$E498,E498,$B$2:$B498,B498),"000")</f>
        <v>CO-25-054</v>
      </c>
      <c r="B498">
        <v>25</v>
      </c>
      <c r="C498" s="18046">
        <v>46192</v>
      </c>
      <c r="D498" t="s">
        <v>2</v>
      </c>
      <c r="E498" t="s">
        <v>852</v>
      </c>
      <c r="F498" t="s">
        <v>383</v>
      </c>
      <c r="G498" s="3">
        <v>40</v>
      </c>
      <c r="H498" s="18047">
        <v>27</v>
      </c>
      <c r="I498" s="18047">
        <v>1080</v>
      </c>
      <c r="J498" t="s">
        <v>851</v>
      </c>
    </row>
    <row r="499" spans="1:10">
      <c r="A499" t="str">
        <f>IF(LEFT(E499,1)="1","SOL",IF(LEFT(E499,1)="2","CO",IF(LEFT(E499,1)="3","ALM",IF(LEFT(E499,1)="4","FAC","TRX")))) &amp; "-" &amp; B499 &amp; "-" &amp; TEXT(COUNTIFS($E$2:$E499,E499,$B$2:$B499,B499),"000")</f>
        <v>CO-25-055</v>
      </c>
      <c r="B499">
        <v>25</v>
      </c>
      <c r="C499" s="18046">
        <v>46192</v>
      </c>
      <c r="D499" t="s">
        <v>159</v>
      </c>
      <c r="E499" t="s">
        <v>852</v>
      </c>
      <c r="F499" t="s">
        <v>383</v>
      </c>
      <c r="G499" s="3">
        <v>40</v>
      </c>
      <c r="H499" s="18047">
        <v>27</v>
      </c>
      <c r="I499" s="18047">
        <v>1080</v>
      </c>
      <c r="J499" t="s">
        <v>851</v>
      </c>
    </row>
    <row r="500" spans="1:10">
      <c r="A500" t="str">
        <f>IF(LEFT(E500,1)="1","SOL",IF(LEFT(E500,1)="2","CO",IF(LEFT(E500,1)="3","ALM",IF(LEFT(E500,1)="4","FAC","TRX")))) &amp; "-" &amp; B500 &amp; "-" &amp; TEXT(COUNTIFS($E$2:$E500,E500,$B$2:$B500,B500),"000")</f>
        <v>CO-25-056</v>
      </c>
      <c r="B500">
        <v>25</v>
      </c>
      <c r="C500" s="18046">
        <v>46192</v>
      </c>
      <c r="D500" t="s">
        <v>2</v>
      </c>
      <c r="E500" t="s">
        <v>852</v>
      </c>
      <c r="F500" t="s">
        <v>217</v>
      </c>
      <c r="G500" s="3">
        <v>43</v>
      </c>
      <c r="H500" s="18047">
        <v>27</v>
      </c>
      <c r="I500" s="18047">
        <v>1161</v>
      </c>
      <c r="J500" t="s">
        <v>851</v>
      </c>
    </row>
    <row r="501" spans="1:10">
      <c r="A501" t="str">
        <f>IF(LEFT(E501,1)="1","SOL",IF(LEFT(E501,1)="2","CO",IF(LEFT(E501,1)="3","ALM",IF(LEFT(E501,1)="4","FAC","TRX")))) &amp; "-" &amp; B501 &amp; "-" &amp; TEXT(COUNTIFS($E$2:$E501,E501,$B$2:$B501,B501),"000")</f>
        <v>CO-25-057</v>
      </c>
      <c r="B501">
        <v>25</v>
      </c>
      <c r="C501" s="18046">
        <v>46192</v>
      </c>
      <c r="D501" t="s">
        <v>2</v>
      </c>
      <c r="E501" t="s">
        <v>852</v>
      </c>
      <c r="F501" t="s">
        <v>221</v>
      </c>
      <c r="G501" s="3">
        <v>50</v>
      </c>
      <c r="H501" s="18047">
        <v>27</v>
      </c>
      <c r="I501" s="18047">
        <v>1350</v>
      </c>
      <c r="J501" t="s">
        <v>851</v>
      </c>
    </row>
    <row r="502" spans="1:10">
      <c r="A502" t="str">
        <f>IF(LEFT(E502,1)="1","SOL",IF(LEFT(E502,1)="2","CO",IF(LEFT(E502,1)="3","ALM",IF(LEFT(E502,1)="4","FAC","TRX")))) &amp; "-" &amp; B502 &amp; "-" &amp; TEXT(COUNTIFS($E$2:$E502,E502,$B$2:$B502,B502),"000")</f>
        <v>CO-25-058</v>
      </c>
      <c r="B502">
        <v>25</v>
      </c>
      <c r="C502" s="18046">
        <v>46192</v>
      </c>
      <c r="D502" t="s">
        <v>2</v>
      </c>
      <c r="E502" t="s">
        <v>852</v>
      </c>
      <c r="F502" t="s">
        <v>228</v>
      </c>
      <c r="G502" s="3">
        <v>80</v>
      </c>
      <c r="H502" s="18047">
        <v>27</v>
      </c>
      <c r="I502" s="18047">
        <v>2160</v>
      </c>
      <c r="J502" t="s">
        <v>851</v>
      </c>
    </row>
    <row r="503" spans="1:10">
      <c r="A503" t="str">
        <f>IF(LEFT(E503,1)="1","SOL",IF(LEFT(E503,1)="2","CO",IF(LEFT(E503,1)="3","ALM",IF(LEFT(E503,1)="4","FAC","TRX")))) &amp; "-" &amp; B503 &amp; "-" &amp; TEXT(COUNTIFS($E$2:$E503,E503,$B$2:$B503,B503),"000")</f>
        <v>CO-25-059</v>
      </c>
      <c r="B503">
        <v>25</v>
      </c>
      <c r="C503" s="18046">
        <v>46192</v>
      </c>
      <c r="D503" t="s">
        <v>2</v>
      </c>
      <c r="E503" t="s">
        <v>852</v>
      </c>
      <c r="F503" t="s">
        <v>223</v>
      </c>
      <c r="G503" s="3">
        <v>30</v>
      </c>
      <c r="H503" s="18047">
        <v>27</v>
      </c>
      <c r="I503" s="18047">
        <v>810</v>
      </c>
      <c r="J503" t="s">
        <v>851</v>
      </c>
    </row>
    <row r="504" spans="1:10">
      <c r="A504" t="str">
        <f>IF(LEFT(E504,1)="1","SOL",IF(LEFT(E504,1)="2","CO",IF(LEFT(E504,1)="3","ALM",IF(LEFT(E504,1)="4","FAC","TRX")))) &amp; "-" &amp; B504 &amp; "-" &amp; TEXT(COUNTIFS($E$2:$E504,E504,$B$2:$B504,B504),"000")</f>
        <v>CO-25-060</v>
      </c>
      <c r="B504">
        <v>25</v>
      </c>
      <c r="C504" s="18046">
        <v>46192</v>
      </c>
      <c r="D504" t="s">
        <v>2</v>
      </c>
      <c r="E504" t="s">
        <v>852</v>
      </c>
      <c r="F504" t="s">
        <v>365</v>
      </c>
      <c r="G504" s="3">
        <v>160</v>
      </c>
      <c r="H504" s="18047">
        <v>27</v>
      </c>
      <c r="I504" s="18047">
        <v>4320</v>
      </c>
      <c r="J504" t="s">
        <v>851</v>
      </c>
    </row>
    <row r="505" spans="1:10">
      <c r="A505" t="str">
        <f>IF(LEFT(E505,1)="1","SOL",IF(LEFT(E505,1)="2","CO",IF(LEFT(E505,1)="3","ALM",IF(LEFT(E505,1)="4","FAC","TRX")))) &amp; "-" &amp; B505 &amp; "-" &amp; TEXT(COUNTIFS($E$2:$E505,E505,$B$2:$B505,B505),"000")</f>
        <v>CO-25-061</v>
      </c>
      <c r="B505">
        <v>25</v>
      </c>
      <c r="C505" s="18046">
        <v>46192</v>
      </c>
      <c r="D505" t="s">
        <v>2</v>
      </c>
      <c r="E505" t="s">
        <v>852</v>
      </c>
      <c r="F505" t="s">
        <v>235</v>
      </c>
      <c r="G505" s="3">
        <v>50</v>
      </c>
      <c r="H505" s="18047">
        <v>27</v>
      </c>
      <c r="I505" s="18047">
        <v>1350</v>
      </c>
      <c r="J505" t="s">
        <v>851</v>
      </c>
    </row>
    <row r="506" spans="1:10">
      <c r="A506" t="str">
        <f>IF(LEFT(E506,1)="1","SOL",IF(LEFT(E506,1)="2","CO",IF(LEFT(E506,1)="3","ALM",IF(LEFT(E506,1)="4","FAC","TRX")))) &amp; "-" &amp; B506 &amp; "-" &amp; TEXT(COUNTIFS($E$2:$E506,E506,$B$2:$B506,B506),"000")</f>
        <v>CO-25-062</v>
      </c>
      <c r="B506">
        <v>25</v>
      </c>
      <c r="C506" s="18046">
        <v>46192</v>
      </c>
      <c r="D506" t="s">
        <v>111</v>
      </c>
      <c r="E506" t="s">
        <v>852</v>
      </c>
      <c r="F506" t="s">
        <v>209</v>
      </c>
      <c r="G506" s="3">
        <v>60</v>
      </c>
      <c r="H506" s="18047">
        <v>27</v>
      </c>
      <c r="I506" s="18047">
        <v>1620</v>
      </c>
      <c r="J506" t="s">
        <v>851</v>
      </c>
    </row>
    <row r="507" spans="1:10">
      <c r="A507" t="str">
        <f>IF(LEFT(E507,1)="1","SOL",IF(LEFT(E507,1)="2","CO",IF(LEFT(E507,1)="3","ALM",IF(LEFT(E507,1)="4","FAC","TRX")))) &amp; "-" &amp; B507 &amp; "-" &amp; TEXT(COUNTIFS($E$2:$E507,E507,$B$2:$B507,B507),"000")</f>
        <v>CO-25-063</v>
      </c>
      <c r="B507">
        <v>25</v>
      </c>
      <c r="C507" s="18046">
        <v>46192</v>
      </c>
      <c r="D507" t="s">
        <v>1</v>
      </c>
      <c r="E507" t="s">
        <v>852</v>
      </c>
      <c r="F507" t="s">
        <v>368</v>
      </c>
      <c r="G507" s="3">
        <v>120</v>
      </c>
      <c r="H507" s="18047">
        <v>27</v>
      </c>
      <c r="I507" s="18047">
        <v>3240</v>
      </c>
      <c r="J507" t="s">
        <v>851</v>
      </c>
    </row>
    <row r="508" spans="1:10">
      <c r="A508" t="str">
        <f>IF(LEFT(E508,1)="1","SOL",IF(LEFT(E508,1)="2","CO",IF(LEFT(E508,1)="3","ALM",IF(LEFT(E508,1)="4","FAC","TRX")))) &amp; "-" &amp; B508 &amp; "-" &amp; TEXT(COUNTIFS($E$2:$E508,E508,$B$2:$B508,B508),"000")</f>
        <v>CO-25-064</v>
      </c>
      <c r="B508">
        <v>25</v>
      </c>
      <c r="C508" s="18046">
        <v>46192</v>
      </c>
      <c r="D508" t="s">
        <v>1</v>
      </c>
      <c r="E508" t="s">
        <v>852</v>
      </c>
      <c r="F508" t="s">
        <v>221</v>
      </c>
      <c r="G508" s="3">
        <v>30</v>
      </c>
      <c r="H508" s="18047">
        <v>27</v>
      </c>
      <c r="I508" s="18047">
        <v>810</v>
      </c>
      <c r="J508" t="s">
        <v>851</v>
      </c>
    </row>
    <row r="509" spans="1:10">
      <c r="A509" t="str">
        <f>IF(LEFT(E509,1)="1","SOL",IF(LEFT(E509,1)="2","CO",IF(LEFT(E509,1)="3","ALM",IF(LEFT(E509,1)="4","FAC","TRX")))) &amp; "-" &amp; B509 &amp; "-" &amp; TEXT(COUNTIFS($E$2:$E509,E509,$B$2:$B509,B509),"000")</f>
        <v>CO-25-065</v>
      </c>
      <c r="B509">
        <v>25</v>
      </c>
      <c r="C509" s="18046">
        <v>46192</v>
      </c>
      <c r="D509" t="s">
        <v>1</v>
      </c>
      <c r="E509" t="s">
        <v>852</v>
      </c>
      <c r="F509" t="s">
        <v>224</v>
      </c>
      <c r="G509" s="3">
        <v>84</v>
      </c>
      <c r="H509" s="18047">
        <v>27</v>
      </c>
      <c r="I509" s="18047">
        <v>2268</v>
      </c>
      <c r="J509" t="s">
        <v>851</v>
      </c>
    </row>
    <row r="510" spans="1:10">
      <c r="A510" t="str">
        <f>IF(LEFT(E510,1)="1","SOL",IF(LEFT(E510,1)="2","CO",IF(LEFT(E510,1)="3","ALM",IF(LEFT(E510,1)="4","FAC","TRX")))) &amp; "-" &amp; B510 &amp; "-" &amp; TEXT(COUNTIFS($E$2:$E510,E510,$B$2:$B510,B510),"000")</f>
        <v>CO-25-066</v>
      </c>
      <c r="B510">
        <v>25</v>
      </c>
      <c r="C510" s="18046">
        <v>46192</v>
      </c>
      <c r="D510" t="s">
        <v>1</v>
      </c>
      <c r="E510" t="s">
        <v>852</v>
      </c>
      <c r="F510" t="s">
        <v>228</v>
      </c>
      <c r="G510" s="3">
        <v>40</v>
      </c>
      <c r="H510" s="18047">
        <v>27</v>
      </c>
      <c r="I510" s="18047">
        <v>1080</v>
      </c>
      <c r="J510" t="s">
        <v>851</v>
      </c>
    </row>
    <row r="511" spans="1:10">
      <c r="A511" t="str">
        <f>IF(LEFT(E511,1)="1","SOL",IF(LEFT(E511,1)="2","CO",IF(LEFT(E511,1)="3","ALM",IF(LEFT(E511,1)="4","FAC","TRX")))) &amp; "-" &amp; B511 &amp; "-" &amp; TEXT(COUNTIFS($E$2:$E511,E511,$B$2:$B511,B511),"000")</f>
        <v>CO-25-067</v>
      </c>
      <c r="B511">
        <v>25</v>
      </c>
      <c r="C511" s="18046">
        <v>46192</v>
      </c>
      <c r="D511" t="s">
        <v>1</v>
      </c>
      <c r="E511" t="s">
        <v>852</v>
      </c>
      <c r="F511" t="s">
        <v>216</v>
      </c>
      <c r="G511" s="3">
        <v>30</v>
      </c>
      <c r="H511" s="18047">
        <v>27</v>
      </c>
      <c r="I511" s="18047">
        <v>810</v>
      </c>
      <c r="J511" t="s">
        <v>851</v>
      </c>
    </row>
    <row r="512" spans="1:10">
      <c r="A512" t="str">
        <f>IF(LEFT(E512,1)="1","SOL",IF(LEFT(E512,1)="2","CO",IF(LEFT(E512,1)="3","ALM",IF(LEFT(E512,1)="4","FAC","TRX")))) &amp; "-" &amp; B512 &amp; "-" &amp; TEXT(COUNTIFS($E$2:$E512,E512,$B$2:$B512,B512),"000")</f>
        <v>CO-25-068</v>
      </c>
      <c r="B512">
        <v>25</v>
      </c>
      <c r="C512" s="18046">
        <v>46192</v>
      </c>
      <c r="D512" t="s">
        <v>111</v>
      </c>
      <c r="E512" t="s">
        <v>852</v>
      </c>
      <c r="F512" t="s">
        <v>209</v>
      </c>
      <c r="G512" s="3">
        <v>50</v>
      </c>
      <c r="H512" s="18047">
        <v>27</v>
      </c>
      <c r="I512" s="18047">
        <v>1350</v>
      </c>
      <c r="J512" t="s">
        <v>851</v>
      </c>
    </row>
    <row r="513" spans="1:10">
      <c r="A513" t="str">
        <f>IF(LEFT(E513,1)="1","SOL",IF(LEFT(E513,1)="2","CO",IF(LEFT(E513,1)="3","ALM",IF(LEFT(E513,1)="4","FAC","TRX")))) &amp; "-" &amp; B513 &amp; "-" &amp; TEXT(COUNTIFS($E$2:$E513,E513,$B$2:$B513,B513),"000")</f>
        <v>CO-25-069</v>
      </c>
      <c r="B513">
        <v>25</v>
      </c>
      <c r="C513" s="18046">
        <v>46192</v>
      </c>
      <c r="D513" t="s">
        <v>111</v>
      </c>
      <c r="E513" t="s">
        <v>852</v>
      </c>
      <c r="F513" t="s">
        <v>250</v>
      </c>
      <c r="G513" s="3">
        <v>10</v>
      </c>
      <c r="H513" s="18047">
        <v>27</v>
      </c>
      <c r="I513" s="18047">
        <v>270</v>
      </c>
      <c r="J513" t="s">
        <v>851</v>
      </c>
    </row>
    <row r="514" spans="1:10">
      <c r="A514" t="str">
        <f>IF(LEFT(E514,1)="1","SOL",IF(LEFT(E514,1)="2","CO",IF(LEFT(E514,1)="3","ALM",IF(LEFT(E514,1)="4","FAC","TRX")))) &amp; "-" &amp; B514 &amp; "-" &amp; TEXT(COUNTIFS($E$2:$E514,E514,$B$2:$B514,B514),"000")</f>
        <v>CO-26-001</v>
      </c>
      <c r="B514">
        <v>26</v>
      </c>
      <c r="C514" s="18046">
        <v>46195</v>
      </c>
      <c r="D514" t="s">
        <v>1</v>
      </c>
      <c r="E514" t="s">
        <v>852</v>
      </c>
      <c r="F514" t="s">
        <v>211</v>
      </c>
      <c r="G514" s="3">
        <v>106</v>
      </c>
      <c r="H514" s="18047">
        <v>27</v>
      </c>
      <c r="I514" s="18047">
        <v>2862</v>
      </c>
      <c r="J514" t="s">
        <v>851</v>
      </c>
    </row>
    <row r="515" spans="1:10">
      <c r="A515" t="str">
        <f>IF(LEFT(E515,1)="1","SOL",IF(LEFT(E515,1)="2","CO",IF(LEFT(E515,1)="3","ALM",IF(LEFT(E515,1)="4","FAC","TRX")))) &amp; "-" &amp; B515 &amp; "-" &amp; TEXT(COUNTIFS($E$2:$E515,E515,$B$2:$B515,B515),"000")</f>
        <v>CO-26-002</v>
      </c>
      <c r="B515">
        <v>26</v>
      </c>
      <c r="C515" s="18046">
        <v>46195</v>
      </c>
      <c r="D515" t="s">
        <v>1</v>
      </c>
      <c r="E515" t="s">
        <v>852</v>
      </c>
      <c r="F515" t="s">
        <v>224</v>
      </c>
      <c r="G515" s="3">
        <v>50</v>
      </c>
      <c r="H515" s="18047">
        <v>27</v>
      </c>
      <c r="I515" s="18047">
        <v>1350</v>
      </c>
      <c r="J515" t="s">
        <v>851</v>
      </c>
    </row>
    <row r="516" spans="1:10">
      <c r="A516" t="str">
        <f>IF(LEFT(E516,1)="1","SOL",IF(LEFT(E516,1)="2","CO",IF(LEFT(E516,1)="3","ALM",IF(LEFT(E516,1)="4","FAC","TRX")))) &amp; "-" &amp; B516 &amp; "-" &amp; TEXT(COUNTIFS($E$2:$E516,E516,$B$2:$B516,B516),"000")</f>
        <v>CO-26-003</v>
      </c>
      <c r="B516">
        <v>26</v>
      </c>
      <c r="C516" s="18046">
        <v>46195</v>
      </c>
      <c r="D516" t="s">
        <v>1</v>
      </c>
      <c r="E516" t="s">
        <v>852</v>
      </c>
      <c r="F516" t="s">
        <v>219</v>
      </c>
      <c r="G516" s="3">
        <v>50</v>
      </c>
      <c r="H516" s="18047">
        <v>27</v>
      </c>
      <c r="I516" s="18047">
        <v>1350</v>
      </c>
      <c r="J516" t="s">
        <v>851</v>
      </c>
    </row>
    <row r="517" spans="1:10">
      <c r="A517" t="str">
        <f>IF(LEFT(E517,1)="1","SOL",IF(LEFT(E517,1)="2","CO",IF(LEFT(E517,1)="3","ALM",IF(LEFT(E517,1)="4","FAC","TRX")))) &amp; "-" &amp; B517 &amp; "-" &amp; TEXT(COUNTIFS($E$2:$E517,E517,$B$2:$B517,B517),"000")</f>
        <v>CO-26-004</v>
      </c>
      <c r="B517">
        <v>26</v>
      </c>
      <c r="C517" s="18046">
        <v>46195</v>
      </c>
      <c r="D517" t="s">
        <v>1</v>
      </c>
      <c r="E517" t="s">
        <v>852</v>
      </c>
      <c r="F517" t="s">
        <v>210</v>
      </c>
      <c r="G517" s="3">
        <v>60</v>
      </c>
      <c r="H517" s="18047">
        <v>27</v>
      </c>
      <c r="I517" s="18047">
        <v>1620</v>
      </c>
      <c r="J517" t="s">
        <v>851</v>
      </c>
    </row>
    <row r="518" spans="1:10">
      <c r="A518" t="str">
        <f>IF(LEFT(E518,1)="1","SOL",IF(LEFT(E518,1)="2","CO",IF(LEFT(E518,1)="3","ALM",IF(LEFT(E518,1)="4","FAC","TRX")))) &amp; "-" &amp; B518 &amp; "-" &amp; TEXT(COUNTIFS($E$2:$E518,E518,$B$2:$B518,B518),"000")</f>
        <v>CO-26-005</v>
      </c>
      <c r="B518">
        <v>26</v>
      </c>
      <c r="C518" s="18046">
        <v>46195</v>
      </c>
      <c r="D518" t="s">
        <v>1</v>
      </c>
      <c r="E518" t="s">
        <v>852</v>
      </c>
      <c r="F518" t="s">
        <v>214</v>
      </c>
      <c r="G518" s="3">
        <v>250</v>
      </c>
      <c r="H518" s="18047">
        <v>27</v>
      </c>
      <c r="I518" s="18047">
        <v>6750</v>
      </c>
      <c r="J518" t="s">
        <v>851</v>
      </c>
    </row>
    <row r="519" spans="1:10">
      <c r="A519" t="str">
        <f>IF(LEFT(E519,1)="1","SOL",IF(LEFT(E519,1)="2","CO",IF(LEFT(E519,1)="3","ALM",IF(LEFT(E519,1)="4","FAC","TRX")))) &amp; "-" &amp; B519 &amp; "-" &amp; TEXT(COUNTIFS($E$2:$E519,E519,$B$2:$B519,B519),"000")</f>
        <v>CO-26-006</v>
      </c>
      <c r="B519">
        <v>26</v>
      </c>
      <c r="C519" s="18046">
        <v>46195</v>
      </c>
      <c r="D519" t="s">
        <v>2</v>
      </c>
      <c r="E519" t="s">
        <v>852</v>
      </c>
      <c r="F519" t="s">
        <v>234</v>
      </c>
      <c r="G519" s="3">
        <v>40</v>
      </c>
      <c r="H519" s="18047">
        <v>27</v>
      </c>
      <c r="I519" s="18047">
        <v>1080</v>
      </c>
      <c r="J519" t="s">
        <v>851</v>
      </c>
    </row>
    <row r="520" spans="1:10">
      <c r="A520" t="str">
        <f>IF(LEFT(E520,1)="1","SOL",IF(LEFT(E520,1)="2","CO",IF(LEFT(E520,1)="3","ALM",IF(LEFT(E520,1)="4","FAC","TRX")))) &amp; "-" &amp; B520 &amp; "-" &amp; TEXT(COUNTIFS($E$2:$E520,E520,$B$2:$B520,B520),"000")</f>
        <v>CO-26-007</v>
      </c>
      <c r="B520">
        <v>26</v>
      </c>
      <c r="C520" s="18046">
        <v>46195</v>
      </c>
      <c r="D520" t="s">
        <v>159</v>
      </c>
      <c r="E520" t="s">
        <v>852</v>
      </c>
      <c r="F520" t="s">
        <v>234</v>
      </c>
      <c r="G520" s="3">
        <v>40</v>
      </c>
      <c r="H520" s="18047">
        <v>27</v>
      </c>
      <c r="I520" s="18047">
        <v>1080</v>
      </c>
      <c r="J520" t="s">
        <v>851</v>
      </c>
    </row>
    <row r="521" spans="1:10">
      <c r="A521" t="str">
        <f>IF(LEFT(E521,1)="1","SOL",IF(LEFT(E521,1)="2","CO",IF(LEFT(E521,1)="3","ALM",IF(LEFT(E521,1)="4","FAC","TRX")))) &amp; "-" &amp; B521 &amp; "-" &amp; TEXT(COUNTIFS($E$2:$E521,E521,$B$2:$B521,B521),"000")</f>
        <v>CO-26-008</v>
      </c>
      <c r="B521">
        <v>26</v>
      </c>
      <c r="C521" s="18046">
        <v>46195</v>
      </c>
      <c r="D521" t="s">
        <v>111</v>
      </c>
      <c r="E521" t="s">
        <v>852</v>
      </c>
      <c r="F521" t="s">
        <v>237</v>
      </c>
      <c r="G521" s="3">
        <v>110</v>
      </c>
      <c r="H521" s="18047">
        <v>27</v>
      </c>
      <c r="I521" s="18047">
        <v>2970</v>
      </c>
      <c r="J521" t="s">
        <v>851</v>
      </c>
    </row>
    <row r="522" spans="1:10">
      <c r="A522" t="str">
        <f>IF(LEFT(E522,1)="1","SOL",IF(LEFT(E522,1)="2","CO",IF(LEFT(E522,1)="3","ALM",IF(LEFT(E522,1)="4","FAC","TRX")))) &amp; "-" &amp; B522 &amp; "-" &amp; TEXT(COUNTIFS($E$2:$E522,E522,$B$2:$B522,B522),"000")</f>
        <v>CO-26-009</v>
      </c>
      <c r="B522">
        <v>26</v>
      </c>
      <c r="C522" s="18046">
        <v>46195</v>
      </c>
      <c r="D522" t="s">
        <v>2</v>
      </c>
      <c r="E522" t="s">
        <v>852</v>
      </c>
      <c r="F522" t="s">
        <v>222</v>
      </c>
      <c r="G522" s="3">
        <v>50</v>
      </c>
      <c r="H522" s="18047">
        <v>27</v>
      </c>
      <c r="I522" s="18047">
        <v>1350</v>
      </c>
      <c r="J522" t="s">
        <v>851</v>
      </c>
    </row>
    <row r="523" spans="1:10">
      <c r="A523" t="str">
        <f>IF(LEFT(E523,1)="1","SOL",IF(LEFT(E523,1)="2","CO",IF(LEFT(E523,1)="3","ALM",IF(LEFT(E523,1)="4","FAC","TRX")))) &amp; "-" &amp; B523 &amp; "-" &amp; TEXT(COUNTIFS($E$2:$E523,E523,$B$2:$B523,B523),"000")</f>
        <v>CO-26-010</v>
      </c>
      <c r="B523">
        <v>26</v>
      </c>
      <c r="C523" s="18046">
        <v>46195</v>
      </c>
      <c r="D523" t="s">
        <v>1</v>
      </c>
      <c r="E523" t="s">
        <v>852</v>
      </c>
      <c r="F523" t="s">
        <v>215</v>
      </c>
      <c r="G523" s="3">
        <v>250</v>
      </c>
      <c r="H523" s="18047">
        <v>27</v>
      </c>
      <c r="I523" s="18047">
        <v>6750</v>
      </c>
      <c r="J523" t="s">
        <v>851</v>
      </c>
    </row>
    <row r="524" spans="1:10">
      <c r="A524" t="str">
        <f>IF(LEFT(E524,1)="1","SOL",IF(LEFT(E524,1)="2","CO",IF(LEFT(E524,1)="3","ALM",IF(LEFT(E524,1)="4","FAC","TRX")))) &amp; "-" &amp; B524 &amp; "-" &amp; TEXT(COUNTIFS($E$2:$E524,E524,$B$2:$B524,B524),"000")</f>
        <v>CO-26-011</v>
      </c>
      <c r="B524">
        <v>26</v>
      </c>
      <c r="C524" s="18046">
        <v>46195</v>
      </c>
      <c r="D524" t="s">
        <v>2</v>
      </c>
      <c r="E524" t="s">
        <v>852</v>
      </c>
      <c r="F524" t="s">
        <v>223</v>
      </c>
      <c r="G524" s="3">
        <v>50</v>
      </c>
      <c r="H524" s="18047">
        <v>27</v>
      </c>
      <c r="I524" s="18047">
        <v>1350</v>
      </c>
      <c r="J524" t="s">
        <v>851</v>
      </c>
    </row>
    <row r="525" spans="1:10">
      <c r="A525" t="str">
        <f>IF(LEFT(E525,1)="1","SOL",IF(LEFT(E525,1)="2","CO",IF(LEFT(E525,1)="3","ALM",IF(LEFT(E525,1)="4","FAC","TRX")))) &amp; "-" &amp; B525 &amp; "-" &amp; TEXT(COUNTIFS($E$2:$E525,E525,$B$2:$B525,B525),"000")</f>
        <v>CO-26-012</v>
      </c>
      <c r="B525">
        <v>26</v>
      </c>
      <c r="C525" s="18046">
        <v>46195</v>
      </c>
      <c r="D525" t="s">
        <v>2</v>
      </c>
      <c r="E525" t="s">
        <v>852</v>
      </c>
      <c r="F525" t="s">
        <v>213</v>
      </c>
      <c r="G525" s="3">
        <v>162</v>
      </c>
      <c r="H525" s="18047">
        <v>27</v>
      </c>
      <c r="I525" s="18047">
        <v>4374</v>
      </c>
      <c r="J525" t="s">
        <v>851</v>
      </c>
    </row>
    <row r="526" spans="1:10">
      <c r="A526" t="str">
        <f>IF(LEFT(E526,1)="1","SOL",IF(LEFT(E526,1)="2","CO",IF(LEFT(E526,1)="3","ALM",IF(LEFT(E526,1)="4","FAC","TRX")))) &amp; "-" &amp; B526 &amp; "-" &amp; TEXT(COUNTIFS($E$2:$E526,E526,$B$2:$B526,B526),"000")</f>
        <v>CO-26-013</v>
      </c>
      <c r="B526">
        <v>26</v>
      </c>
      <c r="C526" s="18046">
        <v>46195</v>
      </c>
      <c r="D526" t="s">
        <v>2</v>
      </c>
      <c r="E526" t="s">
        <v>852</v>
      </c>
      <c r="F526" t="s">
        <v>235</v>
      </c>
      <c r="G526" s="3">
        <v>50</v>
      </c>
      <c r="H526" s="18047">
        <v>27</v>
      </c>
      <c r="I526" s="18047">
        <v>1350</v>
      </c>
      <c r="J526" t="s">
        <v>851</v>
      </c>
    </row>
    <row r="527" spans="1:10">
      <c r="A527" t="str">
        <f>IF(LEFT(E527,1)="1","SOL",IF(LEFT(E527,1)="2","CO",IF(LEFT(E527,1)="3","ALM",IF(LEFT(E527,1)="4","FAC","TRX")))) &amp; "-" &amp; B527 &amp; "-" &amp; TEXT(COUNTIFS($E$2:$E527,E527,$B$2:$B527,B527),"000")</f>
        <v>CO-26-014</v>
      </c>
      <c r="B527">
        <v>26</v>
      </c>
      <c r="C527" s="18046">
        <v>46195</v>
      </c>
      <c r="D527" t="s">
        <v>2</v>
      </c>
      <c r="E527" t="s">
        <v>852</v>
      </c>
      <c r="F527" t="s">
        <v>223</v>
      </c>
      <c r="G527" s="3">
        <v>50</v>
      </c>
      <c r="H527" s="18047">
        <v>27</v>
      </c>
      <c r="I527" s="18047">
        <v>1350</v>
      </c>
      <c r="J527" t="s">
        <v>851</v>
      </c>
    </row>
    <row r="528" spans="1:10">
      <c r="A528" t="str">
        <f>IF(LEFT(E528,1)="1","SOL",IF(LEFT(E528,1)="2","CO",IF(LEFT(E528,1)="3","ALM",IF(LEFT(E528,1)="4","FAC","TRX")))) &amp; "-" &amp; B528 &amp; "-" &amp; TEXT(COUNTIFS($E$2:$E528,E528,$B$2:$B528,B528),"000")</f>
        <v>CO-26-015</v>
      </c>
      <c r="B528">
        <v>26</v>
      </c>
      <c r="C528" s="18046">
        <v>46196</v>
      </c>
      <c r="D528" t="s">
        <v>400</v>
      </c>
      <c r="E528" t="s">
        <v>852</v>
      </c>
      <c r="F528" t="s">
        <v>245</v>
      </c>
      <c r="G528" s="3">
        <v>275</v>
      </c>
      <c r="H528" s="18047">
        <v>27</v>
      </c>
      <c r="I528" s="18047">
        <v>7425</v>
      </c>
      <c r="J528" t="s">
        <v>851</v>
      </c>
    </row>
    <row r="529" spans="1:10">
      <c r="A529" t="str">
        <f>IF(LEFT(E529,1)="1","SOL",IF(LEFT(E529,1)="2","CO",IF(LEFT(E529,1)="3","ALM",IF(LEFT(E529,1)="4","FAC","TRX")))) &amp; "-" &amp; B529 &amp; "-" &amp; TEXT(COUNTIFS($E$2:$E529,E529,$B$2:$B529,B529),"000")</f>
        <v>CO-26-016</v>
      </c>
      <c r="B529">
        <v>26</v>
      </c>
      <c r="C529" s="18046">
        <v>46196</v>
      </c>
      <c r="D529" t="s">
        <v>400</v>
      </c>
      <c r="E529" t="s">
        <v>852</v>
      </c>
      <c r="F529" t="s">
        <v>246</v>
      </c>
      <c r="G529" s="3">
        <v>20</v>
      </c>
      <c r="H529" s="18047">
        <v>27</v>
      </c>
      <c r="I529" s="18047">
        <v>540</v>
      </c>
      <c r="J529" t="s">
        <v>851</v>
      </c>
    </row>
    <row r="530" spans="1:10">
      <c r="A530" t="str">
        <f>IF(LEFT(E530,1)="1","SOL",IF(LEFT(E530,1)="2","CO",IF(LEFT(E530,1)="3","ALM",IF(LEFT(E530,1)="4","FAC","TRX")))) &amp; "-" &amp; B530 &amp; "-" &amp; TEXT(COUNTIFS($E$2:$E530,E530,$B$2:$B530,B530),"000")</f>
        <v>CO-26-017</v>
      </c>
      <c r="B530">
        <v>26</v>
      </c>
      <c r="C530" s="18046">
        <v>46196</v>
      </c>
      <c r="D530" t="s">
        <v>111</v>
      </c>
      <c r="E530" t="s">
        <v>852</v>
      </c>
      <c r="F530" t="s">
        <v>237</v>
      </c>
      <c r="G530" s="3">
        <v>110</v>
      </c>
      <c r="H530" s="18047">
        <v>27</v>
      </c>
      <c r="I530" s="18047">
        <v>2970</v>
      </c>
      <c r="J530" t="s">
        <v>851</v>
      </c>
    </row>
    <row r="531" spans="1:10">
      <c r="A531" t="str">
        <f>IF(LEFT(E531,1)="1","SOL",IF(LEFT(E531,1)="2","CO",IF(LEFT(E531,1)="3","ALM",IF(LEFT(E531,1)="4","FAC","TRX")))) &amp; "-" &amp; B531 &amp; "-" &amp; TEXT(COUNTIFS($E$2:$E531,E531,$B$2:$B531,B531),"000")</f>
        <v>CO-26-018</v>
      </c>
      <c r="B531">
        <v>26</v>
      </c>
      <c r="C531" s="18046">
        <v>46196</v>
      </c>
      <c r="D531" t="s">
        <v>400</v>
      </c>
      <c r="E531" t="s">
        <v>852</v>
      </c>
      <c r="F531" t="s">
        <v>212</v>
      </c>
      <c r="G531" s="3">
        <v>100</v>
      </c>
      <c r="H531" s="18047">
        <v>27</v>
      </c>
      <c r="I531" s="18047">
        <v>2700</v>
      </c>
      <c r="J531" t="s">
        <v>851</v>
      </c>
    </row>
    <row r="532" spans="1:10">
      <c r="A532" t="str">
        <f>IF(LEFT(E532,1)="1","SOL",IF(LEFT(E532,1)="2","CO",IF(LEFT(E532,1)="3","ALM",IF(LEFT(E532,1)="4","FAC","TRX")))) &amp; "-" &amp; B532 &amp; "-" &amp; TEXT(COUNTIFS($E$2:$E532,E532,$B$2:$B532,B532),"000")</f>
        <v>CO-26-019</v>
      </c>
      <c r="B532">
        <v>26</v>
      </c>
      <c r="C532" s="18046">
        <v>46196</v>
      </c>
      <c r="D532" t="s">
        <v>2</v>
      </c>
      <c r="E532" t="s">
        <v>852</v>
      </c>
      <c r="F532" t="s">
        <v>210</v>
      </c>
      <c r="G532" s="3">
        <v>50</v>
      </c>
      <c r="H532" s="18047">
        <v>27</v>
      </c>
      <c r="I532" s="18047">
        <v>1350</v>
      </c>
      <c r="J532" t="s">
        <v>851</v>
      </c>
    </row>
    <row r="533" spans="1:10">
      <c r="A533" t="str">
        <f>IF(LEFT(E533,1)="1","SOL",IF(LEFT(E533,1)="2","CO",IF(LEFT(E533,1)="3","ALM",IF(LEFT(E533,1)="4","FAC","TRX")))) &amp; "-" &amp; B533 &amp; "-" &amp; TEXT(COUNTIFS($E$2:$E533,E533,$B$2:$B533,B533),"000")</f>
        <v>CO-26-020</v>
      </c>
      <c r="B533">
        <v>26</v>
      </c>
      <c r="C533" s="18046">
        <v>46196</v>
      </c>
      <c r="D533" t="s">
        <v>111</v>
      </c>
      <c r="E533" t="s">
        <v>852</v>
      </c>
      <c r="F533" t="s">
        <v>215</v>
      </c>
      <c r="G533" s="3">
        <v>96</v>
      </c>
      <c r="H533" s="18047">
        <v>27</v>
      </c>
      <c r="I533" s="18047">
        <v>2592</v>
      </c>
      <c r="J533" t="s">
        <v>851</v>
      </c>
    </row>
    <row r="534" spans="1:10">
      <c r="A534" t="str">
        <f>IF(LEFT(E534,1)="1","SOL",IF(LEFT(E534,1)="2","CO",IF(LEFT(E534,1)="3","ALM",IF(LEFT(E534,1)="4","FAC","TRX")))) &amp; "-" &amp; B534 &amp; "-" &amp; TEXT(COUNTIFS($E$2:$E534,E534,$B$2:$B534,B534),"000")</f>
        <v>CO-26-021</v>
      </c>
      <c r="B534">
        <v>26</v>
      </c>
      <c r="C534" s="18046">
        <v>46196</v>
      </c>
      <c r="D534" t="s">
        <v>1</v>
      </c>
      <c r="E534" t="s">
        <v>852</v>
      </c>
      <c r="F534" t="s">
        <v>368</v>
      </c>
      <c r="G534" s="3">
        <v>21</v>
      </c>
      <c r="H534" s="18047">
        <v>27</v>
      </c>
      <c r="I534" s="18047">
        <v>567</v>
      </c>
      <c r="J534" t="s">
        <v>851</v>
      </c>
    </row>
    <row r="535" spans="1:10">
      <c r="A535" t="str">
        <f>IF(LEFT(E535,1)="1","SOL",IF(LEFT(E535,1)="2","CO",IF(LEFT(E535,1)="3","ALM",IF(LEFT(E535,1)="4","FAC","TRX")))) &amp; "-" &amp; B535 &amp; "-" &amp; TEXT(COUNTIFS($E$2:$E535,E535,$B$2:$B535,B535),"000")</f>
        <v>CO-26-022</v>
      </c>
      <c r="B535">
        <v>26</v>
      </c>
      <c r="C535" s="18046">
        <v>46196</v>
      </c>
      <c r="D535" t="s">
        <v>1</v>
      </c>
      <c r="E535" t="s">
        <v>852</v>
      </c>
      <c r="F535" t="s">
        <v>228</v>
      </c>
      <c r="G535" s="3">
        <v>50</v>
      </c>
      <c r="H535" s="18047">
        <v>27</v>
      </c>
      <c r="I535" s="18047">
        <v>1350</v>
      </c>
      <c r="J535" t="s">
        <v>851</v>
      </c>
    </row>
    <row r="536" spans="1:10">
      <c r="A536" t="str">
        <f>IF(LEFT(E536,1)="1","SOL",IF(LEFT(E536,1)="2","CO",IF(LEFT(E536,1)="3","ALM",IF(LEFT(E536,1)="4","FAC","TRX")))) &amp; "-" &amp; B536 &amp; "-" &amp; TEXT(COUNTIFS($E$2:$E536,E536,$B$2:$B536,B536),"000")</f>
        <v>CO-26-023</v>
      </c>
      <c r="B536">
        <v>26</v>
      </c>
      <c r="C536" s="18046">
        <v>46196</v>
      </c>
      <c r="D536" t="s">
        <v>1</v>
      </c>
      <c r="E536" t="s">
        <v>852</v>
      </c>
      <c r="F536" t="s">
        <v>216</v>
      </c>
      <c r="G536" s="3">
        <v>31</v>
      </c>
      <c r="H536" s="18047">
        <v>27</v>
      </c>
      <c r="I536" s="18047">
        <v>837</v>
      </c>
      <c r="J536" t="s">
        <v>851</v>
      </c>
    </row>
    <row r="537" spans="1:10">
      <c r="A537" t="str">
        <f>IF(LEFT(E537,1)="1","SOL",IF(LEFT(E537,1)="2","CO",IF(LEFT(E537,1)="3","ALM",IF(LEFT(E537,1)="4","FAC","TRX")))) &amp; "-" &amp; B537 &amp; "-" &amp; TEXT(COUNTIFS($E$2:$E537,E537,$B$2:$B537,B537),"000")</f>
        <v>CO-26-024</v>
      </c>
      <c r="B537">
        <v>26</v>
      </c>
      <c r="C537" s="18046">
        <v>46196</v>
      </c>
      <c r="D537" t="s">
        <v>124</v>
      </c>
      <c r="E537" t="s">
        <v>852</v>
      </c>
      <c r="F537" t="s">
        <v>798</v>
      </c>
      <c r="G537" s="3">
        <v>100</v>
      </c>
      <c r="H537" s="18047">
        <v>27</v>
      </c>
      <c r="I537" s="18047">
        <v>2700</v>
      </c>
      <c r="J537" t="s">
        <v>851</v>
      </c>
    </row>
    <row r="538" spans="1:10">
      <c r="A538" t="str">
        <f>IF(LEFT(E538,1)="1","SOL",IF(LEFT(E538,1)="2","CO",IF(LEFT(E538,1)="3","ALM",IF(LEFT(E538,1)="4","FAC","TRX")))) &amp; "-" &amp; B538 &amp; "-" &amp; TEXT(COUNTIFS($E$2:$E538,E538,$B$2:$B538,B538),"000")</f>
        <v>CO-26-025</v>
      </c>
      <c r="B538">
        <v>26</v>
      </c>
      <c r="C538" s="18046">
        <v>46196</v>
      </c>
      <c r="D538" t="s">
        <v>124</v>
      </c>
      <c r="E538" t="s">
        <v>852</v>
      </c>
      <c r="F538" t="s">
        <v>248</v>
      </c>
      <c r="G538" s="3">
        <v>50</v>
      </c>
      <c r="H538" s="18047">
        <v>27</v>
      </c>
      <c r="I538" s="18047">
        <v>1350</v>
      </c>
      <c r="J538" t="s">
        <v>851</v>
      </c>
    </row>
    <row r="539" spans="1:10">
      <c r="A539" t="str">
        <f>IF(LEFT(E539,1)="1","SOL",IF(LEFT(E539,1)="2","CO",IF(LEFT(E539,1)="3","ALM",IF(LEFT(E539,1)="4","FAC","TRX")))) &amp; "-" &amp; B539 &amp; "-" &amp; TEXT(COUNTIFS($E$2:$E539,E539,$B$2:$B539,B539),"000")</f>
        <v>CO-26-026</v>
      </c>
      <c r="B539">
        <v>26</v>
      </c>
      <c r="C539" s="18046">
        <v>46197</v>
      </c>
      <c r="D539" t="s">
        <v>1</v>
      </c>
      <c r="E539" t="s">
        <v>852</v>
      </c>
      <c r="F539" t="s">
        <v>221</v>
      </c>
      <c r="G539" s="3">
        <v>35</v>
      </c>
      <c r="H539" s="18047">
        <v>27</v>
      </c>
      <c r="I539" s="18047">
        <v>945</v>
      </c>
      <c r="J539" t="s">
        <v>851</v>
      </c>
    </row>
    <row r="540" spans="1:10">
      <c r="A540" t="str">
        <f>IF(LEFT(E540,1)="1","SOL",IF(LEFT(E540,1)="2","CO",IF(LEFT(E540,1)="3","ALM",IF(LEFT(E540,1)="4","FAC","TRX")))) &amp; "-" &amp; B540 &amp; "-" &amp; TEXT(COUNTIFS($E$2:$E540,E540,$B$2:$B540,B540),"000")</f>
        <v>CO-26-027</v>
      </c>
      <c r="B540">
        <v>26</v>
      </c>
      <c r="C540" s="18046">
        <v>46197</v>
      </c>
      <c r="D540" t="s">
        <v>1</v>
      </c>
      <c r="E540" t="s">
        <v>852</v>
      </c>
      <c r="F540" t="s">
        <v>213</v>
      </c>
      <c r="G540" s="3">
        <v>76</v>
      </c>
      <c r="H540" s="18047">
        <v>27</v>
      </c>
      <c r="I540" s="18047">
        <v>2052</v>
      </c>
      <c r="J540" t="s">
        <v>851</v>
      </c>
    </row>
    <row r="541" spans="1:10">
      <c r="A541" t="str">
        <f>IF(LEFT(E541,1)="1","SOL",IF(LEFT(E541,1)="2","CO",IF(LEFT(E541,1)="3","ALM",IF(LEFT(E541,1)="4","FAC","TRX")))) &amp; "-" &amp; B541 &amp; "-" &amp; TEXT(COUNTIFS($E$2:$E541,E541,$B$2:$B541,B541),"000")</f>
        <v>CO-26-028</v>
      </c>
      <c r="B541">
        <v>26</v>
      </c>
      <c r="C541" s="18046">
        <v>46197</v>
      </c>
      <c r="D541" t="s">
        <v>1</v>
      </c>
      <c r="E541" t="s">
        <v>852</v>
      </c>
      <c r="F541" t="s">
        <v>221</v>
      </c>
      <c r="G541" s="3">
        <v>40</v>
      </c>
      <c r="H541" s="18047">
        <v>27</v>
      </c>
      <c r="I541" s="18047">
        <v>1080</v>
      </c>
      <c r="J541" t="s">
        <v>851</v>
      </c>
    </row>
    <row r="542" spans="1:10">
      <c r="A542" t="str">
        <f>IF(LEFT(E542,1)="1","SOL",IF(LEFT(E542,1)="2","CO",IF(LEFT(E542,1)="3","ALM",IF(LEFT(E542,1)="4","FAC","TRX")))) &amp; "-" &amp; B542 &amp; "-" &amp; TEXT(COUNTIFS($E$2:$E542,E542,$B$2:$B542,B542),"000")</f>
        <v>CO-26-029</v>
      </c>
      <c r="B542">
        <v>26</v>
      </c>
      <c r="C542" s="18046">
        <v>46197</v>
      </c>
      <c r="D542" t="s">
        <v>1</v>
      </c>
      <c r="E542" t="s">
        <v>852</v>
      </c>
      <c r="F542" t="s">
        <v>228</v>
      </c>
      <c r="G542" s="3">
        <v>40</v>
      </c>
      <c r="H542" s="18047">
        <v>27</v>
      </c>
      <c r="I542" s="18047">
        <v>1080</v>
      </c>
      <c r="J542" t="s">
        <v>851</v>
      </c>
    </row>
    <row r="543" spans="1:10">
      <c r="A543" t="str">
        <f>IF(LEFT(E543,1)="1","SOL",IF(LEFT(E543,1)="2","CO",IF(LEFT(E543,1)="3","ALM",IF(LEFT(E543,1)="4","FAC","TRX")))) &amp; "-" &amp; B543 &amp; "-" &amp; TEXT(COUNTIFS($E$2:$E543,E543,$B$2:$B543,B543),"000")</f>
        <v>CO-26-030</v>
      </c>
      <c r="B543">
        <v>26</v>
      </c>
      <c r="C543" s="18046">
        <v>46197</v>
      </c>
      <c r="D543" t="s">
        <v>1</v>
      </c>
      <c r="E543" t="s">
        <v>852</v>
      </c>
      <c r="F543" t="s">
        <v>214</v>
      </c>
      <c r="G543" s="3">
        <v>200</v>
      </c>
      <c r="H543" s="18047">
        <v>27</v>
      </c>
      <c r="I543" s="18047">
        <v>5400</v>
      </c>
      <c r="J543" t="s">
        <v>851</v>
      </c>
    </row>
    <row r="544" spans="1:10">
      <c r="A544" t="str">
        <f>IF(LEFT(E544,1)="1","SOL",IF(LEFT(E544,1)="2","CO",IF(LEFT(E544,1)="3","ALM",IF(LEFT(E544,1)="4","FAC","TRX")))) &amp; "-" &amp; B544 &amp; "-" &amp; TEXT(COUNTIFS($E$2:$E544,E544,$B$2:$B544,B544),"000")</f>
        <v>CO-26-031</v>
      </c>
      <c r="B544">
        <v>26</v>
      </c>
      <c r="C544" s="18046">
        <v>46197</v>
      </c>
      <c r="D544" t="s">
        <v>111</v>
      </c>
      <c r="E544" t="s">
        <v>852</v>
      </c>
      <c r="F544" t="s">
        <v>237</v>
      </c>
      <c r="G544" s="3">
        <v>120</v>
      </c>
      <c r="H544" s="18047">
        <v>27</v>
      </c>
      <c r="I544" s="18047">
        <v>3240</v>
      </c>
      <c r="J544" t="s">
        <v>851</v>
      </c>
    </row>
    <row r="545" spans="1:10">
      <c r="A545" t="str">
        <f>IF(LEFT(E545,1)="1","SOL",IF(LEFT(E545,1)="2","CO",IF(LEFT(E545,1)="3","ALM",IF(LEFT(E545,1)="4","FAC","TRX")))) &amp; "-" &amp; B545 &amp; "-" &amp; TEXT(COUNTIFS($E$2:$E545,E545,$B$2:$B545,B545),"000")</f>
        <v>CO-26-032</v>
      </c>
      <c r="B545">
        <v>26</v>
      </c>
      <c r="C545" s="18046">
        <v>46197</v>
      </c>
      <c r="D545" t="s">
        <v>1</v>
      </c>
      <c r="E545" t="s">
        <v>852</v>
      </c>
      <c r="F545" t="s">
        <v>224</v>
      </c>
      <c r="G545" s="3">
        <v>50</v>
      </c>
      <c r="H545" s="18047">
        <v>27</v>
      </c>
      <c r="I545" s="18047">
        <v>1350</v>
      </c>
      <c r="J545" t="s">
        <v>851</v>
      </c>
    </row>
    <row r="546" spans="1:10">
      <c r="A546" t="str">
        <f>IF(LEFT(E546,1)="1","SOL",IF(LEFT(E546,1)="2","CO",IF(LEFT(E546,1)="3","ALM",IF(LEFT(E546,1)="4","FAC","TRX")))) &amp; "-" &amp; B546 &amp; "-" &amp; TEXT(COUNTIFS($E$2:$E546,E546,$B$2:$B546,B546),"000")</f>
        <v>CO-26-033</v>
      </c>
      <c r="B546">
        <v>26</v>
      </c>
      <c r="C546" s="18046">
        <v>46197</v>
      </c>
      <c r="D546" t="s">
        <v>1</v>
      </c>
      <c r="E546" t="s">
        <v>852</v>
      </c>
      <c r="F546" t="s">
        <v>223</v>
      </c>
      <c r="G546" s="3">
        <v>30</v>
      </c>
      <c r="H546" s="18047">
        <v>27</v>
      </c>
      <c r="I546" s="18047">
        <v>810</v>
      </c>
      <c r="J546" t="s">
        <v>851</v>
      </c>
    </row>
    <row r="547" spans="1:10">
      <c r="A547" t="str">
        <f>IF(LEFT(E547,1)="1","SOL",IF(LEFT(E547,1)="2","CO",IF(LEFT(E547,1)="3","ALM",IF(LEFT(E547,1)="4","FAC","TRX")))) &amp; "-" &amp; B547 &amp; "-" &amp; TEXT(COUNTIFS($E$2:$E547,E547,$B$2:$B547,B547),"000")</f>
        <v>CO-26-034</v>
      </c>
      <c r="B547">
        <v>26</v>
      </c>
      <c r="C547" s="18046">
        <v>46197</v>
      </c>
      <c r="D547" t="s">
        <v>2</v>
      </c>
      <c r="E547" t="s">
        <v>852</v>
      </c>
      <c r="F547" t="s">
        <v>231</v>
      </c>
      <c r="G547" s="3">
        <v>129</v>
      </c>
      <c r="H547" s="18047">
        <v>27</v>
      </c>
      <c r="I547" s="18047">
        <v>3483</v>
      </c>
      <c r="J547" t="s">
        <v>851</v>
      </c>
    </row>
    <row r="548" spans="1:10">
      <c r="A548" t="str">
        <f>IF(LEFT(E548,1)="1","SOL",IF(LEFT(E548,1)="2","CO",IF(LEFT(E548,1)="3","ALM",IF(LEFT(E548,1)="4","FAC","TRX")))) &amp; "-" &amp; B548 &amp; "-" &amp; TEXT(COUNTIFS($E$2:$E548,E548,$B$2:$B548,B548),"000")</f>
        <v>CO-26-035</v>
      </c>
      <c r="B548">
        <v>26</v>
      </c>
      <c r="C548" s="18046">
        <v>46197</v>
      </c>
      <c r="D548" t="s">
        <v>2</v>
      </c>
      <c r="E548" t="s">
        <v>852</v>
      </c>
      <c r="F548" t="s">
        <v>378</v>
      </c>
      <c r="G548" s="3">
        <v>88</v>
      </c>
      <c r="H548" s="18047">
        <v>27</v>
      </c>
      <c r="I548" s="18047">
        <v>2376</v>
      </c>
      <c r="J548" t="s">
        <v>851</v>
      </c>
    </row>
    <row r="549" spans="1:10">
      <c r="A549" t="str">
        <f>IF(LEFT(E549,1)="1","SOL",IF(LEFT(E549,1)="2","CO",IF(LEFT(E549,1)="3","ALM",IF(LEFT(E549,1)="4","FAC","TRX")))) &amp; "-" &amp; B549 &amp; "-" &amp; TEXT(COUNTIFS($E$2:$E549,E549,$B$2:$B549,B549),"000")</f>
        <v>CO-26-036</v>
      </c>
      <c r="B549">
        <v>26</v>
      </c>
      <c r="C549" s="18046">
        <v>46197</v>
      </c>
      <c r="D549" t="s">
        <v>2</v>
      </c>
      <c r="E549" t="s">
        <v>852</v>
      </c>
      <c r="F549" t="s">
        <v>235</v>
      </c>
      <c r="G549" s="3">
        <v>90</v>
      </c>
      <c r="H549" s="18047">
        <v>27</v>
      </c>
      <c r="I549" s="18047">
        <v>2430</v>
      </c>
      <c r="J549" t="s">
        <v>851</v>
      </c>
    </row>
    <row r="550" spans="1:10">
      <c r="A550" t="str">
        <f>IF(LEFT(E550,1)="1","SOL",IF(LEFT(E550,1)="2","CO",IF(LEFT(E550,1)="3","ALM",IF(LEFT(E550,1)="4","FAC","TRX")))) &amp; "-" &amp; B550 &amp; "-" &amp; TEXT(COUNTIFS($E$2:$E550,E550,$B$2:$B550,B550),"000")</f>
        <v>CO-26-037</v>
      </c>
      <c r="B550">
        <v>26</v>
      </c>
      <c r="C550" s="18046">
        <v>46197</v>
      </c>
      <c r="D550" t="s">
        <v>2</v>
      </c>
      <c r="E550" t="s">
        <v>852</v>
      </c>
      <c r="F550" t="s">
        <v>383</v>
      </c>
      <c r="G550" s="3">
        <v>62</v>
      </c>
      <c r="H550" s="18047">
        <v>27</v>
      </c>
      <c r="I550" s="18047">
        <v>1674</v>
      </c>
      <c r="J550" t="s">
        <v>851</v>
      </c>
    </row>
    <row r="551" spans="1:10">
      <c r="A551" t="str">
        <f>IF(LEFT(E551,1)="1","SOL",IF(LEFT(E551,1)="2","CO",IF(LEFT(E551,1)="3","ALM",IF(LEFT(E551,1)="4","FAC","TRX")))) &amp; "-" &amp; B551 &amp; "-" &amp; TEXT(COUNTIFS($E$2:$E551,E551,$B$2:$B551,B551),"000")</f>
        <v>CO-26-038</v>
      </c>
      <c r="B551">
        <v>26</v>
      </c>
      <c r="C551" s="18046">
        <v>46197</v>
      </c>
      <c r="D551" t="s">
        <v>159</v>
      </c>
      <c r="E551" t="s">
        <v>852</v>
      </c>
      <c r="F551" t="s">
        <v>383</v>
      </c>
      <c r="G551" s="3">
        <v>62</v>
      </c>
      <c r="H551" s="18047">
        <v>27</v>
      </c>
      <c r="I551" s="18047">
        <v>1674</v>
      </c>
      <c r="J551" t="s">
        <v>851</v>
      </c>
    </row>
    <row r="552" spans="1:10">
      <c r="A552" t="str">
        <f>IF(LEFT(E552,1)="1","SOL",IF(LEFT(E552,1)="2","CO",IF(LEFT(E552,1)="3","ALM",IF(LEFT(E552,1)="4","FAC","TRX")))) &amp; "-" &amp; B552 &amp; "-" &amp; TEXT(COUNTIFS($E$2:$E552,E552,$B$2:$B552,B552),"000")</f>
        <v>CO-26-039</v>
      </c>
      <c r="B552">
        <v>26</v>
      </c>
      <c r="C552" s="18046">
        <v>46198</v>
      </c>
      <c r="D552" t="s">
        <v>1</v>
      </c>
      <c r="E552" t="s">
        <v>852</v>
      </c>
      <c r="F552" t="s">
        <v>216</v>
      </c>
      <c r="G552" s="3">
        <v>26</v>
      </c>
      <c r="H552" s="18047">
        <v>27</v>
      </c>
      <c r="I552" s="18047">
        <v>702</v>
      </c>
      <c r="J552" t="s">
        <v>851</v>
      </c>
    </row>
    <row r="553" spans="1:10">
      <c r="A553" t="str">
        <f>IF(LEFT(E553,1)="1","SOL",IF(LEFT(E553,1)="2","CO",IF(LEFT(E553,1)="3","ALM",IF(LEFT(E553,1)="4","FAC","TRX")))) &amp; "-" &amp; B553 &amp; "-" &amp; TEXT(COUNTIFS($E$2:$E553,E553,$B$2:$B553,B553),"000")</f>
        <v>CO-26-040</v>
      </c>
      <c r="B553">
        <v>26</v>
      </c>
      <c r="C553" s="18046">
        <v>46198</v>
      </c>
      <c r="D553" t="s">
        <v>1</v>
      </c>
      <c r="E553" t="s">
        <v>852</v>
      </c>
      <c r="F553" t="s">
        <v>383</v>
      </c>
      <c r="G553" s="3">
        <v>50</v>
      </c>
      <c r="H553" s="18047">
        <v>27</v>
      </c>
      <c r="I553" s="18047">
        <v>1350</v>
      </c>
      <c r="J553" t="s">
        <v>851</v>
      </c>
    </row>
    <row r="554" spans="1:10">
      <c r="A554" t="str">
        <f>IF(LEFT(E554,1)="1","SOL",IF(LEFT(E554,1)="2","CO",IF(LEFT(E554,1)="3","ALM",IF(LEFT(E554,1)="4","FAC","TRX")))) &amp; "-" &amp; B554 &amp; "-" &amp; TEXT(COUNTIFS($E$2:$E554,E554,$B$2:$B554,B554),"000")</f>
        <v>CO-26-041</v>
      </c>
      <c r="B554">
        <v>26</v>
      </c>
      <c r="C554" s="18046">
        <v>46198</v>
      </c>
      <c r="D554" t="s">
        <v>1</v>
      </c>
      <c r="E554" t="s">
        <v>852</v>
      </c>
      <c r="F554" t="s">
        <v>221</v>
      </c>
      <c r="G554" s="3">
        <v>30</v>
      </c>
      <c r="H554" s="18047">
        <v>27</v>
      </c>
      <c r="I554" s="18047">
        <v>810</v>
      </c>
      <c r="J554" t="s">
        <v>851</v>
      </c>
    </row>
    <row r="555" spans="1:10">
      <c r="A555" t="str">
        <f>IF(LEFT(E555,1)="1","SOL",IF(LEFT(E555,1)="2","CO",IF(LEFT(E555,1)="3","ALM",IF(LEFT(E555,1)="4","FAC","TRX")))) &amp; "-" &amp; B555 &amp; "-" &amp; TEXT(COUNTIFS($E$2:$E555,E555,$B$2:$B555,B555),"000")</f>
        <v>CO-26-042</v>
      </c>
      <c r="B555">
        <v>26</v>
      </c>
      <c r="C555" s="18046">
        <v>46198</v>
      </c>
      <c r="D555" t="s">
        <v>1</v>
      </c>
      <c r="E555" t="s">
        <v>852</v>
      </c>
      <c r="F555" t="s">
        <v>223</v>
      </c>
      <c r="G555" s="3">
        <v>14</v>
      </c>
      <c r="H555" s="18047">
        <v>27</v>
      </c>
      <c r="I555" s="18047">
        <v>378</v>
      </c>
      <c r="J555" t="s">
        <v>851</v>
      </c>
    </row>
    <row r="556" spans="1:10">
      <c r="A556" t="str">
        <f>IF(LEFT(E556,1)="1","SOL",IF(LEFT(E556,1)="2","CO",IF(LEFT(E556,1)="3","ALM",IF(LEFT(E556,1)="4","FAC","TRX")))) &amp; "-" &amp; B556 &amp; "-" &amp; TEXT(COUNTIFS($E$2:$E556,E556,$B$2:$B556,B556),"000")</f>
        <v>CO-26-043</v>
      </c>
      <c r="B556">
        <v>26</v>
      </c>
      <c r="C556" s="18046">
        <v>46198</v>
      </c>
      <c r="D556" t="s">
        <v>1</v>
      </c>
      <c r="E556" t="s">
        <v>852</v>
      </c>
      <c r="F556" t="s">
        <v>224</v>
      </c>
      <c r="G556" s="3">
        <v>30</v>
      </c>
      <c r="H556" s="18047">
        <v>27</v>
      </c>
      <c r="I556" s="18047">
        <v>810</v>
      </c>
      <c r="J556" t="s">
        <v>851</v>
      </c>
    </row>
    <row r="557" spans="1:10">
      <c r="A557" t="str">
        <f>IF(LEFT(E557,1)="1","SOL",IF(LEFT(E557,1)="2","CO",IF(LEFT(E557,1)="3","ALM",IF(LEFT(E557,1)="4","FAC","TRX")))) &amp; "-" &amp; B557 &amp; "-" &amp; TEXT(COUNTIFS($E$2:$E557,E557,$B$2:$B557,B557),"000")</f>
        <v>CO-26-044</v>
      </c>
      <c r="B557">
        <v>26</v>
      </c>
      <c r="C557" s="18046">
        <v>46198</v>
      </c>
      <c r="D557" t="s">
        <v>111</v>
      </c>
      <c r="E557" t="s">
        <v>852</v>
      </c>
      <c r="F557" t="s">
        <v>237</v>
      </c>
      <c r="G557" s="3">
        <v>120</v>
      </c>
      <c r="H557" s="18047">
        <v>27</v>
      </c>
      <c r="I557" s="18047">
        <v>3240</v>
      </c>
      <c r="J557" t="s">
        <v>851</v>
      </c>
    </row>
    <row r="558" spans="1:10">
      <c r="A558" t="str">
        <f>IF(LEFT(E558,1)="1","SOL",IF(LEFT(E558,1)="2","CO",IF(LEFT(E558,1)="3","ALM",IF(LEFT(E558,1)="4","FAC","TRX")))) &amp; "-" &amp; B558 &amp; "-" &amp; TEXT(COUNTIFS($E$2:$E558,E558,$B$2:$B558,B558),"000")</f>
        <v>CO-26-045</v>
      </c>
      <c r="B558">
        <v>26</v>
      </c>
      <c r="C558" s="18046">
        <v>46198</v>
      </c>
      <c r="D558" t="s">
        <v>400</v>
      </c>
      <c r="E558" t="s">
        <v>852</v>
      </c>
      <c r="F558" t="s">
        <v>383</v>
      </c>
      <c r="G558" s="3">
        <v>160</v>
      </c>
      <c r="H558" s="18047">
        <v>27</v>
      </c>
      <c r="I558" s="18047">
        <v>4320</v>
      </c>
      <c r="J558" t="s">
        <v>851</v>
      </c>
    </row>
    <row r="559" spans="1:10">
      <c r="A559" t="str">
        <f>IF(LEFT(E559,1)="1","SOL",IF(LEFT(E559,1)="2","CO",IF(LEFT(E559,1)="3","ALM",IF(LEFT(E559,1)="4","FAC","TRX")))) &amp; "-" &amp; B559 &amp; "-" &amp; TEXT(COUNTIFS($E$2:$E559,E559,$B$2:$B559,B559),"000")</f>
        <v>CO-26-046</v>
      </c>
      <c r="B559">
        <v>26</v>
      </c>
      <c r="C559" s="18046">
        <v>46198</v>
      </c>
      <c r="D559" t="s">
        <v>2</v>
      </c>
      <c r="E559" t="s">
        <v>852</v>
      </c>
      <c r="F559" t="s">
        <v>214</v>
      </c>
      <c r="G559" s="3">
        <v>140</v>
      </c>
      <c r="H559" s="18047">
        <v>27</v>
      </c>
      <c r="I559" s="18047">
        <v>3780</v>
      </c>
      <c r="J559" t="s">
        <v>851</v>
      </c>
    </row>
    <row r="560" spans="1:10">
      <c r="A560" t="str">
        <f>IF(LEFT(E560,1)="1","SOL",IF(LEFT(E560,1)="2","CO",IF(LEFT(E560,1)="3","ALM",IF(LEFT(E560,1)="4","FAC","TRX")))) &amp; "-" &amp; B560 &amp; "-" &amp; TEXT(COUNTIFS($E$2:$E560,E560,$B$2:$B560,B560),"000")</f>
        <v>CO-26-047</v>
      </c>
      <c r="B560">
        <v>26</v>
      </c>
      <c r="C560" s="18046">
        <v>46198</v>
      </c>
      <c r="D560" t="s">
        <v>400</v>
      </c>
      <c r="E560" t="s">
        <v>852</v>
      </c>
      <c r="F560" t="s">
        <v>367</v>
      </c>
      <c r="G560" s="3">
        <v>222</v>
      </c>
      <c r="H560" s="18047">
        <v>27</v>
      </c>
      <c r="I560" s="18047">
        <v>5994</v>
      </c>
      <c r="J560" t="s">
        <v>851</v>
      </c>
    </row>
    <row r="561" spans="1:10">
      <c r="A561" t="str">
        <f>IF(LEFT(E561,1)="1","SOL",IF(LEFT(E561,1)="2","CO",IF(LEFT(E561,1)="3","ALM",IF(LEFT(E561,1)="4","FAC","TRX")))) &amp; "-" &amp; B561 &amp; "-" &amp; TEXT(COUNTIFS($E$2:$E561,E561,$B$2:$B561,B561),"000")</f>
        <v>CO-26-048</v>
      </c>
      <c r="B561">
        <v>26</v>
      </c>
      <c r="C561" s="18046">
        <v>46198</v>
      </c>
      <c r="D561" t="s">
        <v>400</v>
      </c>
      <c r="E561" t="s">
        <v>852</v>
      </c>
      <c r="F561" t="s">
        <v>245</v>
      </c>
      <c r="G561" s="3">
        <v>217</v>
      </c>
      <c r="H561" s="18047">
        <v>27</v>
      </c>
      <c r="I561" s="18047">
        <v>5859</v>
      </c>
      <c r="J561" t="s">
        <v>851</v>
      </c>
    </row>
    <row r="562" spans="1:10">
      <c r="A562" t="str">
        <f>IF(LEFT(E562,1)="1","SOL",IF(LEFT(E562,1)="2","CO",IF(LEFT(E562,1)="3","ALM",IF(LEFT(E562,1)="4","FAC","TRX")))) &amp; "-" &amp; B562 &amp; "-" &amp; TEXT(COUNTIFS($E$2:$E562,E562,$B$2:$B562,B562),"000")</f>
        <v>CO-26-049</v>
      </c>
      <c r="B562">
        <v>26</v>
      </c>
      <c r="C562" s="18046">
        <v>46198</v>
      </c>
      <c r="D562" t="s">
        <v>400</v>
      </c>
      <c r="E562" t="s">
        <v>852</v>
      </c>
      <c r="F562" t="s">
        <v>237</v>
      </c>
      <c r="G562" s="3">
        <v>850</v>
      </c>
      <c r="H562" s="18047">
        <v>27</v>
      </c>
      <c r="I562" s="18047">
        <v>22950</v>
      </c>
      <c r="J562" t="s">
        <v>851</v>
      </c>
    </row>
    <row r="563" spans="1:10">
      <c r="A563" t="str">
        <f>IF(LEFT(E563,1)="1","SOL",IF(LEFT(E563,1)="2","CO",IF(LEFT(E563,1)="3","ALM",IF(LEFT(E563,1)="4","FAC","TRX")))) &amp; "-" &amp; B563 &amp; "-" &amp; TEXT(COUNTIFS($E$2:$E563,E563,$B$2:$B563,B563),"000")</f>
        <v>CO-26-050</v>
      </c>
      <c r="B563">
        <v>26</v>
      </c>
      <c r="C563" s="18046">
        <v>46198</v>
      </c>
      <c r="D563" t="s">
        <v>2</v>
      </c>
      <c r="E563" t="s">
        <v>852</v>
      </c>
      <c r="F563" t="s">
        <v>228</v>
      </c>
      <c r="G563" s="3">
        <v>50</v>
      </c>
      <c r="H563" s="18047">
        <v>27</v>
      </c>
      <c r="I563" s="18047">
        <v>1350</v>
      </c>
      <c r="J563" t="s">
        <v>851</v>
      </c>
    </row>
    <row r="564" spans="1:10">
      <c r="A564" t="str">
        <f>IF(LEFT(E564,1)="1","SOL",IF(LEFT(E564,1)="2","CO",IF(LEFT(E564,1)="3","ALM",IF(LEFT(E564,1)="4","FAC","TRX")))) &amp; "-" &amp; B564 &amp; "-" &amp; TEXT(COUNTIFS($E$2:$E564,E564,$B$2:$B564,B564),"000")</f>
        <v>CO-26-051</v>
      </c>
      <c r="B564">
        <v>26</v>
      </c>
      <c r="C564" s="18046">
        <v>46198</v>
      </c>
      <c r="D564" t="s">
        <v>2</v>
      </c>
      <c r="E564" t="s">
        <v>852</v>
      </c>
      <c r="F564" t="s">
        <v>217</v>
      </c>
      <c r="G564" s="3">
        <v>50</v>
      </c>
      <c r="H564" s="18047">
        <v>27</v>
      </c>
      <c r="I564" s="18047">
        <v>1350</v>
      </c>
      <c r="J564" t="s">
        <v>851</v>
      </c>
    </row>
    <row r="565" spans="1:10">
      <c r="A565" t="str">
        <f>IF(LEFT(E565,1)="1","SOL",IF(LEFT(E565,1)="2","CO",IF(LEFT(E565,1)="3","ALM",IF(LEFT(E565,1)="4","FAC","TRX")))) &amp; "-" &amp; B565 &amp; "-" &amp; TEXT(COUNTIFS($E$2:$E565,E565,$B$2:$B565,B565),"000")</f>
        <v>CO-26-052</v>
      </c>
      <c r="B565">
        <v>26</v>
      </c>
      <c r="C565" s="18046">
        <v>46198</v>
      </c>
      <c r="D565" t="s">
        <v>2</v>
      </c>
      <c r="E565" t="s">
        <v>852</v>
      </c>
      <c r="F565" t="s">
        <v>365</v>
      </c>
      <c r="G565" s="3">
        <v>177</v>
      </c>
      <c r="H565" s="18047">
        <v>27</v>
      </c>
      <c r="I565" s="18047">
        <v>4779</v>
      </c>
      <c r="J565" t="s">
        <v>851</v>
      </c>
    </row>
    <row r="566" spans="1:10">
      <c r="A566" t="str">
        <f>IF(LEFT(E566,1)="1","SOL",IF(LEFT(E566,1)="2","CO",IF(LEFT(E566,1)="3","ALM",IF(LEFT(E566,1)="4","FAC","TRX")))) &amp; "-" &amp; B566 &amp; "-" &amp; TEXT(COUNTIFS($E$2:$E566,E566,$B$2:$B566,B566),"000")</f>
        <v>CO-26-053</v>
      </c>
      <c r="B566">
        <v>26</v>
      </c>
      <c r="C566" s="18046">
        <v>46198</v>
      </c>
      <c r="D566" t="s">
        <v>124</v>
      </c>
      <c r="E566" t="s">
        <v>852</v>
      </c>
      <c r="F566" t="s">
        <v>798</v>
      </c>
      <c r="G566" s="3">
        <v>100</v>
      </c>
      <c r="H566" s="18047">
        <v>27</v>
      </c>
      <c r="I566" s="18047">
        <v>2700</v>
      </c>
      <c r="J566" t="s">
        <v>851</v>
      </c>
    </row>
    <row r="567" spans="1:10">
      <c r="A567" t="str">
        <f>IF(LEFT(E567,1)="1","SOL",IF(LEFT(E567,1)="2","CO",IF(LEFT(E567,1)="3","ALM",IF(LEFT(E567,1)="4","FAC","TRX")))) &amp; "-" &amp; B567 &amp; "-" &amp; TEXT(COUNTIFS($E$2:$E567,E567,$B$2:$B567,B567),"000")</f>
        <v>CO-26-054</v>
      </c>
      <c r="B567">
        <v>26</v>
      </c>
      <c r="C567" s="18046">
        <v>46199</v>
      </c>
      <c r="D567" t="s">
        <v>111</v>
      </c>
      <c r="E567" t="s">
        <v>852</v>
      </c>
      <c r="F567" t="s">
        <v>243</v>
      </c>
      <c r="G567" s="3">
        <v>90</v>
      </c>
      <c r="H567" s="18047">
        <v>27</v>
      </c>
      <c r="I567" s="18047">
        <v>2430</v>
      </c>
      <c r="J567" t="s">
        <v>851</v>
      </c>
    </row>
    <row r="568" spans="1:10">
      <c r="A568" t="str">
        <f>IF(LEFT(E568,1)="1","SOL",IF(LEFT(E568,1)="2","CO",IF(LEFT(E568,1)="3","ALM",IF(LEFT(E568,1)="4","FAC","TRX")))) &amp; "-" &amp; B568 &amp; "-" &amp; TEXT(COUNTIFS($E$2:$E568,E568,$B$2:$B568,B568),"000")</f>
        <v>CO-26-055</v>
      </c>
      <c r="B568">
        <v>26</v>
      </c>
      <c r="C568" s="18046">
        <v>46199</v>
      </c>
      <c r="D568" t="s">
        <v>111</v>
      </c>
      <c r="E568" t="s">
        <v>852</v>
      </c>
      <c r="F568" t="s">
        <v>209</v>
      </c>
      <c r="G568" s="3">
        <v>48</v>
      </c>
      <c r="H568" s="18047">
        <v>27</v>
      </c>
      <c r="I568" s="18047">
        <v>1296</v>
      </c>
      <c r="J568" t="s">
        <v>851</v>
      </c>
    </row>
    <row r="569" spans="1:10">
      <c r="A569" t="str">
        <f>IF(LEFT(E569,1)="1","SOL",IF(LEFT(E569,1)="2","CO",IF(LEFT(E569,1)="3","ALM",IF(LEFT(E569,1)="4","FAC","TRX")))) &amp; "-" &amp; B569 &amp; "-" &amp; TEXT(COUNTIFS($E$2:$E569,E569,$B$2:$B569,B569),"000")</f>
        <v>CO-26-056</v>
      </c>
      <c r="B569">
        <v>26</v>
      </c>
      <c r="C569" s="18046">
        <v>46199</v>
      </c>
      <c r="D569" t="s">
        <v>1</v>
      </c>
      <c r="E569" t="s">
        <v>852</v>
      </c>
      <c r="F569" t="s">
        <v>221</v>
      </c>
      <c r="G569" s="3">
        <v>40</v>
      </c>
      <c r="H569" s="18047">
        <v>27</v>
      </c>
      <c r="I569" s="18047">
        <v>1080</v>
      </c>
      <c r="J569" t="s">
        <v>851</v>
      </c>
    </row>
    <row r="570" spans="1:10">
      <c r="A570" t="str">
        <f>IF(LEFT(E570,1)="1","SOL",IF(LEFT(E570,1)="2","CO",IF(LEFT(E570,1)="3","ALM",IF(LEFT(E570,1)="4","FAC","TRX")))) &amp; "-" &amp; B570 &amp; "-" &amp; TEXT(COUNTIFS($E$2:$E570,E570,$B$2:$B570,B570),"000")</f>
        <v>CO-26-057</v>
      </c>
      <c r="B570">
        <v>26</v>
      </c>
      <c r="C570" s="18046">
        <v>46199</v>
      </c>
      <c r="D570" t="s">
        <v>1</v>
      </c>
      <c r="E570" t="s">
        <v>852</v>
      </c>
      <c r="F570" t="s">
        <v>224</v>
      </c>
      <c r="G570" s="3">
        <v>30</v>
      </c>
      <c r="H570" s="18047">
        <v>27</v>
      </c>
      <c r="I570" s="18047">
        <v>810</v>
      </c>
      <c r="J570" t="s">
        <v>851</v>
      </c>
    </row>
    <row r="571" spans="1:10">
      <c r="A571" t="str">
        <f>IF(LEFT(E571,1)="1","SOL",IF(LEFT(E571,1)="2","CO",IF(LEFT(E571,1)="3","ALM",IF(LEFT(E571,1)="4","FAC","TRX")))) &amp; "-" &amp; B571 &amp; "-" &amp; TEXT(COUNTIFS($E$2:$E571,E571,$B$2:$B571,B571),"000")</f>
        <v>CO-26-058</v>
      </c>
      <c r="B571">
        <v>26</v>
      </c>
      <c r="C571" s="18046">
        <v>46199</v>
      </c>
      <c r="D571" t="s">
        <v>1</v>
      </c>
      <c r="E571" t="s">
        <v>852</v>
      </c>
      <c r="F571" t="s">
        <v>223</v>
      </c>
      <c r="G571" s="3">
        <v>16</v>
      </c>
      <c r="H571" s="18047">
        <v>27</v>
      </c>
      <c r="I571" s="18047">
        <v>432</v>
      </c>
      <c r="J571" t="s">
        <v>851</v>
      </c>
    </row>
    <row r="572" spans="1:10">
      <c r="A572" t="str">
        <f>IF(LEFT(E572,1)="1","SOL",IF(LEFT(E572,1)="2","CO",IF(LEFT(E572,1)="3","ALM",IF(LEFT(E572,1)="4","FAC","TRX")))) &amp; "-" &amp; B572 &amp; "-" &amp; TEXT(COUNTIFS($E$2:$E572,E572,$B$2:$B572,B572),"000")</f>
        <v>CO-26-059</v>
      </c>
      <c r="B572">
        <v>26</v>
      </c>
      <c r="C572" s="18046">
        <v>46199</v>
      </c>
      <c r="D572" t="s">
        <v>1</v>
      </c>
      <c r="E572" t="s">
        <v>852</v>
      </c>
      <c r="F572" t="s">
        <v>368</v>
      </c>
      <c r="G572" s="3">
        <v>120</v>
      </c>
      <c r="H572" s="18047">
        <v>27</v>
      </c>
      <c r="I572" s="18047">
        <v>3240</v>
      </c>
      <c r="J572" t="s">
        <v>851</v>
      </c>
    </row>
    <row r="573" spans="1:10">
      <c r="A573" t="str">
        <f>IF(LEFT(E573,1)="1","SOL",IF(LEFT(E573,1)="2","CO",IF(LEFT(E573,1)="3","ALM",IF(LEFT(E573,1)="4","FAC","TRX")))) &amp; "-" &amp; B573 &amp; "-" &amp; TEXT(COUNTIFS($E$2:$E573,E573,$B$2:$B573,B573),"000")</f>
        <v>CO-26-060</v>
      </c>
      <c r="B573">
        <v>26</v>
      </c>
      <c r="C573" s="18046">
        <v>46199</v>
      </c>
      <c r="D573" t="s">
        <v>1</v>
      </c>
      <c r="E573" t="s">
        <v>852</v>
      </c>
      <c r="F573" t="s">
        <v>221</v>
      </c>
      <c r="G573" s="3">
        <v>32</v>
      </c>
      <c r="H573" s="18047">
        <v>27</v>
      </c>
      <c r="I573" s="18047">
        <v>864</v>
      </c>
      <c r="J573" t="s">
        <v>851</v>
      </c>
    </row>
    <row r="574" spans="1:10">
      <c r="A574" t="str">
        <f>IF(LEFT(E574,1)="1","SOL",IF(LEFT(E574,1)="2","CO",IF(LEFT(E574,1)="3","ALM",IF(LEFT(E574,1)="4","FAC","TRX")))) &amp; "-" &amp; B574 &amp; "-" &amp; TEXT(COUNTIFS($E$2:$E574,E574,$B$2:$B574,B574),"000")</f>
        <v>CO-26-061</v>
      </c>
      <c r="B574">
        <v>26</v>
      </c>
      <c r="C574" s="18046">
        <v>46199</v>
      </c>
      <c r="D574" t="s">
        <v>1</v>
      </c>
      <c r="E574" t="s">
        <v>852</v>
      </c>
      <c r="F574" t="s">
        <v>228</v>
      </c>
      <c r="G574" s="3">
        <v>40</v>
      </c>
      <c r="H574" s="18047">
        <v>27</v>
      </c>
      <c r="I574" s="18047">
        <v>1080</v>
      </c>
      <c r="J574" t="s">
        <v>851</v>
      </c>
    </row>
    <row r="575" spans="1:10">
      <c r="A575" t="str">
        <f>IF(LEFT(E575,1)="1","SOL",IF(LEFT(E575,1)="2","CO",IF(LEFT(E575,1)="3","ALM",IF(LEFT(E575,1)="4","FAC","TRX")))) &amp; "-" &amp; B575 &amp; "-" &amp; TEXT(COUNTIFS($E$2:$E575,E575,$B$2:$B575,B575),"000")</f>
        <v>CO-26-062</v>
      </c>
      <c r="B575">
        <v>26</v>
      </c>
      <c r="C575" s="18046">
        <v>46199</v>
      </c>
      <c r="D575" t="s">
        <v>2</v>
      </c>
      <c r="E575" t="s">
        <v>852</v>
      </c>
      <c r="F575" t="s">
        <v>383</v>
      </c>
      <c r="G575" s="3">
        <v>41</v>
      </c>
      <c r="H575" s="18047">
        <v>27</v>
      </c>
      <c r="I575" s="18047">
        <v>1107</v>
      </c>
      <c r="J575" t="s">
        <v>851</v>
      </c>
    </row>
    <row r="576" spans="1:10">
      <c r="A576" t="str">
        <f>IF(LEFT(E576,1)="1","SOL",IF(LEFT(E576,1)="2","CO",IF(LEFT(E576,1)="3","ALM",IF(LEFT(E576,1)="4","FAC","TRX")))) &amp; "-" &amp; B576 &amp; "-" &amp; TEXT(COUNTIFS($E$2:$E576,E576,$B$2:$B576,B576),"000")</f>
        <v>CO-26-063</v>
      </c>
      <c r="B576">
        <v>26</v>
      </c>
      <c r="C576" s="18046">
        <v>46199</v>
      </c>
      <c r="D576" t="s">
        <v>1</v>
      </c>
      <c r="E576" t="s">
        <v>852</v>
      </c>
      <c r="F576" t="s">
        <v>215</v>
      </c>
      <c r="G576" s="3">
        <v>329</v>
      </c>
      <c r="H576" s="18047">
        <v>27</v>
      </c>
      <c r="I576" s="18047">
        <v>8883</v>
      </c>
      <c r="J576" t="s">
        <v>851</v>
      </c>
    </row>
    <row r="577" spans="1:10">
      <c r="A577" t="str">
        <f>IF(LEFT(E577,1)="1","SOL",IF(LEFT(E577,1)="2","CO",IF(LEFT(E577,1)="3","ALM",IF(LEFT(E577,1)="4","FAC","TRX")))) &amp; "-" &amp; B577 &amp; "-" &amp; TEXT(COUNTIFS($E$2:$E577,E577,$B$2:$B577,B577),"000")</f>
        <v>CO-26-064</v>
      </c>
      <c r="B577">
        <v>26</v>
      </c>
      <c r="C577" s="18046">
        <v>46199</v>
      </c>
      <c r="D577" t="s">
        <v>111</v>
      </c>
      <c r="E577" t="s">
        <v>852</v>
      </c>
      <c r="F577" t="s">
        <v>237</v>
      </c>
      <c r="G577" s="3">
        <v>480</v>
      </c>
      <c r="H577" s="18047">
        <v>27</v>
      </c>
      <c r="I577" s="18047">
        <v>12960</v>
      </c>
      <c r="J577" t="s">
        <v>851</v>
      </c>
    </row>
    <row r="578" spans="1:10">
      <c r="A578" t="str">
        <f>IF(LEFT(E578,1)="1","SOL",IF(LEFT(E578,1)="2","CO",IF(LEFT(E578,1)="3","ALM",IF(LEFT(E578,1)="4","FAC","TRX")))) &amp; "-" &amp; B578 &amp; "-" &amp; TEXT(COUNTIFS($E$2:$E578,E578,$B$2:$B578,B578),"000")</f>
        <v>CO-26-065</v>
      </c>
      <c r="B578">
        <v>26</v>
      </c>
      <c r="C578" s="18046">
        <v>46199</v>
      </c>
      <c r="D578" t="s">
        <v>111</v>
      </c>
      <c r="E578" t="s">
        <v>852</v>
      </c>
      <c r="F578" t="s">
        <v>243</v>
      </c>
      <c r="G578" s="3">
        <v>220</v>
      </c>
      <c r="H578" s="18047">
        <v>27</v>
      </c>
      <c r="I578" s="18047">
        <v>5940</v>
      </c>
      <c r="J578" t="s">
        <v>851</v>
      </c>
    </row>
    <row r="579" spans="1:10">
      <c r="A579" t="str">
        <f>IF(LEFT(E579,1)="1","SOL",IF(LEFT(E579,1)="2","CO",IF(LEFT(E579,1)="3","ALM",IF(LEFT(E579,1)="4","FAC","TRX")))) &amp; "-" &amp; B579 &amp; "-" &amp; TEXT(COUNTIFS($E$2:$E579,E579,$B$2:$B579,B579),"000")</f>
        <v>CO-26-066</v>
      </c>
      <c r="B579">
        <v>26</v>
      </c>
      <c r="C579" s="18046">
        <v>46199</v>
      </c>
      <c r="D579" t="s">
        <v>111</v>
      </c>
      <c r="E579" t="s">
        <v>852</v>
      </c>
      <c r="F579" t="s">
        <v>220</v>
      </c>
      <c r="G579" s="3">
        <v>80</v>
      </c>
      <c r="H579" s="18047">
        <v>27</v>
      </c>
      <c r="I579" s="18047">
        <v>2160</v>
      </c>
      <c r="J579" t="s">
        <v>851</v>
      </c>
    </row>
    <row r="580" spans="1:10">
      <c r="A580" t="str">
        <f>IF(LEFT(E580,1)="1","SOL",IF(LEFT(E580,1)="2","CO",IF(LEFT(E580,1)="3","ALM",IF(LEFT(E580,1)="4","FAC","TRX")))) &amp; "-" &amp; B580 &amp; "-" &amp; TEXT(COUNTIFS($E$2:$E580,E580,$B$2:$B580,B580),"000")</f>
        <v>CO-26-067</v>
      </c>
      <c r="B580">
        <v>26</v>
      </c>
      <c r="C580" s="18046">
        <v>46199</v>
      </c>
      <c r="D580" t="s">
        <v>111</v>
      </c>
      <c r="E580" t="s">
        <v>852</v>
      </c>
      <c r="F580" t="s">
        <v>209</v>
      </c>
      <c r="G580" s="3">
        <v>80</v>
      </c>
      <c r="H580" s="18047">
        <v>27</v>
      </c>
      <c r="I580" s="18047">
        <v>2160</v>
      </c>
      <c r="J580" t="s">
        <v>851</v>
      </c>
    </row>
    <row r="581" spans="1:10">
      <c r="A581" t="str">
        <f>IF(LEFT(E581,1)="1","SOL",IF(LEFT(E581,1)="2","CO",IF(LEFT(E581,1)="3","ALM",IF(LEFT(E581,1)="4","FAC","TRX")))) &amp; "-" &amp; B581 &amp; "-" &amp; TEXT(COUNTIFS($E$2:$E581,E581,$B$2:$B581,B581),"000")</f>
        <v>CO-26-068</v>
      </c>
      <c r="B581">
        <v>26</v>
      </c>
      <c r="C581" s="18046">
        <v>46199</v>
      </c>
      <c r="D581" t="s">
        <v>1</v>
      </c>
      <c r="E581" t="s">
        <v>852</v>
      </c>
      <c r="F581" t="s">
        <v>215</v>
      </c>
      <c r="G581" s="3">
        <v>200</v>
      </c>
      <c r="H581" s="18047">
        <v>27</v>
      </c>
      <c r="I581" s="18047">
        <v>5400</v>
      </c>
      <c r="J581" t="s">
        <v>851</v>
      </c>
    </row>
    <row r="582" spans="1:10">
      <c r="A582" t="str">
        <f>IF(LEFT(E582,1)="1","SOL",IF(LEFT(E582,1)="2","CO",IF(LEFT(E582,1)="3","ALM",IF(LEFT(E582,1)="4","FAC","TRX")))) &amp; "-" &amp; B582 &amp; "-" &amp; TEXT(COUNTIFS($E$2:$E582,E582,$B$2:$B582,B582),"000")</f>
        <v>CO-26-069</v>
      </c>
      <c r="B582">
        <v>26</v>
      </c>
      <c r="C582" s="18046">
        <v>46199</v>
      </c>
      <c r="D582" t="s">
        <v>124</v>
      </c>
      <c r="E582" t="s">
        <v>852</v>
      </c>
      <c r="F582" t="s">
        <v>798</v>
      </c>
      <c r="G582" s="3">
        <v>200</v>
      </c>
      <c r="H582" s="18047">
        <v>27</v>
      </c>
      <c r="I582" s="18047">
        <v>5400</v>
      </c>
      <c r="J582" t="s">
        <v>851</v>
      </c>
    </row>
    <row r="583" spans="1:10">
      <c r="A583" t="str">
        <f>IF(LEFT(E583,1)="1","SOL",IF(LEFT(E583,1)="2","CO",IF(LEFT(E583,1)="3","ALM",IF(LEFT(E583,1)="4","FAC","TRX")))) &amp; "-" &amp; B583 &amp; "-" &amp; TEXT(COUNTIFS($E$2:$E583,E583,$B$2:$B583,B583),"000")</f>
        <v>CO-26-070</v>
      </c>
      <c r="B583">
        <v>26</v>
      </c>
      <c r="C583" s="18046">
        <v>46200</v>
      </c>
      <c r="D583" t="s">
        <v>1</v>
      </c>
      <c r="E583" t="s">
        <v>852</v>
      </c>
      <c r="F583" t="s">
        <v>216</v>
      </c>
      <c r="G583" s="3">
        <v>24</v>
      </c>
      <c r="H583" s="18047">
        <v>27</v>
      </c>
      <c r="I583" s="18047">
        <v>648</v>
      </c>
      <c r="J583" t="s">
        <v>851</v>
      </c>
    </row>
    <row r="584" spans="1:10">
      <c r="A584" t="str">
        <f>IF(LEFT(E584,1)="1","SOL",IF(LEFT(E584,1)="2","CO",IF(LEFT(E584,1)="3","ALM",IF(LEFT(E584,1)="4","FAC","TRX")))) &amp; "-" &amp; B584 &amp; "-" &amp; TEXT(COUNTIFS($E$2:$E584,E584,$B$2:$B584,B584),"000")</f>
        <v>CO-26-071</v>
      </c>
      <c r="B584">
        <v>26</v>
      </c>
      <c r="C584" s="18046">
        <v>46200</v>
      </c>
      <c r="D584" t="s">
        <v>1</v>
      </c>
      <c r="E584" t="s">
        <v>852</v>
      </c>
      <c r="F584" t="s">
        <v>235</v>
      </c>
      <c r="G584" s="3">
        <v>50</v>
      </c>
      <c r="H584" s="18047">
        <v>27</v>
      </c>
      <c r="I584" s="18047">
        <v>1350</v>
      </c>
      <c r="J584" t="s">
        <v>851</v>
      </c>
    </row>
    <row r="585" spans="1:10">
      <c r="A585" t="str">
        <f>IF(LEFT(E585,1)="1","SOL",IF(LEFT(E585,1)="2","CO",IF(LEFT(E585,1)="3","ALM",IF(LEFT(E585,1)="4","FAC","TRX")))) &amp; "-" &amp; B585 &amp; "-" &amp; TEXT(COUNTIFS($E$2:$E585,E585,$B$2:$B585,B585),"000")</f>
        <v>CO-26-072</v>
      </c>
      <c r="B585">
        <v>26</v>
      </c>
      <c r="C585" s="18046">
        <v>46200</v>
      </c>
      <c r="D585" t="s">
        <v>1</v>
      </c>
      <c r="E585" t="s">
        <v>852</v>
      </c>
      <c r="F585" t="s">
        <v>215</v>
      </c>
      <c r="G585" s="3">
        <v>118</v>
      </c>
      <c r="H585" s="18047">
        <v>27</v>
      </c>
      <c r="I585" s="18047">
        <v>3186</v>
      </c>
      <c r="J585" t="s">
        <v>851</v>
      </c>
    </row>
    <row r="586" spans="1:10">
      <c r="A586" t="str">
        <f>IF(LEFT(E586,1)="1","SOL",IF(LEFT(E586,1)="2","CO",IF(LEFT(E586,1)="3","ALM",IF(LEFT(E586,1)="4","FAC","TRX")))) &amp; "-" &amp; B586 &amp; "-" &amp; TEXT(COUNTIFS($E$2:$E586,E586,$B$2:$B586,B586),"000")</f>
        <v>CO-26-073</v>
      </c>
      <c r="B586">
        <v>26</v>
      </c>
      <c r="C586" s="18046">
        <v>46200</v>
      </c>
      <c r="D586" t="s">
        <v>124</v>
      </c>
      <c r="E586" t="s">
        <v>852</v>
      </c>
      <c r="F586" t="s">
        <v>798</v>
      </c>
      <c r="G586" s="3">
        <v>100</v>
      </c>
      <c r="H586" s="18047">
        <v>27</v>
      </c>
      <c r="I586" s="18047">
        <v>2700</v>
      </c>
      <c r="J586" t="s">
        <v>851</v>
      </c>
    </row>
    <row r="587" spans="1:10">
      <c r="A587" t="str">
        <f>IF(LEFT(E587,1)="1","SOL",IF(LEFT(E587,1)="2","CO",IF(LEFT(E587,1)="3","ALM",IF(LEFT(E587,1)="4","FAC","TRX")))) &amp; "-" &amp; B587 &amp; "-" &amp; TEXT(COUNTIFS($E$2:$E587,E587,$B$2:$B587,B587),"000")</f>
        <v>CO-26-074</v>
      </c>
      <c r="B587">
        <v>26</v>
      </c>
      <c r="C587" s="18046">
        <v>46200</v>
      </c>
      <c r="D587" t="s">
        <v>124</v>
      </c>
      <c r="E587" t="s">
        <v>852</v>
      </c>
      <c r="F587" t="s">
        <v>241</v>
      </c>
      <c r="G587" s="3">
        <v>60</v>
      </c>
      <c r="H587" s="18047">
        <v>27</v>
      </c>
      <c r="I587" s="18047">
        <v>1620</v>
      </c>
      <c r="J587" t="s">
        <v>851</v>
      </c>
    </row>
    <row r="588" spans="1:10">
      <c r="A588" t="str">
        <f>IF(LEFT(E588,1)="1","SOL",IF(LEFT(E588,1)="2","CO",IF(LEFT(E588,1)="3","ALM",IF(LEFT(E588,1)="4","FAC","TRX")))) &amp; "-" &amp; B588 &amp; "-" &amp; TEXT(COUNTIFS($E$2:$E588,E588,$B$2:$B588,B588),"000")</f>
        <v>CO-26-075</v>
      </c>
      <c r="B588">
        <v>26</v>
      </c>
      <c r="C588" s="18046">
        <v>46200</v>
      </c>
      <c r="D588" t="s">
        <v>124</v>
      </c>
      <c r="E588" t="s">
        <v>852</v>
      </c>
      <c r="F588" t="s">
        <v>248</v>
      </c>
      <c r="G588" s="3">
        <v>40</v>
      </c>
      <c r="H588" s="18047">
        <v>27</v>
      </c>
      <c r="I588" s="18047">
        <v>1080</v>
      </c>
      <c r="J588" t="s">
        <v>851</v>
      </c>
    </row>
    <row r="589" spans="1:10">
      <c r="A589" t="str">
        <f>IF(LEFT(E589,1)="1","SOL",IF(LEFT(E589,1)="2","CO",IF(LEFT(E589,1)="3","ALM",IF(LEFT(E589,1)="4","FAC","TRX")))) &amp; "-" &amp; B589 &amp; "-" &amp; TEXT(COUNTIFS($E$2:$E589,E589,$B$2:$B589,B589),"000")</f>
        <v>CO-26-076</v>
      </c>
      <c r="B589">
        <v>26</v>
      </c>
      <c r="C589" s="18046">
        <v>46200</v>
      </c>
      <c r="D589" t="s">
        <v>124</v>
      </c>
      <c r="E589" t="s">
        <v>852</v>
      </c>
      <c r="F589" t="s">
        <v>245</v>
      </c>
      <c r="G589" s="3">
        <v>200</v>
      </c>
      <c r="H589" s="18047">
        <v>27</v>
      </c>
      <c r="I589" s="18047">
        <v>5400</v>
      </c>
      <c r="J589" t="s">
        <v>851</v>
      </c>
    </row>
    <row r="590" spans="1:10">
      <c r="A590" t="str">
        <f>IF(LEFT(E590,1)="1","SOL",IF(LEFT(E590,1)="2","CO",IF(LEFT(E590,1)="3","ALM",IF(LEFT(E590,1)="4","FAC","TRX")))) &amp; "-" &amp; B590 &amp; "-" &amp; TEXT(COUNTIFS($E$2:$E590,E590,$B$2:$B590,B590),"000")</f>
        <v>CO-26-077</v>
      </c>
      <c r="B590">
        <v>26</v>
      </c>
      <c r="C590" s="18046">
        <v>46200</v>
      </c>
      <c r="D590" t="s">
        <v>124</v>
      </c>
      <c r="E590" t="s">
        <v>852</v>
      </c>
      <c r="F590" t="s">
        <v>800</v>
      </c>
      <c r="G590" s="3">
        <v>200</v>
      </c>
      <c r="H590" s="18047">
        <v>27</v>
      </c>
      <c r="I590" s="18047">
        <v>5400</v>
      </c>
      <c r="J590" t="s">
        <v>851</v>
      </c>
    </row>
    <row r="591" spans="1:10">
      <c r="A591" t="str">
        <f>IF(LEFT(E591,1)="1","SOL",IF(LEFT(E591,1)="2","CO",IF(LEFT(E591,1)="3","ALM",IF(LEFT(E591,1)="4","FAC","TRX")))) &amp; "-" &amp; B591 &amp; "-" &amp; TEXT(COUNTIFS($E$2:$E591,E591,$B$2:$B591,B591),"000")</f>
        <v>CO-27-001</v>
      </c>
      <c r="B591">
        <v>27</v>
      </c>
      <c r="C591" s="18046">
        <v>46202</v>
      </c>
      <c r="D591" t="s">
        <v>1</v>
      </c>
      <c r="E591" t="s">
        <v>852</v>
      </c>
      <c r="F591" t="s">
        <v>368</v>
      </c>
      <c r="G591" s="3">
        <v>102</v>
      </c>
      <c r="H591" s="18047">
        <v>27</v>
      </c>
      <c r="I591" s="18047">
        <v>2754</v>
      </c>
      <c r="J591" t="s">
        <v>851</v>
      </c>
    </row>
    <row r="592" spans="1:10">
      <c r="A592" t="str">
        <f>IF(LEFT(E592,1)="1","SOL",IF(LEFT(E592,1)="2","CO",IF(LEFT(E592,1)="3","ALM",IF(LEFT(E592,1)="4","FAC","TRX")))) &amp; "-" &amp; B592 &amp; "-" &amp; TEXT(COUNTIFS($E$2:$E592,E592,$B$2:$B592,B592),"000")</f>
        <v>CO-27-002</v>
      </c>
      <c r="B592">
        <v>27</v>
      </c>
      <c r="C592" s="18046">
        <v>46202</v>
      </c>
      <c r="D592" t="s">
        <v>1</v>
      </c>
      <c r="E592" t="s">
        <v>852</v>
      </c>
      <c r="F592" t="s">
        <v>219</v>
      </c>
      <c r="G592" s="3">
        <v>41</v>
      </c>
      <c r="H592" s="18047">
        <v>27</v>
      </c>
      <c r="I592" s="18047">
        <v>1107</v>
      </c>
      <c r="J592" t="s">
        <v>851</v>
      </c>
    </row>
    <row r="593" spans="1:10">
      <c r="A593" t="str">
        <f>IF(LEFT(E593,1)="1","SOL",IF(LEFT(E593,1)="2","CO",IF(LEFT(E593,1)="3","ALM",IF(LEFT(E593,1)="4","FAC","TRX")))) &amp; "-" &amp; B593 &amp; "-" &amp; TEXT(COUNTIFS($E$2:$E593,E593,$B$2:$B593,B593),"000")</f>
        <v>CO-27-003</v>
      </c>
      <c r="B593">
        <v>27</v>
      </c>
      <c r="C593" s="18046">
        <v>46202</v>
      </c>
      <c r="D593" t="s">
        <v>1</v>
      </c>
      <c r="E593" t="s">
        <v>852</v>
      </c>
      <c r="F593" t="s">
        <v>220</v>
      </c>
      <c r="G593" s="3">
        <v>23</v>
      </c>
      <c r="H593" s="18047">
        <v>27</v>
      </c>
      <c r="I593" s="18047">
        <v>621</v>
      </c>
      <c r="J593" t="s">
        <v>851</v>
      </c>
    </row>
    <row r="594" spans="1:10">
      <c r="A594" t="str">
        <f>IF(LEFT(E594,1)="1","SOL",IF(LEFT(E594,1)="2","CO",IF(LEFT(E594,1)="3","ALM",IF(LEFT(E594,1)="4","FAC","TRX")))) &amp; "-" &amp; B594 &amp; "-" &amp; TEXT(COUNTIFS($E$2:$E594,E594,$B$2:$B594,B594),"000")</f>
        <v>CO-27-004</v>
      </c>
      <c r="B594">
        <v>27</v>
      </c>
      <c r="C594" s="18046">
        <v>46202</v>
      </c>
      <c r="D594" t="s">
        <v>1</v>
      </c>
      <c r="E594" t="s">
        <v>852</v>
      </c>
      <c r="F594" t="s">
        <v>228</v>
      </c>
      <c r="G594" s="3">
        <v>60</v>
      </c>
      <c r="H594" s="18047">
        <v>27</v>
      </c>
      <c r="I594" s="18047">
        <v>1620</v>
      </c>
      <c r="J594" t="s">
        <v>851</v>
      </c>
    </row>
    <row r="595" spans="1:10">
      <c r="A595" t="str">
        <f>IF(LEFT(E595,1)="1","SOL",IF(LEFT(E595,1)="2","CO",IF(LEFT(E595,1)="3","ALM",IF(LEFT(E595,1)="4","FAC","TRX")))) &amp; "-" &amp; B595 &amp; "-" &amp; TEXT(COUNTIFS($E$2:$E595,E595,$B$2:$B595,B595),"000")</f>
        <v>CO-27-005</v>
      </c>
      <c r="B595">
        <v>27</v>
      </c>
      <c r="C595" s="18046">
        <v>46202</v>
      </c>
      <c r="D595" t="s">
        <v>1</v>
      </c>
      <c r="E595" t="s">
        <v>852</v>
      </c>
      <c r="F595" t="s">
        <v>215</v>
      </c>
      <c r="G595" s="3">
        <v>97</v>
      </c>
      <c r="H595" s="18047">
        <v>27</v>
      </c>
      <c r="I595" s="18047">
        <v>2619</v>
      </c>
      <c r="J595" t="s">
        <v>851</v>
      </c>
    </row>
    <row r="596" spans="1:10">
      <c r="A596" t="str">
        <f>IF(LEFT(E596,1)="1","SOL",IF(LEFT(E596,1)="2","CO",IF(LEFT(E596,1)="3","ALM",IF(LEFT(E596,1)="4","FAC","TRX")))) &amp; "-" &amp; B596 &amp; "-" &amp; TEXT(COUNTIFS($E$2:$E596,E596,$B$2:$B596,B596),"000")</f>
        <v>CO-27-006</v>
      </c>
      <c r="B596">
        <v>27</v>
      </c>
      <c r="C596" s="18046">
        <v>46202</v>
      </c>
      <c r="D596" t="s">
        <v>2</v>
      </c>
      <c r="E596" t="s">
        <v>852</v>
      </c>
      <c r="F596" t="s">
        <v>365</v>
      </c>
      <c r="G596" s="3">
        <v>178</v>
      </c>
      <c r="H596" s="18047">
        <v>27</v>
      </c>
      <c r="I596" s="18047">
        <v>4806</v>
      </c>
      <c r="J596" t="s">
        <v>851</v>
      </c>
    </row>
    <row r="597" spans="1:10">
      <c r="A597" t="str">
        <f>IF(LEFT(E597,1)="1","SOL",IF(LEFT(E597,1)="2","CO",IF(LEFT(E597,1)="3","ALM",IF(LEFT(E597,1)="4","FAC","TRX")))) &amp; "-" &amp; B597 &amp; "-" &amp; TEXT(COUNTIFS($E$2:$E597,E597,$B$2:$B597,B597),"000")</f>
        <v>CO-27-007</v>
      </c>
      <c r="B597">
        <v>27</v>
      </c>
      <c r="C597" s="18046">
        <v>46202</v>
      </c>
      <c r="D597" t="s">
        <v>2</v>
      </c>
      <c r="E597" t="s">
        <v>852</v>
      </c>
      <c r="F597" t="s">
        <v>221</v>
      </c>
      <c r="G597" s="3">
        <v>38</v>
      </c>
      <c r="H597" s="18047">
        <v>27</v>
      </c>
      <c r="I597" s="18047">
        <v>1026</v>
      </c>
      <c r="J597" t="s">
        <v>851</v>
      </c>
    </row>
    <row r="598" spans="1:10">
      <c r="A598" t="str">
        <f>IF(LEFT(E598,1)="1","SOL",IF(LEFT(E598,1)="2","CO",IF(LEFT(E598,1)="3","ALM",IF(LEFT(E598,1)="4","FAC","TRX")))) &amp; "-" &amp; B598 &amp; "-" &amp; TEXT(COUNTIFS($E$2:$E598,E598,$B$2:$B598,B598),"000")</f>
        <v>CO-27-008</v>
      </c>
      <c r="B598">
        <v>27</v>
      </c>
      <c r="C598" s="18046">
        <v>46202</v>
      </c>
      <c r="D598" t="s">
        <v>1</v>
      </c>
      <c r="E598" t="s">
        <v>852</v>
      </c>
      <c r="F598" t="s">
        <v>383</v>
      </c>
      <c r="G598" s="3">
        <v>50</v>
      </c>
      <c r="H598" s="18047">
        <v>27</v>
      </c>
      <c r="I598" s="18047">
        <v>1350</v>
      </c>
      <c r="J598" t="s">
        <v>851</v>
      </c>
    </row>
    <row r="599" spans="1:10">
      <c r="A599" t="str">
        <f>IF(LEFT(E599,1)="1","SOL",IF(LEFT(E599,1)="2","CO",IF(LEFT(E599,1)="3","ALM",IF(LEFT(E599,1)="4","FAC","TRX")))) &amp; "-" &amp; B599 &amp; "-" &amp; TEXT(COUNTIFS($E$2:$E599,E599,$B$2:$B599,B599),"000")</f>
        <v>CO-27-009</v>
      </c>
      <c r="B599">
        <v>27</v>
      </c>
      <c r="C599" s="18046">
        <v>46202</v>
      </c>
      <c r="D599" t="s">
        <v>124</v>
      </c>
      <c r="E599" t="s">
        <v>852</v>
      </c>
      <c r="F599" t="s">
        <v>798</v>
      </c>
      <c r="G599" s="3">
        <v>200</v>
      </c>
      <c r="H599" s="18047">
        <v>27</v>
      </c>
      <c r="I599" s="18047">
        <v>5400</v>
      </c>
      <c r="J599" t="s">
        <v>851</v>
      </c>
    </row>
    <row r="600" spans="1:10">
      <c r="A600" t="str">
        <f>IF(LEFT(E600,1)="1","SOL",IF(LEFT(E600,1)="2","CO",IF(LEFT(E600,1)="3","ALM",IF(LEFT(E600,1)="4","FAC","TRX")))) &amp; "-" &amp; B600 &amp; "-" &amp; TEXT(COUNTIFS($E$2:$E600,E600,$B$2:$B600,B600),"000")</f>
        <v>CO-27-010</v>
      </c>
      <c r="B600">
        <v>27</v>
      </c>
      <c r="C600" s="18046">
        <v>46202</v>
      </c>
      <c r="D600" t="s">
        <v>124</v>
      </c>
      <c r="E600" t="s">
        <v>852</v>
      </c>
      <c r="F600" t="s">
        <v>798</v>
      </c>
      <c r="G600" s="3">
        <v>80</v>
      </c>
      <c r="H600" s="18047">
        <v>27</v>
      </c>
      <c r="I600" s="18047">
        <v>2160</v>
      </c>
      <c r="J600" t="s">
        <v>851</v>
      </c>
    </row>
    <row r="601" spans="1:10">
      <c r="A601" t="str">
        <f>IF(LEFT(E601,1)="1","SOL",IF(LEFT(E601,1)="2","CO",IF(LEFT(E601,1)="3","ALM",IF(LEFT(E601,1)="4","FAC","TRX")))) &amp; "-" &amp; B601 &amp; "-" &amp; TEXT(COUNTIFS($E$2:$E601,E601,$B$2:$B601,B601),"000")</f>
        <v>CO-27-011</v>
      </c>
      <c r="B601">
        <v>27</v>
      </c>
      <c r="C601" s="18046">
        <v>46202</v>
      </c>
      <c r="D601" t="s">
        <v>124</v>
      </c>
      <c r="E601" t="s">
        <v>852</v>
      </c>
      <c r="F601" t="s">
        <v>240</v>
      </c>
      <c r="G601" s="3">
        <v>300</v>
      </c>
      <c r="H601" s="18047">
        <v>27</v>
      </c>
      <c r="I601" s="18047">
        <v>8100</v>
      </c>
      <c r="J601" t="s">
        <v>851</v>
      </c>
    </row>
    <row r="602" spans="1:10">
      <c r="A602" t="str">
        <f>IF(LEFT(E602,1)="1","SOL",IF(LEFT(E602,1)="2","CO",IF(LEFT(E602,1)="3","ALM",IF(LEFT(E602,1)="4","FAC","TRX")))) &amp; "-" &amp; B602 &amp; "-" &amp; TEXT(COUNTIFS($E$2:$E602,E602,$B$2:$B602,B602),"000")</f>
        <v>CO-27-012</v>
      </c>
      <c r="B602">
        <v>27</v>
      </c>
      <c r="C602" s="18046">
        <v>46202</v>
      </c>
      <c r="D602" t="s">
        <v>2</v>
      </c>
      <c r="E602" t="s">
        <v>852</v>
      </c>
      <c r="F602" t="s">
        <v>221</v>
      </c>
      <c r="G602" s="3">
        <v>38</v>
      </c>
      <c r="H602" s="18047">
        <v>27</v>
      </c>
      <c r="I602" s="18047">
        <v>1026</v>
      </c>
      <c r="J602" t="s">
        <v>851</v>
      </c>
    </row>
    <row r="603" spans="1:10">
      <c r="A603" t="str">
        <f>IF(LEFT(E603,1)="1","SOL",IF(LEFT(E603,1)="2","CO",IF(LEFT(E603,1)="3","ALM",IF(LEFT(E603,1)="4","FAC","TRX")))) &amp; "-" &amp; B603 &amp; "-" &amp; TEXT(COUNTIFS($E$2:$E603,E603,$B$2:$B603,B603),"000")</f>
        <v>CO-27-013</v>
      </c>
      <c r="B603">
        <v>27</v>
      </c>
      <c r="C603" s="18046">
        <v>46202</v>
      </c>
      <c r="D603" t="s">
        <v>115</v>
      </c>
      <c r="E603" t="s">
        <v>852</v>
      </c>
      <c r="F603" t="s">
        <v>245</v>
      </c>
      <c r="G603" s="3">
        <v>210</v>
      </c>
      <c r="H603" s="18047">
        <v>27</v>
      </c>
      <c r="I603" s="18047">
        <v>5670</v>
      </c>
      <c r="J603" t="s">
        <v>851</v>
      </c>
    </row>
    <row r="604" spans="1:10">
      <c r="A604" t="str">
        <f>IF(LEFT(E604,1)="1","SOL",IF(LEFT(E604,1)="2","CO",IF(LEFT(E604,1)="3","ALM",IF(LEFT(E604,1)="4","FAC","TRX")))) &amp; "-" &amp; B604 &amp; "-" &amp; TEXT(COUNTIFS($E$2:$E604,E604,$B$2:$B604,B604),"000")</f>
        <v>CO-27-014</v>
      </c>
      <c r="B604">
        <v>27</v>
      </c>
      <c r="C604" s="18046">
        <v>46202</v>
      </c>
      <c r="D604" t="s">
        <v>115</v>
      </c>
      <c r="E604" t="s">
        <v>852</v>
      </c>
      <c r="F604" t="s">
        <v>349</v>
      </c>
      <c r="G604" s="3">
        <v>300</v>
      </c>
      <c r="H604" s="18047">
        <v>27</v>
      </c>
      <c r="I604" s="18047">
        <v>8100</v>
      </c>
      <c r="J604" t="s">
        <v>851</v>
      </c>
    </row>
    <row r="605" spans="1:10">
      <c r="A605" t="str">
        <f>IF(LEFT(E605,1)="1","SOL",IF(LEFT(E605,1)="2","CO",IF(LEFT(E605,1)="3","ALM",IF(LEFT(E605,1)="4","FAC","TRX")))) &amp; "-" &amp; B605 &amp; "-" &amp; TEXT(COUNTIFS($E$2:$E605,E605,$B$2:$B605,B605),"000")</f>
        <v>CO-27-015</v>
      </c>
      <c r="B605">
        <v>27</v>
      </c>
      <c r="C605" s="18046">
        <v>46202</v>
      </c>
      <c r="D605" t="s">
        <v>159</v>
      </c>
      <c r="E605" t="s">
        <v>852</v>
      </c>
      <c r="F605" t="s">
        <v>383</v>
      </c>
      <c r="G605" s="3">
        <v>60</v>
      </c>
      <c r="H605" s="18047">
        <v>27</v>
      </c>
      <c r="I605" s="18047">
        <v>1620</v>
      </c>
      <c r="J605" t="s">
        <v>851</v>
      </c>
    </row>
    <row r="606" spans="1:10">
      <c r="A606" t="str">
        <f>IF(LEFT(E606,1)="1","SOL",IF(LEFT(E606,1)="2","CO",IF(LEFT(E606,1)="3","ALM",IF(LEFT(E606,1)="4","FAC","TRX")))) &amp; "-" &amp; B606 &amp; "-" &amp; TEXT(COUNTIFS($E$2:$E606,E606,$B$2:$B606,B606),"000")</f>
        <v>CO-27-016</v>
      </c>
      <c r="B606">
        <v>27</v>
      </c>
      <c r="C606" s="18046">
        <v>46202</v>
      </c>
      <c r="D606" t="s">
        <v>2</v>
      </c>
      <c r="E606" t="s">
        <v>852</v>
      </c>
      <c r="F606" t="s">
        <v>383</v>
      </c>
      <c r="G606" s="3">
        <v>59</v>
      </c>
      <c r="H606" s="18047">
        <v>27</v>
      </c>
      <c r="I606" s="18047">
        <v>1593</v>
      </c>
      <c r="J606" t="s">
        <v>851</v>
      </c>
    </row>
    <row r="607" spans="1:10">
      <c r="A607" t="str">
        <f>IF(LEFT(E607,1)="1","SOL",IF(LEFT(E607,1)="2","CO",IF(LEFT(E607,1)="3","ALM",IF(LEFT(E607,1)="4","FAC","TRX")))) &amp; "-" &amp; B607 &amp; "-" &amp; TEXT(COUNTIFS($E$2:$E607,E607,$B$2:$B607,B607),"000")</f>
        <v>CO-27-017</v>
      </c>
      <c r="B607">
        <v>27</v>
      </c>
      <c r="C607" s="18046">
        <v>46202</v>
      </c>
      <c r="D607" t="s">
        <v>2</v>
      </c>
      <c r="E607" t="s">
        <v>852</v>
      </c>
      <c r="F607" t="s">
        <v>235</v>
      </c>
      <c r="G607" s="3">
        <v>94</v>
      </c>
      <c r="H607" s="18047">
        <v>27</v>
      </c>
      <c r="I607" s="18047">
        <v>2538</v>
      </c>
      <c r="J607" t="s">
        <v>851</v>
      </c>
    </row>
    <row r="608" spans="1:10">
      <c r="A608" t="str">
        <f>IF(LEFT(E608,1)="1","SOL",IF(LEFT(E608,1)="2","CO",IF(LEFT(E608,1)="3","ALM",IF(LEFT(E608,1)="4","FAC","TRX")))) &amp; "-" &amp; B608 &amp; "-" &amp; TEXT(COUNTIFS($E$2:$E608,E608,$B$2:$B608,B608),"000")</f>
        <v>CO-27-018</v>
      </c>
      <c r="B608">
        <v>27</v>
      </c>
      <c r="C608" s="18046">
        <v>46202</v>
      </c>
      <c r="D608" t="s">
        <v>111</v>
      </c>
      <c r="E608" t="s">
        <v>852</v>
      </c>
      <c r="F608" t="s">
        <v>228</v>
      </c>
      <c r="G608" s="3">
        <v>45</v>
      </c>
      <c r="H608" s="18047">
        <v>27</v>
      </c>
      <c r="I608" s="18047">
        <v>1215</v>
      </c>
      <c r="J608" t="s">
        <v>851</v>
      </c>
    </row>
    <row r="609" spans="1:10">
      <c r="A609" t="str">
        <f>IF(LEFT(E609,1)="1","SOL",IF(LEFT(E609,1)="2","CO",IF(LEFT(E609,1)="3","ALM",IF(LEFT(E609,1)="4","FAC","TRX")))) &amp; "-" &amp; B609 &amp; "-" &amp; TEXT(COUNTIFS($E$2:$E609,E609,$B$2:$B609,B609),"000")</f>
        <v>CO-27-019</v>
      </c>
      <c r="B609">
        <v>27</v>
      </c>
      <c r="C609" s="18046">
        <v>46203</v>
      </c>
      <c r="D609" t="s">
        <v>2</v>
      </c>
      <c r="E609" t="s">
        <v>852</v>
      </c>
      <c r="F609" t="s">
        <v>214</v>
      </c>
      <c r="G609" s="3">
        <v>400</v>
      </c>
      <c r="H609" s="18047">
        <v>27</v>
      </c>
      <c r="I609" s="18047">
        <v>10800</v>
      </c>
      <c r="J609" t="s">
        <v>851</v>
      </c>
    </row>
    <row r="610" spans="1:10">
      <c r="A610" t="str">
        <f>IF(LEFT(E610,1)="1","SOL",IF(LEFT(E610,1)="2","CO",IF(LEFT(E610,1)="3","ALM",IF(LEFT(E610,1)="4","FAC","TRX")))) &amp; "-" &amp; B610 &amp; "-" &amp; TEXT(COUNTIFS($E$2:$E610,E610,$B$2:$B610,B610),"000")</f>
        <v>CO-27-020</v>
      </c>
      <c r="B610">
        <v>27</v>
      </c>
      <c r="C610" s="18046">
        <v>46203</v>
      </c>
      <c r="D610" t="s">
        <v>2</v>
      </c>
      <c r="E610" t="s">
        <v>852</v>
      </c>
      <c r="F610" t="s">
        <v>217</v>
      </c>
      <c r="G610" s="3">
        <v>30</v>
      </c>
      <c r="H610" s="18047">
        <v>27</v>
      </c>
      <c r="I610" s="18047">
        <v>810</v>
      </c>
      <c r="J610" t="s">
        <v>851</v>
      </c>
    </row>
    <row r="611" spans="1:10">
      <c r="A611" t="str">
        <f>IF(LEFT(E611,1)="1","SOL",IF(LEFT(E611,1)="2","CO",IF(LEFT(E611,1)="3","ALM",IF(LEFT(E611,1)="4","FAC","TRX")))) &amp; "-" &amp; B611 &amp; "-" &amp; TEXT(COUNTIFS($E$2:$E611,E611,$B$2:$B611,B611),"000")</f>
        <v>CO-27-021</v>
      </c>
      <c r="B611">
        <v>27</v>
      </c>
      <c r="C611" s="18046">
        <v>46203</v>
      </c>
      <c r="D611" t="s">
        <v>124</v>
      </c>
      <c r="E611" t="s">
        <v>852</v>
      </c>
      <c r="F611" t="s">
        <v>798</v>
      </c>
      <c r="G611" s="3">
        <v>100</v>
      </c>
      <c r="H611" s="18047">
        <v>27</v>
      </c>
      <c r="I611" s="18047">
        <v>2700</v>
      </c>
      <c r="J611" t="s">
        <v>851</v>
      </c>
    </row>
    <row r="612" spans="1:10">
      <c r="A612" t="str">
        <f>IF(LEFT(E612,1)="1","SOL",IF(LEFT(E612,1)="2","CO",IF(LEFT(E612,1)="3","ALM",IF(LEFT(E612,1)="4","FAC","TRX")))) &amp; "-" &amp; B612 &amp; "-" &amp; TEXT(COUNTIFS($E$2:$E612,E612,$B$2:$B612,B612),"000")</f>
        <v>CO-27-022</v>
      </c>
      <c r="B612">
        <v>27</v>
      </c>
      <c r="C612" s="18046">
        <v>46203</v>
      </c>
      <c r="D612" t="s">
        <v>833</v>
      </c>
      <c r="E612" t="s">
        <v>852</v>
      </c>
      <c r="F612" t="s">
        <v>835</v>
      </c>
      <c r="G612" s="3">
        <v>50</v>
      </c>
      <c r="H612" s="18047">
        <v>27</v>
      </c>
      <c r="I612" s="18047">
        <v>1350</v>
      </c>
      <c r="J612" t="s">
        <v>851</v>
      </c>
    </row>
    <row r="613" spans="1:10">
      <c r="A613" t="str">
        <f>IF(LEFT(E613,1)="1","SOL",IF(LEFT(E613,1)="2","CO",IF(LEFT(E613,1)="3","ALM",IF(LEFT(E613,1)="4","FAC","TRX")))) &amp; "-" &amp; B613 &amp; "-" &amp; TEXT(COUNTIFS($E$2:$E613,E613,$B$2:$B613,B613),"000")</f>
        <v>CO-27-023</v>
      </c>
      <c r="B613">
        <v>27</v>
      </c>
      <c r="C613" s="18046">
        <v>46203</v>
      </c>
      <c r="D613" t="s">
        <v>833</v>
      </c>
      <c r="E613" t="s">
        <v>852</v>
      </c>
      <c r="F613" t="s">
        <v>223</v>
      </c>
      <c r="G613" s="3">
        <v>50</v>
      </c>
      <c r="H613" s="18047">
        <v>27</v>
      </c>
      <c r="I613" s="18047">
        <v>1350</v>
      </c>
      <c r="J613" t="s">
        <v>851</v>
      </c>
    </row>
    <row r="614" spans="1:10">
      <c r="A614" t="str">
        <f>IF(LEFT(E614,1)="1","SOL",IF(LEFT(E614,1)="2","CO",IF(LEFT(E614,1)="3","ALM",IF(LEFT(E614,1)="4","FAC","TRX")))) &amp; "-" &amp; B614 &amp; "-" &amp; TEXT(COUNTIFS($E$2:$E614,E614,$B$2:$B614,B614),"000")</f>
        <v>CO-27-024</v>
      </c>
      <c r="B614">
        <v>27</v>
      </c>
      <c r="C614" s="18046">
        <v>46203</v>
      </c>
      <c r="D614" t="s">
        <v>833</v>
      </c>
      <c r="E614" t="s">
        <v>852</v>
      </c>
      <c r="F614" t="s">
        <v>837</v>
      </c>
      <c r="G614" s="3">
        <v>100</v>
      </c>
      <c r="H614" s="18047">
        <v>27</v>
      </c>
      <c r="I614" s="18047">
        <v>2700</v>
      </c>
      <c r="J614" t="s">
        <v>851</v>
      </c>
    </row>
    <row r="615" spans="1:10">
      <c r="A615" t="str">
        <f>IF(LEFT(E615,1)="1","SOL",IF(LEFT(E615,1)="2","CO",IF(LEFT(E615,1)="3","ALM",IF(LEFT(E615,1)="4","FAC","TRX")))) &amp; "-" &amp; B615 &amp; "-" &amp; TEXT(COUNTIFS($E$2:$E615,E615,$B$2:$B615,B615),"000")</f>
        <v>CO-27-025</v>
      </c>
      <c r="B615">
        <v>27</v>
      </c>
      <c r="C615" s="18046">
        <v>46203</v>
      </c>
      <c r="D615" t="s">
        <v>2</v>
      </c>
      <c r="E615" t="s">
        <v>852</v>
      </c>
      <c r="F615" t="s">
        <v>246</v>
      </c>
      <c r="G615" s="3">
        <v>29</v>
      </c>
      <c r="H615" s="18047">
        <v>27</v>
      </c>
      <c r="I615" s="18047">
        <v>783</v>
      </c>
      <c r="J615" t="s">
        <v>851</v>
      </c>
    </row>
    <row r="616" spans="1:10">
      <c r="A616" t="str">
        <f>IF(LEFT(E616,1)="1","SOL",IF(LEFT(E616,1)="2","CO",IF(LEFT(E616,1)="3","ALM",IF(LEFT(E616,1)="4","FAC","TRX")))) &amp; "-" &amp; B616 &amp; "-" &amp; TEXT(COUNTIFS($E$2:$E616,E616,$B$2:$B616,B616),"000")</f>
        <v>CO-27-026</v>
      </c>
      <c r="B616">
        <v>27</v>
      </c>
      <c r="C616" s="18046">
        <v>46204</v>
      </c>
      <c r="D616" t="s">
        <v>1</v>
      </c>
      <c r="E616" t="s">
        <v>852</v>
      </c>
      <c r="F616" t="s">
        <v>219</v>
      </c>
      <c r="G616" s="3">
        <v>33</v>
      </c>
      <c r="H616" s="18047">
        <v>27</v>
      </c>
      <c r="I616" s="18047">
        <v>891</v>
      </c>
      <c r="J616" t="s">
        <v>851</v>
      </c>
    </row>
    <row r="617" spans="1:10">
      <c r="A617" t="str">
        <f>IF(LEFT(E617,1)="1","SOL",IF(LEFT(E617,1)="2","CO",IF(LEFT(E617,1)="3","ALM",IF(LEFT(E617,1)="4","FAC","TRX")))) &amp; "-" &amp; B617 &amp; "-" &amp; TEXT(COUNTIFS($E$2:$E617,E617,$B$2:$B617,B617),"000")</f>
        <v>CO-27-027</v>
      </c>
      <c r="B617">
        <v>27</v>
      </c>
      <c r="C617" s="18046">
        <v>46204</v>
      </c>
      <c r="D617" t="s">
        <v>1</v>
      </c>
      <c r="E617" t="s">
        <v>852</v>
      </c>
      <c r="F617" t="s">
        <v>223</v>
      </c>
      <c r="G617" s="3">
        <v>40</v>
      </c>
      <c r="H617" s="18047">
        <v>27</v>
      </c>
      <c r="I617" s="18047">
        <v>1080</v>
      </c>
      <c r="J617" t="s">
        <v>851</v>
      </c>
    </row>
    <row r="618" spans="1:10">
      <c r="A618" t="str">
        <f>IF(LEFT(E618,1)="1","SOL",IF(LEFT(E618,1)="2","CO",IF(LEFT(E618,1)="3","ALM",IF(LEFT(E618,1)="4","FAC","TRX")))) &amp; "-" &amp; B618 &amp; "-" &amp; TEXT(COUNTIFS($E$2:$E618,E618,$B$2:$B618,B618),"000")</f>
        <v>CO-27-028</v>
      </c>
      <c r="B618">
        <v>27</v>
      </c>
      <c r="C618" s="18046">
        <v>46204</v>
      </c>
      <c r="D618" t="s">
        <v>1</v>
      </c>
      <c r="E618" t="s">
        <v>852</v>
      </c>
      <c r="F618" t="s">
        <v>220</v>
      </c>
      <c r="G618" s="3">
        <v>40</v>
      </c>
      <c r="H618" s="18047">
        <v>27</v>
      </c>
      <c r="I618" s="18047">
        <v>1080</v>
      </c>
      <c r="J618" t="s">
        <v>851</v>
      </c>
    </row>
    <row r="619" spans="1:10">
      <c r="A619" t="str">
        <f>IF(LEFT(E619,1)="1","SOL",IF(LEFT(E619,1)="2","CO",IF(LEFT(E619,1)="3","ALM",IF(LEFT(E619,1)="4","FAC","TRX")))) &amp; "-" &amp; B619 &amp; "-" &amp; TEXT(COUNTIFS($E$2:$E619,E619,$B$2:$B619,B619),"000")</f>
        <v>CO-27-029</v>
      </c>
      <c r="B619">
        <v>27</v>
      </c>
      <c r="C619" s="18046">
        <v>46204</v>
      </c>
      <c r="D619" t="s">
        <v>1</v>
      </c>
      <c r="E619" t="s">
        <v>852</v>
      </c>
      <c r="F619" t="s">
        <v>224</v>
      </c>
      <c r="G619" s="3">
        <v>40</v>
      </c>
      <c r="H619" s="18047">
        <v>27</v>
      </c>
      <c r="I619" s="18047">
        <v>1080</v>
      </c>
      <c r="J619" t="s">
        <v>851</v>
      </c>
    </row>
    <row r="620" spans="1:10">
      <c r="A620" t="str">
        <f>IF(LEFT(E620,1)="1","SOL",IF(LEFT(E620,1)="2","CO",IF(LEFT(E620,1)="3","ALM",IF(LEFT(E620,1)="4","FAC","TRX")))) &amp; "-" &amp; B620 &amp; "-" &amp; TEXT(COUNTIFS($E$2:$E620,E620,$B$2:$B620,B620),"000")</f>
        <v>CO-27-030</v>
      </c>
      <c r="B620">
        <v>27</v>
      </c>
      <c r="C620" s="18046">
        <v>46204</v>
      </c>
      <c r="D620" t="s">
        <v>1</v>
      </c>
      <c r="E620" t="s">
        <v>852</v>
      </c>
      <c r="F620" t="s">
        <v>367</v>
      </c>
      <c r="G620" s="3">
        <v>120</v>
      </c>
      <c r="H620" s="18047">
        <v>27</v>
      </c>
      <c r="I620" s="18047">
        <v>3240</v>
      </c>
      <c r="J620" t="s">
        <v>851</v>
      </c>
    </row>
    <row r="621" spans="1:10">
      <c r="A621" t="str">
        <f>IF(LEFT(E621,1)="1","SOL",IF(LEFT(E621,1)="2","CO",IF(LEFT(E621,1)="3","ALM",IF(LEFT(E621,1)="4","FAC","TRX")))) &amp; "-" &amp; B621 &amp; "-" &amp; TEXT(COUNTIFS($E$2:$E621,E621,$B$2:$B621,B621),"000")</f>
        <v>CO-24-061</v>
      </c>
      <c r="B621">
        <v>24</v>
      </c>
      <c r="C621" s="18046">
        <v>46181</v>
      </c>
      <c r="D621" t="s">
        <v>1</v>
      </c>
      <c r="E621" t="s">
        <v>852</v>
      </c>
      <c r="F621" t="s">
        <v>853</v>
      </c>
      <c r="G621" s="3">
        <v>30</v>
      </c>
      <c r="H621" s="18047">
        <v>28.3</v>
      </c>
      <c r="I621" s="18047">
        <v>849</v>
      </c>
      <c r="J621" t="s">
        <v>851</v>
      </c>
    </row>
    <row r="622" spans="1:10">
      <c r="A622" t="str">
        <f>IF(LEFT(E622,1)="1","SOL",IF(LEFT(E622,1)="2","CO",IF(LEFT(E622,1)="3","ALM",IF(LEFT(E622,1)="4","FAC","TRX")))) &amp; "-" &amp; B622 &amp; "-" &amp; TEXT(COUNTIFS($E$2:$E622,E622,$B$2:$B622,B622),"000")</f>
        <v>CO-24-062</v>
      </c>
      <c r="B622">
        <v>24</v>
      </c>
      <c r="C622" s="18046">
        <v>46181</v>
      </c>
      <c r="D622" t="s">
        <v>1</v>
      </c>
      <c r="E622" t="s">
        <v>852</v>
      </c>
      <c r="F622" t="s">
        <v>854</v>
      </c>
      <c r="G622" s="3">
        <v>32</v>
      </c>
      <c r="H622" s="18047">
        <v>28.3</v>
      </c>
      <c r="I622" s="18047">
        <v>905.6</v>
      </c>
      <c r="J622" t="s">
        <v>851</v>
      </c>
    </row>
    <row r="623" spans="1:10">
      <c r="A623" t="str">
        <f>IF(LEFT(E623,1)="1","SOL",IF(LEFT(E623,1)="2","CO",IF(LEFT(E623,1)="3","ALM",IF(LEFT(E623,1)="4","FAC","TRX")))) &amp; "-" &amp; B623 &amp; "-" &amp; TEXT(COUNTIFS($E$2:$E623,E623,$B$2:$B623,B623),"000")</f>
        <v>CO-24-063</v>
      </c>
      <c r="B623">
        <v>24</v>
      </c>
      <c r="C623" s="18046">
        <v>46181</v>
      </c>
      <c r="D623" t="s">
        <v>1</v>
      </c>
      <c r="E623" t="s">
        <v>852</v>
      </c>
      <c r="F623" t="s">
        <v>855</v>
      </c>
      <c r="G623" s="3">
        <v>277</v>
      </c>
      <c r="H623" s="18047">
        <v>28.3</v>
      </c>
      <c r="I623" s="18047">
        <v>7839.1</v>
      </c>
      <c r="J623" t="s">
        <v>851</v>
      </c>
    </row>
    <row r="624" spans="1:10">
      <c r="A624" t="str">
        <f>IF(LEFT(E624,1)="1","SOL",IF(LEFT(E624,1)="2","CO",IF(LEFT(E624,1)="3","ALM",IF(LEFT(E624,1)="4","FAC","TRX")))) &amp; "-" &amp; B624 &amp; "-" &amp; TEXT(COUNTIFS($E$2:$E624,E624,$B$2:$B624,B624),"000")</f>
        <v>CO-24-064</v>
      </c>
      <c r="B624">
        <v>24</v>
      </c>
      <c r="C624" s="18046">
        <v>46181</v>
      </c>
      <c r="D624" t="s">
        <v>1</v>
      </c>
      <c r="E624" t="s">
        <v>852</v>
      </c>
      <c r="F624" t="s">
        <v>856</v>
      </c>
      <c r="G624" s="3">
        <v>30</v>
      </c>
      <c r="H624" s="18047">
        <v>28.3</v>
      </c>
      <c r="I624" s="18047">
        <v>849</v>
      </c>
      <c r="J624" t="s">
        <v>851</v>
      </c>
    </row>
    <row r="625" spans="1:10">
      <c r="A625" t="str">
        <f>IF(LEFT(E625,1)="1","SOL",IF(LEFT(E625,1)="2","CO",IF(LEFT(E625,1)="3","ALM",IF(LEFT(E625,1)="4","FAC","TRX")))) &amp; "-" &amp; B625 &amp; "-" &amp; TEXT(COUNTIFS($E$2:$E625,E625,$B$2:$B625,B625),"000")</f>
        <v>CO-24-065</v>
      </c>
      <c r="B625">
        <v>24</v>
      </c>
      <c r="C625" s="18046">
        <v>46181</v>
      </c>
      <c r="D625" t="s">
        <v>2</v>
      </c>
      <c r="E625" t="s">
        <v>852</v>
      </c>
      <c r="F625" t="s">
        <v>857</v>
      </c>
      <c r="G625" s="3">
        <v>97</v>
      </c>
      <c r="H625" s="18047">
        <v>28.3</v>
      </c>
      <c r="I625" s="18047">
        <v>2745.1</v>
      </c>
      <c r="J625" t="s">
        <v>851</v>
      </c>
    </row>
    <row r="626" spans="1:10">
      <c r="A626" t="str">
        <f>IF(LEFT(E626,1)="1","SOL",IF(LEFT(E626,1)="2","CO",IF(LEFT(E626,1)="3","ALM",IF(LEFT(E626,1)="4","FAC","TRX")))) &amp; "-" &amp; B626 &amp; "-" &amp; TEXT(COUNTIFS($E$2:$E626,E626,$B$2:$B626,B626),"000")</f>
        <v>CO-24-066</v>
      </c>
      <c r="B626">
        <v>24</v>
      </c>
      <c r="C626" s="18046">
        <v>46181</v>
      </c>
      <c r="D626" t="s">
        <v>3</v>
      </c>
      <c r="E626" t="s">
        <v>852</v>
      </c>
      <c r="F626" t="s">
        <v>858</v>
      </c>
      <c r="G626" s="3">
        <v>198</v>
      </c>
      <c r="H626" s="18047">
        <v>28.3</v>
      </c>
      <c r="I626" s="18047">
        <v>5603.4000000000005</v>
      </c>
      <c r="J626" t="s">
        <v>851</v>
      </c>
    </row>
    <row r="627" spans="1:10">
      <c r="A627" t="str">
        <f>IF(LEFT(E627,1)="1","SOL",IF(LEFT(E627,1)="2","CO",IF(LEFT(E627,1)="3","ALM",IF(LEFT(E627,1)="4","FAC","TRX")))) &amp; "-" &amp; B627 &amp; "-" &amp; TEXT(COUNTIFS($E$2:$E627,E627,$B$2:$B627,B627),"000")</f>
        <v>CO-24-067</v>
      </c>
      <c r="B627">
        <v>24</v>
      </c>
      <c r="C627" s="18046">
        <v>46181</v>
      </c>
      <c r="D627" t="s">
        <v>3</v>
      </c>
      <c r="E627" t="s">
        <v>852</v>
      </c>
      <c r="F627" t="s">
        <v>859</v>
      </c>
      <c r="G627" s="3">
        <v>10</v>
      </c>
      <c r="H627" s="18047">
        <v>28.3</v>
      </c>
      <c r="I627" s="18047">
        <v>283</v>
      </c>
      <c r="J627" t="s">
        <v>851</v>
      </c>
    </row>
    <row r="628" spans="1:10">
      <c r="A628" t="str">
        <f>IF(LEFT(E628,1)="1","SOL",IF(LEFT(E628,1)="2","CO",IF(LEFT(E628,1)="3","ALM",IF(LEFT(E628,1)="4","FAC","TRX")))) &amp; "-" &amp; B628 &amp; "-" &amp; TEXT(COUNTIFS($E$2:$E628,E628,$B$2:$B628,B628),"000")</f>
        <v>CO-24-068</v>
      </c>
      <c r="B628">
        <v>24</v>
      </c>
      <c r="C628" s="18046">
        <v>46181</v>
      </c>
      <c r="D628" t="s">
        <v>3</v>
      </c>
      <c r="E628" t="s">
        <v>852</v>
      </c>
      <c r="F628" t="s">
        <v>860</v>
      </c>
      <c r="G628" s="3">
        <v>27</v>
      </c>
      <c r="H628" s="18047">
        <v>28.3</v>
      </c>
      <c r="I628" s="18047">
        <v>764.1</v>
      </c>
      <c r="J628" t="s">
        <v>851</v>
      </c>
    </row>
    <row r="629" spans="1:10">
      <c r="A629" t="str">
        <f>IF(LEFT(E629,1)="1","SOL",IF(LEFT(E629,1)="2","CO",IF(LEFT(E629,1)="3","ALM",IF(LEFT(E629,1)="4","FAC","TRX")))) &amp; "-" &amp; B629 &amp; "-" &amp; TEXT(COUNTIFS($E$2:$E629,E629,$B$2:$B629,B629),"000")</f>
        <v>CO-24-069</v>
      </c>
      <c r="B629">
        <v>24</v>
      </c>
      <c r="C629" s="18046">
        <v>46181</v>
      </c>
      <c r="D629" t="s">
        <v>3</v>
      </c>
      <c r="E629" t="s">
        <v>852</v>
      </c>
      <c r="F629" t="s">
        <v>861</v>
      </c>
      <c r="G629" s="3">
        <v>30</v>
      </c>
      <c r="H629" s="18047">
        <v>28.3</v>
      </c>
      <c r="I629" s="18047">
        <v>849</v>
      </c>
      <c r="J629" t="s">
        <v>851</v>
      </c>
    </row>
    <row r="630" spans="1:10">
      <c r="A630" t="str">
        <f>IF(LEFT(E630,1)="1","SOL",IF(LEFT(E630,1)="2","CO",IF(LEFT(E630,1)="3","ALM",IF(LEFT(E630,1)="4","FAC","TRX")))) &amp; "-" &amp; B630 &amp; "-" &amp; TEXT(COUNTIFS($E$2:$E630,E630,$B$2:$B630,B630),"000")</f>
        <v>CO-24-070</v>
      </c>
      <c r="B630">
        <v>24</v>
      </c>
      <c r="C630" s="18046">
        <v>46181</v>
      </c>
      <c r="D630" t="s">
        <v>3</v>
      </c>
      <c r="E630" t="s">
        <v>852</v>
      </c>
      <c r="F630" t="s">
        <v>862</v>
      </c>
      <c r="G630" s="3">
        <v>40</v>
      </c>
      <c r="H630" s="18047">
        <v>28.3</v>
      </c>
      <c r="I630" s="18047">
        <v>1132</v>
      </c>
      <c r="J630" t="s">
        <v>851</v>
      </c>
    </row>
    <row r="631" spans="1:10">
      <c r="A631" t="str">
        <f>IF(LEFT(E631,1)="1","SOL",IF(LEFT(E631,1)="2","CO",IF(LEFT(E631,1)="3","ALM",IF(LEFT(E631,1)="4","FAC","TRX")))) &amp; "-" &amp; B631 &amp; "-" &amp; TEXT(COUNTIFS($E$2:$E631,E631,$B$2:$B631,B631),"000")</f>
        <v>CO-24-071</v>
      </c>
      <c r="B631">
        <v>24</v>
      </c>
      <c r="C631" s="18046">
        <v>46181</v>
      </c>
      <c r="D631" t="s">
        <v>3</v>
      </c>
      <c r="E631" t="s">
        <v>852</v>
      </c>
      <c r="F631" t="s">
        <v>863</v>
      </c>
      <c r="G631" s="3">
        <v>120</v>
      </c>
      <c r="H631" s="18047">
        <v>28.3</v>
      </c>
      <c r="I631" s="18047">
        <v>3396</v>
      </c>
      <c r="J631" t="s">
        <v>851</v>
      </c>
    </row>
    <row r="632" spans="1:10">
      <c r="A632" t="str">
        <f>IF(LEFT(E632,1)="1","SOL",IF(LEFT(E632,1)="2","CO",IF(LEFT(E632,1)="3","ALM",IF(LEFT(E632,1)="4","FAC","TRX")))) &amp; "-" &amp; B632 &amp; "-" &amp; TEXT(COUNTIFS($E$2:$E632,E632,$B$2:$B632,B632),"000")</f>
        <v>CO-24-072</v>
      </c>
      <c r="B632">
        <v>24</v>
      </c>
      <c r="C632" s="18046">
        <v>46181</v>
      </c>
      <c r="D632" t="s">
        <v>3</v>
      </c>
      <c r="E632" t="s">
        <v>852</v>
      </c>
      <c r="F632" t="s">
        <v>864</v>
      </c>
      <c r="G632" s="3">
        <v>30</v>
      </c>
      <c r="H632" s="18047">
        <v>28.3</v>
      </c>
      <c r="I632" s="18047">
        <v>849</v>
      </c>
      <c r="J632" t="s">
        <v>851</v>
      </c>
    </row>
    <row r="633" spans="1:10">
      <c r="A633" t="str">
        <f>IF(LEFT(E633,1)="1","SOL",IF(LEFT(E633,1)="2","CO",IF(LEFT(E633,1)="3","ALM",IF(LEFT(E633,1)="4","FAC","TRX")))) &amp; "-" &amp; B633 &amp; "-" &amp; TEXT(COUNTIFS($E$2:$E633,E633,$B$2:$B633,B633),"000")</f>
        <v>CO-24-073</v>
      </c>
      <c r="B633">
        <v>24</v>
      </c>
      <c r="C633" s="18046">
        <v>46182</v>
      </c>
      <c r="D633" t="s">
        <v>3</v>
      </c>
      <c r="E633" t="s">
        <v>852</v>
      </c>
      <c r="F633" t="s">
        <v>865</v>
      </c>
      <c r="G633" s="3">
        <v>30</v>
      </c>
      <c r="H633" s="18047">
        <v>28.3</v>
      </c>
      <c r="I633" s="18047">
        <v>849</v>
      </c>
      <c r="J633" t="s">
        <v>851</v>
      </c>
    </row>
    <row r="634" spans="1:10">
      <c r="A634" t="str">
        <f>IF(LEFT(E634,1)="1","SOL",IF(LEFT(E634,1)="2","CO",IF(LEFT(E634,1)="3","ALM",IF(LEFT(E634,1)="4","FAC","TRX")))) &amp; "-" &amp; B634 &amp; "-" &amp; TEXT(COUNTIFS($E$2:$E634,E634,$B$2:$B634,B634),"000")</f>
        <v>CO-24-074</v>
      </c>
      <c r="B634">
        <v>24</v>
      </c>
      <c r="C634" s="18046">
        <v>46182</v>
      </c>
      <c r="D634" t="s">
        <v>3</v>
      </c>
      <c r="E634" t="s">
        <v>852</v>
      </c>
      <c r="F634" t="s">
        <v>866</v>
      </c>
      <c r="G634" s="3">
        <v>100</v>
      </c>
      <c r="H634" s="18047">
        <v>28.3</v>
      </c>
      <c r="I634" s="18047">
        <v>2830</v>
      </c>
      <c r="J634" t="s">
        <v>851</v>
      </c>
    </row>
    <row r="635" spans="1:10">
      <c r="A635" t="str">
        <f>IF(LEFT(E635,1)="1","SOL",IF(LEFT(E635,1)="2","CO",IF(LEFT(E635,1)="3","ALM",IF(LEFT(E635,1)="4","FAC","TRX")))) &amp; "-" &amp; B635 &amp; "-" &amp; TEXT(COUNTIFS($E$2:$E635,E635,$B$2:$B635,B635),"000")</f>
        <v>CO-24-075</v>
      </c>
      <c r="B635">
        <v>24</v>
      </c>
      <c r="C635" s="18046">
        <v>46182</v>
      </c>
      <c r="D635" t="s">
        <v>3</v>
      </c>
      <c r="E635" t="s">
        <v>852</v>
      </c>
      <c r="F635" t="s">
        <v>867</v>
      </c>
      <c r="G635" s="3">
        <v>30</v>
      </c>
      <c r="H635" s="18047">
        <v>28.3</v>
      </c>
      <c r="I635" s="18047">
        <v>849</v>
      </c>
      <c r="J635" t="s">
        <v>851</v>
      </c>
    </row>
    <row r="636" spans="1:10">
      <c r="A636" t="str">
        <f>IF(LEFT(E636,1)="1","SOL",IF(LEFT(E636,1)="2","CO",IF(LEFT(E636,1)="3","ALM",IF(LEFT(E636,1)="4","FAC","TRX")))) &amp; "-" &amp; B636 &amp; "-" &amp; TEXT(COUNTIFS($E$2:$E636,E636,$B$2:$B636,B636),"000")</f>
        <v>CO-24-076</v>
      </c>
      <c r="B636">
        <v>24</v>
      </c>
      <c r="C636" s="18046">
        <v>46182</v>
      </c>
      <c r="D636" t="s">
        <v>3</v>
      </c>
      <c r="E636" t="s">
        <v>852</v>
      </c>
      <c r="F636" t="s">
        <v>858</v>
      </c>
      <c r="G636" s="3">
        <v>150</v>
      </c>
      <c r="H636" s="18047">
        <v>28.3</v>
      </c>
      <c r="I636" s="18047">
        <v>4245</v>
      </c>
      <c r="J636" t="s">
        <v>851</v>
      </c>
    </row>
    <row r="637" spans="1:10">
      <c r="A637" t="str">
        <f>IF(LEFT(E637,1)="1","SOL",IF(LEFT(E637,1)="2","CO",IF(LEFT(E637,1)="3","ALM",IF(LEFT(E637,1)="4","FAC","TRX")))) &amp; "-" &amp; B637 &amp; "-" &amp; TEXT(COUNTIFS($E$2:$E637,E637,$B$2:$B637,B637),"000")</f>
        <v>CO-24-077</v>
      </c>
      <c r="B637">
        <v>24</v>
      </c>
      <c r="C637" s="18046">
        <v>46182</v>
      </c>
      <c r="D637" t="s">
        <v>3</v>
      </c>
      <c r="E637" t="s">
        <v>852</v>
      </c>
      <c r="F637" t="s">
        <v>864</v>
      </c>
      <c r="G637" s="3">
        <v>50</v>
      </c>
      <c r="H637" s="18047">
        <v>28.3</v>
      </c>
      <c r="I637" s="18047">
        <v>1415</v>
      </c>
      <c r="J637" t="s">
        <v>851</v>
      </c>
    </row>
    <row r="638" spans="1:10">
      <c r="A638" t="str">
        <f>IF(LEFT(E638,1)="1","SOL",IF(LEFT(E638,1)="2","CO",IF(LEFT(E638,1)="3","ALM",IF(LEFT(E638,1)="4","FAC","TRX")))) &amp; "-" &amp; B638 &amp; "-" &amp; TEXT(COUNTIFS($E$2:$E638,E638,$B$2:$B638,B638),"000")</f>
        <v>CO-24-078</v>
      </c>
      <c r="B638">
        <v>24</v>
      </c>
      <c r="C638" s="18046">
        <v>46182</v>
      </c>
      <c r="D638" t="s">
        <v>3</v>
      </c>
      <c r="E638" t="s">
        <v>852</v>
      </c>
      <c r="F638" t="s">
        <v>863</v>
      </c>
      <c r="G638" s="3">
        <v>136</v>
      </c>
      <c r="H638" s="18047">
        <v>28.3</v>
      </c>
      <c r="I638" s="18047">
        <v>3848.8</v>
      </c>
      <c r="J638" t="s">
        <v>851</v>
      </c>
    </row>
    <row r="639" spans="1:10">
      <c r="A639" t="str">
        <f>IF(LEFT(E639,1)="1","SOL",IF(LEFT(E639,1)="2","CO",IF(LEFT(E639,1)="3","ALM",IF(LEFT(E639,1)="4","FAC","TRX")))) &amp; "-" &amp; B639 &amp; "-" &amp; TEXT(COUNTIFS($E$2:$E639,E639,$B$2:$B639,B639),"000")</f>
        <v>CO-24-079</v>
      </c>
      <c r="B639">
        <v>24</v>
      </c>
      <c r="C639" s="18046">
        <v>46182</v>
      </c>
      <c r="D639" t="s">
        <v>3</v>
      </c>
      <c r="E639" t="s">
        <v>852</v>
      </c>
      <c r="F639" t="s">
        <v>867</v>
      </c>
      <c r="G639" s="3">
        <v>30</v>
      </c>
      <c r="H639" s="18047">
        <v>28.3</v>
      </c>
      <c r="I639" s="18047">
        <v>849</v>
      </c>
      <c r="J639" t="s">
        <v>851</v>
      </c>
    </row>
    <row r="640" spans="1:10">
      <c r="A640" t="str">
        <f>IF(LEFT(E640,1)="1","SOL",IF(LEFT(E640,1)="2","CO",IF(LEFT(E640,1)="3","ALM",IF(LEFT(E640,1)="4","FAC","TRX")))) &amp; "-" &amp; B640 &amp; "-" &amp; TEXT(COUNTIFS($E$2:$E640,E640,$B$2:$B640,B640),"000")</f>
        <v>CO-24-080</v>
      </c>
      <c r="B640">
        <v>24</v>
      </c>
      <c r="C640" s="18046">
        <v>46182</v>
      </c>
      <c r="D640" t="s">
        <v>3</v>
      </c>
      <c r="E640" t="s">
        <v>852</v>
      </c>
      <c r="F640" t="s">
        <v>853</v>
      </c>
      <c r="G640" s="3">
        <v>30</v>
      </c>
      <c r="H640" s="18047">
        <v>28.3</v>
      </c>
      <c r="I640" s="18047">
        <v>849</v>
      </c>
      <c r="J640" t="s">
        <v>851</v>
      </c>
    </row>
    <row r="641" spans="1:10">
      <c r="A641" t="str">
        <f>IF(LEFT(E641,1)="1","SOL",IF(LEFT(E641,1)="2","CO",IF(LEFT(E641,1)="3","ALM",IF(LEFT(E641,1)="4","FAC","TRX")))) &amp; "-" &amp; B641 &amp; "-" &amp; TEXT(COUNTIFS($E$2:$E641,E641,$B$2:$B641,B641),"000")</f>
        <v>CO-24-081</v>
      </c>
      <c r="B641">
        <v>24</v>
      </c>
      <c r="C641" s="18046">
        <v>46182</v>
      </c>
      <c r="D641" t="s">
        <v>3</v>
      </c>
      <c r="E641" t="s">
        <v>852</v>
      </c>
      <c r="F641" t="s">
        <v>866</v>
      </c>
      <c r="G641" s="3">
        <v>100</v>
      </c>
      <c r="H641" s="18047">
        <v>28.3</v>
      </c>
      <c r="I641" s="18047">
        <v>2830</v>
      </c>
      <c r="J641" t="s">
        <v>851</v>
      </c>
    </row>
    <row r="642" spans="1:10">
      <c r="A642" t="str">
        <f>IF(LEFT(E642,1)="1","SOL",IF(LEFT(E642,1)="2","CO",IF(LEFT(E642,1)="3","ALM",IF(LEFT(E642,1)="4","FAC","TRX")))) &amp; "-" &amp; B642 &amp; "-" &amp; TEXT(COUNTIFS($E$2:$E642,E642,$B$2:$B642,B642),"000")</f>
        <v>CO-24-082</v>
      </c>
      <c r="B642">
        <v>24</v>
      </c>
      <c r="C642" s="18046">
        <v>46182</v>
      </c>
      <c r="D642" t="s">
        <v>3</v>
      </c>
      <c r="E642" t="s">
        <v>852</v>
      </c>
      <c r="F642" t="s">
        <v>862</v>
      </c>
      <c r="G642" s="3">
        <v>60</v>
      </c>
      <c r="H642" s="18047">
        <v>28.3</v>
      </c>
      <c r="I642" s="18047">
        <v>1698</v>
      </c>
      <c r="J642" t="s">
        <v>851</v>
      </c>
    </row>
    <row r="643" spans="1:10">
      <c r="A643" t="str">
        <f>IF(LEFT(E643,1)="1","SOL",IF(LEFT(E643,1)="2","CO",IF(LEFT(E643,1)="3","ALM",IF(LEFT(E643,1)="4","FAC","TRX")))) &amp; "-" &amp; B643 &amp; "-" &amp; TEXT(COUNTIFS($E$2:$E643,E643,$B$2:$B643,B643),"000")</f>
        <v>CO-24-083</v>
      </c>
      <c r="B643">
        <v>24</v>
      </c>
      <c r="C643" s="18046">
        <v>46182</v>
      </c>
      <c r="D643" t="s">
        <v>3</v>
      </c>
      <c r="E643" t="s">
        <v>852</v>
      </c>
      <c r="F643" t="s">
        <v>861</v>
      </c>
      <c r="G643" s="3">
        <v>20</v>
      </c>
      <c r="H643" s="18047">
        <v>28.3</v>
      </c>
      <c r="I643" s="18047">
        <v>566</v>
      </c>
      <c r="J643" t="s">
        <v>851</v>
      </c>
    </row>
    <row r="644" spans="1:10">
      <c r="A644" t="str">
        <f>IF(LEFT(E644,1)="1","SOL",IF(LEFT(E644,1)="2","CO",IF(LEFT(E644,1)="3","ALM",IF(LEFT(E644,1)="4","FAC","TRX")))) &amp; "-" &amp; B644 &amp; "-" &amp; TEXT(COUNTIFS($E$2:$E644,E644,$B$2:$B644,B644),"000")</f>
        <v>CO-24-084</v>
      </c>
      <c r="B644">
        <v>24</v>
      </c>
      <c r="C644" s="18046">
        <v>46183</v>
      </c>
      <c r="D644" t="s">
        <v>1</v>
      </c>
      <c r="E644" t="s">
        <v>852</v>
      </c>
      <c r="F644" t="s">
        <v>868</v>
      </c>
      <c r="G644" s="3">
        <v>20</v>
      </c>
      <c r="H644" s="18047">
        <v>28.3</v>
      </c>
      <c r="I644" s="18047">
        <v>566</v>
      </c>
      <c r="J644" t="s">
        <v>851</v>
      </c>
    </row>
    <row r="645" spans="1:10">
      <c r="A645" t="str">
        <f>IF(LEFT(E645,1)="1","SOL",IF(LEFT(E645,1)="2","CO",IF(LEFT(E645,1)="3","ALM",IF(LEFT(E645,1)="4","FAC","TRX")))) &amp; "-" &amp; B645 &amp; "-" &amp; TEXT(COUNTIFS($E$2:$E645,E645,$B$2:$B645,B645),"000")</f>
        <v>CO-24-085</v>
      </c>
      <c r="B645">
        <v>24</v>
      </c>
      <c r="C645" s="18046">
        <v>46183</v>
      </c>
      <c r="D645" t="s">
        <v>1</v>
      </c>
      <c r="E645" t="s">
        <v>852</v>
      </c>
      <c r="F645" t="s">
        <v>855</v>
      </c>
      <c r="G645" s="3">
        <v>250</v>
      </c>
      <c r="H645" s="18047">
        <v>28.3</v>
      </c>
      <c r="I645" s="18047">
        <v>7075</v>
      </c>
      <c r="J645" t="s">
        <v>851</v>
      </c>
    </row>
    <row r="646" spans="1:10">
      <c r="A646" t="str">
        <f>IF(LEFT(E646,1)="1","SOL",IF(LEFT(E646,1)="2","CO",IF(LEFT(E646,1)="3","ALM",IF(LEFT(E646,1)="4","FAC","TRX")))) &amp; "-" &amp; B646 &amp; "-" &amp; TEXT(COUNTIFS($E$2:$E646,E646,$B$2:$B646,B646),"000")</f>
        <v>CO-24-086</v>
      </c>
      <c r="B646">
        <v>24</v>
      </c>
      <c r="C646" s="18046">
        <v>46183</v>
      </c>
      <c r="D646" t="s">
        <v>1</v>
      </c>
      <c r="E646" t="s">
        <v>852</v>
      </c>
      <c r="F646" t="s">
        <v>856</v>
      </c>
      <c r="G646" s="3">
        <v>30</v>
      </c>
      <c r="H646" s="18047">
        <v>28.3</v>
      </c>
      <c r="I646" s="18047">
        <v>849</v>
      </c>
      <c r="J646" t="s">
        <v>851</v>
      </c>
    </row>
    <row r="647" spans="1:10">
      <c r="A647" t="str">
        <f>IF(LEFT(E647,1)="1","SOL",IF(LEFT(E647,1)="2","CO",IF(LEFT(E647,1)="3","ALM",IF(LEFT(E647,1)="4","FAC","TRX")))) &amp; "-" &amp; B647 &amp; "-" &amp; TEXT(COUNTIFS($E$2:$E647,E647,$B$2:$B647,B647),"000")</f>
        <v>CO-24-087</v>
      </c>
      <c r="B647">
        <v>24</v>
      </c>
      <c r="C647" s="18046">
        <v>46184</v>
      </c>
      <c r="D647" t="s">
        <v>1</v>
      </c>
      <c r="E647" t="s">
        <v>852</v>
      </c>
      <c r="F647" t="s">
        <v>854</v>
      </c>
      <c r="G647" s="3">
        <v>30</v>
      </c>
      <c r="H647" s="18047">
        <v>28.3</v>
      </c>
      <c r="I647" s="18047">
        <v>849</v>
      </c>
      <c r="J647" t="s">
        <v>851</v>
      </c>
    </row>
    <row r="648" spans="1:10">
      <c r="A648" t="str">
        <f>IF(LEFT(E648,1)="1","SOL",IF(LEFT(E648,1)="2","CO",IF(LEFT(E648,1)="3","ALM",IF(LEFT(E648,1)="4","FAC","TRX")))) &amp; "-" &amp; B648 &amp; "-" &amp; TEXT(COUNTIFS($E$2:$E648,E648,$B$2:$B648,B648),"000")</f>
        <v>CO-24-088</v>
      </c>
      <c r="B648">
        <v>24</v>
      </c>
      <c r="C648" s="18046">
        <v>46184</v>
      </c>
      <c r="D648" t="s">
        <v>1</v>
      </c>
      <c r="E648" t="s">
        <v>852</v>
      </c>
      <c r="F648" t="s">
        <v>853</v>
      </c>
      <c r="G648" s="3">
        <v>30</v>
      </c>
      <c r="H648" s="18047">
        <v>28.3</v>
      </c>
      <c r="I648" s="18047">
        <v>849</v>
      </c>
      <c r="J648" t="s">
        <v>851</v>
      </c>
    </row>
    <row r="649" spans="1:10">
      <c r="A649" t="str">
        <f>IF(LEFT(E649,1)="1","SOL",IF(LEFT(E649,1)="2","CO",IF(LEFT(E649,1)="3","ALM",IF(LEFT(E649,1)="4","FAC","TRX")))) &amp; "-" &amp; B649 &amp; "-" &amp; TEXT(COUNTIFS($E$2:$E649,E649,$B$2:$B649,B649),"000")</f>
        <v>CO-24-089</v>
      </c>
      <c r="B649">
        <v>24</v>
      </c>
      <c r="C649" s="18046">
        <v>46184</v>
      </c>
      <c r="D649" t="s">
        <v>1</v>
      </c>
      <c r="E649" t="s">
        <v>852</v>
      </c>
      <c r="F649" t="s">
        <v>857</v>
      </c>
      <c r="G649" s="3">
        <v>136</v>
      </c>
      <c r="H649" s="18047">
        <v>28.3</v>
      </c>
      <c r="I649" s="18047">
        <v>3848.8</v>
      </c>
      <c r="J649" t="s">
        <v>851</v>
      </c>
    </row>
    <row r="650" spans="1:10">
      <c r="A650" t="str">
        <f>IF(LEFT(E650,1)="1","SOL",IF(LEFT(E650,1)="2","CO",IF(LEFT(E650,1)="3","ALM",IF(LEFT(E650,1)="4","FAC","TRX")))) &amp; "-" &amp; B650 &amp; "-" &amp; TEXT(COUNTIFS($E$2:$E650,E650,$B$2:$B650,B650),"000")</f>
        <v>CO-24-090</v>
      </c>
      <c r="B650">
        <v>24</v>
      </c>
      <c r="C650" s="18046">
        <v>46184</v>
      </c>
      <c r="D650" t="s">
        <v>1</v>
      </c>
      <c r="E650" t="s">
        <v>852</v>
      </c>
      <c r="F650" t="s">
        <v>868</v>
      </c>
      <c r="G650" s="3">
        <v>20</v>
      </c>
      <c r="H650" s="18047">
        <v>28.3</v>
      </c>
      <c r="I650" s="18047">
        <v>566</v>
      </c>
      <c r="J650" t="s">
        <v>851</v>
      </c>
    </row>
    <row r="651" spans="1:10">
      <c r="A651" t="str">
        <f>IF(LEFT(E651,1)="1","SOL",IF(LEFT(E651,1)="2","CO",IF(LEFT(E651,1)="3","ALM",IF(LEFT(E651,1)="4","FAC","TRX")))) &amp; "-" &amp; B651 &amp; "-" &amp; TEXT(COUNTIFS($E$2:$E651,E651,$B$2:$B651,B651),"000")</f>
        <v>CO-24-091</v>
      </c>
      <c r="B651">
        <v>24</v>
      </c>
      <c r="C651" s="18046">
        <v>46184</v>
      </c>
      <c r="D651" t="s">
        <v>1</v>
      </c>
      <c r="E651" t="s">
        <v>852</v>
      </c>
      <c r="F651" t="s">
        <v>856</v>
      </c>
      <c r="G651" s="3">
        <v>20</v>
      </c>
      <c r="H651" s="18047">
        <v>28.3</v>
      </c>
      <c r="I651" s="18047">
        <v>566</v>
      </c>
      <c r="J651" t="s">
        <v>851</v>
      </c>
    </row>
    <row r="652" spans="1:10">
      <c r="A652" t="str">
        <f>IF(LEFT(E652,1)="1","SOL",IF(LEFT(E652,1)="2","CO",IF(LEFT(E652,1)="3","ALM",IF(LEFT(E652,1)="4","FAC","TRX")))) &amp; "-" &amp; B652 &amp; "-" &amp; TEXT(COUNTIFS($E$2:$E652,E652,$B$2:$B652,B652),"000")</f>
        <v>CO-24-092</v>
      </c>
      <c r="B652">
        <v>24</v>
      </c>
      <c r="C652" s="18046">
        <v>46184</v>
      </c>
      <c r="D652" t="s">
        <v>1</v>
      </c>
      <c r="E652" t="s">
        <v>852</v>
      </c>
      <c r="F652" t="s">
        <v>859</v>
      </c>
      <c r="G652" s="3">
        <v>20</v>
      </c>
      <c r="H652" s="18047">
        <v>28.3</v>
      </c>
      <c r="I652" s="18047">
        <v>566</v>
      </c>
      <c r="J652" t="s">
        <v>851</v>
      </c>
    </row>
    <row r="653" spans="1:10">
      <c r="A653" t="str">
        <f>IF(LEFT(E653,1)="1","SOL",IF(LEFT(E653,1)="2","CO",IF(LEFT(E653,1)="3","ALM",IF(LEFT(E653,1)="4","FAC","TRX")))) &amp; "-" &amp; B653 &amp; "-" &amp; TEXT(COUNTIFS($E$2:$E653,E653,$B$2:$B653,B653),"000")</f>
        <v>CO-24-093</v>
      </c>
      <c r="B653">
        <v>24</v>
      </c>
      <c r="C653" s="18046">
        <v>46185</v>
      </c>
      <c r="D653" t="s">
        <v>3</v>
      </c>
      <c r="E653" t="s">
        <v>852</v>
      </c>
      <c r="F653" t="s">
        <v>867</v>
      </c>
      <c r="G653" s="3">
        <v>32</v>
      </c>
      <c r="H653" s="18047">
        <v>28.3</v>
      </c>
      <c r="I653" s="18047">
        <v>905.6</v>
      </c>
      <c r="J653" t="s">
        <v>851</v>
      </c>
    </row>
    <row r="654" spans="1:10">
      <c r="A654" t="str">
        <f>IF(LEFT(E654,1)="1","SOL",IF(LEFT(E654,1)="2","CO",IF(LEFT(E654,1)="3","ALM",IF(LEFT(E654,1)="4","FAC","TRX")))) &amp; "-" &amp; B654 &amp; "-" &amp; TEXT(COUNTIFS($E$2:$E654,E654,$B$2:$B654,B654),"000")</f>
        <v>CO-24-094</v>
      </c>
      <c r="B654">
        <v>24</v>
      </c>
      <c r="C654" s="18046">
        <v>46185</v>
      </c>
      <c r="D654" t="s">
        <v>3</v>
      </c>
      <c r="E654" t="s">
        <v>852</v>
      </c>
      <c r="F654" t="s">
        <v>860</v>
      </c>
      <c r="G654" s="3">
        <v>30</v>
      </c>
      <c r="H654" s="18047">
        <v>28.3</v>
      </c>
      <c r="I654" s="18047">
        <v>849</v>
      </c>
      <c r="J654" t="s">
        <v>851</v>
      </c>
    </row>
    <row r="655" spans="1:10">
      <c r="A655" t="str">
        <f>IF(LEFT(E655,1)="1","SOL",IF(LEFT(E655,1)="2","CO",IF(LEFT(E655,1)="3","ALM",IF(LEFT(E655,1)="4","FAC","TRX")))) &amp; "-" &amp; B655 &amp; "-" &amp; TEXT(COUNTIFS($E$2:$E655,E655,$B$2:$B655,B655),"000")</f>
        <v>CO-24-095</v>
      </c>
      <c r="B655">
        <v>24</v>
      </c>
      <c r="C655" s="18046">
        <v>46185</v>
      </c>
      <c r="D655" t="s">
        <v>3</v>
      </c>
      <c r="E655" t="s">
        <v>852</v>
      </c>
      <c r="F655" t="s">
        <v>865</v>
      </c>
      <c r="G655" s="3">
        <v>30</v>
      </c>
      <c r="H655" s="18047">
        <v>28.3</v>
      </c>
      <c r="I655" s="18047">
        <v>849</v>
      </c>
      <c r="J655" t="s">
        <v>851</v>
      </c>
    </row>
    <row r="656" spans="1:10">
      <c r="A656" t="str">
        <f>IF(LEFT(E656,1)="1","SOL",IF(LEFT(E656,1)="2","CO",IF(LEFT(E656,1)="3","ALM",IF(LEFT(E656,1)="4","FAC","TRX")))) &amp; "-" &amp; B656 &amp; "-" &amp; TEXT(COUNTIFS($E$2:$E656,E656,$B$2:$B656,B656),"000")</f>
        <v>CO-24-096</v>
      </c>
      <c r="B656">
        <v>24</v>
      </c>
      <c r="C656" s="18046">
        <v>46185</v>
      </c>
      <c r="D656" t="s">
        <v>3</v>
      </c>
      <c r="E656" t="s">
        <v>852</v>
      </c>
      <c r="F656" t="s">
        <v>862</v>
      </c>
      <c r="G656" s="3">
        <v>50</v>
      </c>
      <c r="H656" s="18047">
        <v>28.3</v>
      </c>
      <c r="I656" s="18047">
        <v>1415</v>
      </c>
      <c r="J656" t="s">
        <v>851</v>
      </c>
    </row>
    <row r="657" spans="1:10">
      <c r="A657" t="str">
        <f>IF(LEFT(E657,1)="1","SOL",IF(LEFT(E657,1)="2","CO",IF(LEFT(E657,1)="3","ALM",IF(LEFT(E657,1)="4","FAC","TRX")))) &amp; "-" &amp; B657 &amp; "-" &amp; TEXT(COUNTIFS($E$2:$E657,E657,$B$2:$B657,B657),"000")</f>
        <v>CO-24-097</v>
      </c>
      <c r="B657">
        <v>24</v>
      </c>
      <c r="C657" s="18046">
        <v>46185</v>
      </c>
      <c r="D657" t="s">
        <v>3</v>
      </c>
      <c r="E657" t="s">
        <v>852</v>
      </c>
      <c r="F657" t="s">
        <v>863</v>
      </c>
      <c r="G657" s="3">
        <v>120</v>
      </c>
      <c r="H657" s="18047">
        <v>28.3</v>
      </c>
      <c r="I657" s="18047">
        <v>3396</v>
      </c>
      <c r="J657" t="s">
        <v>851</v>
      </c>
    </row>
    <row r="658" spans="1:10">
      <c r="A658" t="str">
        <f>IF(LEFT(E658,1)="1","SOL",IF(LEFT(E658,1)="2","CO",IF(LEFT(E658,1)="3","ALM",IF(LEFT(E658,1)="4","FAC","TRX")))) &amp; "-" &amp; B658 &amp; "-" &amp; TEXT(COUNTIFS($E$2:$E658,E658,$B$2:$B658,B658),"000")</f>
        <v>CO-24-098</v>
      </c>
      <c r="B658">
        <v>24</v>
      </c>
      <c r="C658" s="18046">
        <v>46185</v>
      </c>
      <c r="D658" t="s">
        <v>3</v>
      </c>
      <c r="E658" t="s">
        <v>852</v>
      </c>
      <c r="F658" t="s">
        <v>864</v>
      </c>
      <c r="G658" s="3">
        <v>40</v>
      </c>
      <c r="H658" s="18047">
        <v>28.3</v>
      </c>
      <c r="I658" s="18047">
        <v>1132</v>
      </c>
      <c r="J658" t="s">
        <v>851</v>
      </c>
    </row>
    <row r="659" spans="1:10">
      <c r="A659" t="str">
        <f>IF(LEFT(E659,1)="1","SOL",IF(LEFT(E659,1)="2","CO",IF(LEFT(E659,1)="3","ALM",IF(LEFT(E659,1)="4","FAC","TRX")))) &amp; "-" &amp; B659 &amp; "-" &amp; TEXT(COUNTIFS($E$2:$E659,E659,$B$2:$B659,B659),"000")</f>
        <v>CO-24-099</v>
      </c>
      <c r="B659">
        <v>24</v>
      </c>
      <c r="C659" s="18046">
        <v>46185</v>
      </c>
      <c r="D659" t="s">
        <v>3</v>
      </c>
      <c r="E659" t="s">
        <v>852</v>
      </c>
      <c r="F659" t="s">
        <v>858</v>
      </c>
      <c r="G659" s="3">
        <v>200</v>
      </c>
      <c r="H659" s="18047">
        <v>28.3</v>
      </c>
      <c r="I659" s="18047">
        <v>5660</v>
      </c>
      <c r="J659" t="s">
        <v>851</v>
      </c>
    </row>
    <row r="660" spans="1:10">
      <c r="A660" t="str">
        <f>IF(LEFT(E660,1)="1","SOL",IF(LEFT(E660,1)="2","CO",IF(LEFT(E660,1)="3","ALM",IF(LEFT(E660,1)="4","FAC","TRX")))) &amp; "-" &amp; B660 &amp; "-" &amp; TEXT(COUNTIFS($E$2:$E660,E660,$B$2:$B660,B660),"000")</f>
        <v>CO-24-100</v>
      </c>
      <c r="B660">
        <v>24</v>
      </c>
      <c r="C660" s="18046">
        <v>46185</v>
      </c>
      <c r="D660" t="s">
        <v>1</v>
      </c>
      <c r="E660" t="s">
        <v>852</v>
      </c>
      <c r="F660" t="s">
        <v>868</v>
      </c>
      <c r="G660" s="3">
        <v>20</v>
      </c>
      <c r="H660" s="18047">
        <v>28.3</v>
      </c>
      <c r="I660" s="18047">
        <v>566</v>
      </c>
      <c r="J660" t="s">
        <v>851</v>
      </c>
    </row>
    <row r="661" spans="1:10">
      <c r="A661" t="str">
        <f>IF(LEFT(E661,1)="1","SOL",IF(LEFT(E661,1)="2","CO",IF(LEFT(E661,1)="3","ALM",IF(LEFT(E661,1)="4","FAC","TRX")))) &amp; "-" &amp; B661 &amp; "-" &amp; TEXT(COUNTIFS($E$2:$E661,E661,$B$2:$B661,B661),"000")</f>
        <v>CO-24-101</v>
      </c>
      <c r="B661">
        <v>24</v>
      </c>
      <c r="C661" s="18046">
        <v>46185</v>
      </c>
      <c r="D661" t="s">
        <v>1</v>
      </c>
      <c r="E661" t="s">
        <v>852</v>
      </c>
      <c r="F661" t="s">
        <v>853</v>
      </c>
      <c r="G661" s="3">
        <v>30</v>
      </c>
      <c r="H661" s="18047">
        <v>28.3</v>
      </c>
      <c r="I661" s="18047">
        <v>849</v>
      </c>
      <c r="J661" t="s">
        <v>851</v>
      </c>
    </row>
    <row r="662" spans="1:10">
      <c r="A662" t="str">
        <f>IF(LEFT(E662,1)="1","SOL",IF(LEFT(E662,1)="2","CO",IF(LEFT(E662,1)="3","ALM",IF(LEFT(E662,1)="4","FAC","TRX")))) &amp; "-" &amp; B662 &amp; "-" &amp; TEXT(COUNTIFS($E$2:$E662,E662,$B$2:$B662,B662),"000")</f>
        <v>CO-24-102</v>
      </c>
      <c r="B662">
        <v>24</v>
      </c>
      <c r="C662" s="18046">
        <v>46185</v>
      </c>
      <c r="D662" t="s">
        <v>1</v>
      </c>
      <c r="E662" t="s">
        <v>852</v>
      </c>
      <c r="F662" t="s">
        <v>859</v>
      </c>
      <c r="G662" s="3">
        <v>20</v>
      </c>
      <c r="H662" s="18047">
        <v>28.3</v>
      </c>
      <c r="I662" s="18047">
        <v>566</v>
      </c>
      <c r="J662" t="s">
        <v>851</v>
      </c>
    </row>
    <row r="663" spans="1:10">
      <c r="A663" t="str">
        <f>IF(LEFT(E663,1)="1","SOL",IF(LEFT(E663,1)="2","CO",IF(LEFT(E663,1)="3","ALM",IF(LEFT(E663,1)="4","FAC","TRX")))) &amp; "-" &amp; B663 &amp; "-" &amp; TEXT(COUNTIFS($E$2:$E663,E663,$B$2:$B663,B663),"000")</f>
        <v>CO-24-103</v>
      </c>
      <c r="B663">
        <v>24</v>
      </c>
      <c r="C663" s="18046">
        <v>46185</v>
      </c>
      <c r="D663" t="s">
        <v>1</v>
      </c>
      <c r="E663" t="s">
        <v>852</v>
      </c>
      <c r="F663" t="s">
        <v>854</v>
      </c>
      <c r="G663" s="3">
        <v>40</v>
      </c>
      <c r="H663" s="18047">
        <v>28.3</v>
      </c>
      <c r="I663" s="18047">
        <v>1132</v>
      </c>
      <c r="J663" t="s">
        <v>851</v>
      </c>
    </row>
    <row r="664" spans="1:10">
      <c r="A664" t="str">
        <f>IF(LEFT(E664,1)="1","SOL",IF(LEFT(E664,1)="2","CO",IF(LEFT(E664,1)="3","ALM",IF(LEFT(E664,1)="4","FAC","TRX")))) &amp; "-" &amp; B664 &amp; "-" &amp; TEXT(COUNTIFS($E$2:$E664,E664,$B$2:$B664,B664),"000")</f>
        <v>CO-24-104</v>
      </c>
      <c r="B664">
        <v>24</v>
      </c>
      <c r="C664" s="18046">
        <v>46185</v>
      </c>
      <c r="D664" t="s">
        <v>1</v>
      </c>
      <c r="E664" t="s">
        <v>852</v>
      </c>
      <c r="F664" t="s">
        <v>855</v>
      </c>
      <c r="G664" s="3">
        <v>250</v>
      </c>
      <c r="H664" s="18047">
        <v>28.3</v>
      </c>
      <c r="I664" s="18047">
        <v>7075</v>
      </c>
      <c r="J664" t="s">
        <v>851</v>
      </c>
    </row>
    <row r="665" spans="1:10">
      <c r="A665" t="str">
        <f>IF(LEFT(E665,1)="1","SOL",IF(LEFT(E665,1)="2","CO",IF(LEFT(E665,1)="3","ALM",IF(LEFT(E665,1)="4","FAC","TRX")))) &amp; "-" &amp; B665 &amp; "-" &amp; TEXT(COUNTIFS($E$2:$E665,E665,$B$2:$B665,B665),"000")</f>
        <v>CO-25-070</v>
      </c>
      <c r="B665">
        <v>25</v>
      </c>
      <c r="C665" s="18046">
        <v>46188</v>
      </c>
      <c r="D665" t="s">
        <v>1</v>
      </c>
      <c r="E665" t="s">
        <v>852</v>
      </c>
      <c r="F665" t="s">
        <v>869</v>
      </c>
      <c r="G665" s="3">
        <v>200</v>
      </c>
      <c r="H665" s="18047">
        <v>28.3</v>
      </c>
      <c r="I665" s="18047">
        <v>5660</v>
      </c>
      <c r="J665" t="s">
        <v>851</v>
      </c>
    </row>
    <row r="666" spans="1:10">
      <c r="A666" t="str">
        <f>IF(LEFT(E666,1)="1","SOL",IF(LEFT(E666,1)="2","CO",IF(LEFT(E666,1)="3","ALM",IF(LEFT(E666,1)="4","FAC","TRX")))) &amp; "-" &amp; B666 &amp; "-" &amp; TEXT(COUNTIFS($E$2:$E666,E666,$B$2:$B666,B666),"000")</f>
        <v>CO-25-071</v>
      </c>
      <c r="B666">
        <v>25</v>
      </c>
      <c r="C666" s="18046">
        <v>46188</v>
      </c>
      <c r="D666" t="s">
        <v>1</v>
      </c>
      <c r="E666" t="s">
        <v>852</v>
      </c>
      <c r="F666" t="s">
        <v>870</v>
      </c>
      <c r="G666" s="3">
        <v>40</v>
      </c>
      <c r="H666" s="18047">
        <v>28.3</v>
      </c>
      <c r="I666" s="18047">
        <v>1132</v>
      </c>
      <c r="J666" t="s">
        <v>851</v>
      </c>
    </row>
    <row r="667" spans="1:10">
      <c r="A667" t="str">
        <f>IF(LEFT(E667,1)="1","SOL",IF(LEFT(E667,1)="2","CO",IF(LEFT(E667,1)="3","ALM",IF(LEFT(E667,1)="4","FAC","TRX")))) &amp; "-" &amp; B667 &amp; "-" &amp; TEXT(COUNTIFS($E$2:$E667,E667,$B$2:$B667,B667),"000")</f>
        <v>CO-25-072</v>
      </c>
      <c r="B667">
        <v>25</v>
      </c>
      <c r="C667" s="18046">
        <v>46188</v>
      </c>
      <c r="D667" t="s">
        <v>1</v>
      </c>
      <c r="E667" t="s">
        <v>852</v>
      </c>
      <c r="F667" t="s">
        <v>871</v>
      </c>
      <c r="G667" s="3">
        <v>30</v>
      </c>
      <c r="H667" s="18047">
        <v>28.3</v>
      </c>
      <c r="I667" s="18047">
        <v>849</v>
      </c>
      <c r="J667" t="s">
        <v>851</v>
      </c>
    </row>
    <row r="668" spans="1:10">
      <c r="A668" t="str">
        <f>IF(LEFT(E668,1)="1","SOL",IF(LEFT(E668,1)="2","CO",IF(LEFT(E668,1)="3","ALM",IF(LEFT(E668,1)="4","FAC","TRX")))) &amp; "-" &amp; B668 &amp; "-" &amp; TEXT(COUNTIFS($E$2:$E668,E668,$B$2:$B668,B668),"000")</f>
        <v>CO-25-073</v>
      </c>
      <c r="B668">
        <v>25</v>
      </c>
      <c r="C668" s="18046">
        <v>46188</v>
      </c>
      <c r="D668" t="s">
        <v>1</v>
      </c>
      <c r="E668" t="s">
        <v>852</v>
      </c>
      <c r="F668" t="s">
        <v>872</v>
      </c>
      <c r="G668" s="3">
        <v>50</v>
      </c>
      <c r="H668" s="18047">
        <v>28.3</v>
      </c>
      <c r="I668" s="18047">
        <v>1415</v>
      </c>
      <c r="J668" t="s">
        <v>851</v>
      </c>
    </row>
    <row r="669" spans="1:10">
      <c r="A669" t="str">
        <f>IF(LEFT(E669,1)="1","SOL",IF(LEFT(E669,1)="2","CO",IF(LEFT(E669,1)="3","ALM",IF(LEFT(E669,1)="4","FAC","TRX")))) &amp; "-" &amp; B669 &amp; "-" &amp; TEXT(COUNTIFS($E$2:$E669,E669,$B$2:$B669,B669),"000")</f>
        <v>CO-25-074</v>
      </c>
      <c r="B669">
        <v>25</v>
      </c>
      <c r="C669" s="18046">
        <v>46188</v>
      </c>
      <c r="D669" t="s">
        <v>1</v>
      </c>
      <c r="E669" t="s">
        <v>852</v>
      </c>
      <c r="F669" t="s">
        <v>873</v>
      </c>
      <c r="G669" s="3">
        <v>99</v>
      </c>
      <c r="H669" s="18047">
        <v>28.3</v>
      </c>
      <c r="I669" s="18047">
        <v>2801.7000000000003</v>
      </c>
      <c r="J669" t="s">
        <v>851</v>
      </c>
    </row>
    <row r="670" spans="1:10">
      <c r="A670" t="str">
        <f>IF(LEFT(E670,1)="1","SOL",IF(LEFT(E670,1)="2","CO",IF(LEFT(E670,1)="3","ALM",IF(LEFT(E670,1)="4","FAC","TRX")))) &amp; "-" &amp; B670 &amp; "-" &amp; TEXT(COUNTIFS($E$2:$E670,E670,$B$2:$B670,B670),"000")</f>
        <v>CO-25-075</v>
      </c>
      <c r="B670">
        <v>25</v>
      </c>
      <c r="C670" s="18046">
        <v>46188</v>
      </c>
      <c r="D670" t="s">
        <v>1</v>
      </c>
      <c r="E670" t="s">
        <v>852</v>
      </c>
      <c r="F670" t="s">
        <v>874</v>
      </c>
      <c r="G670" s="3">
        <v>50</v>
      </c>
      <c r="H670" s="18047">
        <v>28.3</v>
      </c>
      <c r="I670" s="18047">
        <v>1415</v>
      </c>
      <c r="J670" t="s">
        <v>851</v>
      </c>
    </row>
    <row r="671" spans="1:10">
      <c r="A671" t="str">
        <f>IF(LEFT(E671,1)="1","SOL",IF(LEFT(E671,1)="2","CO",IF(LEFT(E671,1)="3","ALM",IF(LEFT(E671,1)="4","FAC","TRX")))) &amp; "-" &amp; B671 &amp; "-" &amp; TEXT(COUNTIFS($E$2:$E671,E671,$B$2:$B671,B671),"000")</f>
        <v>CO-25-076</v>
      </c>
      <c r="B671">
        <v>25</v>
      </c>
      <c r="C671" s="18046">
        <v>46189</v>
      </c>
      <c r="D671" t="s">
        <v>1</v>
      </c>
      <c r="E671" t="s">
        <v>852</v>
      </c>
      <c r="F671" t="s">
        <v>869</v>
      </c>
      <c r="G671" s="3">
        <v>200</v>
      </c>
      <c r="H671" s="18047">
        <v>28.3</v>
      </c>
      <c r="I671" s="18047">
        <v>5660</v>
      </c>
      <c r="J671" t="s">
        <v>851</v>
      </c>
    </row>
    <row r="672" spans="1:10">
      <c r="A672" t="str">
        <f>IF(LEFT(E672,1)="1","SOL",IF(LEFT(E672,1)="2","CO",IF(LEFT(E672,1)="3","ALM",IF(LEFT(E672,1)="4","FAC","TRX")))) &amp; "-" &amp; B672 &amp; "-" &amp; TEXT(COUNTIFS($E$2:$E672,E672,$B$2:$B672,B672),"000")</f>
        <v>CO-25-077</v>
      </c>
      <c r="B672">
        <v>25</v>
      </c>
      <c r="C672" s="18046">
        <v>46189</v>
      </c>
      <c r="D672" t="s">
        <v>1</v>
      </c>
      <c r="E672" t="s">
        <v>852</v>
      </c>
      <c r="F672" t="s">
        <v>871</v>
      </c>
      <c r="G672" s="3">
        <v>32</v>
      </c>
      <c r="H672" s="18047">
        <v>28.3</v>
      </c>
      <c r="I672" s="18047">
        <v>905.6</v>
      </c>
      <c r="J672" t="s">
        <v>851</v>
      </c>
    </row>
    <row r="673" spans="1:10">
      <c r="A673" t="str">
        <f>IF(LEFT(E673,1)="1","SOL",IF(LEFT(E673,1)="2","CO",IF(LEFT(E673,1)="3","ALM",IF(LEFT(E673,1)="4","FAC","TRX")))) &amp; "-" &amp; B673 &amp; "-" &amp; TEXT(COUNTIFS($E$2:$E673,E673,$B$2:$B673,B673),"000")</f>
        <v>CO-25-078</v>
      </c>
      <c r="B673">
        <v>25</v>
      </c>
      <c r="C673" s="18046">
        <v>46189</v>
      </c>
      <c r="D673" t="s">
        <v>1</v>
      </c>
      <c r="E673" t="s">
        <v>852</v>
      </c>
      <c r="F673" t="s">
        <v>872</v>
      </c>
      <c r="G673" s="3">
        <v>30</v>
      </c>
      <c r="H673" s="18047">
        <v>28.3</v>
      </c>
      <c r="I673" s="18047">
        <v>849</v>
      </c>
      <c r="J673" t="s">
        <v>851</v>
      </c>
    </row>
    <row r="674" spans="1:10">
      <c r="A674" t="str">
        <f>IF(LEFT(E674,1)="1","SOL",IF(LEFT(E674,1)="2","CO",IF(LEFT(E674,1)="3","ALM",IF(LEFT(E674,1)="4","FAC","TRX")))) &amp; "-" &amp; B674 &amp; "-" &amp; TEXT(COUNTIFS($E$2:$E674,E674,$B$2:$B674,B674),"000")</f>
        <v>CO-25-079</v>
      </c>
      <c r="B674">
        <v>25</v>
      </c>
      <c r="C674" s="18046">
        <v>46189</v>
      </c>
      <c r="D674" t="s">
        <v>1</v>
      </c>
      <c r="E674" t="s">
        <v>852</v>
      </c>
      <c r="F674" t="s">
        <v>875</v>
      </c>
      <c r="G674" s="3">
        <v>30</v>
      </c>
      <c r="H674" s="18047">
        <v>28.3</v>
      </c>
      <c r="I674" s="18047">
        <v>849</v>
      </c>
      <c r="J674" t="s">
        <v>851</v>
      </c>
    </row>
    <row r="675" spans="1:10">
      <c r="A675" t="str">
        <f>IF(LEFT(E675,1)="1","SOL",IF(LEFT(E675,1)="2","CO",IF(LEFT(E675,1)="3","ALM",IF(LEFT(E675,1)="4","FAC","TRX")))) &amp; "-" &amp; B675 &amp; "-" &amp; TEXT(COUNTIFS($E$2:$E675,E675,$B$2:$B675,B675),"000")</f>
        <v>CO-25-080</v>
      </c>
      <c r="B675">
        <v>25</v>
      </c>
      <c r="C675" s="18046">
        <v>46189</v>
      </c>
      <c r="D675" t="s">
        <v>1</v>
      </c>
      <c r="E675" t="s">
        <v>852</v>
      </c>
      <c r="F675" t="s">
        <v>873</v>
      </c>
      <c r="G675" s="3">
        <v>107</v>
      </c>
      <c r="H675" s="18047">
        <v>28.3</v>
      </c>
      <c r="I675" s="18047">
        <v>3028.1</v>
      </c>
      <c r="J675" t="s">
        <v>851</v>
      </c>
    </row>
    <row r="676" spans="1:10">
      <c r="A676" t="str">
        <f>IF(LEFT(E676,1)="1","SOL",IF(LEFT(E676,1)="2","CO",IF(LEFT(E676,1)="3","ALM",IF(LEFT(E676,1)="4","FAC","TRX")))) &amp; "-" &amp; B676 &amp; "-" &amp; TEXT(COUNTIFS($E$2:$E676,E676,$B$2:$B676,B676),"000")</f>
        <v>CO-25-081</v>
      </c>
      <c r="B676">
        <v>25</v>
      </c>
      <c r="C676" s="18046">
        <v>46189</v>
      </c>
      <c r="D676" t="s">
        <v>1</v>
      </c>
      <c r="E676" t="s">
        <v>852</v>
      </c>
      <c r="F676" t="s">
        <v>870</v>
      </c>
      <c r="G676" s="3">
        <v>40</v>
      </c>
      <c r="H676" s="18047">
        <v>28.3</v>
      </c>
      <c r="I676" s="18047">
        <v>1132</v>
      </c>
      <c r="J676" t="s">
        <v>851</v>
      </c>
    </row>
    <row r="677" spans="1:10">
      <c r="A677" t="str">
        <f>IF(LEFT(E677,1)="1","SOL",IF(LEFT(E677,1)="2","CO",IF(LEFT(E677,1)="3","ALM",IF(LEFT(E677,1)="4","FAC","TRX")))) &amp; "-" &amp; B677 &amp; "-" &amp; TEXT(COUNTIFS($E$2:$E677,E677,$B$2:$B677,B677),"000")</f>
        <v>CO-25-082</v>
      </c>
      <c r="B677">
        <v>25</v>
      </c>
      <c r="C677" s="18046">
        <v>46189</v>
      </c>
      <c r="D677" t="s">
        <v>1</v>
      </c>
      <c r="E677" t="s">
        <v>852</v>
      </c>
      <c r="F677" t="s">
        <v>874</v>
      </c>
      <c r="G677" s="3">
        <v>50</v>
      </c>
      <c r="H677" s="18047">
        <v>28.3</v>
      </c>
      <c r="I677" s="18047">
        <v>1415</v>
      </c>
      <c r="J677" t="s">
        <v>851</v>
      </c>
    </row>
    <row r="678" spans="1:10">
      <c r="A678" t="str">
        <f>IF(LEFT(E678,1)="1","SOL",IF(LEFT(E678,1)="2","CO",IF(LEFT(E678,1)="3","ALM",IF(LEFT(E678,1)="4","FAC","TRX")))) &amp; "-" &amp; B678 &amp; "-" &amp; TEXT(COUNTIFS($E$2:$E678,E678,$B$2:$B678,B678),"000")</f>
        <v>CO-25-083</v>
      </c>
      <c r="B678">
        <v>25</v>
      </c>
      <c r="C678" s="18046">
        <v>46190</v>
      </c>
      <c r="D678" t="s">
        <v>1</v>
      </c>
      <c r="E678" t="s">
        <v>852</v>
      </c>
      <c r="F678" t="s">
        <v>869</v>
      </c>
      <c r="G678" s="3">
        <v>200</v>
      </c>
      <c r="H678" s="18047">
        <v>28.3</v>
      </c>
      <c r="I678" s="18047">
        <v>5660</v>
      </c>
      <c r="J678" t="s">
        <v>851</v>
      </c>
    </row>
    <row r="679" spans="1:10">
      <c r="A679" t="str">
        <f>IF(LEFT(E679,1)="1","SOL",IF(LEFT(E679,1)="2","CO",IF(LEFT(E679,1)="3","ALM",IF(LEFT(E679,1)="4","FAC","TRX")))) &amp; "-" &amp; B679 &amp; "-" &amp; TEXT(COUNTIFS($E$2:$E679,E679,$B$2:$B679,B679),"000")</f>
        <v>CO-25-084</v>
      </c>
      <c r="B679">
        <v>25</v>
      </c>
      <c r="C679" s="18046">
        <v>46190</v>
      </c>
      <c r="D679" t="s">
        <v>1</v>
      </c>
      <c r="E679" t="s">
        <v>852</v>
      </c>
      <c r="F679" t="s">
        <v>873</v>
      </c>
      <c r="G679" s="3">
        <v>120</v>
      </c>
      <c r="H679" s="18047">
        <v>28.3</v>
      </c>
      <c r="I679" s="18047">
        <v>3396</v>
      </c>
      <c r="J679" t="s">
        <v>851</v>
      </c>
    </row>
    <row r="680" spans="1:10">
      <c r="A680" t="str">
        <f>IF(LEFT(E680,1)="1","SOL",IF(LEFT(E680,1)="2","CO",IF(LEFT(E680,1)="3","ALM",IF(LEFT(E680,1)="4","FAC","TRX")))) &amp; "-" &amp; B680 &amp; "-" &amp; TEXT(COUNTIFS($E$2:$E680,E680,$B$2:$B680,B680),"000")</f>
        <v>CO-25-085</v>
      </c>
      <c r="B680">
        <v>25</v>
      </c>
      <c r="C680" s="18046">
        <v>46190</v>
      </c>
      <c r="D680" t="s">
        <v>1</v>
      </c>
      <c r="E680" t="s">
        <v>852</v>
      </c>
      <c r="F680" t="s">
        <v>871</v>
      </c>
      <c r="G680" s="3">
        <v>32</v>
      </c>
      <c r="H680" s="18047">
        <v>28.3</v>
      </c>
      <c r="I680" s="18047">
        <v>905.6</v>
      </c>
      <c r="J680" t="s">
        <v>851</v>
      </c>
    </row>
    <row r="681" spans="1:10">
      <c r="A681" t="str">
        <f>IF(LEFT(E681,1)="1","SOL",IF(LEFT(E681,1)="2","CO",IF(LEFT(E681,1)="3","ALM",IF(LEFT(E681,1)="4","FAC","TRX")))) &amp; "-" &amp; B681 &amp; "-" &amp; TEXT(COUNTIFS($E$2:$E681,E681,$B$2:$B681,B681),"000")</f>
        <v>CO-25-086</v>
      </c>
      <c r="B681">
        <v>25</v>
      </c>
      <c r="C681" s="18046">
        <v>46190</v>
      </c>
      <c r="D681" t="s">
        <v>1</v>
      </c>
      <c r="E681" t="s">
        <v>852</v>
      </c>
      <c r="F681" t="s">
        <v>872</v>
      </c>
      <c r="G681" s="3">
        <v>30</v>
      </c>
      <c r="H681" s="18047">
        <v>28.3</v>
      </c>
      <c r="I681" s="18047">
        <v>849</v>
      </c>
      <c r="J681" t="s">
        <v>851</v>
      </c>
    </row>
    <row r="682" spans="1:10">
      <c r="A682" t="str">
        <f>IF(LEFT(E682,1)="1","SOL",IF(LEFT(E682,1)="2","CO",IF(LEFT(E682,1)="3","ALM",IF(LEFT(E682,1)="4","FAC","TRX")))) &amp; "-" &amp; B682 &amp; "-" &amp; TEXT(COUNTIFS($E$2:$E682,E682,$B$2:$B682,B682),"000")</f>
        <v>CO-25-087</v>
      </c>
      <c r="B682">
        <v>25</v>
      </c>
      <c r="C682" s="18046">
        <v>46190</v>
      </c>
      <c r="D682" t="s">
        <v>1</v>
      </c>
      <c r="E682" t="s">
        <v>852</v>
      </c>
      <c r="F682" t="s">
        <v>875</v>
      </c>
      <c r="G682" s="3">
        <v>28</v>
      </c>
      <c r="H682" s="18047">
        <v>28.3</v>
      </c>
      <c r="I682" s="18047">
        <v>792.4</v>
      </c>
      <c r="J682" t="s">
        <v>851</v>
      </c>
    </row>
    <row r="683" spans="1:10">
      <c r="A683" t="str">
        <f>IF(LEFT(E683,1)="1","SOL",IF(LEFT(E683,1)="2","CO",IF(LEFT(E683,1)="3","ALM",IF(LEFT(E683,1)="4","FAC","TRX")))) &amp; "-" &amp; B683 &amp; "-" &amp; TEXT(COUNTIFS($E$2:$E683,E683,$B$2:$B683,B683),"000")</f>
        <v>CO-25-088</v>
      </c>
      <c r="B683">
        <v>25</v>
      </c>
      <c r="C683" s="18046">
        <v>46190</v>
      </c>
      <c r="D683" t="s">
        <v>1</v>
      </c>
      <c r="E683" t="s">
        <v>852</v>
      </c>
      <c r="F683" t="s">
        <v>870</v>
      </c>
      <c r="G683" s="3">
        <v>60</v>
      </c>
      <c r="H683" s="18047">
        <v>28.3</v>
      </c>
      <c r="I683" s="18047">
        <v>1698</v>
      </c>
      <c r="J683" t="s">
        <v>851</v>
      </c>
    </row>
    <row r="684" spans="1:10">
      <c r="A684" t="str">
        <f>IF(LEFT(E684,1)="1","SOL",IF(LEFT(E684,1)="2","CO",IF(LEFT(E684,1)="3","ALM",IF(LEFT(E684,1)="4","FAC","TRX")))) &amp; "-" &amp; B684 &amp; "-" &amp; TEXT(COUNTIFS($E$2:$E684,E684,$B$2:$B684,B684),"000")</f>
        <v>CO-25-089</v>
      </c>
      <c r="B684">
        <v>25</v>
      </c>
      <c r="C684" s="18046">
        <v>46191</v>
      </c>
      <c r="D684" t="s">
        <v>1</v>
      </c>
      <c r="E684" t="s">
        <v>852</v>
      </c>
      <c r="F684" t="s">
        <v>874</v>
      </c>
      <c r="G684" s="3">
        <v>50</v>
      </c>
      <c r="H684" s="18047">
        <v>28.3</v>
      </c>
      <c r="I684" s="18047">
        <v>1415</v>
      </c>
      <c r="J684" t="s">
        <v>851</v>
      </c>
    </row>
    <row r="685" spans="1:10">
      <c r="A685" t="str">
        <f>IF(LEFT(E685,1)="1","SOL",IF(LEFT(E685,1)="2","CO",IF(LEFT(E685,1)="3","ALM",IF(LEFT(E685,1)="4","FAC","TRX")))) &amp; "-" &amp; B685 &amp; "-" &amp; TEXT(COUNTIFS($E$2:$E685,E685,$B$2:$B685,B685),"000")</f>
        <v>CO-25-090</v>
      </c>
      <c r="B685">
        <v>25</v>
      </c>
      <c r="C685" s="18046">
        <v>46191</v>
      </c>
      <c r="D685" t="s">
        <v>1</v>
      </c>
      <c r="E685" t="s">
        <v>852</v>
      </c>
      <c r="F685" t="s">
        <v>869</v>
      </c>
      <c r="G685" s="3">
        <v>200</v>
      </c>
      <c r="H685" s="18047">
        <v>28.3</v>
      </c>
      <c r="I685" s="18047">
        <v>5660</v>
      </c>
      <c r="J685" t="s">
        <v>851</v>
      </c>
    </row>
    <row r="686" spans="1:10">
      <c r="A686" t="str">
        <f>IF(LEFT(E686,1)="1","SOL",IF(LEFT(E686,1)="2","CO",IF(LEFT(E686,1)="3","ALM",IF(LEFT(E686,1)="4","FAC","TRX")))) &amp; "-" &amp; B686 &amp; "-" &amp; TEXT(COUNTIFS($E$2:$E686,E686,$B$2:$B686,B686),"000")</f>
        <v>CO-25-091</v>
      </c>
      <c r="B686">
        <v>25</v>
      </c>
      <c r="C686" s="18046">
        <v>46191</v>
      </c>
      <c r="D686" t="s">
        <v>1</v>
      </c>
      <c r="E686" t="s">
        <v>852</v>
      </c>
      <c r="F686" t="s">
        <v>873</v>
      </c>
      <c r="G686" s="3">
        <v>115</v>
      </c>
      <c r="H686" s="18047">
        <v>28.3</v>
      </c>
      <c r="I686" s="18047">
        <v>3254.5</v>
      </c>
      <c r="J686" t="s">
        <v>851</v>
      </c>
    </row>
    <row r="687" spans="1:10">
      <c r="A687" t="str">
        <f>IF(LEFT(E687,1)="1","SOL",IF(LEFT(E687,1)="2","CO",IF(LEFT(E687,1)="3","ALM",IF(LEFT(E687,1)="4","FAC","TRX")))) &amp; "-" &amp; B687 &amp; "-" &amp; TEXT(COUNTIFS($E$2:$E687,E687,$B$2:$B687,B687),"000")</f>
        <v>CO-25-092</v>
      </c>
      <c r="B687">
        <v>25</v>
      </c>
      <c r="C687" s="18046">
        <v>46191</v>
      </c>
      <c r="D687" t="s">
        <v>1</v>
      </c>
      <c r="E687" t="s">
        <v>852</v>
      </c>
      <c r="F687" t="s">
        <v>872</v>
      </c>
      <c r="G687" s="3">
        <v>30</v>
      </c>
      <c r="H687" s="18047">
        <v>28.3</v>
      </c>
      <c r="I687" s="18047">
        <v>849</v>
      </c>
      <c r="J687" t="s">
        <v>851</v>
      </c>
    </row>
    <row r="688" spans="1:10">
      <c r="A688" t="str">
        <f>IF(LEFT(E688,1)="1","SOL",IF(LEFT(E688,1)="2","CO",IF(LEFT(E688,1)="3","ALM",IF(LEFT(E688,1)="4","FAC","TRX")))) &amp; "-" &amp; B688 &amp; "-" &amp; TEXT(COUNTIFS($E$2:$E688,E688,$B$2:$B688,B688),"000")</f>
        <v>CO-25-093</v>
      </c>
      <c r="B688">
        <v>25</v>
      </c>
      <c r="C688" s="18046">
        <v>46191</v>
      </c>
      <c r="D688" t="s">
        <v>1</v>
      </c>
      <c r="E688" t="s">
        <v>852</v>
      </c>
      <c r="F688" t="s">
        <v>871</v>
      </c>
      <c r="G688" s="3">
        <v>30</v>
      </c>
      <c r="H688" s="18047">
        <v>28.3</v>
      </c>
      <c r="I688" s="18047">
        <v>849</v>
      </c>
      <c r="J688" t="s">
        <v>851</v>
      </c>
    </row>
    <row r="689" spans="1:10">
      <c r="A689" t="str">
        <f>IF(LEFT(E689,1)="1","SOL",IF(LEFT(E689,1)="2","CO",IF(LEFT(E689,1)="3","ALM",IF(LEFT(E689,1)="4","FAC","TRX")))) &amp; "-" &amp; B689 &amp; "-" &amp; TEXT(COUNTIFS($E$2:$E689,E689,$B$2:$B689,B689),"000")</f>
        <v>CO-25-094</v>
      </c>
      <c r="B689">
        <v>25</v>
      </c>
      <c r="C689" s="18046">
        <v>46192</v>
      </c>
      <c r="D689" t="s">
        <v>1</v>
      </c>
      <c r="E689" t="s">
        <v>852</v>
      </c>
      <c r="F689" t="s">
        <v>873</v>
      </c>
      <c r="G689" s="3">
        <v>120</v>
      </c>
      <c r="H689" s="18047">
        <v>28.3</v>
      </c>
      <c r="I689" s="18047">
        <v>3396</v>
      </c>
      <c r="J689" t="s">
        <v>851</v>
      </c>
    </row>
    <row r="690" spans="1:10">
      <c r="A690" t="str">
        <f>IF(LEFT(E690,1)="1","SOL",IF(LEFT(E690,1)="2","CO",IF(LEFT(E690,1)="3","ALM",IF(LEFT(E690,1)="4","FAC","TRX")))) &amp; "-" &amp; B690 &amp; "-" &amp; TEXT(COUNTIFS($E$2:$E690,E690,$B$2:$B690,B690),"000")</f>
        <v>CO-25-095</v>
      </c>
      <c r="B690">
        <v>25</v>
      </c>
      <c r="C690" s="18046">
        <v>46192</v>
      </c>
      <c r="D690" t="s">
        <v>1</v>
      </c>
      <c r="E690" t="s">
        <v>852</v>
      </c>
      <c r="F690" t="s">
        <v>871</v>
      </c>
      <c r="G690" s="3">
        <v>30</v>
      </c>
      <c r="H690" s="18047">
        <v>28.3</v>
      </c>
      <c r="I690" s="18047">
        <v>849</v>
      </c>
      <c r="J690" t="s">
        <v>851</v>
      </c>
    </row>
    <row r="691" spans="1:10">
      <c r="A691" t="str">
        <f>IF(LEFT(E691,1)="1","SOL",IF(LEFT(E691,1)="2","CO",IF(LEFT(E691,1)="3","ALM",IF(LEFT(E691,1)="4","FAC","TRX")))) &amp; "-" &amp; B691 &amp; "-" &amp; TEXT(COUNTIFS($E$2:$E691,E691,$B$2:$B691,B691),"000")</f>
        <v>CO-25-096</v>
      </c>
      <c r="B691">
        <v>25</v>
      </c>
      <c r="C691" s="18046">
        <v>46192</v>
      </c>
      <c r="D691" t="s">
        <v>1</v>
      </c>
      <c r="E691" t="s">
        <v>852</v>
      </c>
      <c r="F691" t="s">
        <v>872</v>
      </c>
      <c r="G691" s="3">
        <v>84</v>
      </c>
      <c r="H691" s="18047">
        <v>28.3</v>
      </c>
      <c r="I691" s="18047">
        <v>2377.2000000000003</v>
      </c>
      <c r="J691" t="s">
        <v>851</v>
      </c>
    </row>
    <row r="692" spans="1:10">
      <c r="A692" t="str">
        <f>IF(LEFT(E692,1)="1","SOL",IF(LEFT(E692,1)="2","CO",IF(LEFT(E692,1)="3","ALM",IF(LEFT(E692,1)="4","FAC","TRX")))) &amp; "-" &amp; B692 &amp; "-" &amp; TEXT(COUNTIFS($E$2:$E692,E692,$B$2:$B692,B692),"000")</f>
        <v>CO-25-097</v>
      </c>
      <c r="B692">
        <v>25</v>
      </c>
      <c r="C692" s="18046">
        <v>46192</v>
      </c>
      <c r="D692" t="s">
        <v>1</v>
      </c>
      <c r="E692" t="s">
        <v>852</v>
      </c>
      <c r="F692" t="s">
        <v>870</v>
      </c>
      <c r="G692" s="3">
        <v>40</v>
      </c>
      <c r="H692" s="18047">
        <v>28.3</v>
      </c>
      <c r="I692" s="18047">
        <v>1132</v>
      </c>
      <c r="J692" t="s">
        <v>851</v>
      </c>
    </row>
    <row r="693" spans="1:10">
      <c r="A693" t="str">
        <f>IF(LEFT(E693,1)="1","SOL",IF(LEFT(E693,1)="2","CO",IF(LEFT(E693,1)="3","ALM",IF(LEFT(E693,1)="4","FAC","TRX")))) &amp; "-" &amp; B693 &amp; "-" &amp; TEXT(COUNTIFS($E$2:$E693,E693,$B$2:$B693,B693),"000")</f>
        <v>CO-25-098</v>
      </c>
      <c r="B693">
        <v>25</v>
      </c>
      <c r="C693" s="18046">
        <v>46192</v>
      </c>
      <c r="D693" t="s">
        <v>1</v>
      </c>
      <c r="E693" t="s">
        <v>852</v>
      </c>
      <c r="F693" t="s">
        <v>875</v>
      </c>
      <c r="G693" s="3">
        <v>30</v>
      </c>
      <c r="H693" s="18047">
        <v>28.3</v>
      </c>
      <c r="I693" s="18047">
        <v>849</v>
      </c>
      <c r="J693" t="s">
        <v>851</v>
      </c>
    </row>
    <row r="694" spans="1:10">
      <c r="A694" t="str">
        <f>IF(LEFT(E694,1)="1","SOL",IF(LEFT(E694,1)="2","CO",IF(LEFT(E694,1)="3","ALM",IF(LEFT(E694,1)="4","FAC","TRX")))) &amp; "-" &amp; B694 &amp; "-" &amp; TEXT(COUNTIFS($E$2:$E694,E694,$B$2:$B694,B694),"000")</f>
        <v>CO-25-099</v>
      </c>
      <c r="B694">
        <v>25</v>
      </c>
      <c r="C694" s="18046">
        <v>46191</v>
      </c>
      <c r="D694" t="s">
        <v>1</v>
      </c>
      <c r="E694" t="s">
        <v>852</v>
      </c>
      <c r="F694" t="s">
        <v>870</v>
      </c>
      <c r="G694" s="3">
        <v>32</v>
      </c>
      <c r="H694" s="18047">
        <v>28.3</v>
      </c>
      <c r="I694" s="18047">
        <v>905.6</v>
      </c>
      <c r="J694" t="s">
        <v>851</v>
      </c>
    </row>
    <row r="695" spans="1:10">
      <c r="A695" t="str">
        <f>IF(LEFT(E695,1)="1","SOL",IF(LEFT(E695,1)="2","CO",IF(LEFT(E695,1)="3","ALM",IF(LEFT(E695,1)="4","FAC","TRX")))) &amp; "-" &amp; B695 &amp; "-" &amp; TEXT(COUNTIFS($E$2:$E695,E695,$B$2:$B695,B695),"000")</f>
        <v>CO-22-001</v>
      </c>
      <c r="B695">
        <v>22</v>
      </c>
      <c r="C695" s="18046">
        <v>46168</v>
      </c>
      <c r="D695" t="s">
        <v>166</v>
      </c>
      <c r="E695" t="s">
        <v>852</v>
      </c>
      <c r="F695" t="s">
        <v>876</v>
      </c>
      <c r="G695" s="3">
        <v>89</v>
      </c>
      <c r="H695" s="18047">
        <v>27</v>
      </c>
      <c r="I695" s="18047">
        <v>2403</v>
      </c>
      <c r="J695" t="s">
        <v>851</v>
      </c>
    </row>
    <row r="696" spans="1:10">
      <c r="A696" t="str">
        <f>IF(LEFT(E696,1)="1","SOL",IF(LEFT(E696,1)="2","CO",IF(LEFT(E696,1)="3","ALM",IF(LEFT(E696,1)="4","FAC","TRX")))) &amp; "-" &amp; B696 &amp; "-" &amp; TEXT(COUNTIFS($E$2:$E696,E696,$B$2:$B696,B696),"000")</f>
        <v>CO-22-002</v>
      </c>
      <c r="B696">
        <v>22</v>
      </c>
      <c r="C696" s="18046">
        <v>46169</v>
      </c>
      <c r="D696" t="s">
        <v>166</v>
      </c>
      <c r="E696" t="s">
        <v>852</v>
      </c>
      <c r="F696" t="s">
        <v>876</v>
      </c>
      <c r="G696" s="3">
        <v>89</v>
      </c>
      <c r="H696" s="18047">
        <v>27</v>
      </c>
      <c r="I696" s="18047">
        <v>2403</v>
      </c>
      <c r="J696" t="s">
        <v>851</v>
      </c>
    </row>
    <row r="697" spans="1:10">
      <c r="A697" t="str">
        <f>IF(LEFT(E697,1)="1","SOL",IF(LEFT(E697,1)="2","CO",IF(LEFT(E697,1)="3","ALM",IF(LEFT(E697,1)="4","FAC","TRX")))) &amp; "-" &amp; B697 &amp; "-" &amp; TEXT(COUNTIFS($E$2:$E697,E697,$B$2:$B697,B697),"000")</f>
        <v>CO-22-003</v>
      </c>
      <c r="B697">
        <v>22</v>
      </c>
      <c r="C697" s="18046">
        <v>46171</v>
      </c>
      <c r="D697" t="s">
        <v>166</v>
      </c>
      <c r="E697" t="s">
        <v>852</v>
      </c>
      <c r="F697" t="s">
        <v>876</v>
      </c>
      <c r="G697" s="3">
        <v>99</v>
      </c>
      <c r="H697" s="18047">
        <v>27</v>
      </c>
      <c r="I697" s="18047">
        <v>2673</v>
      </c>
      <c r="J697" t="s">
        <v>851</v>
      </c>
    </row>
    <row r="698" spans="1:10">
      <c r="A698" t="str">
        <f>IF(LEFT(E698,1)="1","SOL",IF(LEFT(E698,1)="2","CO",IF(LEFT(E698,1)="3","ALM",IF(LEFT(E698,1)="4","FAC","TRX")))) &amp; "-" &amp; B698 &amp; "-" &amp; TEXT(COUNTIFS($E$2:$E698,E698,$B$2:$B698,B698),"000")</f>
        <v>CO-22-004</v>
      </c>
      <c r="B698">
        <v>22</v>
      </c>
      <c r="C698" s="18046">
        <v>46171</v>
      </c>
      <c r="D698" t="s">
        <v>166</v>
      </c>
      <c r="E698" t="s">
        <v>852</v>
      </c>
      <c r="F698" t="s">
        <v>877</v>
      </c>
      <c r="G698" s="3">
        <v>99</v>
      </c>
      <c r="H698" s="18047">
        <v>27</v>
      </c>
      <c r="I698" s="18047">
        <v>2673</v>
      </c>
      <c r="J698" t="s">
        <v>851</v>
      </c>
    </row>
    <row r="699" spans="1:10">
      <c r="A699" t="str">
        <f>IF(LEFT(E699,1)="1","SOL",IF(LEFT(E699,1)="2","CO",IF(LEFT(E699,1)="3","ALM",IF(LEFT(E699,1)="4","FAC","TRX")))) &amp; "-" &amp; B699 &amp; "-" &amp; TEXT(COUNTIFS($E$2:$E699,E699,$B$2:$B699,B699),"000")</f>
        <v>CO-22-005</v>
      </c>
      <c r="B699">
        <v>22</v>
      </c>
      <c r="C699" s="18046">
        <v>46172</v>
      </c>
      <c r="D699" t="s">
        <v>166</v>
      </c>
      <c r="E699" t="s">
        <v>852</v>
      </c>
      <c r="F699" t="s">
        <v>876</v>
      </c>
      <c r="G699" s="3">
        <v>90</v>
      </c>
      <c r="H699" s="18047">
        <v>27</v>
      </c>
      <c r="I699" s="18047">
        <v>2430</v>
      </c>
      <c r="J699" t="s">
        <v>851</v>
      </c>
    </row>
    <row r="700" spans="1:10">
      <c r="A700" t="str">
        <f>IF(LEFT(E700,1)="1","SOL",IF(LEFT(E700,1)="2","CO",IF(LEFT(E700,1)="3","ALM",IF(LEFT(E700,1)="4","FAC","TRX")))) &amp; "-" &amp; B700 &amp; "-" &amp; TEXT(COUNTIFS($E$2:$E700,E700,$B$2:$B700,B700),"000")</f>
        <v>CO-22-006</v>
      </c>
      <c r="B700">
        <v>22</v>
      </c>
      <c r="C700" s="18046">
        <v>46172</v>
      </c>
      <c r="D700" t="s">
        <v>166</v>
      </c>
      <c r="E700" t="s">
        <v>852</v>
      </c>
      <c r="F700" t="s">
        <v>877</v>
      </c>
      <c r="G700" s="3">
        <v>90</v>
      </c>
      <c r="H700" s="18047">
        <v>27</v>
      </c>
      <c r="I700" s="18047">
        <v>2430</v>
      </c>
      <c r="J700" t="s">
        <v>851</v>
      </c>
    </row>
    <row r="701" spans="1:10">
      <c r="A701" t="str">
        <f>IF(LEFT(E701,1)="1","SOL",IF(LEFT(E701,1)="2","CO",IF(LEFT(E701,1)="3","ALM",IF(LEFT(E701,1)="4","FAC","TRX")))) &amp; "-" &amp; B701 &amp; "-" &amp; TEXT(COUNTIFS($E$2:$E701,E701,$B$2:$B701,B701),"000")</f>
        <v>CO-23-001</v>
      </c>
      <c r="B701">
        <v>23</v>
      </c>
      <c r="C701" s="18046">
        <v>46174</v>
      </c>
      <c r="D701" t="s">
        <v>166</v>
      </c>
      <c r="E701" t="s">
        <v>852</v>
      </c>
      <c r="F701" t="s">
        <v>878</v>
      </c>
      <c r="G701" s="3">
        <v>50</v>
      </c>
      <c r="H701" s="18047">
        <v>27</v>
      </c>
      <c r="I701" s="18047">
        <v>1350</v>
      </c>
      <c r="J701" t="s">
        <v>851</v>
      </c>
    </row>
    <row r="702" spans="1:10">
      <c r="A702" t="str">
        <f>IF(LEFT(E702,1)="1","SOL",IF(LEFT(E702,1)="2","CO",IF(LEFT(E702,1)="3","ALM",IF(LEFT(E702,1)="4","FAC","TRX")))) &amp; "-" &amp; B702 &amp; "-" &amp; TEXT(COUNTIFS($E$2:$E702,E702,$B$2:$B702,B702),"000")</f>
        <v>CO-23-002</v>
      </c>
      <c r="B702">
        <v>23</v>
      </c>
      <c r="C702" s="18046">
        <v>46175</v>
      </c>
      <c r="D702" t="s">
        <v>166</v>
      </c>
      <c r="E702" t="s">
        <v>852</v>
      </c>
      <c r="F702" t="s">
        <v>876</v>
      </c>
      <c r="G702" s="3">
        <v>74</v>
      </c>
      <c r="H702" s="18047">
        <v>27</v>
      </c>
      <c r="I702" s="18047">
        <v>1998</v>
      </c>
      <c r="J702" t="s">
        <v>851</v>
      </c>
    </row>
    <row r="703" spans="1:10">
      <c r="A703" t="str">
        <f>IF(LEFT(E703,1)="1","SOL",IF(LEFT(E703,1)="2","CO",IF(LEFT(E703,1)="3","ALM",IF(LEFT(E703,1)="4","FAC","TRX")))) &amp; "-" &amp; B703 &amp; "-" &amp; TEXT(COUNTIFS($E$2:$E703,E703,$B$2:$B703,B703),"000")</f>
        <v>CO-23-003</v>
      </c>
      <c r="B703">
        <v>23</v>
      </c>
      <c r="C703" s="18046">
        <v>46175</v>
      </c>
      <c r="D703" t="s">
        <v>166</v>
      </c>
      <c r="E703" t="s">
        <v>852</v>
      </c>
      <c r="F703" t="s">
        <v>877</v>
      </c>
      <c r="G703" s="3">
        <v>80</v>
      </c>
      <c r="H703" s="18047">
        <v>27</v>
      </c>
      <c r="I703" s="18047">
        <v>2160</v>
      </c>
      <c r="J703" t="s">
        <v>851</v>
      </c>
    </row>
    <row r="704" spans="1:10">
      <c r="A704" t="str">
        <f>IF(LEFT(E704,1)="1","SOL",IF(LEFT(E704,1)="2","CO",IF(LEFT(E704,1)="3","ALM",IF(LEFT(E704,1)="4","FAC","TRX")))) &amp; "-" &amp; B704 &amp; "-" &amp; TEXT(COUNTIFS($E$2:$E704,E704,$B$2:$B704,B704),"000")</f>
        <v>CO-23-004</v>
      </c>
      <c r="B704">
        <v>23</v>
      </c>
      <c r="C704" s="18046">
        <v>46175</v>
      </c>
      <c r="D704" t="s">
        <v>166</v>
      </c>
      <c r="E704" t="s">
        <v>852</v>
      </c>
      <c r="F704" t="s">
        <v>879</v>
      </c>
      <c r="G704" s="3">
        <v>40</v>
      </c>
      <c r="H704" s="18047">
        <v>27</v>
      </c>
      <c r="I704" s="18047">
        <v>1080</v>
      </c>
      <c r="J704" t="s">
        <v>851</v>
      </c>
    </row>
    <row r="705" spans="1:10">
      <c r="A705" t="str">
        <f>IF(LEFT(E705,1)="1","SOL",IF(LEFT(E705,1)="2","CO",IF(LEFT(E705,1)="3","ALM",IF(LEFT(E705,1)="4","FAC","TRX")))) &amp; "-" &amp; B705 &amp; "-" &amp; TEXT(COUNTIFS($E$2:$E705,E705,$B$2:$B705,B705),"000")</f>
        <v>CO-23-005</v>
      </c>
      <c r="B705">
        <v>23</v>
      </c>
      <c r="C705" s="18046">
        <v>46177</v>
      </c>
      <c r="D705" t="s">
        <v>166</v>
      </c>
      <c r="E705" t="s">
        <v>852</v>
      </c>
      <c r="F705" t="s">
        <v>876</v>
      </c>
      <c r="G705" s="3">
        <v>70</v>
      </c>
      <c r="H705" s="18047">
        <v>27</v>
      </c>
      <c r="I705" s="18047">
        <v>1890</v>
      </c>
      <c r="J705" t="s">
        <v>851</v>
      </c>
    </row>
    <row r="706" spans="1:10">
      <c r="A706" t="str">
        <f>IF(LEFT(E706,1)="1","SOL",IF(LEFT(E706,1)="2","CO",IF(LEFT(E706,1)="3","ALM",IF(LEFT(E706,1)="4","FAC","TRX")))) &amp; "-" &amp; B706 &amp; "-" &amp; TEXT(COUNTIFS($E$2:$E706,E706,$B$2:$B706,B706),"000")</f>
        <v>CO-23-006</v>
      </c>
      <c r="B706">
        <v>23</v>
      </c>
      <c r="C706" s="18046">
        <v>46177</v>
      </c>
      <c r="D706" t="s">
        <v>166</v>
      </c>
      <c r="E706" t="s">
        <v>852</v>
      </c>
      <c r="F706" t="s">
        <v>880</v>
      </c>
      <c r="G706" s="3">
        <v>100</v>
      </c>
      <c r="H706" s="18047">
        <v>27</v>
      </c>
      <c r="I706" s="18047">
        <v>2700</v>
      </c>
      <c r="J706" t="s">
        <v>851</v>
      </c>
    </row>
    <row r="707" spans="1:10">
      <c r="A707" t="str">
        <f>IF(LEFT(E707,1)="1","SOL",IF(LEFT(E707,1)="2","CO",IF(LEFT(E707,1)="3","ALM",IF(LEFT(E707,1)="4","FAC","TRX")))) &amp; "-" &amp; B707 &amp; "-" &amp; TEXT(COUNTIFS($E$2:$E707,E707,$B$2:$B707,B707),"000")</f>
        <v>CO-23-007</v>
      </c>
      <c r="B707">
        <v>23</v>
      </c>
      <c r="C707" s="18046">
        <v>46178</v>
      </c>
      <c r="D707" t="s">
        <v>166</v>
      </c>
      <c r="E707" t="s">
        <v>852</v>
      </c>
      <c r="F707" t="s">
        <v>876</v>
      </c>
      <c r="G707" s="3">
        <v>60</v>
      </c>
      <c r="H707" s="18047">
        <v>27</v>
      </c>
      <c r="I707" s="18047">
        <v>1620</v>
      </c>
      <c r="J707" t="s">
        <v>851</v>
      </c>
    </row>
    <row r="708" spans="1:10">
      <c r="A708" t="str">
        <f>IF(LEFT(E708,1)="1","SOL",IF(LEFT(E708,1)="2","CO",IF(LEFT(E708,1)="3","ALM",IF(LEFT(E708,1)="4","FAC","TRX")))) &amp; "-" &amp; B708 &amp; "-" &amp; TEXT(COUNTIFS($E$2:$E708,E708,$B$2:$B708,B708),"000")</f>
        <v>CO-23-008</v>
      </c>
      <c r="B708">
        <v>23</v>
      </c>
      <c r="C708" s="18046">
        <v>46178</v>
      </c>
      <c r="D708" t="s">
        <v>166</v>
      </c>
      <c r="E708" t="s">
        <v>852</v>
      </c>
      <c r="F708" t="s">
        <v>877</v>
      </c>
      <c r="G708" s="3">
        <v>70</v>
      </c>
      <c r="H708" s="18047">
        <v>27</v>
      </c>
      <c r="I708" s="18047">
        <v>1890</v>
      </c>
      <c r="J708" t="s">
        <v>851</v>
      </c>
    </row>
    <row r="709" spans="1:10">
      <c r="A709" t="str">
        <f>IF(LEFT(E709,1)="1","SOL",IF(LEFT(E709,1)="2","CO",IF(LEFT(E709,1)="3","ALM",IF(LEFT(E709,1)="4","FAC","TRX")))) &amp; "-" &amp; B709 &amp; "-" &amp; TEXT(COUNTIFS($E$2:$E709,E709,$B$2:$B709,B709),"000")</f>
        <v>CO-23-009</v>
      </c>
      <c r="B709">
        <v>23</v>
      </c>
      <c r="C709" s="18046">
        <v>46178</v>
      </c>
      <c r="D709" t="s">
        <v>166</v>
      </c>
      <c r="E709" t="s">
        <v>852</v>
      </c>
      <c r="F709" t="s">
        <v>879</v>
      </c>
      <c r="G709" s="3">
        <v>40</v>
      </c>
      <c r="H709" s="18047">
        <v>27</v>
      </c>
      <c r="I709" s="18047">
        <v>1080</v>
      </c>
      <c r="J709" t="s">
        <v>851</v>
      </c>
    </row>
    <row r="710" spans="1:10">
      <c r="A710" t="str">
        <f>IF(LEFT(E710,1)="1","SOL",IF(LEFT(E710,1)="2","CO",IF(LEFT(E710,1)="3","ALM",IF(LEFT(E710,1)="4","FAC","TRX")))) &amp; "-" &amp; B710 &amp; "-" &amp; TEXT(COUNTIFS($E$2:$E710,E710,$B$2:$B710,B710),"000")</f>
        <v>CO-23-010</v>
      </c>
      <c r="B710">
        <v>23</v>
      </c>
      <c r="C710" s="18046">
        <v>46179</v>
      </c>
      <c r="D710" t="s">
        <v>166</v>
      </c>
      <c r="E710" t="s">
        <v>852</v>
      </c>
      <c r="F710" t="s">
        <v>876</v>
      </c>
      <c r="G710" s="3">
        <v>100</v>
      </c>
      <c r="H710" s="18047">
        <v>27</v>
      </c>
      <c r="I710" s="18047">
        <v>2700</v>
      </c>
      <c r="J710" t="s">
        <v>851</v>
      </c>
    </row>
    <row r="711" spans="1:10">
      <c r="A711" t="str">
        <f>IF(LEFT(E711,1)="1","SOL",IF(LEFT(E711,1)="2","CO",IF(LEFT(E711,1)="3","ALM",IF(LEFT(E711,1)="4","FAC","TRX")))) &amp; "-" &amp; B711 &amp; "-" &amp; TEXT(COUNTIFS($E$2:$E711,E711,$B$2:$B711,B711),"000")</f>
        <v>CO-23-011</v>
      </c>
      <c r="B711">
        <v>23</v>
      </c>
      <c r="C711" s="18046">
        <v>46179</v>
      </c>
      <c r="D711" t="s">
        <v>166</v>
      </c>
      <c r="E711" t="s">
        <v>852</v>
      </c>
      <c r="F711" t="s">
        <v>877</v>
      </c>
      <c r="G711" s="3">
        <v>100</v>
      </c>
      <c r="H711" s="18047">
        <v>27</v>
      </c>
      <c r="I711" s="18047">
        <v>2700</v>
      </c>
      <c r="J711" t="s">
        <v>851</v>
      </c>
    </row>
    <row r="712" spans="1:10">
      <c r="A712" t="str">
        <f>IF(LEFT(E712,1)="1","SOL",IF(LEFT(E712,1)="2","CO",IF(LEFT(E712,1)="3","ALM",IF(LEFT(E712,1)="4","FAC","TRX")))) &amp; "-" &amp; B712 &amp; "-" &amp; TEXT(COUNTIFS($E$2:$E712,E712,$B$2:$B712,B712),"000")</f>
        <v>CO-23-012</v>
      </c>
      <c r="B712">
        <v>23</v>
      </c>
      <c r="C712" s="18046">
        <v>46179</v>
      </c>
      <c r="D712" t="s">
        <v>166</v>
      </c>
      <c r="E712" t="s">
        <v>852</v>
      </c>
      <c r="F712" t="s">
        <v>878</v>
      </c>
      <c r="G712" s="3">
        <v>40</v>
      </c>
      <c r="H712" s="18047">
        <v>27</v>
      </c>
      <c r="I712" s="18047">
        <v>1080</v>
      </c>
      <c r="J712" t="s">
        <v>851</v>
      </c>
    </row>
    <row r="713" spans="1:10">
      <c r="A713" t="str">
        <f>IF(LEFT(E713,1)="1","SOL",IF(LEFT(E713,1)="2","CO",IF(LEFT(E713,1)="3","ALM",IF(LEFT(E713,1)="4","FAC","TRX")))) &amp; "-" &amp; B713 &amp; "-" &amp; TEXT(COUNTIFS($E$2:$E713,E713,$B$2:$B713,B713),"000")</f>
        <v>CO-24-105</v>
      </c>
      <c r="B713">
        <v>24</v>
      </c>
      <c r="C713" s="18046">
        <v>46181</v>
      </c>
      <c r="D713" t="s">
        <v>166</v>
      </c>
      <c r="E713" t="s">
        <v>852</v>
      </c>
      <c r="F713" t="s">
        <v>876</v>
      </c>
      <c r="G713" s="3">
        <v>70</v>
      </c>
      <c r="H713" s="18047">
        <v>27</v>
      </c>
      <c r="I713" s="18047">
        <v>1890</v>
      </c>
      <c r="J713" t="s">
        <v>851</v>
      </c>
    </row>
    <row r="714" spans="1:10">
      <c r="A714" t="str">
        <f>IF(LEFT(E714,1)="1","SOL",IF(LEFT(E714,1)="2","CO",IF(LEFT(E714,1)="3","ALM",IF(LEFT(E714,1)="4","FAC","TRX")))) &amp; "-" &amp; B714 &amp; "-" &amp; TEXT(COUNTIFS($E$2:$E714,E714,$B$2:$B714,B714),"000")</f>
        <v>CO-24-106</v>
      </c>
      <c r="B714">
        <v>24</v>
      </c>
      <c r="C714" s="18046">
        <v>46181</v>
      </c>
      <c r="D714" t="s">
        <v>166</v>
      </c>
      <c r="E714" t="s">
        <v>852</v>
      </c>
      <c r="F714" t="s">
        <v>879</v>
      </c>
      <c r="G714" s="3">
        <v>40</v>
      </c>
      <c r="H714" s="18047">
        <v>27</v>
      </c>
      <c r="I714" s="18047">
        <v>1080</v>
      </c>
      <c r="J714" t="s">
        <v>851</v>
      </c>
    </row>
    <row r="715" spans="1:10">
      <c r="A715" t="str">
        <f>IF(LEFT(E715,1)="1","SOL",IF(LEFT(E715,1)="2","CO",IF(LEFT(E715,1)="3","ALM",IF(LEFT(E715,1)="4","FAC","TRX")))) &amp; "-" &amp; B715 &amp; "-" &amp; TEXT(COUNTIFS($E$2:$E715,E715,$B$2:$B715,B715),"000")</f>
        <v>CO-24-107</v>
      </c>
      <c r="B715">
        <v>24</v>
      </c>
      <c r="C715" s="18046">
        <v>46184</v>
      </c>
      <c r="D715" t="s">
        <v>166</v>
      </c>
      <c r="E715" t="s">
        <v>852</v>
      </c>
      <c r="F715" t="s">
        <v>881</v>
      </c>
      <c r="G715" s="3">
        <v>70</v>
      </c>
      <c r="H715" s="18047">
        <v>27</v>
      </c>
      <c r="I715" s="18047">
        <v>1890</v>
      </c>
      <c r="J715" t="s">
        <v>851</v>
      </c>
    </row>
    <row r="716" spans="1:10">
      <c r="A716" t="str">
        <f>IF(LEFT(E716,1)="1","SOL",IF(LEFT(E716,1)="2","CO",IF(LEFT(E716,1)="3","ALM",IF(LEFT(E716,1)="4","FAC","TRX")))) &amp; "-" &amp; B716 &amp; "-" &amp; TEXT(COUNTIFS($E$2:$E716,E716,$B$2:$B716,B716),"000")</f>
        <v>CO-25-100</v>
      </c>
      <c r="B716">
        <v>25</v>
      </c>
      <c r="C716" s="18046">
        <v>46188</v>
      </c>
      <c r="D716" t="s">
        <v>166</v>
      </c>
      <c r="E716" t="s">
        <v>852</v>
      </c>
      <c r="F716" t="s">
        <v>881</v>
      </c>
      <c r="G716" s="3">
        <v>100</v>
      </c>
      <c r="H716" s="18047">
        <v>27</v>
      </c>
      <c r="I716" s="18047">
        <v>2700</v>
      </c>
      <c r="J716" t="s">
        <v>851</v>
      </c>
    </row>
    <row r="717" spans="1:10">
      <c r="A717" t="str">
        <f>IF(LEFT(E717,1)="1","SOL",IF(LEFT(E717,1)="2","CO",IF(LEFT(E717,1)="3","ALM",IF(LEFT(E717,1)="4","FAC","TRX")))) &amp; "-" &amp; B717 &amp; "-" &amp; TEXT(COUNTIFS($E$2:$E717,E717,$B$2:$B717,B717),"000")</f>
        <v>CO-25-101</v>
      </c>
      <c r="B717">
        <v>25</v>
      </c>
      <c r="C717" s="18046">
        <v>46189</v>
      </c>
      <c r="D717" t="s">
        <v>166</v>
      </c>
      <c r="E717" t="s">
        <v>852</v>
      </c>
      <c r="F717" t="s">
        <v>876</v>
      </c>
      <c r="G717" s="3">
        <v>90</v>
      </c>
      <c r="H717" s="18047">
        <v>27</v>
      </c>
      <c r="I717" s="18047">
        <v>2430</v>
      </c>
      <c r="J717" t="s">
        <v>851</v>
      </c>
    </row>
    <row r="718" spans="1:10">
      <c r="A718" t="str">
        <f>IF(LEFT(E718,1)="1","SOL",IF(LEFT(E718,1)="2","CO",IF(LEFT(E718,1)="3","ALM",IF(LEFT(E718,1)="4","FAC","TRX")))) &amp; "-" &amp; B718 &amp; "-" &amp; TEXT(COUNTIFS($E$2:$E718,E718,$B$2:$B718,B718),"000")</f>
        <v>CO-25-102</v>
      </c>
      <c r="B718">
        <v>25</v>
      </c>
      <c r="C718" s="18046">
        <v>46189</v>
      </c>
      <c r="D718" t="s">
        <v>166</v>
      </c>
      <c r="E718" t="s">
        <v>852</v>
      </c>
      <c r="F718" t="s">
        <v>881</v>
      </c>
      <c r="G718" s="3">
        <v>140</v>
      </c>
      <c r="H718" s="18047">
        <v>27</v>
      </c>
      <c r="I718" s="18047">
        <v>3780</v>
      </c>
      <c r="J718" t="s">
        <v>851</v>
      </c>
    </row>
    <row r="719" spans="1:10">
      <c r="A719" t="str">
        <f>IF(LEFT(E719,1)="1","SOL",IF(LEFT(E719,1)="2","CO",IF(LEFT(E719,1)="3","ALM",IF(LEFT(E719,1)="4","FAC","TRX")))) &amp; "-" &amp; B719 &amp; "-" &amp; TEXT(COUNTIFS($E$2:$E719,E719,$B$2:$B719,B719),"000")</f>
        <v>CO-25-103</v>
      </c>
      <c r="B719">
        <v>25</v>
      </c>
      <c r="C719" s="18046">
        <v>46190</v>
      </c>
      <c r="D719" t="s">
        <v>166</v>
      </c>
      <c r="E719" t="s">
        <v>852</v>
      </c>
      <c r="F719" t="s">
        <v>879</v>
      </c>
      <c r="G719" s="3">
        <v>50</v>
      </c>
      <c r="H719" s="18047">
        <v>27</v>
      </c>
      <c r="I719" s="18047">
        <v>1350</v>
      </c>
      <c r="J719" t="s">
        <v>851</v>
      </c>
    </row>
    <row r="720" spans="1:10">
      <c r="A720" t="str">
        <f>IF(LEFT(E720,1)="1","SOL",IF(LEFT(E720,1)="2","CO",IF(LEFT(E720,1)="3","ALM",IF(LEFT(E720,1)="4","FAC","TRX")))) &amp; "-" &amp; B720 &amp; "-" &amp; TEXT(COUNTIFS($E$2:$E720,E720,$B$2:$B720,B720),"000")</f>
        <v>CO-25-104</v>
      </c>
      <c r="B720">
        <v>25</v>
      </c>
      <c r="C720" s="18046">
        <v>46190</v>
      </c>
      <c r="D720" t="s">
        <v>166</v>
      </c>
      <c r="E720" t="s">
        <v>852</v>
      </c>
      <c r="F720" t="s">
        <v>881</v>
      </c>
      <c r="G720" s="3">
        <v>100</v>
      </c>
      <c r="H720" s="18047">
        <v>27</v>
      </c>
      <c r="I720" s="18047">
        <v>2700</v>
      </c>
      <c r="J720" t="s">
        <v>851</v>
      </c>
    </row>
    <row r="721" spans="1:10">
      <c r="A721" t="str">
        <f>IF(LEFT(E721,1)="1","SOL",IF(LEFT(E721,1)="2","CO",IF(LEFT(E721,1)="3","ALM",IF(LEFT(E721,1)="4","FAC","TRX")))) &amp; "-" &amp; B721 &amp; "-" &amp; TEXT(COUNTIFS($E$2:$E721,E721,$B$2:$B721,B721),"000")</f>
        <v>CO-25-105</v>
      </c>
      <c r="B721">
        <v>25</v>
      </c>
      <c r="C721" s="18046">
        <v>46191</v>
      </c>
      <c r="D721" t="s">
        <v>166</v>
      </c>
      <c r="E721" t="s">
        <v>852</v>
      </c>
      <c r="F721" t="s">
        <v>877</v>
      </c>
      <c r="G721" s="3">
        <v>70</v>
      </c>
      <c r="H721" s="18047">
        <v>27</v>
      </c>
      <c r="I721" s="18047">
        <v>1890</v>
      </c>
      <c r="J721" t="s">
        <v>851</v>
      </c>
    </row>
    <row r="722" spans="1:10">
      <c r="A722" t="str">
        <f>IF(LEFT(E722,1)="1","SOL",IF(LEFT(E722,1)="2","CO",IF(LEFT(E722,1)="3","ALM",IF(LEFT(E722,1)="4","FAC","TRX")))) &amp; "-" &amp; B722 &amp; "-" &amp; TEXT(COUNTIFS($E$2:$E722,E722,$B$2:$B722,B722),"000")</f>
        <v>CO-25-106</v>
      </c>
      <c r="B722">
        <v>25</v>
      </c>
      <c r="C722" s="18046">
        <v>46191</v>
      </c>
      <c r="D722" t="s">
        <v>166</v>
      </c>
      <c r="E722" t="s">
        <v>852</v>
      </c>
      <c r="F722" t="s">
        <v>878</v>
      </c>
      <c r="G722" s="3">
        <v>40</v>
      </c>
      <c r="H722" s="18047">
        <v>27</v>
      </c>
      <c r="I722" s="18047">
        <v>1080</v>
      </c>
      <c r="J722" t="s">
        <v>851</v>
      </c>
    </row>
    <row r="723" spans="1:10">
      <c r="A723" t="str">
        <f>IF(LEFT(E723,1)="1","SOL",IF(LEFT(E723,1)="2","CO",IF(LEFT(E723,1)="3","ALM",IF(LEFT(E723,1)="4","FAC","TRX")))) &amp; "-" &amp; B723 &amp; "-" &amp; TEXT(COUNTIFS($E$2:$E723,E723,$B$2:$B723,B723),"000")</f>
        <v>CO-25-107</v>
      </c>
      <c r="B723">
        <v>25</v>
      </c>
      <c r="C723" s="18046">
        <v>46191</v>
      </c>
      <c r="D723" t="s">
        <v>166</v>
      </c>
      <c r="E723" t="s">
        <v>852</v>
      </c>
      <c r="F723" t="s">
        <v>881</v>
      </c>
      <c r="G723" s="3">
        <v>100</v>
      </c>
      <c r="H723" s="18047">
        <v>27</v>
      </c>
      <c r="I723" s="18047">
        <v>2700</v>
      </c>
      <c r="J723" t="s">
        <v>851</v>
      </c>
    </row>
    <row r="724" spans="1:10">
      <c r="A724" t="str">
        <f>IF(LEFT(E724,1)="1","SOL",IF(LEFT(E724,1)="2","CO",IF(LEFT(E724,1)="3","ALM",IF(LEFT(E724,1)="4","FAC","TRX")))) &amp; "-" &amp; B724 &amp; "-" &amp; TEXT(COUNTIFS($E$2:$E724,E724,$B$2:$B724,B724),"000")</f>
        <v>CO-25-108</v>
      </c>
      <c r="B724">
        <v>25</v>
      </c>
      <c r="C724" s="18046">
        <v>46192</v>
      </c>
      <c r="D724" t="s">
        <v>166</v>
      </c>
      <c r="E724" t="s">
        <v>852</v>
      </c>
      <c r="F724" t="s">
        <v>882</v>
      </c>
      <c r="G724" s="3">
        <v>150</v>
      </c>
      <c r="H724" s="18047">
        <v>27</v>
      </c>
      <c r="I724" s="18047">
        <v>4050</v>
      </c>
      <c r="J724" t="s">
        <v>851</v>
      </c>
    </row>
    <row r="725" spans="1:10">
      <c r="A725" t="str">
        <f>IF(LEFT(E725,1)="1","SOL",IF(LEFT(E725,1)="2","CO",IF(LEFT(E725,1)="3","ALM",IF(LEFT(E725,1)="4","FAC","TRX")))) &amp; "-" &amp; B725 &amp; "-" &amp; TEXT(COUNTIFS($E$2:$E725,E725,$B$2:$B725,B725),"000")</f>
        <v>CO-25-109</v>
      </c>
      <c r="B725">
        <v>25</v>
      </c>
      <c r="C725" s="18046">
        <v>46193</v>
      </c>
      <c r="D725" t="s">
        <v>166</v>
      </c>
      <c r="E725" t="s">
        <v>852</v>
      </c>
      <c r="F725" t="s">
        <v>882</v>
      </c>
      <c r="G725" s="3">
        <v>90</v>
      </c>
      <c r="H725" s="18047">
        <v>27</v>
      </c>
      <c r="I725" s="18047">
        <v>2430</v>
      </c>
      <c r="J725" t="s">
        <v>851</v>
      </c>
    </row>
    <row r="726" spans="1:10">
      <c r="A726" t="str">
        <f>IF(LEFT(E726,1)="1","SOL",IF(LEFT(E726,1)="2","CO",IF(LEFT(E726,1)="3","ALM",IF(LEFT(E726,1)="4","FAC","TRX")))) &amp; "-" &amp; B726 &amp; "-" &amp; TEXT(COUNTIFS($E$2:$E726,E726,$B$2:$B726,B726),"000")</f>
        <v>CO-26-078</v>
      </c>
      <c r="B726">
        <v>26</v>
      </c>
      <c r="C726" s="18046">
        <v>46195</v>
      </c>
      <c r="D726" t="s">
        <v>166</v>
      </c>
      <c r="E726" t="s">
        <v>852</v>
      </c>
      <c r="F726" t="s">
        <v>883</v>
      </c>
      <c r="G726" s="3">
        <v>20</v>
      </c>
      <c r="H726" s="18047">
        <v>27</v>
      </c>
      <c r="I726" s="18047">
        <v>540</v>
      </c>
      <c r="J726" t="s">
        <v>851</v>
      </c>
    </row>
    <row r="727" spans="1:10">
      <c r="A727" t="str">
        <f>IF(LEFT(E727,1)="1","SOL",IF(LEFT(E727,1)="2","CO",IF(LEFT(E727,1)="3","ALM",IF(LEFT(E727,1)="4","FAC","TRX")))) &amp; "-" &amp; B727 &amp; "-" &amp; TEXT(COUNTIFS($E$2:$E727,E727,$B$2:$B727,B727),"000")</f>
        <v>CO-26-079</v>
      </c>
      <c r="B727">
        <v>26</v>
      </c>
      <c r="C727" s="18046">
        <v>46195</v>
      </c>
      <c r="D727" t="s">
        <v>166</v>
      </c>
      <c r="E727" t="s">
        <v>852</v>
      </c>
      <c r="F727" t="s">
        <v>882</v>
      </c>
      <c r="G727" s="3">
        <v>140</v>
      </c>
      <c r="H727" s="18047">
        <v>27</v>
      </c>
      <c r="I727" s="18047">
        <v>3780</v>
      </c>
      <c r="J727" t="s">
        <v>851</v>
      </c>
    </row>
    <row r="728" spans="1:10">
      <c r="A728" t="str">
        <f>IF(LEFT(E728,1)="1","SOL",IF(LEFT(E728,1)="2","CO",IF(LEFT(E728,1)="3","ALM",IF(LEFT(E728,1)="4","FAC","TRX")))) &amp; "-" &amp; B728 &amp; "-" &amp; TEXT(COUNTIFS($E$2:$E728,E728,$B$2:$B728,B728),"000")</f>
        <v>CO-26-080</v>
      </c>
      <c r="B728">
        <v>26</v>
      </c>
      <c r="C728" s="18046">
        <v>46195</v>
      </c>
      <c r="D728" t="s">
        <v>166</v>
      </c>
      <c r="E728" t="s">
        <v>852</v>
      </c>
      <c r="F728" t="s">
        <v>884</v>
      </c>
      <c r="G728" s="3">
        <v>100.74</v>
      </c>
      <c r="H728" s="18047">
        <v>27</v>
      </c>
      <c r="I728" s="18047">
        <v>2719.98</v>
      </c>
      <c r="J728" t="s">
        <v>851</v>
      </c>
    </row>
    <row r="729" spans="1:10">
      <c r="A729" t="str">
        <f>IF(LEFT(E729,1)="1","SOL",IF(LEFT(E729,1)="2","CO",IF(LEFT(E729,1)="3","ALM",IF(LEFT(E729,1)="4","FAC","TRX")))) &amp; "-" &amp; B729 &amp; "-" &amp; TEXT(COUNTIFS($E$2:$E729,E729,$B$2:$B729,B729),"000")</f>
        <v>CO-26-081</v>
      </c>
      <c r="B729">
        <v>26</v>
      </c>
      <c r="C729" s="18046">
        <v>46196</v>
      </c>
      <c r="D729" t="s">
        <v>166</v>
      </c>
      <c r="E729" t="s">
        <v>852</v>
      </c>
      <c r="F729" t="s">
        <v>882</v>
      </c>
      <c r="G729" s="3">
        <v>140</v>
      </c>
      <c r="H729" s="18047">
        <v>27</v>
      </c>
      <c r="I729" s="18047">
        <v>3780</v>
      </c>
      <c r="J729" t="s">
        <v>851</v>
      </c>
    </row>
    <row r="730" spans="1:10">
      <c r="A730" t="str">
        <f>IF(LEFT(E730,1)="1","SOL",IF(LEFT(E730,1)="2","CO",IF(LEFT(E730,1)="3","ALM",IF(LEFT(E730,1)="4","FAC","TRX")))) &amp; "-" &amp; B730 &amp; "-" &amp; TEXT(COUNTIFS($E$2:$E730,E730,$B$2:$B730,B730),"000")</f>
        <v>CO-26-082</v>
      </c>
      <c r="B730">
        <v>26</v>
      </c>
      <c r="C730" s="18046">
        <v>46196</v>
      </c>
      <c r="D730" t="s">
        <v>166</v>
      </c>
      <c r="E730" t="s">
        <v>852</v>
      </c>
      <c r="F730" t="s">
        <v>884</v>
      </c>
      <c r="G730" s="3">
        <v>119.26</v>
      </c>
      <c r="H730" s="18047">
        <v>27</v>
      </c>
      <c r="I730" s="18047">
        <v>3220.02</v>
      </c>
      <c r="J730" t="s">
        <v>851</v>
      </c>
    </row>
    <row r="731" spans="1:10">
      <c r="A731" t="str">
        <f>IF(LEFT(E731,1)="1","SOL",IF(LEFT(E731,1)="2","CO",IF(LEFT(E731,1)="3","ALM",IF(LEFT(E731,1)="4","FAC","TRX")))) &amp; "-" &amp; B731 &amp; "-" &amp; TEXT(COUNTIFS($E$2:$E731,E731,$B$2:$B731,B731),"000")</f>
        <v>CO-26-083</v>
      </c>
      <c r="B731">
        <v>26</v>
      </c>
      <c r="C731" s="18046">
        <v>46197</v>
      </c>
      <c r="D731" t="s">
        <v>166</v>
      </c>
      <c r="E731" t="s">
        <v>852</v>
      </c>
      <c r="F731" t="s">
        <v>885</v>
      </c>
      <c r="G731" s="3">
        <v>200</v>
      </c>
      <c r="H731" s="18047">
        <v>27</v>
      </c>
      <c r="I731" s="18047">
        <v>5400</v>
      </c>
      <c r="J731" t="s">
        <v>851</v>
      </c>
    </row>
    <row r="732" spans="1:10">
      <c r="A732" t="str">
        <f>IF(LEFT(E732,1)="1","SOL",IF(LEFT(E732,1)="2","CO",IF(LEFT(E732,1)="3","ALM",IF(LEFT(E732,1)="4","FAC","TRX")))) &amp; "-" &amp; B732 &amp; "-" &amp; TEXT(COUNTIFS($E$2:$E732,E732,$B$2:$B732,B732),"000")</f>
        <v>CO-26-084</v>
      </c>
      <c r="B732">
        <v>26</v>
      </c>
      <c r="C732" s="18046">
        <v>46197</v>
      </c>
      <c r="D732" t="s">
        <v>166</v>
      </c>
      <c r="E732" t="s">
        <v>852</v>
      </c>
      <c r="F732" t="s">
        <v>885</v>
      </c>
      <c r="G732" s="3">
        <v>50</v>
      </c>
      <c r="H732" s="18047">
        <v>27</v>
      </c>
      <c r="I732" s="18047">
        <v>1350</v>
      </c>
      <c r="J732" t="s">
        <v>851</v>
      </c>
    </row>
    <row r="733" spans="1:10">
      <c r="A733" t="str">
        <f>IF(LEFT(E733,1)="1","SOL",IF(LEFT(E733,1)="2","CO",IF(LEFT(E733,1)="3","ALM",IF(LEFT(E733,1)="4","FAC","TRX")))) &amp; "-" &amp; B733 &amp; "-" &amp; TEXT(COUNTIFS($E$2:$E733,E733,$B$2:$B733,B733),"000")</f>
        <v>CO-26-085</v>
      </c>
      <c r="B733">
        <v>26</v>
      </c>
      <c r="C733" s="18046">
        <v>46197</v>
      </c>
      <c r="D733" t="s">
        <v>166</v>
      </c>
      <c r="E733" t="s">
        <v>852</v>
      </c>
      <c r="F733" t="s">
        <v>882</v>
      </c>
      <c r="G733" s="3">
        <v>200</v>
      </c>
      <c r="H733" s="18047">
        <v>27</v>
      </c>
      <c r="I733" s="18047">
        <v>5400</v>
      </c>
      <c r="J733" t="s">
        <v>851</v>
      </c>
    </row>
    <row r="734" spans="1:10">
      <c r="A734" t="str">
        <f>IF(LEFT(E734,1)="1","SOL",IF(LEFT(E734,1)="2","CO",IF(LEFT(E734,1)="3","ALM",IF(LEFT(E734,1)="4","FAC","TRX")))) &amp; "-" &amp; B734 &amp; "-" &amp; TEXT(COUNTIFS($E$2:$E734,E734,$B$2:$B734,B734),"000")</f>
        <v>CO-26-086</v>
      </c>
      <c r="B734">
        <v>26</v>
      </c>
      <c r="C734" s="18046">
        <v>46197</v>
      </c>
      <c r="D734" t="s">
        <v>166</v>
      </c>
      <c r="E734" t="s">
        <v>852</v>
      </c>
      <c r="F734" t="s">
        <v>884</v>
      </c>
      <c r="G734" s="3">
        <v>100</v>
      </c>
      <c r="H734" s="18047">
        <v>27</v>
      </c>
      <c r="I734" s="18047">
        <v>2700</v>
      </c>
      <c r="J734" t="s">
        <v>851</v>
      </c>
    </row>
    <row r="735" spans="1:10">
      <c r="A735" t="str">
        <f>IF(LEFT(E735,1)="1","SOL",IF(LEFT(E735,1)="2","CO",IF(LEFT(E735,1)="3","ALM",IF(LEFT(E735,1)="4","FAC","TRX")))) &amp; "-" &amp; B735 &amp; "-" &amp; TEXT(COUNTIFS($E$2:$E735,E735,$B$2:$B735,B735),"000")</f>
        <v>CO-26-087</v>
      </c>
      <c r="B735">
        <v>26</v>
      </c>
      <c r="C735" s="18046">
        <v>46199</v>
      </c>
      <c r="D735" t="s">
        <v>166</v>
      </c>
      <c r="E735" t="s">
        <v>852</v>
      </c>
      <c r="F735" t="s">
        <v>882</v>
      </c>
      <c r="G735" s="3">
        <v>160</v>
      </c>
      <c r="H735" s="18047">
        <v>27</v>
      </c>
      <c r="I735" s="18047">
        <v>4320</v>
      </c>
      <c r="J735" t="s">
        <v>851</v>
      </c>
    </row>
    <row r="736" spans="1:10">
      <c r="A736" t="str">
        <f>IF(LEFT(E736,1)="1","SOL",IF(LEFT(E736,1)="2","CO",IF(LEFT(E736,1)="3","ALM",IF(LEFT(E736,1)="4","FAC","TRX")))) &amp; "-" &amp; B736 &amp; "-" &amp; TEXT(COUNTIFS($E$2:$E736,E736,$B$2:$B736,B736),"000")</f>
        <v>CO-26-088</v>
      </c>
      <c r="B736">
        <v>26</v>
      </c>
      <c r="C736" s="18046">
        <v>46200</v>
      </c>
      <c r="D736" t="s">
        <v>166</v>
      </c>
      <c r="E736" t="s">
        <v>852</v>
      </c>
      <c r="F736" t="s">
        <v>882</v>
      </c>
      <c r="G736" s="3">
        <v>108</v>
      </c>
      <c r="H736" s="18047">
        <v>27</v>
      </c>
      <c r="I736" s="18047">
        <v>2916</v>
      </c>
      <c r="J736" t="s">
        <v>851</v>
      </c>
    </row>
    <row r="737" spans="1:11">
      <c r="A737" t="str">
        <f>IF(LEFT(E737,1)="1","SOL",IF(LEFT(E737,1)="2","CO",IF(LEFT(E737,1)="3","ALM",IF(LEFT(E737,1)="4","FAC","TRX")))) &amp; "-" &amp; B737 &amp; "-" &amp; TEXT(COUNTIFS($E$2:$E737,E737,$B$2:$B737,B737),"000")</f>
        <v>FAC-25-001</v>
      </c>
      <c r="B737">
        <v>25</v>
      </c>
      <c r="C737" s="18046">
        <v>46193</v>
      </c>
      <c r="D737" t="s">
        <v>775</v>
      </c>
      <c r="E737" t="s">
        <v>886</v>
      </c>
      <c r="F737" t="s">
        <v>887</v>
      </c>
      <c r="G737" s="3">
        <v>4000</v>
      </c>
      <c r="H737" s="18047">
        <v>27.00009</v>
      </c>
      <c r="I737" s="18047">
        <v>108000.36</v>
      </c>
      <c r="J737" t="s">
        <v>851</v>
      </c>
      <c r="K737" t="s">
        <v>888</v>
      </c>
    </row>
    <row r="738" spans="1:11">
      <c r="A738" t="str">
        <f>IF(LEFT(E738,1)="1","SOL",IF(LEFT(E738,1)="2","CO",IF(LEFT(E738,1)="3","ALM",IF(LEFT(E738,1)="4","FAC","TRX")))) &amp; "-" &amp; B738 &amp; "-" &amp; TEXT(COUNTIFS($E$2:$E738,E738,$B$2:$B738,B738),"000")</f>
        <v>FAC-25-002</v>
      </c>
      <c r="B738">
        <v>25</v>
      </c>
      <c r="C738" s="18046">
        <v>46188</v>
      </c>
      <c r="D738" t="s">
        <v>124</v>
      </c>
      <c r="E738" t="s">
        <v>886</v>
      </c>
      <c r="F738" t="s">
        <v>889</v>
      </c>
      <c r="G738" s="3">
        <v>800.00600000000009</v>
      </c>
      <c r="H738" s="18047">
        <v>26.999985000112499</v>
      </c>
      <c r="I738" s="18047">
        <v>21600.15</v>
      </c>
      <c r="J738" t="s">
        <v>851</v>
      </c>
      <c r="K738" t="s">
        <v>888</v>
      </c>
    </row>
    <row r="739" spans="1:11">
      <c r="A739" t="str">
        <f>IF(LEFT(E739,1)="1","SOL",IF(LEFT(E739,1)="2","CO",IF(LEFT(E739,1)="3","ALM",IF(LEFT(E739,1)="4","FAC","TRX")))) &amp; "-" &amp; B739 &amp; "-" &amp; TEXT(COUNTIFS($E$2:$E739,E739,$B$2:$B739,B739),"000")</f>
        <v>FAC-25-003</v>
      </c>
      <c r="B739">
        <v>25</v>
      </c>
      <c r="C739" s="18046">
        <v>46188</v>
      </c>
      <c r="D739" t="s">
        <v>775</v>
      </c>
      <c r="E739" t="s">
        <v>886</v>
      </c>
      <c r="F739" t="s">
        <v>890</v>
      </c>
      <c r="G739" s="3">
        <v>4000.0120000000006</v>
      </c>
      <c r="H739" s="18047">
        <v>27.000008999972994</v>
      </c>
      <c r="I739" s="18047">
        <v>108000.36</v>
      </c>
      <c r="J739" t="s">
        <v>851</v>
      </c>
      <c r="K739" t="s">
        <v>888</v>
      </c>
    </row>
    <row r="740" spans="1:11">
      <c r="A740" t="str">
        <f>IF(LEFT(E740,1)="1","SOL",IF(LEFT(E740,1)="2","CO",IF(LEFT(E740,1)="3","ALM",IF(LEFT(E740,1)="4","FAC","TRX")))) &amp; "-" &amp; B740 &amp; "-" &amp; TEXT(COUNTIFS($E$2:$E740,E740,$B$2:$B740,B740),"000")</f>
        <v>FAC-26-001</v>
      </c>
      <c r="B740">
        <v>26</v>
      </c>
      <c r="C740" s="18046">
        <v>46195</v>
      </c>
      <c r="D740" t="s">
        <v>1</v>
      </c>
      <c r="E740" t="s">
        <v>886</v>
      </c>
      <c r="F740" t="s">
        <v>891</v>
      </c>
      <c r="G740" s="3">
        <v>660</v>
      </c>
      <c r="H740" s="18047">
        <v>27</v>
      </c>
      <c r="I740" s="18047">
        <v>17820</v>
      </c>
      <c r="J740" t="s">
        <v>851</v>
      </c>
      <c r="K740" t="s">
        <v>888</v>
      </c>
    </row>
    <row r="741" spans="1:11">
      <c r="A741" t="str">
        <f>IF(LEFT(E741,1)="1","SOL",IF(LEFT(E741,1)="2","CO",IF(LEFT(E741,1)="3","ALM",IF(LEFT(E741,1)="4","FAC","TRX")))) &amp; "-" &amp; B741 &amp; "-" &amp; TEXT(COUNTIFS($E$2:$E741,E741,$B$2:$B741,B741),"000")</f>
        <v>FAC-26-002</v>
      </c>
      <c r="B741">
        <v>26</v>
      </c>
      <c r="C741" s="18046">
        <v>46196</v>
      </c>
      <c r="D741" t="s">
        <v>1</v>
      </c>
      <c r="E741" t="s">
        <v>886</v>
      </c>
      <c r="F741" t="s">
        <v>892</v>
      </c>
      <c r="G741" s="3">
        <v>63</v>
      </c>
      <c r="H741" s="18047">
        <v>23.80952380952381</v>
      </c>
      <c r="I741" s="18047">
        <v>1500</v>
      </c>
      <c r="J741" t="s">
        <v>851</v>
      </c>
      <c r="K741" t="s">
        <v>888</v>
      </c>
    </row>
    <row r="742" spans="1:11">
      <c r="A742" t="str">
        <f>IF(LEFT(E742,1)="1","SOL",IF(LEFT(E742,1)="2","CO",IF(LEFT(E742,1)="3","ALM",IF(LEFT(E742,1)="4","FAC","TRX")))) &amp; "-" &amp; B742 &amp; "-" &amp; TEXT(COUNTIFS($E$2:$E742,E742,$B$2:$B742,B742),"000")</f>
        <v>FAC-26-003</v>
      </c>
      <c r="B742">
        <v>26</v>
      </c>
      <c r="C742" s="18046">
        <v>46196</v>
      </c>
      <c r="D742" t="s">
        <v>1</v>
      </c>
      <c r="E742" t="s">
        <v>886</v>
      </c>
      <c r="F742" t="s">
        <v>893</v>
      </c>
      <c r="G742" s="3">
        <v>42</v>
      </c>
      <c r="H742" s="18047">
        <v>23.80952380952381</v>
      </c>
      <c r="I742" s="18047">
        <v>1000</v>
      </c>
      <c r="J742" t="s">
        <v>851</v>
      </c>
      <c r="K742" t="s">
        <v>888</v>
      </c>
    </row>
    <row r="743" spans="1:11">
      <c r="A743" t="str">
        <f>IF(LEFT(E743,1)="1","SOL",IF(LEFT(E743,1)="2","CO",IF(LEFT(E743,1)="3","ALM",IF(LEFT(E743,1)="4","FAC","TRX")))) &amp; "-" &amp; B743 &amp; "-" &amp; TEXT(COUNTIFS($E$2:$E743,E743,$B$2:$B743,B743),"000")</f>
        <v>FAC-26-004</v>
      </c>
      <c r="B743">
        <v>26</v>
      </c>
      <c r="C743" s="18046">
        <v>46196</v>
      </c>
      <c r="D743" t="s">
        <v>1</v>
      </c>
      <c r="E743" t="s">
        <v>886</v>
      </c>
      <c r="F743" t="s">
        <v>894</v>
      </c>
      <c r="G743" s="3">
        <v>63</v>
      </c>
      <c r="H743" s="18047">
        <v>23.80952380952381</v>
      </c>
      <c r="I743" s="18047">
        <v>1500</v>
      </c>
      <c r="J743" t="s">
        <v>851</v>
      </c>
      <c r="K743" t="s">
        <v>888</v>
      </c>
    </row>
    <row r="744" spans="1:11">
      <c r="A744" t="str">
        <f>IF(LEFT(E744,1)="1","SOL",IF(LEFT(E744,1)="2","CO",IF(LEFT(E744,1)="3","ALM",IF(LEFT(E744,1)="4","FAC","TRX")))) &amp; "-" &amp; B744 &amp; "-" &amp; TEXT(COUNTIFS($E$2:$E744,E744,$B$2:$B744,B744),"000")</f>
        <v>FAC-26-005</v>
      </c>
      <c r="B744">
        <v>26</v>
      </c>
      <c r="C744" s="18046">
        <v>46196</v>
      </c>
      <c r="D744" t="s">
        <v>775</v>
      </c>
      <c r="E744" t="s">
        <v>886</v>
      </c>
      <c r="F744" t="s">
        <v>895</v>
      </c>
      <c r="G744" s="3">
        <v>3900</v>
      </c>
      <c r="H744" s="18047">
        <v>27.692399999999999</v>
      </c>
      <c r="I744" s="18047">
        <v>108000.36</v>
      </c>
      <c r="J744" t="s">
        <v>851</v>
      </c>
      <c r="K744" t="s">
        <v>888</v>
      </c>
    </row>
    <row r="745" spans="1:11">
      <c r="A745" t="str">
        <f>IF(LEFT(E745,1)="1","SOL",IF(LEFT(E745,1)="2","CO",IF(LEFT(E745,1)="3","ALM",IF(LEFT(E745,1)="4","FAC","TRX")))) &amp; "-" &amp; B745 &amp; "-" &amp; TEXT(COUNTIFS($E$2:$E745,E745,$B$2:$B745,B745),"000")</f>
        <v>FAC-26-006</v>
      </c>
      <c r="B745">
        <v>26</v>
      </c>
      <c r="C745" s="18046">
        <v>46197</v>
      </c>
      <c r="D745" t="s">
        <v>1</v>
      </c>
      <c r="E745" t="s">
        <v>886</v>
      </c>
      <c r="F745" t="s">
        <v>896</v>
      </c>
      <c r="G745" s="3">
        <v>550</v>
      </c>
      <c r="H745" s="18047">
        <v>27</v>
      </c>
      <c r="I745" s="18047">
        <v>14850</v>
      </c>
      <c r="J745" t="s">
        <v>851</v>
      </c>
      <c r="K745" t="s">
        <v>888</v>
      </c>
    </row>
    <row r="746" spans="1:11">
      <c r="A746" t="str">
        <f>IF(LEFT(E746,1)="1","SOL",IF(LEFT(E746,1)="2","CO",IF(LEFT(E746,1)="3","ALM",IF(LEFT(E746,1)="4","FAC","TRX")))) &amp; "-" &amp; B746 &amp; "-" &amp; TEXT(COUNTIFS($E$2:$E746,E746,$B$2:$B746,B746),"000")</f>
        <v>FAC-26-007</v>
      </c>
      <c r="B746">
        <v>26</v>
      </c>
      <c r="C746" s="18046">
        <v>46198</v>
      </c>
      <c r="D746" t="s">
        <v>1</v>
      </c>
      <c r="E746" t="s">
        <v>886</v>
      </c>
      <c r="F746" t="s">
        <v>897</v>
      </c>
      <c r="G746" s="3">
        <v>550</v>
      </c>
      <c r="H746" s="18047">
        <v>27</v>
      </c>
      <c r="I746" s="18047">
        <v>14850</v>
      </c>
      <c r="J746" t="s">
        <v>851</v>
      </c>
      <c r="K746" t="s">
        <v>888</v>
      </c>
    </row>
    <row r="747" spans="1:11">
      <c r="A747" t="str">
        <f>IF(LEFT(E747,1)="1","SOL",IF(LEFT(E747,1)="2","CO",IF(LEFT(E747,1)="3","ALM",IF(LEFT(E747,1)="4","FAC","TRX")))) &amp; "-" &amp; B747 &amp; "-" &amp; TEXT(COUNTIFS($E$2:$E747,E747,$B$2:$B747,B747),"000")</f>
        <v>FAC-26-008</v>
      </c>
      <c r="B747">
        <v>26</v>
      </c>
      <c r="C747" s="18046">
        <v>46198</v>
      </c>
      <c r="D747" t="s">
        <v>1</v>
      </c>
      <c r="E747" t="s">
        <v>886</v>
      </c>
      <c r="F747" t="s">
        <v>898</v>
      </c>
      <c r="G747" s="3">
        <v>42</v>
      </c>
      <c r="H747" s="18047">
        <v>23.80952380952381</v>
      </c>
      <c r="I747" s="18047">
        <v>1000</v>
      </c>
      <c r="J747" t="s">
        <v>851</v>
      </c>
      <c r="K747" t="s">
        <v>888</v>
      </c>
    </row>
    <row r="748" spans="1:11">
      <c r="A748" t="str">
        <f>IF(LEFT(E748,1)="1","SOL",IF(LEFT(E748,1)="2","CO",IF(LEFT(E748,1)="3","ALM",IF(LEFT(E748,1)="4","FAC","TRX")))) &amp; "-" &amp; B748 &amp; "-" &amp; TEXT(COUNTIFS($E$2:$E748,E748,$B$2:$B748,B748),"000")</f>
        <v>FAC-26-009</v>
      </c>
      <c r="B748">
        <v>26</v>
      </c>
      <c r="C748" s="18046">
        <v>46198</v>
      </c>
      <c r="D748" t="s">
        <v>1</v>
      </c>
      <c r="E748" t="s">
        <v>886</v>
      </c>
      <c r="F748" t="s">
        <v>899</v>
      </c>
      <c r="G748" s="3">
        <v>63</v>
      </c>
      <c r="H748" s="18047">
        <v>23.810793650793649</v>
      </c>
      <c r="I748" s="18047">
        <v>1500.08</v>
      </c>
      <c r="J748" t="s">
        <v>851</v>
      </c>
      <c r="K748" t="s">
        <v>888</v>
      </c>
    </row>
    <row r="749" spans="1:11">
      <c r="A749" t="str">
        <f>IF(LEFT(E749,1)="1","SOL",IF(LEFT(E749,1)="2","CO",IF(LEFT(E749,1)="3","ALM",IF(LEFT(E749,1)="4","FAC","TRX")))) &amp; "-" &amp; B749 &amp; "-" &amp; TEXT(COUNTIFS($E$2:$E749,E749,$B$2:$B749,B749),"000")</f>
        <v>FAC-26-010</v>
      </c>
      <c r="B749">
        <v>26</v>
      </c>
      <c r="C749" s="18046">
        <v>46198</v>
      </c>
      <c r="D749" t="s">
        <v>124</v>
      </c>
      <c r="E749" t="s">
        <v>886</v>
      </c>
      <c r="F749" t="s">
        <v>900</v>
      </c>
      <c r="G749" s="3">
        <v>400</v>
      </c>
      <c r="H749" s="18047">
        <v>40.500250000000001</v>
      </c>
      <c r="I749" s="18047">
        <v>16200.1</v>
      </c>
      <c r="J749" t="s">
        <v>851</v>
      </c>
      <c r="K749" t="s">
        <v>888</v>
      </c>
    </row>
    <row r="750" spans="1:11">
      <c r="A750" t="str">
        <f>IF(LEFT(E750,1)="1","SOL",IF(LEFT(E750,1)="2","CO",IF(LEFT(E750,1)="3","ALM",IF(LEFT(E750,1)="4","FAC","TRX")))) &amp; "-" &amp; B750 &amp; "-" &amp; TEXT(COUNTIFS($E$2:$E750,E750,$B$2:$B750,B750),"000")</f>
        <v>FAC-26-011</v>
      </c>
      <c r="B750">
        <v>26</v>
      </c>
      <c r="C750" s="18046">
        <v>46198</v>
      </c>
      <c r="D750" t="s">
        <v>775</v>
      </c>
      <c r="E750" t="s">
        <v>886</v>
      </c>
      <c r="F750" t="s">
        <v>901</v>
      </c>
      <c r="G750" s="3">
        <v>4000</v>
      </c>
      <c r="H750" s="18047">
        <v>27.00009</v>
      </c>
      <c r="I750" s="18047">
        <v>108000.36</v>
      </c>
      <c r="J750" t="s">
        <v>851</v>
      </c>
      <c r="K750" t="s">
        <v>888</v>
      </c>
    </row>
    <row r="751" spans="1:11">
      <c r="A751" t="str">
        <f>IF(LEFT(E751,1)="1","SOL",IF(LEFT(E751,1)="2","CO",IF(LEFT(E751,1)="3","ALM",IF(LEFT(E751,1)="4","FAC","TRX")))) &amp; "-" &amp; B751 &amp; "-" &amp; TEXT(COUNTIFS($E$2:$E751,E751,$B$2:$B751,B751),"000")</f>
        <v>FAC-26-012</v>
      </c>
      <c r="B751">
        <v>26</v>
      </c>
      <c r="C751" s="18046">
        <v>46199</v>
      </c>
      <c r="D751" t="s">
        <v>1</v>
      </c>
      <c r="E751" t="s">
        <v>886</v>
      </c>
      <c r="F751" t="s">
        <v>902</v>
      </c>
      <c r="G751" s="3">
        <v>480</v>
      </c>
      <c r="H751" s="18047">
        <v>30.937666666666665</v>
      </c>
      <c r="I751" s="18047">
        <v>14850.08</v>
      </c>
      <c r="J751" t="s">
        <v>851</v>
      </c>
      <c r="K751" t="s">
        <v>888</v>
      </c>
    </row>
    <row r="752" spans="1:11">
      <c r="A752" t="str">
        <f>IF(LEFT(E752,1)="1","SOL",IF(LEFT(E752,1)="2","CO",IF(LEFT(E752,1)="3","ALM",IF(LEFT(E752,1)="4","FAC","TRX")))) &amp; "-" &amp; B752 &amp; "-" &amp; TEXT(COUNTIFS($E$2:$E752,E752,$B$2:$B752,B752),"000")</f>
        <v>FAC-25-004</v>
      </c>
      <c r="B752">
        <v>25</v>
      </c>
      <c r="C752" s="18046">
        <v>46189</v>
      </c>
      <c r="D752" t="s">
        <v>1</v>
      </c>
      <c r="E752" t="s">
        <v>886</v>
      </c>
      <c r="F752" t="s">
        <v>903</v>
      </c>
      <c r="G752" s="3">
        <v>500.00200000000001</v>
      </c>
      <c r="H752" s="18047">
        <v>27.000011999951997</v>
      </c>
      <c r="I752" s="18047">
        <v>13500.06</v>
      </c>
      <c r="J752" t="s">
        <v>851</v>
      </c>
      <c r="K752" t="s">
        <v>888</v>
      </c>
    </row>
    <row r="753" spans="1:11">
      <c r="A753" t="str">
        <f>IF(LEFT(E753,1)="1","SOL",IF(LEFT(E753,1)="2","CO",IF(LEFT(E753,1)="3","ALM",IF(LEFT(E753,1)="4","FAC","TRX")))) &amp; "-" &amp; B753 &amp; "-" &amp; TEXT(COUNTIFS($E$2:$E753,E753,$B$2:$B753,B753),"000")</f>
        <v>FAC-25-005</v>
      </c>
      <c r="B753">
        <v>25</v>
      </c>
      <c r="C753" s="18046">
        <v>46190</v>
      </c>
      <c r="D753" t="s">
        <v>124</v>
      </c>
      <c r="E753" t="s">
        <v>886</v>
      </c>
      <c r="F753" t="s">
        <v>904</v>
      </c>
      <c r="G753" s="3">
        <v>600.00400000000002</v>
      </c>
      <c r="H753" s="18047">
        <v>26.999986666755554</v>
      </c>
      <c r="I753" s="18047">
        <v>16200.1</v>
      </c>
      <c r="J753" t="s">
        <v>851</v>
      </c>
      <c r="K753" t="s">
        <v>888</v>
      </c>
    </row>
    <row r="754" spans="1:11">
      <c r="A754" t="str">
        <f>IF(LEFT(E754,1)="1","SOL",IF(LEFT(E754,1)="2","CO",IF(LEFT(E754,1)="3","ALM",IF(LEFT(E754,1)="4","FAC","TRX")))) &amp; "-" &amp; B754 &amp; "-" &amp; TEXT(COUNTIFS($E$2:$E754,E754,$B$2:$B754,B754),"000")</f>
        <v>FAC-25-006</v>
      </c>
      <c r="B754">
        <v>25</v>
      </c>
      <c r="C754" s="18046">
        <v>46191</v>
      </c>
      <c r="D754" t="s">
        <v>400</v>
      </c>
      <c r="E754" t="s">
        <v>886</v>
      </c>
      <c r="F754" t="s">
        <v>905</v>
      </c>
      <c r="G754" s="3">
        <v>4000.0120000000006</v>
      </c>
      <c r="H754" s="18047">
        <v>27.000008999972994</v>
      </c>
      <c r="I754" s="18047">
        <v>108000.36</v>
      </c>
      <c r="J754" t="s">
        <v>851</v>
      </c>
      <c r="K754" t="s">
        <v>888</v>
      </c>
    </row>
    <row r="755" spans="1:11">
      <c r="A755" t="str">
        <f>IF(LEFT(E755,1)="1","SOL",IF(LEFT(E755,1)="2","CO",IF(LEFT(E755,1)="3","ALM",IF(LEFT(E755,1)="4","FAC","TRX")))) &amp; "-" &amp; B755 &amp; "-" &amp; TEXT(COUNTIFS($E$2:$E755,E755,$B$2:$B755,B755),"000")</f>
        <v>FAC-25-007</v>
      </c>
      <c r="B755">
        <v>25</v>
      </c>
      <c r="C755" s="18046">
        <v>46191</v>
      </c>
      <c r="D755" t="s">
        <v>1</v>
      </c>
      <c r="E755" t="s">
        <v>886</v>
      </c>
      <c r="F755" t="s">
        <v>906</v>
      </c>
      <c r="G755" s="3">
        <v>490.00400000000002</v>
      </c>
      <c r="H755" s="18047">
        <v>26.999983673602664</v>
      </c>
      <c r="I755" s="18047">
        <v>13230.1</v>
      </c>
      <c r="J755" t="s">
        <v>851</v>
      </c>
      <c r="K755" t="s">
        <v>888</v>
      </c>
    </row>
    <row r="756" spans="1:11">
      <c r="A756" t="str">
        <f>IF(LEFT(E756,1)="1","SOL",IF(LEFT(E756,1)="2","CO",IF(LEFT(E756,1)="3","ALM",IF(LEFT(E756,1)="4","FAC","TRX")))) &amp; "-" &amp; B756 &amp; "-" &amp; TEXT(COUNTIFS($E$2:$E756,E756,$B$2:$B756,B756),"000")</f>
        <v>FAC-25-008</v>
      </c>
      <c r="B756">
        <v>25</v>
      </c>
      <c r="C756" s="18046">
        <v>46190</v>
      </c>
      <c r="D756" t="s">
        <v>1</v>
      </c>
      <c r="E756" t="s">
        <v>886</v>
      </c>
      <c r="F756" t="s">
        <v>907</v>
      </c>
      <c r="G756" s="3">
        <v>520.00199999999995</v>
      </c>
      <c r="H756" s="18047">
        <v>26.999992307721893</v>
      </c>
      <c r="I756" s="18047">
        <v>14040.05</v>
      </c>
      <c r="J756" t="s">
        <v>851</v>
      </c>
      <c r="K756" t="s">
        <v>888</v>
      </c>
    </row>
    <row r="757" spans="1:11">
      <c r="A757" t="str">
        <f>IF(LEFT(E757,1)="1","SOL",IF(LEFT(E757,1)="2","CO",IF(LEFT(E757,1)="3","ALM",IF(LEFT(E757,1)="4","FAC","TRX")))) &amp; "-" &amp; B757 &amp; "-" &amp; TEXT(COUNTIFS($E$2:$E757,E757,$B$2:$B757,B757),"000")</f>
        <v>FAC-25-009</v>
      </c>
      <c r="B757">
        <v>25</v>
      </c>
      <c r="C757" s="18046">
        <v>46192</v>
      </c>
      <c r="D757" t="s">
        <v>1</v>
      </c>
      <c r="E757" t="s">
        <v>886</v>
      </c>
      <c r="F757" t="s">
        <v>908</v>
      </c>
      <c r="G757" s="3">
        <v>400.00400000000002</v>
      </c>
      <c r="H757" s="18047">
        <v>26.999980000199997</v>
      </c>
      <c r="I757" s="18047">
        <v>10800.1</v>
      </c>
      <c r="J757" t="s">
        <v>851</v>
      </c>
      <c r="K757" t="s">
        <v>888</v>
      </c>
    </row>
    <row r="758" spans="1:11">
      <c r="A758" t="str">
        <f>IF(LEFT(E758,1)="1","SOL",IF(LEFT(E758,1)="2","CO",IF(LEFT(E758,1)="3","ALM",IF(LEFT(E758,1)="4","FAC","TRX")))) &amp; "-" &amp; B758 &amp; "-" &amp; TEXT(COUNTIFS($E$2:$E758,E758,$B$2:$B758,B758),"000")</f>
        <v>FAC-25-010</v>
      </c>
      <c r="B758">
        <v>25</v>
      </c>
      <c r="C758" s="18046">
        <v>46193</v>
      </c>
      <c r="D758" t="s">
        <v>124</v>
      </c>
      <c r="E758" t="s">
        <v>886</v>
      </c>
      <c r="F758" t="s">
        <v>909</v>
      </c>
      <c r="G758" s="3">
        <v>600.00400000000002</v>
      </c>
      <c r="H758" s="18047">
        <v>26.999986666755554</v>
      </c>
      <c r="I758" s="18047">
        <v>16200.1</v>
      </c>
      <c r="J758" t="s">
        <v>851</v>
      </c>
      <c r="K758" t="s">
        <v>888</v>
      </c>
    </row>
    <row r="759" spans="1:11">
      <c r="A759" t="str">
        <f>IF(LEFT(E759,1)="1","SOL",IF(LEFT(E759,1)="2","CO",IF(LEFT(E759,1)="3","ALM",IF(LEFT(E759,1)="4","FAC","TRX")))) &amp; "-" &amp; B759 &amp; "-" &amp; TEXT(COUNTIFS($E$2:$E759,E759,$B$2:$B759,B759),"000")</f>
        <v>FAC-25-011</v>
      </c>
      <c r="B759">
        <v>25</v>
      </c>
      <c r="C759" s="18046">
        <v>46188</v>
      </c>
      <c r="D759" t="s">
        <v>1</v>
      </c>
      <c r="E759" t="s">
        <v>886</v>
      </c>
      <c r="F759" t="s">
        <v>910</v>
      </c>
      <c r="G759" s="3">
        <v>500.00200000000001</v>
      </c>
      <c r="H759" s="18047">
        <v>27.000011999951997</v>
      </c>
      <c r="I759" s="18047">
        <v>13500.06</v>
      </c>
      <c r="J759" t="s">
        <v>851</v>
      </c>
      <c r="K759" t="s">
        <v>888</v>
      </c>
    </row>
    <row r="760" spans="1:11">
      <c r="A760" t="str">
        <f>IF(LEFT(E760,1)="1","SOL",IF(LEFT(E760,1)="2","CO",IF(LEFT(E760,1)="3","ALM",IF(LEFT(E760,1)="4","FAC","TRX")))) &amp; "-" &amp; B760 &amp; "-" &amp; TEXT(COUNTIFS($E$2:$E760,E760,$B$2:$B760,B760),"000")</f>
        <v>FAC-25-012</v>
      </c>
      <c r="B760">
        <v>25</v>
      </c>
      <c r="C760" s="18046">
        <v>46191</v>
      </c>
      <c r="D760" t="s">
        <v>400</v>
      </c>
      <c r="E760" t="s">
        <v>886</v>
      </c>
      <c r="F760" t="s">
        <v>911</v>
      </c>
      <c r="G760" s="3">
        <v>161.91200000000001</v>
      </c>
      <c r="H760" s="18047">
        <v>23.900019763822321</v>
      </c>
      <c r="I760" s="18047">
        <v>3869.7</v>
      </c>
      <c r="J760" t="s">
        <v>851</v>
      </c>
      <c r="K760" t="s">
        <v>888</v>
      </c>
    </row>
    <row r="761" spans="1:11">
      <c r="A761" t="str">
        <f>IF(LEFT(E761,1)="1","SOL",IF(LEFT(E761,1)="2","CO",IF(LEFT(E761,1)="3","ALM",IF(LEFT(E761,1)="4","FAC","TRX")))) &amp; "-" &amp; B761 &amp; "-" &amp; TEXT(COUNTIFS($E$2:$E761,E761,$B$2:$B761,B761),"000")</f>
        <v>FAC-25-013</v>
      </c>
      <c r="B761">
        <v>25</v>
      </c>
      <c r="C761" s="18046">
        <v>46191</v>
      </c>
      <c r="D761" t="s">
        <v>124</v>
      </c>
      <c r="E761" t="s">
        <v>886</v>
      </c>
      <c r="F761" t="s">
        <v>912</v>
      </c>
      <c r="G761" s="3">
        <v>500.00199999999995</v>
      </c>
      <c r="H761" s="18047">
        <v>27.000011999952001</v>
      </c>
      <c r="I761" s="18047">
        <v>13500.06</v>
      </c>
      <c r="J761" t="s">
        <v>851</v>
      </c>
      <c r="K761" t="s">
        <v>888</v>
      </c>
    </row>
    <row r="762" spans="1:11">
      <c r="A762" t="str">
        <f>IF(LEFT(E762,1)="1","SOL",IF(LEFT(E762,1)="2","CO",IF(LEFT(E762,1)="3","ALM",IF(LEFT(E762,1)="4","FAC","TRX")))) &amp; "-" &amp; B762 &amp; "-" &amp; TEXT(COUNTIFS($E$2:$E762,E762,$B$2:$B762,B762),"000")</f>
        <v>FAC-25-014</v>
      </c>
      <c r="B762">
        <v>25</v>
      </c>
      <c r="C762" s="18046">
        <v>46192</v>
      </c>
      <c r="D762" t="s">
        <v>775</v>
      </c>
      <c r="E762" t="s">
        <v>886</v>
      </c>
      <c r="F762" t="s">
        <v>913</v>
      </c>
      <c r="G762" s="3">
        <v>4000.0120000000006</v>
      </c>
      <c r="H762" s="18047">
        <v>27.000008999972994</v>
      </c>
      <c r="I762" s="18047">
        <v>108000.36</v>
      </c>
      <c r="J762" t="s">
        <v>851</v>
      </c>
      <c r="K762" t="s">
        <v>888</v>
      </c>
    </row>
    <row r="763" spans="1:11">
      <c r="A763" t="str">
        <f>IF(LEFT(E763,1)="1","SOL",IF(LEFT(E763,1)="2","CO",IF(LEFT(E763,1)="3","ALM",IF(LEFT(E763,1)="4","FAC","TRX")))) &amp; "-" &amp; B763 &amp; "-" &amp; TEXT(COUNTIFS($E$2:$E763,E763,$B$2:$B763,B763),"000")</f>
        <v>FAC-25-015</v>
      </c>
      <c r="B763">
        <v>25</v>
      </c>
      <c r="C763" s="18046">
        <v>46192</v>
      </c>
      <c r="D763" t="s">
        <v>775</v>
      </c>
      <c r="E763" t="s">
        <v>886</v>
      </c>
      <c r="F763" t="s">
        <v>914</v>
      </c>
      <c r="G763" s="3">
        <v>4000.0120000000006</v>
      </c>
      <c r="H763" s="18047">
        <v>27.000008999972994</v>
      </c>
      <c r="I763" s="18047">
        <v>108000.36</v>
      </c>
      <c r="J763" t="s">
        <v>851</v>
      </c>
      <c r="K763" t="s">
        <v>888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8"/>
  <sheetViews>
    <sheetView topLeftCell="A56" workbookViewId="0">
      <selection activeCell="J13" sqref="J13"/>
    </sheetView>
  </sheetViews>
  <sheetFormatPr baseColWidth="10" defaultRowHeight="13.8"/>
  <cols>
    <col min="3" max="3" width="19.69921875" bestFit="1" customWidth="1"/>
    <col min="4" max="4" width="16.5" bestFit="1" customWidth="1"/>
    <col min="5" max="5" width="30.296875" bestFit="1" customWidth="1"/>
  </cols>
  <sheetData>
    <row r="1" spans="1:10" ht="20.399999999999999">
      <c r="A1" s="17749" t="s">
        <v>127</v>
      </c>
      <c r="B1" s="17750"/>
      <c r="C1" s="17751"/>
      <c r="D1" s="17752"/>
      <c r="E1" s="17753"/>
      <c r="F1" s="17754"/>
      <c r="G1" s="17755"/>
      <c r="H1" s="17756"/>
      <c r="I1" s="17757"/>
      <c r="J1" s="17758"/>
    </row>
    <row r="2" spans="1:10" ht="16.8">
      <c r="A2" s="391"/>
      <c r="B2" s="392"/>
      <c r="C2" s="393"/>
      <c r="D2" s="394"/>
      <c r="E2" s="395"/>
      <c r="F2" s="396"/>
      <c r="G2" s="397"/>
      <c r="H2" s="398"/>
      <c r="I2" s="399"/>
      <c r="J2" s="400"/>
    </row>
    <row r="3" spans="1:10" ht="16.8">
      <c r="A3" s="17759" t="s">
        <v>128</v>
      </c>
      <c r="B3" s="17760"/>
      <c r="C3" s="17761"/>
      <c r="D3" s="17762"/>
      <c r="E3" s="17763" t="s">
        <v>175</v>
      </c>
      <c r="F3" s="17764"/>
      <c r="G3" s="17765"/>
      <c r="H3" s="17766"/>
      <c r="I3" s="17767"/>
      <c r="J3" s="17768"/>
    </row>
    <row r="4" spans="1:10" ht="20.399999999999999">
      <c r="A4" s="401"/>
      <c r="B4" s="207" t="s">
        <v>129</v>
      </c>
      <c r="C4" s="212" t="s">
        <v>1</v>
      </c>
      <c r="D4" s="402"/>
      <c r="E4" s="17769" t="str">
        <f>IF(I28=0, "🟢 TODO COINCIDE (0 L)", "🔴 DISCREPANCIA: " &amp; I28 &amp; " L")</f>
        <v>🔴 DISCREPANCIA: 2159 L</v>
      </c>
      <c r="F4" s="17770"/>
      <c r="G4" s="17771"/>
      <c r="H4" s="17772"/>
      <c r="I4" s="17773"/>
      <c r="J4" s="403"/>
    </row>
    <row r="5" spans="1:10" ht="16.8">
      <c r="A5" s="404"/>
      <c r="B5" s="208" t="s">
        <v>130</v>
      </c>
      <c r="C5" s="213">
        <v>46195</v>
      </c>
      <c r="D5" s="405"/>
      <c r="E5" s="17774"/>
      <c r="F5" s="17775"/>
      <c r="G5" s="17776"/>
      <c r="H5" s="17777"/>
      <c r="I5" s="17778"/>
      <c r="J5" s="406"/>
    </row>
    <row r="6" spans="1:10" ht="16.8">
      <c r="A6" s="407"/>
      <c r="B6" s="209" t="s">
        <v>176</v>
      </c>
      <c r="C6" s="214">
        <v>46202</v>
      </c>
      <c r="D6" s="408"/>
      <c r="E6" s="17779"/>
      <c r="F6" s="17780"/>
      <c r="G6" s="17781"/>
      <c r="H6" s="17782"/>
      <c r="I6" s="17783"/>
      <c r="J6" s="409"/>
    </row>
    <row r="7" spans="1:10" ht="16.8">
      <c r="A7" s="410"/>
      <c r="B7" s="210" t="s">
        <v>131</v>
      </c>
      <c r="C7" s="215">
        <v>27</v>
      </c>
      <c r="D7" s="411"/>
      <c r="E7" s="17784"/>
      <c r="F7" s="17785"/>
      <c r="G7" s="17786"/>
      <c r="H7" s="17787"/>
      <c r="I7" s="17788"/>
      <c r="J7" s="412"/>
    </row>
    <row r="8" spans="1:10" ht="16.8">
      <c r="A8" s="413"/>
      <c r="B8" s="211" t="s">
        <v>177</v>
      </c>
      <c r="C8" s="216" t="s">
        <v>188</v>
      </c>
      <c r="D8" s="414"/>
      <c r="E8" s="17789"/>
      <c r="F8" s="17790"/>
      <c r="G8" s="17791"/>
      <c r="H8" s="17792"/>
      <c r="I8" s="17793"/>
      <c r="J8" s="415"/>
    </row>
    <row r="9" spans="1:10" ht="16.8">
      <c r="A9" s="416"/>
      <c r="B9" s="417"/>
      <c r="C9" s="418"/>
      <c r="D9" s="419"/>
      <c r="E9" s="420"/>
      <c r="F9" s="421"/>
      <c r="G9" s="422"/>
      <c r="H9" s="423"/>
      <c r="I9" s="424"/>
      <c r="J9" s="425"/>
    </row>
    <row r="10" spans="1:10" ht="16.8">
      <c r="A10" s="17794" t="s">
        <v>132</v>
      </c>
      <c r="B10" s="17795"/>
      <c r="C10" s="17796"/>
      <c r="D10" s="17797"/>
      <c r="E10" s="17798"/>
      <c r="F10" s="17799"/>
      <c r="G10" s="17800"/>
      <c r="H10" s="17801"/>
      <c r="I10" s="17802"/>
      <c r="J10" s="17803"/>
    </row>
    <row r="11" spans="1:10" ht="16.8">
      <c r="A11" s="217" t="s">
        <v>133</v>
      </c>
      <c r="B11" s="218" t="s">
        <v>11</v>
      </c>
      <c r="C11" s="219" t="s">
        <v>134</v>
      </c>
      <c r="D11" s="220" t="s">
        <v>135</v>
      </c>
      <c r="E11" s="221" t="s">
        <v>136</v>
      </c>
      <c r="F11" s="222" t="s">
        <v>137</v>
      </c>
      <c r="G11" s="223" t="s">
        <v>138</v>
      </c>
      <c r="H11" s="224" t="s">
        <v>139</v>
      </c>
      <c r="I11" s="426"/>
      <c r="J11" s="427"/>
    </row>
    <row r="12" spans="1:10" ht="16.8">
      <c r="A12" s="225" t="s">
        <v>140</v>
      </c>
      <c r="B12" s="226">
        <f>C$5</f>
        <v>46195</v>
      </c>
      <c r="C12" s="227">
        <f>IF(C$4="Todas", SUMIFS(Solicitudes!F:F, Solicitudes!C:C, B12), SUMIFS(Solicitudes!F:F, Solicitudes!B:B, C$4, Solicitudes!C:C, B12))</f>
        <v>660</v>
      </c>
      <c r="D12" s="228">
        <f>IF(C$4="Jalisco", SUMIFS(Captura_Jalisco!G:G, Captura_Jalisco!A:A, B12, Captura_Jalisco!B:B, "Salida"), IF(C$4="Todas", SUMIFS(Captura_Obra!F:F, Captura_Obra!A:A, B12) + SUMIFS(Captura_Jalisco!G:G, Captura_Jalisco!A:A, B12, Captura_Jalisco!B:B, "Salida"), SUMIFS(Captura_Obra!F:F, Captura_Obra!B:B, C$4, Captura_Obra!A:A, B12)))</f>
        <v>766</v>
      </c>
      <c r="E12" s="229">
        <f t="shared" ref="E12:E17" si="0">D12-C12</f>
        <v>106</v>
      </c>
      <c r="F12" s="230">
        <f t="shared" ref="F12:F17" si="1">C12*C$7</f>
        <v>17820</v>
      </c>
      <c r="G12" s="231">
        <f t="shared" ref="G12:G17" si="2">D12*C$7</f>
        <v>20682</v>
      </c>
      <c r="H12" s="232">
        <f t="shared" ref="H12:H17" si="3">G12-F12</f>
        <v>2862</v>
      </c>
      <c r="I12" s="428"/>
      <c r="J12" s="429"/>
    </row>
    <row r="13" spans="1:10" ht="16.8">
      <c r="A13" s="233" t="s">
        <v>141</v>
      </c>
      <c r="B13" s="234">
        <f>B12+1</f>
        <v>46196</v>
      </c>
      <c r="C13" s="235">
        <f>IF(C$4="Todas", SUMIFS(Solicitudes!F:F, Solicitudes!C:C, B13), SUMIFS(Solicitudes!F:F, Solicitudes!B:B, C$4, Solicitudes!C:C, B13))</f>
        <v>380</v>
      </c>
      <c r="D13" s="236">
        <f>IF(C$4="Jalisco", SUMIFS(Captura_Jalisco!G:G, Captura_Jalisco!A:A, B13, Captura_Jalisco!B:B, "Salida"), IF(C$4="Todas", SUMIFS(Captura_Obra!F:F, Captura_Obra!A:A, B13) + SUMIFS(Captura_Jalisco!G:G, Captura_Jalisco!A:A, B13, Captura_Jalisco!B:B, "Salida"), SUMIFS(Captura_Obra!F:F, Captura_Obra!B:B, C$4, Captura_Obra!A:A, B13)))</f>
        <v>102</v>
      </c>
      <c r="E13" s="237">
        <f t="shared" si="0"/>
        <v>-278</v>
      </c>
      <c r="F13" s="238">
        <f t="shared" si="1"/>
        <v>10260</v>
      </c>
      <c r="G13" s="239">
        <f t="shared" si="2"/>
        <v>2754</v>
      </c>
      <c r="H13" s="240">
        <f t="shared" si="3"/>
        <v>-7506</v>
      </c>
      <c r="I13" s="430"/>
      <c r="J13" s="431"/>
    </row>
    <row r="14" spans="1:10" ht="16.8">
      <c r="A14" s="241" t="s">
        <v>142</v>
      </c>
      <c r="B14" s="242">
        <f>B13+1</f>
        <v>46197</v>
      </c>
      <c r="C14" s="243">
        <f>IF(C$4="Todas", SUMIFS(Solicitudes!F:F, Solicitudes!C:C, B14), SUMIFS(Solicitudes!F:F, Solicitudes!B:B, C$4, Solicitudes!C:C, B14))</f>
        <v>620</v>
      </c>
      <c r="D14" s="244">
        <f>IF(C$4="Jalisco", SUMIFS(Captura_Jalisco!G:G, Captura_Jalisco!A:A, B14, Captura_Jalisco!B:B, "Salida"), IF(C$4="Todas", SUMIFS(Captura_Obra!F:F, Captura_Obra!A:A, B14) + SUMIFS(Captura_Jalisco!G:G, Captura_Jalisco!A:A, B14, Captura_Jalisco!B:B, "Salida"), SUMIFS(Captura_Obra!F:F, Captura_Obra!B:B, C$4, Captura_Obra!A:A, B14)))</f>
        <v>471</v>
      </c>
      <c r="E14" s="245">
        <f t="shared" si="0"/>
        <v>-149</v>
      </c>
      <c r="F14" s="246">
        <f t="shared" si="1"/>
        <v>16740</v>
      </c>
      <c r="G14" s="247">
        <f t="shared" si="2"/>
        <v>12717</v>
      </c>
      <c r="H14" s="248">
        <f t="shared" si="3"/>
        <v>-4023</v>
      </c>
      <c r="I14" s="432"/>
      <c r="J14" s="433"/>
    </row>
    <row r="15" spans="1:10" ht="16.8">
      <c r="A15" s="249" t="s">
        <v>143</v>
      </c>
      <c r="B15" s="250">
        <f>B14+1</f>
        <v>46198</v>
      </c>
      <c r="C15" s="251">
        <f>IF(C$4="Todas", SUMIFS(Solicitudes!F:F, Solicitudes!C:C, B15), SUMIFS(Solicitudes!F:F, Solicitudes!B:B, C$4, Solicitudes!C:C, B15))</f>
        <v>620</v>
      </c>
      <c r="D15" s="252">
        <f>IF(C$4="Jalisco", SUMIFS(Captura_Jalisco!G:G, Captura_Jalisco!A:A, B15, Captura_Jalisco!B:B, "Salida"), IF(C$4="Todas", SUMIFS(Captura_Obra!F:F, Captura_Obra!A:A, B15) + SUMIFS(Captura_Jalisco!G:G, Captura_Jalisco!A:A, B15, Captura_Jalisco!B:B, "Salida"), SUMIFS(Captura_Obra!F:F, Captura_Obra!B:B, C$4, Captura_Obra!A:A, B15)))</f>
        <v>150</v>
      </c>
      <c r="E15" s="253">
        <f t="shared" si="0"/>
        <v>-470</v>
      </c>
      <c r="F15" s="254">
        <f t="shared" si="1"/>
        <v>16740</v>
      </c>
      <c r="G15" s="255">
        <f t="shared" si="2"/>
        <v>4050</v>
      </c>
      <c r="H15" s="256">
        <f t="shared" si="3"/>
        <v>-12690</v>
      </c>
      <c r="I15" s="434"/>
      <c r="J15" s="435"/>
    </row>
    <row r="16" spans="1:10" ht="16.8">
      <c r="A16" s="257" t="s">
        <v>144</v>
      </c>
      <c r="B16" s="258">
        <f>B15+1</f>
        <v>46199</v>
      </c>
      <c r="C16" s="259">
        <f>IF(C$4="Todas", SUMIFS(Solicitudes!F:F, Solicitudes!C:C, B16), SUMIFS(Solicitudes!F:F, Solicitudes!B:B, C$4, Solicitudes!C:C, B16))</f>
        <v>620</v>
      </c>
      <c r="D16" s="260">
        <f>IF(C$4="Jalisco", SUMIFS(Captura_Jalisco!G:G, Captura_Jalisco!A:A, B16, Captura_Jalisco!B:B, "Salida"), IF(C$4="Todas", SUMIFS(Captura_Obra!F:F, Captura_Obra!A:A, B16) + SUMIFS(Captura_Jalisco!G:G, Captura_Jalisco!A:A, B16, Captura_Jalisco!B:B, "Salida"), SUMIFS(Captura_Obra!F:F, Captura_Obra!B:B, C$4, Captura_Obra!A:A, B16)))</f>
        <v>807</v>
      </c>
      <c r="E16" s="261">
        <f t="shared" si="0"/>
        <v>187</v>
      </c>
      <c r="F16" s="262">
        <f t="shared" si="1"/>
        <v>16740</v>
      </c>
      <c r="G16" s="263">
        <f t="shared" si="2"/>
        <v>21789</v>
      </c>
      <c r="H16" s="264">
        <f t="shared" si="3"/>
        <v>5049</v>
      </c>
      <c r="I16" s="436"/>
      <c r="J16" s="437"/>
    </row>
    <row r="17" spans="1:32" ht="16.8">
      <c r="A17" s="265" t="s">
        <v>145</v>
      </c>
      <c r="B17" s="266">
        <f>B16+1</f>
        <v>46200</v>
      </c>
      <c r="C17" s="267">
        <f>IF(C$4="Todas", SUMIFS(Solicitudes!F:F, Solicitudes!C:C, B17), SUMIFS(Solicitudes!F:F, Solicitudes!B:B, C$4, Solicitudes!C:C, B17))</f>
        <v>0</v>
      </c>
      <c r="D17" s="268">
        <f>IF(C$4="Jalisco", SUMIFS(Captura_Jalisco!G:G, Captura_Jalisco!A:A, B17, Captura_Jalisco!B:B, "Salida"), IF(C$4="Todas", SUMIFS(Captura_Obra!F:F, Captura_Obra!A:A, B17) + SUMIFS(Captura_Jalisco!G:G, Captura_Jalisco!A:A, B17, Captura_Jalisco!B:B, "Salida"), SUMIFS(Captura_Obra!F:F, Captura_Obra!B:B, C$4, Captura_Obra!A:A, B17)))</f>
        <v>192</v>
      </c>
      <c r="E17" s="269">
        <f t="shared" si="0"/>
        <v>192</v>
      </c>
      <c r="F17" s="270">
        <f t="shared" si="1"/>
        <v>0</v>
      </c>
      <c r="G17" s="271">
        <f t="shared" si="2"/>
        <v>5184</v>
      </c>
      <c r="H17" s="272">
        <f t="shared" si="3"/>
        <v>5184</v>
      </c>
      <c r="I17" s="438"/>
      <c r="J17" s="439"/>
    </row>
    <row r="18" spans="1:32" ht="16.8">
      <c r="A18" s="273" t="s">
        <v>146</v>
      </c>
      <c r="B18" s="274"/>
      <c r="C18" s="275">
        <f t="shared" ref="C18:H18" si="4">SUM(C12:C17)</f>
        <v>2900</v>
      </c>
      <c r="D18" s="276">
        <f t="shared" si="4"/>
        <v>2488</v>
      </c>
      <c r="E18" s="277">
        <f t="shared" si="4"/>
        <v>-412</v>
      </c>
      <c r="F18" s="278">
        <f t="shared" si="4"/>
        <v>78300</v>
      </c>
      <c r="G18" s="279">
        <f t="shared" si="4"/>
        <v>67176</v>
      </c>
      <c r="H18" s="280">
        <f t="shared" si="4"/>
        <v>-11124</v>
      </c>
      <c r="I18" s="440"/>
      <c r="J18" s="441"/>
    </row>
    <row r="19" spans="1:32" ht="16.8">
      <c r="A19" s="442"/>
      <c r="B19" s="443"/>
      <c r="C19" s="444"/>
      <c r="D19" s="445"/>
      <c r="E19" s="446"/>
      <c r="F19" s="447"/>
      <c r="G19" s="448"/>
      <c r="H19" s="449"/>
      <c r="I19" s="450"/>
      <c r="J19" s="451"/>
    </row>
    <row r="20" spans="1:32" ht="16.8">
      <c r="A20" s="17804" t="s">
        <v>147</v>
      </c>
      <c r="B20" s="17805"/>
      <c r="C20" s="17806"/>
      <c r="D20" s="17807"/>
      <c r="E20" s="17808"/>
      <c r="F20" s="17809"/>
      <c r="G20" s="17810"/>
      <c r="H20" s="17811"/>
      <c r="I20" s="17812"/>
      <c r="J20" s="17813"/>
    </row>
    <row r="21" spans="1:32" ht="15">
      <c r="A21" s="281" t="s">
        <v>133</v>
      </c>
      <c r="B21" s="282" t="s">
        <v>11</v>
      </c>
      <c r="C21" s="283" t="s">
        <v>148</v>
      </c>
      <c r="D21" s="284" t="s">
        <v>149</v>
      </c>
      <c r="E21" s="285" t="s">
        <v>150</v>
      </c>
      <c r="F21" s="286" t="s">
        <v>151</v>
      </c>
      <c r="G21" s="287" t="s">
        <v>152</v>
      </c>
      <c r="H21" s="288" t="s">
        <v>153</v>
      </c>
      <c r="I21" s="289" t="s">
        <v>154</v>
      </c>
      <c r="J21" s="290" t="s">
        <v>178</v>
      </c>
    </row>
    <row r="22" spans="1:32" ht="16.8">
      <c r="A22" s="291" t="s">
        <v>140</v>
      </c>
      <c r="B22" s="292">
        <f t="shared" ref="B22:B27" si="5">B12</f>
        <v>46195</v>
      </c>
      <c r="C22" s="293">
        <f>IF(C$4="Todas", SUMIFS(Captura_Obra!F:F, Captura_Obra!A:A, B22, Captura_Obra!C:C, "Marimba M-01"), SUMIFS(Captura_Obra!F:F, Captura_Obra!B:B, C$4, Captura_Obra!A:A, B22, Captura_Obra!C:C, "Marimba M-01"))</f>
        <v>766</v>
      </c>
      <c r="D22" s="294">
        <f>IF(C$4="Todas", SUMIFS(Captura_Marimba_M01!G:G, Captura_Marimba_M01!A:A, B22, Captura_Marimba_M01!B:B, "Salida"), SUMIFS(Captura_Marimba_M01!G:G, Captura_Marimba_M01!C:C, C$4, Captura_Marimba_M01!A:A, B22, Captura_Marimba_M01!B:B, "Salida"))</f>
        <v>0</v>
      </c>
      <c r="E22" s="295">
        <f t="shared" ref="E22:E27" si="6">C22-D22</f>
        <v>766</v>
      </c>
      <c r="F22" s="296">
        <f>IF(C$4="Todas", SUMIFS(Captura_Obra!F:F, Captura_Obra!A:A, B22, Captura_Obra!C:C, "Pegaso Directo"), SUMIFS(Captura_Obra!F:F, Captura_Obra!B:B, C$4, Captura_Obra!A:A, B22, Captura_Obra!C:C, "Pegaso Directo"))</f>
        <v>0</v>
      </c>
      <c r="G22" s="297">
        <f>IF(C$4="Todas", SUMIFS(Captura_Pegaso!H:H, Captura_Pegaso!A:A, B22, Captura_Pegaso!B:B, "Salida"), SUMIFS(Captura_Pegaso!H:H, Captura_Pegaso!D:D, C$4, Captura_Pegaso!A:A, B22, Captura_Pegaso!B:B, "Salida"))</f>
        <v>0</v>
      </c>
      <c r="H22" s="298">
        <f t="shared" ref="H22:H27" si="7">F22-G22</f>
        <v>0</v>
      </c>
      <c r="I22" s="299">
        <f t="shared" ref="I22:I27" si="8">E22+H22</f>
        <v>766</v>
      </c>
      <c r="J22" s="300"/>
    </row>
    <row r="23" spans="1:32" ht="16.8">
      <c r="A23" s="301" t="s">
        <v>141</v>
      </c>
      <c r="B23" s="302">
        <f t="shared" si="5"/>
        <v>46196</v>
      </c>
      <c r="C23" s="303">
        <f>IF(C$4="Todas", SUMIFS(Captura_Obra!F:F, Captura_Obra!A:A, B23, Captura_Obra!C:C, "Marimba M-01"), SUMIFS(Captura_Obra!F:F, Captura_Obra!B:B, C$4, Captura_Obra!A:A, B23, Captura_Obra!C:C, "Marimba M-01"))</f>
        <v>102</v>
      </c>
      <c r="D23" s="304">
        <f>IF(C$4="Todas", SUMIFS(Captura_Marimba_M01!G:G, Captura_Marimba_M01!A:A, B23, Captura_Marimba_M01!B:B, "Salida"), SUMIFS(Captura_Marimba_M01!G:G, Captura_Marimba_M01!C:C, C$4, Captura_Marimba_M01!A:A, B23, Captura_Marimba_M01!B:B, "Salida"))</f>
        <v>0</v>
      </c>
      <c r="E23" s="305">
        <f t="shared" si="6"/>
        <v>102</v>
      </c>
      <c r="F23" s="306">
        <f>IF(C$4="Todas", SUMIFS(Captura_Obra!F:F, Captura_Obra!A:A, B23, Captura_Obra!C:C, "Pegaso Directo"), SUMIFS(Captura_Obra!F:F, Captura_Obra!B:B, C$4, Captura_Obra!A:A, B23, Captura_Obra!C:C, "Pegaso Directo"))</f>
        <v>0</v>
      </c>
      <c r="G23" s="307">
        <f>IF(C$4="Todas", SUMIFS(Captura_Pegaso!H:H, Captura_Pegaso!A:A, B23, Captura_Pegaso!B:B, "Salida"), SUMIFS(Captura_Pegaso!H:H, Captura_Pegaso!D:D, C$4, Captura_Pegaso!A:A, B23, Captura_Pegaso!B:B, "Salida"))</f>
        <v>0</v>
      </c>
      <c r="H23" s="308">
        <f t="shared" si="7"/>
        <v>0</v>
      </c>
      <c r="I23" s="309">
        <f t="shared" si="8"/>
        <v>102</v>
      </c>
      <c r="J23" s="310"/>
    </row>
    <row r="24" spans="1:32" ht="16.8">
      <c r="A24" s="311" t="s">
        <v>142</v>
      </c>
      <c r="B24" s="312">
        <f t="shared" si="5"/>
        <v>46197</v>
      </c>
      <c r="C24" s="313">
        <f>IF(C$4="Todas", SUMIFS(Captura_Obra!F:F, Captura_Obra!A:A, B24, Captura_Obra!C:C, "Marimba M-01"), SUMIFS(Captura_Obra!F:F, Captura_Obra!B:B, C$4, Captura_Obra!A:A, B24, Captura_Obra!C:C, "Marimba M-01"))</f>
        <v>471</v>
      </c>
      <c r="D24" s="314">
        <f>IF(C$4="Todas", SUMIFS(Captura_Marimba_M01!G:G, Captura_Marimba_M01!A:A, B24, Captura_Marimba_M01!B:B, "Salida"), SUMIFS(Captura_Marimba_M01!G:G, Captura_Marimba_M01!C:C, C$4, Captura_Marimba_M01!A:A, B24, Captura_Marimba_M01!B:B, "Salida"))</f>
        <v>0</v>
      </c>
      <c r="E24" s="315">
        <f t="shared" si="6"/>
        <v>471</v>
      </c>
      <c r="F24" s="316">
        <f>IF(C$4="Todas", SUMIFS(Captura_Obra!F:F, Captura_Obra!A:A, B24, Captura_Obra!C:C, "Pegaso Directo"), SUMIFS(Captura_Obra!F:F, Captura_Obra!B:B, C$4, Captura_Obra!A:A, B24, Captura_Obra!C:C, "Pegaso Directo"))</f>
        <v>0</v>
      </c>
      <c r="G24" s="317">
        <f>IF(C$4="Todas", SUMIFS(Captura_Pegaso!H:H, Captura_Pegaso!A:A, B24, Captura_Pegaso!B:B, "Salida"), SUMIFS(Captura_Pegaso!H:H, Captura_Pegaso!D:D, C$4, Captura_Pegaso!A:A, B24, Captura_Pegaso!B:B, "Salida"))</f>
        <v>0</v>
      </c>
      <c r="H24" s="318">
        <f t="shared" si="7"/>
        <v>0</v>
      </c>
      <c r="I24" s="319">
        <f t="shared" si="8"/>
        <v>471</v>
      </c>
      <c r="J24" s="320"/>
    </row>
    <row r="25" spans="1:32" ht="16.8">
      <c r="A25" s="321" t="s">
        <v>143</v>
      </c>
      <c r="B25" s="322">
        <f t="shared" si="5"/>
        <v>46198</v>
      </c>
      <c r="C25" s="323">
        <f>IF(C$4="Todas", SUMIFS(Captura_Obra!F:F, Captura_Obra!A:A, B25, Captura_Obra!C:C, "Marimba M-01"), SUMIFS(Captura_Obra!F:F, Captura_Obra!B:B, C$4, Captura_Obra!A:A, B25, Captura_Obra!C:C, "Marimba M-01"))</f>
        <v>150</v>
      </c>
      <c r="D25" s="324">
        <f>IF(C$4="Todas", SUMIFS(Captura_Marimba_M01!G:G, Captura_Marimba_M01!A:A, B25, Captura_Marimba_M01!B:B, "Salida"), SUMIFS(Captura_Marimba_M01!G:G, Captura_Marimba_M01!C:C, C$4, Captura_Marimba_M01!A:A, B25, Captura_Marimba_M01!B:B, "Salida"))</f>
        <v>0</v>
      </c>
      <c r="E25" s="325">
        <f t="shared" si="6"/>
        <v>150</v>
      </c>
      <c r="F25" s="326">
        <f>IF(C$4="Todas", SUMIFS(Captura_Obra!F:F, Captura_Obra!A:A, B25, Captura_Obra!C:C, "Pegaso Directo"), SUMIFS(Captura_Obra!F:F, Captura_Obra!B:B, C$4, Captura_Obra!A:A, B25, Captura_Obra!C:C, "Pegaso Directo"))</f>
        <v>0</v>
      </c>
      <c r="G25" s="327">
        <f>IF(C$4="Todas", SUMIFS(Captura_Pegaso!H:H, Captura_Pegaso!A:A, B25, Captura_Pegaso!B:B, "Salida"), SUMIFS(Captura_Pegaso!H:H, Captura_Pegaso!D:D, C$4, Captura_Pegaso!A:A, B25, Captura_Pegaso!B:B, "Salida"))</f>
        <v>0</v>
      </c>
      <c r="H25" s="328">
        <f t="shared" si="7"/>
        <v>0</v>
      </c>
      <c r="I25" s="329">
        <f t="shared" si="8"/>
        <v>150</v>
      </c>
      <c r="J25" s="330"/>
    </row>
    <row r="26" spans="1:32" ht="16.8">
      <c r="A26" s="331" t="s">
        <v>144</v>
      </c>
      <c r="B26" s="332">
        <f t="shared" si="5"/>
        <v>46199</v>
      </c>
      <c r="C26" s="333">
        <f>IF(C$4="Todas", SUMIFS(Captura_Obra!F:F, Captura_Obra!A:A, B26, Captura_Obra!C:C, "Marimba M-01"), SUMIFS(Captura_Obra!F:F, Captura_Obra!B:B, C$4, Captura_Obra!A:A, B26, Captura_Obra!C:C, "Marimba M-01"))</f>
        <v>478</v>
      </c>
      <c r="D26" s="334">
        <f>IF(C$4="Todas", SUMIFS(Captura_Marimba_M01!G:G, Captura_Marimba_M01!A:A, B26, Captura_Marimba_M01!B:B, "Salida"), SUMIFS(Captura_Marimba_M01!G:G, Captura_Marimba_M01!C:C, C$4, Captura_Marimba_M01!A:A, B26, Captura_Marimba_M01!B:B, "Salida"))</f>
        <v>0</v>
      </c>
      <c r="E26" s="335">
        <f t="shared" si="6"/>
        <v>478</v>
      </c>
      <c r="F26" s="336">
        <f>IF(C$4="Todas", SUMIFS(Captura_Obra!F:F, Captura_Obra!A:A, B26, Captura_Obra!C:C, "Pegaso Directo"), SUMIFS(Captura_Obra!F:F, Captura_Obra!B:B, C$4, Captura_Obra!A:A, B26, Captura_Obra!C:C, "Pegaso Directo"))</f>
        <v>0</v>
      </c>
      <c r="G26" s="337">
        <f>IF(C$4="Todas", SUMIFS(Captura_Pegaso!H:H, Captura_Pegaso!A:A, B26, Captura_Pegaso!B:B, "Salida"), SUMIFS(Captura_Pegaso!H:H, Captura_Pegaso!D:D, C$4, Captura_Pegaso!A:A, B26, Captura_Pegaso!B:B, "Salida"))</f>
        <v>0</v>
      </c>
      <c r="H26" s="338">
        <f t="shared" si="7"/>
        <v>0</v>
      </c>
      <c r="I26" s="339">
        <f t="shared" si="8"/>
        <v>478</v>
      </c>
      <c r="J26" s="340"/>
    </row>
    <row r="27" spans="1:32" ht="16.8">
      <c r="A27" s="341" t="s">
        <v>145</v>
      </c>
      <c r="B27" s="342">
        <f t="shared" si="5"/>
        <v>46200</v>
      </c>
      <c r="C27" s="343">
        <f>IF(C$4="Todas", SUMIFS(Captura_Obra!F:F, Captura_Obra!A:A, B27, Captura_Obra!C:C, "Marimba M-01"), SUMIFS(Captura_Obra!F:F, Captura_Obra!B:B, C$4, Captura_Obra!A:A, B27, Captura_Obra!C:C, "Marimba M-01"))</f>
        <v>192</v>
      </c>
      <c r="D27" s="344">
        <f>IF(C$4="Todas", SUMIFS(Captura_Marimba_M01!G:G, Captura_Marimba_M01!A:A, B27, Captura_Marimba_M01!B:B, "Salida"), SUMIFS(Captura_Marimba_M01!G:G, Captura_Marimba_M01!C:C, C$4, Captura_Marimba_M01!A:A, B27, Captura_Marimba_M01!B:B, "Salida"))</f>
        <v>0</v>
      </c>
      <c r="E27" s="345">
        <f t="shared" si="6"/>
        <v>192</v>
      </c>
      <c r="F27" s="346">
        <f>IF(C$4="Todas", SUMIFS(Captura_Obra!F:F, Captura_Obra!A:A, B27, Captura_Obra!C:C, "Pegaso Directo"), SUMIFS(Captura_Obra!F:F, Captura_Obra!B:B, C$4, Captura_Obra!A:A, B27, Captura_Obra!C:C, "Pegaso Directo"))</f>
        <v>0</v>
      </c>
      <c r="G27" s="347">
        <f>IF(C$4="Todas", SUMIFS(Captura_Pegaso!H:H, Captura_Pegaso!A:A, B27, Captura_Pegaso!B:B, "Salida"), SUMIFS(Captura_Pegaso!H:H, Captura_Pegaso!D:D, C$4, Captura_Pegaso!A:A, B27, Captura_Pegaso!B:B, "Salida"))</f>
        <v>0</v>
      </c>
      <c r="H27" s="348">
        <f t="shared" si="7"/>
        <v>0</v>
      </c>
      <c r="I27" s="349">
        <f t="shared" si="8"/>
        <v>192</v>
      </c>
      <c r="J27" s="350"/>
    </row>
    <row r="28" spans="1:32" ht="16.8">
      <c r="A28" s="351" t="s">
        <v>179</v>
      </c>
      <c r="B28" s="352"/>
      <c r="C28" s="353">
        <f t="shared" ref="C28:I28" si="9">SUM(C22:C27)</f>
        <v>2159</v>
      </c>
      <c r="D28" s="354">
        <f t="shared" si="9"/>
        <v>0</v>
      </c>
      <c r="E28" s="355">
        <f t="shared" si="9"/>
        <v>2159</v>
      </c>
      <c r="F28" s="356">
        <f t="shared" si="9"/>
        <v>0</v>
      </c>
      <c r="G28" s="357">
        <f t="shared" si="9"/>
        <v>0</v>
      </c>
      <c r="H28" s="358">
        <f t="shared" si="9"/>
        <v>0</v>
      </c>
      <c r="I28" s="359">
        <f t="shared" si="9"/>
        <v>2159</v>
      </c>
      <c r="J28" s="360"/>
    </row>
    <row r="29" spans="1:32" ht="16.8">
      <c r="A29" s="452"/>
      <c r="B29" s="453"/>
      <c r="C29" s="454"/>
      <c r="D29" s="455"/>
      <c r="E29" s="456"/>
      <c r="F29" s="457"/>
      <c r="G29" s="458"/>
      <c r="H29" s="459"/>
      <c r="I29" s="460"/>
      <c r="J29" s="461"/>
    </row>
    <row r="30" spans="1:32" ht="16.8">
      <c r="A30" s="462"/>
      <c r="B30" s="463"/>
      <c r="C30" s="464"/>
      <c r="D30" s="465"/>
      <c r="E30" s="466"/>
      <c r="F30" s="467"/>
      <c r="G30" s="468"/>
      <c r="H30" s="469"/>
      <c r="I30" s="470"/>
      <c r="J30" s="471"/>
      <c r="Q30" s="17834" t="str">
        <f>"SOLICITUDES DE DISEL DIARIAS Y SEMANALES POR OBRA (SEMANA " &amp; YEAR(C5) &amp; "-" &amp; TEXT(MONTH(C5),"00") &amp; "-" &amp; TEXT(DAY(C5),"00") &amp; ")"</f>
        <v>SOLICITUDES DE DISEL DIARIAS Y SEMANALES POR OBRA (SEMANA 2026-06-22)</v>
      </c>
      <c r="R30" s="17834"/>
      <c r="S30" s="17834"/>
      <c r="T30" s="17834"/>
      <c r="U30" s="17834"/>
      <c r="V30" s="17834"/>
      <c r="W30" s="17834"/>
      <c r="X30" s="17834"/>
      <c r="Y30" s="17834"/>
      <c r="Z30" s="17834"/>
      <c r="AA30" s="17834"/>
      <c r="AB30" s="17834"/>
      <c r="AC30" s="17834"/>
      <c r="AD30" s="17834"/>
      <c r="AE30" s="17834"/>
      <c r="AF30" s="17834"/>
    </row>
    <row r="31" spans="1:32" ht="16.8">
      <c r="A31" s="17814" t="s">
        <v>180</v>
      </c>
      <c r="B31" s="17814"/>
      <c r="C31" s="17814"/>
      <c r="D31" s="584"/>
      <c r="Q31" s="17841" t="s">
        <v>0</v>
      </c>
      <c r="R31" s="17842" t="s">
        <v>106</v>
      </c>
      <c r="S31" s="17835" t="s">
        <v>140</v>
      </c>
      <c r="T31" s="17835"/>
      <c r="U31" s="17840" t="s">
        <v>141</v>
      </c>
      <c r="V31" s="17840"/>
      <c r="W31" s="17839" t="s">
        <v>142</v>
      </c>
      <c r="X31" s="17839"/>
      <c r="Y31" s="17838" t="s">
        <v>143</v>
      </c>
      <c r="Z31" s="17838"/>
      <c r="AA31" s="17837" t="s">
        <v>144</v>
      </c>
      <c r="AB31" s="17837"/>
      <c r="AC31" s="17836" t="s">
        <v>145</v>
      </c>
      <c r="AD31" s="17836"/>
      <c r="AE31" s="17832" t="s">
        <v>355</v>
      </c>
      <c r="AF31" s="17832" t="s">
        <v>356</v>
      </c>
    </row>
    <row r="32" spans="1:32" ht="16.8">
      <c r="A32" s="361" t="s">
        <v>0</v>
      </c>
      <c r="B32" s="362" t="s">
        <v>172</v>
      </c>
      <c r="C32" s="363" t="s">
        <v>173</v>
      </c>
      <c r="D32" s="472"/>
      <c r="Q32" s="17841"/>
      <c r="R32" s="17842"/>
      <c r="S32" s="2315" t="s">
        <v>353</v>
      </c>
      <c r="T32" s="2315" t="s">
        <v>354</v>
      </c>
      <c r="U32" s="2315" t="s">
        <v>353</v>
      </c>
      <c r="V32" s="2315" t="s">
        <v>354</v>
      </c>
      <c r="W32" s="2315" t="s">
        <v>353</v>
      </c>
      <c r="X32" s="2315" t="s">
        <v>354</v>
      </c>
      <c r="Y32" s="2315" t="s">
        <v>353</v>
      </c>
      <c r="Z32" s="2315" t="s">
        <v>354</v>
      </c>
      <c r="AA32" s="2315" t="s">
        <v>353</v>
      </c>
      <c r="AB32" s="2315" t="s">
        <v>354</v>
      </c>
      <c r="AC32" s="2315" t="s">
        <v>353</v>
      </c>
      <c r="AD32" s="2315" t="s">
        <v>354</v>
      </c>
      <c r="AE32" s="17833"/>
      <c r="AF32" s="17833"/>
    </row>
    <row r="33" spans="1:32" ht="16.8">
      <c r="A33" s="364" t="s">
        <v>1</v>
      </c>
      <c r="B33" s="365">
        <f>IF(C$8="Acumulado Histórico", SUMIFS(Captura_Obra!F:F, Captura_Obra!B:B, A33), IF(C$8="Rango de Fechas", SUMIFS(Captura_Obra!F:F, Captura_Obra!B:B, A33, Captura_Obra!A:A, "&gt;="&amp;C$5, Captura_Obra!A:A, "&lt;="&amp;(C$6+5)), SUMIFS(Captura_Obra!F:F, Captura_Obra!B:B, A33, Captura_Obra!A:A, "&gt;="&amp;C$5, Captura_Obra!A:A, "&lt;="&amp;(C$5+5))))</f>
        <v>2488</v>
      </c>
      <c r="C33" s="366">
        <f t="shared" ref="C33:C40" si="10">B33*C$7</f>
        <v>67176</v>
      </c>
      <c r="D33" s="473"/>
      <c r="P33" t="s">
        <v>357</v>
      </c>
      <c r="Q33" s="578" t="str">
        <f>A33</f>
        <v>México-Toluca</v>
      </c>
      <c r="R33" s="2275" t="str">
        <f>VLOOKUP(Q33,Catalogos!$B$4:$C$18,2,FALSE)</f>
        <v>Francisco Javier</v>
      </c>
      <c r="S33" s="2278">
        <f>SUMIFS(Solicitudes!$F:$F, Solicitudes!$B:$B, $Q33, Solicitudes!$C:$C, $B$12)</f>
        <v>660</v>
      </c>
      <c r="T33" s="2277">
        <v>550</v>
      </c>
      <c r="U33" s="2279">
        <f>SUMIFS(Solicitudes!$F:$F, Solicitudes!$B:$B, $Q33, Solicitudes!$C:$C, $B$13)</f>
        <v>380</v>
      </c>
      <c r="V33" s="2277">
        <v>550</v>
      </c>
      <c r="W33" s="2280">
        <f>SUMIFS(Solicitudes!$F:$F, Solicitudes!$B:$B, $Q33, Solicitudes!$C:$C, $B$14)</f>
        <v>620</v>
      </c>
      <c r="X33" s="2277">
        <v>550</v>
      </c>
      <c r="Y33" s="2281">
        <f>SUMIFS(Solicitudes!$F:$F, Solicitudes!$B:$B, $Q33, Solicitudes!$C:$C, $B$15)</f>
        <v>620</v>
      </c>
      <c r="Z33" s="2277">
        <v>550</v>
      </c>
      <c r="AA33" s="2282">
        <f>SUMIFS(Solicitudes!$F:$F, Solicitudes!$B:$B, $Q33, Solicitudes!$C:$C, $B$16)</f>
        <v>620</v>
      </c>
      <c r="AB33" s="2277">
        <v>550</v>
      </c>
      <c r="AC33" s="2283">
        <f>SUMIFS(Solicitudes!$F:$F, Solicitudes!$B:$B, $Q33, Solicitudes!$C:$C, $B$17)</f>
        <v>0</v>
      </c>
      <c r="AD33" s="2284">
        <v>0</v>
      </c>
      <c r="AE33" s="2285">
        <f>SUM(S33,U33,W33,Y33,AA33,AC33,)</f>
        <v>2900</v>
      </c>
      <c r="AF33" s="2285">
        <f>SUM(T33,V33,X33,Z33,AB33,AD33)</f>
        <v>2750</v>
      </c>
    </row>
    <row r="34" spans="1:32" ht="16.8">
      <c r="A34" s="367" t="s">
        <v>2</v>
      </c>
      <c r="B34" s="368">
        <f>IF(C$8="Acumulado Histórico", SUMIFS(Captura_Obra!F:F, Captura_Obra!B:B, A34), IF(C$8="Rango de Fechas", SUMIFS(Captura_Obra!F:F, Captura_Obra!B:B, A34, Captura_Obra!A:A, "&gt;="&amp;C$5, Captura_Obra!A:A, "&lt;="&amp;(C$6+5)), SUMIFS(Captura_Obra!F:F, Captura_Obra!B:B, A34, Captura_Obra!A:A, "&gt;="&amp;C$5, Captura_Obra!A:A, "&lt;="&amp;(C$5+5))))</f>
        <v>1279</v>
      </c>
      <c r="C34" s="369">
        <f t="shared" si="10"/>
        <v>34533</v>
      </c>
      <c r="D34" s="474"/>
      <c r="P34" t="s">
        <v>358</v>
      </c>
      <c r="Q34" s="579" t="str">
        <f>A34</f>
        <v>Lerma - Tres Marías</v>
      </c>
      <c r="R34" s="2275" t="str">
        <f>VLOOKUP(Q34,Catalogos!$B$4:$C$18,2,FALSE)</f>
        <v>Apolinar</v>
      </c>
      <c r="S34" s="2286">
        <f>SUMIFS(Solicitudes!$F:$F, Solicitudes!$B:$B, $Q34, Solicitudes!$C:$C, $B$12)</f>
        <v>608</v>
      </c>
      <c r="T34" s="2277">
        <v>400</v>
      </c>
      <c r="U34" s="2287">
        <f>SUMIFS(Solicitudes!$F:$F, Solicitudes!$B:$B, $Q34, Solicitudes!$C:$C, $B$13)</f>
        <v>608</v>
      </c>
      <c r="V34" s="2277">
        <v>400</v>
      </c>
      <c r="W34" s="2288">
        <f>SUMIFS(Solicitudes!$F:$F, Solicitudes!$B:$B, $Q34, Solicitudes!$C:$C, $B$14)</f>
        <v>608</v>
      </c>
      <c r="X34" s="2277">
        <v>400</v>
      </c>
      <c r="Y34" s="2289">
        <f>SUMIFS(Solicitudes!$F:$F, Solicitudes!$B:$B, $Q34, Solicitudes!$C:$C, $B$15)</f>
        <v>608</v>
      </c>
      <c r="Z34" s="2277">
        <v>400</v>
      </c>
      <c r="AA34" s="2290">
        <f>SUMIFS(Solicitudes!$F:$F, Solicitudes!$B:$B, $Q34, Solicitudes!$C:$C, $B$16)</f>
        <v>608</v>
      </c>
      <c r="AB34" s="2277">
        <v>400</v>
      </c>
      <c r="AC34" s="2291">
        <f>SUMIFS(Solicitudes!$F:$F, Solicitudes!$B:$B, $Q34, Solicitudes!$C:$C, $B$17)</f>
        <v>0</v>
      </c>
      <c r="AD34" s="2292">
        <f>SUMIFS(Solicitudes!$F:$F, Solicitudes!$B:$B, $Q34, Solicitudes!$C:$C, ($B$17+1))</f>
        <v>0</v>
      </c>
      <c r="AE34" s="2285">
        <f t="shared" ref="AE34:AE37" si="11">SUM(S34,U34,W34,Y34,AA34,AC34,)</f>
        <v>3040</v>
      </c>
      <c r="AF34" s="2285">
        <f t="shared" ref="AF34:AF38" si="12">SUM(T34,V34,X34,Z34,AB34,AD34)</f>
        <v>2000</v>
      </c>
    </row>
    <row r="35" spans="1:32" ht="16.8">
      <c r="A35" s="370" t="s">
        <v>3</v>
      </c>
      <c r="B35" s="371">
        <f>IF(C$8="Acumulado Histórico", SUMIFS(Captura_Obra!F:F, Captura_Obra!B:B, A35), IF(C$8="Rango de Fechas", SUMIFS(Captura_Obra!F:F, Captura_Obra!B:B, A35, Captura_Obra!A:A, "&gt;="&amp;C$5, Captura_Obra!A:A, "&lt;="&amp;(C$6+5)), SUMIFS(Captura_Obra!F:F, Captura_Obra!B:B, A35, Captura_Obra!A:A, "&gt;="&amp;C$5, Captura_Obra!A:A, "&lt;="&amp;(C$5+5))))</f>
        <v>0</v>
      </c>
      <c r="C35" s="372">
        <f t="shared" si="10"/>
        <v>0</v>
      </c>
      <c r="D35" s="475"/>
      <c r="P35" t="s">
        <v>358</v>
      </c>
      <c r="Q35" s="580" t="str">
        <f>A36</f>
        <v>Bacheo Toluca</v>
      </c>
      <c r="R35" s="2275" t="str">
        <f>VLOOKUP(Q35,Catalogos!$B$4:$C$18,2,FALSE)</f>
        <v>Diego Carreola</v>
      </c>
      <c r="S35" s="2293">
        <f>SUMIFS(Solicitudes!$F:$F, Solicitudes!$B:$B, $Q35, Solicitudes!$C:$C, $B$12)</f>
        <v>118</v>
      </c>
      <c r="T35" s="2277">
        <v>100</v>
      </c>
      <c r="U35" s="2294">
        <f>SUMIFS(Solicitudes!$F:$F, Solicitudes!$B:$B, $Q35, Solicitudes!$C:$C, $B$13)</f>
        <v>105</v>
      </c>
      <c r="V35" s="2277">
        <v>100</v>
      </c>
      <c r="W35" s="2295">
        <f>SUMIFS(Solicitudes!$F:$F, Solicitudes!$B:$B, $Q35, Solicitudes!$C:$C, $B$14)</f>
        <v>108</v>
      </c>
      <c r="X35" s="2277">
        <v>100</v>
      </c>
      <c r="Y35" s="2296">
        <f>SUMIFS(Solicitudes!$F:$F, Solicitudes!$B:$B, $Q35, Solicitudes!$C:$C, $B$15)</f>
        <v>125</v>
      </c>
      <c r="Z35" s="2277">
        <v>100</v>
      </c>
      <c r="AA35" s="2297">
        <f>SUMIFS(Solicitudes!$F:$F, Solicitudes!$B:$B, $Q35, Solicitudes!$C:$C, $B$16)</f>
        <v>118</v>
      </c>
      <c r="AB35" s="2277">
        <v>100</v>
      </c>
      <c r="AC35" s="2298">
        <f>SUMIFS(Solicitudes!$F:$F, Solicitudes!$B:$B, $Q35, Solicitudes!$C:$C, $B$17)</f>
        <v>0</v>
      </c>
      <c r="AD35" s="2299">
        <f>SUMIFS(Solicitudes!$F:$F, Solicitudes!$B:$B, $Q35, Solicitudes!$C:$C, ($B$17+1))</f>
        <v>0</v>
      </c>
      <c r="AE35" s="2285">
        <f t="shared" si="11"/>
        <v>574</v>
      </c>
      <c r="AF35" s="2285">
        <f t="shared" si="12"/>
        <v>500</v>
      </c>
    </row>
    <row r="36" spans="1:32" ht="16.8">
      <c r="A36" s="373" t="s">
        <v>111</v>
      </c>
      <c r="B36" s="374">
        <f>IF(C$8="Acumulado Histórico", SUMIFS(Captura_Obra!F:F, Captura_Obra!B:B, A36), IF(C$8="Rango de Fechas", SUMIFS(Captura_Obra!F:F, Captura_Obra!B:B, A36, Captura_Obra!A:A, "&gt;="&amp;C$5, Captura_Obra!A:A, "&lt;="&amp;(C$6+5)), SUMIFS(Captura_Obra!F:F, Captura_Obra!B:B, A36, Captura_Obra!A:A, "&gt;="&amp;C$5, Captura_Obra!A:A, "&lt;="&amp;(C$5+5))))</f>
        <v>1554</v>
      </c>
      <c r="C36" s="375">
        <f t="shared" si="10"/>
        <v>41958</v>
      </c>
      <c r="D36" s="476"/>
      <c r="P36" t="s">
        <v>358</v>
      </c>
      <c r="Q36" s="581" t="str">
        <f>A37</f>
        <v>Planta Asfalto Pegaso</v>
      </c>
      <c r="R36" s="2275" t="str">
        <f>VLOOKUP(Q36,Catalogos!$B$4:$C$18,2,FALSE)</f>
        <v>Janeth</v>
      </c>
      <c r="S36" s="2300">
        <f>SUMIFS(Solicitudes!$F:$F, Solicitudes!$B:$B, $Q36, Solicitudes!$C:$C, $B$12)</f>
        <v>0</v>
      </c>
      <c r="T36" s="2277">
        <v>0</v>
      </c>
      <c r="U36" s="2301">
        <f>SUMIFS(Solicitudes!$F:$F, Solicitudes!$B:$B, $Q36, Solicitudes!$C:$C, $B$13)</f>
        <v>300</v>
      </c>
      <c r="V36" s="2277">
        <v>300</v>
      </c>
      <c r="W36" s="2302">
        <f>SUMIFS(Solicitudes!$F:$F, Solicitudes!$B:$B, $Q36, Solicitudes!$C:$C, $B$14)</f>
        <v>1000</v>
      </c>
      <c r="X36" s="2277">
        <v>1000</v>
      </c>
      <c r="Y36" s="2303">
        <f>SUMIFS(Solicitudes!$F:$F, Solicitudes!$B:$B, $Q36, Solicitudes!$C:$C, $B$15)</f>
        <v>300</v>
      </c>
      <c r="Z36" s="2277">
        <v>300</v>
      </c>
      <c r="AA36" s="2304">
        <f>SUMIFS(Solicitudes!$F:$F, Solicitudes!$B:$B, $Q36, Solicitudes!$C:$C, $B$16)</f>
        <v>0</v>
      </c>
      <c r="AB36" s="2277">
        <v>0</v>
      </c>
      <c r="AC36" s="2305">
        <f>SUMIFS(Solicitudes!$F:$F, Solicitudes!$B:$B, $Q36, Solicitudes!$C:$C, $B$17)</f>
        <v>0</v>
      </c>
      <c r="AD36" s="2306">
        <f>SUMIFS(Solicitudes!$F:$F, Solicitudes!$B:$B, $Q36, Solicitudes!$C:$C, ($B$17+1))</f>
        <v>0</v>
      </c>
      <c r="AE36" s="2285">
        <f t="shared" si="11"/>
        <v>1600</v>
      </c>
      <c r="AF36" s="2285">
        <f t="shared" si="12"/>
        <v>1600</v>
      </c>
    </row>
    <row r="37" spans="1:32" ht="16.8">
      <c r="A37" s="376" t="s">
        <v>115</v>
      </c>
      <c r="B37" s="377">
        <f>IF(C$8="Acumulado Histórico", SUMIFS(Captura_Obra!F:F, Captura_Obra!B:B, A37), IF(C$8="Rango de Fechas", SUMIFS(Captura_Obra!F:F, Captura_Obra!B:B, A37, Captura_Obra!A:A, "&gt;="&amp;C$5, Captura_Obra!A:A, "&lt;="&amp;(C$6+5)), SUMIFS(Captura_Obra!F:F, Captura_Obra!B:B, A37, Captura_Obra!A:A, "&gt;="&amp;C$5, Captura_Obra!A:A, "&lt;="&amp;(C$5+5))))</f>
        <v>0</v>
      </c>
      <c r="C37" s="378">
        <f t="shared" si="10"/>
        <v>0</v>
      </c>
      <c r="D37" s="477"/>
      <c r="P37" t="s">
        <v>359</v>
      </c>
      <c r="Q37" s="582" t="str">
        <f>A38</f>
        <v>Planta Asflato Huixquilucan</v>
      </c>
      <c r="R37" s="2275" t="str">
        <f>VLOOKUP(Q37,Catalogos!$B$4:$C$18,2,FALSE)</f>
        <v>Luis</v>
      </c>
      <c r="S37" s="2307">
        <f>SUMIFS(Solicitudes!$F:$F, Solicitudes!$B:$B, $Q37, Solicitudes!$C:$C, $B$12)</f>
        <v>600</v>
      </c>
      <c r="T37" s="2277">
        <v>500</v>
      </c>
      <c r="U37" s="2308">
        <f>SUMIFS(Solicitudes!$F:$F, Solicitudes!$B:$B, $Q37, Solicitudes!$C:$C, $B$13)</f>
        <v>400</v>
      </c>
      <c r="V37" s="2277">
        <v>500</v>
      </c>
      <c r="W37" s="2309">
        <f>SUMIFS(Solicitudes!$F:$F, Solicitudes!$B:$B, $Q37, Solicitudes!$C:$C, $B$14)</f>
        <v>500</v>
      </c>
      <c r="X37" s="2277">
        <v>500</v>
      </c>
      <c r="Y37" s="2310">
        <f>SUMIFS(Solicitudes!$F:$F, Solicitudes!$B:$B, $Q37, Solicitudes!$C:$C, $B$15)</f>
        <v>500</v>
      </c>
      <c r="Z37" s="2277">
        <v>500</v>
      </c>
      <c r="AA37" s="2311">
        <f>SUMIFS(Solicitudes!$F:$F, Solicitudes!$B:$B, $Q37, Solicitudes!$C:$C, $B$16)</f>
        <v>500</v>
      </c>
      <c r="AB37" s="2277">
        <v>500</v>
      </c>
      <c r="AC37" s="2312">
        <f>SUMIFS(Solicitudes!$F:$F, Solicitudes!$B:$B, $Q37, Solicitudes!$C:$C, $B$17)</f>
        <v>100</v>
      </c>
      <c r="AD37" s="2313">
        <f>SUMIFS(Solicitudes!$F:$F, Solicitudes!$B:$B, $Q37, Solicitudes!$C:$C, ($B$17+1))</f>
        <v>0</v>
      </c>
      <c r="AE37" s="2285">
        <f t="shared" si="11"/>
        <v>2600</v>
      </c>
      <c r="AF37" s="2285">
        <f t="shared" si="12"/>
        <v>2500</v>
      </c>
    </row>
    <row r="38" spans="1:32" ht="16.8">
      <c r="A38" s="379" t="s">
        <v>124</v>
      </c>
      <c r="B38" s="380">
        <f>IF(C$8="Acumulado Histórico", SUMIFS(Captura_Obra!F:F, Captura_Obra!B:B, A38), IF(C$8="Rango de Fechas", SUMIFS(Captura_Obra!F:F, Captura_Obra!B:B, A38, Captura_Obra!A:A, "&gt;="&amp;C$5, Captura_Obra!A:A, "&lt;="&amp;(C$6+5)), SUMIFS(Captura_Obra!F:F, Captura_Obra!B:B, A38, Captura_Obra!A:A, "&gt;="&amp;C$5, Captura_Obra!A:A, "&lt;="&amp;(C$5+5))))</f>
        <v>1050</v>
      </c>
      <c r="C38" s="381">
        <f t="shared" si="10"/>
        <v>28350</v>
      </c>
      <c r="D38" s="478"/>
      <c r="Q38" s="583" t="str">
        <f>A41</f>
        <v>TOTAL GENERAL</v>
      </c>
      <c r="R38" s="2276"/>
      <c r="S38" s="2276">
        <f>SUM(S33:S37)</f>
        <v>1986</v>
      </c>
      <c r="T38" s="2276">
        <f>SUM(T33:T37)</f>
        <v>1550</v>
      </c>
      <c r="U38" s="2314">
        <f t="shared" ref="U38" si="13">SUM(U33:U37)</f>
        <v>1793</v>
      </c>
      <c r="V38" s="2314">
        <f t="shared" ref="V38:AE38" si="14">SUM(V33:V37)</f>
        <v>1850</v>
      </c>
      <c r="W38" s="2314">
        <f t="shared" si="14"/>
        <v>2836</v>
      </c>
      <c r="X38" s="2314">
        <f t="shared" si="14"/>
        <v>2550</v>
      </c>
      <c r="Y38" s="2314">
        <f t="shared" si="14"/>
        <v>2153</v>
      </c>
      <c r="Z38" s="2314">
        <f t="shared" si="14"/>
        <v>1850</v>
      </c>
      <c r="AA38" s="2314">
        <f t="shared" si="14"/>
        <v>1846</v>
      </c>
      <c r="AB38" s="2314">
        <f t="shared" si="14"/>
        <v>1550</v>
      </c>
      <c r="AC38" s="2314">
        <f t="shared" si="14"/>
        <v>100</v>
      </c>
      <c r="AD38" s="2314">
        <f t="shared" si="14"/>
        <v>0</v>
      </c>
      <c r="AE38" s="2314">
        <f t="shared" si="14"/>
        <v>10714</v>
      </c>
      <c r="AF38" s="2314">
        <f t="shared" si="12"/>
        <v>9350</v>
      </c>
    </row>
    <row r="39" spans="1:32" ht="16.8">
      <c r="A39" s="382" t="s">
        <v>159</v>
      </c>
      <c r="B39" s="383">
        <f>IF(C$8="Acumulado Histórico", SUMIFS(Captura_Obra!F:F, Captura_Obra!B:B, A39), IF(C$8="Rango de Fechas", SUMIFS(Captura_Obra!F:F, Captura_Obra!B:B, A39, Captura_Obra!A:A, "&gt;="&amp;C$5, Captura_Obra!A:A, "&lt;="&amp;(C$6+5)), SUMIFS(Captura_Obra!F:F, Captura_Obra!B:B, A39, Captura_Obra!A:A, "&gt;="&amp;C$5, Captura_Obra!A:A, "&lt;="&amp;(C$5+5))))</f>
        <v>102</v>
      </c>
      <c r="C39" s="384">
        <f t="shared" si="10"/>
        <v>2754</v>
      </c>
      <c r="D39" s="479"/>
      <c r="AF39" s="2316"/>
    </row>
    <row r="40" spans="1:32" ht="16.8">
      <c r="A40" s="385" t="s">
        <v>166</v>
      </c>
      <c r="B40" s="386">
        <f>IF(C$8="Acumulado Histórico", SUMIFS(Captura_Jalisco!G:G, Captura_Jalisco!B:B, "Salida"), IF(C$8="Rango de Fechas", SUMIFS(Captura_Jalisco!G:G, Captura_Jalisco!B:B, "Salida", Captura_Jalisco!A:A, "&gt;="&amp;C$5, Captura_Jalisco!A:A, "&lt;="&amp;(C$6+5)), SUMIFS(Captura_Jalisco!G:G, Captura_Jalisco!B:B, "Salida", Captura_Jalisco!A:A, "&gt;="&amp;C$5, Captura_Jalisco!A:A, "&lt;="&amp;(C$5+5))))</f>
        <v>1338</v>
      </c>
      <c r="C40" s="387">
        <f t="shared" si="10"/>
        <v>36126</v>
      </c>
      <c r="D40" s="480"/>
    </row>
    <row r="41" spans="1:32" ht="16.8">
      <c r="A41" s="388" t="s">
        <v>174</v>
      </c>
      <c r="B41" s="389">
        <f>SUM(B33:B40)</f>
        <v>7811</v>
      </c>
      <c r="C41" s="390">
        <f>SUM(C33:C40)</f>
        <v>210897</v>
      </c>
      <c r="D41" s="481"/>
    </row>
    <row r="42" spans="1:32" ht="16.8">
      <c r="A42" s="482"/>
      <c r="B42" s="483"/>
      <c r="C42" s="484"/>
      <c r="D42" s="485"/>
      <c r="E42" s="486"/>
      <c r="F42" s="487"/>
      <c r="G42" s="488"/>
      <c r="H42" s="489"/>
      <c r="I42" s="490"/>
      <c r="J42" s="491"/>
    </row>
    <row r="43" spans="1:32" ht="16.8">
      <c r="A43" s="17739" t="s">
        <v>181</v>
      </c>
      <c r="B43" s="17740"/>
      <c r="C43" s="17741"/>
      <c r="D43" s="17742"/>
      <c r="E43" s="17743"/>
      <c r="F43" s="17744"/>
      <c r="G43" s="17745"/>
      <c r="H43" s="17746"/>
      <c r="I43" s="17747"/>
      <c r="J43" s="17748"/>
    </row>
    <row r="44" spans="1:32" ht="16.8">
      <c r="A44" s="532"/>
      <c r="B44" s="492" t="s">
        <v>182</v>
      </c>
      <c r="C44" s="493" t="s">
        <v>166</v>
      </c>
      <c r="D44" s="533"/>
      <c r="E44" s="534"/>
      <c r="F44" s="535"/>
      <c r="G44" s="536"/>
      <c r="H44" s="537"/>
      <c r="I44" s="538"/>
      <c r="J44" s="539"/>
    </row>
    <row r="45" spans="1:32" ht="16.8">
      <c r="A45" s="540"/>
      <c r="B45" s="494" t="s">
        <v>131</v>
      </c>
      <c r="C45" s="495">
        <v>27</v>
      </c>
      <c r="D45" s="541"/>
      <c r="E45" s="542"/>
      <c r="F45" s="543"/>
      <c r="G45" s="544"/>
      <c r="H45" s="545"/>
      <c r="I45" s="546"/>
      <c r="J45" s="547"/>
    </row>
    <row r="46" spans="1:32" ht="16.8">
      <c r="A46" s="548"/>
      <c r="B46" s="549"/>
      <c r="C46" s="550"/>
      <c r="D46" s="551"/>
      <c r="E46" s="552"/>
      <c r="F46" s="553"/>
      <c r="G46" s="554"/>
      <c r="H46" s="555"/>
      <c r="I46" s="556"/>
      <c r="J46" s="557"/>
    </row>
    <row r="47" spans="1:32" ht="16.8">
      <c r="A47" s="496" t="s">
        <v>183</v>
      </c>
      <c r="B47" s="497" t="s">
        <v>192</v>
      </c>
      <c r="C47" s="498" t="s">
        <v>184</v>
      </c>
      <c r="D47" s="499" t="s">
        <v>185</v>
      </c>
      <c r="E47" s="500" t="s">
        <v>186</v>
      </c>
      <c r="F47" s="501" t="s">
        <v>191</v>
      </c>
      <c r="G47" s="502" t="s">
        <v>193</v>
      </c>
      <c r="H47" s="574" t="s">
        <v>194</v>
      </c>
      <c r="I47" s="575" t="s">
        <v>195</v>
      </c>
      <c r="J47" s="558"/>
    </row>
    <row r="48" spans="1:32" ht="16.8">
      <c r="A48" s="503">
        <v>46167</v>
      </c>
      <c r="B48" s="564">
        <f>IF(OR(C$44="Jalisco", C$44="Todas"), Captura_Jalisco!K5, "")</f>
        <v>21600</v>
      </c>
      <c r="C48" s="504">
        <f>IF(C$44="Jalisco", SUMIFS(Captura_Jalisco!G:G, Captura_Jalisco!B:B, "Salida", Captura_Jalisco!A:A, "&gt;="&amp;A48, Captura_Jalisco!A:A, "&lt;="&amp;(A48+5)), IF(C$44="Todas", SUMIFS(Captura_Obra!F:F, Captura_Obra!A:A, "&gt;="&amp;A48, Captura_Obra!A:A, "&lt;="&amp;(A48+5)) + SUMIFS(Captura_Jalisco!G:G, Captura_Jalisco!B:B, "Salida", Captura_Jalisco!A:A, "&gt;="&amp;A48, Captura_Jalisco!A:A, "&lt;="&amp;(A48+5)), SUMIFS(Captura_Obra!F:F, Captura_Obra!B:B, C$44, Captura_Obra!A:A, "&gt;="&amp;A48, Captura_Obra!A:A, "&lt;="&amp;(A48+5))))</f>
        <v>556</v>
      </c>
      <c r="D48" s="505">
        <f>C$45</f>
        <v>27</v>
      </c>
      <c r="E48" s="506">
        <f>C48*D48</f>
        <v>15012</v>
      </c>
      <c r="F48" s="507">
        <f>IF(OR(C$44="Jalisco", C$44="Todas"), SUMIFS(Captura_Jalisco!$N$5:$N$250, Captura_Jalisco!$A$5:$A$250, "&gt;="&amp;A48, Captura_Jalisco!$A$5:$A$250, "&lt;="&amp;(A48+5)), 0)</f>
        <v>0</v>
      </c>
      <c r="G48" s="565">
        <f>IF(OR(C$44="Jalisco", C$44="Todas"), B48-E48-F48, "")</f>
        <v>6588</v>
      </c>
      <c r="H48" s="508">
        <f>IF(OR(C$44="Jalisco", C$44="Todas"), SUMIFS(Captura_Jalisco!$M$5:$M$250, Captura_Jalisco!$A$5:$A$250, "&gt;="&amp;A48, Captura_Jalisco!$A$5:$A$250, "&lt;="&amp;(A48+5)), 0)</f>
        <v>132</v>
      </c>
      <c r="I48" s="576">
        <f>C48</f>
        <v>556</v>
      </c>
      <c r="J48" s="559"/>
    </row>
    <row r="49" spans="1:12" ht="16.8">
      <c r="A49" s="509">
        <v>46174</v>
      </c>
      <c r="B49" s="566">
        <f>IF(OR(C$44="Jalisco", C$44="Todas"), G48+H48, "")</f>
        <v>6720</v>
      </c>
      <c r="C49" s="510">
        <f>IF(C$44="Jalisco", SUMIFS(Captura_Jalisco!G:G, Captura_Jalisco!B:B, "Salida", Captura_Jalisco!A:A, "&gt;="&amp;A49, Captura_Jalisco!A:A, "&lt;="&amp;(A49+5)), IF(C$44="Todas", SUMIFS(Captura_Obra!F:F, Captura_Obra!A:A, "&gt;="&amp;A49, Captura_Obra!A:A, "&lt;="&amp;(A49+5)) + SUMIFS(Captura_Jalisco!G:G, Captura_Jalisco!B:B, "Salida", Captura_Jalisco!A:A, "&gt;="&amp;A49, Captura_Jalisco!A:A, "&lt;="&amp;(A49+5)), SUMIFS(Captura_Obra!F:F, Captura_Obra!B:B, C$44, Captura_Obra!A:A, "&gt;="&amp;A49, Captura_Obra!A:A, "&lt;="&amp;(A49+5))))</f>
        <v>824</v>
      </c>
      <c r="D49" s="511">
        <f>C$45</f>
        <v>27</v>
      </c>
      <c r="E49" s="512">
        <f>C49*D49</f>
        <v>22248</v>
      </c>
      <c r="F49" s="513">
        <f>IF(OR(C$44="Jalisco", C$44="Todas"), SUMIFS(Captura_Jalisco!$N$5:$N$250, Captura_Jalisco!$A$5:$A$250, "&gt;="&amp;A49, Captura_Jalisco!$A$5:$A$250, "&lt;="&amp;(A49+5)), 0)</f>
        <v>3000</v>
      </c>
      <c r="G49" s="567">
        <f>IF(OR(C$44="Jalisco", C$44="Todas"), B49-E49-F49, "")</f>
        <v>-18528</v>
      </c>
      <c r="H49" s="514">
        <f>IF(OR(C$44="Jalisco", C$44="Todas"), SUMIFS(Captura_Jalisco!$M$5:$M$250, Captura_Jalisco!$A$5:$A$250, "&gt;="&amp;A49, Captura_Jalisco!$A$5:$A$250, "&lt;="&amp;(A49+5)), 0)</f>
        <v>276</v>
      </c>
      <c r="I49" s="577">
        <f>I48+C49</f>
        <v>1380</v>
      </c>
      <c r="J49" s="560"/>
    </row>
    <row r="50" spans="1:12" ht="16.8">
      <c r="A50" s="515">
        <v>46181</v>
      </c>
      <c r="B50" s="568">
        <f>IF(OR(C$44="Jalisco", C$44="Todas"), G49+H49, "")</f>
        <v>-18252</v>
      </c>
      <c r="C50" s="516">
        <f>IF(C$44="Jalisco", SUMIFS(Captura_Jalisco!G:G, Captura_Jalisco!B:B, "Salida", Captura_Jalisco!A:A, "&gt;="&amp;A50, Captura_Jalisco!A:A, "&lt;="&amp;(A50+5)), IF(C$44="Todas", SUMIFS(Captura_Obra!F:F, Captura_Obra!A:A, "&gt;="&amp;A50, Captura_Obra!A:A, "&lt;="&amp;(A50+5)) + SUMIFS(Captura_Jalisco!G:G, Captura_Jalisco!B:B, "Salida", Captura_Jalisco!A:A, "&gt;="&amp;A50, Captura_Jalisco!A:A, "&lt;="&amp;(A50+5)), SUMIFS(Captura_Obra!F:F, Captura_Obra!B:B, C$44, Captura_Obra!A:A, "&gt;="&amp;A50, Captura_Obra!A:A, "&lt;="&amp;(A50+5))))</f>
        <v>180</v>
      </c>
      <c r="D50" s="517">
        <f>C$45</f>
        <v>27</v>
      </c>
      <c r="E50" s="518">
        <f>C50*D50</f>
        <v>4860</v>
      </c>
      <c r="F50" s="519">
        <f>IF(OR(C$44="Jalisco", C$44="Todas"), SUMIFS(Captura_Jalisco!$N$5:$N$250, Captura_Jalisco!$A$5:$A$250, "&gt;="&amp;A50, Captura_Jalisco!$A$5:$A$250, "&lt;="&amp;(A50+5)), 0)</f>
        <v>1556</v>
      </c>
      <c r="G50" s="569">
        <f>IF(OR(C$44="Jalisco", C$44="Todas"), B50-E50-F50, "")</f>
        <v>-24668</v>
      </c>
      <c r="H50" s="520">
        <f>IF(OR(C$44="Jalisco", C$44="Todas"), SUMIFS(Captura_Jalisco!$M$5:$M$250, Captura_Jalisco!$A$5:$A$250, "&gt;="&amp;A50, Captura_Jalisco!$A$5:$A$250, "&lt;="&amp;(A50+5)), 0)</f>
        <v>72</v>
      </c>
      <c r="I50" s="577">
        <f t="shared" ref="I50:I51" si="15">I49+C50</f>
        <v>1560</v>
      </c>
      <c r="J50" s="561"/>
    </row>
    <row r="51" spans="1:12" ht="16.8">
      <c r="A51" s="515">
        <v>46188</v>
      </c>
      <c r="B51" s="570">
        <f>IF(OR(C$44="Jalisco", C$44="Todas"), G50+H50, "")</f>
        <v>-24596</v>
      </c>
      <c r="C51" s="521">
        <f>IF(C$44="Jalisco", SUMIFS(Captura_Jalisco!G:G, Captura_Jalisco!B:B, "Salida", Captura_Jalisco!A:A, "&gt;="&amp;DATE(2026,6,15), Captura_Jalisco!A:A, "&lt;="&amp;DATE(2026,6,18)), IF(C$44="Todas", SUMIFS(Captura_Obra!F:F, Captura_Obra!A:A, "&gt;="&amp;DATE(2026,6,15), Captura_Obra!A:A, "&lt;="&amp;DATE(2026,6,18)) + SUMIFS(Captura_Jalisco!G:G, Captura_Jalisco!B:B, "Salida", Captura_Jalisco!A:A, "&gt;="&amp;DATE(2026,6,15), Captura_Jalisco!A:A, "&lt;="&amp;DATE(2026,6,18)), SUMIFS(Captura_Obra!F:F, Captura_Obra!B:B, C$44, Captura_Obra!A:A, "&gt;="&amp;DATE(2026,6,15), Captura_Obra!A:A, "&lt;="&amp;DATE(2026,6,18))))</f>
        <v>690</v>
      </c>
      <c r="D51" s="522">
        <f>C$45</f>
        <v>27</v>
      </c>
      <c r="E51" s="523">
        <f>C51*D51</f>
        <v>18630</v>
      </c>
      <c r="F51" s="524">
        <f>IF(OR(C$44="Jalisco", C$44="Todas"), SUMIFS(Captura_Jalisco!$N$5:$N$250, Captura_Jalisco!$A$5:$A$250, "&gt;="&amp;DATE(2026,6,15), Captura_Jalisco!$A$5:$A$250, "&lt;="&amp;DATE(2026,6,18)), 0)</f>
        <v>3700</v>
      </c>
      <c r="G51" s="571">
        <f>IF(OR(C$44="Jalisco", C$44="Todas"), B51-E51-F51, "")</f>
        <v>-46926</v>
      </c>
      <c r="H51" s="525">
        <f>IF(OR(C$44="Jalisco", C$44="Todas"), SUMIFS(Captura_Jalisco!$M$5:$M$250, Captura_Jalisco!$A$5:$A$250, "&gt;="&amp;DATE(2026,6,15), Captura_Jalisco!$A$5:$A$250, "&lt;="&amp;DATE(2026,6,18)), 0)</f>
        <v>200</v>
      </c>
      <c r="I51" s="577">
        <f t="shared" si="15"/>
        <v>2250</v>
      </c>
      <c r="J51" s="562"/>
    </row>
    <row r="52" spans="1:12" ht="16.8">
      <c r="A52" s="526" t="s">
        <v>187</v>
      </c>
      <c r="B52" s="572">
        <f>IF(OR(C$44="Jalisco", C$44="Todas"), B48, "")</f>
        <v>21600</v>
      </c>
      <c r="C52" s="527">
        <f>SUM(C48:C51)</f>
        <v>2250</v>
      </c>
      <c r="D52" s="528"/>
      <c r="E52" s="529">
        <f>SUM(E48:E51)</f>
        <v>60750</v>
      </c>
      <c r="F52" s="530">
        <f>SUM(F48:F51)</f>
        <v>8256</v>
      </c>
      <c r="G52" s="573">
        <f>IF(OR(C$44="Jalisco", C$44="Todas"), G51, "")</f>
        <v>-46926</v>
      </c>
      <c r="H52" s="531">
        <f>SUM(H48:H51)</f>
        <v>680</v>
      </c>
      <c r="I52" s="531">
        <f>I51</f>
        <v>2250</v>
      </c>
      <c r="J52" s="563"/>
    </row>
    <row r="54" spans="1:12" ht="16.8">
      <c r="B54" s="17727" t="s">
        <v>351</v>
      </c>
      <c r="C54" s="17728"/>
      <c r="D54" s="17729"/>
      <c r="E54" s="17730"/>
      <c r="F54" s="17731"/>
      <c r="G54" s="17732"/>
      <c r="H54" s="17733"/>
      <c r="I54" s="17734"/>
      <c r="J54" s="17735"/>
      <c r="K54" s="17736"/>
      <c r="L54" s="2023"/>
    </row>
    <row r="55" spans="1:12" ht="15.6">
      <c r="A55" s="17815" t="s">
        <v>745</v>
      </c>
      <c r="B55" s="17816"/>
      <c r="C55" s="17817"/>
      <c r="D55" s="17818"/>
      <c r="E55" s="17819"/>
      <c r="F55" s="17820"/>
      <c r="G55" s="17821"/>
      <c r="H55" s="15890"/>
      <c r="I55" s="15891"/>
      <c r="J55" s="15892"/>
      <c r="K55" s="15893"/>
      <c r="L55" s="15894"/>
    </row>
    <row r="56" spans="1:12" ht="28.8">
      <c r="A56" s="17822" t="s">
        <v>746</v>
      </c>
      <c r="B56" s="17823"/>
      <c r="C56" s="17824" t="s">
        <v>747</v>
      </c>
      <c r="D56" s="17825"/>
      <c r="E56" s="17826"/>
      <c r="F56" s="17827"/>
      <c r="G56" s="17828" t="s">
        <v>748</v>
      </c>
      <c r="H56" s="17829"/>
      <c r="I56" s="17830"/>
      <c r="J56" s="17831"/>
      <c r="K56" s="15895"/>
      <c r="L56" s="15896"/>
    </row>
    <row r="57" spans="1:12" ht="28.8">
      <c r="A57" s="15897" t="s">
        <v>133</v>
      </c>
      <c r="B57" s="15898" t="s">
        <v>11</v>
      </c>
      <c r="C57" s="15899" t="s">
        <v>749</v>
      </c>
      <c r="D57" s="15900" t="s">
        <v>750</v>
      </c>
      <c r="E57" s="15901" t="s">
        <v>751</v>
      </c>
      <c r="F57" s="15902" t="s">
        <v>752</v>
      </c>
      <c r="G57" s="15903" t="s">
        <v>749</v>
      </c>
      <c r="H57" s="15904" t="s">
        <v>753</v>
      </c>
      <c r="I57" s="15905" t="s">
        <v>751</v>
      </c>
      <c r="J57" s="15906" t="s">
        <v>752</v>
      </c>
      <c r="K57" s="15907"/>
      <c r="L57" s="15908"/>
    </row>
    <row r="58" spans="1:12" ht="16.8">
      <c r="A58" s="15909" t="s">
        <v>140</v>
      </c>
      <c r="B58" s="15910">
        <f>$C$5+0</f>
        <v>46195</v>
      </c>
      <c r="C58" s="15911">
        <v>6036.51</v>
      </c>
      <c r="D58" s="15912">
        <v>0</v>
      </c>
      <c r="E58" s="15913">
        <f>SUMIFS(Captura_Obra!$F:$F, Captura_Obra!$A:$A, B58, Captura_Obra!$C:$C, "*Pegaso*")</f>
        <v>552</v>
      </c>
      <c r="F58" s="15914">
        <f t="shared" ref="F58:F64" si="16">C58 + D58 - E58</f>
        <v>5484.51</v>
      </c>
      <c r="G58" s="15915" t="e">
        <f>SUMIFS(Captura_Marimba_M01!$F:$F, Captura_Marimba_M01!$A:$A, "&lt;"&amp;B58) - SUMIFS(Captura_Obra!$F:$F, Captura_Obra!$A:$A, "&lt;"&amp;B58, Captura_Obra!$C:$C, "*Marimba*")</f>
        <v>#REF!</v>
      </c>
      <c r="H58" s="15916">
        <f>SUMIFS(Captura_Marimba_M01!$F:$F, Captura_Marimba_M01!$A:$A, B58)</f>
        <v>0</v>
      </c>
      <c r="I58" s="15917">
        <f>SUMIFS(Captura_Obra!$F:$F, Captura_Obra!$A:$A, B58, Captura_Obra!$C:$C, "*Marimba*")</f>
        <v>766</v>
      </c>
      <c r="J58" s="15918" t="e">
        <f t="shared" ref="J58:J64" si="17">G58 + H58 - I58</f>
        <v>#REF!</v>
      </c>
      <c r="K58" s="15919"/>
      <c r="L58" s="15920"/>
    </row>
    <row r="59" spans="1:12" ht="16.8">
      <c r="A59" s="15921" t="s">
        <v>141</v>
      </c>
      <c r="B59" s="15922">
        <f>$C$5+1</f>
        <v>46196</v>
      </c>
      <c r="C59" s="15923">
        <f t="shared" ref="C59:C64" si="18">F58</f>
        <v>5484.51</v>
      </c>
      <c r="D59" s="15924">
        <f>SUMIFS(Captura_Pegaso!$G:$G, Captura_Pegaso!$A:$A, B59)</f>
        <v>0</v>
      </c>
      <c r="E59" s="15925">
        <f>SUMIFS(Captura_Obra!$F:$F, Captura_Obra!$A:$A, B59, Captura_Obra!$C:$C, "*Pegaso*")</f>
        <v>651</v>
      </c>
      <c r="F59" s="15926">
        <f t="shared" si="16"/>
        <v>4833.51</v>
      </c>
      <c r="G59" s="15927" t="e">
        <f t="shared" ref="G59:G64" si="19">J58</f>
        <v>#REF!</v>
      </c>
      <c r="H59" s="15928">
        <f>SUMIFS(Captura_Marimba_M01!$F:$F, Captura_Marimba_M01!$A:$A, B59)</f>
        <v>0</v>
      </c>
      <c r="I59" s="15929">
        <f>SUMIFS(Captura_Obra!$F:$F, Captura_Obra!$A:$A, B59, Captura_Obra!$C:$C, "*Marimba*")</f>
        <v>102</v>
      </c>
      <c r="J59" s="15930" t="e">
        <f t="shared" si="17"/>
        <v>#REF!</v>
      </c>
      <c r="K59" s="15931"/>
      <c r="L59" s="15932"/>
    </row>
    <row r="60" spans="1:12" ht="16.8">
      <c r="A60" s="15933" t="s">
        <v>142</v>
      </c>
      <c r="B60" s="15934">
        <f>$C$5+2</f>
        <v>46197</v>
      </c>
      <c r="C60" s="15935">
        <f t="shared" si="18"/>
        <v>4833.51</v>
      </c>
      <c r="D60" s="15936">
        <f>SUMIFS(Captura_Pegaso!$G:$G, Captura_Pegaso!$A:$A, B60)</f>
        <v>0</v>
      </c>
      <c r="E60" s="15937">
        <f>SUMIFS(Captura_Obra!$F:$F, Captura_Obra!$A:$A, B60, Captura_Obra!$C:$C, "*Pegaso*")</f>
        <v>551</v>
      </c>
      <c r="F60" s="15938">
        <f t="shared" si="16"/>
        <v>4282.51</v>
      </c>
      <c r="G60" s="15939" t="e">
        <f t="shared" si="19"/>
        <v>#REF!</v>
      </c>
      <c r="H60" s="15940">
        <f>SUMIFS(Captura_Marimba_M01!$F:$F, Captura_Marimba_M01!$A:$A, B60)</f>
        <v>0</v>
      </c>
      <c r="I60" s="15941">
        <f>SUMIFS(Captura_Obra!$F:$F, Captura_Obra!$A:$A, B60, Captura_Obra!$C:$C, "*Marimba*")</f>
        <v>471</v>
      </c>
      <c r="J60" s="15942" t="e">
        <f t="shared" si="17"/>
        <v>#REF!</v>
      </c>
      <c r="K60" s="15943"/>
      <c r="L60" s="15944"/>
    </row>
    <row r="61" spans="1:12" ht="16.8">
      <c r="A61" s="15945" t="s">
        <v>143</v>
      </c>
      <c r="B61" s="15946">
        <f>$C$5+3</f>
        <v>46198</v>
      </c>
      <c r="C61" s="15947">
        <f t="shared" si="18"/>
        <v>4282.51</v>
      </c>
      <c r="D61" s="15948">
        <f>SUMIFS(Captura_Pegaso!$G:$G, Captura_Pegaso!$A:$A, B61)</f>
        <v>0</v>
      </c>
      <c r="E61" s="15949">
        <f>SUMIFS(Captura_Obra!$F:$F, Captura_Obra!$A:$A, B61, Captura_Obra!$C:$C, "*Pegaso*")</f>
        <v>1986</v>
      </c>
      <c r="F61" s="15950">
        <f t="shared" si="16"/>
        <v>2296.5100000000002</v>
      </c>
      <c r="G61" s="15951" t="e">
        <f t="shared" si="19"/>
        <v>#REF!</v>
      </c>
      <c r="H61" s="15952">
        <f>SUMIFS(Captura_Marimba_M01!$F:$F, Captura_Marimba_M01!$A:$A, B61)</f>
        <v>0</v>
      </c>
      <c r="I61" s="15953">
        <f>SUMIFS(Captura_Obra!$F:$F, Captura_Obra!$A:$A, B61, Captura_Obra!$C:$C, "*Marimba*")</f>
        <v>150</v>
      </c>
      <c r="J61" s="15954" t="e">
        <f t="shared" si="17"/>
        <v>#REF!</v>
      </c>
      <c r="K61" s="15955"/>
      <c r="L61" s="15956"/>
    </row>
    <row r="62" spans="1:12" ht="16.8">
      <c r="A62" s="15957" t="s">
        <v>144</v>
      </c>
      <c r="B62" s="15958">
        <f>$C$5+4</f>
        <v>46199</v>
      </c>
      <c r="C62" s="15959">
        <f t="shared" si="18"/>
        <v>2296.5100000000002</v>
      </c>
      <c r="D62" s="15960">
        <f>SUMIFS(Captura_Pegaso!$G:$G, Captura_Pegaso!$A:$A, B62)</f>
        <v>0</v>
      </c>
      <c r="E62" s="15961">
        <f>SUMIFS(Captura_Obra!$F:$F, Captura_Obra!$A:$A, B62, Captura_Obra!$C:$C, "*Pegaso*")</f>
        <v>1368</v>
      </c>
      <c r="F62" s="15962">
        <f t="shared" si="16"/>
        <v>928.51000000000022</v>
      </c>
      <c r="G62" s="15963" t="e">
        <f t="shared" si="19"/>
        <v>#REF!</v>
      </c>
      <c r="H62" s="15964">
        <f>SUMIFS(Captura_Marimba_M01!$F:$F, Captura_Marimba_M01!$A:$A, B62)</f>
        <v>0</v>
      </c>
      <c r="I62" s="15965">
        <f>SUMIFS(Captura_Obra!$F:$F, Captura_Obra!$A:$A, B62, Captura_Obra!$C:$C, "*Marimba*")</f>
        <v>478</v>
      </c>
      <c r="J62" s="15966" t="e">
        <f t="shared" si="17"/>
        <v>#REF!</v>
      </c>
      <c r="K62" s="15967"/>
      <c r="L62" s="15968"/>
    </row>
    <row r="63" spans="1:12" ht="16.8">
      <c r="A63" s="15969" t="s">
        <v>145</v>
      </c>
      <c r="B63" s="15970">
        <f>$C$5+5</f>
        <v>46200</v>
      </c>
      <c r="C63" s="15971">
        <f t="shared" si="18"/>
        <v>928.51000000000022</v>
      </c>
      <c r="D63" s="15972">
        <f>SUMIFS(Captura_Pegaso!$G:$G, Captura_Pegaso!$A:$A, B63)</f>
        <v>0</v>
      </c>
      <c r="E63" s="15973">
        <f>SUMIFS(Captura_Obra!$F:$F, Captura_Obra!$A:$A, B63, Captura_Obra!$C:$C, "*Pegaso*")</f>
        <v>0</v>
      </c>
      <c r="F63" s="15974">
        <f t="shared" si="16"/>
        <v>928.51000000000022</v>
      </c>
      <c r="G63" s="15975" t="e">
        <f t="shared" si="19"/>
        <v>#REF!</v>
      </c>
      <c r="H63" s="15976">
        <f>SUMIFS(Captura_Marimba_M01!$F:$F, Captura_Marimba_M01!$A:$A, B63)</f>
        <v>0</v>
      </c>
      <c r="I63" s="15977">
        <f>SUMIFS(Captura_Obra!$F:$F, Captura_Obra!$A:$A, B63, Captura_Obra!$C:$C, "*Marimba*")</f>
        <v>192</v>
      </c>
      <c r="J63" s="15978" t="e">
        <f t="shared" si="17"/>
        <v>#REF!</v>
      </c>
      <c r="K63" s="15979"/>
      <c r="L63" s="15980"/>
    </row>
    <row r="64" spans="1:12" ht="16.8">
      <c r="A64" s="15981" t="s">
        <v>742</v>
      </c>
      <c r="B64" s="15982">
        <f>$C$5+6</f>
        <v>46201</v>
      </c>
      <c r="C64" s="15983">
        <f t="shared" si="18"/>
        <v>928.51000000000022</v>
      </c>
      <c r="D64" s="15984">
        <f>SUMIFS(Captura_Pegaso!$G:$G, Captura_Pegaso!$A:$A, B64)</f>
        <v>0</v>
      </c>
      <c r="E64" s="15985">
        <f>SUMIFS(Captura_Obra!$F:$F, Captura_Obra!$A:$A, B64, Captura_Obra!$C:$C, "*Pegaso*")</f>
        <v>0</v>
      </c>
      <c r="F64" s="15986">
        <f t="shared" si="16"/>
        <v>928.51000000000022</v>
      </c>
      <c r="G64" s="15987" t="e">
        <f t="shared" si="19"/>
        <v>#REF!</v>
      </c>
      <c r="H64" s="15988">
        <f>SUMIFS(Captura_Marimba_M01!$F:$F, Captura_Marimba_M01!$A:$A, B64)</f>
        <v>0</v>
      </c>
      <c r="I64" s="15989">
        <f>SUMIFS(Captura_Obra!$F:$F, Captura_Obra!$A:$A, B64, Captura_Obra!$C:$C, "*Marimba*")</f>
        <v>0</v>
      </c>
      <c r="J64" s="15990" t="e">
        <f t="shared" si="17"/>
        <v>#REF!</v>
      </c>
      <c r="K64" s="15991"/>
      <c r="L64" s="15992"/>
    </row>
    <row r="65" spans="1:12" ht="16.8">
      <c r="A65" s="15993" t="s">
        <v>146</v>
      </c>
      <c r="B65" s="15994"/>
      <c r="C65" s="15995"/>
      <c r="D65" s="15996">
        <f>SUM(D58:D64)</f>
        <v>0</v>
      </c>
      <c r="E65" s="15997">
        <f>SUM(E58:E64)</f>
        <v>5108</v>
      </c>
      <c r="F65" s="15998"/>
      <c r="G65" s="15999"/>
      <c r="H65" s="16000">
        <f>SUM(H58:H64)</f>
        <v>0</v>
      </c>
      <c r="I65" s="16001">
        <f>SUM(I58:I64)</f>
        <v>2159</v>
      </c>
      <c r="J65" s="16002"/>
      <c r="K65" s="16003"/>
      <c r="L65" s="16004"/>
    </row>
    <row r="66" spans="1:12" ht="16.8">
      <c r="B66" s="2024"/>
      <c r="C66" s="2025"/>
      <c r="D66" s="2026"/>
      <c r="E66" s="2027"/>
      <c r="F66" s="2028"/>
      <c r="G66" s="2029"/>
      <c r="H66" s="2030"/>
      <c r="I66" s="2031"/>
      <c r="J66" s="2032"/>
      <c r="K66" s="2033"/>
      <c r="L66" s="2034"/>
    </row>
    <row r="67" spans="1:12" ht="16.8">
      <c r="B67" s="2035"/>
      <c r="C67" s="2036"/>
      <c r="D67" s="2037"/>
      <c r="E67" s="2038"/>
      <c r="F67" s="2039"/>
      <c r="G67" s="2040"/>
      <c r="H67" s="2041"/>
      <c r="I67" s="2042"/>
      <c r="J67" s="2043"/>
      <c r="K67" s="2044"/>
      <c r="L67" s="2045"/>
    </row>
    <row r="68" spans="1:12" ht="16.8">
      <c r="B68" s="2046"/>
      <c r="C68" s="2047"/>
      <c r="D68" s="2048"/>
      <c r="E68" s="2049"/>
      <c r="F68" s="2050"/>
      <c r="G68" s="2051"/>
      <c r="H68" s="2052"/>
      <c r="I68" s="2053"/>
      <c r="J68" s="2054"/>
      <c r="K68" s="2055"/>
      <c r="L68" s="2056"/>
    </row>
    <row r="69" spans="1:12" ht="16.8">
      <c r="B69" s="2057"/>
      <c r="C69" s="2058"/>
      <c r="D69" s="2059"/>
      <c r="E69" s="2060"/>
      <c r="F69" s="2061"/>
      <c r="G69" s="2062"/>
      <c r="H69" s="2063"/>
      <c r="I69" s="2064"/>
      <c r="J69" s="2065"/>
      <c r="K69" s="2066"/>
      <c r="L69" s="2067"/>
    </row>
    <row r="70" spans="1:12" ht="16.8">
      <c r="B70" s="2068"/>
      <c r="C70" s="2069"/>
      <c r="D70" s="2070"/>
      <c r="E70" s="2071"/>
      <c r="F70" s="2072"/>
      <c r="G70" s="2073"/>
      <c r="H70" s="2074"/>
      <c r="I70" s="2075"/>
      <c r="J70" s="2076"/>
      <c r="K70" s="2077"/>
      <c r="L70" s="2078"/>
    </row>
    <row r="71" spans="1:12" ht="16.8">
      <c r="B71" s="2079"/>
      <c r="C71" s="2080"/>
      <c r="D71" s="2081"/>
      <c r="E71" s="2082"/>
      <c r="F71" s="2083"/>
      <c r="G71" s="2084"/>
      <c r="H71" s="2085"/>
      <c r="I71" s="2086"/>
      <c r="J71" s="2087"/>
      <c r="K71" s="2088"/>
      <c r="L71" s="2089"/>
    </row>
    <row r="72" spans="1:12" ht="16.8">
      <c r="B72" s="2090"/>
      <c r="C72" s="2091"/>
      <c r="D72" s="2092"/>
      <c r="E72" s="2093"/>
      <c r="F72" s="2094"/>
      <c r="G72" s="2095"/>
      <c r="H72" s="2096"/>
      <c r="I72" s="2097"/>
      <c r="J72" s="2098"/>
      <c r="K72" s="2099"/>
      <c r="L72" s="2100"/>
    </row>
    <row r="73" spans="1:12" ht="16.8">
      <c r="B73" s="2101"/>
      <c r="C73" s="2102"/>
      <c r="D73" s="2103"/>
      <c r="E73" s="2104"/>
      <c r="F73" s="2105"/>
      <c r="G73" s="2106"/>
      <c r="H73" s="2107"/>
      <c r="I73" s="2108"/>
      <c r="J73" s="2109"/>
      <c r="K73" s="2110"/>
      <c r="L73" s="2111"/>
    </row>
    <row r="74" spans="1:12" ht="16.8">
      <c r="B74" s="2112"/>
      <c r="C74" s="2113"/>
      <c r="D74" s="2114"/>
      <c r="E74" s="2115"/>
      <c r="F74" s="2116"/>
      <c r="G74" s="2117"/>
      <c r="H74" s="2118"/>
      <c r="I74" s="2119"/>
      <c r="J74" s="2120"/>
      <c r="K74" s="2121"/>
      <c r="L74" s="2122"/>
    </row>
    <row r="75" spans="1:12" ht="16.8">
      <c r="B75" s="2123"/>
      <c r="C75" s="2124"/>
      <c r="D75" s="2125"/>
      <c r="E75" s="2126"/>
      <c r="F75" s="2127"/>
      <c r="G75" s="2128"/>
      <c r="H75" s="2129"/>
      <c r="I75" s="2130"/>
      <c r="J75" s="2131"/>
      <c r="K75" s="2132"/>
      <c r="L75" s="2133"/>
    </row>
    <row r="76" spans="1:12" ht="16.8">
      <c r="B76" s="2134"/>
      <c r="C76" s="2135"/>
      <c r="D76" s="2136"/>
      <c r="E76" s="2137"/>
      <c r="F76" s="2138"/>
      <c r="G76" s="2139"/>
      <c r="H76" s="2140"/>
      <c r="I76" s="2141"/>
      <c r="J76" s="2142"/>
      <c r="K76" s="2143"/>
      <c r="L76" s="2144"/>
    </row>
    <row r="77" spans="1:12" ht="16.8">
      <c r="B77" s="2145"/>
      <c r="C77" s="2146"/>
      <c r="D77" s="2147"/>
      <c r="E77" s="2148"/>
      <c r="F77" s="2149"/>
      <c r="G77" s="2150"/>
      <c r="H77" s="2151"/>
      <c r="I77" s="2152"/>
      <c r="J77" s="2153"/>
      <c r="K77" s="2154"/>
      <c r="L77" s="2155"/>
    </row>
    <row r="78" spans="1:12" ht="16.8">
      <c r="B78" s="2156"/>
      <c r="C78" s="2157"/>
      <c r="D78" s="2158"/>
      <c r="E78" s="2159"/>
      <c r="F78" s="2160"/>
      <c r="G78" s="2161"/>
      <c r="H78" s="2162"/>
      <c r="I78" s="2163"/>
      <c r="J78" s="2164"/>
      <c r="K78" s="2165"/>
      <c r="L78" s="2166"/>
    </row>
    <row r="79" spans="1:12" ht="16.8">
      <c r="B79" s="2167"/>
      <c r="C79" s="2168"/>
      <c r="D79" s="2169"/>
      <c r="E79" s="2170"/>
      <c r="F79" s="2171"/>
      <c r="G79" s="2172"/>
      <c r="H79" s="2173"/>
      <c r="I79" s="2174"/>
      <c r="J79" s="2175"/>
      <c r="K79" s="2176"/>
      <c r="L79" s="2177"/>
    </row>
    <row r="80" spans="1:12" ht="16.8">
      <c r="B80" s="2178"/>
      <c r="C80" s="2179"/>
      <c r="D80" s="2180"/>
      <c r="E80" s="2181"/>
      <c r="F80" s="2182"/>
      <c r="G80" s="2183"/>
      <c r="H80" s="2184"/>
      <c r="I80" s="2185"/>
      <c r="J80" s="2186"/>
      <c r="K80" s="2187"/>
      <c r="L80" s="2188"/>
    </row>
    <row r="81" spans="2:12" ht="16.8">
      <c r="B81" s="2189"/>
      <c r="C81" s="2190"/>
      <c r="D81" s="2191"/>
      <c r="E81" s="2192"/>
      <c r="F81" s="2193"/>
      <c r="G81" s="2194"/>
      <c r="H81" s="2195"/>
      <c r="I81" s="2196"/>
      <c r="J81" s="2197"/>
      <c r="K81" s="2198"/>
      <c r="L81" s="2199"/>
    </row>
    <row r="82" spans="2:12" ht="16.8">
      <c r="B82" s="2200"/>
      <c r="C82" s="2201"/>
      <c r="D82" s="2202"/>
      <c r="E82" s="2203"/>
      <c r="F82" s="2204"/>
      <c r="G82" s="2205"/>
      <c r="H82" s="2206"/>
      <c r="I82" s="2207"/>
      <c r="J82" s="2208"/>
      <c r="K82" s="2209"/>
      <c r="L82" s="2210"/>
    </row>
    <row r="83" spans="2:12" ht="16.8">
      <c r="B83" s="2211"/>
      <c r="C83" s="2212"/>
      <c r="D83" s="2213"/>
      <c r="E83" s="2214"/>
      <c r="F83" s="2215"/>
      <c r="G83" s="2216"/>
      <c r="H83" s="2217"/>
      <c r="I83" s="2218"/>
      <c r="J83" s="2219"/>
      <c r="K83" s="2220"/>
      <c r="L83" s="2221"/>
    </row>
    <row r="84" spans="2:12" ht="16.8">
      <c r="B84" s="2222"/>
      <c r="C84" s="2223"/>
      <c r="D84" s="2224"/>
      <c r="E84" s="2225"/>
      <c r="F84" s="2226"/>
      <c r="G84" s="2227"/>
      <c r="H84" s="2228"/>
      <c r="I84" s="2229"/>
      <c r="J84" s="2230"/>
      <c r="K84" s="2231"/>
      <c r="L84" s="2232"/>
    </row>
    <row r="85" spans="2:12" ht="16.8">
      <c r="B85" s="2233"/>
      <c r="C85" s="2234"/>
      <c r="D85" s="2235"/>
      <c r="E85" s="2236"/>
      <c r="F85" s="2237"/>
      <c r="G85" s="2238"/>
      <c r="H85" s="2239"/>
      <c r="I85" s="2240"/>
      <c r="J85" s="2241"/>
      <c r="K85" s="2242"/>
      <c r="L85" s="2243"/>
    </row>
    <row r="86" spans="2:12" ht="16.8">
      <c r="B86" s="2244"/>
      <c r="C86" s="2245"/>
      <c r="D86" s="2246"/>
      <c r="E86" s="2247"/>
      <c r="F86" s="2248"/>
      <c r="G86" s="2249"/>
      <c r="H86" s="2250"/>
      <c r="I86" s="2251"/>
      <c r="J86" s="2252"/>
      <c r="K86" s="2253"/>
      <c r="L86" s="2254"/>
    </row>
    <row r="87" spans="2:12" ht="16.8">
      <c r="B87" s="2255"/>
      <c r="C87" s="2256"/>
      <c r="D87" s="2257"/>
      <c r="E87" s="2258"/>
      <c r="F87" s="2259"/>
      <c r="G87" s="2260"/>
      <c r="H87" s="2261"/>
      <c r="I87" s="2262"/>
      <c r="J87" s="2263"/>
      <c r="K87" s="2264"/>
      <c r="L87" s="2265"/>
    </row>
    <row r="88" spans="2:12" ht="16.8">
      <c r="B88" s="17737"/>
      <c r="C88" s="17738"/>
      <c r="D88" s="2266"/>
      <c r="E88" s="2267"/>
      <c r="F88" s="2268"/>
      <c r="G88" s="2269"/>
      <c r="H88" s="2270"/>
      <c r="I88" s="2271"/>
      <c r="J88" s="2272"/>
      <c r="K88" s="2273"/>
      <c r="L88" s="22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0"/>
  <sheetViews>
    <sheetView workbookViewId="0"/>
  </sheetViews>
  <sheetFormatPr baseColWidth="10" defaultRowHeight="13.8"/>
  <sheetData>
    <row r="1" spans="1:11" ht="21">
      <c r="A1" s="17843" t="s">
        <v>411</v>
      </c>
    </row>
    <row r="3" spans="1:11" ht="41.4">
      <c r="A3" s="6510" t="s">
        <v>415</v>
      </c>
      <c r="B3" s="6511" t="s">
        <v>416</v>
      </c>
      <c r="C3" s="6512" t="s">
        <v>417</v>
      </c>
      <c r="D3" s="6513" t="s">
        <v>414</v>
      </c>
      <c r="E3" s="6514" t="s">
        <v>11</v>
      </c>
      <c r="F3" s="6515" t="s">
        <v>0</v>
      </c>
      <c r="G3" s="6516" t="s">
        <v>412</v>
      </c>
      <c r="H3" s="6517" t="s">
        <v>418</v>
      </c>
      <c r="I3" s="6518" t="s">
        <v>419</v>
      </c>
      <c r="J3" s="6519" t="s">
        <v>413</v>
      </c>
      <c r="K3" s="3812" t="s">
        <v>414</v>
      </c>
    </row>
    <row r="4" spans="1:11">
      <c r="A4" s="6520" t="str">
        <f>IF(Captura_Pegaso!A5="", "", "Pegaso")</f>
        <v>Pegaso</v>
      </c>
      <c r="B4" s="6521" t="str">
        <f>IF(Captura_Pegaso!A5="", "", Captura_Pegaso!N5)</f>
        <v>CP-BT-24-001</v>
      </c>
      <c r="C4" s="6522" t="str">
        <f>IF(Captura_Pegaso!A5="", "", IFERROR(LOOKUP(2, 1/((Captura_Obra!$A$5:$A$1000=E4)*(Captura_Obra!$B$5:$B$1000=F4)*(Captura_Obra!$D$5:$D$1000=G4)), Captura_Obra!$N$5:$N$1000), "No Reportado"))</f>
        <v>CO-BT-24-013</v>
      </c>
      <c r="D4" s="6523" t="str">
        <f>IF(Captura_Pegaso!A5="", "", IF(J4=0, "✅ Cuadrado", IF(I4=0, "❌ Falta en Obra", "⚠️ Dif")))</f>
        <v>✅ Cuadrado</v>
      </c>
      <c r="E4" s="6524">
        <f>IF(Captura_Pegaso!A5="", "", Captura_Pegaso!A5)</f>
        <v>46181</v>
      </c>
      <c r="F4" s="6525" t="str">
        <f>IF(Captura_Pegaso!A5="", "", Captura_Pegaso!D5)</f>
        <v>Bacheo Toluca</v>
      </c>
      <c r="G4" s="6526" t="str">
        <f>IF(Captura_Pegaso!A5="", "", Captura_Pegaso!E5)</f>
        <v>Bidones</v>
      </c>
      <c r="H4" s="6527">
        <f>IF(Captura_Pegaso!A5="", "", Captura_Pegaso!H5)</f>
        <v>100</v>
      </c>
      <c r="I4" s="6528">
        <f>IF(Captura_Pegaso!A5="", "", SUMIFS(Captura_Obra!$F:$F, Captura_Obra!$A:$A, E4, Captura_Obra!$B:$B, F4, Captura_Obra!$D:$D, G4))</f>
        <v>100</v>
      </c>
      <c r="J4" s="6529">
        <f>IF(Captura_Pegaso!A5="", "", H4 - I4)</f>
        <v>0</v>
      </c>
      <c r="K4" s="3813"/>
    </row>
    <row r="5" spans="1:11">
      <c r="A5" s="6530" t="str">
        <f>IF(Captura_Pegaso!A6="", "", "Pegaso")</f>
        <v>Pegaso</v>
      </c>
      <c r="B5" s="6531" t="str">
        <f>IF(Captura_Pegaso!A6="", "", Captura_Pegaso!N6)</f>
        <v>CP-PAP-24-002</v>
      </c>
      <c r="C5" s="6532" t="str">
        <f>IF(Captura_Pegaso!A6="", "", IFERROR(LOOKUP(2, 1/((Captura_Obra!$A$5:$A$1000=E5)*(Captura_Obra!$B$5:$B$1000=F5)*(Captura_Obra!$D$5:$D$1000=G5)), Captura_Obra!$N$5:$N$1000), "No Reportado"))</f>
        <v>No Reportado</v>
      </c>
      <c r="D5" s="6533" t="str">
        <f>IF(Captura_Pegaso!A6="", "", IF(J5=0, "✅ Cuadrado", IF(I5=0, "❌ Falta en Obra", "⚠️ Dif")))</f>
        <v>❌ Falta en Obra</v>
      </c>
      <c r="E5" s="6534">
        <f>IF(Captura_Pegaso!A6="", "", Captura_Pegaso!A6)</f>
        <v>46181</v>
      </c>
      <c r="F5" s="6535" t="str">
        <f>IF(Captura_Pegaso!A6="", "", Captura_Pegaso!D6)</f>
        <v>Planta Asfalto Pegaso</v>
      </c>
      <c r="G5" s="6536" t="str">
        <f>IF(Captura_Pegaso!A6="", "", Captura_Pegaso!E6)</f>
        <v>Bidones</v>
      </c>
      <c r="H5" s="6537">
        <f>IF(Captura_Pegaso!A6="", "", Captura_Pegaso!H6)</f>
        <v>200</v>
      </c>
      <c r="I5" s="6538">
        <f>IF(Captura_Pegaso!A6="", "", SUMIFS(Captura_Obra!$F:$F, Captura_Obra!$A:$A, E5, Captura_Obra!$B:$B, F5, Captura_Obra!$D:$D, G5))</f>
        <v>0</v>
      </c>
      <c r="J5" s="6539">
        <f>IF(Captura_Pegaso!A6="", "", H5 - I5)</f>
        <v>200</v>
      </c>
      <c r="K5" s="3814"/>
    </row>
    <row r="6" spans="1:11">
      <c r="A6" s="6540" t="str">
        <f>IF(Captura_Pegaso!A7="", "", "Pegaso")</f>
        <v>Pegaso</v>
      </c>
      <c r="B6" s="6541" t="str">
        <f>IF(Captura_Pegaso!A7="", "", Captura_Pegaso!N7)</f>
        <v>CP-PAP-24-003</v>
      </c>
      <c r="C6" s="6542" t="str">
        <f>IF(Captura_Pegaso!A7="", "", IFERROR(LOOKUP(2, 1/((Captura_Obra!$A$5:$A$1000=E6)*(Captura_Obra!$B$5:$B$1000=F6)*(Captura_Obra!$D$5:$D$1000=G6)), Captura_Obra!$N$5:$N$1000), "No Reportado"))</f>
        <v>No Reportado</v>
      </c>
      <c r="D6" s="6543" t="str">
        <f>IF(Captura_Pegaso!A7="", "", IF(J6=0, "✅ Cuadrado", IF(I6=0, "❌ Falta en Obra", "⚠️ Dif")))</f>
        <v>❌ Falta en Obra</v>
      </c>
      <c r="E6" s="6544">
        <f>IF(Captura_Pegaso!A7="", "", Captura_Pegaso!A7)</f>
        <v>46181</v>
      </c>
      <c r="F6" s="6545" t="str">
        <f>IF(Captura_Pegaso!A7="", "", Captura_Pegaso!D7)</f>
        <v>Planta Asfalto Pegaso</v>
      </c>
      <c r="G6" s="6546" t="str">
        <f>IF(Captura_Pegaso!A7="", "", Captura_Pegaso!E7)</f>
        <v>Bidones</v>
      </c>
      <c r="H6" s="6547">
        <f>IF(Captura_Pegaso!A7="", "", Captura_Pegaso!H7)</f>
        <v>209</v>
      </c>
      <c r="I6" s="6548">
        <f>IF(Captura_Pegaso!A7="", "", SUMIFS(Captura_Obra!$F:$F, Captura_Obra!$A:$A, E6, Captura_Obra!$B:$B, F6, Captura_Obra!$D:$D, G6))</f>
        <v>0</v>
      </c>
      <c r="J6" s="6549">
        <f>IF(Captura_Pegaso!A7="", "", H6 - I6)</f>
        <v>209</v>
      </c>
      <c r="K6" s="3815"/>
    </row>
    <row r="7" spans="1:11">
      <c r="A7" s="6550" t="str">
        <f>IF(Captura_Pegaso!A8="", "", "Pegaso")</f>
        <v>Pegaso</v>
      </c>
      <c r="B7" s="6551" t="str">
        <f>IF(Captura_Pegaso!A8="", "", Captura_Pegaso!N8)</f>
        <v>CP-FOL-24-004</v>
      </c>
      <c r="C7" s="6552" t="str">
        <f>IF(Captura_Pegaso!A8="", "", IFERROR(LOOKUP(2, 1/((Captura_Obra!$A$5:$A$1000=E7)*(Captura_Obra!$B$5:$B$1000=F7)*(Captura_Obra!$D$5:$D$1000=G7)), Captura_Obra!$N$5:$N$1000), "No Reportado"))</f>
        <v>No Reportado</v>
      </c>
      <c r="D7" s="6553" t="str">
        <f>IF(Captura_Pegaso!A8="", "", IF(J7=0, "✅ Cuadrado", IF(I7=0, "❌ Falta en Obra", "⚠️ Dif")))</f>
        <v>✅ Cuadrado</v>
      </c>
      <c r="E7" s="6554">
        <f>IF(Captura_Pegaso!A8="", "", Captura_Pegaso!A8)</f>
        <v>46181</v>
      </c>
      <c r="F7" s="6555">
        <f>IF(Captura_Pegaso!A8="", "", Captura_Pegaso!D8)</f>
        <v>0</v>
      </c>
      <c r="G7" s="6556">
        <f>IF(Captura_Pegaso!A8="", "", Captura_Pegaso!E8)</f>
        <v>0</v>
      </c>
      <c r="H7" s="6557">
        <f>IF(Captura_Pegaso!A8="", "", Captura_Pegaso!H8)</f>
        <v>0</v>
      </c>
      <c r="I7" s="6558">
        <f>IF(Captura_Pegaso!A8="", "", SUMIFS(Captura_Obra!$F:$F, Captura_Obra!$A:$A, E7, Captura_Obra!$B:$B, F7, Captura_Obra!$D:$D, G7))</f>
        <v>0</v>
      </c>
      <c r="J7" s="6559">
        <f>IF(Captura_Pegaso!A8="", "", H7 - I7)</f>
        <v>0</v>
      </c>
      <c r="K7" s="3816"/>
    </row>
    <row r="8" spans="1:11">
      <c r="A8" s="6560" t="str">
        <f>IF(Captura_Pegaso!A9="", "", "Pegaso")</f>
        <v>Pegaso</v>
      </c>
      <c r="B8" s="6561" t="str">
        <f>IF(Captura_Pegaso!A9="", "", Captura_Pegaso!N9)</f>
        <v>CP-BT-24-005</v>
      </c>
      <c r="C8" s="6562" t="str">
        <f>IF(Captura_Pegaso!A9="", "", IFERROR(LOOKUP(2, 1/((Captura_Obra!$A$5:$A$1000=E8)*(Captura_Obra!$B$5:$B$1000=F8)*(Captura_Obra!$D$5:$D$1000=G8)), Captura_Obra!$N$5:$N$1000), "No Reportado"))</f>
        <v>CO-BT-24-013</v>
      </c>
      <c r="D8" s="6563" t="str">
        <f>IF(Captura_Pegaso!A9="", "", IF(J8=0, "✅ Cuadrado", IF(I8=0, "❌ Falta en Obra", "⚠️ Dif")))</f>
        <v>⚠️ Dif</v>
      </c>
      <c r="E8" s="6564">
        <f>IF(Captura_Pegaso!A9="", "", Captura_Pegaso!A9)</f>
        <v>46181</v>
      </c>
      <c r="F8" s="6565" t="str">
        <f>IF(Captura_Pegaso!A9="", "", Captura_Pegaso!D9)</f>
        <v>Bacheo Toluca</v>
      </c>
      <c r="G8" s="6566" t="str">
        <f>IF(Captura_Pegaso!A9="", "", Captura_Pegaso!E9)</f>
        <v>Bidones</v>
      </c>
      <c r="H8" s="6567">
        <f>IF(Captura_Pegaso!A9="", "", Captura_Pegaso!H9)</f>
        <v>80</v>
      </c>
      <c r="I8" s="6568">
        <f>IF(Captura_Pegaso!A9="", "", SUMIFS(Captura_Obra!$F:$F, Captura_Obra!$A:$A, E8, Captura_Obra!$B:$B, F8, Captura_Obra!$D:$D, G8))</f>
        <v>100</v>
      </c>
      <c r="J8" s="6569">
        <f>IF(Captura_Pegaso!A9="", "", H8 - I8)</f>
        <v>-20</v>
      </c>
      <c r="K8" s="3817"/>
    </row>
    <row r="9" spans="1:11">
      <c r="A9" s="6570" t="str">
        <f>IF(Captura_Pegaso!A10="", "", "Pegaso")</f>
        <v>Pegaso</v>
      </c>
      <c r="B9" s="6571" t="str">
        <f>IF(Captura_Pegaso!A10="", "", Captura_Pegaso!N10)</f>
        <v>CP-LT-24-006</v>
      </c>
      <c r="C9" s="6572" t="str">
        <f>IF(Captura_Pegaso!A10="", "", IFERROR(LOOKUP(2, 1/((Captura_Obra!$A$5:$A$1000=E9)*(Captura_Obra!$B$5:$B$1000=F9)*(Captura_Obra!$D$5:$D$1000=G9)), Captura_Obra!$N$5:$N$1000), "No Reportado"))</f>
        <v>CO-LT-24-027</v>
      </c>
      <c r="D9" s="6573" t="str">
        <f>IF(Captura_Pegaso!A10="", "", IF(J9=0, "✅ Cuadrado", IF(I9=0, "❌ Falta en Obra", "⚠️ Dif")))</f>
        <v>✅ Cuadrado</v>
      </c>
      <c r="E9" s="6574">
        <f>IF(Captura_Pegaso!A10="", "", Captura_Pegaso!A10)</f>
        <v>46182</v>
      </c>
      <c r="F9" s="6575" t="str">
        <f>IF(Captura_Pegaso!A10="", "", Captura_Pegaso!D10)</f>
        <v>Lerma - Tres Marías</v>
      </c>
      <c r="G9" s="6576" t="str">
        <f>IF(Captura_Pegaso!A10="", "", Captura_Pegaso!E10)</f>
        <v>Retroexcavadora</v>
      </c>
      <c r="H9" s="6577">
        <f>IF(Captura_Pegaso!A10="", "", Captura_Pegaso!H10)</f>
        <v>70</v>
      </c>
      <c r="I9" s="6578">
        <f>IF(Captura_Pegaso!A10="", "", SUMIFS(Captura_Obra!$F:$F, Captura_Obra!$A:$A, E9, Captura_Obra!$B:$B, F9, Captura_Obra!$D:$D, G9))</f>
        <v>70</v>
      </c>
      <c r="J9" s="6579">
        <f>IF(Captura_Pegaso!A10="", "", H9 - I9)</f>
        <v>0</v>
      </c>
      <c r="K9" s="3818"/>
    </row>
    <row r="10" spans="1:11">
      <c r="A10" s="6580" t="str">
        <f>IF(Captura_Pegaso!A11="", "", "Pegaso")</f>
        <v>Pegaso</v>
      </c>
      <c r="B10" s="6581" t="str">
        <f>IF(Captura_Pegaso!A11="", "", Captura_Pegaso!N11)</f>
        <v>CP-LT-24-007</v>
      </c>
      <c r="C10" s="6582" t="str">
        <f>IF(Captura_Pegaso!A11="", "", IFERROR(LOOKUP(2, 1/((Captura_Obra!$A$5:$A$1000=E10)*(Captura_Obra!$B$5:$B$1000=F10)*(Captura_Obra!$D$5:$D$1000=G10)), Captura_Obra!$N$5:$N$1000), "No Reportado"))</f>
        <v>CO-LT-24-028</v>
      </c>
      <c r="D10" s="6583" t="str">
        <f>IF(Captura_Pegaso!A11="", "", IF(J10=0, "✅ Cuadrado", IF(I10=0, "❌ Falta en Obra", "⚠️ Dif")))</f>
        <v>✅ Cuadrado</v>
      </c>
      <c r="E10" s="6584">
        <f>IF(Captura_Pegaso!A11="", "", Captura_Pegaso!A11)</f>
        <v>46182</v>
      </c>
      <c r="F10" s="6585" t="str">
        <f>IF(Captura_Pegaso!A11="", "", Captura_Pegaso!D11)</f>
        <v>Lerma - Tres Marías</v>
      </c>
      <c r="G10" s="6586" t="str">
        <f>IF(Captura_Pegaso!A11="", "", Captura_Pegaso!E11)</f>
        <v>Doble Rodillo</v>
      </c>
      <c r="H10" s="6587">
        <f>IF(Captura_Pegaso!A11="", "", Captura_Pegaso!H11)</f>
        <v>50</v>
      </c>
      <c r="I10" s="6588">
        <f>IF(Captura_Pegaso!A11="", "", SUMIFS(Captura_Obra!$F:$F, Captura_Obra!$A:$A, E10, Captura_Obra!$B:$B, F10, Captura_Obra!$D:$D, G10))</f>
        <v>50</v>
      </c>
      <c r="J10" s="6589">
        <f>IF(Captura_Pegaso!A11="", "", H10 - I10)</f>
        <v>0</v>
      </c>
      <c r="K10" s="3819"/>
    </row>
    <row r="11" spans="1:11">
      <c r="A11" s="6590" t="str">
        <f>IF(Captura_Pegaso!A12="", "", "Pegaso")</f>
        <v>Pegaso</v>
      </c>
      <c r="B11" s="6591" t="str">
        <f>IF(Captura_Pegaso!A12="", "", Captura_Pegaso!N12)</f>
        <v>CP-LT-24-008</v>
      </c>
      <c r="C11" s="6592" t="str">
        <f>IF(Captura_Pegaso!A12="", "", IFERROR(LOOKUP(2, 1/((Captura_Obra!$A$5:$A$1000=E11)*(Captura_Obra!$B$5:$B$1000=F11)*(Captura_Obra!$D$5:$D$1000=G11)), Captura_Obra!$N$5:$N$1000), "No Reportado"))</f>
        <v>CO-LT-24-029</v>
      </c>
      <c r="D11" s="6593" t="str">
        <f>IF(Captura_Pegaso!A12="", "", IF(J11=0, "✅ Cuadrado", IF(I11=0, "❌ Falta en Obra", "⚠️ Dif")))</f>
        <v>✅ Cuadrado</v>
      </c>
      <c r="E11" s="6594">
        <f>IF(Captura_Pegaso!A12="", "", Captura_Pegaso!A12)</f>
        <v>46182</v>
      </c>
      <c r="F11" s="6595" t="str">
        <f>IF(Captura_Pegaso!A12="", "", Captura_Pegaso!D12)</f>
        <v>Lerma - Tres Marías</v>
      </c>
      <c r="G11" s="6596" t="str">
        <f>IF(Captura_Pegaso!A12="", "", Captura_Pegaso!E12)</f>
        <v>Petrolizadora</v>
      </c>
      <c r="H11" s="6597">
        <f>IF(Captura_Pegaso!A12="", "", Captura_Pegaso!H12)</f>
        <v>60</v>
      </c>
      <c r="I11" s="6598">
        <f>IF(Captura_Pegaso!A12="", "", SUMIFS(Captura_Obra!$F:$F, Captura_Obra!$A:$A, E11, Captura_Obra!$B:$B, F11, Captura_Obra!$D:$D, G11))</f>
        <v>60</v>
      </c>
      <c r="J11" s="6599">
        <f>IF(Captura_Pegaso!A12="", "", H11 - I11)</f>
        <v>0</v>
      </c>
      <c r="K11" s="3820"/>
    </row>
    <row r="12" spans="1:11">
      <c r="A12" s="6600" t="str">
        <f>IF(Captura_Pegaso!A13="", "", "Pegaso")</f>
        <v>Pegaso</v>
      </c>
      <c r="B12" s="6601" t="str">
        <f>IF(Captura_Pegaso!A13="", "", Captura_Pegaso!N13)</f>
        <v>CP-BT-24-009</v>
      </c>
      <c r="C12" s="6602" t="str">
        <f>IF(Captura_Pegaso!A13="", "", IFERROR(LOOKUP(2, 1/((Captura_Obra!$A$5:$A$1000=E12)*(Captura_Obra!$B$5:$B$1000=F12)*(Captura_Obra!$D$5:$D$1000=G12)), Captura_Obra!$N$5:$N$1000), "No Reportado"))</f>
        <v>CO-BT-24-033</v>
      </c>
      <c r="D12" s="6603" t="str">
        <f>IF(Captura_Pegaso!A13="", "", IF(J12=0, "✅ Cuadrado", IF(I12=0, "❌ Falta en Obra", "⚠️ Dif")))</f>
        <v>✅ Cuadrado</v>
      </c>
      <c r="E12" s="6604">
        <f>IF(Captura_Pegaso!A13="", "", Captura_Pegaso!A13)</f>
        <v>46183</v>
      </c>
      <c r="F12" s="6605" t="str">
        <f>IF(Captura_Pegaso!A13="", "", Captura_Pegaso!D13)</f>
        <v>Bacheo Toluca</v>
      </c>
      <c r="G12" s="6606" t="str">
        <f>IF(Captura_Pegaso!A13="", "", Captura_Pegaso!E13)</f>
        <v>Bidones</v>
      </c>
      <c r="H12" s="6607">
        <f>IF(Captura_Pegaso!A13="", "", Captura_Pegaso!H13)</f>
        <v>100</v>
      </c>
      <c r="I12" s="6608">
        <f>IF(Captura_Pegaso!A13="", "", SUMIFS(Captura_Obra!$F:$F, Captura_Obra!$A:$A, E12, Captura_Obra!$B:$B, F12, Captura_Obra!$D:$D, G12))</f>
        <v>100</v>
      </c>
      <c r="J12" s="6609">
        <f>IF(Captura_Pegaso!A13="", "", H12 - I12)</f>
        <v>0</v>
      </c>
      <c r="K12" s="3821"/>
    </row>
    <row r="13" spans="1:11">
      <c r="A13" s="6610" t="str">
        <f>IF(Captura_Pegaso!A14="", "", "Pegaso")</f>
        <v>Pegaso</v>
      </c>
      <c r="B13" s="6611" t="str">
        <f>IF(Captura_Pegaso!A14="", "", Captura_Pegaso!N14)</f>
        <v>CP-PAP-24-010</v>
      </c>
      <c r="C13" s="6612" t="str">
        <f>IF(Captura_Pegaso!A14="", "", IFERROR(LOOKUP(2, 1/((Captura_Obra!$A$5:$A$1000=E13)*(Captura_Obra!$B$5:$B$1000=F13)*(Captura_Obra!$D$5:$D$1000=G13)), Captura_Obra!$N$5:$N$1000), "No Reportado"))</f>
        <v>No Reportado</v>
      </c>
      <c r="D13" s="6613" t="str">
        <f>IF(Captura_Pegaso!A14="", "", IF(J13=0, "✅ Cuadrado", IF(I13=0, "❌ Falta en Obra", "⚠️ Dif")))</f>
        <v>❌ Falta en Obra</v>
      </c>
      <c r="E13" s="6614">
        <f>IF(Captura_Pegaso!A14="", "", Captura_Pegaso!A14)</f>
        <v>46184</v>
      </c>
      <c r="F13" s="6615" t="str">
        <f>IF(Captura_Pegaso!A14="", "", Captura_Pegaso!D14)</f>
        <v>Planta Asfalto Pegaso</v>
      </c>
      <c r="G13" s="6616" t="str">
        <f>IF(Captura_Pegaso!A14="", "", Captura_Pegaso!E14)</f>
        <v>PayLoder</v>
      </c>
      <c r="H13" s="6617">
        <f>IF(Captura_Pegaso!A14="", "", Captura_Pegaso!H14)</f>
        <v>238</v>
      </c>
      <c r="I13" s="6618">
        <f>IF(Captura_Pegaso!A14="", "", SUMIFS(Captura_Obra!$F:$F, Captura_Obra!$A:$A, E13, Captura_Obra!$B:$B, F13, Captura_Obra!$D:$D, G13))</f>
        <v>0</v>
      </c>
      <c r="J13" s="6619">
        <f>IF(Captura_Pegaso!A14="", "", H13 - I13)</f>
        <v>238</v>
      </c>
      <c r="K13" s="3822"/>
    </row>
    <row r="14" spans="1:11">
      <c r="A14" s="6620" t="str">
        <f>IF(Captura_Pegaso!A15="", "", "Pegaso")</f>
        <v>Pegaso</v>
      </c>
      <c r="B14" s="6621" t="str">
        <f>IF(Captura_Pegaso!A15="", "", Captura_Pegaso!N15)</f>
        <v>CP-LT-24-011</v>
      </c>
      <c r="C14" s="6622" t="str">
        <f>IF(Captura_Pegaso!A15="", "", IFERROR(LOOKUP(2, 1/((Captura_Obra!$A$5:$A$1000=E14)*(Captura_Obra!$B$5:$B$1000=F14)*(Captura_Obra!$D$5:$D$1000=G14)), Captura_Obra!$N$5:$N$1000), "No Reportado"))</f>
        <v>CO-LT-24-041</v>
      </c>
      <c r="D14" s="6623" t="str">
        <f>IF(Captura_Pegaso!A15="", "", IF(J14=0, "✅ Cuadrado", IF(I14=0, "❌ Falta en Obra", "⚠️ Dif")))</f>
        <v>✅ Cuadrado</v>
      </c>
      <c r="E14" s="6624">
        <f>IF(Captura_Pegaso!A15="", "", Captura_Pegaso!A15)</f>
        <v>46184</v>
      </c>
      <c r="F14" s="6625" t="str">
        <f>IF(Captura_Pegaso!A15="", "", Captura_Pegaso!D15)</f>
        <v>Lerma - Tres Marías</v>
      </c>
      <c r="G14" s="6626" t="str">
        <f>IF(Captura_Pegaso!A15="", "", Captura_Pegaso!E15)</f>
        <v>Petrolizadora</v>
      </c>
      <c r="H14" s="6627">
        <f>IF(Captura_Pegaso!A15="", "", Captura_Pegaso!H15)</f>
        <v>80</v>
      </c>
      <c r="I14" s="6628">
        <f>IF(Captura_Pegaso!A15="", "", SUMIFS(Captura_Obra!$F:$F, Captura_Obra!$A:$A, E14, Captura_Obra!$B:$B, F14, Captura_Obra!$D:$D, G14))</f>
        <v>80</v>
      </c>
      <c r="J14" s="6629">
        <f>IF(Captura_Pegaso!A15="", "", H14 - I14)</f>
        <v>0</v>
      </c>
      <c r="K14" s="3823"/>
    </row>
    <row r="15" spans="1:11">
      <c r="A15" s="6630" t="str">
        <f>IF(Captura_Pegaso!A16="", "", "Pegaso")</f>
        <v>Pegaso</v>
      </c>
      <c r="B15" s="6631" t="str">
        <f>IF(Captura_Pegaso!A16="", "", Captura_Pegaso!N16)</f>
        <v>CP-LT-24-012</v>
      </c>
      <c r="C15" s="6632" t="str">
        <f>IF(Captura_Pegaso!A16="", "", IFERROR(LOOKUP(2, 1/((Captura_Obra!$A$5:$A$1000=E15)*(Captura_Obra!$B$5:$B$1000=F15)*(Captura_Obra!$D$5:$D$1000=G15)), Captura_Obra!$N$5:$N$1000), "No Reportado"))</f>
        <v>CO-LT-24-042</v>
      </c>
      <c r="D15" s="6633" t="str">
        <f>IF(Captura_Pegaso!A16="", "", IF(J15=0, "✅ Cuadrado", IF(I15=0, "❌ Falta en Obra", "⚠️ Dif")))</f>
        <v>✅ Cuadrado</v>
      </c>
      <c r="E15" s="6634">
        <f>IF(Captura_Pegaso!A16="", "", Captura_Pegaso!A16)</f>
        <v>46184</v>
      </c>
      <c r="F15" s="6635" t="str">
        <f>IF(Captura_Pegaso!A16="", "", Captura_Pegaso!D16)</f>
        <v>Lerma - Tres Marías</v>
      </c>
      <c r="G15" s="6636" t="str">
        <f>IF(Captura_Pegaso!A16="", "", Captura_Pegaso!E16)</f>
        <v>Compresor</v>
      </c>
      <c r="H15" s="6637">
        <f>IF(Captura_Pegaso!A16="", "", Captura_Pegaso!H16)</f>
        <v>50</v>
      </c>
      <c r="I15" s="6638">
        <f>IF(Captura_Pegaso!A16="", "", SUMIFS(Captura_Obra!$F:$F, Captura_Obra!$A:$A, E15, Captura_Obra!$B:$B, F15, Captura_Obra!$D:$D, G15))</f>
        <v>50</v>
      </c>
      <c r="J15" s="6639">
        <f>IF(Captura_Pegaso!A16="", "", H15 - I15)</f>
        <v>0</v>
      </c>
      <c r="K15" s="3824"/>
    </row>
    <row r="16" spans="1:11">
      <c r="A16" s="6640" t="str">
        <f>IF(Captura_Pegaso!A17="", "", "Pegaso")</f>
        <v>Pegaso</v>
      </c>
      <c r="B16" s="6641" t="str">
        <f>IF(Captura_Pegaso!A17="", "", Captura_Pegaso!N17)</f>
        <v>CP-LT-24-013</v>
      </c>
      <c r="C16" s="6642" t="str">
        <f>IF(Captura_Pegaso!A17="", "", IFERROR(LOOKUP(2, 1/((Captura_Obra!$A$5:$A$1000=E16)*(Captura_Obra!$B$5:$B$1000=F16)*(Captura_Obra!$D$5:$D$1000=G16)), Captura_Obra!$N$5:$N$1000), "No Reportado"))</f>
        <v>CO-LT-24-043</v>
      </c>
      <c r="D16" s="6643" t="str">
        <f>IF(Captura_Pegaso!A17="", "", IF(J16=0, "✅ Cuadrado", IF(I16=0, "❌ Falta en Obra", "⚠️ Dif")))</f>
        <v>✅ Cuadrado</v>
      </c>
      <c r="E16" s="6644">
        <f>IF(Captura_Pegaso!A17="", "", Captura_Pegaso!A17)</f>
        <v>46184</v>
      </c>
      <c r="F16" s="6645" t="str">
        <f>IF(Captura_Pegaso!A17="", "", Captura_Pegaso!D17)</f>
        <v>Lerma - Tres Marías</v>
      </c>
      <c r="G16" s="6646" t="str">
        <f>IF(Captura_Pegaso!A17="", "", Captura_Pegaso!E17)</f>
        <v>Retroexcavadora</v>
      </c>
      <c r="H16" s="6647">
        <f>IF(Captura_Pegaso!A17="", "", Captura_Pegaso!H17)</f>
        <v>70</v>
      </c>
      <c r="I16" s="6648">
        <f>IF(Captura_Pegaso!A17="", "", SUMIFS(Captura_Obra!$F:$F, Captura_Obra!$A:$A, E16, Captura_Obra!$B:$B, F16, Captura_Obra!$D:$D, G16))</f>
        <v>70</v>
      </c>
      <c r="J16" s="6649">
        <f>IF(Captura_Pegaso!A17="", "", H16 - I16)</f>
        <v>0</v>
      </c>
      <c r="K16" s="3825"/>
    </row>
    <row r="17" spans="1:11">
      <c r="A17" s="6650" t="str">
        <f>IF(Captura_Pegaso!A18="", "", "Pegaso")</f>
        <v>Pegaso</v>
      </c>
      <c r="B17" s="6651" t="str">
        <f>IF(Captura_Pegaso!A18="", "", Captura_Pegaso!N18)</f>
        <v>CP-LT-24-014</v>
      </c>
      <c r="C17" s="6652" t="str">
        <f>IF(Captura_Pegaso!A18="", "", IFERROR(LOOKUP(2, 1/((Captura_Obra!$A$5:$A$1000=E17)*(Captura_Obra!$B$5:$B$1000=F17)*(Captura_Obra!$D$5:$D$1000=G17)), Captura_Obra!$N$5:$N$1000), "No Reportado"))</f>
        <v>CO-LT-24-044</v>
      </c>
      <c r="D17" s="6653" t="str">
        <f>IF(Captura_Pegaso!A18="", "", IF(J17=0, "✅ Cuadrado", IF(I17=0, "❌ Falta en Obra", "⚠️ Dif")))</f>
        <v>✅ Cuadrado</v>
      </c>
      <c r="E17" s="6654">
        <f>IF(Captura_Pegaso!A18="", "", Captura_Pegaso!A18)</f>
        <v>46184</v>
      </c>
      <c r="F17" s="6655" t="str">
        <f>IF(Captura_Pegaso!A18="", "", Captura_Pegaso!D18)</f>
        <v>Lerma - Tres Marías</v>
      </c>
      <c r="G17" s="6656" t="str">
        <f>IF(Captura_Pegaso!A18="", "", Captura_Pegaso!E18)</f>
        <v>Camion de Impacto</v>
      </c>
      <c r="H17" s="6657">
        <f>IF(Captura_Pegaso!A18="", "", Captura_Pegaso!H18)</f>
        <v>80</v>
      </c>
      <c r="I17" s="6658">
        <f>IF(Captura_Pegaso!A18="", "", SUMIFS(Captura_Obra!$F:$F, Captura_Obra!$A:$A, E17, Captura_Obra!$B:$B, F17, Captura_Obra!$D:$D, G17))</f>
        <v>80</v>
      </c>
      <c r="J17" s="6659">
        <f>IF(Captura_Pegaso!A18="", "", H17 - I17)</f>
        <v>0</v>
      </c>
      <c r="K17" s="3826"/>
    </row>
    <row r="18" spans="1:11">
      <c r="A18" s="6660" t="str">
        <f>IF(Captura_Pegaso!A19="", "", "Pegaso")</f>
        <v>Pegaso</v>
      </c>
      <c r="B18" s="6661" t="str">
        <f>IF(Captura_Pegaso!A19="", "", Captura_Pegaso!N19)</f>
        <v>CP-LT-24-015</v>
      </c>
      <c r="C18" s="6662" t="str">
        <f>IF(Captura_Pegaso!A19="", "", IFERROR(LOOKUP(2, 1/((Captura_Obra!$A$5:$A$1000=E18)*(Captura_Obra!$B$5:$B$1000=F18)*(Captura_Obra!$D$5:$D$1000=G18)), Captura_Obra!$N$5:$N$1000), "No Reportado"))</f>
        <v>CO-LT-24-045</v>
      </c>
      <c r="D18" s="6663" t="str">
        <f>IF(Captura_Pegaso!A19="", "", IF(J18=0, "✅ Cuadrado", IF(I18=0, "❌ Falta en Obra", "⚠️ Dif")))</f>
        <v>✅ Cuadrado</v>
      </c>
      <c r="E18" s="6664">
        <f>IF(Captura_Pegaso!A19="", "", Captura_Pegaso!A19)</f>
        <v>46184</v>
      </c>
      <c r="F18" s="6665" t="str">
        <f>IF(Captura_Pegaso!A19="", "", Captura_Pegaso!D19)</f>
        <v>Lerma - Tres Marías</v>
      </c>
      <c r="G18" s="6666" t="str">
        <f>IF(Captura_Pegaso!A19="", "", Captura_Pegaso!E19)</f>
        <v>Vogel</v>
      </c>
      <c r="H18" s="6667">
        <f>IF(Captura_Pegaso!A19="", "", Captura_Pegaso!H19)</f>
        <v>185</v>
      </c>
      <c r="I18" s="6668">
        <f>IF(Captura_Pegaso!A19="", "", SUMIFS(Captura_Obra!$F:$F, Captura_Obra!$A:$A, E18, Captura_Obra!$B:$B, F18, Captura_Obra!$D:$D, G18))</f>
        <v>185</v>
      </c>
      <c r="J18" s="6669">
        <f>IF(Captura_Pegaso!A19="", "", H18 - I18)</f>
        <v>0</v>
      </c>
      <c r="K18" s="3827"/>
    </row>
    <row r="19" spans="1:11">
      <c r="A19" s="6670" t="str">
        <f>IF(Captura_Pegaso!A20="", "", "Pegaso")</f>
        <v>Pegaso</v>
      </c>
      <c r="B19" s="6671" t="str">
        <f>IF(Captura_Pegaso!A20="", "", Captura_Pegaso!N20)</f>
        <v>CP-LT-24-016</v>
      </c>
      <c r="C19" s="6672" t="str">
        <f>IF(Captura_Pegaso!A20="", "", IFERROR(LOOKUP(2, 1/((Captura_Obra!$A$5:$A$1000=E19)*(Captura_Obra!$B$5:$B$1000=F19)*(Captura_Obra!$D$5:$D$1000=G19)), Captura_Obra!$N$5:$N$1000), "No Reportado"))</f>
        <v>CO-LT-24-047</v>
      </c>
      <c r="D19" s="6673" t="str">
        <f>IF(Captura_Pegaso!A20="", "", IF(J19=0, "✅ Cuadrado", IF(I19=0, "❌ Falta en Obra", "⚠️ Dif")))</f>
        <v>⚠️ Dif</v>
      </c>
      <c r="E19" s="6674">
        <f>IF(Captura_Pegaso!A20="", "", Captura_Pegaso!A20)</f>
        <v>46184</v>
      </c>
      <c r="F19" s="6675" t="str">
        <f>IF(Captura_Pegaso!A20="", "", Captura_Pegaso!D20)</f>
        <v>Lerma - Tres Marías</v>
      </c>
      <c r="G19" s="6676" t="str">
        <f>IF(Captura_Pegaso!A20="", "", Captura_Pegaso!E20)</f>
        <v>Doble Rodillo</v>
      </c>
      <c r="H19" s="6677">
        <f>IF(Captura_Pegaso!A20="", "", Captura_Pegaso!H20)</f>
        <v>50</v>
      </c>
      <c r="I19" s="6678">
        <f>IF(Captura_Pegaso!A20="", "", SUMIFS(Captura_Obra!$F:$F, Captura_Obra!$A:$A, E19, Captura_Obra!$B:$B, F19, Captura_Obra!$D:$D, G19))</f>
        <v>90</v>
      </c>
      <c r="J19" s="6679">
        <f>IF(Captura_Pegaso!A20="", "", H19 - I19)</f>
        <v>-40</v>
      </c>
      <c r="K19" s="3828"/>
    </row>
    <row r="20" spans="1:11">
      <c r="A20" s="6680" t="str">
        <f>IF(Captura_Pegaso!A21="", "", "Pegaso")</f>
        <v>Pegaso</v>
      </c>
      <c r="B20" s="6681" t="str">
        <f>IF(Captura_Pegaso!A21="", "", Captura_Pegaso!N21)</f>
        <v>CP-LT-24-017</v>
      </c>
      <c r="C20" s="6682" t="str">
        <f>IF(Captura_Pegaso!A21="", "", IFERROR(LOOKUP(2, 1/((Captura_Obra!$A$5:$A$1000=E20)*(Captura_Obra!$B$5:$B$1000=F20)*(Captura_Obra!$D$5:$D$1000=G20)), Captura_Obra!$N$5:$N$1000), "No Reportado"))</f>
        <v>CO-LT-24-047</v>
      </c>
      <c r="D20" s="6683" t="str">
        <f>IF(Captura_Pegaso!A21="", "", IF(J20=0, "✅ Cuadrado", IF(I20=0, "❌ Falta en Obra", "⚠️ Dif")))</f>
        <v>⚠️ Dif</v>
      </c>
      <c r="E20" s="6684">
        <f>IF(Captura_Pegaso!A21="", "", Captura_Pegaso!A21)</f>
        <v>46184</v>
      </c>
      <c r="F20" s="6685" t="str">
        <f>IF(Captura_Pegaso!A21="", "", Captura_Pegaso!D21)</f>
        <v>Lerma - Tres Marías</v>
      </c>
      <c r="G20" s="6686" t="str">
        <f>IF(Captura_Pegaso!A21="", "", Captura_Pegaso!E21)</f>
        <v>Doble Rodillo</v>
      </c>
      <c r="H20" s="6687">
        <f>IF(Captura_Pegaso!A21="", "", Captura_Pegaso!H21)</f>
        <v>40</v>
      </c>
      <c r="I20" s="6688">
        <f>IF(Captura_Pegaso!A21="", "", SUMIFS(Captura_Obra!$F:$F, Captura_Obra!$A:$A, E20, Captura_Obra!$B:$B, F20, Captura_Obra!$D:$D, G20))</f>
        <v>90</v>
      </c>
      <c r="J20" s="6689">
        <f>IF(Captura_Pegaso!A21="", "", H20 - I20)</f>
        <v>-50</v>
      </c>
      <c r="K20" s="3829"/>
    </row>
    <row r="21" spans="1:11">
      <c r="A21" s="6690" t="str">
        <f>IF(Captura_Pegaso!A22="", "", "Pegaso")</f>
        <v>Pegaso</v>
      </c>
      <c r="B21" s="6691" t="str">
        <f>IF(Captura_Pegaso!A22="", "", Captura_Pegaso!N22)</f>
        <v>CP-LT-24-018</v>
      </c>
      <c r="C21" s="6692" t="str">
        <f>IF(Captura_Pegaso!A22="", "", IFERROR(LOOKUP(2, 1/((Captura_Obra!$A$5:$A$1000=E21)*(Captura_Obra!$B$5:$B$1000=F21)*(Captura_Obra!$D$5:$D$1000=G21)), Captura_Obra!$N$5:$N$1000), "No Reportado"))</f>
        <v>CO-LT-24-048</v>
      </c>
      <c r="D21" s="6693" t="str">
        <f>IF(Captura_Pegaso!A22="", "", IF(J21=0, "✅ Cuadrado", IF(I21=0, "❌ Falta en Obra", "⚠️ Dif")))</f>
        <v>✅ Cuadrado</v>
      </c>
      <c r="E21" s="6694">
        <f>IF(Captura_Pegaso!A22="", "", Captura_Pegaso!A22)</f>
        <v>46184</v>
      </c>
      <c r="F21" s="6695" t="str">
        <f>IF(Captura_Pegaso!A22="", "", Captura_Pegaso!D22)</f>
        <v>Lerma - Tres Marías</v>
      </c>
      <c r="G21" s="6696" t="str">
        <f>IF(Captura_Pegaso!A22="", "", Captura_Pegaso!E22)</f>
        <v>Neuomatico</v>
      </c>
      <c r="H21" s="6697">
        <f>IF(Captura_Pegaso!A22="", "", Captura_Pegaso!H22)</f>
        <v>40</v>
      </c>
      <c r="I21" s="6698">
        <f>IF(Captura_Pegaso!A22="", "", SUMIFS(Captura_Obra!$F:$F, Captura_Obra!$A:$A, E21, Captura_Obra!$B:$B, F21, Captura_Obra!$D:$D, G21))</f>
        <v>40</v>
      </c>
      <c r="J21" s="6699">
        <f>IF(Captura_Pegaso!A22="", "", H21 - I21)</f>
        <v>0</v>
      </c>
      <c r="K21" s="3830"/>
    </row>
    <row r="22" spans="1:11">
      <c r="A22" s="6700" t="str">
        <f>IF(Captura_Pegaso!A23="", "", "Pegaso")</f>
        <v>Pegaso</v>
      </c>
      <c r="B22" s="6701" t="str">
        <f>IF(Captura_Pegaso!A23="", "", Captura_Pegaso!N23)</f>
        <v>CP-BT-24-019</v>
      </c>
      <c r="C22" s="6702" t="str">
        <f>IF(Captura_Pegaso!A23="", "", IFERROR(LOOKUP(2, 1/((Captura_Obra!$A$5:$A$1000=E22)*(Captura_Obra!$B$5:$B$1000=F22)*(Captura_Obra!$D$5:$D$1000=G22)), Captura_Obra!$N$5:$N$1000), "No Reportado"))</f>
        <v>No Reportado</v>
      </c>
      <c r="D22" s="6703" t="str">
        <f>IF(Captura_Pegaso!A23="", "", IF(J22=0, "✅ Cuadrado", IF(I22=0, "❌ Falta en Obra", "⚠️ Dif")))</f>
        <v>❌ Falta en Obra</v>
      </c>
      <c r="E22" s="6704">
        <f>IF(Captura_Pegaso!A23="", "", Captura_Pegaso!A23)</f>
        <v>46185</v>
      </c>
      <c r="F22" s="6705" t="str">
        <f>IF(Captura_Pegaso!A23="", "", Captura_Pegaso!D23)</f>
        <v>Bacheo Toluca</v>
      </c>
      <c r="G22" s="6706" t="str">
        <f>IF(Captura_Pegaso!A23="", "", Captura_Pegaso!E23)</f>
        <v>Barredora Broce</v>
      </c>
      <c r="H22" s="6707">
        <f>IF(Captura_Pegaso!A23="", "", Captura_Pegaso!H23)</f>
        <v>70</v>
      </c>
      <c r="I22" s="6708">
        <f>IF(Captura_Pegaso!A23="", "", SUMIFS(Captura_Obra!$F:$F, Captura_Obra!$A:$A, E22, Captura_Obra!$B:$B, F22, Captura_Obra!$D:$D, G22))</f>
        <v>0</v>
      </c>
      <c r="J22" s="6709">
        <f>IF(Captura_Pegaso!A23="", "", H22 - I22)</f>
        <v>70</v>
      </c>
      <c r="K22" s="3831"/>
    </row>
    <row r="23" spans="1:11">
      <c r="A23" s="6710" t="str">
        <f>IF(Captura_Pegaso!A24="", "", "Pegaso")</f>
        <v>Pegaso</v>
      </c>
      <c r="B23" s="6711" t="str">
        <f>IF(Captura_Pegaso!A24="", "", Captura_Pegaso!N24)</f>
        <v>CP-BT-25-020</v>
      </c>
      <c r="C23" s="6712" t="str">
        <f>IF(Captura_Pegaso!A24="", "", IFERROR(LOOKUP(2, 1/((Captura_Obra!$A$5:$A$1000=E23)*(Captura_Obra!$B$5:$B$1000=F23)*(Captura_Obra!$D$5:$D$1000=G23)), Captura_Obra!$N$5:$N$1000), "No Reportado"))</f>
        <v>CO-BT-25-068</v>
      </c>
      <c r="D23" s="6713" t="str">
        <f>IF(Captura_Pegaso!A24="", "", IF(J23=0, "✅ Cuadrado", IF(I23=0, "❌ Falta en Obra", "⚠️ Dif")))</f>
        <v>✅ Cuadrado</v>
      </c>
      <c r="E23" s="6714">
        <f>IF(Captura_Pegaso!A24="", "", Captura_Pegaso!A24)</f>
        <v>46188</v>
      </c>
      <c r="F23" s="6715" t="str">
        <f>IF(Captura_Pegaso!A24="", "", Captura_Pegaso!D24)</f>
        <v>Bacheo Toluca</v>
      </c>
      <c r="G23" s="6716" t="str">
        <f>IF(Captura_Pegaso!A24="", "", Captura_Pegaso!E24)</f>
        <v>BIDONES</v>
      </c>
      <c r="H23" s="6717">
        <f>IF(Captura_Pegaso!A24="", "", Captura_Pegaso!H24)</f>
        <v>70</v>
      </c>
      <c r="I23" s="6718">
        <f>IF(Captura_Pegaso!A24="", "", SUMIFS(Captura_Obra!$F:$F, Captura_Obra!$A:$A, E23, Captura_Obra!$B:$B, F23, Captura_Obra!$D:$D, G23))</f>
        <v>70</v>
      </c>
      <c r="J23" s="6719">
        <f>IF(Captura_Pegaso!A24="", "", H23 - I23)</f>
        <v>0</v>
      </c>
      <c r="K23" s="3832"/>
    </row>
    <row r="24" spans="1:11">
      <c r="A24" s="6720" t="str">
        <f>IF(Captura_Pegaso!A25="", "", "Pegaso")</f>
        <v>Pegaso</v>
      </c>
      <c r="B24" s="6721" t="str">
        <f>IF(Captura_Pegaso!A25="", "", Captura_Pegaso!N25)</f>
        <v>CP-LT-25-021</v>
      </c>
      <c r="C24" s="6722" t="str">
        <f>IF(Captura_Pegaso!A25="", "", IFERROR(LOOKUP(2, 1/((Captura_Obra!$A$5:$A$1000=E24)*(Captura_Obra!$B$5:$B$1000=F24)*(Captura_Obra!$D$5:$D$1000=G24)), Captura_Obra!$N$5:$N$1000), "No Reportado"))</f>
        <v>CO-LT-25-069</v>
      </c>
      <c r="D24" s="6723" t="str">
        <f>IF(Captura_Pegaso!A25="", "", IF(J24=0, "✅ Cuadrado", IF(I24=0, "❌ Falta en Obra", "⚠️ Dif")))</f>
        <v>✅ Cuadrado</v>
      </c>
      <c r="E24" s="6724">
        <f>IF(Captura_Pegaso!A25="", "", Captura_Pegaso!A25)</f>
        <v>46188</v>
      </c>
      <c r="F24" s="6725" t="str">
        <f>IF(Captura_Pegaso!A25="", "", Captura_Pegaso!D25)</f>
        <v>Lerma - Tres Marías</v>
      </c>
      <c r="G24" s="6726" t="str">
        <f>IF(Captura_Pegaso!A25="", "", Captura_Pegaso!E25)</f>
        <v>TANDEM DOBLE RODILLO / VIBROCOMPACTOR RODILLO CAT CB54</v>
      </c>
      <c r="H24" s="6727">
        <f>IF(Captura_Pegaso!A25="", "", Captura_Pegaso!H25)</f>
        <v>24</v>
      </c>
      <c r="I24" s="6728">
        <f>IF(Captura_Pegaso!A25="", "", SUMIFS(Captura_Obra!$F:$F, Captura_Obra!$A:$A, E24, Captura_Obra!$B:$B, F24, Captura_Obra!$D:$D, G24))</f>
        <v>24</v>
      </c>
      <c r="J24" s="6729">
        <f>IF(Captura_Pegaso!A25="", "", H24 - I24)</f>
        <v>0</v>
      </c>
      <c r="K24" s="3833"/>
    </row>
    <row r="25" spans="1:11">
      <c r="A25" s="6730" t="str">
        <f>IF(Captura_Pegaso!A26="", "", "Pegaso")</f>
        <v>Pegaso</v>
      </c>
      <c r="B25" s="6731" t="str">
        <f>IF(Captura_Pegaso!A26="", "", Captura_Pegaso!N26)</f>
        <v>CP-PAP-25-022</v>
      </c>
      <c r="C25" s="6732" t="str">
        <f>IF(Captura_Pegaso!A26="", "", IFERROR(LOOKUP(2, 1/((Captura_Obra!$A$5:$A$1000=E25)*(Captura_Obra!$B$5:$B$1000=F25)*(Captura_Obra!$D$5:$D$1000=G25)), Captura_Obra!$N$5:$N$1000), "No Reportado"))</f>
        <v>No Reportado</v>
      </c>
      <c r="D25" s="6733" t="str">
        <f>IF(Captura_Pegaso!A26="", "", IF(J25=0, "✅ Cuadrado", IF(I25=0, "❌ Falta en Obra", "⚠️ Dif")))</f>
        <v>❌ Falta en Obra</v>
      </c>
      <c r="E25" s="6734">
        <f>IF(Captura_Pegaso!A26="", "", Captura_Pegaso!A26)</f>
        <v>46188</v>
      </c>
      <c r="F25" s="6735" t="str">
        <f>IF(Captura_Pegaso!A26="", "", Captura_Pegaso!D26)</f>
        <v>Planta Asfalto Pegaso</v>
      </c>
      <c r="G25" s="6736" t="str">
        <f>IF(Captura_Pegaso!A26="", "", Captura_Pegaso!E26)</f>
        <v>PAYLODER</v>
      </c>
      <c r="H25" s="6737">
        <f>IF(Captura_Pegaso!A26="", "", Captura_Pegaso!H26)</f>
        <v>265</v>
      </c>
      <c r="I25" s="6738">
        <f>IF(Captura_Pegaso!A26="", "", SUMIFS(Captura_Obra!$F:$F, Captura_Obra!$A:$A, E25, Captura_Obra!$B:$B, F25, Captura_Obra!$D:$D, G25))</f>
        <v>0</v>
      </c>
      <c r="J25" s="6739">
        <f>IF(Captura_Pegaso!A26="", "", H25 - I25)</f>
        <v>265</v>
      </c>
      <c r="K25" s="3834"/>
    </row>
    <row r="26" spans="1:11">
      <c r="A26" s="6740" t="str">
        <f>IF(Captura_Pegaso!A27="", "", "Pegaso")</f>
        <v>Pegaso</v>
      </c>
      <c r="B26" s="6741" t="str">
        <f>IF(Captura_Pegaso!A27="", "", Captura_Pegaso!N27)</f>
        <v>CP-BT-25-023</v>
      </c>
      <c r="C26" s="6742" t="str">
        <f>IF(Captura_Pegaso!A27="", "", IFERROR(LOOKUP(2, 1/((Captura_Obra!$A$5:$A$1000=E26)*(Captura_Obra!$B$5:$B$1000=F26)*(Captura_Obra!$D$5:$D$1000=G26)), Captura_Obra!$N$5:$N$1000), "No Reportado"))</f>
        <v>CO-BT-25-071</v>
      </c>
      <c r="D26" s="6743" t="str">
        <f>IF(Captura_Pegaso!A27="", "", IF(J26=0, "✅ Cuadrado", IF(I26=0, "❌ Falta en Obra", "⚠️ Dif")))</f>
        <v>✅ Cuadrado</v>
      </c>
      <c r="E26" s="6744">
        <f>IF(Captura_Pegaso!A27="", "", Captura_Pegaso!A27)</f>
        <v>46188</v>
      </c>
      <c r="F26" s="6745" t="str">
        <f>IF(Captura_Pegaso!A27="", "", Captura_Pegaso!D27)</f>
        <v>Bacheo Toluca</v>
      </c>
      <c r="G26" s="6746" t="str">
        <f>IF(Captura_Pegaso!A27="", "", Captura_Pegaso!E27)</f>
        <v>DOBLE RODILLO/VIBROCOMPACTADOR DE RODILLOS HAMM 140HD</v>
      </c>
      <c r="H26" s="6747">
        <f>IF(Captura_Pegaso!A27="", "", Captura_Pegaso!H27)</f>
        <v>33</v>
      </c>
      <c r="I26" s="6748">
        <f>IF(Captura_Pegaso!A27="", "", SUMIFS(Captura_Obra!$F:$F, Captura_Obra!$A:$A, E26, Captura_Obra!$B:$B, F26, Captura_Obra!$D:$D, G26))</f>
        <v>33</v>
      </c>
      <c r="J26" s="6749">
        <f>IF(Captura_Pegaso!A27="", "", H26 - I26)</f>
        <v>0</v>
      </c>
      <c r="K26" s="3835"/>
    </row>
    <row r="27" spans="1:11">
      <c r="A27" s="6750" t="str">
        <f>IF(Captura_Pegaso!A28="", "", "Pegaso")</f>
        <v>Pegaso</v>
      </c>
      <c r="B27" s="6751" t="str">
        <f>IF(Captura_Pegaso!A28="", "", Captura_Pegaso!N28)</f>
        <v>CP-LT-25-024</v>
      </c>
      <c r="C27" s="6752" t="str">
        <f>IF(Captura_Pegaso!A28="", "", IFERROR(LOOKUP(2, 1/((Captura_Obra!$A$5:$A$1000=E27)*(Captura_Obra!$B$5:$B$1000=F27)*(Captura_Obra!$D$5:$D$1000=G27)), Captura_Obra!$N$5:$N$1000), "No Reportado"))</f>
        <v>CO-LT-25-072</v>
      </c>
      <c r="D27" s="6753" t="str">
        <f>IF(Captura_Pegaso!A28="", "", IF(J27=0, "✅ Cuadrado", IF(I27=0, "❌ Falta en Obra", "⚠️ Dif")))</f>
        <v>✅ Cuadrado</v>
      </c>
      <c r="E27" s="6754">
        <f>IF(Captura_Pegaso!A28="", "", Captura_Pegaso!A28)</f>
        <v>46188</v>
      </c>
      <c r="F27" s="6755" t="str">
        <f>IF(Captura_Pegaso!A28="", "", Captura_Pegaso!D28)</f>
        <v>Lerma - Tres Marías</v>
      </c>
      <c r="G27" s="6756" t="str">
        <f>IF(Captura_Pegaso!A28="", "", Captura_Pegaso!E28)</f>
        <v>PETROLIZADORA    INTERNATIONAL</v>
      </c>
      <c r="H27" s="6757">
        <f>IF(Captura_Pegaso!A28="", "", Captura_Pegaso!H28)</f>
        <v>60</v>
      </c>
      <c r="I27" s="6758">
        <f>IF(Captura_Pegaso!A28="", "", SUMIFS(Captura_Obra!$F:$F, Captura_Obra!$A:$A, E27, Captura_Obra!$B:$B, F27, Captura_Obra!$D:$D, G27))</f>
        <v>60</v>
      </c>
      <c r="J27" s="6759">
        <f>IF(Captura_Pegaso!A28="", "", H27 - I27)</f>
        <v>0</v>
      </c>
      <c r="K27" s="3836"/>
    </row>
    <row r="28" spans="1:11">
      <c r="A28" s="6760" t="str">
        <f>IF(Captura_Pegaso!A29="", "", "Pegaso")</f>
        <v>Pegaso</v>
      </c>
      <c r="B28" s="6761" t="str">
        <f>IF(Captura_Pegaso!A29="", "", Captura_Pegaso!N29)</f>
        <v>CP-LT-25-025</v>
      </c>
      <c r="C28" s="6762" t="str">
        <f>IF(Captura_Pegaso!A29="", "", IFERROR(LOOKUP(2, 1/((Captura_Obra!$A$5:$A$1000=E28)*(Captura_Obra!$B$5:$B$1000=F28)*(Captura_Obra!$D$5:$D$1000=G28)), Captura_Obra!$N$5:$N$1000), "No Reportado"))</f>
        <v>CO-LT-25-073</v>
      </c>
      <c r="D28" s="6763" t="str">
        <f>IF(Captura_Pegaso!A29="", "", IF(J28=0, "✅ Cuadrado", IF(I28=0, "❌ Falta en Obra", "⚠️ Dif")))</f>
        <v>✅ Cuadrado</v>
      </c>
      <c r="E28" s="6764">
        <f>IF(Captura_Pegaso!A29="", "", Captura_Pegaso!A29)</f>
        <v>46188</v>
      </c>
      <c r="F28" s="6765" t="str">
        <f>IF(Captura_Pegaso!A29="", "", Captura_Pegaso!D29)</f>
        <v>Lerma - Tres Marías</v>
      </c>
      <c r="G28" s="6766" t="str">
        <f>IF(Captura_Pegaso!A29="", "", Captura_Pegaso!E29)</f>
        <v>BARREDORA LAYMOR SM400</v>
      </c>
      <c r="H28" s="6767">
        <f>IF(Captura_Pegaso!A29="", "", Captura_Pegaso!H29)</f>
        <v>52</v>
      </c>
      <c r="I28" s="6768">
        <f>IF(Captura_Pegaso!A29="", "", SUMIFS(Captura_Obra!$F:$F, Captura_Obra!$A:$A, E28, Captura_Obra!$B:$B, F28, Captura_Obra!$D:$D, G28))</f>
        <v>52</v>
      </c>
      <c r="J28" s="6769">
        <f>IF(Captura_Pegaso!A29="", "", H28 - I28)</f>
        <v>0</v>
      </c>
      <c r="K28" s="3837"/>
    </row>
    <row r="29" spans="1:11">
      <c r="A29" s="6770" t="str">
        <f>IF(Captura_Pegaso!A30="", "", "Pegaso")</f>
        <v>Pegaso</v>
      </c>
      <c r="B29" s="6771" t="str">
        <f>IF(Captura_Pegaso!A30="", "", Captura_Pegaso!N30)</f>
        <v>CP-LT-25-026</v>
      </c>
      <c r="C29" s="6772" t="str">
        <f>IF(Captura_Pegaso!A30="", "", IFERROR(LOOKUP(2, 1/((Captura_Obra!$A$5:$A$1000=E29)*(Captura_Obra!$B$5:$B$1000=F29)*(Captura_Obra!$D$5:$D$1000=G29)), Captura_Obra!$N$5:$N$1000), "No Reportado"))</f>
        <v>CO-LT-25-074</v>
      </c>
      <c r="D29" s="6773" t="str">
        <f>IF(Captura_Pegaso!A30="", "", IF(J29=0, "✅ Cuadrado", IF(I29=0, "❌ Falta en Obra", "⚠️ Dif")))</f>
        <v>✅ Cuadrado</v>
      </c>
      <c r="E29" s="6774">
        <f>IF(Captura_Pegaso!A30="", "", Captura_Pegaso!A30)</f>
        <v>46188</v>
      </c>
      <c r="F29" s="6775" t="str">
        <f>IF(Captura_Pegaso!A30="", "", Captura_Pegaso!D30)</f>
        <v>Lerma - Tres Marías</v>
      </c>
      <c r="G29" s="6776" t="str">
        <f>IF(Captura_Pegaso!A30="", "", Captura_Pegaso!E30)</f>
        <v>LIMPIEZA</v>
      </c>
      <c r="H29" s="6777">
        <f>IF(Captura_Pegaso!A30="", "", Captura_Pegaso!H30)</f>
        <v>25</v>
      </c>
      <c r="I29" s="6778">
        <f>IF(Captura_Pegaso!A30="", "", SUMIFS(Captura_Obra!$F:$F, Captura_Obra!$A:$A, E29, Captura_Obra!$B:$B, F29, Captura_Obra!$D:$D, G29))</f>
        <v>25</v>
      </c>
      <c r="J29" s="6779">
        <f>IF(Captura_Pegaso!A30="", "", H29 - I29)</f>
        <v>0</v>
      </c>
      <c r="K29" s="3838"/>
    </row>
    <row r="30" spans="1:11">
      <c r="A30" s="6780" t="str">
        <f>IF(Captura_Pegaso!A31="", "", "Pegaso")</f>
        <v>Pegaso</v>
      </c>
      <c r="B30" s="6781" t="str">
        <f>IF(Captura_Pegaso!A31="", "", Captura_Pegaso!N31)</f>
        <v>CP-LT-25-027</v>
      </c>
      <c r="C30" s="6782" t="str">
        <f>IF(Captura_Pegaso!A31="", "", IFERROR(LOOKUP(2, 1/((Captura_Obra!$A$5:$A$1000=E30)*(Captura_Obra!$B$5:$B$1000=F30)*(Captura_Obra!$D$5:$D$1000=G30)), Captura_Obra!$N$5:$N$1000), "No Reportado"))</f>
        <v>CO-LT-25-075</v>
      </c>
      <c r="D30" s="6783" t="str">
        <f>IF(Captura_Pegaso!A31="", "", IF(J30=0, "✅ Cuadrado", IF(I30=0, "❌ Falta en Obra", "⚠️ Dif")))</f>
        <v>✅ Cuadrado</v>
      </c>
      <c r="E30" s="6784">
        <f>IF(Captura_Pegaso!A31="", "", Captura_Pegaso!A31)</f>
        <v>46188</v>
      </c>
      <c r="F30" s="6785" t="str">
        <f>IF(Captura_Pegaso!A31="", "", Captura_Pegaso!D31)</f>
        <v>Lerma - Tres Marías</v>
      </c>
      <c r="G30" s="6786" t="str">
        <f>IF(Captura_Pegaso!A31="", "", Captura_Pegaso!E31)</f>
        <v>RETROEXCAVADORA JHONDEREE 310SK</v>
      </c>
      <c r="H30" s="6787">
        <f>IF(Captura_Pegaso!A31="", "", Captura_Pegaso!H31)</f>
        <v>55</v>
      </c>
      <c r="I30" s="6788">
        <f>IF(Captura_Pegaso!A31="", "", SUMIFS(Captura_Obra!$F:$F, Captura_Obra!$A:$A, E30, Captura_Obra!$B:$B, F30, Captura_Obra!$D:$D, G30))</f>
        <v>55</v>
      </c>
      <c r="J30" s="6789">
        <f>IF(Captura_Pegaso!A31="", "", H30 - I30)</f>
        <v>0</v>
      </c>
      <c r="K30" s="3839"/>
    </row>
    <row r="31" spans="1:11">
      <c r="A31" s="6790" t="str">
        <f>IF(Captura_Pegaso!A32="", "", "Pegaso")</f>
        <v>Pegaso</v>
      </c>
      <c r="B31" s="6791" t="str">
        <f>IF(Captura_Pegaso!A32="", "", Captura_Pegaso!N32)</f>
        <v>CP-LT-25-028</v>
      </c>
      <c r="C31" s="6792" t="str">
        <f>IF(Captura_Pegaso!A32="", "", IFERROR(LOOKUP(2, 1/((Captura_Obra!$A$5:$A$1000=E31)*(Captura_Obra!$B$5:$B$1000=F31)*(Captura_Obra!$D$5:$D$1000=G31)), Captura_Obra!$N$5:$N$1000), "No Reportado"))</f>
        <v>CO-LT-25-092</v>
      </c>
      <c r="D31" s="6793" t="str">
        <f>IF(Captura_Pegaso!A32="", "", IF(J31=0, "✅ Cuadrado", IF(I31=0, "❌ Falta en Obra", "⚠️ Dif")))</f>
        <v>⚠️ Dif</v>
      </c>
      <c r="E31" s="6794">
        <f>IF(Captura_Pegaso!A32="", "", Captura_Pegaso!A32)</f>
        <v>46189</v>
      </c>
      <c r="F31" s="6795" t="str">
        <f>IF(Captura_Pegaso!A32="", "", Captura_Pegaso!D32)</f>
        <v>Lerma - Tres Marías</v>
      </c>
      <c r="G31" s="6796" t="str">
        <f>IF(Captura_Pegaso!A32="", "", Captura_Pegaso!E32)</f>
        <v>PIPA DE AGUA (IMPACTO 01) FORD</v>
      </c>
      <c r="H31" s="6797">
        <f>IF(Captura_Pegaso!A32="", "", Captura_Pegaso!H32)</f>
        <v>50</v>
      </c>
      <c r="I31" s="6798">
        <f>IF(Captura_Pegaso!A32="", "", SUMIFS(Captura_Obra!$F:$F, Captura_Obra!$A:$A, E31, Captura_Obra!$B:$B, F31, Captura_Obra!$D:$D, G31))</f>
        <v>100</v>
      </c>
      <c r="J31" s="6799">
        <f>IF(Captura_Pegaso!A32="", "", H31 - I31)</f>
        <v>-50</v>
      </c>
      <c r="K31" s="3840"/>
    </row>
    <row r="32" spans="1:11">
      <c r="A32" s="6800" t="str">
        <f>IF(Captura_Pegaso!A33="", "", "Pegaso")</f>
        <v>Pegaso</v>
      </c>
      <c r="B32" s="6801" t="str">
        <f>IF(Captura_Pegaso!A33="", "", Captura_Pegaso!N33)</f>
        <v>CP-PAP-25-029</v>
      </c>
      <c r="C32" s="6802" t="str">
        <f>IF(Captura_Pegaso!A33="", "", IFERROR(LOOKUP(2, 1/((Captura_Obra!$A$5:$A$1000=E32)*(Captura_Obra!$B$5:$B$1000=F32)*(Captura_Obra!$D$5:$D$1000=G32)), Captura_Obra!$N$5:$N$1000), "No Reportado"))</f>
        <v>No Reportado</v>
      </c>
      <c r="D32" s="6803" t="str">
        <f>IF(Captura_Pegaso!A33="", "", IF(J32=0, "✅ Cuadrado", IF(I32=0, "❌ Falta en Obra", "⚠️ Dif")))</f>
        <v>❌ Falta en Obra</v>
      </c>
      <c r="E32" s="6804">
        <f>IF(Captura_Pegaso!A33="", "", Captura_Pegaso!A33)</f>
        <v>46189</v>
      </c>
      <c r="F32" s="6805" t="str">
        <f>IF(Captura_Pegaso!A33="", "", Captura_Pegaso!D33)</f>
        <v>Planta Asfalto Pegaso</v>
      </c>
      <c r="G32" s="6806" t="str">
        <f>IF(Captura_Pegaso!A33="", "", Captura_Pegaso!E33)</f>
        <v>PETROLIZADORA (IMPACTO 04) FORD F800</v>
      </c>
      <c r="H32" s="6807">
        <f>IF(Captura_Pegaso!A33="", "", Captura_Pegaso!H33)</f>
        <v>51</v>
      </c>
      <c r="I32" s="6808">
        <f>IF(Captura_Pegaso!A33="", "", SUMIFS(Captura_Obra!$F:$F, Captura_Obra!$A:$A, E32, Captura_Obra!$B:$B, F32, Captura_Obra!$D:$D, G32))</f>
        <v>0</v>
      </c>
      <c r="J32" s="6809">
        <f>IF(Captura_Pegaso!A33="", "", H32 - I32)</f>
        <v>51</v>
      </c>
      <c r="K32" s="3841"/>
    </row>
    <row r="33" spans="1:11">
      <c r="A33" s="6810" t="str">
        <f>IF(Captura_Pegaso!A34="", "", "Pegaso")</f>
        <v>Pegaso</v>
      </c>
      <c r="B33" s="6811" t="str">
        <f>IF(Captura_Pegaso!A34="", "", Captura_Pegaso!N34)</f>
        <v>CP-PAP-25-030</v>
      </c>
      <c r="C33" s="6812" t="str">
        <f>IF(Captura_Pegaso!A34="", "", IFERROR(LOOKUP(2, 1/((Captura_Obra!$A$5:$A$1000=E33)*(Captura_Obra!$B$5:$B$1000=F33)*(Captura_Obra!$D$5:$D$1000=G33)), Captura_Obra!$N$5:$N$1000), "No Reportado"))</f>
        <v>No Reportado</v>
      </c>
      <c r="D33" s="6813" t="str">
        <f>IF(Captura_Pegaso!A34="", "", IF(J33=0, "✅ Cuadrado", IF(I33=0, "❌ Falta en Obra", "⚠️ Dif")))</f>
        <v>❌ Falta en Obra</v>
      </c>
      <c r="E33" s="6814">
        <f>IF(Captura_Pegaso!A34="", "", Captura_Pegaso!A34)</f>
        <v>46189</v>
      </c>
      <c r="F33" s="6815" t="str">
        <f>IF(Captura_Pegaso!A34="", "", Captura_Pegaso!D34)</f>
        <v>Planta Asfalto Pegaso</v>
      </c>
      <c r="G33" s="6816" t="str">
        <f>IF(Captura_Pegaso!A34="", "", Captura_Pegaso!E34)</f>
        <v>BIDONES</v>
      </c>
      <c r="H33" s="6817">
        <f>IF(Captura_Pegaso!A34="", "", Captura_Pegaso!H34)</f>
        <v>1001</v>
      </c>
      <c r="I33" s="6818">
        <f>IF(Captura_Pegaso!A34="", "", SUMIFS(Captura_Obra!$F:$F, Captura_Obra!$A:$A, E33, Captura_Obra!$B:$B, F33, Captura_Obra!$D:$D, G33))</f>
        <v>0</v>
      </c>
      <c r="J33" s="6819">
        <f>IF(Captura_Pegaso!A34="", "", H33 - I33)</f>
        <v>1001</v>
      </c>
      <c r="K33" s="3842"/>
    </row>
    <row r="34" spans="1:11">
      <c r="A34" s="6820" t="str">
        <f>IF(Captura_Pegaso!A35="", "", "Pegaso")</f>
        <v>Pegaso</v>
      </c>
      <c r="B34" s="6821" t="str">
        <f>IF(Captura_Pegaso!A35="", "", Captura_Pegaso!N35)</f>
        <v>CP-LT-25-031</v>
      </c>
      <c r="C34" s="6822" t="str">
        <f>IF(Captura_Pegaso!A35="", "", IFERROR(LOOKUP(2, 1/((Captura_Obra!$A$5:$A$1000=E34)*(Captura_Obra!$B$5:$B$1000=F34)*(Captura_Obra!$D$5:$D$1000=G34)), Captura_Obra!$N$5:$N$1000), "No Reportado"))</f>
        <v>CO-LT-25-090</v>
      </c>
      <c r="D34" s="6823" t="str">
        <f>IF(Captura_Pegaso!A35="", "", IF(J34=0, "✅ Cuadrado", IF(I34=0, "❌ Falta en Obra", "⚠️ Dif")))</f>
        <v>✅ Cuadrado</v>
      </c>
      <c r="E34" s="6824">
        <f>IF(Captura_Pegaso!A35="", "", Captura_Pegaso!A35)</f>
        <v>46189</v>
      </c>
      <c r="F34" s="6825" t="str">
        <f>IF(Captura_Pegaso!A35="", "", Captura_Pegaso!D35)</f>
        <v>Lerma - Tres Marías</v>
      </c>
      <c r="G34" s="6826" t="str">
        <f>IF(Captura_Pegaso!A35="", "", Captura_Pegaso!E35)</f>
        <v>PERFILADORA RODATEC RX600-4-4008</v>
      </c>
      <c r="H34" s="6827">
        <f>IF(Captura_Pegaso!A35="", "", Captura_Pegaso!H35)</f>
        <v>350</v>
      </c>
      <c r="I34" s="6828">
        <f>IF(Captura_Pegaso!A35="", "", SUMIFS(Captura_Obra!$F:$F, Captura_Obra!$A:$A, E34, Captura_Obra!$B:$B, F34, Captura_Obra!$D:$D, G34))</f>
        <v>350</v>
      </c>
      <c r="J34" s="6829">
        <f>IF(Captura_Pegaso!A35="", "", H34 - I34)</f>
        <v>0</v>
      </c>
      <c r="K34" s="3843"/>
    </row>
    <row r="35" spans="1:11">
      <c r="A35" s="6830" t="str">
        <f>IF(Captura_Pegaso!A36="", "", "Pegaso")</f>
        <v>Pegaso</v>
      </c>
      <c r="B35" s="6831" t="str">
        <f>IF(Captura_Pegaso!A36="", "", Captura_Pegaso!N36)</f>
        <v>CP-BT-25-032</v>
      </c>
      <c r="C35" s="6832" t="str">
        <f>IF(Captura_Pegaso!A36="", "", IFERROR(LOOKUP(2, 1/((Captura_Obra!$A$5:$A$1000=E35)*(Captura_Obra!$B$5:$B$1000=F35)*(Captura_Obra!$D$5:$D$1000=G35)), Captura_Obra!$N$5:$N$1000), "No Reportado"))</f>
        <v>CO-BT-25-091</v>
      </c>
      <c r="D35" s="6833" t="str">
        <f>IF(Captura_Pegaso!A36="", "", IF(J35=0, "✅ Cuadrado", IF(I35=0, "❌ Falta en Obra", "⚠️ Dif")))</f>
        <v>✅ Cuadrado</v>
      </c>
      <c r="E35" s="6834">
        <f>IF(Captura_Pegaso!A36="", "", Captura_Pegaso!A36)</f>
        <v>46189</v>
      </c>
      <c r="F35" s="6835" t="str">
        <f>IF(Captura_Pegaso!A36="", "", Captura_Pegaso!D36)</f>
        <v>Bacheo Toluca</v>
      </c>
      <c r="G35" s="6836" t="str">
        <f>IF(Captura_Pegaso!A36="", "", Captura_Pegaso!E36)</f>
        <v>PERFILADORA RODATEC RX600-4-4008</v>
      </c>
      <c r="H35" s="6837">
        <f>IF(Captura_Pegaso!A36="", "", Captura_Pegaso!H36)</f>
        <v>200</v>
      </c>
      <c r="I35" s="6838">
        <f>IF(Captura_Pegaso!A36="", "", SUMIFS(Captura_Obra!$F:$F, Captura_Obra!$A:$A, E35, Captura_Obra!$B:$B, F35, Captura_Obra!$D:$D, G35))</f>
        <v>200</v>
      </c>
      <c r="J35" s="6839">
        <f>IF(Captura_Pegaso!A36="", "", H35 - I35)</f>
        <v>0</v>
      </c>
      <c r="K35" s="3844"/>
    </row>
    <row r="36" spans="1:11">
      <c r="A36" s="6840" t="str">
        <f>IF(Captura_Pegaso!A37="", "", "Pegaso")</f>
        <v>Pegaso</v>
      </c>
      <c r="B36" s="6841" t="str">
        <f>IF(Captura_Pegaso!A37="", "", Captura_Pegaso!N37)</f>
        <v>CP-LT-25-033</v>
      </c>
      <c r="C36" s="6842" t="str">
        <f>IF(Captura_Pegaso!A37="", "", IFERROR(LOOKUP(2, 1/((Captura_Obra!$A$5:$A$1000=E36)*(Captura_Obra!$B$5:$B$1000=F36)*(Captura_Obra!$D$5:$D$1000=G36)), Captura_Obra!$N$5:$N$1000), "No Reportado"))</f>
        <v>CO-LT-25-092</v>
      </c>
      <c r="D36" s="6843" t="str">
        <f>IF(Captura_Pegaso!A37="", "", IF(J36=0, "✅ Cuadrado", IF(I36=0, "❌ Falta en Obra", "⚠️ Dif")))</f>
        <v>⚠️ Dif</v>
      </c>
      <c r="E36" s="6844">
        <f>IF(Captura_Pegaso!A37="", "", Captura_Pegaso!A37)</f>
        <v>46189</v>
      </c>
      <c r="F36" s="6845" t="str">
        <f>IF(Captura_Pegaso!A37="", "", Captura_Pegaso!D37)</f>
        <v>Lerma - Tres Marías</v>
      </c>
      <c r="G36" s="6846" t="str">
        <f>IF(Captura_Pegaso!A37="", "", Captura_Pegaso!E37)</f>
        <v>PIPA DE AGUA (IMPACTO 01) FORD</v>
      </c>
      <c r="H36" s="6847">
        <f>IF(Captura_Pegaso!A37="", "", Captura_Pegaso!H37)</f>
        <v>50</v>
      </c>
      <c r="I36" s="6848">
        <f>IF(Captura_Pegaso!A37="", "", SUMIFS(Captura_Obra!$F:$F, Captura_Obra!$A:$A, E36, Captura_Obra!$B:$B, F36, Captura_Obra!$D:$D, G36))</f>
        <v>100</v>
      </c>
      <c r="J36" s="6849">
        <f>IF(Captura_Pegaso!A37="", "", H36 - I36)</f>
        <v>-50</v>
      </c>
      <c r="K36" s="3845"/>
    </row>
    <row r="37" spans="1:11">
      <c r="A37" s="6850" t="str">
        <f>IF(Captura_Pegaso!A38="", "", "Pegaso")</f>
        <v>Pegaso</v>
      </c>
      <c r="B37" s="6851" t="str">
        <f>IF(Captura_Pegaso!A38="", "", Captura_Pegaso!N38)</f>
        <v>CP-LT-25-034</v>
      </c>
      <c r="C37" s="6852" t="str">
        <f>IF(Captura_Pegaso!A38="", "", IFERROR(LOOKUP(2, 1/((Captura_Obra!$A$5:$A$1000=E37)*(Captura_Obra!$B$5:$B$1000=F37)*(Captura_Obra!$D$5:$D$1000=G37)), Captura_Obra!$N$5:$N$1000), "No Reportado"))</f>
        <v>CO-LT-25-093</v>
      </c>
      <c r="D37" s="6853" t="str">
        <f>IF(Captura_Pegaso!A38="", "", IF(J37=0, "✅ Cuadrado", IF(I37=0, "❌ Falta en Obra", "⚠️ Dif")))</f>
        <v>✅ Cuadrado</v>
      </c>
      <c r="E37" s="6854">
        <f>IF(Captura_Pegaso!A38="", "", Captura_Pegaso!A38)</f>
        <v>46189</v>
      </c>
      <c r="F37" s="6855" t="str">
        <f>IF(Captura_Pegaso!A38="", "", Captura_Pegaso!D38)</f>
        <v>Lerma - Tres Marías</v>
      </c>
      <c r="G37" s="6856" t="str">
        <f>IF(Captura_Pegaso!A38="", "", Captura_Pegaso!E38)</f>
        <v>PAVIMENTADORA  VOGELE 1800-3 i</v>
      </c>
      <c r="H37" s="6857">
        <f>IF(Captura_Pegaso!A38="", "", Captura_Pegaso!H38)</f>
        <v>165</v>
      </c>
      <c r="I37" s="6858">
        <f>IF(Captura_Pegaso!A38="", "", SUMIFS(Captura_Obra!$F:$F, Captura_Obra!$A:$A, E37, Captura_Obra!$B:$B, F37, Captura_Obra!$D:$D, G37))</f>
        <v>165</v>
      </c>
      <c r="J37" s="6859">
        <f>IF(Captura_Pegaso!A38="", "", H37 - I37)</f>
        <v>0</v>
      </c>
      <c r="K37" s="3846"/>
    </row>
    <row r="38" spans="1:11">
      <c r="A38" s="6860" t="str">
        <f>IF(Captura_Pegaso!A39="", "", "Pegaso")</f>
        <v>Pegaso</v>
      </c>
      <c r="B38" s="6861" t="str">
        <f>IF(Captura_Pegaso!A39="", "", Captura_Pegaso!N39)</f>
        <v>CP-LT-25-035</v>
      </c>
      <c r="C38" s="6862" t="str">
        <f>IF(Captura_Pegaso!A39="", "", IFERROR(LOOKUP(2, 1/((Captura_Obra!$A$5:$A$1000=E38)*(Captura_Obra!$B$5:$B$1000=F38)*(Captura_Obra!$D$5:$D$1000=G38)), Captura_Obra!$N$5:$N$1000), "No Reportado"))</f>
        <v>CO-LT-25-100</v>
      </c>
      <c r="D38" s="6863" t="str">
        <f>IF(Captura_Pegaso!A39="", "", IF(J38=0, "✅ Cuadrado", IF(I38=0, "❌ Falta en Obra", "⚠️ Dif")))</f>
        <v>⚠️ Dif</v>
      </c>
      <c r="E38" s="6864">
        <f>IF(Captura_Pegaso!A39="", "", Captura_Pegaso!A39)</f>
        <v>46190</v>
      </c>
      <c r="F38" s="6865" t="str">
        <f>IF(Captura_Pegaso!A39="", "", Captura_Pegaso!D39)</f>
        <v>Lerma - Tres Marías</v>
      </c>
      <c r="G38" s="6866" t="str">
        <f>IF(Captura_Pegaso!A39="", "", Captura_Pegaso!E39)</f>
        <v>IMPACTO FORD 4300</v>
      </c>
      <c r="H38" s="6867">
        <f>IF(Captura_Pegaso!A39="", "", Captura_Pegaso!H39)</f>
        <v>81</v>
      </c>
      <c r="I38" s="6868">
        <f>IF(Captura_Pegaso!A39="", "", SUMIFS(Captura_Obra!$F:$F, Captura_Obra!$A:$A, E38, Captura_Obra!$B:$B, F38, Captura_Obra!$D:$D, G38))</f>
        <v>80</v>
      </c>
      <c r="J38" s="6869">
        <f>IF(Captura_Pegaso!A39="", "", H38 - I38)</f>
        <v>1</v>
      </c>
      <c r="K38" s="3847"/>
    </row>
    <row r="39" spans="1:11">
      <c r="A39" s="6870" t="str">
        <f>IF(Captura_Pegaso!A40="", "", "Pegaso")</f>
        <v>Pegaso</v>
      </c>
      <c r="B39" s="6871" t="str">
        <f>IF(Captura_Pegaso!A40="", "", Captura_Pegaso!N40)</f>
        <v>CP-LT-25-036</v>
      </c>
      <c r="C39" s="6872" t="str">
        <f>IF(Captura_Pegaso!A40="", "", IFERROR(LOOKUP(2, 1/((Captura_Obra!$A$5:$A$1000=E39)*(Captura_Obra!$B$5:$B$1000=F39)*(Captura_Obra!$D$5:$D$1000=G39)), Captura_Obra!$N$5:$N$1000), "No Reportado"))</f>
        <v>CO-LT-25-114</v>
      </c>
      <c r="D39" s="6873" t="str">
        <f>IF(Captura_Pegaso!A40="", "", IF(J39=0, "✅ Cuadrado", IF(I39=0, "❌ Falta en Obra", "⚠️ Dif")))</f>
        <v>✅ Cuadrado</v>
      </c>
      <c r="E39" s="6874">
        <f>IF(Captura_Pegaso!A40="", "", Captura_Pegaso!A40)</f>
        <v>46192</v>
      </c>
      <c r="F39" s="6875" t="str">
        <f>IF(Captura_Pegaso!A40="", "", Captura_Pegaso!D40)</f>
        <v>Lerma - Tres Marías</v>
      </c>
      <c r="G39" s="6876" t="str">
        <f>IF(Captura_Pegaso!A40="", "", Captura_Pegaso!E40)</f>
        <v>PETROLIZADORA    INTERNATIONAL</v>
      </c>
      <c r="H39" s="6877">
        <f>IF(Captura_Pegaso!A40="", "", Captura_Pegaso!H40)</f>
        <v>40</v>
      </c>
      <c r="I39" s="6878">
        <f>IF(Captura_Pegaso!A40="", "", SUMIFS(Captura_Obra!$F:$F, Captura_Obra!$A:$A, E39, Captura_Obra!$B:$B, F39, Captura_Obra!$D:$D, G39))</f>
        <v>40</v>
      </c>
      <c r="J39" s="6879">
        <f>IF(Captura_Pegaso!A40="", "", H39 - I39)</f>
        <v>0</v>
      </c>
      <c r="K39" s="3848"/>
    </row>
    <row r="40" spans="1:11">
      <c r="A40" s="6880" t="str">
        <f>IF(Captura_Pegaso!A41="", "", "Pegaso")</f>
        <v>Pegaso</v>
      </c>
      <c r="B40" s="6881" t="str">
        <f>IF(Captura_Pegaso!A41="", "", Captura_Pegaso!N41)</f>
        <v>CP-DR-25-037</v>
      </c>
      <c r="C40" s="6882" t="str">
        <f>IF(Captura_Pegaso!A41="", "", IFERROR(LOOKUP(2, 1/((Captura_Obra!$A$5:$A$1000=E40)*(Captura_Obra!$B$5:$B$1000=F40)*(Captura_Obra!$D$5:$D$1000=G40)), Captura_Obra!$N$5:$N$1000), "No Reportado"))</f>
        <v>CO-DR-25-115</v>
      </c>
      <c r="D40" s="6883" t="str">
        <f>IF(Captura_Pegaso!A41="", "", IF(J40=0, "✅ Cuadrado", IF(I40=0, "❌ Falta en Obra", "⚠️ Dif")))</f>
        <v>✅ Cuadrado</v>
      </c>
      <c r="E40" s="6884">
        <f>IF(Captura_Pegaso!A41="", "", Captura_Pegaso!A41)</f>
        <v>46192</v>
      </c>
      <c r="F40" s="6885" t="str">
        <f>IF(Captura_Pegaso!A41="", "", Captura_Pegaso!D41)</f>
        <v>Dragones</v>
      </c>
      <c r="G40" s="6886" t="str">
        <f>IF(Captura_Pegaso!A41="", "", Captura_Pegaso!E41)</f>
        <v>PETROLIZADORA    INTERNATIONAL</v>
      </c>
      <c r="H40" s="6887">
        <f>IF(Captura_Pegaso!A41="", "", Captura_Pegaso!H41)</f>
        <v>40</v>
      </c>
      <c r="I40" s="6888">
        <f>IF(Captura_Pegaso!A41="", "", SUMIFS(Captura_Obra!$F:$F, Captura_Obra!$A:$A, E40, Captura_Obra!$B:$B, F40, Captura_Obra!$D:$D, G40))</f>
        <v>40</v>
      </c>
      <c r="J40" s="6889">
        <f>IF(Captura_Pegaso!A41="", "", H40 - I40)</f>
        <v>0</v>
      </c>
      <c r="K40" s="3849"/>
    </row>
    <row r="41" spans="1:11">
      <c r="A41" s="6890" t="str">
        <f>IF(Captura_Pegaso!A42="", "", "Pegaso")</f>
        <v>Pegaso</v>
      </c>
      <c r="B41" s="6891" t="str">
        <f>IF(Captura_Pegaso!A42="", "", Captura_Pegaso!N42)</f>
        <v>CP-LT-25-038</v>
      </c>
      <c r="C41" s="6892" t="str">
        <f>IF(Captura_Pegaso!A42="", "", IFERROR(LOOKUP(2, 1/((Captura_Obra!$A$5:$A$1000=E41)*(Captura_Obra!$B$5:$B$1000=F41)*(Captura_Obra!$D$5:$D$1000=G41)), Captura_Obra!$N$5:$N$1000), "No Reportado"))</f>
        <v>CO-LT-25-116</v>
      </c>
      <c r="D41" s="6893" t="str">
        <f>IF(Captura_Pegaso!A42="", "", IF(J41=0, "✅ Cuadrado", IF(I41=0, "❌ Falta en Obra", "⚠️ Dif")))</f>
        <v>✅ Cuadrado</v>
      </c>
      <c r="E41" s="6894">
        <f>IF(Captura_Pegaso!A42="", "", Captura_Pegaso!A42)</f>
        <v>46192</v>
      </c>
      <c r="F41" s="6895" t="str">
        <f>IF(Captura_Pegaso!A42="", "", Captura_Pegaso!D42)</f>
        <v>Lerma - Tres Marías</v>
      </c>
      <c r="G41" s="6896" t="str">
        <f>IF(Captura_Pegaso!A42="", "", Captura_Pegaso!E42)</f>
        <v>BARREDORA LAYMOR SM400</v>
      </c>
      <c r="H41" s="6897">
        <f>IF(Captura_Pegaso!A42="", "", Captura_Pegaso!H42)</f>
        <v>43</v>
      </c>
      <c r="I41" s="6898">
        <f>IF(Captura_Pegaso!A42="", "", SUMIFS(Captura_Obra!$F:$F, Captura_Obra!$A:$A, E41, Captura_Obra!$B:$B, F41, Captura_Obra!$D:$D, G41))</f>
        <v>43</v>
      </c>
      <c r="J41" s="6899">
        <f>IF(Captura_Pegaso!A42="", "", H41 - I41)</f>
        <v>0</v>
      </c>
      <c r="K41" s="3850"/>
    </row>
    <row r="42" spans="1:11">
      <c r="A42" s="6900" t="str">
        <f>IF(Captura_Pegaso!A43="", "", "Pegaso")</f>
        <v>Pegaso</v>
      </c>
      <c r="B42" s="6901" t="str">
        <f>IF(Captura_Pegaso!A43="", "", Captura_Pegaso!N43)</f>
        <v>CP-LT-25-039</v>
      </c>
      <c r="C42" s="6902" t="str">
        <f>IF(Captura_Pegaso!A43="", "", IFERROR(LOOKUP(2, 1/((Captura_Obra!$A$5:$A$1000=E42)*(Captura_Obra!$B$5:$B$1000=F42)*(Captura_Obra!$D$5:$D$1000=G42)), Captura_Obra!$N$5:$N$1000), "No Reportado"))</f>
        <v>CO-LT-25-117</v>
      </c>
      <c r="D42" s="6903" t="str">
        <f>IF(Captura_Pegaso!A43="", "", IF(J42=0, "✅ Cuadrado", IF(I42=0, "❌ Falta en Obra", "⚠️ Dif")))</f>
        <v>✅ Cuadrado</v>
      </c>
      <c r="E42" s="6904">
        <f>IF(Captura_Pegaso!A43="", "", Captura_Pegaso!A43)</f>
        <v>46192</v>
      </c>
      <c r="F42" s="6905" t="str">
        <f>IF(Captura_Pegaso!A43="", "", Captura_Pegaso!D43)</f>
        <v>Lerma - Tres Marías</v>
      </c>
      <c r="G42" s="6906" t="str">
        <f>IF(Captura_Pegaso!A43="", "", Captura_Pegaso!E43)</f>
        <v>TANDEM DOBLE RODILLO / VIBROCOMPACTOR RODILLO CAT CB54</v>
      </c>
      <c r="H42" s="6907">
        <f>IF(Captura_Pegaso!A43="", "", Captura_Pegaso!H43)</f>
        <v>50</v>
      </c>
      <c r="I42" s="6908">
        <f>IF(Captura_Pegaso!A43="", "", SUMIFS(Captura_Obra!$F:$F, Captura_Obra!$A:$A, E42, Captura_Obra!$B:$B, F42, Captura_Obra!$D:$D, G42))</f>
        <v>50</v>
      </c>
      <c r="J42" s="6909">
        <f>IF(Captura_Pegaso!A43="", "", H42 - I42)</f>
        <v>0</v>
      </c>
      <c r="K42" s="3851"/>
    </row>
    <row r="43" spans="1:11">
      <c r="A43" s="6910" t="str">
        <f>IF(Captura_Pegaso!A44="", "", "Pegaso")</f>
        <v>Pegaso</v>
      </c>
      <c r="B43" s="6911" t="str">
        <f>IF(Captura_Pegaso!A44="", "", Captura_Pegaso!N44)</f>
        <v>CP-LT-25-040</v>
      </c>
      <c r="C43" s="6912" t="str">
        <f>IF(Captura_Pegaso!A44="", "", IFERROR(LOOKUP(2, 1/((Captura_Obra!$A$5:$A$1000=E43)*(Captura_Obra!$B$5:$B$1000=F43)*(Captura_Obra!$D$5:$D$1000=G43)), Captura_Obra!$N$5:$N$1000), "No Reportado"))</f>
        <v>CO-LT-25-118</v>
      </c>
      <c r="D43" s="6913" t="str">
        <f>IF(Captura_Pegaso!A44="", "", IF(J43=0, "✅ Cuadrado", IF(I43=0, "❌ Falta en Obra", "⚠️ Dif")))</f>
        <v>✅ Cuadrado</v>
      </c>
      <c r="E43" s="6914">
        <f>IF(Captura_Pegaso!A44="", "", Captura_Pegaso!A44)</f>
        <v>46192</v>
      </c>
      <c r="F43" s="6915" t="str">
        <f>IF(Captura_Pegaso!A44="", "", Captura_Pegaso!D44)</f>
        <v>Lerma - Tres Marías</v>
      </c>
      <c r="G43" s="6916" t="str">
        <f>IF(Captura_Pegaso!A44="", "", Captura_Pegaso!E44)</f>
        <v>RETROEXCAVADORA JHONDEREE 310SK</v>
      </c>
      <c r="H43" s="6917">
        <f>IF(Captura_Pegaso!A44="", "", Captura_Pegaso!H44)</f>
        <v>80</v>
      </c>
      <c r="I43" s="6918">
        <f>IF(Captura_Pegaso!A44="", "", SUMIFS(Captura_Obra!$F:$F, Captura_Obra!$A:$A, E43, Captura_Obra!$B:$B, F43, Captura_Obra!$D:$D, G43))</f>
        <v>80</v>
      </c>
      <c r="J43" s="6919">
        <f>IF(Captura_Pegaso!A44="", "", H43 - I43)</f>
        <v>0</v>
      </c>
      <c r="K43" s="3852"/>
    </row>
    <row r="44" spans="1:11">
      <c r="A44" s="6920" t="str">
        <f>IF(Captura_Pegaso!A45="", "", "Pegaso")</f>
        <v>Pegaso</v>
      </c>
      <c r="B44" s="6921" t="str">
        <f>IF(Captura_Pegaso!A45="", "", Captura_Pegaso!N45)</f>
        <v>CP-LT-25-041</v>
      </c>
      <c r="C44" s="6922" t="str">
        <f>IF(Captura_Pegaso!A45="", "", IFERROR(LOOKUP(2, 1/((Captura_Obra!$A$5:$A$1000=E44)*(Captura_Obra!$B$5:$B$1000=F44)*(Captura_Obra!$D$5:$D$1000=G44)), Captura_Obra!$N$5:$N$1000), "No Reportado"))</f>
        <v>CO-LT-25-119</v>
      </c>
      <c r="D44" s="6923" t="str">
        <f>IF(Captura_Pegaso!A45="", "", IF(J44=0, "✅ Cuadrado", IF(I44=0, "❌ Falta en Obra", "⚠️ Dif")))</f>
        <v>✅ Cuadrado</v>
      </c>
      <c r="E44" s="6924">
        <f>IF(Captura_Pegaso!A45="", "", Captura_Pegaso!A45)</f>
        <v>46192</v>
      </c>
      <c r="F44" s="6925" t="str">
        <f>IF(Captura_Pegaso!A45="", "", Captura_Pegaso!D45)</f>
        <v>Lerma - Tres Marías</v>
      </c>
      <c r="G44" s="6926" t="str">
        <f>IF(Captura_Pegaso!A45="", "", Captura_Pegaso!E45)</f>
        <v>NEUMATICO / COMPACTADOR DE NEUMATICOS DINAPAC CP271</v>
      </c>
      <c r="H44" s="6927">
        <f>IF(Captura_Pegaso!A45="", "", Captura_Pegaso!H45)</f>
        <v>30</v>
      </c>
      <c r="I44" s="6928">
        <f>IF(Captura_Pegaso!A45="", "", SUMIFS(Captura_Obra!$F:$F, Captura_Obra!$A:$A, E44, Captura_Obra!$B:$B, F44, Captura_Obra!$D:$D, G44))</f>
        <v>30</v>
      </c>
      <c r="J44" s="6929">
        <f>IF(Captura_Pegaso!A45="", "", H44 - I44)</f>
        <v>0</v>
      </c>
      <c r="K44" s="3853"/>
    </row>
    <row r="45" spans="1:11">
      <c r="A45" s="6930" t="str">
        <f>IF(Captura_Pegaso!A46="", "", "Pegaso")</f>
        <v>Pegaso</v>
      </c>
      <c r="B45" s="6931" t="str">
        <f>IF(Captura_Pegaso!A46="", "", Captura_Pegaso!N46)</f>
        <v>CP-LT-25-042</v>
      </c>
      <c r="C45" s="6932" t="str">
        <f>IF(Captura_Pegaso!A46="", "", IFERROR(LOOKUP(2, 1/((Captura_Obra!$A$5:$A$1000=E45)*(Captura_Obra!$B$5:$B$1000=F45)*(Captura_Obra!$D$5:$D$1000=G45)), Captura_Obra!$N$5:$N$1000), "No Reportado"))</f>
        <v>CO-LT-25-120</v>
      </c>
      <c r="D45" s="6933" t="str">
        <f>IF(Captura_Pegaso!A46="", "", IF(J45=0, "✅ Cuadrado", IF(I45=0, "❌ Falta en Obra", "⚠️ Dif")))</f>
        <v>✅ Cuadrado</v>
      </c>
      <c r="E45" s="6934">
        <f>IF(Captura_Pegaso!A46="", "", Captura_Pegaso!A46)</f>
        <v>46192</v>
      </c>
      <c r="F45" s="6935" t="str">
        <f>IF(Captura_Pegaso!A46="", "", Captura_Pegaso!D46)</f>
        <v>Lerma - Tres Marías</v>
      </c>
      <c r="G45" s="6936" t="str">
        <f>IF(Captura_Pegaso!A46="", "", Captura_Pegaso!E46)</f>
        <v>PAVIMENTADORA  VOGELE 1800-3 i</v>
      </c>
      <c r="H45" s="6937">
        <f>IF(Captura_Pegaso!A46="", "", Captura_Pegaso!H46)</f>
        <v>160</v>
      </c>
      <c r="I45" s="6938">
        <f>IF(Captura_Pegaso!A46="", "", SUMIFS(Captura_Obra!$F:$F, Captura_Obra!$A:$A, E45, Captura_Obra!$B:$B, F45, Captura_Obra!$D:$D, G45))</f>
        <v>160</v>
      </c>
      <c r="J45" s="6939">
        <f>IF(Captura_Pegaso!A46="", "", H45 - I45)</f>
        <v>0</v>
      </c>
      <c r="K45" s="3854"/>
    </row>
    <row r="46" spans="1:11">
      <c r="A46" s="6940" t="str">
        <f>IF(Captura_Pegaso!A47="", "", "Pegaso")</f>
        <v>Pegaso</v>
      </c>
      <c r="B46" s="6941" t="str">
        <f>IF(Captura_Pegaso!A47="", "", Captura_Pegaso!N47)</f>
        <v>CP-LT-25-043</v>
      </c>
      <c r="C46" s="6942" t="str">
        <f>IF(Captura_Pegaso!A47="", "", IFERROR(LOOKUP(2, 1/((Captura_Obra!$A$5:$A$1000=E46)*(Captura_Obra!$B$5:$B$1000=F46)*(Captura_Obra!$D$5:$D$1000=G46)), Captura_Obra!$N$5:$N$1000), "No Reportado"))</f>
        <v>CO-LT-25-121</v>
      </c>
      <c r="D46" s="6943" t="str">
        <f>IF(Captura_Pegaso!A47="", "", IF(J46=0, "✅ Cuadrado", IF(I46=0, "❌ Falta en Obra", "⚠️ Dif")))</f>
        <v>✅ Cuadrado</v>
      </c>
      <c r="E46" s="6944">
        <f>IF(Captura_Pegaso!A47="", "", Captura_Pegaso!A47)</f>
        <v>46192</v>
      </c>
      <c r="F46" s="6945" t="str">
        <f>IF(Captura_Pegaso!A47="", "", Captura_Pegaso!D47)</f>
        <v>Lerma - Tres Marías</v>
      </c>
      <c r="G46" s="6946" t="str">
        <f>IF(Captura_Pegaso!A47="", "", Captura_Pegaso!E47)</f>
        <v>PIPA DE AGUA (IMPACTO 01) FORD</v>
      </c>
      <c r="H46" s="6947">
        <f>IF(Captura_Pegaso!A47="", "", Captura_Pegaso!H47)</f>
        <v>50</v>
      </c>
      <c r="I46" s="6948">
        <f>IF(Captura_Pegaso!A47="", "", SUMIFS(Captura_Obra!$F:$F, Captura_Obra!$A:$A, E46, Captura_Obra!$B:$B, F46, Captura_Obra!$D:$D, G46))</f>
        <v>50</v>
      </c>
      <c r="J46" s="6949">
        <f>IF(Captura_Pegaso!A47="", "", H46 - I46)</f>
        <v>0</v>
      </c>
      <c r="K46" s="3855"/>
    </row>
    <row r="47" spans="1:11">
      <c r="A47" s="6950" t="str">
        <f>IF(Captura_Pegaso!A48="", "", "Pegaso")</f>
        <v>Pegaso</v>
      </c>
      <c r="B47" s="6951" t="str">
        <f>IF(Captura_Pegaso!A48="", "", Captura_Pegaso!N48)</f>
        <v>CP-BT-25-044</v>
      </c>
      <c r="C47" s="6952" t="str">
        <f>IF(Captura_Pegaso!A48="", "", IFERROR(LOOKUP(2, 1/((Captura_Obra!$A$5:$A$1000=E47)*(Captura_Obra!$B$5:$B$1000=F47)*(Captura_Obra!$D$5:$D$1000=G47)), Captura_Obra!$N$5:$N$1000), "No Reportado"))</f>
        <v>CO-BT-25-128</v>
      </c>
      <c r="D47" s="6953" t="str">
        <f>IF(Captura_Pegaso!A48="", "", IF(J47=0, "✅ Cuadrado", IF(I47=0, "❌ Falta en Obra", "⚠️ Dif")))</f>
        <v>⚠️ Dif</v>
      </c>
      <c r="E47" s="6954">
        <f>IF(Captura_Pegaso!A48="", "", Captura_Pegaso!A48)</f>
        <v>46192</v>
      </c>
      <c r="F47" s="6955" t="str">
        <f>IF(Captura_Pegaso!A48="", "", Captura_Pegaso!D48)</f>
        <v>Bacheo Toluca</v>
      </c>
      <c r="G47" s="6956" t="str">
        <f>IF(Captura_Pegaso!A48="", "", Captura_Pegaso!E48)</f>
        <v>RETROEXCAVADORA CASE 580 N</v>
      </c>
      <c r="H47" s="6957">
        <f>IF(Captura_Pegaso!A48="", "", Captura_Pegaso!H48)</f>
        <v>60</v>
      </c>
      <c r="I47" s="6958">
        <f>IF(Captura_Pegaso!A48="", "", SUMIFS(Captura_Obra!$F:$F, Captura_Obra!$A:$A, E47, Captura_Obra!$B:$B, F47, Captura_Obra!$D:$D, G47))</f>
        <v>110</v>
      </c>
      <c r="J47" s="6959">
        <f>IF(Captura_Pegaso!A48="", "", H47 - I47)</f>
        <v>-50</v>
      </c>
      <c r="K47" s="3856"/>
    </row>
    <row r="48" spans="1:11">
      <c r="A48" s="6960" t="str">
        <f>IF(Captura_Pegaso!A49="", "", "Pegaso")</f>
        <v>Pegaso</v>
      </c>
      <c r="B48" s="6961" t="str">
        <f>IF(Captura_Pegaso!A49="", "", Captura_Pegaso!N49)</f>
        <v>CP-BT-25-045</v>
      </c>
      <c r="C48" s="6962" t="str">
        <f>IF(Captura_Pegaso!A49="", "", IFERROR(LOOKUP(2, 1/((Captura_Obra!$A$5:$A$1000=E48)*(Captura_Obra!$B$5:$B$1000=F48)*(Captura_Obra!$D$5:$D$1000=G48)), Captura_Obra!$N$5:$N$1000), "No Reportado"))</f>
        <v>No Reportado</v>
      </c>
      <c r="D48" s="6963" t="str">
        <f>IF(Captura_Pegaso!A49="", "", IF(J48=0, "✅ Cuadrado", IF(I48=0, "❌ Falta en Obra", "⚠️ Dif")))</f>
        <v>❌ Falta en Obra</v>
      </c>
      <c r="E48" s="6964">
        <f>IF(Captura_Pegaso!A49="", "", Captura_Pegaso!A49)</f>
        <v>46193</v>
      </c>
      <c r="F48" s="6965" t="str">
        <f>IF(Captura_Pegaso!A49="", "", Captura_Pegaso!D49)</f>
        <v>Bacheo Toluca</v>
      </c>
      <c r="G48" s="6966" t="str">
        <f>IF(Captura_Pegaso!A49="", "", Captura_Pegaso!E49)</f>
        <v>BIDONES</v>
      </c>
      <c r="H48" s="6967">
        <f>IF(Captura_Pegaso!A49="", "", Captura_Pegaso!H49)</f>
        <v>70</v>
      </c>
      <c r="I48" s="6968">
        <f>IF(Captura_Pegaso!A49="", "", SUMIFS(Captura_Obra!$F:$F, Captura_Obra!$A:$A, E48, Captura_Obra!$B:$B, F48, Captura_Obra!$D:$D, G48))</f>
        <v>0</v>
      </c>
      <c r="J48" s="6969">
        <f>IF(Captura_Pegaso!A49="", "", H48 - I48)</f>
        <v>70</v>
      </c>
      <c r="K48" s="3857"/>
    </row>
    <row r="49" spans="1:11">
      <c r="A49" s="6970" t="str">
        <f>IF(Captura_Pegaso!A50="", "", "Pegaso")</f>
        <v>Pegaso</v>
      </c>
      <c r="B49" s="6971" t="str">
        <f>IF(Captura_Pegaso!A50="", "", Captura_Pegaso!N50)</f>
        <v>CP-PAP-25-046</v>
      </c>
      <c r="C49" s="6972" t="str">
        <f>IF(Captura_Pegaso!A50="", "", IFERROR(LOOKUP(2, 1/((Captura_Obra!$A$5:$A$1000=E49)*(Captura_Obra!$B$5:$B$1000=F49)*(Captura_Obra!$D$5:$D$1000=G49)), Captura_Obra!$N$5:$N$1000), "No Reportado"))</f>
        <v>No Reportado</v>
      </c>
      <c r="D49" s="6973" t="str">
        <f>IF(Captura_Pegaso!A50="", "", IF(J49=0, "✅ Cuadrado", IF(I49=0, "❌ Falta en Obra", "⚠️ Dif")))</f>
        <v>❌ Falta en Obra</v>
      </c>
      <c r="E49" s="6974">
        <f>IF(Captura_Pegaso!A50="", "", Captura_Pegaso!A50)</f>
        <v>46193</v>
      </c>
      <c r="F49" s="6975" t="str">
        <f>IF(Captura_Pegaso!A50="", "", Captura_Pegaso!D50)</f>
        <v>Planta Asfalto Pegaso</v>
      </c>
      <c r="G49" s="6976" t="str">
        <f>IF(Captura_Pegaso!A50="", "", Captura_Pegaso!E50)</f>
        <v>BIDONES</v>
      </c>
      <c r="H49" s="6977">
        <f>IF(Captura_Pegaso!A50="", "", Captura_Pegaso!H50)</f>
        <v>600</v>
      </c>
      <c r="I49" s="6978">
        <f>IF(Captura_Pegaso!A50="", "", SUMIFS(Captura_Obra!$F:$F, Captura_Obra!$A:$A, E49, Captura_Obra!$B:$B, F49, Captura_Obra!$D:$D, G49))</f>
        <v>0</v>
      </c>
      <c r="J49" s="6979">
        <f>IF(Captura_Pegaso!A50="", "", H49 - I49)</f>
        <v>600</v>
      </c>
      <c r="K49" s="3858"/>
    </row>
    <row r="50" spans="1:11">
      <c r="A50" s="6980" t="str">
        <f>IF(Captura_Pegaso!A51="", "", "Pegaso")</f>
        <v>Pegaso</v>
      </c>
      <c r="B50" s="6981" t="str">
        <f>IF(Captura_Pegaso!A51="", "", Captura_Pegaso!N51)</f>
        <v>CP-BT-25-047</v>
      </c>
      <c r="C50" s="6982" t="str">
        <f>IF(Captura_Pegaso!A51="", "", IFERROR(LOOKUP(2, 1/((Captura_Obra!$A$5:$A$1000=E50)*(Captura_Obra!$B$5:$B$1000=F50)*(Captura_Obra!$D$5:$D$1000=G50)), Captura_Obra!$N$5:$N$1000), "No Reportado"))</f>
        <v>CO-BT-25-076</v>
      </c>
      <c r="D50" s="6983" t="str">
        <f>IF(Captura_Pegaso!A51="", "", IF(J50=0, "✅ Cuadrado", IF(I50=0, "❌ Falta en Obra", "⚠️ Dif")))</f>
        <v>✅ Cuadrado</v>
      </c>
      <c r="E50" s="6984">
        <f>IF(Captura_Pegaso!A51="", "", Captura_Pegaso!A51)</f>
        <v>46188</v>
      </c>
      <c r="F50" s="6985" t="str">
        <f>IF(Captura_Pegaso!A51="", "", Captura_Pegaso!D51)</f>
        <v>Bacheo Toluca</v>
      </c>
      <c r="G50" s="6986" t="str">
        <f>IF(Captura_Pegaso!A51="", "", Captura_Pegaso!E51)</f>
        <v>PERFILADORA RODATEC RX600E</v>
      </c>
      <c r="H50" s="6987">
        <f>IF(Captura_Pegaso!A51="", "", Captura_Pegaso!H51)</f>
        <v>200</v>
      </c>
      <c r="I50" s="6988">
        <f>IF(Captura_Pegaso!A51="", "", SUMIFS(Captura_Obra!$F:$F, Captura_Obra!$A:$A, E50, Captura_Obra!$B:$B, F50, Captura_Obra!$D:$D, G50))</f>
        <v>200</v>
      </c>
      <c r="J50" s="6989">
        <f>IF(Captura_Pegaso!A51="", "", H50 - I50)</f>
        <v>0</v>
      </c>
      <c r="K50" s="3859"/>
    </row>
    <row r="51" spans="1:11">
      <c r="A51" s="6990" t="str">
        <f>IF(Captura_Pegaso!A52="", "", "Pegaso")</f>
        <v>Pegaso</v>
      </c>
      <c r="B51" s="6991" t="str">
        <f>IF(Captura_Pegaso!A52="", "", Captura_Pegaso!N52)</f>
        <v>CP-FOL-26-048</v>
      </c>
      <c r="C51" s="6992" t="str">
        <f>IF(Captura_Pegaso!A52="", "", IFERROR(LOOKUP(2, 1/((Captura_Obra!$A$5:$A$1000=E51)*(Captura_Obra!$B$5:$B$1000=F51)*(Captura_Obra!$D$5:$D$1000=G51)), Captura_Obra!$N$5:$N$1000), "No Reportado"))</f>
        <v>No Reportado</v>
      </c>
      <c r="D51" s="6993" t="str">
        <f>IF(Captura_Pegaso!A52="", "", IF(J51=0, "✅ Cuadrado", IF(I51=0, "❌ Falta en Obra", "⚠️ Dif")))</f>
        <v>✅ Cuadrado</v>
      </c>
      <c r="E51" s="6994">
        <f>IF(Captura_Pegaso!A52="", "", Captura_Pegaso!A52)</f>
        <v>46195</v>
      </c>
      <c r="F51" s="6995">
        <f>IF(Captura_Pegaso!A52="", "", Captura_Pegaso!D52)</f>
        <v>0</v>
      </c>
      <c r="G51" s="6996">
        <f>IF(Captura_Pegaso!A52="", "", Captura_Pegaso!E52)</f>
        <v>0</v>
      </c>
      <c r="H51" s="6997">
        <f>IF(Captura_Pegaso!A52="", "", Captura_Pegaso!H52)</f>
        <v>0</v>
      </c>
      <c r="I51" s="6998">
        <f>IF(Captura_Pegaso!A52="", "", SUMIFS(Captura_Obra!$F:$F, Captura_Obra!$A:$A, E51, Captura_Obra!$B:$B, F51, Captura_Obra!$D:$D, G51))</f>
        <v>0</v>
      </c>
      <c r="J51" s="6999">
        <f>IF(Captura_Pegaso!A52="", "", H51 - I51)</f>
        <v>0</v>
      </c>
      <c r="K51" s="3860"/>
    </row>
    <row r="52" spans="1:11">
      <c r="A52" s="7000" t="str">
        <f>IF(Captura_Pegaso!A53="", "", "Pegaso")</f>
        <v/>
      </c>
      <c r="B52" s="7001" t="str">
        <f>IF(Captura_Pegaso!A53="", "", Captura_Pegaso!N53)</f>
        <v/>
      </c>
      <c r="C52" s="7002" t="str">
        <f>IF(Captura_Pegaso!A53="", "", IFERROR(LOOKUP(2, 1/((Captura_Obra!$A$5:$A$1000=E52)*(Captura_Obra!$B$5:$B$1000=F52)*(Captura_Obra!$D$5:$D$1000=G52)), Captura_Obra!$N$5:$N$1000), "No Reportado"))</f>
        <v/>
      </c>
      <c r="D52" s="7003" t="str">
        <f>IF(Captura_Pegaso!A53="", "", IF(J52=0, "✅ Cuadrado", IF(I52=0, "❌ Falta en Obra", "⚠️ Dif")))</f>
        <v/>
      </c>
      <c r="E52" s="7004" t="str">
        <f>IF(Captura_Pegaso!A53="", "", Captura_Pegaso!A53)</f>
        <v/>
      </c>
      <c r="F52" s="7005" t="str">
        <f>IF(Captura_Pegaso!A53="", "", Captura_Pegaso!D53)</f>
        <v/>
      </c>
      <c r="G52" s="7006" t="str">
        <f>IF(Captura_Pegaso!A53="", "", Captura_Pegaso!E53)</f>
        <v/>
      </c>
      <c r="H52" s="7007" t="str">
        <f>IF(Captura_Pegaso!A53="", "", Captura_Pegaso!H53)</f>
        <v/>
      </c>
      <c r="I52" s="7008" t="str">
        <f>IF(Captura_Pegaso!A53="", "", SUMIFS(Captura_Obra!$F:$F, Captura_Obra!$A:$A, E52, Captura_Obra!$B:$B, F52, Captura_Obra!$D:$D, G52))</f>
        <v/>
      </c>
      <c r="J52" s="7009" t="str">
        <f>IF(Captura_Pegaso!A53="", "", H52 - I52)</f>
        <v/>
      </c>
      <c r="K52" s="3861"/>
    </row>
    <row r="53" spans="1:11">
      <c r="A53" s="7010" t="str">
        <f>IF(Captura_Pegaso!A54="", "", "Pegaso")</f>
        <v/>
      </c>
      <c r="B53" s="7011" t="str">
        <f>IF(Captura_Pegaso!A54="", "", Captura_Pegaso!N54)</f>
        <v/>
      </c>
      <c r="C53" s="7012" t="str">
        <f>IF(Captura_Pegaso!A54="", "", IFERROR(LOOKUP(2, 1/((Captura_Obra!$A$5:$A$1000=E53)*(Captura_Obra!$B$5:$B$1000=F53)*(Captura_Obra!$D$5:$D$1000=G53)), Captura_Obra!$N$5:$N$1000), "No Reportado"))</f>
        <v/>
      </c>
      <c r="D53" s="7013" t="str">
        <f>IF(Captura_Pegaso!A54="", "", IF(J53=0, "✅ Cuadrado", IF(I53=0, "❌ Falta en Obra", "⚠️ Dif")))</f>
        <v/>
      </c>
      <c r="E53" s="7014" t="str">
        <f>IF(Captura_Pegaso!A54="", "", Captura_Pegaso!A54)</f>
        <v/>
      </c>
      <c r="F53" s="7015" t="str">
        <f>IF(Captura_Pegaso!A54="", "", Captura_Pegaso!D54)</f>
        <v/>
      </c>
      <c r="G53" s="7016" t="str">
        <f>IF(Captura_Pegaso!A54="", "", Captura_Pegaso!E54)</f>
        <v/>
      </c>
      <c r="H53" s="7017" t="str">
        <f>IF(Captura_Pegaso!A54="", "", Captura_Pegaso!H54)</f>
        <v/>
      </c>
      <c r="I53" s="7018" t="str">
        <f>IF(Captura_Pegaso!A54="", "", SUMIFS(Captura_Obra!$F:$F, Captura_Obra!$A:$A, E53, Captura_Obra!$B:$B, F53, Captura_Obra!$D:$D, G53))</f>
        <v/>
      </c>
      <c r="J53" s="7019" t="str">
        <f>IF(Captura_Pegaso!A54="", "", H53 - I53)</f>
        <v/>
      </c>
      <c r="K53" s="3862"/>
    </row>
    <row r="54" spans="1:11">
      <c r="A54" s="7020" t="str">
        <f>IF(Captura_Pegaso!A55="", "", "Pegaso")</f>
        <v/>
      </c>
      <c r="B54" s="7021" t="str">
        <f>IF(Captura_Pegaso!A55="", "", Captura_Pegaso!N55)</f>
        <v/>
      </c>
      <c r="C54" s="7022" t="str">
        <f>IF(Captura_Pegaso!A55="", "", IFERROR(LOOKUP(2, 1/((Captura_Obra!$A$5:$A$1000=E54)*(Captura_Obra!$B$5:$B$1000=F54)*(Captura_Obra!$D$5:$D$1000=G54)), Captura_Obra!$N$5:$N$1000), "No Reportado"))</f>
        <v/>
      </c>
      <c r="D54" s="7023" t="str">
        <f>IF(Captura_Pegaso!A55="", "", IF(J54=0, "✅ Cuadrado", IF(I54=0, "❌ Falta en Obra", "⚠️ Dif")))</f>
        <v/>
      </c>
      <c r="E54" s="7024" t="str">
        <f>IF(Captura_Pegaso!A55="", "", Captura_Pegaso!A55)</f>
        <v/>
      </c>
      <c r="F54" s="7025" t="str">
        <f>IF(Captura_Pegaso!A55="", "", Captura_Pegaso!D55)</f>
        <v/>
      </c>
      <c r="G54" s="7026" t="str">
        <f>IF(Captura_Pegaso!A55="", "", Captura_Pegaso!E55)</f>
        <v/>
      </c>
      <c r="H54" s="7027" t="str">
        <f>IF(Captura_Pegaso!A55="", "", Captura_Pegaso!H55)</f>
        <v/>
      </c>
      <c r="I54" s="7028" t="str">
        <f>IF(Captura_Pegaso!A55="", "", SUMIFS(Captura_Obra!$F:$F, Captura_Obra!$A:$A, E54, Captura_Obra!$B:$B, F54, Captura_Obra!$D:$D, G54))</f>
        <v/>
      </c>
      <c r="J54" s="7029" t="str">
        <f>IF(Captura_Pegaso!A55="", "", H54 - I54)</f>
        <v/>
      </c>
      <c r="K54" s="3863"/>
    </row>
    <row r="55" spans="1:11">
      <c r="A55" s="7030" t="str">
        <f>IF(Captura_Pegaso!A56="", "", "Pegaso")</f>
        <v/>
      </c>
      <c r="B55" s="7031" t="str">
        <f>IF(Captura_Pegaso!A56="", "", Captura_Pegaso!N56)</f>
        <v/>
      </c>
      <c r="C55" s="7032" t="str">
        <f>IF(Captura_Pegaso!A56="", "", IFERROR(LOOKUP(2, 1/((Captura_Obra!$A$5:$A$1000=E55)*(Captura_Obra!$B$5:$B$1000=F55)*(Captura_Obra!$D$5:$D$1000=G55)), Captura_Obra!$N$5:$N$1000), "No Reportado"))</f>
        <v/>
      </c>
      <c r="D55" s="7033" t="str">
        <f>IF(Captura_Pegaso!A56="", "", IF(J55=0, "✅ Cuadrado", IF(I55=0, "❌ Falta en Obra", "⚠️ Dif")))</f>
        <v/>
      </c>
      <c r="E55" s="7034" t="str">
        <f>IF(Captura_Pegaso!A56="", "", Captura_Pegaso!A56)</f>
        <v/>
      </c>
      <c r="F55" s="7035" t="str">
        <f>IF(Captura_Pegaso!A56="", "", Captura_Pegaso!D56)</f>
        <v/>
      </c>
      <c r="G55" s="7036" t="str">
        <f>IF(Captura_Pegaso!A56="", "", Captura_Pegaso!E56)</f>
        <v/>
      </c>
      <c r="H55" s="7037" t="str">
        <f>IF(Captura_Pegaso!A56="", "", Captura_Pegaso!H56)</f>
        <v/>
      </c>
      <c r="I55" s="7038" t="str">
        <f>IF(Captura_Pegaso!A56="", "", SUMIFS(Captura_Obra!$F:$F, Captura_Obra!$A:$A, E55, Captura_Obra!$B:$B, F55, Captura_Obra!$D:$D, G55))</f>
        <v/>
      </c>
      <c r="J55" s="7039" t="str">
        <f>IF(Captura_Pegaso!A56="", "", H55 - I55)</f>
        <v/>
      </c>
      <c r="K55" s="3864"/>
    </row>
    <row r="56" spans="1:11">
      <c r="A56" s="7040" t="str">
        <f>IF(Captura_Pegaso!A57="", "", "Pegaso")</f>
        <v/>
      </c>
      <c r="B56" s="7041" t="str">
        <f>IF(Captura_Pegaso!A57="", "", Captura_Pegaso!N57)</f>
        <v/>
      </c>
      <c r="C56" s="7042" t="str">
        <f>IF(Captura_Pegaso!A57="", "", IFERROR(LOOKUP(2, 1/((Captura_Obra!$A$5:$A$1000=E56)*(Captura_Obra!$B$5:$B$1000=F56)*(Captura_Obra!$D$5:$D$1000=G56)), Captura_Obra!$N$5:$N$1000), "No Reportado"))</f>
        <v/>
      </c>
      <c r="D56" s="7043" t="str">
        <f>IF(Captura_Pegaso!A57="", "", IF(J56=0, "✅ Cuadrado", IF(I56=0, "❌ Falta en Obra", "⚠️ Dif")))</f>
        <v/>
      </c>
      <c r="E56" s="7044" t="str">
        <f>IF(Captura_Pegaso!A57="", "", Captura_Pegaso!A57)</f>
        <v/>
      </c>
      <c r="F56" s="7045" t="str">
        <f>IF(Captura_Pegaso!A57="", "", Captura_Pegaso!D57)</f>
        <v/>
      </c>
      <c r="G56" s="7046" t="str">
        <f>IF(Captura_Pegaso!A57="", "", Captura_Pegaso!E57)</f>
        <v/>
      </c>
      <c r="H56" s="7047" t="str">
        <f>IF(Captura_Pegaso!A57="", "", Captura_Pegaso!H57)</f>
        <v/>
      </c>
      <c r="I56" s="7048" t="str">
        <f>IF(Captura_Pegaso!A57="", "", SUMIFS(Captura_Obra!$F:$F, Captura_Obra!$A:$A, E56, Captura_Obra!$B:$B, F56, Captura_Obra!$D:$D, G56))</f>
        <v/>
      </c>
      <c r="J56" s="7049" t="str">
        <f>IF(Captura_Pegaso!A57="", "", H56 - I56)</f>
        <v/>
      </c>
      <c r="K56" s="3865"/>
    </row>
    <row r="57" spans="1:11">
      <c r="A57" s="7050" t="str">
        <f>IF(Captura_Pegaso!A58="", "", "Pegaso")</f>
        <v/>
      </c>
      <c r="B57" s="7051" t="str">
        <f>IF(Captura_Pegaso!A58="", "", Captura_Pegaso!N58)</f>
        <v/>
      </c>
      <c r="C57" s="7052" t="str">
        <f>IF(Captura_Pegaso!A58="", "", IFERROR(LOOKUP(2, 1/((Captura_Obra!$A$5:$A$1000=E57)*(Captura_Obra!$B$5:$B$1000=F57)*(Captura_Obra!$D$5:$D$1000=G57)), Captura_Obra!$N$5:$N$1000), "No Reportado"))</f>
        <v/>
      </c>
      <c r="D57" s="7053" t="str">
        <f>IF(Captura_Pegaso!A58="", "", IF(J57=0, "✅ Cuadrado", IF(I57=0, "❌ Falta en Obra", "⚠️ Dif")))</f>
        <v/>
      </c>
      <c r="E57" s="7054" t="str">
        <f>IF(Captura_Pegaso!A58="", "", Captura_Pegaso!A58)</f>
        <v/>
      </c>
      <c r="F57" s="7055" t="str">
        <f>IF(Captura_Pegaso!A58="", "", Captura_Pegaso!D58)</f>
        <v/>
      </c>
      <c r="G57" s="7056" t="str">
        <f>IF(Captura_Pegaso!A58="", "", Captura_Pegaso!E58)</f>
        <v/>
      </c>
      <c r="H57" s="7057" t="str">
        <f>IF(Captura_Pegaso!A58="", "", Captura_Pegaso!H58)</f>
        <v/>
      </c>
      <c r="I57" s="7058" t="str">
        <f>IF(Captura_Pegaso!A58="", "", SUMIFS(Captura_Obra!$F:$F, Captura_Obra!$A:$A, E57, Captura_Obra!$B:$B, F57, Captura_Obra!$D:$D, G57))</f>
        <v/>
      </c>
      <c r="J57" s="7059" t="str">
        <f>IF(Captura_Pegaso!A58="", "", H57 - I57)</f>
        <v/>
      </c>
      <c r="K57" s="3866"/>
    </row>
    <row r="58" spans="1:11">
      <c r="A58" s="7060" t="str">
        <f>IF(Captura_Pegaso!A59="", "", "Pegaso")</f>
        <v/>
      </c>
      <c r="B58" s="7061" t="str">
        <f>IF(Captura_Pegaso!A59="", "", Captura_Pegaso!N59)</f>
        <v/>
      </c>
      <c r="C58" s="7062" t="str">
        <f>IF(Captura_Pegaso!A59="", "", IFERROR(LOOKUP(2, 1/((Captura_Obra!$A$5:$A$1000=E58)*(Captura_Obra!$B$5:$B$1000=F58)*(Captura_Obra!$D$5:$D$1000=G58)), Captura_Obra!$N$5:$N$1000), "No Reportado"))</f>
        <v/>
      </c>
      <c r="D58" s="7063" t="str">
        <f>IF(Captura_Pegaso!A59="", "", IF(J58=0, "✅ Cuadrado", IF(I58=0, "❌ Falta en Obra", "⚠️ Dif")))</f>
        <v/>
      </c>
      <c r="E58" s="7064" t="str">
        <f>IF(Captura_Pegaso!A59="", "", Captura_Pegaso!A59)</f>
        <v/>
      </c>
      <c r="F58" s="7065" t="str">
        <f>IF(Captura_Pegaso!A59="", "", Captura_Pegaso!D59)</f>
        <v/>
      </c>
      <c r="G58" s="7066" t="str">
        <f>IF(Captura_Pegaso!A59="", "", Captura_Pegaso!E59)</f>
        <v/>
      </c>
      <c r="H58" s="7067" t="str">
        <f>IF(Captura_Pegaso!A59="", "", Captura_Pegaso!H59)</f>
        <v/>
      </c>
      <c r="I58" s="7068" t="str">
        <f>IF(Captura_Pegaso!A59="", "", SUMIFS(Captura_Obra!$F:$F, Captura_Obra!$A:$A, E58, Captura_Obra!$B:$B, F58, Captura_Obra!$D:$D, G58))</f>
        <v/>
      </c>
      <c r="J58" s="7069" t="str">
        <f>IF(Captura_Pegaso!A59="", "", H58 - I58)</f>
        <v/>
      </c>
      <c r="K58" s="3867"/>
    </row>
    <row r="59" spans="1:11">
      <c r="A59" s="7070" t="str">
        <f>IF(Captura_Pegaso!A60="", "", "Pegaso")</f>
        <v/>
      </c>
      <c r="B59" s="7071" t="str">
        <f>IF(Captura_Pegaso!A60="", "", Captura_Pegaso!N60)</f>
        <v/>
      </c>
      <c r="C59" s="7072" t="str">
        <f>IF(Captura_Pegaso!A60="", "", IFERROR(LOOKUP(2, 1/((Captura_Obra!$A$5:$A$1000=E59)*(Captura_Obra!$B$5:$B$1000=F59)*(Captura_Obra!$D$5:$D$1000=G59)), Captura_Obra!$N$5:$N$1000), "No Reportado"))</f>
        <v/>
      </c>
      <c r="D59" s="7073" t="str">
        <f>IF(Captura_Pegaso!A60="", "", IF(J59=0, "✅ Cuadrado", IF(I59=0, "❌ Falta en Obra", "⚠️ Dif")))</f>
        <v/>
      </c>
      <c r="E59" s="7074" t="str">
        <f>IF(Captura_Pegaso!A60="", "", Captura_Pegaso!A60)</f>
        <v/>
      </c>
      <c r="F59" s="7075" t="str">
        <f>IF(Captura_Pegaso!A60="", "", Captura_Pegaso!D60)</f>
        <v/>
      </c>
      <c r="G59" s="7076" t="str">
        <f>IF(Captura_Pegaso!A60="", "", Captura_Pegaso!E60)</f>
        <v/>
      </c>
      <c r="H59" s="7077" t="str">
        <f>IF(Captura_Pegaso!A60="", "", Captura_Pegaso!H60)</f>
        <v/>
      </c>
      <c r="I59" s="7078" t="str">
        <f>IF(Captura_Pegaso!A60="", "", SUMIFS(Captura_Obra!$F:$F, Captura_Obra!$A:$A, E59, Captura_Obra!$B:$B, F59, Captura_Obra!$D:$D, G59))</f>
        <v/>
      </c>
      <c r="J59" s="7079" t="str">
        <f>IF(Captura_Pegaso!A60="", "", H59 - I59)</f>
        <v/>
      </c>
      <c r="K59" s="3868"/>
    </row>
    <row r="60" spans="1:11">
      <c r="A60" s="7080" t="str">
        <f>IF(Captura_Pegaso!A61="", "", "Pegaso")</f>
        <v/>
      </c>
      <c r="B60" s="7081" t="str">
        <f>IF(Captura_Pegaso!A61="", "", Captura_Pegaso!N61)</f>
        <v/>
      </c>
      <c r="C60" s="7082" t="str">
        <f>IF(Captura_Pegaso!A61="", "", IFERROR(LOOKUP(2, 1/((Captura_Obra!$A$5:$A$1000=E60)*(Captura_Obra!$B$5:$B$1000=F60)*(Captura_Obra!$D$5:$D$1000=G60)), Captura_Obra!$N$5:$N$1000), "No Reportado"))</f>
        <v/>
      </c>
      <c r="D60" s="7083" t="str">
        <f>IF(Captura_Pegaso!A61="", "", IF(J60=0, "✅ Cuadrado", IF(I60=0, "❌ Falta en Obra", "⚠️ Dif")))</f>
        <v/>
      </c>
      <c r="E60" s="7084" t="str">
        <f>IF(Captura_Pegaso!A61="", "", Captura_Pegaso!A61)</f>
        <v/>
      </c>
      <c r="F60" s="7085" t="str">
        <f>IF(Captura_Pegaso!A61="", "", Captura_Pegaso!D61)</f>
        <v/>
      </c>
      <c r="G60" s="7086" t="str">
        <f>IF(Captura_Pegaso!A61="", "", Captura_Pegaso!E61)</f>
        <v/>
      </c>
      <c r="H60" s="7087" t="str">
        <f>IF(Captura_Pegaso!A61="", "", Captura_Pegaso!H61)</f>
        <v/>
      </c>
      <c r="I60" s="7088" t="str">
        <f>IF(Captura_Pegaso!A61="", "", SUMIFS(Captura_Obra!$F:$F, Captura_Obra!$A:$A, E60, Captura_Obra!$B:$B, F60, Captura_Obra!$D:$D, G60))</f>
        <v/>
      </c>
      <c r="J60" s="7089" t="str">
        <f>IF(Captura_Pegaso!A61="", "", H60 - I60)</f>
        <v/>
      </c>
      <c r="K60" s="3869"/>
    </row>
    <row r="61" spans="1:11">
      <c r="A61" s="7090" t="str">
        <f>IF(Captura_Pegaso!A62="", "", "Pegaso")</f>
        <v/>
      </c>
      <c r="B61" s="7091" t="str">
        <f>IF(Captura_Pegaso!A62="", "", Captura_Pegaso!N62)</f>
        <v/>
      </c>
      <c r="C61" s="7092" t="str">
        <f>IF(Captura_Pegaso!A62="", "", IFERROR(LOOKUP(2, 1/((Captura_Obra!$A$5:$A$1000=E61)*(Captura_Obra!$B$5:$B$1000=F61)*(Captura_Obra!$D$5:$D$1000=G61)), Captura_Obra!$N$5:$N$1000), "No Reportado"))</f>
        <v/>
      </c>
      <c r="D61" s="7093" t="str">
        <f>IF(Captura_Pegaso!A62="", "", IF(J61=0, "✅ Cuadrado", IF(I61=0, "❌ Falta en Obra", "⚠️ Dif")))</f>
        <v/>
      </c>
      <c r="E61" s="7094" t="str">
        <f>IF(Captura_Pegaso!A62="", "", Captura_Pegaso!A62)</f>
        <v/>
      </c>
      <c r="F61" s="7095" t="str">
        <f>IF(Captura_Pegaso!A62="", "", Captura_Pegaso!D62)</f>
        <v/>
      </c>
      <c r="G61" s="7096" t="str">
        <f>IF(Captura_Pegaso!A62="", "", Captura_Pegaso!E62)</f>
        <v/>
      </c>
      <c r="H61" s="7097" t="str">
        <f>IF(Captura_Pegaso!A62="", "", Captura_Pegaso!H62)</f>
        <v/>
      </c>
      <c r="I61" s="7098" t="str">
        <f>IF(Captura_Pegaso!A62="", "", SUMIFS(Captura_Obra!$F:$F, Captura_Obra!$A:$A, E61, Captura_Obra!$B:$B, F61, Captura_Obra!$D:$D, G61))</f>
        <v/>
      </c>
      <c r="J61" s="7099" t="str">
        <f>IF(Captura_Pegaso!A62="", "", H61 - I61)</f>
        <v/>
      </c>
      <c r="K61" s="3870"/>
    </row>
    <row r="62" spans="1:11">
      <c r="A62" s="7100" t="str">
        <f>IF(Captura_Pegaso!A63="", "", "Pegaso")</f>
        <v/>
      </c>
      <c r="B62" s="7101" t="str">
        <f>IF(Captura_Pegaso!A63="", "", Captura_Pegaso!N63)</f>
        <v/>
      </c>
      <c r="C62" s="7102" t="str">
        <f>IF(Captura_Pegaso!A63="", "", IFERROR(LOOKUP(2, 1/((Captura_Obra!$A$5:$A$1000=E62)*(Captura_Obra!$B$5:$B$1000=F62)*(Captura_Obra!$D$5:$D$1000=G62)), Captura_Obra!$N$5:$N$1000), "No Reportado"))</f>
        <v/>
      </c>
      <c r="D62" s="7103" t="str">
        <f>IF(Captura_Pegaso!A63="", "", IF(J62=0, "✅ Cuadrado", IF(I62=0, "❌ Falta en Obra", "⚠️ Dif")))</f>
        <v/>
      </c>
      <c r="E62" s="7104" t="str">
        <f>IF(Captura_Pegaso!A63="", "", Captura_Pegaso!A63)</f>
        <v/>
      </c>
      <c r="F62" s="7105" t="str">
        <f>IF(Captura_Pegaso!A63="", "", Captura_Pegaso!D63)</f>
        <v/>
      </c>
      <c r="G62" s="7106" t="str">
        <f>IF(Captura_Pegaso!A63="", "", Captura_Pegaso!E63)</f>
        <v/>
      </c>
      <c r="H62" s="7107" t="str">
        <f>IF(Captura_Pegaso!A63="", "", Captura_Pegaso!H63)</f>
        <v/>
      </c>
      <c r="I62" s="7108" t="str">
        <f>IF(Captura_Pegaso!A63="", "", SUMIFS(Captura_Obra!$F:$F, Captura_Obra!$A:$A, E62, Captura_Obra!$B:$B, F62, Captura_Obra!$D:$D, G62))</f>
        <v/>
      </c>
      <c r="J62" s="7109" t="str">
        <f>IF(Captura_Pegaso!A63="", "", H62 - I62)</f>
        <v/>
      </c>
      <c r="K62" s="3871"/>
    </row>
    <row r="63" spans="1:11">
      <c r="A63" s="7110" t="str">
        <f>IF(Captura_Pegaso!A64="", "", "Pegaso")</f>
        <v/>
      </c>
      <c r="B63" s="7111" t="str">
        <f>IF(Captura_Pegaso!A64="", "", Captura_Pegaso!N64)</f>
        <v/>
      </c>
      <c r="C63" s="7112" t="str">
        <f>IF(Captura_Pegaso!A64="", "", IFERROR(LOOKUP(2, 1/((Captura_Obra!$A$5:$A$1000=E63)*(Captura_Obra!$B$5:$B$1000=F63)*(Captura_Obra!$D$5:$D$1000=G63)), Captura_Obra!$N$5:$N$1000), "No Reportado"))</f>
        <v/>
      </c>
      <c r="D63" s="7113" t="str">
        <f>IF(Captura_Pegaso!A64="", "", IF(J63=0, "✅ Cuadrado", IF(I63=0, "❌ Falta en Obra", "⚠️ Dif")))</f>
        <v/>
      </c>
      <c r="E63" s="7114" t="str">
        <f>IF(Captura_Pegaso!A64="", "", Captura_Pegaso!A64)</f>
        <v/>
      </c>
      <c r="F63" s="7115" t="str">
        <f>IF(Captura_Pegaso!A64="", "", Captura_Pegaso!D64)</f>
        <v/>
      </c>
      <c r="G63" s="7116" t="str">
        <f>IF(Captura_Pegaso!A64="", "", Captura_Pegaso!E64)</f>
        <v/>
      </c>
      <c r="H63" s="7117" t="str">
        <f>IF(Captura_Pegaso!A64="", "", Captura_Pegaso!H64)</f>
        <v/>
      </c>
      <c r="I63" s="7118" t="str">
        <f>IF(Captura_Pegaso!A64="", "", SUMIFS(Captura_Obra!$F:$F, Captura_Obra!$A:$A, E63, Captura_Obra!$B:$B, F63, Captura_Obra!$D:$D, G63))</f>
        <v/>
      </c>
      <c r="J63" s="7119" t="str">
        <f>IF(Captura_Pegaso!A64="", "", H63 - I63)</f>
        <v/>
      </c>
      <c r="K63" s="3872"/>
    </row>
    <row r="64" spans="1:11">
      <c r="A64" s="7120" t="str">
        <f>IF(Captura_Pegaso!A65="", "", "Pegaso")</f>
        <v/>
      </c>
      <c r="B64" s="7121" t="str">
        <f>IF(Captura_Pegaso!A65="", "", Captura_Pegaso!N65)</f>
        <v/>
      </c>
      <c r="C64" s="7122" t="str">
        <f>IF(Captura_Pegaso!A65="", "", IFERROR(LOOKUP(2, 1/((Captura_Obra!$A$5:$A$1000=E64)*(Captura_Obra!$B$5:$B$1000=F64)*(Captura_Obra!$D$5:$D$1000=G64)), Captura_Obra!$N$5:$N$1000), "No Reportado"))</f>
        <v/>
      </c>
      <c r="D64" s="7123" t="str">
        <f>IF(Captura_Pegaso!A65="", "", IF(J64=0, "✅ Cuadrado", IF(I64=0, "❌ Falta en Obra", "⚠️ Dif")))</f>
        <v/>
      </c>
      <c r="E64" s="7124" t="str">
        <f>IF(Captura_Pegaso!A65="", "", Captura_Pegaso!A65)</f>
        <v/>
      </c>
      <c r="F64" s="7125" t="str">
        <f>IF(Captura_Pegaso!A65="", "", Captura_Pegaso!D65)</f>
        <v/>
      </c>
      <c r="G64" s="7126" t="str">
        <f>IF(Captura_Pegaso!A65="", "", Captura_Pegaso!E65)</f>
        <v/>
      </c>
      <c r="H64" s="7127" t="str">
        <f>IF(Captura_Pegaso!A65="", "", Captura_Pegaso!H65)</f>
        <v/>
      </c>
      <c r="I64" s="7128" t="str">
        <f>IF(Captura_Pegaso!A65="", "", SUMIFS(Captura_Obra!$F:$F, Captura_Obra!$A:$A, E64, Captura_Obra!$B:$B, F64, Captura_Obra!$D:$D, G64))</f>
        <v/>
      </c>
      <c r="J64" s="7129" t="str">
        <f>IF(Captura_Pegaso!A65="", "", H64 - I64)</f>
        <v/>
      </c>
      <c r="K64" s="3873"/>
    </row>
    <row r="65" spans="1:11">
      <c r="A65" s="7130" t="str">
        <f>IF(Captura_Pegaso!A66="", "", "Pegaso")</f>
        <v/>
      </c>
      <c r="B65" s="7131" t="str">
        <f>IF(Captura_Pegaso!A66="", "", Captura_Pegaso!N66)</f>
        <v/>
      </c>
      <c r="C65" s="7132" t="str">
        <f>IF(Captura_Pegaso!A66="", "", IFERROR(LOOKUP(2, 1/((Captura_Obra!$A$5:$A$1000=E65)*(Captura_Obra!$B$5:$B$1000=F65)*(Captura_Obra!$D$5:$D$1000=G65)), Captura_Obra!$N$5:$N$1000), "No Reportado"))</f>
        <v/>
      </c>
      <c r="D65" s="7133" t="str">
        <f>IF(Captura_Pegaso!A66="", "", IF(J65=0, "✅ Cuadrado", IF(I65=0, "❌ Falta en Obra", "⚠️ Dif")))</f>
        <v/>
      </c>
      <c r="E65" s="7134" t="str">
        <f>IF(Captura_Pegaso!A66="", "", Captura_Pegaso!A66)</f>
        <v/>
      </c>
      <c r="F65" s="7135" t="str">
        <f>IF(Captura_Pegaso!A66="", "", Captura_Pegaso!D66)</f>
        <v/>
      </c>
      <c r="G65" s="7136" t="str">
        <f>IF(Captura_Pegaso!A66="", "", Captura_Pegaso!E66)</f>
        <v/>
      </c>
      <c r="H65" s="7137" t="str">
        <f>IF(Captura_Pegaso!A66="", "", Captura_Pegaso!H66)</f>
        <v/>
      </c>
      <c r="I65" s="7138" t="str">
        <f>IF(Captura_Pegaso!A66="", "", SUMIFS(Captura_Obra!$F:$F, Captura_Obra!$A:$A, E65, Captura_Obra!$B:$B, F65, Captura_Obra!$D:$D, G65))</f>
        <v/>
      </c>
      <c r="J65" s="7139" t="str">
        <f>IF(Captura_Pegaso!A66="", "", H65 - I65)</f>
        <v/>
      </c>
      <c r="K65" s="3874"/>
    </row>
    <row r="66" spans="1:11">
      <c r="A66" s="7140" t="str">
        <f>IF(Captura_Pegaso!A67="", "", "Pegaso")</f>
        <v/>
      </c>
      <c r="B66" s="7141" t="str">
        <f>IF(Captura_Pegaso!A67="", "", Captura_Pegaso!N67)</f>
        <v/>
      </c>
      <c r="C66" s="7142" t="str">
        <f>IF(Captura_Pegaso!A67="", "", IFERROR(LOOKUP(2, 1/((Captura_Obra!$A$5:$A$1000=E66)*(Captura_Obra!$B$5:$B$1000=F66)*(Captura_Obra!$D$5:$D$1000=G66)), Captura_Obra!$N$5:$N$1000), "No Reportado"))</f>
        <v/>
      </c>
      <c r="D66" s="7143" t="str">
        <f>IF(Captura_Pegaso!A67="", "", IF(J66=0, "✅ Cuadrado", IF(I66=0, "❌ Falta en Obra", "⚠️ Dif")))</f>
        <v/>
      </c>
      <c r="E66" s="7144" t="str">
        <f>IF(Captura_Pegaso!A67="", "", Captura_Pegaso!A67)</f>
        <v/>
      </c>
      <c r="F66" s="7145" t="str">
        <f>IF(Captura_Pegaso!A67="", "", Captura_Pegaso!D67)</f>
        <v/>
      </c>
      <c r="G66" s="7146" t="str">
        <f>IF(Captura_Pegaso!A67="", "", Captura_Pegaso!E67)</f>
        <v/>
      </c>
      <c r="H66" s="7147" t="str">
        <f>IF(Captura_Pegaso!A67="", "", Captura_Pegaso!H67)</f>
        <v/>
      </c>
      <c r="I66" s="7148" t="str">
        <f>IF(Captura_Pegaso!A67="", "", SUMIFS(Captura_Obra!$F:$F, Captura_Obra!$A:$A, E66, Captura_Obra!$B:$B, F66, Captura_Obra!$D:$D, G66))</f>
        <v/>
      </c>
      <c r="J66" s="7149" t="str">
        <f>IF(Captura_Pegaso!A67="", "", H66 - I66)</f>
        <v/>
      </c>
      <c r="K66" s="3875"/>
    </row>
    <row r="67" spans="1:11">
      <c r="A67" s="7150" t="str">
        <f>IF(Captura_Pegaso!A68="", "", "Pegaso")</f>
        <v/>
      </c>
      <c r="B67" s="7151" t="str">
        <f>IF(Captura_Pegaso!A68="", "", Captura_Pegaso!N68)</f>
        <v/>
      </c>
      <c r="C67" s="7152" t="str">
        <f>IF(Captura_Pegaso!A68="", "", IFERROR(LOOKUP(2, 1/((Captura_Obra!$A$5:$A$1000=E67)*(Captura_Obra!$B$5:$B$1000=F67)*(Captura_Obra!$D$5:$D$1000=G67)), Captura_Obra!$N$5:$N$1000), "No Reportado"))</f>
        <v/>
      </c>
      <c r="D67" s="7153" t="str">
        <f>IF(Captura_Pegaso!A68="", "", IF(J67=0, "✅ Cuadrado", IF(I67=0, "❌ Falta en Obra", "⚠️ Dif")))</f>
        <v/>
      </c>
      <c r="E67" s="7154" t="str">
        <f>IF(Captura_Pegaso!A68="", "", Captura_Pegaso!A68)</f>
        <v/>
      </c>
      <c r="F67" s="7155" t="str">
        <f>IF(Captura_Pegaso!A68="", "", Captura_Pegaso!D68)</f>
        <v/>
      </c>
      <c r="G67" s="7156" t="str">
        <f>IF(Captura_Pegaso!A68="", "", Captura_Pegaso!E68)</f>
        <v/>
      </c>
      <c r="H67" s="7157" t="str">
        <f>IF(Captura_Pegaso!A68="", "", Captura_Pegaso!H68)</f>
        <v/>
      </c>
      <c r="I67" s="7158" t="str">
        <f>IF(Captura_Pegaso!A68="", "", SUMIFS(Captura_Obra!$F:$F, Captura_Obra!$A:$A, E67, Captura_Obra!$B:$B, F67, Captura_Obra!$D:$D, G67))</f>
        <v/>
      </c>
      <c r="J67" s="7159" t="str">
        <f>IF(Captura_Pegaso!A68="", "", H67 - I67)</f>
        <v/>
      </c>
      <c r="K67" s="3876"/>
    </row>
    <row r="68" spans="1:11">
      <c r="A68" s="7160" t="str">
        <f>IF(Captura_Pegaso!A69="", "", "Pegaso")</f>
        <v/>
      </c>
      <c r="B68" s="7161" t="str">
        <f>IF(Captura_Pegaso!A69="", "", Captura_Pegaso!N69)</f>
        <v/>
      </c>
      <c r="C68" s="7162" t="str">
        <f>IF(Captura_Pegaso!A69="", "", IFERROR(LOOKUP(2, 1/((Captura_Obra!$A$5:$A$1000=E68)*(Captura_Obra!$B$5:$B$1000=F68)*(Captura_Obra!$D$5:$D$1000=G68)), Captura_Obra!$N$5:$N$1000), "No Reportado"))</f>
        <v/>
      </c>
      <c r="D68" s="7163" t="str">
        <f>IF(Captura_Pegaso!A69="", "", IF(J68=0, "✅ Cuadrado", IF(I68=0, "❌ Falta en Obra", "⚠️ Dif")))</f>
        <v/>
      </c>
      <c r="E68" s="7164" t="str">
        <f>IF(Captura_Pegaso!A69="", "", Captura_Pegaso!A69)</f>
        <v/>
      </c>
      <c r="F68" s="7165" t="str">
        <f>IF(Captura_Pegaso!A69="", "", Captura_Pegaso!D69)</f>
        <v/>
      </c>
      <c r="G68" s="7166" t="str">
        <f>IF(Captura_Pegaso!A69="", "", Captura_Pegaso!E69)</f>
        <v/>
      </c>
      <c r="H68" s="7167" t="str">
        <f>IF(Captura_Pegaso!A69="", "", Captura_Pegaso!H69)</f>
        <v/>
      </c>
      <c r="I68" s="7168" t="str">
        <f>IF(Captura_Pegaso!A69="", "", SUMIFS(Captura_Obra!$F:$F, Captura_Obra!$A:$A, E68, Captura_Obra!$B:$B, F68, Captura_Obra!$D:$D, G68))</f>
        <v/>
      </c>
      <c r="J68" s="7169" t="str">
        <f>IF(Captura_Pegaso!A69="", "", H68 - I68)</f>
        <v/>
      </c>
      <c r="K68" s="3877"/>
    </row>
    <row r="69" spans="1:11">
      <c r="A69" s="7170" t="str">
        <f>IF(Captura_Pegaso!A70="", "", "Pegaso")</f>
        <v/>
      </c>
      <c r="B69" s="7171" t="str">
        <f>IF(Captura_Pegaso!A70="", "", Captura_Pegaso!N70)</f>
        <v/>
      </c>
      <c r="C69" s="7172" t="str">
        <f>IF(Captura_Pegaso!A70="", "", IFERROR(LOOKUP(2, 1/((Captura_Obra!$A$5:$A$1000=E69)*(Captura_Obra!$B$5:$B$1000=F69)*(Captura_Obra!$D$5:$D$1000=G69)), Captura_Obra!$N$5:$N$1000), "No Reportado"))</f>
        <v/>
      </c>
      <c r="D69" s="7173" t="str">
        <f>IF(Captura_Pegaso!A70="", "", IF(J69=0, "✅ Cuadrado", IF(I69=0, "❌ Falta en Obra", "⚠️ Dif")))</f>
        <v/>
      </c>
      <c r="E69" s="7174" t="str">
        <f>IF(Captura_Pegaso!A70="", "", Captura_Pegaso!A70)</f>
        <v/>
      </c>
      <c r="F69" s="7175" t="str">
        <f>IF(Captura_Pegaso!A70="", "", Captura_Pegaso!D70)</f>
        <v/>
      </c>
      <c r="G69" s="7176" t="str">
        <f>IF(Captura_Pegaso!A70="", "", Captura_Pegaso!E70)</f>
        <v/>
      </c>
      <c r="H69" s="7177" t="str">
        <f>IF(Captura_Pegaso!A70="", "", Captura_Pegaso!H70)</f>
        <v/>
      </c>
      <c r="I69" s="7178" t="str">
        <f>IF(Captura_Pegaso!A70="", "", SUMIFS(Captura_Obra!$F:$F, Captura_Obra!$A:$A, E69, Captura_Obra!$B:$B, F69, Captura_Obra!$D:$D, G69))</f>
        <v/>
      </c>
      <c r="J69" s="7179" t="str">
        <f>IF(Captura_Pegaso!A70="", "", H69 - I69)</f>
        <v/>
      </c>
      <c r="K69" s="3878"/>
    </row>
    <row r="70" spans="1:11">
      <c r="A70" s="7180" t="str">
        <f>IF(Captura_Pegaso!A71="", "", "Pegaso")</f>
        <v/>
      </c>
      <c r="B70" s="7181" t="str">
        <f>IF(Captura_Pegaso!A71="", "", Captura_Pegaso!N71)</f>
        <v/>
      </c>
      <c r="C70" s="7182" t="str">
        <f>IF(Captura_Pegaso!A71="", "", IFERROR(LOOKUP(2, 1/((Captura_Obra!$A$5:$A$1000=E70)*(Captura_Obra!$B$5:$B$1000=F70)*(Captura_Obra!$D$5:$D$1000=G70)), Captura_Obra!$N$5:$N$1000), "No Reportado"))</f>
        <v/>
      </c>
      <c r="D70" s="7183" t="str">
        <f>IF(Captura_Pegaso!A71="", "", IF(J70=0, "✅ Cuadrado", IF(I70=0, "❌ Falta en Obra", "⚠️ Dif")))</f>
        <v/>
      </c>
      <c r="E70" s="7184" t="str">
        <f>IF(Captura_Pegaso!A71="", "", Captura_Pegaso!A71)</f>
        <v/>
      </c>
      <c r="F70" s="7185" t="str">
        <f>IF(Captura_Pegaso!A71="", "", Captura_Pegaso!D71)</f>
        <v/>
      </c>
      <c r="G70" s="7186" t="str">
        <f>IF(Captura_Pegaso!A71="", "", Captura_Pegaso!E71)</f>
        <v/>
      </c>
      <c r="H70" s="7187" t="str">
        <f>IF(Captura_Pegaso!A71="", "", Captura_Pegaso!H71)</f>
        <v/>
      </c>
      <c r="I70" s="7188" t="str">
        <f>IF(Captura_Pegaso!A71="", "", SUMIFS(Captura_Obra!$F:$F, Captura_Obra!$A:$A, E70, Captura_Obra!$B:$B, F70, Captura_Obra!$D:$D, G70))</f>
        <v/>
      </c>
      <c r="J70" s="7189" t="str">
        <f>IF(Captura_Pegaso!A71="", "", H70 - I70)</f>
        <v/>
      </c>
      <c r="K70" s="3879"/>
    </row>
    <row r="71" spans="1:11">
      <c r="A71" s="7190" t="str">
        <f>IF(Captura_Pegaso!A72="", "", "Pegaso")</f>
        <v/>
      </c>
      <c r="B71" s="7191" t="str">
        <f>IF(Captura_Pegaso!A72="", "", Captura_Pegaso!N72)</f>
        <v/>
      </c>
      <c r="C71" s="7192" t="str">
        <f>IF(Captura_Pegaso!A72="", "", IFERROR(LOOKUP(2, 1/((Captura_Obra!$A$5:$A$1000=E71)*(Captura_Obra!$B$5:$B$1000=F71)*(Captura_Obra!$D$5:$D$1000=G71)), Captura_Obra!$N$5:$N$1000), "No Reportado"))</f>
        <v/>
      </c>
      <c r="D71" s="7193" t="str">
        <f>IF(Captura_Pegaso!A72="", "", IF(J71=0, "✅ Cuadrado", IF(I71=0, "❌ Falta en Obra", "⚠️ Dif")))</f>
        <v/>
      </c>
      <c r="E71" s="7194" t="str">
        <f>IF(Captura_Pegaso!A72="", "", Captura_Pegaso!A72)</f>
        <v/>
      </c>
      <c r="F71" s="7195" t="str">
        <f>IF(Captura_Pegaso!A72="", "", Captura_Pegaso!D72)</f>
        <v/>
      </c>
      <c r="G71" s="7196" t="str">
        <f>IF(Captura_Pegaso!A72="", "", Captura_Pegaso!E72)</f>
        <v/>
      </c>
      <c r="H71" s="7197" t="str">
        <f>IF(Captura_Pegaso!A72="", "", Captura_Pegaso!H72)</f>
        <v/>
      </c>
      <c r="I71" s="7198" t="str">
        <f>IF(Captura_Pegaso!A72="", "", SUMIFS(Captura_Obra!$F:$F, Captura_Obra!$A:$A, E71, Captura_Obra!$B:$B, F71, Captura_Obra!$D:$D, G71))</f>
        <v/>
      </c>
      <c r="J71" s="7199" t="str">
        <f>IF(Captura_Pegaso!A72="", "", H71 - I71)</f>
        <v/>
      </c>
      <c r="K71" s="3880"/>
    </row>
    <row r="72" spans="1:11">
      <c r="A72" s="7200" t="str">
        <f>IF(Captura_Pegaso!A73="", "", "Pegaso")</f>
        <v/>
      </c>
      <c r="B72" s="7201" t="str">
        <f>IF(Captura_Pegaso!A73="", "", Captura_Pegaso!N73)</f>
        <v/>
      </c>
      <c r="C72" s="7202" t="str">
        <f>IF(Captura_Pegaso!A73="", "", IFERROR(LOOKUP(2, 1/((Captura_Obra!$A$5:$A$1000=E72)*(Captura_Obra!$B$5:$B$1000=F72)*(Captura_Obra!$D$5:$D$1000=G72)), Captura_Obra!$N$5:$N$1000), "No Reportado"))</f>
        <v/>
      </c>
      <c r="D72" s="7203" t="str">
        <f>IF(Captura_Pegaso!A73="", "", IF(J72=0, "✅ Cuadrado", IF(I72=0, "❌ Falta en Obra", "⚠️ Dif")))</f>
        <v/>
      </c>
      <c r="E72" s="7204" t="str">
        <f>IF(Captura_Pegaso!A73="", "", Captura_Pegaso!A73)</f>
        <v/>
      </c>
      <c r="F72" s="7205" t="str">
        <f>IF(Captura_Pegaso!A73="", "", Captura_Pegaso!D73)</f>
        <v/>
      </c>
      <c r="G72" s="7206" t="str">
        <f>IF(Captura_Pegaso!A73="", "", Captura_Pegaso!E73)</f>
        <v/>
      </c>
      <c r="H72" s="7207" t="str">
        <f>IF(Captura_Pegaso!A73="", "", Captura_Pegaso!H73)</f>
        <v/>
      </c>
      <c r="I72" s="7208" t="str">
        <f>IF(Captura_Pegaso!A73="", "", SUMIFS(Captura_Obra!$F:$F, Captura_Obra!$A:$A, E72, Captura_Obra!$B:$B, F72, Captura_Obra!$D:$D, G72))</f>
        <v/>
      </c>
      <c r="J72" s="7209" t="str">
        <f>IF(Captura_Pegaso!A73="", "", H72 - I72)</f>
        <v/>
      </c>
      <c r="K72" s="3881"/>
    </row>
    <row r="73" spans="1:11">
      <c r="A73" s="7210" t="str">
        <f>IF(Captura_Pegaso!A74="", "", "Pegaso")</f>
        <v/>
      </c>
      <c r="B73" s="7211" t="str">
        <f>IF(Captura_Pegaso!A74="", "", Captura_Pegaso!N74)</f>
        <v/>
      </c>
      <c r="C73" s="7212" t="str">
        <f>IF(Captura_Pegaso!A74="", "", IFERROR(LOOKUP(2, 1/((Captura_Obra!$A$5:$A$1000=E73)*(Captura_Obra!$B$5:$B$1000=F73)*(Captura_Obra!$D$5:$D$1000=G73)), Captura_Obra!$N$5:$N$1000), "No Reportado"))</f>
        <v/>
      </c>
      <c r="D73" s="7213" t="str">
        <f>IF(Captura_Pegaso!A74="", "", IF(J73=0, "✅ Cuadrado", IF(I73=0, "❌ Falta en Obra", "⚠️ Dif")))</f>
        <v/>
      </c>
      <c r="E73" s="7214" t="str">
        <f>IF(Captura_Pegaso!A74="", "", Captura_Pegaso!A74)</f>
        <v/>
      </c>
      <c r="F73" s="7215" t="str">
        <f>IF(Captura_Pegaso!A74="", "", Captura_Pegaso!D74)</f>
        <v/>
      </c>
      <c r="G73" s="7216" t="str">
        <f>IF(Captura_Pegaso!A74="", "", Captura_Pegaso!E74)</f>
        <v/>
      </c>
      <c r="H73" s="7217" t="str">
        <f>IF(Captura_Pegaso!A74="", "", Captura_Pegaso!H74)</f>
        <v/>
      </c>
      <c r="I73" s="7218" t="str">
        <f>IF(Captura_Pegaso!A74="", "", SUMIFS(Captura_Obra!$F:$F, Captura_Obra!$A:$A, E73, Captura_Obra!$B:$B, F73, Captura_Obra!$D:$D, G73))</f>
        <v/>
      </c>
      <c r="J73" s="7219" t="str">
        <f>IF(Captura_Pegaso!A74="", "", H73 - I73)</f>
        <v/>
      </c>
      <c r="K73" s="3882"/>
    </row>
    <row r="74" spans="1:11">
      <c r="A74" s="7220" t="str">
        <f>IF(Captura_Pegaso!A75="", "", "Pegaso")</f>
        <v/>
      </c>
      <c r="B74" s="7221" t="str">
        <f>IF(Captura_Pegaso!A75="", "", Captura_Pegaso!N75)</f>
        <v/>
      </c>
      <c r="C74" s="7222" t="str">
        <f>IF(Captura_Pegaso!A75="", "", IFERROR(LOOKUP(2, 1/((Captura_Obra!$A$5:$A$1000=E74)*(Captura_Obra!$B$5:$B$1000=F74)*(Captura_Obra!$D$5:$D$1000=G74)), Captura_Obra!$N$5:$N$1000), "No Reportado"))</f>
        <v/>
      </c>
      <c r="D74" s="7223" t="str">
        <f>IF(Captura_Pegaso!A75="", "", IF(J74=0, "✅ Cuadrado", IF(I74=0, "❌ Falta en Obra", "⚠️ Dif")))</f>
        <v/>
      </c>
      <c r="E74" s="7224" t="str">
        <f>IF(Captura_Pegaso!A75="", "", Captura_Pegaso!A75)</f>
        <v/>
      </c>
      <c r="F74" s="7225" t="str">
        <f>IF(Captura_Pegaso!A75="", "", Captura_Pegaso!D75)</f>
        <v/>
      </c>
      <c r="G74" s="7226" t="str">
        <f>IF(Captura_Pegaso!A75="", "", Captura_Pegaso!E75)</f>
        <v/>
      </c>
      <c r="H74" s="7227" t="str">
        <f>IF(Captura_Pegaso!A75="", "", Captura_Pegaso!H75)</f>
        <v/>
      </c>
      <c r="I74" s="7228" t="str">
        <f>IF(Captura_Pegaso!A75="", "", SUMIFS(Captura_Obra!$F:$F, Captura_Obra!$A:$A, E74, Captura_Obra!$B:$B, F74, Captura_Obra!$D:$D, G74))</f>
        <v/>
      </c>
      <c r="J74" s="7229" t="str">
        <f>IF(Captura_Pegaso!A75="", "", H74 - I74)</f>
        <v/>
      </c>
      <c r="K74" s="3883"/>
    </row>
    <row r="75" spans="1:11">
      <c r="A75" s="7230" t="str">
        <f>IF(Captura_Pegaso!A76="", "", "Pegaso")</f>
        <v/>
      </c>
      <c r="B75" s="7231" t="str">
        <f>IF(Captura_Pegaso!A76="", "", Captura_Pegaso!N76)</f>
        <v/>
      </c>
      <c r="C75" s="7232" t="str">
        <f>IF(Captura_Pegaso!A76="", "", IFERROR(LOOKUP(2, 1/((Captura_Obra!$A$5:$A$1000=E75)*(Captura_Obra!$B$5:$B$1000=F75)*(Captura_Obra!$D$5:$D$1000=G75)), Captura_Obra!$N$5:$N$1000), "No Reportado"))</f>
        <v/>
      </c>
      <c r="D75" s="7233" t="str">
        <f>IF(Captura_Pegaso!A76="", "", IF(J75=0, "✅ Cuadrado", IF(I75=0, "❌ Falta en Obra", "⚠️ Dif")))</f>
        <v/>
      </c>
      <c r="E75" s="7234" t="str">
        <f>IF(Captura_Pegaso!A76="", "", Captura_Pegaso!A76)</f>
        <v/>
      </c>
      <c r="F75" s="7235" t="str">
        <f>IF(Captura_Pegaso!A76="", "", Captura_Pegaso!D76)</f>
        <v/>
      </c>
      <c r="G75" s="7236" t="str">
        <f>IF(Captura_Pegaso!A76="", "", Captura_Pegaso!E76)</f>
        <v/>
      </c>
      <c r="H75" s="7237" t="str">
        <f>IF(Captura_Pegaso!A76="", "", Captura_Pegaso!H76)</f>
        <v/>
      </c>
      <c r="I75" s="7238" t="str">
        <f>IF(Captura_Pegaso!A76="", "", SUMIFS(Captura_Obra!$F:$F, Captura_Obra!$A:$A, E75, Captura_Obra!$B:$B, F75, Captura_Obra!$D:$D, G75))</f>
        <v/>
      </c>
      <c r="J75" s="7239" t="str">
        <f>IF(Captura_Pegaso!A76="", "", H75 - I75)</f>
        <v/>
      </c>
      <c r="K75" s="3884"/>
    </row>
    <row r="76" spans="1:11">
      <c r="A76" s="7240" t="str">
        <f>IF(Captura_Pegaso!A77="", "", "Pegaso")</f>
        <v/>
      </c>
      <c r="B76" s="7241" t="str">
        <f>IF(Captura_Pegaso!A77="", "", Captura_Pegaso!N77)</f>
        <v/>
      </c>
      <c r="C76" s="7242" t="str">
        <f>IF(Captura_Pegaso!A77="", "", IFERROR(LOOKUP(2, 1/((Captura_Obra!$A$5:$A$1000=E76)*(Captura_Obra!$B$5:$B$1000=F76)*(Captura_Obra!$D$5:$D$1000=G76)), Captura_Obra!$N$5:$N$1000), "No Reportado"))</f>
        <v/>
      </c>
      <c r="D76" s="7243" t="str">
        <f>IF(Captura_Pegaso!A77="", "", IF(J76=0, "✅ Cuadrado", IF(I76=0, "❌ Falta en Obra", "⚠️ Dif")))</f>
        <v/>
      </c>
      <c r="E76" s="7244" t="str">
        <f>IF(Captura_Pegaso!A77="", "", Captura_Pegaso!A77)</f>
        <v/>
      </c>
      <c r="F76" s="7245" t="str">
        <f>IF(Captura_Pegaso!A77="", "", Captura_Pegaso!D77)</f>
        <v/>
      </c>
      <c r="G76" s="7246" t="str">
        <f>IF(Captura_Pegaso!A77="", "", Captura_Pegaso!E77)</f>
        <v/>
      </c>
      <c r="H76" s="7247" t="str">
        <f>IF(Captura_Pegaso!A77="", "", Captura_Pegaso!H77)</f>
        <v/>
      </c>
      <c r="I76" s="7248" t="str">
        <f>IF(Captura_Pegaso!A77="", "", SUMIFS(Captura_Obra!$F:$F, Captura_Obra!$A:$A, E76, Captura_Obra!$B:$B, F76, Captura_Obra!$D:$D, G76))</f>
        <v/>
      </c>
      <c r="J76" s="7249" t="str">
        <f>IF(Captura_Pegaso!A77="", "", H76 - I76)</f>
        <v/>
      </c>
      <c r="K76" s="3885"/>
    </row>
    <row r="77" spans="1:11">
      <c r="A77" s="7250" t="str">
        <f>IF(Captura_Pegaso!A78="", "", "Pegaso")</f>
        <v/>
      </c>
      <c r="B77" s="7251" t="str">
        <f>IF(Captura_Pegaso!A78="", "", Captura_Pegaso!N78)</f>
        <v/>
      </c>
      <c r="C77" s="7252" t="str">
        <f>IF(Captura_Pegaso!A78="", "", IFERROR(LOOKUP(2, 1/((Captura_Obra!$A$5:$A$1000=E77)*(Captura_Obra!$B$5:$B$1000=F77)*(Captura_Obra!$D$5:$D$1000=G77)), Captura_Obra!$N$5:$N$1000), "No Reportado"))</f>
        <v/>
      </c>
      <c r="D77" s="7253" t="str">
        <f>IF(Captura_Pegaso!A78="", "", IF(J77=0, "✅ Cuadrado", IF(I77=0, "❌ Falta en Obra", "⚠️ Dif")))</f>
        <v/>
      </c>
      <c r="E77" s="7254" t="str">
        <f>IF(Captura_Pegaso!A78="", "", Captura_Pegaso!A78)</f>
        <v/>
      </c>
      <c r="F77" s="7255" t="str">
        <f>IF(Captura_Pegaso!A78="", "", Captura_Pegaso!D78)</f>
        <v/>
      </c>
      <c r="G77" s="7256" t="str">
        <f>IF(Captura_Pegaso!A78="", "", Captura_Pegaso!E78)</f>
        <v/>
      </c>
      <c r="H77" s="7257" t="str">
        <f>IF(Captura_Pegaso!A78="", "", Captura_Pegaso!H78)</f>
        <v/>
      </c>
      <c r="I77" s="7258" t="str">
        <f>IF(Captura_Pegaso!A78="", "", SUMIFS(Captura_Obra!$F:$F, Captura_Obra!$A:$A, E77, Captura_Obra!$B:$B, F77, Captura_Obra!$D:$D, G77))</f>
        <v/>
      </c>
      <c r="J77" s="7259" t="str">
        <f>IF(Captura_Pegaso!A78="", "", H77 - I77)</f>
        <v/>
      </c>
      <c r="K77" s="3886"/>
    </row>
    <row r="78" spans="1:11">
      <c r="A78" s="7260" t="str">
        <f>IF(Captura_Pegaso!A79="", "", "Pegaso")</f>
        <v/>
      </c>
      <c r="B78" s="7261" t="str">
        <f>IF(Captura_Pegaso!A79="", "", Captura_Pegaso!N79)</f>
        <v/>
      </c>
      <c r="C78" s="7262" t="str">
        <f>IF(Captura_Pegaso!A79="", "", IFERROR(LOOKUP(2, 1/((Captura_Obra!$A$5:$A$1000=E78)*(Captura_Obra!$B$5:$B$1000=F78)*(Captura_Obra!$D$5:$D$1000=G78)), Captura_Obra!$N$5:$N$1000), "No Reportado"))</f>
        <v/>
      </c>
      <c r="D78" s="7263" t="str">
        <f>IF(Captura_Pegaso!A79="", "", IF(J78=0, "✅ Cuadrado", IF(I78=0, "❌ Falta en Obra", "⚠️ Dif")))</f>
        <v/>
      </c>
      <c r="E78" s="7264" t="str">
        <f>IF(Captura_Pegaso!A79="", "", Captura_Pegaso!A79)</f>
        <v/>
      </c>
      <c r="F78" s="7265" t="str">
        <f>IF(Captura_Pegaso!A79="", "", Captura_Pegaso!D79)</f>
        <v/>
      </c>
      <c r="G78" s="7266" t="str">
        <f>IF(Captura_Pegaso!A79="", "", Captura_Pegaso!E79)</f>
        <v/>
      </c>
      <c r="H78" s="7267" t="str">
        <f>IF(Captura_Pegaso!A79="", "", Captura_Pegaso!H79)</f>
        <v/>
      </c>
      <c r="I78" s="7268" t="str">
        <f>IF(Captura_Pegaso!A79="", "", SUMIFS(Captura_Obra!$F:$F, Captura_Obra!$A:$A, E78, Captura_Obra!$B:$B, F78, Captura_Obra!$D:$D, G78))</f>
        <v/>
      </c>
      <c r="J78" s="7269" t="str">
        <f>IF(Captura_Pegaso!A79="", "", H78 - I78)</f>
        <v/>
      </c>
      <c r="K78" s="3887"/>
    </row>
    <row r="79" spans="1:11">
      <c r="A79" s="7270" t="str">
        <f>IF(Captura_Pegaso!A80="", "", "Pegaso")</f>
        <v/>
      </c>
      <c r="B79" s="7271" t="str">
        <f>IF(Captura_Pegaso!A80="", "", Captura_Pegaso!N80)</f>
        <v/>
      </c>
      <c r="C79" s="7272" t="str">
        <f>IF(Captura_Pegaso!A80="", "", IFERROR(LOOKUP(2, 1/((Captura_Obra!$A$5:$A$1000=E79)*(Captura_Obra!$B$5:$B$1000=F79)*(Captura_Obra!$D$5:$D$1000=G79)), Captura_Obra!$N$5:$N$1000), "No Reportado"))</f>
        <v/>
      </c>
      <c r="D79" s="7273" t="str">
        <f>IF(Captura_Pegaso!A80="", "", IF(J79=0, "✅ Cuadrado", IF(I79=0, "❌ Falta en Obra", "⚠️ Dif")))</f>
        <v/>
      </c>
      <c r="E79" s="7274" t="str">
        <f>IF(Captura_Pegaso!A80="", "", Captura_Pegaso!A80)</f>
        <v/>
      </c>
      <c r="F79" s="7275" t="str">
        <f>IF(Captura_Pegaso!A80="", "", Captura_Pegaso!D80)</f>
        <v/>
      </c>
      <c r="G79" s="7276" t="str">
        <f>IF(Captura_Pegaso!A80="", "", Captura_Pegaso!E80)</f>
        <v/>
      </c>
      <c r="H79" s="7277" t="str">
        <f>IF(Captura_Pegaso!A80="", "", Captura_Pegaso!H80)</f>
        <v/>
      </c>
      <c r="I79" s="7278" t="str">
        <f>IF(Captura_Pegaso!A80="", "", SUMIFS(Captura_Obra!$F:$F, Captura_Obra!$A:$A, E79, Captura_Obra!$B:$B, F79, Captura_Obra!$D:$D, G79))</f>
        <v/>
      </c>
      <c r="J79" s="7279" t="str">
        <f>IF(Captura_Pegaso!A80="", "", H79 - I79)</f>
        <v/>
      </c>
      <c r="K79" s="3888"/>
    </row>
    <row r="80" spans="1:11">
      <c r="A80" s="7280" t="str">
        <f>IF(Captura_Pegaso!A81="", "", "Pegaso")</f>
        <v/>
      </c>
      <c r="B80" s="7281" t="str">
        <f>IF(Captura_Pegaso!A81="", "", Captura_Pegaso!N81)</f>
        <v/>
      </c>
      <c r="C80" s="7282" t="str">
        <f>IF(Captura_Pegaso!A81="", "", IFERROR(LOOKUP(2, 1/((Captura_Obra!$A$5:$A$1000=E80)*(Captura_Obra!$B$5:$B$1000=F80)*(Captura_Obra!$D$5:$D$1000=G80)), Captura_Obra!$N$5:$N$1000), "No Reportado"))</f>
        <v/>
      </c>
      <c r="D80" s="7283" t="str">
        <f>IF(Captura_Pegaso!A81="", "", IF(J80=0, "✅ Cuadrado", IF(I80=0, "❌ Falta en Obra", "⚠️ Dif")))</f>
        <v/>
      </c>
      <c r="E80" s="7284" t="str">
        <f>IF(Captura_Pegaso!A81="", "", Captura_Pegaso!A81)</f>
        <v/>
      </c>
      <c r="F80" s="7285" t="str">
        <f>IF(Captura_Pegaso!A81="", "", Captura_Pegaso!D81)</f>
        <v/>
      </c>
      <c r="G80" s="7286" t="str">
        <f>IF(Captura_Pegaso!A81="", "", Captura_Pegaso!E81)</f>
        <v/>
      </c>
      <c r="H80" s="7287" t="str">
        <f>IF(Captura_Pegaso!A81="", "", Captura_Pegaso!H81)</f>
        <v/>
      </c>
      <c r="I80" s="7288" t="str">
        <f>IF(Captura_Pegaso!A81="", "", SUMIFS(Captura_Obra!$F:$F, Captura_Obra!$A:$A, E80, Captura_Obra!$B:$B, F80, Captura_Obra!$D:$D, G80))</f>
        <v/>
      </c>
      <c r="J80" s="7289" t="str">
        <f>IF(Captura_Pegaso!A81="", "", H80 - I80)</f>
        <v/>
      </c>
      <c r="K80" s="3889"/>
    </row>
    <row r="81" spans="1:11">
      <c r="A81" s="7290" t="str">
        <f>IF(Captura_Pegaso!A82="", "", "Pegaso")</f>
        <v/>
      </c>
      <c r="B81" s="7291" t="str">
        <f>IF(Captura_Pegaso!A82="", "", Captura_Pegaso!N82)</f>
        <v/>
      </c>
      <c r="C81" s="7292" t="str">
        <f>IF(Captura_Pegaso!A82="", "", IFERROR(LOOKUP(2, 1/((Captura_Obra!$A$5:$A$1000=E81)*(Captura_Obra!$B$5:$B$1000=F81)*(Captura_Obra!$D$5:$D$1000=G81)), Captura_Obra!$N$5:$N$1000), "No Reportado"))</f>
        <v/>
      </c>
      <c r="D81" s="7293" t="str">
        <f>IF(Captura_Pegaso!A82="", "", IF(J81=0, "✅ Cuadrado", IF(I81=0, "❌ Falta en Obra", "⚠️ Dif")))</f>
        <v/>
      </c>
      <c r="E81" s="7294" t="str">
        <f>IF(Captura_Pegaso!A82="", "", Captura_Pegaso!A82)</f>
        <v/>
      </c>
      <c r="F81" s="7295" t="str">
        <f>IF(Captura_Pegaso!A82="", "", Captura_Pegaso!D82)</f>
        <v/>
      </c>
      <c r="G81" s="7296" t="str">
        <f>IF(Captura_Pegaso!A82="", "", Captura_Pegaso!E82)</f>
        <v/>
      </c>
      <c r="H81" s="7297" t="str">
        <f>IF(Captura_Pegaso!A82="", "", Captura_Pegaso!H82)</f>
        <v/>
      </c>
      <c r="I81" s="7298" t="str">
        <f>IF(Captura_Pegaso!A82="", "", SUMIFS(Captura_Obra!$F:$F, Captura_Obra!$A:$A, E81, Captura_Obra!$B:$B, F81, Captura_Obra!$D:$D, G81))</f>
        <v/>
      </c>
      <c r="J81" s="7299" t="str">
        <f>IF(Captura_Pegaso!A82="", "", H81 - I81)</f>
        <v/>
      </c>
      <c r="K81" s="3890"/>
    </row>
    <row r="82" spans="1:11">
      <c r="A82" s="7300" t="str">
        <f>IF(Captura_Pegaso!A83="", "", "Pegaso")</f>
        <v/>
      </c>
      <c r="B82" s="7301" t="str">
        <f>IF(Captura_Pegaso!A83="", "", Captura_Pegaso!N83)</f>
        <v/>
      </c>
      <c r="C82" s="7302" t="str">
        <f>IF(Captura_Pegaso!A83="", "", IFERROR(LOOKUP(2, 1/((Captura_Obra!$A$5:$A$1000=E82)*(Captura_Obra!$B$5:$B$1000=F82)*(Captura_Obra!$D$5:$D$1000=G82)), Captura_Obra!$N$5:$N$1000), "No Reportado"))</f>
        <v/>
      </c>
      <c r="D82" s="7303" t="str">
        <f>IF(Captura_Pegaso!A83="", "", IF(J82=0, "✅ Cuadrado", IF(I82=0, "❌ Falta en Obra", "⚠️ Dif")))</f>
        <v/>
      </c>
      <c r="E82" s="7304" t="str">
        <f>IF(Captura_Pegaso!A83="", "", Captura_Pegaso!A83)</f>
        <v/>
      </c>
      <c r="F82" s="7305" t="str">
        <f>IF(Captura_Pegaso!A83="", "", Captura_Pegaso!D83)</f>
        <v/>
      </c>
      <c r="G82" s="7306" t="str">
        <f>IF(Captura_Pegaso!A83="", "", Captura_Pegaso!E83)</f>
        <v/>
      </c>
      <c r="H82" s="7307" t="str">
        <f>IF(Captura_Pegaso!A83="", "", Captura_Pegaso!H83)</f>
        <v/>
      </c>
      <c r="I82" s="7308" t="str">
        <f>IF(Captura_Pegaso!A83="", "", SUMIFS(Captura_Obra!$F:$F, Captura_Obra!$A:$A, E82, Captura_Obra!$B:$B, F82, Captura_Obra!$D:$D, G82))</f>
        <v/>
      </c>
      <c r="J82" s="7309" t="str">
        <f>IF(Captura_Pegaso!A83="", "", H82 - I82)</f>
        <v/>
      </c>
      <c r="K82" s="3891"/>
    </row>
    <row r="83" spans="1:11">
      <c r="A83" s="7310" t="str">
        <f>IF(Captura_Pegaso!A84="", "", "Pegaso")</f>
        <v/>
      </c>
      <c r="B83" s="7311" t="str">
        <f>IF(Captura_Pegaso!A84="", "", Captura_Pegaso!N84)</f>
        <v/>
      </c>
      <c r="C83" s="7312" t="str">
        <f>IF(Captura_Pegaso!A84="", "", IFERROR(LOOKUP(2, 1/((Captura_Obra!$A$5:$A$1000=E83)*(Captura_Obra!$B$5:$B$1000=F83)*(Captura_Obra!$D$5:$D$1000=G83)), Captura_Obra!$N$5:$N$1000), "No Reportado"))</f>
        <v/>
      </c>
      <c r="D83" s="7313" t="str">
        <f>IF(Captura_Pegaso!A84="", "", IF(J83=0, "✅ Cuadrado", IF(I83=0, "❌ Falta en Obra", "⚠️ Dif")))</f>
        <v/>
      </c>
      <c r="E83" s="7314" t="str">
        <f>IF(Captura_Pegaso!A84="", "", Captura_Pegaso!A84)</f>
        <v/>
      </c>
      <c r="F83" s="7315" t="str">
        <f>IF(Captura_Pegaso!A84="", "", Captura_Pegaso!D84)</f>
        <v/>
      </c>
      <c r="G83" s="7316" t="str">
        <f>IF(Captura_Pegaso!A84="", "", Captura_Pegaso!E84)</f>
        <v/>
      </c>
      <c r="H83" s="7317" t="str">
        <f>IF(Captura_Pegaso!A84="", "", Captura_Pegaso!H84)</f>
        <v/>
      </c>
      <c r="I83" s="7318" t="str">
        <f>IF(Captura_Pegaso!A84="", "", SUMIFS(Captura_Obra!$F:$F, Captura_Obra!$A:$A, E83, Captura_Obra!$B:$B, F83, Captura_Obra!$D:$D, G83))</f>
        <v/>
      </c>
      <c r="J83" s="7319" t="str">
        <f>IF(Captura_Pegaso!A84="", "", H83 - I83)</f>
        <v/>
      </c>
      <c r="K83" s="3892"/>
    </row>
    <row r="84" spans="1:11">
      <c r="A84" s="7320" t="str">
        <f>IF(Captura_Pegaso!A85="", "", "Pegaso")</f>
        <v/>
      </c>
      <c r="B84" s="7321" t="str">
        <f>IF(Captura_Pegaso!A85="", "", Captura_Pegaso!N85)</f>
        <v/>
      </c>
      <c r="C84" s="7322" t="str">
        <f>IF(Captura_Pegaso!A85="", "", IFERROR(LOOKUP(2, 1/((Captura_Obra!$A$5:$A$1000=E84)*(Captura_Obra!$B$5:$B$1000=F84)*(Captura_Obra!$D$5:$D$1000=G84)), Captura_Obra!$N$5:$N$1000), "No Reportado"))</f>
        <v/>
      </c>
      <c r="D84" s="7323" t="str">
        <f>IF(Captura_Pegaso!A85="", "", IF(J84=0, "✅ Cuadrado", IF(I84=0, "❌ Falta en Obra", "⚠️ Dif")))</f>
        <v/>
      </c>
      <c r="E84" s="7324" t="str">
        <f>IF(Captura_Pegaso!A85="", "", Captura_Pegaso!A85)</f>
        <v/>
      </c>
      <c r="F84" s="7325" t="str">
        <f>IF(Captura_Pegaso!A85="", "", Captura_Pegaso!D85)</f>
        <v/>
      </c>
      <c r="G84" s="7326" t="str">
        <f>IF(Captura_Pegaso!A85="", "", Captura_Pegaso!E85)</f>
        <v/>
      </c>
      <c r="H84" s="7327" t="str">
        <f>IF(Captura_Pegaso!A85="", "", Captura_Pegaso!H85)</f>
        <v/>
      </c>
      <c r="I84" s="7328" t="str">
        <f>IF(Captura_Pegaso!A85="", "", SUMIFS(Captura_Obra!$F:$F, Captura_Obra!$A:$A, E84, Captura_Obra!$B:$B, F84, Captura_Obra!$D:$D, G84))</f>
        <v/>
      </c>
      <c r="J84" s="7329" t="str">
        <f>IF(Captura_Pegaso!A85="", "", H84 - I84)</f>
        <v/>
      </c>
      <c r="K84" s="3893"/>
    </row>
    <row r="85" spans="1:11">
      <c r="A85" s="7330" t="str">
        <f>IF(Captura_Pegaso!A86="", "", "Pegaso")</f>
        <v/>
      </c>
      <c r="B85" s="7331" t="str">
        <f>IF(Captura_Pegaso!A86="", "", Captura_Pegaso!N86)</f>
        <v/>
      </c>
      <c r="C85" s="7332" t="str">
        <f>IF(Captura_Pegaso!A86="", "", IFERROR(LOOKUP(2, 1/((Captura_Obra!$A$5:$A$1000=E85)*(Captura_Obra!$B$5:$B$1000=F85)*(Captura_Obra!$D$5:$D$1000=G85)), Captura_Obra!$N$5:$N$1000), "No Reportado"))</f>
        <v/>
      </c>
      <c r="D85" s="7333" t="str">
        <f>IF(Captura_Pegaso!A86="", "", IF(J85=0, "✅ Cuadrado", IF(I85=0, "❌ Falta en Obra", "⚠️ Dif")))</f>
        <v/>
      </c>
      <c r="E85" s="7334" t="str">
        <f>IF(Captura_Pegaso!A86="", "", Captura_Pegaso!A86)</f>
        <v/>
      </c>
      <c r="F85" s="7335" t="str">
        <f>IF(Captura_Pegaso!A86="", "", Captura_Pegaso!D86)</f>
        <v/>
      </c>
      <c r="G85" s="7336" t="str">
        <f>IF(Captura_Pegaso!A86="", "", Captura_Pegaso!E86)</f>
        <v/>
      </c>
      <c r="H85" s="7337" t="str">
        <f>IF(Captura_Pegaso!A86="", "", Captura_Pegaso!H86)</f>
        <v/>
      </c>
      <c r="I85" s="7338" t="str">
        <f>IF(Captura_Pegaso!A86="", "", SUMIFS(Captura_Obra!$F:$F, Captura_Obra!$A:$A, E85, Captura_Obra!$B:$B, F85, Captura_Obra!$D:$D, G85))</f>
        <v/>
      </c>
      <c r="J85" s="7339" t="str">
        <f>IF(Captura_Pegaso!A86="", "", H85 - I85)</f>
        <v/>
      </c>
      <c r="K85" s="3894"/>
    </row>
    <row r="86" spans="1:11">
      <c r="A86" s="7340" t="str">
        <f>IF(Captura_Pegaso!A87="", "", "Pegaso")</f>
        <v/>
      </c>
      <c r="B86" s="7341" t="str">
        <f>IF(Captura_Pegaso!A87="", "", Captura_Pegaso!N87)</f>
        <v/>
      </c>
      <c r="C86" s="7342" t="str">
        <f>IF(Captura_Pegaso!A87="", "", IFERROR(LOOKUP(2, 1/((Captura_Obra!$A$5:$A$1000=E86)*(Captura_Obra!$B$5:$B$1000=F86)*(Captura_Obra!$D$5:$D$1000=G86)), Captura_Obra!$N$5:$N$1000), "No Reportado"))</f>
        <v/>
      </c>
      <c r="D86" s="7343" t="str">
        <f>IF(Captura_Pegaso!A87="", "", IF(J86=0, "✅ Cuadrado", IF(I86=0, "❌ Falta en Obra", "⚠️ Dif")))</f>
        <v/>
      </c>
      <c r="E86" s="7344" t="str">
        <f>IF(Captura_Pegaso!A87="", "", Captura_Pegaso!A87)</f>
        <v/>
      </c>
      <c r="F86" s="7345" t="str">
        <f>IF(Captura_Pegaso!A87="", "", Captura_Pegaso!D87)</f>
        <v/>
      </c>
      <c r="G86" s="7346" t="str">
        <f>IF(Captura_Pegaso!A87="", "", Captura_Pegaso!E87)</f>
        <v/>
      </c>
      <c r="H86" s="7347" t="str">
        <f>IF(Captura_Pegaso!A87="", "", Captura_Pegaso!H87)</f>
        <v/>
      </c>
      <c r="I86" s="7348" t="str">
        <f>IF(Captura_Pegaso!A87="", "", SUMIFS(Captura_Obra!$F:$F, Captura_Obra!$A:$A, E86, Captura_Obra!$B:$B, F86, Captura_Obra!$D:$D, G86))</f>
        <v/>
      </c>
      <c r="J86" s="7349" t="str">
        <f>IF(Captura_Pegaso!A87="", "", H86 - I86)</f>
        <v/>
      </c>
      <c r="K86" s="3895"/>
    </row>
    <row r="87" spans="1:11">
      <c r="A87" s="7350" t="str">
        <f>IF(Captura_Pegaso!A88="", "", "Pegaso")</f>
        <v/>
      </c>
      <c r="B87" s="7351" t="str">
        <f>IF(Captura_Pegaso!A88="", "", Captura_Pegaso!N88)</f>
        <v/>
      </c>
      <c r="C87" s="7352" t="str">
        <f>IF(Captura_Pegaso!A88="", "", IFERROR(LOOKUP(2, 1/((Captura_Obra!$A$5:$A$1000=E87)*(Captura_Obra!$B$5:$B$1000=F87)*(Captura_Obra!$D$5:$D$1000=G87)), Captura_Obra!$N$5:$N$1000), "No Reportado"))</f>
        <v/>
      </c>
      <c r="D87" s="7353" t="str">
        <f>IF(Captura_Pegaso!A88="", "", IF(J87=0, "✅ Cuadrado", IF(I87=0, "❌ Falta en Obra", "⚠️ Dif")))</f>
        <v/>
      </c>
      <c r="E87" s="7354" t="str">
        <f>IF(Captura_Pegaso!A88="", "", Captura_Pegaso!A88)</f>
        <v/>
      </c>
      <c r="F87" s="7355" t="str">
        <f>IF(Captura_Pegaso!A88="", "", Captura_Pegaso!D88)</f>
        <v/>
      </c>
      <c r="G87" s="7356" t="str">
        <f>IF(Captura_Pegaso!A88="", "", Captura_Pegaso!E88)</f>
        <v/>
      </c>
      <c r="H87" s="7357" t="str">
        <f>IF(Captura_Pegaso!A88="", "", Captura_Pegaso!H88)</f>
        <v/>
      </c>
      <c r="I87" s="7358" t="str">
        <f>IF(Captura_Pegaso!A88="", "", SUMIFS(Captura_Obra!$F:$F, Captura_Obra!$A:$A, E87, Captura_Obra!$B:$B, F87, Captura_Obra!$D:$D, G87))</f>
        <v/>
      </c>
      <c r="J87" s="7359" t="str">
        <f>IF(Captura_Pegaso!A88="", "", H87 - I87)</f>
        <v/>
      </c>
      <c r="K87" s="3896"/>
    </row>
    <row r="88" spans="1:11">
      <c r="A88" s="7360" t="str">
        <f>IF(Captura_Pegaso!A89="", "", "Pegaso")</f>
        <v/>
      </c>
      <c r="B88" s="7361" t="str">
        <f>IF(Captura_Pegaso!A89="", "", Captura_Pegaso!N89)</f>
        <v/>
      </c>
      <c r="C88" s="7362" t="str">
        <f>IF(Captura_Pegaso!A89="", "", IFERROR(LOOKUP(2, 1/((Captura_Obra!$A$5:$A$1000=E88)*(Captura_Obra!$B$5:$B$1000=F88)*(Captura_Obra!$D$5:$D$1000=G88)), Captura_Obra!$N$5:$N$1000), "No Reportado"))</f>
        <v/>
      </c>
      <c r="D88" s="7363" t="str">
        <f>IF(Captura_Pegaso!A89="", "", IF(J88=0, "✅ Cuadrado", IF(I88=0, "❌ Falta en Obra", "⚠️ Dif")))</f>
        <v/>
      </c>
      <c r="E88" s="7364" t="str">
        <f>IF(Captura_Pegaso!A89="", "", Captura_Pegaso!A89)</f>
        <v/>
      </c>
      <c r="F88" s="7365" t="str">
        <f>IF(Captura_Pegaso!A89="", "", Captura_Pegaso!D89)</f>
        <v/>
      </c>
      <c r="G88" s="7366" t="str">
        <f>IF(Captura_Pegaso!A89="", "", Captura_Pegaso!E89)</f>
        <v/>
      </c>
      <c r="H88" s="7367" t="str">
        <f>IF(Captura_Pegaso!A89="", "", Captura_Pegaso!H89)</f>
        <v/>
      </c>
      <c r="I88" s="7368" t="str">
        <f>IF(Captura_Pegaso!A89="", "", SUMIFS(Captura_Obra!$F:$F, Captura_Obra!$A:$A, E88, Captura_Obra!$B:$B, F88, Captura_Obra!$D:$D, G88))</f>
        <v/>
      </c>
      <c r="J88" s="7369" t="str">
        <f>IF(Captura_Pegaso!A89="", "", H88 - I88)</f>
        <v/>
      </c>
      <c r="K88" s="3897"/>
    </row>
    <row r="89" spans="1:11">
      <c r="A89" s="7370" t="str">
        <f>IF(Captura_Pegaso!A90="", "", "Pegaso")</f>
        <v/>
      </c>
      <c r="B89" s="7371" t="str">
        <f>IF(Captura_Pegaso!A90="", "", Captura_Pegaso!N90)</f>
        <v/>
      </c>
      <c r="C89" s="7372" t="str">
        <f>IF(Captura_Pegaso!A90="", "", IFERROR(LOOKUP(2, 1/((Captura_Obra!$A$5:$A$1000=E89)*(Captura_Obra!$B$5:$B$1000=F89)*(Captura_Obra!$D$5:$D$1000=G89)), Captura_Obra!$N$5:$N$1000), "No Reportado"))</f>
        <v/>
      </c>
      <c r="D89" s="7373" t="str">
        <f>IF(Captura_Pegaso!A90="", "", IF(J89=0, "✅ Cuadrado", IF(I89=0, "❌ Falta en Obra", "⚠️ Dif")))</f>
        <v/>
      </c>
      <c r="E89" s="7374" t="str">
        <f>IF(Captura_Pegaso!A90="", "", Captura_Pegaso!A90)</f>
        <v/>
      </c>
      <c r="F89" s="7375" t="str">
        <f>IF(Captura_Pegaso!A90="", "", Captura_Pegaso!D90)</f>
        <v/>
      </c>
      <c r="G89" s="7376" t="str">
        <f>IF(Captura_Pegaso!A90="", "", Captura_Pegaso!E90)</f>
        <v/>
      </c>
      <c r="H89" s="7377" t="str">
        <f>IF(Captura_Pegaso!A90="", "", Captura_Pegaso!H90)</f>
        <v/>
      </c>
      <c r="I89" s="7378" t="str">
        <f>IF(Captura_Pegaso!A90="", "", SUMIFS(Captura_Obra!$F:$F, Captura_Obra!$A:$A, E89, Captura_Obra!$B:$B, F89, Captura_Obra!$D:$D, G89))</f>
        <v/>
      </c>
      <c r="J89" s="7379" t="str">
        <f>IF(Captura_Pegaso!A90="", "", H89 - I89)</f>
        <v/>
      </c>
      <c r="K89" s="3898"/>
    </row>
    <row r="90" spans="1:11">
      <c r="A90" s="7380" t="str">
        <f>IF(Captura_Pegaso!A91="", "", "Pegaso")</f>
        <v/>
      </c>
      <c r="B90" s="7381" t="str">
        <f>IF(Captura_Pegaso!A91="", "", Captura_Pegaso!N91)</f>
        <v/>
      </c>
      <c r="C90" s="7382" t="str">
        <f>IF(Captura_Pegaso!A91="", "", IFERROR(LOOKUP(2, 1/((Captura_Obra!$A$5:$A$1000=E90)*(Captura_Obra!$B$5:$B$1000=F90)*(Captura_Obra!$D$5:$D$1000=G90)), Captura_Obra!$N$5:$N$1000), "No Reportado"))</f>
        <v/>
      </c>
      <c r="D90" s="7383" t="str">
        <f>IF(Captura_Pegaso!A91="", "", IF(J90=0, "✅ Cuadrado", IF(I90=0, "❌ Falta en Obra", "⚠️ Dif")))</f>
        <v/>
      </c>
      <c r="E90" s="7384" t="str">
        <f>IF(Captura_Pegaso!A91="", "", Captura_Pegaso!A91)</f>
        <v/>
      </c>
      <c r="F90" s="7385" t="str">
        <f>IF(Captura_Pegaso!A91="", "", Captura_Pegaso!D91)</f>
        <v/>
      </c>
      <c r="G90" s="7386" t="str">
        <f>IF(Captura_Pegaso!A91="", "", Captura_Pegaso!E91)</f>
        <v/>
      </c>
      <c r="H90" s="7387" t="str">
        <f>IF(Captura_Pegaso!A91="", "", Captura_Pegaso!H91)</f>
        <v/>
      </c>
      <c r="I90" s="7388" t="str">
        <f>IF(Captura_Pegaso!A91="", "", SUMIFS(Captura_Obra!$F:$F, Captura_Obra!$A:$A, E90, Captura_Obra!$B:$B, F90, Captura_Obra!$D:$D, G90))</f>
        <v/>
      </c>
      <c r="J90" s="7389" t="str">
        <f>IF(Captura_Pegaso!A91="", "", H90 - I90)</f>
        <v/>
      </c>
      <c r="K90" s="3899"/>
    </row>
    <row r="91" spans="1:11">
      <c r="A91" s="7390" t="str">
        <f>IF(Captura_Pegaso!A92="", "", "Pegaso")</f>
        <v/>
      </c>
      <c r="B91" s="7391" t="str">
        <f>IF(Captura_Pegaso!A92="", "", Captura_Pegaso!N92)</f>
        <v/>
      </c>
      <c r="C91" s="7392" t="str">
        <f>IF(Captura_Pegaso!A92="", "", IFERROR(LOOKUP(2, 1/((Captura_Obra!$A$5:$A$1000=E91)*(Captura_Obra!$B$5:$B$1000=F91)*(Captura_Obra!$D$5:$D$1000=G91)), Captura_Obra!$N$5:$N$1000), "No Reportado"))</f>
        <v/>
      </c>
      <c r="D91" s="7393" t="str">
        <f>IF(Captura_Pegaso!A92="", "", IF(J91=0, "✅ Cuadrado", IF(I91=0, "❌ Falta en Obra", "⚠️ Dif")))</f>
        <v/>
      </c>
      <c r="E91" s="7394" t="str">
        <f>IF(Captura_Pegaso!A92="", "", Captura_Pegaso!A92)</f>
        <v/>
      </c>
      <c r="F91" s="7395" t="str">
        <f>IF(Captura_Pegaso!A92="", "", Captura_Pegaso!D92)</f>
        <v/>
      </c>
      <c r="G91" s="7396" t="str">
        <f>IF(Captura_Pegaso!A92="", "", Captura_Pegaso!E92)</f>
        <v/>
      </c>
      <c r="H91" s="7397" t="str">
        <f>IF(Captura_Pegaso!A92="", "", Captura_Pegaso!H92)</f>
        <v/>
      </c>
      <c r="I91" s="7398" t="str">
        <f>IF(Captura_Pegaso!A92="", "", SUMIFS(Captura_Obra!$F:$F, Captura_Obra!$A:$A, E91, Captura_Obra!$B:$B, F91, Captura_Obra!$D:$D, G91))</f>
        <v/>
      </c>
      <c r="J91" s="7399" t="str">
        <f>IF(Captura_Pegaso!A92="", "", H91 - I91)</f>
        <v/>
      </c>
      <c r="K91" s="3900"/>
    </row>
    <row r="92" spans="1:11">
      <c r="A92" s="7400" t="str">
        <f>IF(Captura_Pegaso!A93="", "", "Pegaso")</f>
        <v/>
      </c>
      <c r="B92" s="7401" t="str">
        <f>IF(Captura_Pegaso!A93="", "", Captura_Pegaso!N93)</f>
        <v/>
      </c>
      <c r="C92" s="7402" t="str">
        <f>IF(Captura_Pegaso!A93="", "", IFERROR(LOOKUP(2, 1/((Captura_Obra!$A$5:$A$1000=E92)*(Captura_Obra!$B$5:$B$1000=F92)*(Captura_Obra!$D$5:$D$1000=G92)), Captura_Obra!$N$5:$N$1000), "No Reportado"))</f>
        <v/>
      </c>
      <c r="D92" s="7403" t="str">
        <f>IF(Captura_Pegaso!A93="", "", IF(J92=0, "✅ Cuadrado", IF(I92=0, "❌ Falta en Obra", "⚠️ Dif")))</f>
        <v/>
      </c>
      <c r="E92" s="7404" t="str">
        <f>IF(Captura_Pegaso!A93="", "", Captura_Pegaso!A93)</f>
        <v/>
      </c>
      <c r="F92" s="7405" t="str">
        <f>IF(Captura_Pegaso!A93="", "", Captura_Pegaso!D93)</f>
        <v/>
      </c>
      <c r="G92" s="7406" t="str">
        <f>IF(Captura_Pegaso!A93="", "", Captura_Pegaso!E93)</f>
        <v/>
      </c>
      <c r="H92" s="7407" t="str">
        <f>IF(Captura_Pegaso!A93="", "", Captura_Pegaso!H93)</f>
        <v/>
      </c>
      <c r="I92" s="7408" t="str">
        <f>IF(Captura_Pegaso!A93="", "", SUMIFS(Captura_Obra!$F:$F, Captura_Obra!$A:$A, E92, Captura_Obra!$B:$B, F92, Captura_Obra!$D:$D, G92))</f>
        <v/>
      </c>
      <c r="J92" s="7409" t="str">
        <f>IF(Captura_Pegaso!A93="", "", H92 - I92)</f>
        <v/>
      </c>
      <c r="K92" s="3901"/>
    </row>
    <row r="93" spans="1:11">
      <c r="A93" s="7410" t="str">
        <f>IF(Captura_Pegaso!A94="", "", "Pegaso")</f>
        <v/>
      </c>
      <c r="B93" s="7411" t="str">
        <f>IF(Captura_Pegaso!A94="", "", Captura_Pegaso!N94)</f>
        <v/>
      </c>
      <c r="C93" s="7412" t="str">
        <f>IF(Captura_Pegaso!A94="", "", IFERROR(LOOKUP(2, 1/((Captura_Obra!$A$5:$A$1000=E93)*(Captura_Obra!$B$5:$B$1000=F93)*(Captura_Obra!$D$5:$D$1000=G93)), Captura_Obra!$N$5:$N$1000), "No Reportado"))</f>
        <v/>
      </c>
      <c r="D93" s="7413" t="str">
        <f>IF(Captura_Pegaso!A94="", "", IF(J93=0, "✅ Cuadrado", IF(I93=0, "❌ Falta en Obra", "⚠️ Dif")))</f>
        <v/>
      </c>
      <c r="E93" s="7414" t="str">
        <f>IF(Captura_Pegaso!A94="", "", Captura_Pegaso!A94)</f>
        <v/>
      </c>
      <c r="F93" s="7415" t="str">
        <f>IF(Captura_Pegaso!A94="", "", Captura_Pegaso!D94)</f>
        <v/>
      </c>
      <c r="G93" s="7416" t="str">
        <f>IF(Captura_Pegaso!A94="", "", Captura_Pegaso!E94)</f>
        <v/>
      </c>
      <c r="H93" s="7417" t="str">
        <f>IF(Captura_Pegaso!A94="", "", Captura_Pegaso!H94)</f>
        <v/>
      </c>
      <c r="I93" s="7418" t="str">
        <f>IF(Captura_Pegaso!A94="", "", SUMIFS(Captura_Obra!$F:$F, Captura_Obra!$A:$A, E93, Captura_Obra!$B:$B, F93, Captura_Obra!$D:$D, G93))</f>
        <v/>
      </c>
      <c r="J93" s="7419" t="str">
        <f>IF(Captura_Pegaso!A94="", "", H93 - I93)</f>
        <v/>
      </c>
      <c r="K93" s="3902"/>
    </row>
    <row r="94" spans="1:11">
      <c r="A94" s="7420" t="str">
        <f>IF(Captura_Pegaso!A95="", "", "Pegaso")</f>
        <v/>
      </c>
      <c r="B94" s="7421" t="str">
        <f>IF(Captura_Pegaso!A95="", "", Captura_Pegaso!N95)</f>
        <v/>
      </c>
      <c r="C94" s="7422" t="str">
        <f>IF(Captura_Pegaso!A95="", "", IFERROR(LOOKUP(2, 1/((Captura_Obra!$A$5:$A$1000=E94)*(Captura_Obra!$B$5:$B$1000=F94)*(Captura_Obra!$D$5:$D$1000=G94)), Captura_Obra!$N$5:$N$1000), "No Reportado"))</f>
        <v/>
      </c>
      <c r="D94" s="7423" t="str">
        <f>IF(Captura_Pegaso!A95="", "", IF(J94=0, "✅ Cuadrado", IF(I94=0, "❌ Falta en Obra", "⚠️ Dif")))</f>
        <v/>
      </c>
      <c r="E94" s="7424" t="str">
        <f>IF(Captura_Pegaso!A95="", "", Captura_Pegaso!A95)</f>
        <v/>
      </c>
      <c r="F94" s="7425" t="str">
        <f>IF(Captura_Pegaso!A95="", "", Captura_Pegaso!D95)</f>
        <v/>
      </c>
      <c r="G94" s="7426" t="str">
        <f>IF(Captura_Pegaso!A95="", "", Captura_Pegaso!E95)</f>
        <v/>
      </c>
      <c r="H94" s="7427" t="str">
        <f>IF(Captura_Pegaso!A95="", "", Captura_Pegaso!H95)</f>
        <v/>
      </c>
      <c r="I94" s="7428" t="str">
        <f>IF(Captura_Pegaso!A95="", "", SUMIFS(Captura_Obra!$F:$F, Captura_Obra!$A:$A, E94, Captura_Obra!$B:$B, F94, Captura_Obra!$D:$D, G94))</f>
        <v/>
      </c>
      <c r="J94" s="7429" t="str">
        <f>IF(Captura_Pegaso!A95="", "", H94 - I94)</f>
        <v/>
      </c>
      <c r="K94" s="3903"/>
    </row>
    <row r="95" spans="1:11">
      <c r="A95" s="7430" t="str">
        <f>IF(Captura_Pegaso!A96="", "", "Pegaso")</f>
        <v/>
      </c>
      <c r="B95" s="7431" t="str">
        <f>IF(Captura_Pegaso!A96="", "", Captura_Pegaso!N96)</f>
        <v/>
      </c>
      <c r="C95" s="7432" t="str">
        <f>IF(Captura_Pegaso!A96="", "", IFERROR(LOOKUP(2, 1/((Captura_Obra!$A$5:$A$1000=E95)*(Captura_Obra!$B$5:$B$1000=F95)*(Captura_Obra!$D$5:$D$1000=G95)), Captura_Obra!$N$5:$N$1000), "No Reportado"))</f>
        <v/>
      </c>
      <c r="D95" s="7433" t="str">
        <f>IF(Captura_Pegaso!A96="", "", IF(J95=0, "✅ Cuadrado", IF(I95=0, "❌ Falta en Obra", "⚠️ Dif")))</f>
        <v/>
      </c>
      <c r="E95" s="7434" t="str">
        <f>IF(Captura_Pegaso!A96="", "", Captura_Pegaso!A96)</f>
        <v/>
      </c>
      <c r="F95" s="7435" t="str">
        <f>IF(Captura_Pegaso!A96="", "", Captura_Pegaso!D96)</f>
        <v/>
      </c>
      <c r="G95" s="7436" t="str">
        <f>IF(Captura_Pegaso!A96="", "", Captura_Pegaso!E96)</f>
        <v/>
      </c>
      <c r="H95" s="7437" t="str">
        <f>IF(Captura_Pegaso!A96="", "", Captura_Pegaso!H96)</f>
        <v/>
      </c>
      <c r="I95" s="7438" t="str">
        <f>IF(Captura_Pegaso!A96="", "", SUMIFS(Captura_Obra!$F:$F, Captura_Obra!$A:$A, E95, Captura_Obra!$B:$B, F95, Captura_Obra!$D:$D, G95))</f>
        <v/>
      </c>
      <c r="J95" s="7439" t="str">
        <f>IF(Captura_Pegaso!A96="", "", H95 - I95)</f>
        <v/>
      </c>
      <c r="K95" s="3904"/>
    </row>
    <row r="96" spans="1:11">
      <c r="A96" s="7440" t="str">
        <f>IF(Captura_Pegaso!A97="", "", "Pegaso")</f>
        <v/>
      </c>
      <c r="B96" s="7441" t="str">
        <f>IF(Captura_Pegaso!A97="", "", Captura_Pegaso!N97)</f>
        <v/>
      </c>
      <c r="C96" s="7442" t="str">
        <f>IF(Captura_Pegaso!A97="", "", IFERROR(LOOKUP(2, 1/((Captura_Obra!$A$5:$A$1000=E96)*(Captura_Obra!$B$5:$B$1000=F96)*(Captura_Obra!$D$5:$D$1000=G96)), Captura_Obra!$N$5:$N$1000), "No Reportado"))</f>
        <v/>
      </c>
      <c r="D96" s="7443" t="str">
        <f>IF(Captura_Pegaso!A97="", "", IF(J96=0, "✅ Cuadrado", IF(I96=0, "❌ Falta en Obra", "⚠️ Dif")))</f>
        <v/>
      </c>
      <c r="E96" s="7444" t="str">
        <f>IF(Captura_Pegaso!A97="", "", Captura_Pegaso!A97)</f>
        <v/>
      </c>
      <c r="F96" s="7445" t="str">
        <f>IF(Captura_Pegaso!A97="", "", Captura_Pegaso!D97)</f>
        <v/>
      </c>
      <c r="G96" s="7446" t="str">
        <f>IF(Captura_Pegaso!A97="", "", Captura_Pegaso!E97)</f>
        <v/>
      </c>
      <c r="H96" s="7447" t="str">
        <f>IF(Captura_Pegaso!A97="", "", Captura_Pegaso!H97)</f>
        <v/>
      </c>
      <c r="I96" s="7448" t="str">
        <f>IF(Captura_Pegaso!A97="", "", SUMIFS(Captura_Obra!$F:$F, Captura_Obra!$A:$A, E96, Captura_Obra!$B:$B, F96, Captura_Obra!$D:$D, G96))</f>
        <v/>
      </c>
      <c r="J96" s="7449" t="str">
        <f>IF(Captura_Pegaso!A97="", "", H96 - I96)</f>
        <v/>
      </c>
      <c r="K96" s="3905"/>
    </row>
    <row r="97" spans="1:11">
      <c r="A97" s="7450" t="str">
        <f>IF(Captura_Pegaso!A98="", "", "Pegaso")</f>
        <v/>
      </c>
      <c r="B97" s="7451" t="str">
        <f>IF(Captura_Pegaso!A98="", "", Captura_Pegaso!N98)</f>
        <v/>
      </c>
      <c r="C97" s="7452" t="str">
        <f>IF(Captura_Pegaso!A98="", "", IFERROR(LOOKUP(2, 1/((Captura_Obra!$A$5:$A$1000=E97)*(Captura_Obra!$B$5:$B$1000=F97)*(Captura_Obra!$D$5:$D$1000=G97)), Captura_Obra!$N$5:$N$1000), "No Reportado"))</f>
        <v/>
      </c>
      <c r="D97" s="7453" t="str">
        <f>IF(Captura_Pegaso!A98="", "", IF(J97=0, "✅ Cuadrado", IF(I97=0, "❌ Falta en Obra", "⚠️ Dif")))</f>
        <v/>
      </c>
      <c r="E97" s="7454" t="str">
        <f>IF(Captura_Pegaso!A98="", "", Captura_Pegaso!A98)</f>
        <v/>
      </c>
      <c r="F97" s="7455" t="str">
        <f>IF(Captura_Pegaso!A98="", "", Captura_Pegaso!D98)</f>
        <v/>
      </c>
      <c r="G97" s="7456" t="str">
        <f>IF(Captura_Pegaso!A98="", "", Captura_Pegaso!E98)</f>
        <v/>
      </c>
      <c r="H97" s="7457" t="str">
        <f>IF(Captura_Pegaso!A98="", "", Captura_Pegaso!H98)</f>
        <v/>
      </c>
      <c r="I97" s="7458" t="str">
        <f>IF(Captura_Pegaso!A98="", "", SUMIFS(Captura_Obra!$F:$F, Captura_Obra!$A:$A, E97, Captura_Obra!$B:$B, F97, Captura_Obra!$D:$D, G97))</f>
        <v/>
      </c>
      <c r="J97" s="7459" t="str">
        <f>IF(Captura_Pegaso!A98="", "", H97 - I97)</f>
        <v/>
      </c>
      <c r="K97" s="3906"/>
    </row>
    <row r="98" spans="1:11">
      <c r="A98" s="7460" t="str">
        <f>IF(Captura_Pegaso!A99="", "", "Pegaso")</f>
        <v/>
      </c>
      <c r="B98" s="7461" t="str">
        <f>IF(Captura_Pegaso!A99="", "", Captura_Pegaso!N99)</f>
        <v/>
      </c>
      <c r="C98" s="7462" t="str">
        <f>IF(Captura_Pegaso!A99="", "", IFERROR(LOOKUP(2, 1/((Captura_Obra!$A$5:$A$1000=E98)*(Captura_Obra!$B$5:$B$1000=F98)*(Captura_Obra!$D$5:$D$1000=G98)), Captura_Obra!$N$5:$N$1000), "No Reportado"))</f>
        <v/>
      </c>
      <c r="D98" s="7463" t="str">
        <f>IF(Captura_Pegaso!A99="", "", IF(J98=0, "✅ Cuadrado", IF(I98=0, "❌ Falta en Obra", "⚠️ Dif")))</f>
        <v/>
      </c>
      <c r="E98" s="7464" t="str">
        <f>IF(Captura_Pegaso!A99="", "", Captura_Pegaso!A99)</f>
        <v/>
      </c>
      <c r="F98" s="7465" t="str">
        <f>IF(Captura_Pegaso!A99="", "", Captura_Pegaso!D99)</f>
        <v/>
      </c>
      <c r="G98" s="7466" t="str">
        <f>IF(Captura_Pegaso!A99="", "", Captura_Pegaso!E99)</f>
        <v/>
      </c>
      <c r="H98" s="7467" t="str">
        <f>IF(Captura_Pegaso!A99="", "", Captura_Pegaso!H99)</f>
        <v/>
      </c>
      <c r="I98" s="7468" t="str">
        <f>IF(Captura_Pegaso!A99="", "", SUMIFS(Captura_Obra!$F:$F, Captura_Obra!$A:$A, E98, Captura_Obra!$B:$B, F98, Captura_Obra!$D:$D, G98))</f>
        <v/>
      </c>
      <c r="J98" s="7469" t="str">
        <f>IF(Captura_Pegaso!A99="", "", H98 - I98)</f>
        <v/>
      </c>
      <c r="K98" s="3907"/>
    </row>
    <row r="99" spans="1:11">
      <c r="A99" s="7470" t="str">
        <f>IF(Captura_Pegaso!A100="", "", "Pegaso")</f>
        <v/>
      </c>
      <c r="B99" s="7471" t="str">
        <f>IF(Captura_Pegaso!A100="", "", Captura_Pegaso!N100)</f>
        <v/>
      </c>
      <c r="C99" s="7472" t="str">
        <f>IF(Captura_Pegaso!A100="", "", IFERROR(LOOKUP(2, 1/((Captura_Obra!$A$5:$A$1000=E99)*(Captura_Obra!$B$5:$B$1000=F99)*(Captura_Obra!$D$5:$D$1000=G99)), Captura_Obra!$N$5:$N$1000), "No Reportado"))</f>
        <v/>
      </c>
      <c r="D99" s="7473" t="str">
        <f>IF(Captura_Pegaso!A100="", "", IF(J99=0, "✅ Cuadrado", IF(I99=0, "❌ Falta en Obra", "⚠️ Dif")))</f>
        <v/>
      </c>
      <c r="E99" s="7474" t="str">
        <f>IF(Captura_Pegaso!A100="", "", Captura_Pegaso!A100)</f>
        <v/>
      </c>
      <c r="F99" s="7475" t="str">
        <f>IF(Captura_Pegaso!A100="", "", Captura_Pegaso!D100)</f>
        <v/>
      </c>
      <c r="G99" s="7476" t="str">
        <f>IF(Captura_Pegaso!A100="", "", Captura_Pegaso!E100)</f>
        <v/>
      </c>
      <c r="H99" s="7477" t="str">
        <f>IF(Captura_Pegaso!A100="", "", Captura_Pegaso!H100)</f>
        <v/>
      </c>
      <c r="I99" s="7478" t="str">
        <f>IF(Captura_Pegaso!A100="", "", SUMIFS(Captura_Obra!$F:$F, Captura_Obra!$A:$A, E99, Captura_Obra!$B:$B, F99, Captura_Obra!$D:$D, G99))</f>
        <v/>
      </c>
      <c r="J99" s="7479" t="str">
        <f>IF(Captura_Pegaso!A100="", "", H99 - I99)</f>
        <v/>
      </c>
      <c r="K99" s="3908"/>
    </row>
    <row r="100" spans="1:11">
      <c r="A100" s="7480" t="str">
        <f>IF(Captura_Pegaso!A101="", "", "Pegaso")</f>
        <v/>
      </c>
      <c r="B100" s="7481" t="str">
        <f>IF(Captura_Pegaso!A101="", "", Captura_Pegaso!N101)</f>
        <v/>
      </c>
      <c r="C100" s="7482" t="str">
        <f>IF(Captura_Pegaso!A101="", "", IFERROR(LOOKUP(2, 1/((Captura_Obra!$A$5:$A$1000=E100)*(Captura_Obra!$B$5:$B$1000=F100)*(Captura_Obra!$D$5:$D$1000=G100)), Captura_Obra!$N$5:$N$1000), "No Reportado"))</f>
        <v/>
      </c>
      <c r="D100" s="7483" t="str">
        <f>IF(Captura_Pegaso!A101="", "", IF(J100=0, "✅ Cuadrado", IF(I100=0, "❌ Falta en Obra", "⚠️ Dif")))</f>
        <v/>
      </c>
      <c r="E100" s="7484" t="str">
        <f>IF(Captura_Pegaso!A101="", "", Captura_Pegaso!A101)</f>
        <v/>
      </c>
      <c r="F100" s="7485" t="str">
        <f>IF(Captura_Pegaso!A101="", "", Captura_Pegaso!D101)</f>
        <v/>
      </c>
      <c r="G100" s="7486" t="str">
        <f>IF(Captura_Pegaso!A101="", "", Captura_Pegaso!E101)</f>
        <v/>
      </c>
      <c r="H100" s="7487" t="str">
        <f>IF(Captura_Pegaso!A101="", "", Captura_Pegaso!H101)</f>
        <v/>
      </c>
      <c r="I100" s="7488" t="str">
        <f>IF(Captura_Pegaso!A101="", "", SUMIFS(Captura_Obra!$F:$F, Captura_Obra!$A:$A, E100, Captura_Obra!$B:$B, F100, Captura_Obra!$D:$D, G100))</f>
        <v/>
      </c>
      <c r="J100" s="7489" t="str">
        <f>IF(Captura_Pegaso!A101="", "", H100 - I100)</f>
        <v/>
      </c>
      <c r="K100" s="3909"/>
    </row>
    <row r="101" spans="1:11">
      <c r="A101" s="7490" t="str">
        <f>IF(Captura_Pegaso!A102="", "", "Pegaso")</f>
        <v/>
      </c>
      <c r="B101" s="7491" t="str">
        <f>IF(Captura_Pegaso!A102="", "", Captura_Pegaso!N102)</f>
        <v/>
      </c>
      <c r="C101" s="7492" t="str">
        <f>IF(Captura_Pegaso!A102="", "", IFERROR(LOOKUP(2, 1/((Captura_Obra!$A$5:$A$1000=E101)*(Captura_Obra!$B$5:$B$1000=F101)*(Captura_Obra!$D$5:$D$1000=G101)), Captura_Obra!$N$5:$N$1000), "No Reportado"))</f>
        <v/>
      </c>
      <c r="D101" s="7493" t="str">
        <f>IF(Captura_Pegaso!A102="", "", IF(J101=0, "✅ Cuadrado", IF(I101=0, "❌ Falta en Obra", "⚠️ Dif")))</f>
        <v/>
      </c>
      <c r="E101" s="7494" t="str">
        <f>IF(Captura_Pegaso!A102="", "", Captura_Pegaso!A102)</f>
        <v/>
      </c>
      <c r="F101" s="7495" t="str">
        <f>IF(Captura_Pegaso!A102="", "", Captura_Pegaso!D102)</f>
        <v/>
      </c>
      <c r="G101" s="7496" t="str">
        <f>IF(Captura_Pegaso!A102="", "", Captura_Pegaso!E102)</f>
        <v/>
      </c>
      <c r="H101" s="7497" t="str">
        <f>IF(Captura_Pegaso!A102="", "", Captura_Pegaso!H102)</f>
        <v/>
      </c>
      <c r="I101" s="7498" t="str">
        <f>IF(Captura_Pegaso!A102="", "", SUMIFS(Captura_Obra!$F:$F, Captura_Obra!$A:$A, E101, Captura_Obra!$B:$B, F101, Captura_Obra!$D:$D, G101))</f>
        <v/>
      </c>
      <c r="J101" s="7499" t="str">
        <f>IF(Captura_Pegaso!A102="", "", H101 - I101)</f>
        <v/>
      </c>
      <c r="K101" s="3910"/>
    </row>
    <row r="102" spans="1:11">
      <c r="A102" s="7500" t="str">
        <f>IF(Captura_Pegaso!A103="", "", "Pegaso")</f>
        <v/>
      </c>
      <c r="B102" s="7501" t="str">
        <f>IF(Captura_Pegaso!A103="", "", Captura_Pegaso!N103)</f>
        <v/>
      </c>
      <c r="C102" s="7502" t="str">
        <f>IF(Captura_Pegaso!A103="", "", IFERROR(LOOKUP(2, 1/((Captura_Obra!$A$5:$A$1000=E102)*(Captura_Obra!$B$5:$B$1000=F102)*(Captura_Obra!$D$5:$D$1000=G102)), Captura_Obra!$N$5:$N$1000), "No Reportado"))</f>
        <v/>
      </c>
      <c r="D102" s="7503" t="str">
        <f>IF(Captura_Pegaso!A103="", "", IF(J102=0, "✅ Cuadrado", IF(I102=0, "❌ Falta en Obra", "⚠️ Dif")))</f>
        <v/>
      </c>
      <c r="E102" s="7504" t="str">
        <f>IF(Captura_Pegaso!A103="", "", Captura_Pegaso!A103)</f>
        <v/>
      </c>
      <c r="F102" s="7505" t="str">
        <f>IF(Captura_Pegaso!A103="", "", Captura_Pegaso!D103)</f>
        <v/>
      </c>
      <c r="G102" s="7506" t="str">
        <f>IF(Captura_Pegaso!A103="", "", Captura_Pegaso!E103)</f>
        <v/>
      </c>
      <c r="H102" s="7507" t="str">
        <f>IF(Captura_Pegaso!A103="", "", Captura_Pegaso!H103)</f>
        <v/>
      </c>
      <c r="I102" s="7508" t="str">
        <f>IF(Captura_Pegaso!A103="", "", SUMIFS(Captura_Obra!$F:$F, Captura_Obra!$A:$A, E102, Captura_Obra!$B:$B, F102, Captura_Obra!$D:$D, G102))</f>
        <v/>
      </c>
      <c r="J102" s="7509" t="str">
        <f>IF(Captura_Pegaso!A103="", "", H102 - I102)</f>
        <v/>
      </c>
      <c r="K102" s="3911"/>
    </row>
    <row r="103" spans="1:11">
      <c r="A103" s="7510" t="str">
        <f>IF(Captura_Pegaso!A104="", "", "Pegaso")</f>
        <v/>
      </c>
      <c r="B103" s="7511" t="str">
        <f>IF(Captura_Pegaso!A104="", "", Captura_Pegaso!N104)</f>
        <v/>
      </c>
      <c r="C103" s="7512" t="str">
        <f>IF(Captura_Pegaso!A104="", "", IFERROR(LOOKUP(2, 1/((Captura_Obra!$A$5:$A$1000=E103)*(Captura_Obra!$B$5:$B$1000=F103)*(Captura_Obra!$D$5:$D$1000=G103)), Captura_Obra!$N$5:$N$1000), "No Reportado"))</f>
        <v/>
      </c>
      <c r="D103" s="7513" t="str">
        <f>IF(Captura_Pegaso!A104="", "", IF(J103=0, "✅ Cuadrado", IF(I103=0, "❌ Falta en Obra", "⚠️ Dif")))</f>
        <v/>
      </c>
      <c r="E103" s="7514" t="str">
        <f>IF(Captura_Pegaso!A104="", "", Captura_Pegaso!A104)</f>
        <v/>
      </c>
      <c r="F103" s="7515" t="str">
        <f>IF(Captura_Pegaso!A104="", "", Captura_Pegaso!D104)</f>
        <v/>
      </c>
      <c r="G103" s="7516" t="str">
        <f>IF(Captura_Pegaso!A104="", "", Captura_Pegaso!E104)</f>
        <v/>
      </c>
      <c r="H103" s="7517" t="str">
        <f>IF(Captura_Pegaso!A104="", "", Captura_Pegaso!H104)</f>
        <v/>
      </c>
      <c r="I103" s="7518" t="str">
        <f>IF(Captura_Pegaso!A104="", "", SUMIFS(Captura_Obra!$F:$F, Captura_Obra!$A:$A, E103, Captura_Obra!$B:$B, F103, Captura_Obra!$D:$D, G103))</f>
        <v/>
      </c>
      <c r="J103" s="7519" t="str">
        <f>IF(Captura_Pegaso!A104="", "", H103 - I103)</f>
        <v/>
      </c>
      <c r="K103" s="3912"/>
    </row>
    <row r="104" spans="1:11">
      <c r="A104" s="7520" t="str">
        <f>IF(Captura_Pegaso!A105="", "", "Pegaso")</f>
        <v/>
      </c>
      <c r="B104" s="7521" t="str">
        <f>IF(Captura_Pegaso!A105="", "", Captura_Pegaso!N105)</f>
        <v/>
      </c>
      <c r="C104" s="7522" t="str">
        <f>IF(Captura_Pegaso!A105="", "", IFERROR(LOOKUP(2, 1/((Captura_Obra!$A$5:$A$1000=E104)*(Captura_Obra!$B$5:$B$1000=F104)*(Captura_Obra!$D$5:$D$1000=G104)), Captura_Obra!$N$5:$N$1000), "No Reportado"))</f>
        <v/>
      </c>
      <c r="D104" s="7523" t="str">
        <f>IF(Captura_Pegaso!A105="", "", IF(J104=0, "✅ Cuadrado", IF(I104=0, "❌ Falta en Obra", "⚠️ Dif")))</f>
        <v/>
      </c>
      <c r="E104" s="7524" t="str">
        <f>IF(Captura_Pegaso!A105="", "", Captura_Pegaso!A105)</f>
        <v/>
      </c>
      <c r="F104" s="7525" t="str">
        <f>IF(Captura_Pegaso!A105="", "", Captura_Pegaso!D105)</f>
        <v/>
      </c>
      <c r="G104" s="7526" t="str">
        <f>IF(Captura_Pegaso!A105="", "", Captura_Pegaso!E105)</f>
        <v/>
      </c>
      <c r="H104" s="7527" t="str">
        <f>IF(Captura_Pegaso!A105="", "", Captura_Pegaso!H105)</f>
        <v/>
      </c>
      <c r="I104" s="7528" t="str">
        <f>IF(Captura_Pegaso!A105="", "", SUMIFS(Captura_Obra!$F:$F, Captura_Obra!$A:$A, E104, Captura_Obra!$B:$B, F104, Captura_Obra!$D:$D, G104))</f>
        <v/>
      </c>
      <c r="J104" s="7529" t="str">
        <f>IF(Captura_Pegaso!A105="", "", H104 - I104)</f>
        <v/>
      </c>
      <c r="K104" s="3913"/>
    </row>
    <row r="105" spans="1:11">
      <c r="A105" s="7530" t="str">
        <f>IF(Captura_Pegaso!A106="", "", "Pegaso")</f>
        <v/>
      </c>
      <c r="B105" s="7531" t="str">
        <f>IF(Captura_Pegaso!A106="", "", Captura_Pegaso!N106)</f>
        <v/>
      </c>
      <c r="C105" s="7532" t="str">
        <f>IF(Captura_Pegaso!A106="", "", IFERROR(LOOKUP(2, 1/((Captura_Obra!$A$5:$A$1000=E105)*(Captura_Obra!$B$5:$B$1000=F105)*(Captura_Obra!$D$5:$D$1000=G105)), Captura_Obra!$N$5:$N$1000), "No Reportado"))</f>
        <v/>
      </c>
      <c r="D105" s="7533" t="str">
        <f>IF(Captura_Pegaso!A106="", "", IF(J105=0, "✅ Cuadrado", IF(I105=0, "❌ Falta en Obra", "⚠️ Dif")))</f>
        <v/>
      </c>
      <c r="E105" s="7534" t="str">
        <f>IF(Captura_Pegaso!A106="", "", Captura_Pegaso!A106)</f>
        <v/>
      </c>
      <c r="F105" s="7535" t="str">
        <f>IF(Captura_Pegaso!A106="", "", Captura_Pegaso!D106)</f>
        <v/>
      </c>
      <c r="G105" s="7536" t="str">
        <f>IF(Captura_Pegaso!A106="", "", Captura_Pegaso!E106)</f>
        <v/>
      </c>
      <c r="H105" s="7537" t="str">
        <f>IF(Captura_Pegaso!A106="", "", Captura_Pegaso!H106)</f>
        <v/>
      </c>
      <c r="I105" s="7538" t="str">
        <f>IF(Captura_Pegaso!A106="", "", SUMIFS(Captura_Obra!$F:$F, Captura_Obra!$A:$A, E105, Captura_Obra!$B:$B, F105, Captura_Obra!$D:$D, G105))</f>
        <v/>
      </c>
      <c r="J105" s="7539" t="str">
        <f>IF(Captura_Pegaso!A106="", "", H105 - I105)</f>
        <v/>
      </c>
      <c r="K105" s="3914"/>
    </row>
    <row r="106" spans="1:11">
      <c r="A106" s="7540" t="str">
        <f>IF(Captura_Pegaso!A107="", "", "Pegaso")</f>
        <v/>
      </c>
      <c r="B106" s="7541" t="str">
        <f>IF(Captura_Pegaso!A107="", "", Captura_Pegaso!N107)</f>
        <v/>
      </c>
      <c r="C106" s="7542" t="str">
        <f>IF(Captura_Pegaso!A107="", "", IFERROR(LOOKUP(2, 1/((Captura_Obra!$A$5:$A$1000=E106)*(Captura_Obra!$B$5:$B$1000=F106)*(Captura_Obra!$D$5:$D$1000=G106)), Captura_Obra!$N$5:$N$1000), "No Reportado"))</f>
        <v/>
      </c>
      <c r="D106" s="7543" t="str">
        <f>IF(Captura_Pegaso!A107="", "", IF(J106=0, "✅ Cuadrado", IF(I106=0, "❌ Falta en Obra", "⚠️ Dif")))</f>
        <v/>
      </c>
      <c r="E106" s="7544" t="str">
        <f>IF(Captura_Pegaso!A107="", "", Captura_Pegaso!A107)</f>
        <v/>
      </c>
      <c r="F106" s="7545" t="str">
        <f>IF(Captura_Pegaso!A107="", "", Captura_Pegaso!D107)</f>
        <v/>
      </c>
      <c r="G106" s="7546" t="str">
        <f>IF(Captura_Pegaso!A107="", "", Captura_Pegaso!E107)</f>
        <v/>
      </c>
      <c r="H106" s="7547" t="str">
        <f>IF(Captura_Pegaso!A107="", "", Captura_Pegaso!H107)</f>
        <v/>
      </c>
      <c r="I106" s="7548" t="str">
        <f>IF(Captura_Pegaso!A107="", "", SUMIFS(Captura_Obra!$F:$F, Captura_Obra!$A:$A, E106, Captura_Obra!$B:$B, F106, Captura_Obra!$D:$D, G106))</f>
        <v/>
      </c>
      <c r="J106" s="7549" t="str">
        <f>IF(Captura_Pegaso!A107="", "", H106 - I106)</f>
        <v/>
      </c>
      <c r="K106" s="3915"/>
    </row>
    <row r="107" spans="1:11">
      <c r="A107" s="7550" t="str">
        <f>IF(Captura_Pegaso!A108="", "", "Pegaso")</f>
        <v/>
      </c>
      <c r="B107" s="7551" t="str">
        <f>IF(Captura_Pegaso!A108="", "", Captura_Pegaso!N108)</f>
        <v/>
      </c>
      <c r="C107" s="7552" t="str">
        <f>IF(Captura_Pegaso!A108="", "", IFERROR(LOOKUP(2, 1/((Captura_Obra!$A$5:$A$1000=E107)*(Captura_Obra!$B$5:$B$1000=F107)*(Captura_Obra!$D$5:$D$1000=G107)), Captura_Obra!$N$5:$N$1000), "No Reportado"))</f>
        <v/>
      </c>
      <c r="D107" s="7553" t="str">
        <f>IF(Captura_Pegaso!A108="", "", IF(J107=0, "✅ Cuadrado", IF(I107=0, "❌ Falta en Obra", "⚠️ Dif")))</f>
        <v/>
      </c>
      <c r="E107" s="7554" t="str">
        <f>IF(Captura_Pegaso!A108="", "", Captura_Pegaso!A108)</f>
        <v/>
      </c>
      <c r="F107" s="7555" t="str">
        <f>IF(Captura_Pegaso!A108="", "", Captura_Pegaso!D108)</f>
        <v/>
      </c>
      <c r="G107" s="7556" t="str">
        <f>IF(Captura_Pegaso!A108="", "", Captura_Pegaso!E108)</f>
        <v/>
      </c>
      <c r="H107" s="7557" t="str">
        <f>IF(Captura_Pegaso!A108="", "", Captura_Pegaso!H108)</f>
        <v/>
      </c>
      <c r="I107" s="7558" t="str">
        <f>IF(Captura_Pegaso!A108="", "", SUMIFS(Captura_Obra!$F:$F, Captura_Obra!$A:$A, E107, Captura_Obra!$B:$B, F107, Captura_Obra!$D:$D, G107))</f>
        <v/>
      </c>
      <c r="J107" s="7559" t="str">
        <f>IF(Captura_Pegaso!A108="", "", H107 - I107)</f>
        <v/>
      </c>
      <c r="K107" s="3916"/>
    </row>
    <row r="108" spans="1:11">
      <c r="A108" s="7560" t="str">
        <f>IF(Captura_Pegaso!A109="", "", "Pegaso")</f>
        <v/>
      </c>
      <c r="B108" s="7561" t="str">
        <f>IF(Captura_Pegaso!A109="", "", Captura_Pegaso!N109)</f>
        <v/>
      </c>
      <c r="C108" s="7562" t="str">
        <f>IF(Captura_Pegaso!A109="", "", IFERROR(LOOKUP(2, 1/((Captura_Obra!$A$5:$A$1000=E108)*(Captura_Obra!$B$5:$B$1000=F108)*(Captura_Obra!$D$5:$D$1000=G108)), Captura_Obra!$N$5:$N$1000), "No Reportado"))</f>
        <v/>
      </c>
      <c r="D108" s="7563" t="str">
        <f>IF(Captura_Pegaso!A109="", "", IF(J108=0, "✅ Cuadrado", IF(I108=0, "❌ Falta en Obra", "⚠️ Dif")))</f>
        <v/>
      </c>
      <c r="E108" s="7564" t="str">
        <f>IF(Captura_Pegaso!A109="", "", Captura_Pegaso!A109)</f>
        <v/>
      </c>
      <c r="F108" s="7565" t="str">
        <f>IF(Captura_Pegaso!A109="", "", Captura_Pegaso!D109)</f>
        <v/>
      </c>
      <c r="G108" s="7566" t="str">
        <f>IF(Captura_Pegaso!A109="", "", Captura_Pegaso!E109)</f>
        <v/>
      </c>
      <c r="H108" s="7567" t="str">
        <f>IF(Captura_Pegaso!A109="", "", Captura_Pegaso!H109)</f>
        <v/>
      </c>
      <c r="I108" s="7568" t="str">
        <f>IF(Captura_Pegaso!A109="", "", SUMIFS(Captura_Obra!$F:$F, Captura_Obra!$A:$A, E108, Captura_Obra!$B:$B, F108, Captura_Obra!$D:$D, G108))</f>
        <v/>
      </c>
      <c r="J108" s="7569" t="str">
        <f>IF(Captura_Pegaso!A109="", "", H108 - I108)</f>
        <v/>
      </c>
      <c r="K108" s="3917"/>
    </row>
    <row r="109" spans="1:11">
      <c r="A109" s="7570" t="str">
        <f>IF(Captura_Pegaso!A110="", "", "Pegaso")</f>
        <v/>
      </c>
      <c r="B109" s="7571" t="str">
        <f>IF(Captura_Pegaso!A110="", "", Captura_Pegaso!N110)</f>
        <v/>
      </c>
      <c r="C109" s="7572" t="str">
        <f>IF(Captura_Pegaso!A110="", "", IFERROR(LOOKUP(2, 1/((Captura_Obra!$A$5:$A$1000=E109)*(Captura_Obra!$B$5:$B$1000=F109)*(Captura_Obra!$D$5:$D$1000=G109)), Captura_Obra!$N$5:$N$1000), "No Reportado"))</f>
        <v/>
      </c>
      <c r="D109" s="7573" t="str">
        <f>IF(Captura_Pegaso!A110="", "", IF(J109=0, "✅ Cuadrado", IF(I109=0, "❌ Falta en Obra", "⚠️ Dif")))</f>
        <v/>
      </c>
      <c r="E109" s="7574" t="str">
        <f>IF(Captura_Pegaso!A110="", "", Captura_Pegaso!A110)</f>
        <v/>
      </c>
      <c r="F109" s="7575" t="str">
        <f>IF(Captura_Pegaso!A110="", "", Captura_Pegaso!D110)</f>
        <v/>
      </c>
      <c r="G109" s="7576" t="str">
        <f>IF(Captura_Pegaso!A110="", "", Captura_Pegaso!E110)</f>
        <v/>
      </c>
      <c r="H109" s="7577" t="str">
        <f>IF(Captura_Pegaso!A110="", "", Captura_Pegaso!H110)</f>
        <v/>
      </c>
      <c r="I109" s="7578" t="str">
        <f>IF(Captura_Pegaso!A110="", "", SUMIFS(Captura_Obra!$F:$F, Captura_Obra!$A:$A, E109, Captura_Obra!$B:$B, F109, Captura_Obra!$D:$D, G109))</f>
        <v/>
      </c>
      <c r="J109" s="7579" t="str">
        <f>IF(Captura_Pegaso!A110="", "", H109 - I109)</f>
        <v/>
      </c>
      <c r="K109" s="3918"/>
    </row>
    <row r="110" spans="1:11">
      <c r="A110" s="7580" t="str">
        <f>IF(Captura_Pegaso!A111="", "", "Pegaso")</f>
        <v/>
      </c>
      <c r="B110" s="7581" t="str">
        <f>IF(Captura_Pegaso!A111="", "", Captura_Pegaso!N111)</f>
        <v/>
      </c>
      <c r="C110" s="7582" t="str">
        <f>IF(Captura_Pegaso!A111="", "", IFERROR(LOOKUP(2, 1/((Captura_Obra!$A$5:$A$1000=E110)*(Captura_Obra!$B$5:$B$1000=F110)*(Captura_Obra!$D$5:$D$1000=G110)), Captura_Obra!$N$5:$N$1000), "No Reportado"))</f>
        <v/>
      </c>
      <c r="D110" s="7583" t="str">
        <f>IF(Captura_Pegaso!A111="", "", IF(J110=0, "✅ Cuadrado", IF(I110=0, "❌ Falta en Obra", "⚠️ Dif")))</f>
        <v/>
      </c>
      <c r="E110" s="7584" t="str">
        <f>IF(Captura_Pegaso!A111="", "", Captura_Pegaso!A111)</f>
        <v/>
      </c>
      <c r="F110" s="7585" t="str">
        <f>IF(Captura_Pegaso!A111="", "", Captura_Pegaso!D111)</f>
        <v/>
      </c>
      <c r="G110" s="7586" t="str">
        <f>IF(Captura_Pegaso!A111="", "", Captura_Pegaso!E111)</f>
        <v/>
      </c>
      <c r="H110" s="7587" t="str">
        <f>IF(Captura_Pegaso!A111="", "", Captura_Pegaso!H111)</f>
        <v/>
      </c>
      <c r="I110" s="7588" t="str">
        <f>IF(Captura_Pegaso!A111="", "", SUMIFS(Captura_Obra!$F:$F, Captura_Obra!$A:$A, E110, Captura_Obra!$B:$B, F110, Captura_Obra!$D:$D, G110))</f>
        <v/>
      </c>
      <c r="J110" s="7589" t="str">
        <f>IF(Captura_Pegaso!A111="", "", H110 - I110)</f>
        <v/>
      </c>
      <c r="K110" s="3919"/>
    </row>
    <row r="111" spans="1:11">
      <c r="A111" s="7590" t="str">
        <f>IF(Captura_Pegaso!A112="", "", "Pegaso")</f>
        <v/>
      </c>
      <c r="B111" s="7591" t="str">
        <f>IF(Captura_Pegaso!A112="", "", Captura_Pegaso!N112)</f>
        <v/>
      </c>
      <c r="C111" s="7592" t="str">
        <f>IF(Captura_Pegaso!A112="", "", IFERROR(LOOKUP(2, 1/((Captura_Obra!$A$5:$A$1000=E111)*(Captura_Obra!$B$5:$B$1000=F111)*(Captura_Obra!$D$5:$D$1000=G111)), Captura_Obra!$N$5:$N$1000), "No Reportado"))</f>
        <v/>
      </c>
      <c r="D111" s="7593" t="str">
        <f>IF(Captura_Pegaso!A112="", "", IF(J111=0, "✅ Cuadrado", IF(I111=0, "❌ Falta en Obra", "⚠️ Dif")))</f>
        <v/>
      </c>
      <c r="E111" s="7594" t="str">
        <f>IF(Captura_Pegaso!A112="", "", Captura_Pegaso!A112)</f>
        <v/>
      </c>
      <c r="F111" s="7595" t="str">
        <f>IF(Captura_Pegaso!A112="", "", Captura_Pegaso!D112)</f>
        <v/>
      </c>
      <c r="G111" s="7596" t="str">
        <f>IF(Captura_Pegaso!A112="", "", Captura_Pegaso!E112)</f>
        <v/>
      </c>
      <c r="H111" s="7597" t="str">
        <f>IF(Captura_Pegaso!A112="", "", Captura_Pegaso!H112)</f>
        <v/>
      </c>
      <c r="I111" s="7598" t="str">
        <f>IF(Captura_Pegaso!A112="", "", SUMIFS(Captura_Obra!$F:$F, Captura_Obra!$A:$A, E111, Captura_Obra!$B:$B, F111, Captura_Obra!$D:$D, G111))</f>
        <v/>
      </c>
      <c r="J111" s="7599" t="str">
        <f>IF(Captura_Pegaso!A112="", "", H111 - I111)</f>
        <v/>
      </c>
      <c r="K111" s="3920"/>
    </row>
    <row r="112" spans="1:11">
      <c r="A112" s="7600" t="str">
        <f>IF(Captura_Pegaso!A113="", "", "Pegaso")</f>
        <v/>
      </c>
      <c r="B112" s="7601" t="str">
        <f>IF(Captura_Pegaso!A113="", "", Captura_Pegaso!N113)</f>
        <v/>
      </c>
      <c r="C112" s="7602" t="str">
        <f>IF(Captura_Pegaso!A113="", "", IFERROR(LOOKUP(2, 1/((Captura_Obra!$A$5:$A$1000=E112)*(Captura_Obra!$B$5:$B$1000=F112)*(Captura_Obra!$D$5:$D$1000=G112)), Captura_Obra!$N$5:$N$1000), "No Reportado"))</f>
        <v/>
      </c>
      <c r="D112" s="7603" t="str">
        <f>IF(Captura_Pegaso!A113="", "", IF(J112=0, "✅ Cuadrado", IF(I112=0, "❌ Falta en Obra", "⚠️ Dif")))</f>
        <v/>
      </c>
      <c r="E112" s="7604" t="str">
        <f>IF(Captura_Pegaso!A113="", "", Captura_Pegaso!A113)</f>
        <v/>
      </c>
      <c r="F112" s="7605" t="str">
        <f>IF(Captura_Pegaso!A113="", "", Captura_Pegaso!D113)</f>
        <v/>
      </c>
      <c r="G112" s="7606" t="str">
        <f>IF(Captura_Pegaso!A113="", "", Captura_Pegaso!E113)</f>
        <v/>
      </c>
      <c r="H112" s="7607" t="str">
        <f>IF(Captura_Pegaso!A113="", "", Captura_Pegaso!H113)</f>
        <v/>
      </c>
      <c r="I112" s="7608" t="str">
        <f>IF(Captura_Pegaso!A113="", "", SUMIFS(Captura_Obra!$F:$F, Captura_Obra!$A:$A, E112, Captura_Obra!$B:$B, F112, Captura_Obra!$D:$D, G112))</f>
        <v/>
      </c>
      <c r="J112" s="7609" t="str">
        <f>IF(Captura_Pegaso!A113="", "", H112 - I112)</f>
        <v/>
      </c>
      <c r="K112" s="3921"/>
    </row>
    <row r="113" spans="1:11">
      <c r="A113" s="7610" t="str">
        <f>IF(Captura_Pegaso!A114="", "", "Pegaso")</f>
        <v/>
      </c>
      <c r="B113" s="7611" t="str">
        <f>IF(Captura_Pegaso!A114="", "", Captura_Pegaso!N114)</f>
        <v/>
      </c>
      <c r="C113" s="7612" t="str">
        <f>IF(Captura_Pegaso!A114="", "", IFERROR(LOOKUP(2, 1/((Captura_Obra!$A$5:$A$1000=E113)*(Captura_Obra!$B$5:$B$1000=F113)*(Captura_Obra!$D$5:$D$1000=G113)), Captura_Obra!$N$5:$N$1000), "No Reportado"))</f>
        <v/>
      </c>
      <c r="D113" s="7613" t="str">
        <f>IF(Captura_Pegaso!A114="", "", IF(J113=0, "✅ Cuadrado", IF(I113=0, "❌ Falta en Obra", "⚠️ Dif")))</f>
        <v/>
      </c>
      <c r="E113" s="7614" t="str">
        <f>IF(Captura_Pegaso!A114="", "", Captura_Pegaso!A114)</f>
        <v/>
      </c>
      <c r="F113" s="7615" t="str">
        <f>IF(Captura_Pegaso!A114="", "", Captura_Pegaso!D114)</f>
        <v/>
      </c>
      <c r="G113" s="7616" t="str">
        <f>IF(Captura_Pegaso!A114="", "", Captura_Pegaso!E114)</f>
        <v/>
      </c>
      <c r="H113" s="7617" t="str">
        <f>IF(Captura_Pegaso!A114="", "", Captura_Pegaso!H114)</f>
        <v/>
      </c>
      <c r="I113" s="7618" t="str">
        <f>IF(Captura_Pegaso!A114="", "", SUMIFS(Captura_Obra!$F:$F, Captura_Obra!$A:$A, E113, Captura_Obra!$B:$B, F113, Captura_Obra!$D:$D, G113))</f>
        <v/>
      </c>
      <c r="J113" s="7619" t="str">
        <f>IF(Captura_Pegaso!A114="", "", H113 - I113)</f>
        <v/>
      </c>
      <c r="K113" s="3922"/>
    </row>
    <row r="114" spans="1:11">
      <c r="A114" s="7620" t="str">
        <f>IF(Captura_Pegaso!A115="", "", "Pegaso")</f>
        <v/>
      </c>
      <c r="B114" s="7621" t="str">
        <f>IF(Captura_Pegaso!A115="", "", Captura_Pegaso!N115)</f>
        <v/>
      </c>
      <c r="C114" s="7622" t="str">
        <f>IF(Captura_Pegaso!A115="", "", IFERROR(LOOKUP(2, 1/((Captura_Obra!$A$5:$A$1000=E114)*(Captura_Obra!$B$5:$B$1000=F114)*(Captura_Obra!$D$5:$D$1000=G114)), Captura_Obra!$N$5:$N$1000), "No Reportado"))</f>
        <v/>
      </c>
      <c r="D114" s="7623" t="str">
        <f>IF(Captura_Pegaso!A115="", "", IF(J114=0, "✅ Cuadrado", IF(I114=0, "❌ Falta en Obra", "⚠️ Dif")))</f>
        <v/>
      </c>
      <c r="E114" s="7624" t="str">
        <f>IF(Captura_Pegaso!A115="", "", Captura_Pegaso!A115)</f>
        <v/>
      </c>
      <c r="F114" s="7625" t="str">
        <f>IF(Captura_Pegaso!A115="", "", Captura_Pegaso!D115)</f>
        <v/>
      </c>
      <c r="G114" s="7626" t="str">
        <f>IF(Captura_Pegaso!A115="", "", Captura_Pegaso!E115)</f>
        <v/>
      </c>
      <c r="H114" s="7627" t="str">
        <f>IF(Captura_Pegaso!A115="", "", Captura_Pegaso!H115)</f>
        <v/>
      </c>
      <c r="I114" s="7628" t="str">
        <f>IF(Captura_Pegaso!A115="", "", SUMIFS(Captura_Obra!$F:$F, Captura_Obra!$A:$A, E114, Captura_Obra!$B:$B, F114, Captura_Obra!$D:$D, G114))</f>
        <v/>
      </c>
      <c r="J114" s="7629" t="str">
        <f>IF(Captura_Pegaso!A115="", "", H114 - I114)</f>
        <v/>
      </c>
      <c r="K114" s="3923"/>
    </row>
    <row r="115" spans="1:11">
      <c r="A115" s="7630" t="str">
        <f>IF(Captura_Pegaso!A116="", "", "Pegaso")</f>
        <v/>
      </c>
      <c r="B115" s="7631" t="str">
        <f>IF(Captura_Pegaso!A116="", "", Captura_Pegaso!N116)</f>
        <v/>
      </c>
      <c r="C115" s="7632" t="str">
        <f>IF(Captura_Pegaso!A116="", "", IFERROR(LOOKUP(2, 1/((Captura_Obra!$A$5:$A$1000=E115)*(Captura_Obra!$B$5:$B$1000=F115)*(Captura_Obra!$D$5:$D$1000=G115)), Captura_Obra!$N$5:$N$1000), "No Reportado"))</f>
        <v/>
      </c>
      <c r="D115" s="7633" t="str">
        <f>IF(Captura_Pegaso!A116="", "", IF(J115=0, "✅ Cuadrado", IF(I115=0, "❌ Falta en Obra", "⚠️ Dif")))</f>
        <v/>
      </c>
      <c r="E115" s="7634" t="str">
        <f>IF(Captura_Pegaso!A116="", "", Captura_Pegaso!A116)</f>
        <v/>
      </c>
      <c r="F115" s="7635" t="str">
        <f>IF(Captura_Pegaso!A116="", "", Captura_Pegaso!D116)</f>
        <v/>
      </c>
      <c r="G115" s="7636" t="str">
        <f>IF(Captura_Pegaso!A116="", "", Captura_Pegaso!E116)</f>
        <v/>
      </c>
      <c r="H115" s="7637" t="str">
        <f>IF(Captura_Pegaso!A116="", "", Captura_Pegaso!H116)</f>
        <v/>
      </c>
      <c r="I115" s="7638" t="str">
        <f>IF(Captura_Pegaso!A116="", "", SUMIFS(Captura_Obra!$F:$F, Captura_Obra!$A:$A, E115, Captura_Obra!$B:$B, F115, Captura_Obra!$D:$D, G115))</f>
        <v/>
      </c>
      <c r="J115" s="7639" t="str">
        <f>IF(Captura_Pegaso!A116="", "", H115 - I115)</f>
        <v/>
      </c>
      <c r="K115" s="3924"/>
    </row>
    <row r="116" spans="1:11">
      <c r="A116" s="7640" t="str">
        <f>IF(Captura_Pegaso!A117="", "", "Pegaso")</f>
        <v/>
      </c>
      <c r="B116" s="7641" t="str">
        <f>IF(Captura_Pegaso!A117="", "", Captura_Pegaso!N117)</f>
        <v/>
      </c>
      <c r="C116" s="7642" t="str">
        <f>IF(Captura_Pegaso!A117="", "", IFERROR(LOOKUP(2, 1/((Captura_Obra!$A$5:$A$1000=E116)*(Captura_Obra!$B$5:$B$1000=F116)*(Captura_Obra!$D$5:$D$1000=G116)), Captura_Obra!$N$5:$N$1000), "No Reportado"))</f>
        <v/>
      </c>
      <c r="D116" s="7643" t="str">
        <f>IF(Captura_Pegaso!A117="", "", IF(J116=0, "✅ Cuadrado", IF(I116=0, "❌ Falta en Obra", "⚠️ Dif")))</f>
        <v/>
      </c>
      <c r="E116" s="7644" t="str">
        <f>IF(Captura_Pegaso!A117="", "", Captura_Pegaso!A117)</f>
        <v/>
      </c>
      <c r="F116" s="7645" t="str">
        <f>IF(Captura_Pegaso!A117="", "", Captura_Pegaso!D117)</f>
        <v/>
      </c>
      <c r="G116" s="7646" t="str">
        <f>IF(Captura_Pegaso!A117="", "", Captura_Pegaso!E117)</f>
        <v/>
      </c>
      <c r="H116" s="7647" t="str">
        <f>IF(Captura_Pegaso!A117="", "", Captura_Pegaso!H117)</f>
        <v/>
      </c>
      <c r="I116" s="7648" t="str">
        <f>IF(Captura_Pegaso!A117="", "", SUMIFS(Captura_Obra!$F:$F, Captura_Obra!$A:$A, E116, Captura_Obra!$B:$B, F116, Captura_Obra!$D:$D, G116))</f>
        <v/>
      </c>
      <c r="J116" s="7649" t="str">
        <f>IF(Captura_Pegaso!A117="", "", H116 - I116)</f>
        <v/>
      </c>
      <c r="K116" s="3925"/>
    </row>
    <row r="117" spans="1:11">
      <c r="A117" s="7650" t="str">
        <f>IF(Captura_Pegaso!A118="", "", "Pegaso")</f>
        <v/>
      </c>
      <c r="B117" s="7651" t="str">
        <f>IF(Captura_Pegaso!A118="", "", Captura_Pegaso!N118)</f>
        <v/>
      </c>
      <c r="C117" s="7652" t="str">
        <f>IF(Captura_Pegaso!A118="", "", IFERROR(LOOKUP(2, 1/((Captura_Obra!$A$5:$A$1000=E117)*(Captura_Obra!$B$5:$B$1000=F117)*(Captura_Obra!$D$5:$D$1000=G117)), Captura_Obra!$N$5:$N$1000), "No Reportado"))</f>
        <v/>
      </c>
      <c r="D117" s="7653" t="str">
        <f>IF(Captura_Pegaso!A118="", "", IF(J117=0, "✅ Cuadrado", IF(I117=0, "❌ Falta en Obra", "⚠️ Dif")))</f>
        <v/>
      </c>
      <c r="E117" s="7654" t="str">
        <f>IF(Captura_Pegaso!A118="", "", Captura_Pegaso!A118)</f>
        <v/>
      </c>
      <c r="F117" s="7655" t="str">
        <f>IF(Captura_Pegaso!A118="", "", Captura_Pegaso!D118)</f>
        <v/>
      </c>
      <c r="G117" s="7656" t="str">
        <f>IF(Captura_Pegaso!A118="", "", Captura_Pegaso!E118)</f>
        <v/>
      </c>
      <c r="H117" s="7657" t="str">
        <f>IF(Captura_Pegaso!A118="", "", Captura_Pegaso!H118)</f>
        <v/>
      </c>
      <c r="I117" s="7658" t="str">
        <f>IF(Captura_Pegaso!A118="", "", SUMIFS(Captura_Obra!$F:$F, Captura_Obra!$A:$A, E117, Captura_Obra!$B:$B, F117, Captura_Obra!$D:$D, G117))</f>
        <v/>
      </c>
      <c r="J117" s="7659" t="str">
        <f>IF(Captura_Pegaso!A118="", "", H117 - I117)</f>
        <v/>
      </c>
      <c r="K117" s="3926"/>
    </row>
    <row r="118" spans="1:11">
      <c r="A118" s="7660" t="str">
        <f>IF(Captura_Pegaso!A119="", "", "Pegaso")</f>
        <v/>
      </c>
      <c r="B118" s="7661" t="str">
        <f>IF(Captura_Pegaso!A119="", "", Captura_Pegaso!N119)</f>
        <v/>
      </c>
      <c r="C118" s="7662" t="str">
        <f>IF(Captura_Pegaso!A119="", "", IFERROR(LOOKUP(2, 1/((Captura_Obra!$A$5:$A$1000=E118)*(Captura_Obra!$B$5:$B$1000=F118)*(Captura_Obra!$D$5:$D$1000=G118)), Captura_Obra!$N$5:$N$1000), "No Reportado"))</f>
        <v/>
      </c>
      <c r="D118" s="7663" t="str">
        <f>IF(Captura_Pegaso!A119="", "", IF(J118=0, "✅ Cuadrado", IF(I118=0, "❌ Falta en Obra", "⚠️ Dif")))</f>
        <v/>
      </c>
      <c r="E118" s="7664" t="str">
        <f>IF(Captura_Pegaso!A119="", "", Captura_Pegaso!A119)</f>
        <v/>
      </c>
      <c r="F118" s="7665" t="str">
        <f>IF(Captura_Pegaso!A119="", "", Captura_Pegaso!D119)</f>
        <v/>
      </c>
      <c r="G118" s="7666" t="str">
        <f>IF(Captura_Pegaso!A119="", "", Captura_Pegaso!E119)</f>
        <v/>
      </c>
      <c r="H118" s="7667" t="str">
        <f>IF(Captura_Pegaso!A119="", "", Captura_Pegaso!H119)</f>
        <v/>
      </c>
      <c r="I118" s="7668" t="str">
        <f>IF(Captura_Pegaso!A119="", "", SUMIFS(Captura_Obra!$F:$F, Captura_Obra!$A:$A, E118, Captura_Obra!$B:$B, F118, Captura_Obra!$D:$D, G118))</f>
        <v/>
      </c>
      <c r="J118" s="7669" t="str">
        <f>IF(Captura_Pegaso!A119="", "", H118 - I118)</f>
        <v/>
      </c>
      <c r="K118" s="3927"/>
    </row>
    <row r="119" spans="1:11">
      <c r="A119" s="7670" t="str">
        <f>IF(Captura_Pegaso!A120="", "", "Pegaso")</f>
        <v/>
      </c>
      <c r="B119" s="7671" t="str">
        <f>IF(Captura_Pegaso!A120="", "", Captura_Pegaso!N120)</f>
        <v/>
      </c>
      <c r="C119" s="7672" t="str">
        <f>IF(Captura_Pegaso!A120="", "", IFERROR(LOOKUP(2, 1/((Captura_Obra!$A$5:$A$1000=E119)*(Captura_Obra!$B$5:$B$1000=F119)*(Captura_Obra!$D$5:$D$1000=G119)), Captura_Obra!$N$5:$N$1000), "No Reportado"))</f>
        <v/>
      </c>
      <c r="D119" s="7673" t="str">
        <f>IF(Captura_Pegaso!A120="", "", IF(J119=0, "✅ Cuadrado", IF(I119=0, "❌ Falta en Obra", "⚠️ Dif")))</f>
        <v/>
      </c>
      <c r="E119" s="7674" t="str">
        <f>IF(Captura_Pegaso!A120="", "", Captura_Pegaso!A120)</f>
        <v/>
      </c>
      <c r="F119" s="7675" t="str">
        <f>IF(Captura_Pegaso!A120="", "", Captura_Pegaso!D120)</f>
        <v/>
      </c>
      <c r="G119" s="7676" t="str">
        <f>IF(Captura_Pegaso!A120="", "", Captura_Pegaso!E120)</f>
        <v/>
      </c>
      <c r="H119" s="7677" t="str">
        <f>IF(Captura_Pegaso!A120="", "", Captura_Pegaso!H120)</f>
        <v/>
      </c>
      <c r="I119" s="7678" t="str">
        <f>IF(Captura_Pegaso!A120="", "", SUMIFS(Captura_Obra!$F:$F, Captura_Obra!$A:$A, E119, Captura_Obra!$B:$B, F119, Captura_Obra!$D:$D, G119))</f>
        <v/>
      </c>
      <c r="J119" s="7679" t="str">
        <f>IF(Captura_Pegaso!A120="", "", H119 - I119)</f>
        <v/>
      </c>
      <c r="K119" s="3928"/>
    </row>
    <row r="120" spans="1:11">
      <c r="A120" s="7680" t="str">
        <f>IF(Captura_Pegaso!A121="", "", "Pegaso")</f>
        <v/>
      </c>
      <c r="B120" s="7681" t="str">
        <f>IF(Captura_Pegaso!A121="", "", Captura_Pegaso!N121)</f>
        <v/>
      </c>
      <c r="C120" s="7682" t="str">
        <f>IF(Captura_Pegaso!A121="", "", IFERROR(LOOKUP(2, 1/((Captura_Obra!$A$5:$A$1000=E120)*(Captura_Obra!$B$5:$B$1000=F120)*(Captura_Obra!$D$5:$D$1000=G120)), Captura_Obra!$N$5:$N$1000), "No Reportado"))</f>
        <v/>
      </c>
      <c r="D120" s="7683" t="str">
        <f>IF(Captura_Pegaso!A121="", "", IF(J120=0, "✅ Cuadrado", IF(I120=0, "❌ Falta en Obra", "⚠️ Dif")))</f>
        <v/>
      </c>
      <c r="E120" s="7684" t="str">
        <f>IF(Captura_Pegaso!A121="", "", Captura_Pegaso!A121)</f>
        <v/>
      </c>
      <c r="F120" s="7685" t="str">
        <f>IF(Captura_Pegaso!A121="", "", Captura_Pegaso!D121)</f>
        <v/>
      </c>
      <c r="G120" s="7686" t="str">
        <f>IF(Captura_Pegaso!A121="", "", Captura_Pegaso!E121)</f>
        <v/>
      </c>
      <c r="H120" s="7687" t="str">
        <f>IF(Captura_Pegaso!A121="", "", Captura_Pegaso!H121)</f>
        <v/>
      </c>
      <c r="I120" s="7688" t="str">
        <f>IF(Captura_Pegaso!A121="", "", SUMIFS(Captura_Obra!$F:$F, Captura_Obra!$A:$A, E120, Captura_Obra!$B:$B, F120, Captura_Obra!$D:$D, G120))</f>
        <v/>
      </c>
      <c r="J120" s="7689" t="str">
        <f>IF(Captura_Pegaso!A121="", "", H120 - I120)</f>
        <v/>
      </c>
      <c r="K120" s="3929"/>
    </row>
    <row r="121" spans="1:11">
      <c r="A121" s="7690" t="str">
        <f>IF(Captura_Pegaso!A122="", "", "Pegaso")</f>
        <v/>
      </c>
      <c r="B121" s="7691" t="str">
        <f>IF(Captura_Pegaso!A122="", "", Captura_Pegaso!N122)</f>
        <v/>
      </c>
      <c r="C121" s="7692" t="str">
        <f>IF(Captura_Pegaso!A122="", "", IFERROR(LOOKUP(2, 1/((Captura_Obra!$A$5:$A$1000=E121)*(Captura_Obra!$B$5:$B$1000=F121)*(Captura_Obra!$D$5:$D$1000=G121)), Captura_Obra!$N$5:$N$1000), "No Reportado"))</f>
        <v/>
      </c>
      <c r="D121" s="7693" t="str">
        <f>IF(Captura_Pegaso!A122="", "", IF(J121=0, "✅ Cuadrado", IF(I121=0, "❌ Falta en Obra", "⚠️ Dif")))</f>
        <v/>
      </c>
      <c r="E121" s="7694" t="str">
        <f>IF(Captura_Pegaso!A122="", "", Captura_Pegaso!A122)</f>
        <v/>
      </c>
      <c r="F121" s="7695" t="str">
        <f>IF(Captura_Pegaso!A122="", "", Captura_Pegaso!D122)</f>
        <v/>
      </c>
      <c r="G121" s="7696" t="str">
        <f>IF(Captura_Pegaso!A122="", "", Captura_Pegaso!E122)</f>
        <v/>
      </c>
      <c r="H121" s="7697" t="str">
        <f>IF(Captura_Pegaso!A122="", "", Captura_Pegaso!H122)</f>
        <v/>
      </c>
      <c r="I121" s="7698" t="str">
        <f>IF(Captura_Pegaso!A122="", "", SUMIFS(Captura_Obra!$F:$F, Captura_Obra!$A:$A, E121, Captura_Obra!$B:$B, F121, Captura_Obra!$D:$D, G121))</f>
        <v/>
      </c>
      <c r="J121" s="7699" t="str">
        <f>IF(Captura_Pegaso!A122="", "", H121 - I121)</f>
        <v/>
      </c>
      <c r="K121" s="3930"/>
    </row>
    <row r="122" spans="1:11">
      <c r="A122" s="7700" t="str">
        <f>IF(Captura_Pegaso!A123="", "", "Pegaso")</f>
        <v/>
      </c>
      <c r="B122" s="7701" t="str">
        <f>IF(Captura_Pegaso!A123="", "", Captura_Pegaso!N123)</f>
        <v/>
      </c>
      <c r="C122" s="7702" t="str">
        <f>IF(Captura_Pegaso!A123="", "", IFERROR(LOOKUP(2, 1/((Captura_Obra!$A$5:$A$1000=E122)*(Captura_Obra!$B$5:$B$1000=F122)*(Captura_Obra!$D$5:$D$1000=G122)), Captura_Obra!$N$5:$N$1000), "No Reportado"))</f>
        <v/>
      </c>
      <c r="D122" s="7703" t="str">
        <f>IF(Captura_Pegaso!A123="", "", IF(J122=0, "✅ Cuadrado", IF(I122=0, "❌ Falta en Obra", "⚠️ Dif")))</f>
        <v/>
      </c>
      <c r="E122" s="7704" t="str">
        <f>IF(Captura_Pegaso!A123="", "", Captura_Pegaso!A123)</f>
        <v/>
      </c>
      <c r="F122" s="7705" t="str">
        <f>IF(Captura_Pegaso!A123="", "", Captura_Pegaso!D123)</f>
        <v/>
      </c>
      <c r="G122" s="7706" t="str">
        <f>IF(Captura_Pegaso!A123="", "", Captura_Pegaso!E123)</f>
        <v/>
      </c>
      <c r="H122" s="7707" t="str">
        <f>IF(Captura_Pegaso!A123="", "", Captura_Pegaso!H123)</f>
        <v/>
      </c>
      <c r="I122" s="7708" t="str">
        <f>IF(Captura_Pegaso!A123="", "", SUMIFS(Captura_Obra!$F:$F, Captura_Obra!$A:$A, E122, Captura_Obra!$B:$B, F122, Captura_Obra!$D:$D, G122))</f>
        <v/>
      </c>
      <c r="J122" s="7709" t="str">
        <f>IF(Captura_Pegaso!A123="", "", H122 - I122)</f>
        <v/>
      </c>
      <c r="K122" s="3931"/>
    </row>
    <row r="123" spans="1:11">
      <c r="A123" s="7710" t="str">
        <f>IF(Captura_Pegaso!A124="", "", "Pegaso")</f>
        <v/>
      </c>
      <c r="B123" s="7711" t="str">
        <f>IF(Captura_Pegaso!A124="", "", Captura_Pegaso!N124)</f>
        <v/>
      </c>
      <c r="C123" s="7712" t="str">
        <f>IF(Captura_Pegaso!A124="", "", IFERROR(LOOKUP(2, 1/((Captura_Obra!$A$5:$A$1000=E123)*(Captura_Obra!$B$5:$B$1000=F123)*(Captura_Obra!$D$5:$D$1000=G123)), Captura_Obra!$N$5:$N$1000), "No Reportado"))</f>
        <v/>
      </c>
      <c r="D123" s="7713" t="str">
        <f>IF(Captura_Pegaso!A124="", "", IF(J123=0, "✅ Cuadrado", IF(I123=0, "❌ Falta en Obra", "⚠️ Dif")))</f>
        <v/>
      </c>
      <c r="E123" s="7714" t="str">
        <f>IF(Captura_Pegaso!A124="", "", Captura_Pegaso!A124)</f>
        <v/>
      </c>
      <c r="F123" s="7715" t="str">
        <f>IF(Captura_Pegaso!A124="", "", Captura_Pegaso!D124)</f>
        <v/>
      </c>
      <c r="G123" s="7716" t="str">
        <f>IF(Captura_Pegaso!A124="", "", Captura_Pegaso!E124)</f>
        <v/>
      </c>
      <c r="H123" s="7717" t="str">
        <f>IF(Captura_Pegaso!A124="", "", Captura_Pegaso!H124)</f>
        <v/>
      </c>
      <c r="I123" s="7718" t="str">
        <f>IF(Captura_Pegaso!A124="", "", SUMIFS(Captura_Obra!$F:$F, Captura_Obra!$A:$A, E123, Captura_Obra!$B:$B, F123, Captura_Obra!$D:$D, G123))</f>
        <v/>
      </c>
      <c r="J123" s="7719" t="str">
        <f>IF(Captura_Pegaso!A124="", "", H123 - I123)</f>
        <v/>
      </c>
      <c r="K123" s="3932"/>
    </row>
    <row r="124" spans="1:11">
      <c r="A124" s="7720" t="str">
        <f>IF(Captura_Pegaso!A125="", "", "Pegaso")</f>
        <v/>
      </c>
      <c r="B124" s="7721" t="str">
        <f>IF(Captura_Pegaso!A125="", "", Captura_Pegaso!N125)</f>
        <v/>
      </c>
      <c r="C124" s="7722" t="str">
        <f>IF(Captura_Pegaso!A125="", "", IFERROR(LOOKUP(2, 1/((Captura_Obra!$A$5:$A$1000=E124)*(Captura_Obra!$B$5:$B$1000=F124)*(Captura_Obra!$D$5:$D$1000=G124)), Captura_Obra!$N$5:$N$1000), "No Reportado"))</f>
        <v/>
      </c>
      <c r="D124" s="7723" t="str">
        <f>IF(Captura_Pegaso!A125="", "", IF(J124=0, "✅ Cuadrado", IF(I124=0, "❌ Falta en Obra", "⚠️ Dif")))</f>
        <v/>
      </c>
      <c r="E124" s="7724" t="str">
        <f>IF(Captura_Pegaso!A125="", "", Captura_Pegaso!A125)</f>
        <v/>
      </c>
      <c r="F124" s="7725" t="str">
        <f>IF(Captura_Pegaso!A125="", "", Captura_Pegaso!D125)</f>
        <v/>
      </c>
      <c r="G124" s="7726" t="str">
        <f>IF(Captura_Pegaso!A125="", "", Captura_Pegaso!E125)</f>
        <v/>
      </c>
      <c r="H124" s="7727" t="str">
        <f>IF(Captura_Pegaso!A125="", "", Captura_Pegaso!H125)</f>
        <v/>
      </c>
      <c r="I124" s="7728" t="str">
        <f>IF(Captura_Pegaso!A125="", "", SUMIFS(Captura_Obra!$F:$F, Captura_Obra!$A:$A, E124, Captura_Obra!$B:$B, F124, Captura_Obra!$D:$D, G124))</f>
        <v/>
      </c>
      <c r="J124" s="7729" t="str">
        <f>IF(Captura_Pegaso!A125="", "", H124 - I124)</f>
        <v/>
      </c>
      <c r="K124" s="3933"/>
    </row>
    <row r="125" spans="1:11">
      <c r="A125" s="7730" t="str">
        <f>IF(Captura_Pegaso!A126="", "", "Pegaso")</f>
        <v/>
      </c>
      <c r="B125" s="7731" t="str">
        <f>IF(Captura_Pegaso!A126="", "", Captura_Pegaso!N126)</f>
        <v/>
      </c>
      <c r="C125" s="7732" t="str">
        <f>IF(Captura_Pegaso!A126="", "", IFERROR(LOOKUP(2, 1/((Captura_Obra!$A$5:$A$1000=E125)*(Captura_Obra!$B$5:$B$1000=F125)*(Captura_Obra!$D$5:$D$1000=G125)), Captura_Obra!$N$5:$N$1000), "No Reportado"))</f>
        <v/>
      </c>
      <c r="D125" s="7733" t="str">
        <f>IF(Captura_Pegaso!A126="", "", IF(J125=0, "✅ Cuadrado", IF(I125=0, "❌ Falta en Obra", "⚠️ Dif")))</f>
        <v/>
      </c>
      <c r="E125" s="7734" t="str">
        <f>IF(Captura_Pegaso!A126="", "", Captura_Pegaso!A126)</f>
        <v/>
      </c>
      <c r="F125" s="7735" t="str">
        <f>IF(Captura_Pegaso!A126="", "", Captura_Pegaso!D126)</f>
        <v/>
      </c>
      <c r="G125" s="7736" t="str">
        <f>IF(Captura_Pegaso!A126="", "", Captura_Pegaso!E126)</f>
        <v/>
      </c>
      <c r="H125" s="7737" t="str">
        <f>IF(Captura_Pegaso!A126="", "", Captura_Pegaso!H126)</f>
        <v/>
      </c>
      <c r="I125" s="7738" t="str">
        <f>IF(Captura_Pegaso!A126="", "", SUMIFS(Captura_Obra!$F:$F, Captura_Obra!$A:$A, E125, Captura_Obra!$B:$B, F125, Captura_Obra!$D:$D, G125))</f>
        <v/>
      </c>
      <c r="J125" s="7739" t="str">
        <f>IF(Captura_Pegaso!A126="", "", H125 - I125)</f>
        <v/>
      </c>
      <c r="K125" s="3934"/>
    </row>
    <row r="126" spans="1:11">
      <c r="A126" s="7740" t="str">
        <f>IF(Captura_Pegaso!A127="", "", "Pegaso")</f>
        <v/>
      </c>
      <c r="B126" s="7741" t="str">
        <f>IF(Captura_Pegaso!A127="", "", Captura_Pegaso!N127)</f>
        <v/>
      </c>
      <c r="C126" s="7742" t="str">
        <f>IF(Captura_Pegaso!A127="", "", IFERROR(LOOKUP(2, 1/((Captura_Obra!$A$5:$A$1000=E126)*(Captura_Obra!$B$5:$B$1000=F126)*(Captura_Obra!$D$5:$D$1000=G126)), Captura_Obra!$N$5:$N$1000), "No Reportado"))</f>
        <v/>
      </c>
      <c r="D126" s="7743" t="str">
        <f>IF(Captura_Pegaso!A127="", "", IF(J126=0, "✅ Cuadrado", IF(I126=0, "❌ Falta en Obra", "⚠️ Dif")))</f>
        <v/>
      </c>
      <c r="E126" s="7744" t="str">
        <f>IF(Captura_Pegaso!A127="", "", Captura_Pegaso!A127)</f>
        <v/>
      </c>
      <c r="F126" s="7745" t="str">
        <f>IF(Captura_Pegaso!A127="", "", Captura_Pegaso!D127)</f>
        <v/>
      </c>
      <c r="G126" s="7746" t="str">
        <f>IF(Captura_Pegaso!A127="", "", Captura_Pegaso!E127)</f>
        <v/>
      </c>
      <c r="H126" s="7747" t="str">
        <f>IF(Captura_Pegaso!A127="", "", Captura_Pegaso!H127)</f>
        <v/>
      </c>
      <c r="I126" s="7748" t="str">
        <f>IF(Captura_Pegaso!A127="", "", SUMIFS(Captura_Obra!$F:$F, Captura_Obra!$A:$A, E126, Captura_Obra!$B:$B, F126, Captura_Obra!$D:$D, G126))</f>
        <v/>
      </c>
      <c r="J126" s="7749" t="str">
        <f>IF(Captura_Pegaso!A127="", "", H126 - I126)</f>
        <v/>
      </c>
      <c r="K126" s="3935"/>
    </row>
    <row r="127" spans="1:11">
      <c r="A127" s="7750" t="str">
        <f>IF(Captura_Pegaso!A128="", "", "Pegaso")</f>
        <v/>
      </c>
      <c r="B127" s="7751" t="str">
        <f>IF(Captura_Pegaso!A128="", "", Captura_Pegaso!N128)</f>
        <v/>
      </c>
      <c r="C127" s="7752" t="str">
        <f>IF(Captura_Pegaso!A128="", "", IFERROR(LOOKUP(2, 1/((Captura_Obra!$A$5:$A$1000=E127)*(Captura_Obra!$B$5:$B$1000=F127)*(Captura_Obra!$D$5:$D$1000=G127)), Captura_Obra!$N$5:$N$1000), "No Reportado"))</f>
        <v/>
      </c>
      <c r="D127" s="7753" t="str">
        <f>IF(Captura_Pegaso!A128="", "", IF(J127=0, "✅ Cuadrado", IF(I127=0, "❌ Falta en Obra", "⚠️ Dif")))</f>
        <v/>
      </c>
      <c r="E127" s="7754" t="str">
        <f>IF(Captura_Pegaso!A128="", "", Captura_Pegaso!A128)</f>
        <v/>
      </c>
      <c r="F127" s="7755" t="str">
        <f>IF(Captura_Pegaso!A128="", "", Captura_Pegaso!D128)</f>
        <v/>
      </c>
      <c r="G127" s="7756" t="str">
        <f>IF(Captura_Pegaso!A128="", "", Captura_Pegaso!E128)</f>
        <v/>
      </c>
      <c r="H127" s="7757" t="str">
        <f>IF(Captura_Pegaso!A128="", "", Captura_Pegaso!H128)</f>
        <v/>
      </c>
      <c r="I127" s="7758" t="str">
        <f>IF(Captura_Pegaso!A128="", "", SUMIFS(Captura_Obra!$F:$F, Captura_Obra!$A:$A, E127, Captura_Obra!$B:$B, F127, Captura_Obra!$D:$D, G127))</f>
        <v/>
      </c>
      <c r="J127" s="7759" t="str">
        <f>IF(Captura_Pegaso!A128="", "", H127 - I127)</f>
        <v/>
      </c>
      <c r="K127" s="3936"/>
    </row>
    <row r="128" spans="1:11">
      <c r="A128" s="7760" t="str">
        <f>IF(Captura_Pegaso!A129="", "", "Pegaso")</f>
        <v/>
      </c>
      <c r="B128" s="7761" t="str">
        <f>IF(Captura_Pegaso!A129="", "", Captura_Pegaso!N129)</f>
        <v/>
      </c>
      <c r="C128" s="7762" t="str">
        <f>IF(Captura_Pegaso!A129="", "", IFERROR(LOOKUP(2, 1/((Captura_Obra!$A$5:$A$1000=E128)*(Captura_Obra!$B$5:$B$1000=F128)*(Captura_Obra!$D$5:$D$1000=G128)), Captura_Obra!$N$5:$N$1000), "No Reportado"))</f>
        <v/>
      </c>
      <c r="D128" s="7763" t="str">
        <f>IF(Captura_Pegaso!A129="", "", IF(J128=0, "✅ Cuadrado", IF(I128=0, "❌ Falta en Obra", "⚠️ Dif")))</f>
        <v/>
      </c>
      <c r="E128" s="7764" t="str">
        <f>IF(Captura_Pegaso!A129="", "", Captura_Pegaso!A129)</f>
        <v/>
      </c>
      <c r="F128" s="7765" t="str">
        <f>IF(Captura_Pegaso!A129="", "", Captura_Pegaso!D129)</f>
        <v/>
      </c>
      <c r="G128" s="7766" t="str">
        <f>IF(Captura_Pegaso!A129="", "", Captura_Pegaso!E129)</f>
        <v/>
      </c>
      <c r="H128" s="7767" t="str">
        <f>IF(Captura_Pegaso!A129="", "", Captura_Pegaso!H129)</f>
        <v/>
      </c>
      <c r="I128" s="7768" t="str">
        <f>IF(Captura_Pegaso!A129="", "", SUMIFS(Captura_Obra!$F:$F, Captura_Obra!$A:$A, E128, Captura_Obra!$B:$B, F128, Captura_Obra!$D:$D, G128))</f>
        <v/>
      </c>
      <c r="J128" s="7769" t="str">
        <f>IF(Captura_Pegaso!A129="", "", H128 - I128)</f>
        <v/>
      </c>
      <c r="K128" s="3937"/>
    </row>
    <row r="129" spans="1:11">
      <c r="A129" s="7770" t="str">
        <f>IF(Captura_Pegaso!A130="", "", "Pegaso")</f>
        <v/>
      </c>
      <c r="B129" s="7771" t="str">
        <f>IF(Captura_Pegaso!A130="", "", Captura_Pegaso!N130)</f>
        <v/>
      </c>
      <c r="C129" s="7772" t="str">
        <f>IF(Captura_Pegaso!A130="", "", IFERROR(LOOKUP(2, 1/((Captura_Obra!$A$5:$A$1000=E129)*(Captura_Obra!$B$5:$B$1000=F129)*(Captura_Obra!$D$5:$D$1000=G129)), Captura_Obra!$N$5:$N$1000), "No Reportado"))</f>
        <v/>
      </c>
      <c r="D129" s="7773" t="str">
        <f>IF(Captura_Pegaso!A130="", "", IF(J129=0, "✅ Cuadrado", IF(I129=0, "❌ Falta en Obra", "⚠️ Dif")))</f>
        <v/>
      </c>
      <c r="E129" s="7774" t="str">
        <f>IF(Captura_Pegaso!A130="", "", Captura_Pegaso!A130)</f>
        <v/>
      </c>
      <c r="F129" s="7775" t="str">
        <f>IF(Captura_Pegaso!A130="", "", Captura_Pegaso!D130)</f>
        <v/>
      </c>
      <c r="G129" s="7776" t="str">
        <f>IF(Captura_Pegaso!A130="", "", Captura_Pegaso!E130)</f>
        <v/>
      </c>
      <c r="H129" s="7777" t="str">
        <f>IF(Captura_Pegaso!A130="", "", Captura_Pegaso!H130)</f>
        <v/>
      </c>
      <c r="I129" s="7778" t="str">
        <f>IF(Captura_Pegaso!A130="", "", SUMIFS(Captura_Obra!$F:$F, Captura_Obra!$A:$A, E129, Captura_Obra!$B:$B, F129, Captura_Obra!$D:$D, G129))</f>
        <v/>
      </c>
      <c r="J129" s="7779" t="str">
        <f>IF(Captura_Pegaso!A130="", "", H129 - I129)</f>
        <v/>
      </c>
      <c r="K129" s="3938"/>
    </row>
    <row r="130" spans="1:11">
      <c r="A130" s="7780" t="str">
        <f>IF(Captura_Pegaso!A131="", "", "Pegaso")</f>
        <v/>
      </c>
      <c r="B130" s="7781" t="str">
        <f>IF(Captura_Pegaso!A131="", "", Captura_Pegaso!N131)</f>
        <v/>
      </c>
      <c r="C130" s="7782" t="str">
        <f>IF(Captura_Pegaso!A131="", "", IFERROR(LOOKUP(2, 1/((Captura_Obra!$A$5:$A$1000=E130)*(Captura_Obra!$B$5:$B$1000=F130)*(Captura_Obra!$D$5:$D$1000=G130)), Captura_Obra!$N$5:$N$1000), "No Reportado"))</f>
        <v/>
      </c>
      <c r="D130" s="7783" t="str">
        <f>IF(Captura_Pegaso!A131="", "", IF(J130=0, "✅ Cuadrado", IF(I130=0, "❌ Falta en Obra", "⚠️ Dif")))</f>
        <v/>
      </c>
      <c r="E130" s="7784" t="str">
        <f>IF(Captura_Pegaso!A131="", "", Captura_Pegaso!A131)</f>
        <v/>
      </c>
      <c r="F130" s="7785" t="str">
        <f>IF(Captura_Pegaso!A131="", "", Captura_Pegaso!D131)</f>
        <v/>
      </c>
      <c r="G130" s="7786" t="str">
        <f>IF(Captura_Pegaso!A131="", "", Captura_Pegaso!E131)</f>
        <v/>
      </c>
      <c r="H130" s="7787" t="str">
        <f>IF(Captura_Pegaso!A131="", "", Captura_Pegaso!H131)</f>
        <v/>
      </c>
      <c r="I130" s="7788" t="str">
        <f>IF(Captura_Pegaso!A131="", "", SUMIFS(Captura_Obra!$F:$F, Captura_Obra!$A:$A, E130, Captura_Obra!$B:$B, F130, Captura_Obra!$D:$D, G130))</f>
        <v/>
      </c>
      <c r="J130" s="7789" t="str">
        <f>IF(Captura_Pegaso!A131="", "", H130 - I130)</f>
        <v/>
      </c>
      <c r="K130" s="3939"/>
    </row>
    <row r="131" spans="1:11">
      <c r="A131" s="7790" t="str">
        <f>IF(Captura_Pegaso!A132="", "", "Pegaso")</f>
        <v/>
      </c>
      <c r="B131" s="7791" t="str">
        <f>IF(Captura_Pegaso!A132="", "", Captura_Pegaso!N132)</f>
        <v/>
      </c>
      <c r="C131" s="7792" t="str">
        <f>IF(Captura_Pegaso!A132="", "", IFERROR(LOOKUP(2, 1/((Captura_Obra!$A$5:$A$1000=E131)*(Captura_Obra!$B$5:$B$1000=F131)*(Captura_Obra!$D$5:$D$1000=G131)), Captura_Obra!$N$5:$N$1000), "No Reportado"))</f>
        <v/>
      </c>
      <c r="D131" s="7793" t="str">
        <f>IF(Captura_Pegaso!A132="", "", IF(J131=0, "✅ Cuadrado", IF(I131=0, "❌ Falta en Obra", "⚠️ Dif")))</f>
        <v/>
      </c>
      <c r="E131" s="7794" t="str">
        <f>IF(Captura_Pegaso!A132="", "", Captura_Pegaso!A132)</f>
        <v/>
      </c>
      <c r="F131" s="7795" t="str">
        <f>IF(Captura_Pegaso!A132="", "", Captura_Pegaso!D132)</f>
        <v/>
      </c>
      <c r="G131" s="7796" t="str">
        <f>IF(Captura_Pegaso!A132="", "", Captura_Pegaso!E132)</f>
        <v/>
      </c>
      <c r="H131" s="7797" t="str">
        <f>IF(Captura_Pegaso!A132="", "", Captura_Pegaso!H132)</f>
        <v/>
      </c>
      <c r="I131" s="7798" t="str">
        <f>IF(Captura_Pegaso!A132="", "", SUMIFS(Captura_Obra!$F:$F, Captura_Obra!$A:$A, E131, Captura_Obra!$B:$B, F131, Captura_Obra!$D:$D, G131))</f>
        <v/>
      </c>
      <c r="J131" s="7799" t="str">
        <f>IF(Captura_Pegaso!A132="", "", H131 - I131)</f>
        <v/>
      </c>
      <c r="K131" s="3940"/>
    </row>
    <row r="132" spans="1:11">
      <c r="A132" s="7800" t="str">
        <f>IF(Captura_Pegaso!A133="", "", "Pegaso")</f>
        <v/>
      </c>
      <c r="B132" s="7801" t="str">
        <f>IF(Captura_Pegaso!A133="", "", Captura_Pegaso!N133)</f>
        <v/>
      </c>
      <c r="C132" s="7802" t="str">
        <f>IF(Captura_Pegaso!A133="", "", IFERROR(LOOKUP(2, 1/((Captura_Obra!$A$5:$A$1000=E132)*(Captura_Obra!$B$5:$B$1000=F132)*(Captura_Obra!$D$5:$D$1000=G132)), Captura_Obra!$N$5:$N$1000), "No Reportado"))</f>
        <v/>
      </c>
      <c r="D132" s="7803" t="str">
        <f>IF(Captura_Pegaso!A133="", "", IF(J132=0, "✅ Cuadrado", IF(I132=0, "❌ Falta en Obra", "⚠️ Dif")))</f>
        <v/>
      </c>
      <c r="E132" s="7804" t="str">
        <f>IF(Captura_Pegaso!A133="", "", Captura_Pegaso!A133)</f>
        <v/>
      </c>
      <c r="F132" s="7805" t="str">
        <f>IF(Captura_Pegaso!A133="", "", Captura_Pegaso!D133)</f>
        <v/>
      </c>
      <c r="G132" s="7806" t="str">
        <f>IF(Captura_Pegaso!A133="", "", Captura_Pegaso!E133)</f>
        <v/>
      </c>
      <c r="H132" s="7807" t="str">
        <f>IF(Captura_Pegaso!A133="", "", Captura_Pegaso!H133)</f>
        <v/>
      </c>
      <c r="I132" s="7808" t="str">
        <f>IF(Captura_Pegaso!A133="", "", SUMIFS(Captura_Obra!$F:$F, Captura_Obra!$A:$A, E132, Captura_Obra!$B:$B, F132, Captura_Obra!$D:$D, G132))</f>
        <v/>
      </c>
      <c r="J132" s="7809" t="str">
        <f>IF(Captura_Pegaso!A133="", "", H132 - I132)</f>
        <v/>
      </c>
      <c r="K132" s="3941"/>
    </row>
    <row r="133" spans="1:11">
      <c r="A133" s="7810" t="str">
        <f>IF(Captura_Pegaso!A134="", "", "Pegaso")</f>
        <v/>
      </c>
      <c r="B133" s="7811" t="str">
        <f>IF(Captura_Pegaso!A134="", "", Captura_Pegaso!N134)</f>
        <v/>
      </c>
      <c r="C133" s="7812" t="str">
        <f>IF(Captura_Pegaso!A134="", "", IFERROR(LOOKUP(2, 1/((Captura_Obra!$A$5:$A$1000=E133)*(Captura_Obra!$B$5:$B$1000=F133)*(Captura_Obra!$D$5:$D$1000=G133)), Captura_Obra!$N$5:$N$1000), "No Reportado"))</f>
        <v/>
      </c>
      <c r="D133" s="7813" t="str">
        <f>IF(Captura_Pegaso!A134="", "", IF(J133=0, "✅ Cuadrado", IF(I133=0, "❌ Falta en Obra", "⚠️ Dif")))</f>
        <v/>
      </c>
      <c r="E133" s="7814" t="str">
        <f>IF(Captura_Pegaso!A134="", "", Captura_Pegaso!A134)</f>
        <v/>
      </c>
      <c r="F133" s="7815" t="str">
        <f>IF(Captura_Pegaso!A134="", "", Captura_Pegaso!D134)</f>
        <v/>
      </c>
      <c r="G133" s="7816" t="str">
        <f>IF(Captura_Pegaso!A134="", "", Captura_Pegaso!E134)</f>
        <v/>
      </c>
      <c r="H133" s="7817" t="str">
        <f>IF(Captura_Pegaso!A134="", "", Captura_Pegaso!H134)</f>
        <v/>
      </c>
      <c r="I133" s="7818" t="str">
        <f>IF(Captura_Pegaso!A134="", "", SUMIFS(Captura_Obra!$F:$F, Captura_Obra!$A:$A, E133, Captura_Obra!$B:$B, F133, Captura_Obra!$D:$D, G133))</f>
        <v/>
      </c>
      <c r="J133" s="7819" t="str">
        <f>IF(Captura_Pegaso!A134="", "", H133 - I133)</f>
        <v/>
      </c>
      <c r="K133" s="3942"/>
    </row>
    <row r="134" spans="1:11">
      <c r="A134" s="7820" t="str">
        <f>IF(Captura_Pegaso!A135="", "", "Pegaso")</f>
        <v/>
      </c>
      <c r="B134" s="7821" t="str">
        <f>IF(Captura_Pegaso!A135="", "", Captura_Pegaso!N135)</f>
        <v/>
      </c>
      <c r="C134" s="7822" t="str">
        <f>IF(Captura_Pegaso!A135="", "", IFERROR(LOOKUP(2, 1/((Captura_Obra!$A$5:$A$1000=E134)*(Captura_Obra!$B$5:$B$1000=F134)*(Captura_Obra!$D$5:$D$1000=G134)), Captura_Obra!$N$5:$N$1000), "No Reportado"))</f>
        <v/>
      </c>
      <c r="D134" s="7823" t="str">
        <f>IF(Captura_Pegaso!A135="", "", IF(J134=0, "✅ Cuadrado", IF(I134=0, "❌ Falta en Obra", "⚠️ Dif")))</f>
        <v/>
      </c>
      <c r="E134" s="7824" t="str">
        <f>IF(Captura_Pegaso!A135="", "", Captura_Pegaso!A135)</f>
        <v/>
      </c>
      <c r="F134" s="7825" t="str">
        <f>IF(Captura_Pegaso!A135="", "", Captura_Pegaso!D135)</f>
        <v/>
      </c>
      <c r="G134" s="7826" t="str">
        <f>IF(Captura_Pegaso!A135="", "", Captura_Pegaso!E135)</f>
        <v/>
      </c>
      <c r="H134" s="7827" t="str">
        <f>IF(Captura_Pegaso!A135="", "", Captura_Pegaso!H135)</f>
        <v/>
      </c>
      <c r="I134" s="7828" t="str">
        <f>IF(Captura_Pegaso!A135="", "", SUMIFS(Captura_Obra!$F:$F, Captura_Obra!$A:$A, E134, Captura_Obra!$B:$B, F134, Captura_Obra!$D:$D, G134))</f>
        <v/>
      </c>
      <c r="J134" s="7829" t="str">
        <f>IF(Captura_Pegaso!A135="", "", H134 - I134)</f>
        <v/>
      </c>
      <c r="K134" s="3943"/>
    </row>
    <row r="135" spans="1:11">
      <c r="A135" s="7830" t="str">
        <f>IF(Captura_Pegaso!A136="", "", "Pegaso")</f>
        <v/>
      </c>
      <c r="B135" s="7831" t="str">
        <f>IF(Captura_Pegaso!A136="", "", Captura_Pegaso!N136)</f>
        <v/>
      </c>
      <c r="C135" s="7832" t="str">
        <f>IF(Captura_Pegaso!A136="", "", IFERROR(LOOKUP(2, 1/((Captura_Obra!$A$5:$A$1000=E135)*(Captura_Obra!$B$5:$B$1000=F135)*(Captura_Obra!$D$5:$D$1000=G135)), Captura_Obra!$N$5:$N$1000), "No Reportado"))</f>
        <v/>
      </c>
      <c r="D135" s="7833" t="str">
        <f>IF(Captura_Pegaso!A136="", "", IF(J135=0, "✅ Cuadrado", IF(I135=0, "❌ Falta en Obra", "⚠️ Dif")))</f>
        <v/>
      </c>
      <c r="E135" s="7834" t="str">
        <f>IF(Captura_Pegaso!A136="", "", Captura_Pegaso!A136)</f>
        <v/>
      </c>
      <c r="F135" s="7835" t="str">
        <f>IF(Captura_Pegaso!A136="", "", Captura_Pegaso!D136)</f>
        <v/>
      </c>
      <c r="G135" s="7836" t="str">
        <f>IF(Captura_Pegaso!A136="", "", Captura_Pegaso!E136)</f>
        <v/>
      </c>
      <c r="H135" s="7837" t="str">
        <f>IF(Captura_Pegaso!A136="", "", Captura_Pegaso!H136)</f>
        <v/>
      </c>
      <c r="I135" s="7838" t="str">
        <f>IF(Captura_Pegaso!A136="", "", SUMIFS(Captura_Obra!$F:$F, Captura_Obra!$A:$A, E135, Captura_Obra!$B:$B, F135, Captura_Obra!$D:$D, G135))</f>
        <v/>
      </c>
      <c r="J135" s="7839" t="str">
        <f>IF(Captura_Pegaso!A136="", "", H135 - I135)</f>
        <v/>
      </c>
      <c r="K135" s="3944"/>
    </row>
    <row r="136" spans="1:11">
      <c r="A136" s="7840" t="str">
        <f>IF(Captura_Pegaso!A137="", "", "Pegaso")</f>
        <v/>
      </c>
      <c r="B136" s="7841" t="str">
        <f>IF(Captura_Pegaso!A137="", "", Captura_Pegaso!N137)</f>
        <v/>
      </c>
      <c r="C136" s="7842" t="str">
        <f>IF(Captura_Pegaso!A137="", "", IFERROR(LOOKUP(2, 1/((Captura_Obra!$A$5:$A$1000=E136)*(Captura_Obra!$B$5:$B$1000=F136)*(Captura_Obra!$D$5:$D$1000=G136)), Captura_Obra!$N$5:$N$1000), "No Reportado"))</f>
        <v/>
      </c>
      <c r="D136" s="7843" t="str">
        <f>IF(Captura_Pegaso!A137="", "", IF(J136=0, "✅ Cuadrado", IF(I136=0, "❌ Falta en Obra", "⚠️ Dif")))</f>
        <v/>
      </c>
      <c r="E136" s="7844" t="str">
        <f>IF(Captura_Pegaso!A137="", "", Captura_Pegaso!A137)</f>
        <v/>
      </c>
      <c r="F136" s="7845" t="str">
        <f>IF(Captura_Pegaso!A137="", "", Captura_Pegaso!D137)</f>
        <v/>
      </c>
      <c r="G136" s="7846" t="str">
        <f>IF(Captura_Pegaso!A137="", "", Captura_Pegaso!E137)</f>
        <v/>
      </c>
      <c r="H136" s="7847" t="str">
        <f>IF(Captura_Pegaso!A137="", "", Captura_Pegaso!H137)</f>
        <v/>
      </c>
      <c r="I136" s="7848" t="str">
        <f>IF(Captura_Pegaso!A137="", "", SUMIFS(Captura_Obra!$F:$F, Captura_Obra!$A:$A, E136, Captura_Obra!$B:$B, F136, Captura_Obra!$D:$D, G136))</f>
        <v/>
      </c>
      <c r="J136" s="7849" t="str">
        <f>IF(Captura_Pegaso!A137="", "", H136 - I136)</f>
        <v/>
      </c>
      <c r="K136" s="3945"/>
    </row>
    <row r="137" spans="1:11">
      <c r="A137" s="7850" t="str">
        <f>IF(Captura_Pegaso!A138="", "", "Pegaso")</f>
        <v/>
      </c>
      <c r="B137" s="7851" t="str">
        <f>IF(Captura_Pegaso!A138="", "", Captura_Pegaso!N138)</f>
        <v/>
      </c>
      <c r="C137" s="7852" t="str">
        <f>IF(Captura_Pegaso!A138="", "", IFERROR(LOOKUP(2, 1/((Captura_Obra!$A$5:$A$1000=E137)*(Captura_Obra!$B$5:$B$1000=F137)*(Captura_Obra!$D$5:$D$1000=G137)), Captura_Obra!$N$5:$N$1000), "No Reportado"))</f>
        <v/>
      </c>
      <c r="D137" s="7853" t="str">
        <f>IF(Captura_Pegaso!A138="", "", IF(J137=0, "✅ Cuadrado", IF(I137=0, "❌ Falta en Obra", "⚠️ Dif")))</f>
        <v/>
      </c>
      <c r="E137" s="7854" t="str">
        <f>IF(Captura_Pegaso!A138="", "", Captura_Pegaso!A138)</f>
        <v/>
      </c>
      <c r="F137" s="7855" t="str">
        <f>IF(Captura_Pegaso!A138="", "", Captura_Pegaso!D138)</f>
        <v/>
      </c>
      <c r="G137" s="7856" t="str">
        <f>IF(Captura_Pegaso!A138="", "", Captura_Pegaso!E138)</f>
        <v/>
      </c>
      <c r="H137" s="7857" t="str">
        <f>IF(Captura_Pegaso!A138="", "", Captura_Pegaso!H138)</f>
        <v/>
      </c>
      <c r="I137" s="7858" t="str">
        <f>IF(Captura_Pegaso!A138="", "", SUMIFS(Captura_Obra!$F:$F, Captura_Obra!$A:$A, E137, Captura_Obra!$B:$B, F137, Captura_Obra!$D:$D, G137))</f>
        <v/>
      </c>
      <c r="J137" s="7859" t="str">
        <f>IF(Captura_Pegaso!A138="", "", H137 - I137)</f>
        <v/>
      </c>
      <c r="K137" s="3946"/>
    </row>
    <row r="138" spans="1:11">
      <c r="A138" s="7860" t="str">
        <f>IF(Captura_Pegaso!A139="", "", "Pegaso")</f>
        <v/>
      </c>
      <c r="B138" s="7861" t="str">
        <f>IF(Captura_Pegaso!A139="", "", Captura_Pegaso!N139)</f>
        <v/>
      </c>
      <c r="C138" s="7862" t="str">
        <f>IF(Captura_Pegaso!A139="", "", IFERROR(LOOKUP(2, 1/((Captura_Obra!$A$5:$A$1000=E138)*(Captura_Obra!$B$5:$B$1000=F138)*(Captura_Obra!$D$5:$D$1000=G138)), Captura_Obra!$N$5:$N$1000), "No Reportado"))</f>
        <v/>
      </c>
      <c r="D138" s="7863" t="str">
        <f>IF(Captura_Pegaso!A139="", "", IF(J138=0, "✅ Cuadrado", IF(I138=0, "❌ Falta en Obra", "⚠️ Dif")))</f>
        <v/>
      </c>
      <c r="E138" s="7864" t="str">
        <f>IF(Captura_Pegaso!A139="", "", Captura_Pegaso!A139)</f>
        <v/>
      </c>
      <c r="F138" s="7865" t="str">
        <f>IF(Captura_Pegaso!A139="", "", Captura_Pegaso!D139)</f>
        <v/>
      </c>
      <c r="G138" s="7866" t="str">
        <f>IF(Captura_Pegaso!A139="", "", Captura_Pegaso!E139)</f>
        <v/>
      </c>
      <c r="H138" s="7867" t="str">
        <f>IF(Captura_Pegaso!A139="", "", Captura_Pegaso!H139)</f>
        <v/>
      </c>
      <c r="I138" s="7868" t="str">
        <f>IF(Captura_Pegaso!A139="", "", SUMIFS(Captura_Obra!$F:$F, Captura_Obra!$A:$A, E138, Captura_Obra!$B:$B, F138, Captura_Obra!$D:$D, G138))</f>
        <v/>
      </c>
      <c r="J138" s="7869" t="str">
        <f>IF(Captura_Pegaso!A139="", "", H138 - I138)</f>
        <v/>
      </c>
      <c r="K138" s="3947"/>
    </row>
    <row r="139" spans="1:11">
      <c r="A139" s="7870" t="str">
        <f>IF(Captura_Pegaso!A140="", "", "Pegaso")</f>
        <v/>
      </c>
      <c r="B139" s="7871" t="str">
        <f>IF(Captura_Pegaso!A140="", "", Captura_Pegaso!N140)</f>
        <v/>
      </c>
      <c r="C139" s="7872" t="str">
        <f>IF(Captura_Pegaso!A140="", "", IFERROR(LOOKUP(2, 1/((Captura_Obra!$A$5:$A$1000=E139)*(Captura_Obra!$B$5:$B$1000=F139)*(Captura_Obra!$D$5:$D$1000=G139)), Captura_Obra!$N$5:$N$1000), "No Reportado"))</f>
        <v/>
      </c>
      <c r="D139" s="7873" t="str">
        <f>IF(Captura_Pegaso!A140="", "", IF(J139=0, "✅ Cuadrado", IF(I139=0, "❌ Falta en Obra", "⚠️ Dif")))</f>
        <v/>
      </c>
      <c r="E139" s="7874" t="str">
        <f>IF(Captura_Pegaso!A140="", "", Captura_Pegaso!A140)</f>
        <v/>
      </c>
      <c r="F139" s="7875" t="str">
        <f>IF(Captura_Pegaso!A140="", "", Captura_Pegaso!D140)</f>
        <v/>
      </c>
      <c r="G139" s="7876" t="str">
        <f>IF(Captura_Pegaso!A140="", "", Captura_Pegaso!E140)</f>
        <v/>
      </c>
      <c r="H139" s="7877" t="str">
        <f>IF(Captura_Pegaso!A140="", "", Captura_Pegaso!H140)</f>
        <v/>
      </c>
      <c r="I139" s="7878" t="str">
        <f>IF(Captura_Pegaso!A140="", "", SUMIFS(Captura_Obra!$F:$F, Captura_Obra!$A:$A, E139, Captura_Obra!$B:$B, F139, Captura_Obra!$D:$D, G139))</f>
        <v/>
      </c>
      <c r="J139" s="7879" t="str">
        <f>IF(Captura_Pegaso!A140="", "", H139 - I139)</f>
        <v/>
      </c>
      <c r="K139" s="3948"/>
    </row>
    <row r="140" spans="1:11">
      <c r="A140" s="7880" t="str">
        <f>IF(Captura_Pegaso!A141="", "", "Pegaso")</f>
        <v/>
      </c>
      <c r="B140" s="7881" t="str">
        <f>IF(Captura_Pegaso!A141="", "", Captura_Pegaso!N141)</f>
        <v/>
      </c>
      <c r="C140" s="7882" t="str">
        <f>IF(Captura_Pegaso!A141="", "", IFERROR(LOOKUP(2, 1/((Captura_Obra!$A$5:$A$1000=E140)*(Captura_Obra!$B$5:$B$1000=F140)*(Captura_Obra!$D$5:$D$1000=G140)), Captura_Obra!$N$5:$N$1000), "No Reportado"))</f>
        <v/>
      </c>
      <c r="D140" s="7883" t="str">
        <f>IF(Captura_Pegaso!A141="", "", IF(J140=0, "✅ Cuadrado", IF(I140=0, "❌ Falta en Obra", "⚠️ Dif")))</f>
        <v/>
      </c>
      <c r="E140" s="7884" t="str">
        <f>IF(Captura_Pegaso!A141="", "", Captura_Pegaso!A141)</f>
        <v/>
      </c>
      <c r="F140" s="7885" t="str">
        <f>IF(Captura_Pegaso!A141="", "", Captura_Pegaso!D141)</f>
        <v/>
      </c>
      <c r="G140" s="7886" t="str">
        <f>IF(Captura_Pegaso!A141="", "", Captura_Pegaso!E141)</f>
        <v/>
      </c>
      <c r="H140" s="7887" t="str">
        <f>IF(Captura_Pegaso!A141="", "", Captura_Pegaso!H141)</f>
        <v/>
      </c>
      <c r="I140" s="7888" t="str">
        <f>IF(Captura_Pegaso!A141="", "", SUMIFS(Captura_Obra!$F:$F, Captura_Obra!$A:$A, E140, Captura_Obra!$B:$B, F140, Captura_Obra!$D:$D, G140))</f>
        <v/>
      </c>
      <c r="J140" s="7889" t="str">
        <f>IF(Captura_Pegaso!A141="", "", H140 - I140)</f>
        <v/>
      </c>
      <c r="K140" s="3949"/>
    </row>
    <row r="141" spans="1:11">
      <c r="A141" s="7890" t="str">
        <f>IF(Captura_Pegaso!A142="", "", "Pegaso")</f>
        <v/>
      </c>
      <c r="B141" s="7891" t="str">
        <f>IF(Captura_Pegaso!A142="", "", Captura_Pegaso!N142)</f>
        <v/>
      </c>
      <c r="C141" s="7892" t="str">
        <f>IF(Captura_Pegaso!A142="", "", IFERROR(LOOKUP(2, 1/((Captura_Obra!$A$5:$A$1000=E141)*(Captura_Obra!$B$5:$B$1000=F141)*(Captura_Obra!$D$5:$D$1000=G141)), Captura_Obra!$N$5:$N$1000), "No Reportado"))</f>
        <v/>
      </c>
      <c r="D141" s="7893" t="str">
        <f>IF(Captura_Pegaso!A142="", "", IF(J141=0, "✅ Cuadrado", IF(I141=0, "❌ Falta en Obra", "⚠️ Dif")))</f>
        <v/>
      </c>
      <c r="E141" s="7894" t="str">
        <f>IF(Captura_Pegaso!A142="", "", Captura_Pegaso!A142)</f>
        <v/>
      </c>
      <c r="F141" s="7895" t="str">
        <f>IF(Captura_Pegaso!A142="", "", Captura_Pegaso!D142)</f>
        <v/>
      </c>
      <c r="G141" s="7896" t="str">
        <f>IF(Captura_Pegaso!A142="", "", Captura_Pegaso!E142)</f>
        <v/>
      </c>
      <c r="H141" s="7897" t="str">
        <f>IF(Captura_Pegaso!A142="", "", Captura_Pegaso!H142)</f>
        <v/>
      </c>
      <c r="I141" s="7898" t="str">
        <f>IF(Captura_Pegaso!A142="", "", SUMIFS(Captura_Obra!$F:$F, Captura_Obra!$A:$A, E141, Captura_Obra!$B:$B, F141, Captura_Obra!$D:$D, G141))</f>
        <v/>
      </c>
      <c r="J141" s="7899" t="str">
        <f>IF(Captura_Pegaso!A142="", "", H141 - I141)</f>
        <v/>
      </c>
      <c r="K141" s="3950"/>
    </row>
    <row r="142" spans="1:11">
      <c r="A142" s="7900" t="str">
        <f>IF(Captura_Pegaso!A143="", "", "Pegaso")</f>
        <v/>
      </c>
      <c r="B142" s="7901" t="str">
        <f>IF(Captura_Pegaso!A143="", "", Captura_Pegaso!N143)</f>
        <v/>
      </c>
      <c r="C142" s="7902" t="str">
        <f>IF(Captura_Pegaso!A143="", "", IFERROR(LOOKUP(2, 1/((Captura_Obra!$A$5:$A$1000=E142)*(Captura_Obra!$B$5:$B$1000=F142)*(Captura_Obra!$D$5:$D$1000=G142)), Captura_Obra!$N$5:$N$1000), "No Reportado"))</f>
        <v/>
      </c>
      <c r="D142" s="7903" t="str">
        <f>IF(Captura_Pegaso!A143="", "", IF(J142=0, "✅ Cuadrado", IF(I142=0, "❌ Falta en Obra", "⚠️ Dif")))</f>
        <v/>
      </c>
      <c r="E142" s="7904" t="str">
        <f>IF(Captura_Pegaso!A143="", "", Captura_Pegaso!A143)</f>
        <v/>
      </c>
      <c r="F142" s="7905" t="str">
        <f>IF(Captura_Pegaso!A143="", "", Captura_Pegaso!D143)</f>
        <v/>
      </c>
      <c r="G142" s="7906" t="str">
        <f>IF(Captura_Pegaso!A143="", "", Captura_Pegaso!E143)</f>
        <v/>
      </c>
      <c r="H142" s="7907" t="str">
        <f>IF(Captura_Pegaso!A143="", "", Captura_Pegaso!H143)</f>
        <v/>
      </c>
      <c r="I142" s="7908" t="str">
        <f>IF(Captura_Pegaso!A143="", "", SUMIFS(Captura_Obra!$F:$F, Captura_Obra!$A:$A, E142, Captura_Obra!$B:$B, F142, Captura_Obra!$D:$D, G142))</f>
        <v/>
      </c>
      <c r="J142" s="7909" t="str">
        <f>IF(Captura_Pegaso!A143="", "", H142 - I142)</f>
        <v/>
      </c>
      <c r="K142" s="3951"/>
    </row>
    <row r="143" spans="1:11">
      <c r="A143" s="7910" t="str">
        <f>IF(Captura_Pegaso!A144="", "", "Pegaso")</f>
        <v/>
      </c>
      <c r="B143" s="7911" t="str">
        <f>IF(Captura_Pegaso!A144="", "", Captura_Pegaso!N144)</f>
        <v/>
      </c>
      <c r="C143" s="7912" t="str">
        <f>IF(Captura_Pegaso!A144="", "", IFERROR(LOOKUP(2, 1/((Captura_Obra!$A$5:$A$1000=E143)*(Captura_Obra!$B$5:$B$1000=F143)*(Captura_Obra!$D$5:$D$1000=G143)), Captura_Obra!$N$5:$N$1000), "No Reportado"))</f>
        <v/>
      </c>
      <c r="D143" s="7913" t="str">
        <f>IF(Captura_Pegaso!A144="", "", IF(J143=0, "✅ Cuadrado", IF(I143=0, "❌ Falta en Obra", "⚠️ Dif")))</f>
        <v/>
      </c>
      <c r="E143" s="7914" t="str">
        <f>IF(Captura_Pegaso!A144="", "", Captura_Pegaso!A144)</f>
        <v/>
      </c>
      <c r="F143" s="7915" t="str">
        <f>IF(Captura_Pegaso!A144="", "", Captura_Pegaso!D144)</f>
        <v/>
      </c>
      <c r="G143" s="7916" t="str">
        <f>IF(Captura_Pegaso!A144="", "", Captura_Pegaso!E144)</f>
        <v/>
      </c>
      <c r="H143" s="7917" t="str">
        <f>IF(Captura_Pegaso!A144="", "", Captura_Pegaso!H144)</f>
        <v/>
      </c>
      <c r="I143" s="7918" t="str">
        <f>IF(Captura_Pegaso!A144="", "", SUMIFS(Captura_Obra!$F:$F, Captura_Obra!$A:$A, E143, Captura_Obra!$B:$B, F143, Captura_Obra!$D:$D, G143))</f>
        <v/>
      </c>
      <c r="J143" s="7919" t="str">
        <f>IF(Captura_Pegaso!A144="", "", H143 - I143)</f>
        <v/>
      </c>
      <c r="K143" s="3952"/>
    </row>
    <row r="144" spans="1:11">
      <c r="A144" s="7920" t="str">
        <f>IF(Captura_Pegaso!A145="", "", "Pegaso")</f>
        <v/>
      </c>
      <c r="B144" s="7921" t="str">
        <f>IF(Captura_Pegaso!A145="", "", Captura_Pegaso!N145)</f>
        <v/>
      </c>
      <c r="C144" s="7922" t="str">
        <f>IF(Captura_Pegaso!A145="", "", IFERROR(LOOKUP(2, 1/((Captura_Obra!$A$5:$A$1000=E144)*(Captura_Obra!$B$5:$B$1000=F144)*(Captura_Obra!$D$5:$D$1000=G144)), Captura_Obra!$N$5:$N$1000), "No Reportado"))</f>
        <v/>
      </c>
      <c r="D144" s="7923" t="str">
        <f>IF(Captura_Pegaso!A145="", "", IF(J144=0, "✅ Cuadrado", IF(I144=0, "❌ Falta en Obra", "⚠️ Dif")))</f>
        <v/>
      </c>
      <c r="E144" s="7924" t="str">
        <f>IF(Captura_Pegaso!A145="", "", Captura_Pegaso!A145)</f>
        <v/>
      </c>
      <c r="F144" s="7925" t="str">
        <f>IF(Captura_Pegaso!A145="", "", Captura_Pegaso!D145)</f>
        <v/>
      </c>
      <c r="G144" s="7926" t="str">
        <f>IF(Captura_Pegaso!A145="", "", Captura_Pegaso!E145)</f>
        <v/>
      </c>
      <c r="H144" s="7927" t="str">
        <f>IF(Captura_Pegaso!A145="", "", Captura_Pegaso!H145)</f>
        <v/>
      </c>
      <c r="I144" s="7928" t="str">
        <f>IF(Captura_Pegaso!A145="", "", SUMIFS(Captura_Obra!$F:$F, Captura_Obra!$A:$A, E144, Captura_Obra!$B:$B, F144, Captura_Obra!$D:$D, G144))</f>
        <v/>
      </c>
      <c r="J144" s="7929" t="str">
        <f>IF(Captura_Pegaso!A145="", "", H144 - I144)</f>
        <v/>
      </c>
      <c r="K144" s="3953"/>
    </row>
    <row r="145" spans="1:11">
      <c r="A145" s="7930" t="str">
        <f>IF(Captura_Pegaso!A146="", "", "Pegaso")</f>
        <v/>
      </c>
      <c r="B145" s="7931" t="str">
        <f>IF(Captura_Pegaso!A146="", "", Captura_Pegaso!N146)</f>
        <v/>
      </c>
      <c r="C145" s="7932" t="str">
        <f>IF(Captura_Pegaso!A146="", "", IFERROR(LOOKUP(2, 1/((Captura_Obra!$A$5:$A$1000=E145)*(Captura_Obra!$B$5:$B$1000=F145)*(Captura_Obra!$D$5:$D$1000=G145)), Captura_Obra!$N$5:$N$1000), "No Reportado"))</f>
        <v/>
      </c>
      <c r="D145" s="7933" t="str">
        <f>IF(Captura_Pegaso!A146="", "", IF(J145=0, "✅ Cuadrado", IF(I145=0, "❌ Falta en Obra", "⚠️ Dif")))</f>
        <v/>
      </c>
      <c r="E145" s="7934" t="str">
        <f>IF(Captura_Pegaso!A146="", "", Captura_Pegaso!A146)</f>
        <v/>
      </c>
      <c r="F145" s="7935" t="str">
        <f>IF(Captura_Pegaso!A146="", "", Captura_Pegaso!D146)</f>
        <v/>
      </c>
      <c r="G145" s="7936" t="str">
        <f>IF(Captura_Pegaso!A146="", "", Captura_Pegaso!E146)</f>
        <v/>
      </c>
      <c r="H145" s="7937" t="str">
        <f>IF(Captura_Pegaso!A146="", "", Captura_Pegaso!H146)</f>
        <v/>
      </c>
      <c r="I145" s="7938" t="str">
        <f>IF(Captura_Pegaso!A146="", "", SUMIFS(Captura_Obra!$F:$F, Captura_Obra!$A:$A, E145, Captura_Obra!$B:$B, F145, Captura_Obra!$D:$D, G145))</f>
        <v/>
      </c>
      <c r="J145" s="7939" t="str">
        <f>IF(Captura_Pegaso!A146="", "", H145 - I145)</f>
        <v/>
      </c>
      <c r="K145" s="3954"/>
    </row>
    <row r="146" spans="1:11">
      <c r="A146" s="7940" t="str">
        <f>IF(Captura_Pegaso!A147="", "", "Pegaso")</f>
        <v/>
      </c>
      <c r="B146" s="7941" t="str">
        <f>IF(Captura_Pegaso!A147="", "", Captura_Pegaso!N147)</f>
        <v/>
      </c>
      <c r="C146" s="7942" t="str">
        <f>IF(Captura_Pegaso!A147="", "", IFERROR(LOOKUP(2, 1/((Captura_Obra!$A$5:$A$1000=E146)*(Captura_Obra!$B$5:$B$1000=F146)*(Captura_Obra!$D$5:$D$1000=G146)), Captura_Obra!$N$5:$N$1000), "No Reportado"))</f>
        <v/>
      </c>
      <c r="D146" s="7943" t="str">
        <f>IF(Captura_Pegaso!A147="", "", IF(J146=0, "✅ Cuadrado", IF(I146=0, "❌ Falta en Obra", "⚠️ Dif")))</f>
        <v/>
      </c>
      <c r="E146" s="7944" t="str">
        <f>IF(Captura_Pegaso!A147="", "", Captura_Pegaso!A147)</f>
        <v/>
      </c>
      <c r="F146" s="7945" t="str">
        <f>IF(Captura_Pegaso!A147="", "", Captura_Pegaso!D147)</f>
        <v/>
      </c>
      <c r="G146" s="7946" t="str">
        <f>IF(Captura_Pegaso!A147="", "", Captura_Pegaso!E147)</f>
        <v/>
      </c>
      <c r="H146" s="7947" t="str">
        <f>IF(Captura_Pegaso!A147="", "", Captura_Pegaso!H147)</f>
        <v/>
      </c>
      <c r="I146" s="7948" t="str">
        <f>IF(Captura_Pegaso!A147="", "", SUMIFS(Captura_Obra!$F:$F, Captura_Obra!$A:$A, E146, Captura_Obra!$B:$B, F146, Captura_Obra!$D:$D, G146))</f>
        <v/>
      </c>
      <c r="J146" s="7949" t="str">
        <f>IF(Captura_Pegaso!A147="", "", H146 - I146)</f>
        <v/>
      </c>
      <c r="K146" s="3955"/>
    </row>
    <row r="147" spans="1:11">
      <c r="A147" s="7950" t="str">
        <f>IF(Captura_Pegaso!A148="", "", "Pegaso")</f>
        <v/>
      </c>
      <c r="B147" s="7951" t="str">
        <f>IF(Captura_Pegaso!A148="", "", Captura_Pegaso!N148)</f>
        <v/>
      </c>
      <c r="C147" s="7952" t="str">
        <f>IF(Captura_Pegaso!A148="", "", IFERROR(LOOKUP(2, 1/((Captura_Obra!$A$5:$A$1000=E147)*(Captura_Obra!$B$5:$B$1000=F147)*(Captura_Obra!$D$5:$D$1000=G147)), Captura_Obra!$N$5:$N$1000), "No Reportado"))</f>
        <v/>
      </c>
      <c r="D147" s="7953" t="str">
        <f>IF(Captura_Pegaso!A148="", "", IF(J147=0, "✅ Cuadrado", IF(I147=0, "❌ Falta en Obra", "⚠️ Dif")))</f>
        <v/>
      </c>
      <c r="E147" s="7954" t="str">
        <f>IF(Captura_Pegaso!A148="", "", Captura_Pegaso!A148)</f>
        <v/>
      </c>
      <c r="F147" s="7955" t="str">
        <f>IF(Captura_Pegaso!A148="", "", Captura_Pegaso!D148)</f>
        <v/>
      </c>
      <c r="G147" s="7956" t="str">
        <f>IF(Captura_Pegaso!A148="", "", Captura_Pegaso!E148)</f>
        <v/>
      </c>
      <c r="H147" s="7957" t="str">
        <f>IF(Captura_Pegaso!A148="", "", Captura_Pegaso!H148)</f>
        <v/>
      </c>
      <c r="I147" s="7958" t="str">
        <f>IF(Captura_Pegaso!A148="", "", SUMIFS(Captura_Obra!$F:$F, Captura_Obra!$A:$A, E147, Captura_Obra!$B:$B, F147, Captura_Obra!$D:$D, G147))</f>
        <v/>
      </c>
      <c r="J147" s="7959" t="str">
        <f>IF(Captura_Pegaso!A148="", "", H147 - I147)</f>
        <v/>
      </c>
      <c r="K147" s="3956"/>
    </row>
    <row r="148" spans="1:11">
      <c r="A148" s="7960" t="str">
        <f>IF(Captura_Pegaso!A149="", "", "Pegaso")</f>
        <v/>
      </c>
      <c r="B148" s="7961" t="str">
        <f>IF(Captura_Pegaso!A149="", "", Captura_Pegaso!N149)</f>
        <v/>
      </c>
      <c r="C148" s="7962" t="str">
        <f>IF(Captura_Pegaso!A149="", "", IFERROR(LOOKUP(2, 1/((Captura_Obra!$A$5:$A$1000=E148)*(Captura_Obra!$B$5:$B$1000=F148)*(Captura_Obra!$D$5:$D$1000=G148)), Captura_Obra!$N$5:$N$1000), "No Reportado"))</f>
        <v/>
      </c>
      <c r="D148" s="7963" t="str">
        <f>IF(Captura_Pegaso!A149="", "", IF(J148=0, "✅ Cuadrado", IF(I148=0, "❌ Falta en Obra", "⚠️ Dif")))</f>
        <v/>
      </c>
      <c r="E148" s="7964" t="str">
        <f>IF(Captura_Pegaso!A149="", "", Captura_Pegaso!A149)</f>
        <v/>
      </c>
      <c r="F148" s="7965" t="str">
        <f>IF(Captura_Pegaso!A149="", "", Captura_Pegaso!D149)</f>
        <v/>
      </c>
      <c r="G148" s="7966" t="str">
        <f>IF(Captura_Pegaso!A149="", "", Captura_Pegaso!E149)</f>
        <v/>
      </c>
      <c r="H148" s="7967" t="str">
        <f>IF(Captura_Pegaso!A149="", "", Captura_Pegaso!H149)</f>
        <v/>
      </c>
      <c r="I148" s="7968" t="str">
        <f>IF(Captura_Pegaso!A149="", "", SUMIFS(Captura_Obra!$F:$F, Captura_Obra!$A:$A, E148, Captura_Obra!$B:$B, F148, Captura_Obra!$D:$D, G148))</f>
        <v/>
      </c>
      <c r="J148" s="7969" t="str">
        <f>IF(Captura_Pegaso!A149="", "", H148 - I148)</f>
        <v/>
      </c>
      <c r="K148" s="3957"/>
    </row>
    <row r="149" spans="1:11">
      <c r="A149" s="7970" t="str">
        <f>IF(Captura_Pegaso!A150="", "", "Pegaso")</f>
        <v/>
      </c>
      <c r="B149" s="7971" t="str">
        <f>IF(Captura_Pegaso!A150="", "", Captura_Pegaso!N150)</f>
        <v/>
      </c>
      <c r="C149" s="7972" t="str">
        <f>IF(Captura_Pegaso!A150="", "", IFERROR(LOOKUP(2, 1/((Captura_Obra!$A$5:$A$1000=E149)*(Captura_Obra!$B$5:$B$1000=F149)*(Captura_Obra!$D$5:$D$1000=G149)), Captura_Obra!$N$5:$N$1000), "No Reportado"))</f>
        <v/>
      </c>
      <c r="D149" s="7973" t="str">
        <f>IF(Captura_Pegaso!A150="", "", IF(J149=0, "✅ Cuadrado", IF(I149=0, "❌ Falta en Obra", "⚠️ Dif")))</f>
        <v/>
      </c>
      <c r="E149" s="7974" t="str">
        <f>IF(Captura_Pegaso!A150="", "", Captura_Pegaso!A150)</f>
        <v/>
      </c>
      <c r="F149" s="7975" t="str">
        <f>IF(Captura_Pegaso!A150="", "", Captura_Pegaso!D150)</f>
        <v/>
      </c>
      <c r="G149" s="7976" t="str">
        <f>IF(Captura_Pegaso!A150="", "", Captura_Pegaso!E150)</f>
        <v/>
      </c>
      <c r="H149" s="7977" t="str">
        <f>IF(Captura_Pegaso!A150="", "", Captura_Pegaso!H150)</f>
        <v/>
      </c>
      <c r="I149" s="7978" t="str">
        <f>IF(Captura_Pegaso!A150="", "", SUMIFS(Captura_Obra!$F:$F, Captura_Obra!$A:$A, E149, Captura_Obra!$B:$B, F149, Captura_Obra!$D:$D, G149))</f>
        <v/>
      </c>
      <c r="J149" s="7979" t="str">
        <f>IF(Captura_Pegaso!A150="", "", H149 - I149)</f>
        <v/>
      </c>
      <c r="K149" s="3958"/>
    </row>
    <row r="150" spans="1:11">
      <c r="A150" s="7980" t="str">
        <f>IF(Captura_Pegaso!A151="", "", "Pegaso")</f>
        <v/>
      </c>
      <c r="B150" s="7981" t="str">
        <f>IF(Captura_Pegaso!A151="", "", Captura_Pegaso!N151)</f>
        <v/>
      </c>
      <c r="C150" s="7982" t="str">
        <f>IF(Captura_Pegaso!A151="", "", IFERROR(LOOKUP(2, 1/((Captura_Obra!$A$5:$A$1000=E150)*(Captura_Obra!$B$5:$B$1000=F150)*(Captura_Obra!$D$5:$D$1000=G150)), Captura_Obra!$N$5:$N$1000), "No Reportado"))</f>
        <v/>
      </c>
      <c r="D150" s="7983" t="str">
        <f>IF(Captura_Pegaso!A151="", "", IF(J150=0, "✅ Cuadrado", IF(I150=0, "❌ Falta en Obra", "⚠️ Dif")))</f>
        <v/>
      </c>
      <c r="E150" s="7984" t="str">
        <f>IF(Captura_Pegaso!A151="", "", Captura_Pegaso!A151)</f>
        <v/>
      </c>
      <c r="F150" s="7985" t="str">
        <f>IF(Captura_Pegaso!A151="", "", Captura_Pegaso!D151)</f>
        <v/>
      </c>
      <c r="G150" s="7986" t="str">
        <f>IF(Captura_Pegaso!A151="", "", Captura_Pegaso!E151)</f>
        <v/>
      </c>
      <c r="H150" s="7987" t="str">
        <f>IF(Captura_Pegaso!A151="", "", Captura_Pegaso!H151)</f>
        <v/>
      </c>
      <c r="I150" s="7988" t="str">
        <f>IF(Captura_Pegaso!A151="", "", SUMIFS(Captura_Obra!$F:$F, Captura_Obra!$A:$A, E150, Captura_Obra!$B:$B, F150, Captura_Obra!$D:$D, G150))</f>
        <v/>
      </c>
      <c r="J150" s="7989" t="str">
        <f>IF(Captura_Pegaso!A151="", "", H150 - I150)</f>
        <v/>
      </c>
      <c r="K150" s="3959"/>
    </row>
    <row r="151" spans="1:11">
      <c r="A151" s="7990" t="str">
        <f>IF(Captura_Marimba_M01!A5="", "", "Marimba")</f>
        <v>Marimba</v>
      </c>
      <c r="B151" s="7991" t="str">
        <f>IF(Captura_Marimba_M01!A5="", "", Captura_Marimba_M01!N5)</f>
        <v>CM-MT-24-001</v>
      </c>
      <c r="C151" s="7992" t="str">
        <f>IF(Captura_Marimba_M01!A5="", "", IFERROR(LOOKUP(2, 1/((Captura_Obra!$A$5:$A$1000=E151)*(Captura_Obra!$B$5:$B$1000=F151)*(Captura_Obra!$D$5:$D$1000=G151)), Captura_Obra!$N$5:$N$1000), "No Reportado"))</f>
        <v>CO-MT-24-001</v>
      </c>
      <c r="D151" s="7993" t="str">
        <f>IF(Captura_Marimba_M01!A5="", "", IF(J151=0, "✅ Cuadrado", IF(I151=0, "❌ Falta en Obra", "⚠️ Dif")))</f>
        <v>✅ Cuadrado</v>
      </c>
      <c r="E151" s="7994">
        <f>IF(Captura_Marimba_M01!A5="", "", Captura_Marimba_M01!A5)</f>
        <v>46181</v>
      </c>
      <c r="F151" s="7995" t="str">
        <f>IF(Captura_Marimba_M01!A5="", "", Captura_Marimba_M01!C5)</f>
        <v>México-Toluca</v>
      </c>
      <c r="G151" s="7996" t="str">
        <f>IF(Captura_Marimba_M01!A5="", "", Captura_Marimba_M01!D5)</f>
        <v>Neuomatico</v>
      </c>
      <c r="H151" s="7997">
        <f>IF(Captura_Marimba_M01!A5="", "", Captura_Marimba_M01!G5)</f>
        <v>30</v>
      </c>
      <c r="I151" s="7998">
        <f>IF(Captura_Marimba_M01!A5="", "", SUMIFS(Captura_Obra!$F:$F, Captura_Obra!$A:$A, E151, Captura_Obra!$B:$B, F151, Captura_Obra!$D:$D, G151))</f>
        <v>30</v>
      </c>
      <c r="J151" s="7999">
        <f>IF(Captura_Marimba_M01!A5="", "", H151 - I151)</f>
        <v>0</v>
      </c>
      <c r="K151" s="3960"/>
    </row>
    <row r="152" spans="1:11">
      <c r="A152" s="8000" t="str">
        <f>IF(Captura_Marimba_M01!A6="", "", "Marimba")</f>
        <v>Marimba</v>
      </c>
      <c r="B152" s="8001" t="str">
        <f>IF(Captura_Marimba_M01!A6="", "", Captura_Marimba_M01!N6)</f>
        <v>CM-MT-24-002</v>
      </c>
      <c r="C152" s="8002" t="str">
        <f>IF(Captura_Marimba_M01!A6="", "", IFERROR(LOOKUP(2, 1/((Captura_Obra!$A$5:$A$1000=E152)*(Captura_Obra!$B$5:$B$1000=F152)*(Captura_Obra!$D$5:$D$1000=G152)), Captura_Obra!$N$5:$N$1000), "No Reportado"))</f>
        <v>CO-MT-24-002</v>
      </c>
      <c r="D152" s="8003" t="str">
        <f>IF(Captura_Marimba_M01!A6="", "", IF(J152=0, "✅ Cuadrado", IF(I152=0, "❌ Falta en Obra", "⚠️ Dif")))</f>
        <v>✅ Cuadrado</v>
      </c>
      <c r="E152" s="8004">
        <f>IF(Captura_Marimba_M01!A6="", "", Captura_Marimba_M01!A6)</f>
        <v>46181</v>
      </c>
      <c r="F152" s="8005" t="str">
        <f>IF(Captura_Marimba_M01!A6="", "", Captura_Marimba_M01!C6)</f>
        <v>México-Toluca</v>
      </c>
      <c r="G152" s="8006" t="str">
        <f>IF(Captura_Marimba_M01!A6="", "", Captura_Marimba_M01!D6)</f>
        <v>Compactador</v>
      </c>
      <c r="H152" s="8007">
        <f>IF(Captura_Marimba_M01!A6="", "", Captura_Marimba_M01!G6)</f>
        <v>32</v>
      </c>
      <c r="I152" s="8008">
        <f>IF(Captura_Marimba_M01!A6="", "", SUMIFS(Captura_Obra!$F:$F, Captura_Obra!$A:$A, E152, Captura_Obra!$B:$B, F152, Captura_Obra!$D:$D, G152))</f>
        <v>32</v>
      </c>
      <c r="J152" s="8009">
        <f>IF(Captura_Marimba_M01!A6="", "", H152 - I152)</f>
        <v>0</v>
      </c>
      <c r="K152" s="3961"/>
    </row>
    <row r="153" spans="1:11">
      <c r="A153" s="8010" t="str">
        <f>IF(Captura_Marimba_M01!A7="", "", "Marimba")</f>
        <v>Marimba</v>
      </c>
      <c r="B153" s="8011" t="str">
        <f>IF(Captura_Marimba_M01!A7="", "", Captura_Marimba_M01!N7)</f>
        <v>CM-MT-24-003</v>
      </c>
      <c r="C153" s="8012" t="str">
        <f>IF(Captura_Marimba_M01!A7="", "", IFERROR(LOOKUP(2, 1/((Captura_Obra!$A$5:$A$1000=E153)*(Captura_Obra!$B$5:$B$1000=F153)*(Captura_Obra!$D$5:$D$1000=G153)), Captura_Obra!$N$5:$N$1000), "No Reportado"))</f>
        <v>CO-MT-24-003</v>
      </c>
      <c r="D153" s="8013" t="str">
        <f>IF(Captura_Marimba_M01!A7="", "", IF(J153=0, "✅ Cuadrado", IF(I153=0, "❌ Falta en Obra", "⚠️ Dif")))</f>
        <v>✅ Cuadrado</v>
      </c>
      <c r="E153" s="8014">
        <f>IF(Captura_Marimba_M01!A7="", "", Captura_Marimba_M01!A7)</f>
        <v>46181</v>
      </c>
      <c r="F153" s="8015" t="str">
        <f>IF(Captura_Marimba_M01!A7="", "", Captura_Marimba_M01!C7)</f>
        <v>México-Toluca</v>
      </c>
      <c r="G153" s="8016" t="str">
        <f>IF(Captura_Marimba_M01!A7="", "", Captura_Marimba_M01!D7)</f>
        <v>Perfiladora</v>
      </c>
      <c r="H153" s="8017">
        <f>IF(Captura_Marimba_M01!A7="", "", Captura_Marimba_M01!G7)</f>
        <v>277</v>
      </c>
      <c r="I153" s="8018">
        <f>IF(Captura_Marimba_M01!A7="", "", SUMIFS(Captura_Obra!$F:$F, Captura_Obra!$A:$A, E153, Captura_Obra!$B:$B, F153, Captura_Obra!$D:$D, G153))</f>
        <v>277</v>
      </c>
      <c r="J153" s="8019">
        <f>IF(Captura_Marimba_M01!A7="", "", H153 - I153)</f>
        <v>0</v>
      </c>
      <c r="K153" s="3962"/>
    </row>
    <row r="154" spans="1:11">
      <c r="A154" s="8020" t="str">
        <f>IF(Captura_Marimba_M01!A8="", "", "Marimba")</f>
        <v>Marimba</v>
      </c>
      <c r="B154" s="8021" t="str">
        <f>IF(Captura_Marimba_M01!A8="", "", Captura_Marimba_M01!N8)</f>
        <v>CM-MT-24-004</v>
      </c>
      <c r="C154" s="8022" t="str">
        <f>IF(Captura_Marimba_M01!A8="", "", IFERROR(LOOKUP(2, 1/((Captura_Obra!$A$5:$A$1000=E154)*(Captura_Obra!$B$5:$B$1000=F154)*(Captura_Obra!$D$5:$D$1000=G154)), Captura_Obra!$N$5:$N$1000), "No Reportado"))</f>
        <v>CO-MT-24-004</v>
      </c>
      <c r="D154" s="8023" t="str">
        <f>IF(Captura_Marimba_M01!A8="", "", IF(J154=0, "✅ Cuadrado", IF(I154=0, "❌ Falta en Obra", "⚠️ Dif")))</f>
        <v>✅ Cuadrado</v>
      </c>
      <c r="E154" s="8024">
        <f>IF(Captura_Marimba_M01!A8="", "", Captura_Marimba_M01!A8)</f>
        <v>46181</v>
      </c>
      <c r="F154" s="8025" t="str">
        <f>IF(Captura_Marimba_M01!A8="", "", Captura_Marimba_M01!C8)</f>
        <v>México-Toluca</v>
      </c>
      <c r="G154" s="8026" t="str">
        <f>IF(Captura_Marimba_M01!A8="", "", Captura_Marimba_M01!D8)</f>
        <v>Retroexcavadora</v>
      </c>
      <c r="H154" s="8027">
        <f>IF(Captura_Marimba_M01!A8="", "", Captura_Marimba_M01!G8)</f>
        <v>30</v>
      </c>
      <c r="I154" s="8028">
        <f>IF(Captura_Marimba_M01!A8="", "", SUMIFS(Captura_Obra!$F:$F, Captura_Obra!$A:$A, E154, Captura_Obra!$B:$B, F154, Captura_Obra!$D:$D, G154))</f>
        <v>30</v>
      </c>
      <c r="J154" s="8029">
        <f>IF(Captura_Marimba_M01!A8="", "", H154 - I154)</f>
        <v>0</v>
      </c>
      <c r="K154" s="3963"/>
    </row>
    <row r="155" spans="1:11">
      <c r="A155" s="8030" t="str">
        <f>IF(Captura_Marimba_M01!A9="", "", "Marimba")</f>
        <v>Marimba</v>
      </c>
      <c r="B155" s="8031" t="str">
        <f>IF(Captura_Marimba_M01!A9="", "", Captura_Marimba_M01!N9)</f>
        <v>CM-LT-24-005</v>
      </c>
      <c r="C155" s="8032" t="str">
        <f>IF(Captura_Marimba_M01!A9="", "", IFERROR(LOOKUP(2, 1/((Captura_Obra!$A$5:$A$1000=E155)*(Captura_Obra!$B$5:$B$1000=F155)*(Captura_Obra!$D$5:$D$1000=G155)), Captura_Obra!$N$5:$N$1000), "No Reportado"))</f>
        <v>CO-LT-24-005</v>
      </c>
      <c r="D155" s="8033" t="str">
        <f>IF(Captura_Marimba_M01!A9="", "", IF(J155=0, "✅ Cuadrado", IF(I155=0, "❌ Falta en Obra", "⚠️ Dif")))</f>
        <v>✅ Cuadrado</v>
      </c>
      <c r="E155" s="8034">
        <f>IF(Captura_Marimba_M01!A9="", "", Captura_Marimba_M01!A9)</f>
        <v>46181</v>
      </c>
      <c r="F155" s="8035" t="str">
        <f>IF(Captura_Marimba_M01!A9="", "", Captura_Marimba_M01!C9)</f>
        <v>Lerma - Tres Marías</v>
      </c>
      <c r="G155" s="8036" t="str">
        <f>IF(Captura_Marimba_M01!A9="", "", Captura_Marimba_M01!D9)</f>
        <v>Vogel</v>
      </c>
      <c r="H155" s="8037">
        <f>IF(Captura_Marimba_M01!A9="", "", Captura_Marimba_M01!G9)</f>
        <v>97</v>
      </c>
      <c r="I155" s="8038">
        <f>IF(Captura_Marimba_M01!A9="", "", SUMIFS(Captura_Obra!$F:$F, Captura_Obra!$A:$A, E155, Captura_Obra!$B:$B, F155, Captura_Obra!$D:$D, G155))</f>
        <v>97</v>
      </c>
      <c r="J155" s="8039">
        <f>IF(Captura_Marimba_M01!A9="", "", H155 - I155)</f>
        <v>0</v>
      </c>
      <c r="K155" s="3964"/>
    </row>
    <row r="156" spans="1:11">
      <c r="A156" s="8040" t="str">
        <f>IF(Captura_Marimba_M01!A10="", "", "Marimba")</f>
        <v>Marimba</v>
      </c>
      <c r="B156" s="8041" t="str">
        <f>IF(Captura_Marimba_M01!A10="", "", Captura_Marimba_M01!N10)</f>
        <v>CM-CL-24-006</v>
      </c>
      <c r="C156" s="8042" t="str">
        <f>IF(Captura_Marimba_M01!A10="", "", IFERROR(LOOKUP(2, 1/((Captura_Obra!$A$5:$A$1000=E156)*(Captura_Obra!$B$5:$B$1000=F156)*(Captura_Obra!$D$5:$D$1000=G156)), Captura_Obra!$N$5:$N$1000), "No Reportado"))</f>
        <v>CO-CL-24-006</v>
      </c>
      <c r="D156" s="8043" t="str">
        <f>IF(Captura_Marimba_M01!A10="", "", IF(J156=0, "✅ Cuadrado", IF(I156=0, "❌ Falta en Obra", "⚠️ Dif")))</f>
        <v>✅ Cuadrado</v>
      </c>
      <c r="E156" s="8044">
        <f>IF(Captura_Marimba_M01!A10="", "", Captura_Marimba_M01!A10)</f>
        <v>46181</v>
      </c>
      <c r="F156" s="8045" t="str">
        <f>IF(Captura_Marimba_M01!A10="", "", Captura_Marimba_M01!C10)</f>
        <v>Chamapa-Lechería</v>
      </c>
      <c r="G156" s="8046" t="str">
        <f>IF(Captura_Marimba_M01!A10="", "", Captura_Marimba_M01!D10)</f>
        <v>Perfiladora Wirgent</v>
      </c>
      <c r="H156" s="8047">
        <f>IF(Captura_Marimba_M01!A10="", "", Captura_Marimba_M01!G10)</f>
        <v>198</v>
      </c>
      <c r="I156" s="8048">
        <f>IF(Captura_Marimba_M01!A10="", "", SUMIFS(Captura_Obra!$F:$F, Captura_Obra!$A:$A, E156, Captura_Obra!$B:$B, F156, Captura_Obra!$D:$D, G156))</f>
        <v>198</v>
      </c>
      <c r="J156" s="8049">
        <f>IF(Captura_Marimba_M01!A10="", "", H156 - I156)</f>
        <v>0</v>
      </c>
      <c r="K156" s="3965"/>
    </row>
    <row r="157" spans="1:11">
      <c r="A157" s="8050" t="str">
        <f>IF(Captura_Marimba_M01!A11="", "", "Marimba")</f>
        <v>Marimba</v>
      </c>
      <c r="B157" s="8051" t="str">
        <f>IF(Captura_Marimba_M01!A11="", "", Captura_Marimba_M01!N11)</f>
        <v>CM-CL-24-007</v>
      </c>
      <c r="C157" s="8052" t="str">
        <f>IF(Captura_Marimba_M01!A11="", "", IFERROR(LOOKUP(2, 1/((Captura_Obra!$A$5:$A$1000=E157)*(Captura_Obra!$B$5:$B$1000=F157)*(Captura_Obra!$D$5:$D$1000=G157)), Captura_Obra!$N$5:$N$1000), "No Reportado"))</f>
        <v>CO-CL-24-007</v>
      </c>
      <c r="D157" s="8053" t="str">
        <f>IF(Captura_Marimba_M01!A11="", "", IF(J157=0, "✅ Cuadrado", IF(I157=0, "❌ Falta en Obra", "⚠️ Dif")))</f>
        <v>✅ Cuadrado</v>
      </c>
      <c r="E157" s="8054">
        <f>IF(Captura_Marimba_M01!A11="", "", Captura_Marimba_M01!A11)</f>
        <v>46181</v>
      </c>
      <c r="F157" s="8055" t="str">
        <f>IF(Captura_Marimba_M01!A11="", "", Captura_Marimba_M01!C11)</f>
        <v>Chamapa-Lechería</v>
      </c>
      <c r="G157" s="8056" t="str">
        <f>IF(Captura_Marimba_M01!A11="", "", Captura_Marimba_M01!D11)</f>
        <v>Maxilihgs</v>
      </c>
      <c r="H157" s="8057">
        <f>IF(Captura_Marimba_M01!A11="", "", Captura_Marimba_M01!G11)</f>
        <v>10</v>
      </c>
      <c r="I157" s="8058">
        <f>IF(Captura_Marimba_M01!A11="", "", SUMIFS(Captura_Obra!$F:$F, Captura_Obra!$A:$A, E157, Captura_Obra!$B:$B, F157, Captura_Obra!$D:$D, G157))</f>
        <v>10</v>
      </c>
      <c r="J157" s="8059">
        <f>IF(Captura_Marimba_M01!A11="", "", H157 - I157)</f>
        <v>0</v>
      </c>
      <c r="K157" s="3966"/>
    </row>
    <row r="158" spans="1:11">
      <c r="A158" s="8060" t="str">
        <f>IF(Captura_Marimba_M01!A12="", "", "Marimba")</f>
        <v>Marimba</v>
      </c>
      <c r="B158" s="8061" t="str">
        <f>IF(Captura_Marimba_M01!A12="", "", Captura_Marimba_M01!N12)</f>
        <v>CM-CL-24-008</v>
      </c>
      <c r="C158" s="8062" t="str">
        <f>IF(Captura_Marimba_M01!A12="", "", IFERROR(LOOKUP(2, 1/((Captura_Obra!$A$5:$A$1000=E158)*(Captura_Obra!$B$5:$B$1000=F158)*(Captura_Obra!$D$5:$D$1000=G158)), Captura_Obra!$N$5:$N$1000), "No Reportado"))</f>
        <v>CO-CL-24-008</v>
      </c>
      <c r="D158" s="8063" t="str">
        <f>IF(Captura_Marimba_M01!A12="", "", IF(J158=0, "✅ Cuadrado", IF(I158=0, "❌ Falta en Obra", "⚠️ Dif")))</f>
        <v>✅ Cuadrado</v>
      </c>
      <c r="E158" s="8064">
        <f>IF(Captura_Marimba_M01!A12="", "", Captura_Marimba_M01!A12)</f>
        <v>46181</v>
      </c>
      <c r="F158" s="8065" t="str">
        <f>IF(Captura_Marimba_M01!A12="", "", Captura_Marimba_M01!C12)</f>
        <v>Chamapa-Lechería</v>
      </c>
      <c r="G158" s="8066" t="str">
        <f>IF(Captura_Marimba_M01!A12="", "", Captura_Marimba_M01!D12)</f>
        <v>Neuomatico Dynapac</v>
      </c>
      <c r="H158" s="8067">
        <f>IF(Captura_Marimba_M01!A12="", "", Captura_Marimba_M01!G12)</f>
        <v>27</v>
      </c>
      <c r="I158" s="8068">
        <f>IF(Captura_Marimba_M01!A12="", "", SUMIFS(Captura_Obra!$F:$F, Captura_Obra!$A:$A, E158, Captura_Obra!$B:$B, F158, Captura_Obra!$D:$D, G158))</f>
        <v>27</v>
      </c>
      <c r="J158" s="8069">
        <f>IF(Captura_Marimba_M01!A12="", "", H158 - I158)</f>
        <v>0</v>
      </c>
      <c r="K158" s="3967"/>
    </row>
    <row r="159" spans="1:11">
      <c r="A159" s="8070" t="str">
        <f>IF(Captura_Marimba_M01!A13="", "", "Marimba")</f>
        <v>Marimba</v>
      </c>
      <c r="B159" s="8071" t="str">
        <f>IF(Captura_Marimba_M01!A13="", "", Captura_Marimba_M01!N13)</f>
        <v>CM-CL-24-009</v>
      </c>
      <c r="C159" s="8072" t="str">
        <f>IF(Captura_Marimba_M01!A13="", "", IFERROR(LOOKUP(2, 1/((Captura_Obra!$A$5:$A$1000=E159)*(Captura_Obra!$B$5:$B$1000=F159)*(Captura_Obra!$D$5:$D$1000=G159)), Captura_Obra!$N$5:$N$1000), "No Reportado"))</f>
        <v>CO-CL-24-009</v>
      </c>
      <c r="D159" s="8073" t="str">
        <f>IF(Captura_Marimba_M01!A13="", "", IF(J159=0, "✅ Cuadrado", IF(I159=0, "❌ Falta en Obra", "⚠️ Dif")))</f>
        <v>✅ Cuadrado</v>
      </c>
      <c r="E159" s="8074">
        <f>IF(Captura_Marimba_M01!A13="", "", Captura_Marimba_M01!A13)</f>
        <v>46181</v>
      </c>
      <c r="F159" s="8075" t="str">
        <f>IF(Captura_Marimba_M01!A13="", "", Captura_Marimba_M01!C13)</f>
        <v>Chamapa-Lechería</v>
      </c>
      <c r="G159" s="8076" t="str">
        <f>IF(Captura_Marimba_M01!A13="", "", Captura_Marimba_M01!D13)</f>
        <v>Compresor</v>
      </c>
      <c r="H159" s="8077">
        <f>IF(Captura_Marimba_M01!A13="", "", Captura_Marimba_M01!G13)</f>
        <v>30</v>
      </c>
      <c r="I159" s="8078">
        <f>IF(Captura_Marimba_M01!A13="", "", SUMIFS(Captura_Obra!$F:$F, Captura_Obra!$A:$A, E159, Captura_Obra!$B:$B, F159, Captura_Obra!$D:$D, G159))</f>
        <v>30</v>
      </c>
      <c r="J159" s="8079">
        <f>IF(Captura_Marimba_M01!A13="", "", H159 - I159)</f>
        <v>0</v>
      </c>
      <c r="K159" s="3968"/>
    </row>
    <row r="160" spans="1:11">
      <c r="A160" s="8080" t="str">
        <f>IF(Captura_Marimba_M01!A14="", "", "Marimba")</f>
        <v>Marimba</v>
      </c>
      <c r="B160" s="8081" t="str">
        <f>IF(Captura_Marimba_M01!A14="", "", Captura_Marimba_M01!N14)</f>
        <v>CM-CL-24-010</v>
      </c>
      <c r="C160" s="8082" t="str">
        <f>IF(Captura_Marimba_M01!A14="", "", IFERROR(LOOKUP(2, 1/((Captura_Obra!$A$5:$A$1000=E160)*(Captura_Obra!$B$5:$B$1000=F160)*(Captura_Obra!$D$5:$D$1000=G160)), Captura_Obra!$N$5:$N$1000), "No Reportado"))</f>
        <v>CO-CL-24-010</v>
      </c>
      <c r="D160" s="8083" t="str">
        <f>IF(Captura_Marimba_M01!A14="", "", IF(J160=0, "✅ Cuadrado", IF(I160=0, "❌ Falta en Obra", "⚠️ Dif")))</f>
        <v>✅ Cuadrado</v>
      </c>
      <c r="E160" s="8084">
        <f>IF(Captura_Marimba_M01!A14="", "", Captura_Marimba_M01!A14)</f>
        <v>46181</v>
      </c>
      <c r="F160" s="8085" t="str">
        <f>IF(Captura_Marimba_M01!A14="", "", Captura_Marimba_M01!C14)</f>
        <v>Chamapa-Lechería</v>
      </c>
      <c r="G160" s="8086" t="str">
        <f>IF(Captura_Marimba_M01!A14="", "", Captura_Marimba_M01!D14)</f>
        <v>Retroexcavadora Jonh Deere</v>
      </c>
      <c r="H160" s="8087">
        <f>IF(Captura_Marimba_M01!A14="", "", Captura_Marimba_M01!G14)</f>
        <v>40</v>
      </c>
      <c r="I160" s="8088">
        <f>IF(Captura_Marimba_M01!A14="", "", SUMIFS(Captura_Obra!$F:$F, Captura_Obra!$A:$A, E160, Captura_Obra!$B:$B, F160, Captura_Obra!$D:$D, G160))</f>
        <v>40</v>
      </c>
      <c r="J160" s="8089">
        <f>IF(Captura_Marimba_M01!A14="", "", H160 - I160)</f>
        <v>0</v>
      </c>
      <c r="K160" s="3969"/>
    </row>
    <row r="161" spans="1:11">
      <c r="A161" s="8090" t="str">
        <f>IF(Captura_Marimba_M01!A15="", "", "Marimba")</f>
        <v>Marimba</v>
      </c>
      <c r="B161" s="8091" t="str">
        <f>IF(Captura_Marimba_M01!A15="", "", Captura_Marimba_M01!N15)</f>
        <v>CM-CL-24-011</v>
      </c>
      <c r="C161" s="8092" t="str">
        <f>IF(Captura_Marimba_M01!A15="", "", IFERROR(LOOKUP(2, 1/((Captura_Obra!$A$5:$A$1000=E161)*(Captura_Obra!$B$5:$B$1000=F161)*(Captura_Obra!$D$5:$D$1000=G161)), Captura_Obra!$N$5:$N$1000), "No Reportado"))</f>
        <v>CO-CL-24-011</v>
      </c>
      <c r="D161" s="8093" t="str">
        <f>IF(Captura_Marimba_M01!A15="", "", IF(J161=0, "✅ Cuadrado", IF(I161=0, "❌ Falta en Obra", "⚠️ Dif")))</f>
        <v>✅ Cuadrado</v>
      </c>
      <c r="E161" s="8094">
        <f>IF(Captura_Marimba_M01!A15="", "", Captura_Marimba_M01!A15)</f>
        <v>46181</v>
      </c>
      <c r="F161" s="8095" t="str">
        <f>IF(Captura_Marimba_M01!A15="", "", Captura_Marimba_M01!C15)</f>
        <v>Chamapa-Lechería</v>
      </c>
      <c r="G161" s="8096" t="str">
        <f>IF(Captura_Marimba_M01!A15="", "", Captura_Marimba_M01!D15)</f>
        <v>Vogele Guion</v>
      </c>
      <c r="H161" s="8097">
        <f>IF(Captura_Marimba_M01!A15="", "", Captura_Marimba_M01!G15)</f>
        <v>120</v>
      </c>
      <c r="I161" s="8098">
        <f>IF(Captura_Marimba_M01!A15="", "", SUMIFS(Captura_Obra!$F:$F, Captura_Obra!$A:$A, E161, Captura_Obra!$B:$B, F161, Captura_Obra!$D:$D, G161))</f>
        <v>120</v>
      </c>
      <c r="J161" s="8099">
        <f>IF(Captura_Marimba_M01!A15="", "", H161 - I161)</f>
        <v>0</v>
      </c>
      <c r="K161" s="3970"/>
    </row>
    <row r="162" spans="1:11">
      <c r="A162" s="8100" t="str">
        <f>IF(Captura_Marimba_M01!A16="", "", "Marimba")</f>
        <v>Marimba</v>
      </c>
      <c r="B162" s="8101" t="str">
        <f>IF(Captura_Marimba_M01!A16="", "", Captura_Marimba_M01!N16)</f>
        <v>CM-CL-24-012</v>
      </c>
      <c r="C162" s="8102" t="str">
        <f>IF(Captura_Marimba_M01!A16="", "", IFERROR(LOOKUP(2, 1/((Captura_Obra!$A$5:$A$1000=E162)*(Captura_Obra!$B$5:$B$1000=F162)*(Captura_Obra!$D$5:$D$1000=G162)), Captura_Obra!$N$5:$N$1000), "No Reportado"))</f>
        <v>CO-CL-24-012</v>
      </c>
      <c r="D162" s="8103" t="str">
        <f>IF(Captura_Marimba_M01!A16="", "", IF(J162=0, "✅ Cuadrado", IF(I162=0, "❌ Falta en Obra", "⚠️ Dif")))</f>
        <v>✅ Cuadrado</v>
      </c>
      <c r="E162" s="8104">
        <f>IF(Captura_Marimba_M01!A16="", "", Captura_Marimba_M01!A16)</f>
        <v>46181</v>
      </c>
      <c r="F162" s="8105" t="str">
        <f>IF(Captura_Marimba_M01!A16="", "", Captura_Marimba_M01!C16)</f>
        <v>Chamapa-Lechería</v>
      </c>
      <c r="G162" s="8106" t="str">
        <f>IF(Captura_Marimba_M01!A16="", "", Captura_Marimba_M01!D16)</f>
        <v>Petrolizadora Elton</v>
      </c>
      <c r="H162" s="8107">
        <f>IF(Captura_Marimba_M01!A16="", "", Captura_Marimba_M01!G16)</f>
        <v>30</v>
      </c>
      <c r="I162" s="8108">
        <f>IF(Captura_Marimba_M01!A16="", "", SUMIFS(Captura_Obra!$F:$F, Captura_Obra!$A:$A, E162, Captura_Obra!$B:$B, F162, Captura_Obra!$D:$D, G162))</f>
        <v>30</v>
      </c>
      <c r="J162" s="8109">
        <f>IF(Captura_Marimba_M01!A16="", "", H162 - I162)</f>
        <v>0</v>
      </c>
      <c r="K162" s="3971"/>
    </row>
    <row r="163" spans="1:11">
      <c r="A163" s="8110" t="str">
        <f>IF(Captura_Marimba_M01!A17="", "", "Marimba")</f>
        <v>Marimba</v>
      </c>
      <c r="B163" s="8111" t="str">
        <f>IF(Captura_Marimba_M01!A17="", "", Captura_Marimba_M01!N17)</f>
        <v>CM-CL-24-013</v>
      </c>
      <c r="C163" s="8112" t="str">
        <f>IF(Captura_Marimba_M01!A17="", "", IFERROR(LOOKUP(2, 1/((Captura_Obra!$A$5:$A$1000=E163)*(Captura_Obra!$B$5:$B$1000=F163)*(Captura_Obra!$D$5:$D$1000=G163)), Captura_Obra!$N$5:$N$1000), "No Reportado"))</f>
        <v>CO-CL-24-016</v>
      </c>
      <c r="D163" s="8113" t="str">
        <f>IF(Captura_Marimba_M01!A17="", "", IF(J163=0, "✅ Cuadrado", IF(I163=0, "❌ Falta en Obra", "⚠️ Dif")))</f>
        <v>✅ Cuadrado</v>
      </c>
      <c r="E163" s="8114">
        <f>IF(Captura_Marimba_M01!A17="", "", Captura_Marimba_M01!A17)</f>
        <v>46182</v>
      </c>
      <c r="F163" s="8115" t="str">
        <f>IF(Captura_Marimba_M01!A17="", "", Captura_Marimba_M01!C17)</f>
        <v>Chamapa-Lechería</v>
      </c>
      <c r="G163" s="8116" t="str">
        <f>IF(Captura_Marimba_M01!A17="", "", Captura_Marimba_M01!D17)</f>
        <v>Barredora Broce</v>
      </c>
      <c r="H163" s="8117">
        <f>IF(Captura_Marimba_M01!A17="", "", Captura_Marimba_M01!G17)</f>
        <v>30</v>
      </c>
      <c r="I163" s="8118">
        <f>IF(Captura_Marimba_M01!A17="", "", SUMIFS(Captura_Obra!$F:$F, Captura_Obra!$A:$A, E163, Captura_Obra!$B:$B, F163, Captura_Obra!$D:$D, G163))</f>
        <v>30</v>
      </c>
      <c r="J163" s="8119">
        <f>IF(Captura_Marimba_M01!A17="", "", H163 - I163)</f>
        <v>0</v>
      </c>
      <c r="K163" s="3972"/>
    </row>
    <row r="164" spans="1:11">
      <c r="A164" s="8120" t="str">
        <f>IF(Captura_Marimba_M01!A18="", "", "Marimba")</f>
        <v>Marimba</v>
      </c>
      <c r="B164" s="8121" t="str">
        <f>IF(Captura_Marimba_M01!A18="", "", Captura_Marimba_M01!N18)</f>
        <v>CM-CL-24-014</v>
      </c>
      <c r="C164" s="8122" t="str">
        <f>IF(Captura_Marimba_M01!A18="", "", IFERROR(LOOKUP(2, 1/((Captura_Obra!$A$5:$A$1000=E164)*(Captura_Obra!$B$5:$B$1000=F164)*(Captura_Obra!$D$5:$D$1000=G164)), Captura_Obra!$N$5:$N$1000), "No Reportado"))</f>
        <v>CO-CL-24-024</v>
      </c>
      <c r="D164" s="8123" t="str">
        <f>IF(Captura_Marimba_M01!A18="", "", IF(J164=0, "✅ Cuadrado", IF(I164=0, "❌ Falta en Obra", "⚠️ Dif")))</f>
        <v>⚠️ Dif</v>
      </c>
      <c r="E164" s="8124">
        <f>IF(Captura_Marimba_M01!A18="", "", Captura_Marimba_M01!A18)</f>
        <v>46182</v>
      </c>
      <c r="F164" s="8125" t="str">
        <f>IF(Captura_Marimba_M01!A18="", "", Captura_Marimba_M01!C18)</f>
        <v>Chamapa-Lechería</v>
      </c>
      <c r="G164" s="8126" t="str">
        <f>IF(Captura_Marimba_M01!A18="", "", Captura_Marimba_M01!D18)</f>
        <v>Buggy Trasnfer</v>
      </c>
      <c r="H164" s="8127">
        <f>IF(Captura_Marimba_M01!A18="", "", Captura_Marimba_M01!G18)</f>
        <v>100</v>
      </c>
      <c r="I164" s="8128">
        <f>IF(Captura_Marimba_M01!A18="", "", SUMIFS(Captura_Obra!$F:$F, Captura_Obra!$A:$A, E164, Captura_Obra!$B:$B, F164, Captura_Obra!$D:$D, G164))</f>
        <v>200</v>
      </c>
      <c r="J164" s="8129">
        <f>IF(Captura_Marimba_M01!A18="", "", H164 - I164)</f>
        <v>-100</v>
      </c>
      <c r="K164" s="3973"/>
    </row>
    <row r="165" spans="1:11">
      <c r="A165" s="8130" t="str">
        <f>IF(Captura_Marimba_M01!A19="", "", "Marimba")</f>
        <v>Marimba</v>
      </c>
      <c r="B165" s="8131" t="str">
        <f>IF(Captura_Marimba_M01!A19="", "", Captura_Marimba_M01!N19)</f>
        <v>CM-CL-24-015</v>
      </c>
      <c r="C165" s="8132" t="str">
        <f>IF(Captura_Marimba_M01!A19="", "", IFERROR(LOOKUP(2, 1/((Captura_Obra!$A$5:$A$1000=E165)*(Captura_Obra!$B$5:$B$1000=F165)*(Captura_Obra!$D$5:$D$1000=G165)), Captura_Obra!$N$5:$N$1000), "No Reportado"))</f>
        <v>CO-CL-24-022</v>
      </c>
      <c r="D165" s="8133" t="str">
        <f>IF(Captura_Marimba_M01!A19="", "", IF(J165=0, "✅ Cuadrado", IF(I165=0, "❌ Falta en Obra", "⚠️ Dif")))</f>
        <v>⚠️ Dif</v>
      </c>
      <c r="E165" s="8134">
        <f>IF(Captura_Marimba_M01!A19="", "", Captura_Marimba_M01!A19)</f>
        <v>46182</v>
      </c>
      <c r="F165" s="8135" t="str">
        <f>IF(Captura_Marimba_M01!A19="", "", Captura_Marimba_M01!C19)</f>
        <v>Chamapa-Lechería</v>
      </c>
      <c r="G165" s="8136" t="str">
        <f>IF(Captura_Marimba_M01!A19="", "", Captura_Marimba_M01!D19)</f>
        <v>Tandem Hamm</v>
      </c>
      <c r="H165" s="8137">
        <f>IF(Captura_Marimba_M01!A19="", "", Captura_Marimba_M01!G19)</f>
        <v>30</v>
      </c>
      <c r="I165" s="8138">
        <f>IF(Captura_Marimba_M01!A19="", "", SUMIFS(Captura_Obra!$F:$F, Captura_Obra!$A:$A, E165, Captura_Obra!$B:$B, F165, Captura_Obra!$D:$D, G165))</f>
        <v>60</v>
      </c>
      <c r="J165" s="8139">
        <f>IF(Captura_Marimba_M01!A19="", "", H165 - I165)</f>
        <v>-30</v>
      </c>
      <c r="K165" s="3974"/>
    </row>
    <row r="166" spans="1:11">
      <c r="A166" s="8140" t="str">
        <f>IF(Captura_Marimba_M01!A20="", "", "Marimba")</f>
        <v>Marimba</v>
      </c>
      <c r="B166" s="8141" t="str">
        <f>IF(Captura_Marimba_M01!A20="", "", Captura_Marimba_M01!N20)</f>
        <v>CM-CL-24-016</v>
      </c>
      <c r="C166" s="8142" t="str">
        <f>IF(Captura_Marimba_M01!A20="", "", IFERROR(LOOKUP(2, 1/((Captura_Obra!$A$5:$A$1000=E166)*(Captura_Obra!$B$5:$B$1000=F166)*(Captura_Obra!$D$5:$D$1000=G166)), Captura_Obra!$N$5:$N$1000), "No Reportado"))</f>
        <v>CO-CL-24-019</v>
      </c>
      <c r="D166" s="8143" t="str">
        <f>IF(Captura_Marimba_M01!A20="", "", IF(J166=0, "✅ Cuadrado", IF(I166=0, "❌ Falta en Obra", "⚠️ Dif")))</f>
        <v>✅ Cuadrado</v>
      </c>
      <c r="E166" s="8144">
        <f>IF(Captura_Marimba_M01!A20="", "", Captura_Marimba_M01!A20)</f>
        <v>46182</v>
      </c>
      <c r="F166" s="8145" t="str">
        <f>IF(Captura_Marimba_M01!A20="", "", Captura_Marimba_M01!C20)</f>
        <v>Chamapa-Lechería</v>
      </c>
      <c r="G166" s="8146" t="str">
        <f>IF(Captura_Marimba_M01!A20="", "", Captura_Marimba_M01!D20)</f>
        <v>Perfiladora Wirgent</v>
      </c>
      <c r="H166" s="8147">
        <f>IF(Captura_Marimba_M01!A20="", "", Captura_Marimba_M01!G20)</f>
        <v>150</v>
      </c>
      <c r="I166" s="8148">
        <f>IF(Captura_Marimba_M01!A20="", "", SUMIFS(Captura_Obra!$F:$F, Captura_Obra!$A:$A, E166, Captura_Obra!$B:$B, F166, Captura_Obra!$D:$D, G166))</f>
        <v>150</v>
      </c>
      <c r="J166" s="8149">
        <f>IF(Captura_Marimba_M01!A20="", "", H166 - I166)</f>
        <v>0</v>
      </c>
      <c r="K166" s="3975"/>
    </row>
    <row r="167" spans="1:11">
      <c r="A167" s="8150" t="str">
        <f>IF(Captura_Marimba_M01!A21="", "", "Marimba")</f>
        <v>Marimba</v>
      </c>
      <c r="B167" s="8151" t="str">
        <f>IF(Captura_Marimba_M01!A21="", "", Captura_Marimba_M01!N21)</f>
        <v>CM-CL-24-017</v>
      </c>
      <c r="C167" s="8152" t="str">
        <f>IF(Captura_Marimba_M01!A21="", "", IFERROR(LOOKUP(2, 1/((Captura_Obra!$A$5:$A$1000=E167)*(Captura_Obra!$B$5:$B$1000=F167)*(Captura_Obra!$D$5:$D$1000=G167)), Captura_Obra!$N$5:$N$1000), "No Reportado"))</f>
        <v>CO-CL-24-020</v>
      </c>
      <c r="D167" s="8153" t="str">
        <f>IF(Captura_Marimba_M01!A21="", "", IF(J167=0, "✅ Cuadrado", IF(I167=0, "❌ Falta en Obra", "⚠️ Dif")))</f>
        <v>✅ Cuadrado</v>
      </c>
      <c r="E167" s="8154">
        <f>IF(Captura_Marimba_M01!A21="", "", Captura_Marimba_M01!A21)</f>
        <v>46182</v>
      </c>
      <c r="F167" s="8155" t="str">
        <f>IF(Captura_Marimba_M01!A21="", "", Captura_Marimba_M01!C21)</f>
        <v>Chamapa-Lechería</v>
      </c>
      <c r="G167" s="8156" t="str">
        <f>IF(Captura_Marimba_M01!A21="", "", Captura_Marimba_M01!D21)</f>
        <v>Petrolizadora Elton</v>
      </c>
      <c r="H167" s="8157">
        <f>IF(Captura_Marimba_M01!A21="", "", Captura_Marimba_M01!G21)</f>
        <v>50</v>
      </c>
      <c r="I167" s="8158">
        <f>IF(Captura_Marimba_M01!A21="", "", SUMIFS(Captura_Obra!$F:$F, Captura_Obra!$A:$A, E167, Captura_Obra!$B:$B, F167, Captura_Obra!$D:$D, G167))</f>
        <v>50</v>
      </c>
      <c r="J167" s="8159">
        <f>IF(Captura_Marimba_M01!A21="", "", H167 - I167)</f>
        <v>0</v>
      </c>
      <c r="K167" s="3976"/>
    </row>
    <row r="168" spans="1:11">
      <c r="A168" s="8160" t="str">
        <f>IF(Captura_Marimba_M01!A22="", "", "Marimba")</f>
        <v>Marimba</v>
      </c>
      <c r="B168" s="8161" t="str">
        <f>IF(Captura_Marimba_M01!A22="", "", Captura_Marimba_M01!N22)</f>
        <v>CM-CL-24-018</v>
      </c>
      <c r="C168" s="8162" t="str">
        <f>IF(Captura_Marimba_M01!A22="", "", IFERROR(LOOKUP(2, 1/((Captura_Obra!$A$5:$A$1000=E168)*(Captura_Obra!$B$5:$B$1000=F168)*(Captura_Obra!$D$5:$D$1000=G168)), Captura_Obra!$N$5:$N$1000), "No Reportado"))</f>
        <v>CO-CL-24-021</v>
      </c>
      <c r="D168" s="8163" t="str">
        <f>IF(Captura_Marimba_M01!A22="", "", IF(J168=0, "✅ Cuadrado", IF(I168=0, "❌ Falta en Obra", "⚠️ Dif")))</f>
        <v>✅ Cuadrado</v>
      </c>
      <c r="E168" s="8164">
        <f>IF(Captura_Marimba_M01!A22="", "", Captura_Marimba_M01!A22)</f>
        <v>46182</v>
      </c>
      <c r="F168" s="8165" t="str">
        <f>IF(Captura_Marimba_M01!A22="", "", Captura_Marimba_M01!C22)</f>
        <v>Chamapa-Lechería</v>
      </c>
      <c r="G168" s="8166" t="str">
        <f>IF(Captura_Marimba_M01!A22="", "", Captura_Marimba_M01!D22)</f>
        <v>Vogele Guion</v>
      </c>
      <c r="H168" s="8167">
        <f>IF(Captura_Marimba_M01!A22="", "", Captura_Marimba_M01!G22)</f>
        <v>136</v>
      </c>
      <c r="I168" s="8168">
        <f>IF(Captura_Marimba_M01!A22="", "", SUMIFS(Captura_Obra!$F:$F, Captura_Obra!$A:$A, E168, Captura_Obra!$B:$B, F168, Captura_Obra!$D:$D, G168))</f>
        <v>136</v>
      </c>
      <c r="J168" s="8169">
        <f>IF(Captura_Marimba_M01!A22="", "", H168 - I168)</f>
        <v>0</v>
      </c>
      <c r="K168" s="3977"/>
    </row>
    <row r="169" spans="1:11">
      <c r="A169" s="8170" t="str">
        <f>IF(Captura_Marimba_M01!A23="", "", "Marimba")</f>
        <v>Marimba</v>
      </c>
      <c r="B169" s="8171" t="str">
        <f>IF(Captura_Marimba_M01!A23="", "", Captura_Marimba_M01!N23)</f>
        <v>CM-CL-24-019</v>
      </c>
      <c r="C169" s="8172" t="str">
        <f>IF(Captura_Marimba_M01!A23="", "", IFERROR(LOOKUP(2, 1/((Captura_Obra!$A$5:$A$1000=E169)*(Captura_Obra!$B$5:$B$1000=F169)*(Captura_Obra!$D$5:$D$1000=G169)), Captura_Obra!$N$5:$N$1000), "No Reportado"))</f>
        <v>CO-CL-24-022</v>
      </c>
      <c r="D169" s="8173" t="str">
        <f>IF(Captura_Marimba_M01!A23="", "", IF(J169=0, "✅ Cuadrado", IF(I169=0, "❌ Falta en Obra", "⚠️ Dif")))</f>
        <v>⚠️ Dif</v>
      </c>
      <c r="E169" s="8174">
        <f>IF(Captura_Marimba_M01!A23="", "", Captura_Marimba_M01!A23)</f>
        <v>46182</v>
      </c>
      <c r="F169" s="8175" t="str">
        <f>IF(Captura_Marimba_M01!A23="", "", Captura_Marimba_M01!C23)</f>
        <v>Chamapa-Lechería</v>
      </c>
      <c r="G169" s="8176" t="str">
        <f>IF(Captura_Marimba_M01!A23="", "", Captura_Marimba_M01!D23)</f>
        <v>Tandem Hamm</v>
      </c>
      <c r="H169" s="8177">
        <f>IF(Captura_Marimba_M01!A23="", "", Captura_Marimba_M01!G23)</f>
        <v>30</v>
      </c>
      <c r="I169" s="8178">
        <f>IF(Captura_Marimba_M01!A23="", "", SUMIFS(Captura_Obra!$F:$F, Captura_Obra!$A:$A, E169, Captura_Obra!$B:$B, F169, Captura_Obra!$D:$D, G169))</f>
        <v>60</v>
      </c>
      <c r="J169" s="8179">
        <f>IF(Captura_Marimba_M01!A23="", "", H169 - I169)</f>
        <v>-30</v>
      </c>
      <c r="K169" s="3978"/>
    </row>
    <row r="170" spans="1:11">
      <c r="A170" s="8180" t="str">
        <f>IF(Captura_Marimba_M01!A24="", "", "Marimba")</f>
        <v>Marimba</v>
      </c>
      <c r="B170" s="8181" t="str">
        <f>IF(Captura_Marimba_M01!A24="", "", Captura_Marimba_M01!N24)</f>
        <v>CM-CL-24-020</v>
      </c>
      <c r="C170" s="8182" t="str">
        <f>IF(Captura_Marimba_M01!A24="", "", IFERROR(LOOKUP(2, 1/((Captura_Obra!$A$5:$A$1000=E170)*(Captura_Obra!$B$5:$B$1000=F170)*(Captura_Obra!$D$5:$D$1000=G170)), Captura_Obra!$N$5:$N$1000), "No Reportado"))</f>
        <v>CO-CL-24-023</v>
      </c>
      <c r="D170" s="8183" t="str">
        <f>IF(Captura_Marimba_M01!A24="", "", IF(J170=0, "✅ Cuadrado", IF(I170=0, "❌ Falta en Obra", "⚠️ Dif")))</f>
        <v>✅ Cuadrado</v>
      </c>
      <c r="E170" s="8184">
        <f>IF(Captura_Marimba_M01!A24="", "", Captura_Marimba_M01!A24)</f>
        <v>46182</v>
      </c>
      <c r="F170" s="8185" t="str">
        <f>IF(Captura_Marimba_M01!A24="", "", Captura_Marimba_M01!C24)</f>
        <v>Chamapa-Lechería</v>
      </c>
      <c r="G170" s="8186" t="str">
        <f>IF(Captura_Marimba_M01!A24="", "", Captura_Marimba_M01!D24)</f>
        <v>Neuomatico</v>
      </c>
      <c r="H170" s="8187">
        <f>IF(Captura_Marimba_M01!A24="", "", Captura_Marimba_M01!G24)</f>
        <v>30</v>
      </c>
      <c r="I170" s="8188">
        <f>IF(Captura_Marimba_M01!A24="", "", SUMIFS(Captura_Obra!$F:$F, Captura_Obra!$A:$A, E170, Captura_Obra!$B:$B, F170, Captura_Obra!$D:$D, G170))</f>
        <v>30</v>
      </c>
      <c r="J170" s="8189">
        <f>IF(Captura_Marimba_M01!A24="", "", H170 - I170)</f>
        <v>0</v>
      </c>
      <c r="K170" s="3979"/>
    </row>
    <row r="171" spans="1:11">
      <c r="A171" s="8190" t="str">
        <f>IF(Captura_Marimba_M01!A25="", "", "Marimba")</f>
        <v>Marimba</v>
      </c>
      <c r="B171" s="8191" t="str">
        <f>IF(Captura_Marimba_M01!A25="", "", Captura_Marimba_M01!N25)</f>
        <v>CM-CL-24-021</v>
      </c>
      <c r="C171" s="8192" t="str">
        <f>IF(Captura_Marimba_M01!A25="", "", IFERROR(LOOKUP(2, 1/((Captura_Obra!$A$5:$A$1000=E171)*(Captura_Obra!$B$5:$B$1000=F171)*(Captura_Obra!$D$5:$D$1000=G171)), Captura_Obra!$N$5:$N$1000), "No Reportado"))</f>
        <v>CO-CL-24-024</v>
      </c>
      <c r="D171" s="8193" t="str">
        <f>IF(Captura_Marimba_M01!A25="", "", IF(J171=0, "✅ Cuadrado", IF(I171=0, "❌ Falta en Obra", "⚠️ Dif")))</f>
        <v>⚠️ Dif</v>
      </c>
      <c r="E171" s="8194">
        <f>IF(Captura_Marimba_M01!A25="", "", Captura_Marimba_M01!A25)</f>
        <v>46182</v>
      </c>
      <c r="F171" s="8195" t="str">
        <f>IF(Captura_Marimba_M01!A25="", "", Captura_Marimba_M01!C25)</f>
        <v>Chamapa-Lechería</v>
      </c>
      <c r="G171" s="8196" t="str">
        <f>IF(Captura_Marimba_M01!A25="", "", Captura_Marimba_M01!D25)</f>
        <v>Buggy Trasnfer</v>
      </c>
      <c r="H171" s="8197">
        <f>IF(Captura_Marimba_M01!A25="", "", Captura_Marimba_M01!G25)</f>
        <v>100</v>
      </c>
      <c r="I171" s="8198">
        <f>IF(Captura_Marimba_M01!A25="", "", SUMIFS(Captura_Obra!$F:$F, Captura_Obra!$A:$A, E171, Captura_Obra!$B:$B, F171, Captura_Obra!$D:$D, G171))</f>
        <v>200</v>
      </c>
      <c r="J171" s="8199">
        <f>IF(Captura_Marimba_M01!A25="", "", H171 - I171)</f>
        <v>-100</v>
      </c>
      <c r="K171" s="3980"/>
    </row>
    <row r="172" spans="1:11">
      <c r="A172" s="8200" t="str">
        <f>IF(Captura_Marimba_M01!A26="", "", "Marimba")</f>
        <v>Marimba</v>
      </c>
      <c r="B172" s="8201" t="str">
        <f>IF(Captura_Marimba_M01!A26="", "", Captura_Marimba_M01!N26)</f>
        <v>CM-CL-24-022</v>
      </c>
      <c r="C172" s="8202" t="str">
        <f>IF(Captura_Marimba_M01!A26="", "", IFERROR(LOOKUP(2, 1/((Captura_Obra!$A$5:$A$1000=E172)*(Captura_Obra!$B$5:$B$1000=F172)*(Captura_Obra!$D$5:$D$1000=G172)), Captura_Obra!$N$5:$N$1000), "No Reportado"))</f>
        <v>CO-CL-24-025</v>
      </c>
      <c r="D172" s="8203" t="str">
        <f>IF(Captura_Marimba_M01!A26="", "", IF(J172=0, "✅ Cuadrado", IF(I172=0, "❌ Falta en Obra", "⚠️ Dif")))</f>
        <v>✅ Cuadrado</v>
      </c>
      <c r="E172" s="8204">
        <f>IF(Captura_Marimba_M01!A26="", "", Captura_Marimba_M01!A26)</f>
        <v>46182</v>
      </c>
      <c r="F172" s="8205" t="str">
        <f>IF(Captura_Marimba_M01!A26="", "", Captura_Marimba_M01!C26)</f>
        <v>Chamapa-Lechería</v>
      </c>
      <c r="G172" s="8206" t="str">
        <f>IF(Captura_Marimba_M01!A26="", "", Captura_Marimba_M01!D26)</f>
        <v>Retroexcavadora Jonh Deere</v>
      </c>
      <c r="H172" s="8207">
        <f>IF(Captura_Marimba_M01!A26="", "", Captura_Marimba_M01!G26)</f>
        <v>60</v>
      </c>
      <c r="I172" s="8208">
        <f>IF(Captura_Marimba_M01!A26="", "", SUMIFS(Captura_Obra!$F:$F, Captura_Obra!$A:$A, E172, Captura_Obra!$B:$B, F172, Captura_Obra!$D:$D, G172))</f>
        <v>60</v>
      </c>
      <c r="J172" s="8209">
        <f>IF(Captura_Marimba_M01!A26="", "", H172 - I172)</f>
        <v>0</v>
      </c>
      <c r="K172" s="3981"/>
    </row>
    <row r="173" spans="1:11">
      <c r="A173" s="8210" t="str">
        <f>IF(Captura_Marimba_M01!A27="", "", "Marimba")</f>
        <v>Marimba</v>
      </c>
      <c r="B173" s="8211" t="str">
        <f>IF(Captura_Marimba_M01!A27="", "", Captura_Marimba_M01!N27)</f>
        <v>CM-CL-24-023</v>
      </c>
      <c r="C173" s="8212" t="str">
        <f>IF(Captura_Marimba_M01!A27="", "", IFERROR(LOOKUP(2, 1/((Captura_Obra!$A$5:$A$1000=E173)*(Captura_Obra!$B$5:$B$1000=F173)*(Captura_Obra!$D$5:$D$1000=G173)), Captura_Obra!$N$5:$N$1000), "No Reportado"))</f>
        <v>CO-CL-24-026</v>
      </c>
      <c r="D173" s="8213" t="str">
        <f>IF(Captura_Marimba_M01!A27="", "", IF(J173=0, "✅ Cuadrado", IF(I173=0, "❌ Falta en Obra", "⚠️ Dif")))</f>
        <v>✅ Cuadrado</v>
      </c>
      <c r="E173" s="8214">
        <f>IF(Captura_Marimba_M01!A27="", "", Captura_Marimba_M01!A27)</f>
        <v>46182</v>
      </c>
      <c r="F173" s="8215" t="str">
        <f>IF(Captura_Marimba_M01!A27="", "", Captura_Marimba_M01!C27)</f>
        <v>Chamapa-Lechería</v>
      </c>
      <c r="G173" s="8216" t="str">
        <f>IF(Captura_Marimba_M01!A27="", "", Captura_Marimba_M01!D27)</f>
        <v>Compresor</v>
      </c>
      <c r="H173" s="8217">
        <f>IF(Captura_Marimba_M01!A27="", "", Captura_Marimba_M01!G27)</f>
        <v>20</v>
      </c>
      <c r="I173" s="8218">
        <f>IF(Captura_Marimba_M01!A27="", "", SUMIFS(Captura_Obra!$F:$F, Captura_Obra!$A:$A, E173, Captura_Obra!$B:$B, F173, Captura_Obra!$D:$D, G173))</f>
        <v>20</v>
      </c>
      <c r="J173" s="8219">
        <f>IF(Captura_Marimba_M01!A27="", "", H173 - I173)</f>
        <v>0</v>
      </c>
      <c r="K173" s="3982"/>
    </row>
    <row r="174" spans="1:11">
      <c r="A174" s="8220" t="str">
        <f>IF(Captura_Marimba_M01!A28="", "", "Marimba")</f>
        <v>Marimba</v>
      </c>
      <c r="B174" s="8221" t="str">
        <f>IF(Captura_Marimba_M01!A28="", "", Captura_Marimba_M01!N28)</f>
        <v>CM-MT-24-024</v>
      </c>
      <c r="C174" s="8222" t="str">
        <f>IF(Captura_Marimba_M01!A28="", "", IFERROR(LOOKUP(2, 1/((Captura_Obra!$A$5:$A$1000=E174)*(Captura_Obra!$B$5:$B$1000=F174)*(Captura_Obra!$D$5:$D$1000=G174)), Captura_Obra!$N$5:$N$1000), "No Reportado"))</f>
        <v>CO-MT-24-030</v>
      </c>
      <c r="D174" s="8223" t="str">
        <f>IF(Captura_Marimba_M01!A28="", "", IF(J174=0, "✅ Cuadrado", IF(I174=0, "❌ Falta en Obra", "⚠️ Dif")))</f>
        <v>✅ Cuadrado</v>
      </c>
      <c r="E174" s="8224">
        <f>IF(Captura_Marimba_M01!A28="", "", Captura_Marimba_M01!A28)</f>
        <v>46183</v>
      </c>
      <c r="F174" s="8225" t="str">
        <f>IF(Captura_Marimba_M01!A28="", "", Captura_Marimba_M01!C28)</f>
        <v>México-Toluca</v>
      </c>
      <c r="G174" s="8226" t="str">
        <f>IF(Captura_Marimba_M01!A28="", "", Captura_Marimba_M01!D28)</f>
        <v>Barredora</v>
      </c>
      <c r="H174" s="8227">
        <f>IF(Captura_Marimba_M01!A28="", "", Captura_Marimba_M01!G28)</f>
        <v>20</v>
      </c>
      <c r="I174" s="8228">
        <f>IF(Captura_Marimba_M01!A28="", "", SUMIFS(Captura_Obra!$F:$F, Captura_Obra!$A:$A, E174, Captura_Obra!$B:$B, F174, Captura_Obra!$D:$D, G174))</f>
        <v>20</v>
      </c>
      <c r="J174" s="8229">
        <f>IF(Captura_Marimba_M01!A28="", "", H174 - I174)</f>
        <v>0</v>
      </c>
      <c r="K174" s="3983"/>
    </row>
    <row r="175" spans="1:11">
      <c r="A175" s="8230" t="str">
        <f>IF(Captura_Marimba_M01!A29="", "", "Marimba")</f>
        <v>Marimba</v>
      </c>
      <c r="B175" s="8231" t="str">
        <f>IF(Captura_Marimba_M01!A29="", "", Captura_Marimba_M01!N29)</f>
        <v>CM-MT-24-025</v>
      </c>
      <c r="C175" s="8232" t="str">
        <f>IF(Captura_Marimba_M01!A29="", "", IFERROR(LOOKUP(2, 1/((Captura_Obra!$A$5:$A$1000=E175)*(Captura_Obra!$B$5:$B$1000=F175)*(Captura_Obra!$D$5:$D$1000=G175)), Captura_Obra!$N$5:$N$1000), "No Reportado"))</f>
        <v>CO-MT-24-031</v>
      </c>
      <c r="D175" s="8233" t="str">
        <f>IF(Captura_Marimba_M01!A29="", "", IF(J175=0, "✅ Cuadrado", IF(I175=0, "❌ Falta en Obra", "⚠️ Dif")))</f>
        <v>✅ Cuadrado</v>
      </c>
      <c r="E175" s="8234">
        <f>IF(Captura_Marimba_M01!A29="", "", Captura_Marimba_M01!A29)</f>
        <v>46183</v>
      </c>
      <c r="F175" s="8235" t="str">
        <f>IF(Captura_Marimba_M01!A29="", "", Captura_Marimba_M01!C29)</f>
        <v>México-Toluca</v>
      </c>
      <c r="G175" s="8236" t="str">
        <f>IF(Captura_Marimba_M01!A29="", "", Captura_Marimba_M01!D29)</f>
        <v>Perfiladora</v>
      </c>
      <c r="H175" s="8237">
        <f>IF(Captura_Marimba_M01!A29="", "", Captura_Marimba_M01!G29)</f>
        <v>250</v>
      </c>
      <c r="I175" s="8238">
        <f>IF(Captura_Marimba_M01!A29="", "", SUMIFS(Captura_Obra!$F:$F, Captura_Obra!$A:$A, E175, Captura_Obra!$B:$B, F175, Captura_Obra!$D:$D, G175))</f>
        <v>250</v>
      </c>
      <c r="J175" s="8239">
        <f>IF(Captura_Marimba_M01!A29="", "", H175 - I175)</f>
        <v>0</v>
      </c>
      <c r="K175" s="3984"/>
    </row>
    <row r="176" spans="1:11">
      <c r="A176" s="8240" t="str">
        <f>IF(Captura_Marimba_M01!A30="", "", "Marimba")</f>
        <v>Marimba</v>
      </c>
      <c r="B176" s="8241" t="str">
        <f>IF(Captura_Marimba_M01!A30="", "", Captura_Marimba_M01!N30)</f>
        <v>CM-MT-24-026</v>
      </c>
      <c r="C176" s="8242" t="str">
        <f>IF(Captura_Marimba_M01!A30="", "", IFERROR(LOOKUP(2, 1/((Captura_Obra!$A$5:$A$1000=E176)*(Captura_Obra!$B$5:$B$1000=F176)*(Captura_Obra!$D$5:$D$1000=G176)), Captura_Obra!$N$5:$N$1000), "No Reportado"))</f>
        <v>CO-MT-24-032</v>
      </c>
      <c r="D176" s="8243" t="str">
        <f>IF(Captura_Marimba_M01!A30="", "", IF(J176=0, "✅ Cuadrado", IF(I176=0, "❌ Falta en Obra", "⚠️ Dif")))</f>
        <v>✅ Cuadrado</v>
      </c>
      <c r="E176" s="8244">
        <f>IF(Captura_Marimba_M01!A30="", "", Captura_Marimba_M01!A30)</f>
        <v>46183</v>
      </c>
      <c r="F176" s="8245" t="str">
        <f>IF(Captura_Marimba_M01!A30="", "", Captura_Marimba_M01!C30)</f>
        <v>México-Toluca</v>
      </c>
      <c r="G176" s="8246" t="str">
        <f>IF(Captura_Marimba_M01!A30="", "", Captura_Marimba_M01!D30)</f>
        <v>Retroexcavadora</v>
      </c>
      <c r="H176" s="8247">
        <f>IF(Captura_Marimba_M01!A30="", "", Captura_Marimba_M01!G30)</f>
        <v>30</v>
      </c>
      <c r="I176" s="8248">
        <f>IF(Captura_Marimba_M01!A30="", "", SUMIFS(Captura_Obra!$F:$F, Captura_Obra!$A:$A, E176, Captura_Obra!$B:$B, F176, Captura_Obra!$D:$D, G176))</f>
        <v>30</v>
      </c>
      <c r="J176" s="8249">
        <f>IF(Captura_Marimba_M01!A30="", "", H176 - I176)</f>
        <v>0</v>
      </c>
      <c r="K176" s="3985"/>
    </row>
    <row r="177" spans="1:11">
      <c r="A177" s="8250" t="str">
        <f>IF(Captura_Marimba_M01!A31="", "", "Marimba")</f>
        <v>Marimba</v>
      </c>
      <c r="B177" s="8251" t="str">
        <f>IF(Captura_Marimba_M01!A31="", "", Captura_Marimba_M01!N31)</f>
        <v>CM-MT-24-027</v>
      </c>
      <c r="C177" s="8252" t="str">
        <f>IF(Captura_Marimba_M01!A31="", "", IFERROR(LOOKUP(2, 1/((Captura_Obra!$A$5:$A$1000=E177)*(Captura_Obra!$B$5:$B$1000=F177)*(Captura_Obra!$D$5:$D$1000=G177)), Captura_Obra!$N$5:$N$1000), "No Reportado"))</f>
        <v>CO-MT-24-034</v>
      </c>
      <c r="D177" s="8253" t="str">
        <f>IF(Captura_Marimba_M01!A31="", "", IF(J177=0, "✅ Cuadrado", IF(I177=0, "❌ Falta en Obra", "⚠️ Dif")))</f>
        <v>✅ Cuadrado</v>
      </c>
      <c r="E177" s="8254">
        <f>IF(Captura_Marimba_M01!A31="", "", Captura_Marimba_M01!A31)</f>
        <v>46184</v>
      </c>
      <c r="F177" s="8255" t="str">
        <f>IF(Captura_Marimba_M01!A31="", "", Captura_Marimba_M01!C31)</f>
        <v>México-Toluca</v>
      </c>
      <c r="G177" s="8256" t="str">
        <f>IF(Captura_Marimba_M01!A31="", "", Captura_Marimba_M01!D31)</f>
        <v>Compactador</v>
      </c>
      <c r="H177" s="8257">
        <f>IF(Captura_Marimba_M01!A31="", "", Captura_Marimba_M01!G31)</f>
        <v>30</v>
      </c>
      <c r="I177" s="8258">
        <f>IF(Captura_Marimba_M01!A31="", "", SUMIFS(Captura_Obra!$F:$F, Captura_Obra!$A:$A, E177, Captura_Obra!$B:$B, F177, Captura_Obra!$D:$D, G177))</f>
        <v>30</v>
      </c>
      <c r="J177" s="8259">
        <f>IF(Captura_Marimba_M01!A31="", "", H177 - I177)</f>
        <v>0</v>
      </c>
      <c r="K177" s="3986"/>
    </row>
    <row r="178" spans="1:11">
      <c r="A178" s="8260" t="str">
        <f>IF(Captura_Marimba_M01!A32="", "", "Marimba")</f>
        <v>Marimba</v>
      </c>
      <c r="B178" s="8261" t="str">
        <f>IF(Captura_Marimba_M01!A32="", "", Captura_Marimba_M01!N32)</f>
        <v>CM-MT-24-028</v>
      </c>
      <c r="C178" s="8262" t="str">
        <f>IF(Captura_Marimba_M01!A32="", "", IFERROR(LOOKUP(2, 1/((Captura_Obra!$A$5:$A$1000=E178)*(Captura_Obra!$B$5:$B$1000=F178)*(Captura_Obra!$D$5:$D$1000=G178)), Captura_Obra!$N$5:$N$1000), "No Reportado"))</f>
        <v>CO-MT-24-035</v>
      </c>
      <c r="D178" s="8263" t="str">
        <f>IF(Captura_Marimba_M01!A32="", "", IF(J178=0, "✅ Cuadrado", IF(I178=0, "❌ Falta en Obra", "⚠️ Dif")))</f>
        <v>✅ Cuadrado</v>
      </c>
      <c r="E178" s="8264">
        <f>IF(Captura_Marimba_M01!A32="", "", Captura_Marimba_M01!A32)</f>
        <v>46184</v>
      </c>
      <c r="F178" s="8265" t="str">
        <f>IF(Captura_Marimba_M01!A32="", "", Captura_Marimba_M01!C32)</f>
        <v>México-Toluca</v>
      </c>
      <c r="G178" s="8266" t="str">
        <f>IF(Captura_Marimba_M01!A32="", "", Captura_Marimba_M01!D32)</f>
        <v>Neuomatico</v>
      </c>
      <c r="H178" s="8267">
        <f>IF(Captura_Marimba_M01!A32="", "", Captura_Marimba_M01!G32)</f>
        <v>30</v>
      </c>
      <c r="I178" s="8268">
        <f>IF(Captura_Marimba_M01!A32="", "", SUMIFS(Captura_Obra!$F:$F, Captura_Obra!$A:$A, E178, Captura_Obra!$B:$B, F178, Captura_Obra!$D:$D, G178))</f>
        <v>30</v>
      </c>
      <c r="J178" s="8269">
        <f>IF(Captura_Marimba_M01!A32="", "", H178 - I178)</f>
        <v>0</v>
      </c>
      <c r="K178" s="3987"/>
    </row>
    <row r="179" spans="1:11">
      <c r="A179" s="8270" t="str">
        <f>IF(Captura_Marimba_M01!A33="", "", "Marimba")</f>
        <v>Marimba</v>
      </c>
      <c r="B179" s="8271" t="str">
        <f>IF(Captura_Marimba_M01!A33="", "", Captura_Marimba_M01!N33)</f>
        <v>CM-MT-24-029</v>
      </c>
      <c r="C179" s="8272" t="str">
        <f>IF(Captura_Marimba_M01!A33="", "", IFERROR(LOOKUP(2, 1/((Captura_Obra!$A$5:$A$1000=E179)*(Captura_Obra!$B$5:$B$1000=F179)*(Captura_Obra!$D$5:$D$1000=G179)), Captura_Obra!$N$5:$N$1000), "No Reportado"))</f>
        <v>CO-MT-24-036</v>
      </c>
      <c r="D179" s="8273" t="str">
        <f>IF(Captura_Marimba_M01!A33="", "", IF(J179=0, "✅ Cuadrado", IF(I179=0, "❌ Falta en Obra", "⚠️ Dif")))</f>
        <v>✅ Cuadrado</v>
      </c>
      <c r="E179" s="8274">
        <f>IF(Captura_Marimba_M01!A33="", "", Captura_Marimba_M01!A33)</f>
        <v>46184</v>
      </c>
      <c r="F179" s="8275" t="str">
        <f>IF(Captura_Marimba_M01!A33="", "", Captura_Marimba_M01!C33)</f>
        <v>México-Toluca</v>
      </c>
      <c r="G179" s="8276" t="str">
        <f>IF(Captura_Marimba_M01!A33="", "", Captura_Marimba_M01!D33)</f>
        <v>Vogel</v>
      </c>
      <c r="H179" s="8277">
        <f>IF(Captura_Marimba_M01!A33="", "", Captura_Marimba_M01!G33)</f>
        <v>136</v>
      </c>
      <c r="I179" s="8278">
        <f>IF(Captura_Marimba_M01!A33="", "", SUMIFS(Captura_Obra!$F:$F, Captura_Obra!$A:$A, E179, Captura_Obra!$B:$B, F179, Captura_Obra!$D:$D, G179))</f>
        <v>136</v>
      </c>
      <c r="J179" s="8279">
        <f>IF(Captura_Marimba_M01!A33="", "", H179 - I179)</f>
        <v>0</v>
      </c>
      <c r="K179" s="3988"/>
    </row>
    <row r="180" spans="1:11">
      <c r="A180" s="8280" t="str">
        <f>IF(Captura_Marimba_M01!A34="", "", "Marimba")</f>
        <v>Marimba</v>
      </c>
      <c r="B180" s="8281" t="str">
        <f>IF(Captura_Marimba_M01!A34="", "", Captura_Marimba_M01!N34)</f>
        <v>CM-MT-24-030</v>
      </c>
      <c r="C180" s="8282" t="str">
        <f>IF(Captura_Marimba_M01!A34="", "", IFERROR(LOOKUP(2, 1/((Captura_Obra!$A$5:$A$1000=E180)*(Captura_Obra!$B$5:$B$1000=F180)*(Captura_Obra!$D$5:$D$1000=G180)), Captura_Obra!$N$5:$N$1000), "No Reportado"))</f>
        <v>CO-MT-24-037</v>
      </c>
      <c r="D180" s="8283" t="str">
        <f>IF(Captura_Marimba_M01!A34="", "", IF(J180=0, "✅ Cuadrado", IF(I180=0, "❌ Falta en Obra", "⚠️ Dif")))</f>
        <v>✅ Cuadrado</v>
      </c>
      <c r="E180" s="8284">
        <f>IF(Captura_Marimba_M01!A34="", "", Captura_Marimba_M01!A34)</f>
        <v>46184</v>
      </c>
      <c r="F180" s="8285" t="str">
        <f>IF(Captura_Marimba_M01!A34="", "", Captura_Marimba_M01!C34)</f>
        <v>México-Toluca</v>
      </c>
      <c r="G180" s="8286" t="str">
        <f>IF(Captura_Marimba_M01!A34="", "", Captura_Marimba_M01!D34)</f>
        <v>Barredora</v>
      </c>
      <c r="H180" s="8287">
        <f>IF(Captura_Marimba_M01!A34="", "", Captura_Marimba_M01!G34)</f>
        <v>20</v>
      </c>
      <c r="I180" s="8288">
        <f>IF(Captura_Marimba_M01!A34="", "", SUMIFS(Captura_Obra!$F:$F, Captura_Obra!$A:$A, E180, Captura_Obra!$B:$B, F180, Captura_Obra!$D:$D, G180))</f>
        <v>20</v>
      </c>
      <c r="J180" s="8289">
        <f>IF(Captura_Marimba_M01!A34="", "", H180 - I180)</f>
        <v>0</v>
      </c>
      <c r="K180" s="3989"/>
    </row>
    <row r="181" spans="1:11">
      <c r="A181" s="8290" t="str">
        <f>IF(Captura_Marimba_M01!A35="", "", "Marimba")</f>
        <v>Marimba</v>
      </c>
      <c r="B181" s="8291" t="str">
        <f>IF(Captura_Marimba_M01!A35="", "", Captura_Marimba_M01!N35)</f>
        <v>CM-MT-24-031</v>
      </c>
      <c r="C181" s="8292" t="str">
        <f>IF(Captura_Marimba_M01!A35="", "", IFERROR(LOOKUP(2, 1/((Captura_Obra!$A$5:$A$1000=E181)*(Captura_Obra!$B$5:$B$1000=F181)*(Captura_Obra!$D$5:$D$1000=G181)), Captura_Obra!$N$5:$N$1000), "No Reportado"))</f>
        <v>CO-MT-24-038</v>
      </c>
      <c r="D181" s="8293" t="str">
        <f>IF(Captura_Marimba_M01!A35="", "", IF(J181=0, "✅ Cuadrado", IF(I181=0, "❌ Falta en Obra", "⚠️ Dif")))</f>
        <v>✅ Cuadrado</v>
      </c>
      <c r="E181" s="8294">
        <f>IF(Captura_Marimba_M01!A35="", "", Captura_Marimba_M01!A35)</f>
        <v>46184</v>
      </c>
      <c r="F181" s="8295" t="str">
        <f>IF(Captura_Marimba_M01!A35="", "", Captura_Marimba_M01!C35)</f>
        <v>México-Toluca</v>
      </c>
      <c r="G181" s="8296" t="str">
        <f>IF(Captura_Marimba_M01!A35="", "", Captura_Marimba_M01!D35)</f>
        <v>Retroexcavadora</v>
      </c>
      <c r="H181" s="8297">
        <f>IF(Captura_Marimba_M01!A35="", "", Captura_Marimba_M01!G35)</f>
        <v>20</v>
      </c>
      <c r="I181" s="8298">
        <f>IF(Captura_Marimba_M01!A35="", "", SUMIFS(Captura_Obra!$F:$F, Captura_Obra!$A:$A, E181, Captura_Obra!$B:$B, F181, Captura_Obra!$D:$D, G181))</f>
        <v>20</v>
      </c>
      <c r="J181" s="8299">
        <f>IF(Captura_Marimba_M01!A35="", "", H181 - I181)</f>
        <v>0</v>
      </c>
      <c r="K181" s="3990"/>
    </row>
    <row r="182" spans="1:11">
      <c r="A182" s="8300" t="str">
        <f>IF(Captura_Marimba_M01!A36="", "", "Marimba")</f>
        <v>Marimba</v>
      </c>
      <c r="B182" s="8301" t="str">
        <f>IF(Captura_Marimba_M01!A36="", "", Captura_Marimba_M01!N36)</f>
        <v>CM-MT-24-032</v>
      </c>
      <c r="C182" s="8302" t="str">
        <f>IF(Captura_Marimba_M01!A36="", "", IFERROR(LOOKUP(2, 1/((Captura_Obra!$A$5:$A$1000=E182)*(Captura_Obra!$B$5:$B$1000=F182)*(Captura_Obra!$D$5:$D$1000=G182)), Captura_Obra!$N$5:$N$1000), "No Reportado"))</f>
        <v>CO-MT-24-039</v>
      </c>
      <c r="D182" s="8303" t="str">
        <f>IF(Captura_Marimba_M01!A36="", "", IF(J182=0, "✅ Cuadrado", IF(I182=0, "❌ Falta en Obra", "⚠️ Dif")))</f>
        <v>✅ Cuadrado</v>
      </c>
      <c r="E182" s="8304">
        <f>IF(Captura_Marimba_M01!A36="", "", Captura_Marimba_M01!A36)</f>
        <v>46184</v>
      </c>
      <c r="F182" s="8305" t="str">
        <f>IF(Captura_Marimba_M01!A36="", "", Captura_Marimba_M01!C36)</f>
        <v>México-Toluca</v>
      </c>
      <c r="G182" s="8306" t="str">
        <f>IF(Captura_Marimba_M01!A36="", "", Captura_Marimba_M01!D36)</f>
        <v>Maxilihgs</v>
      </c>
      <c r="H182" s="8307">
        <f>IF(Captura_Marimba_M01!A36="", "", Captura_Marimba_M01!G36)</f>
        <v>20</v>
      </c>
      <c r="I182" s="8308">
        <f>IF(Captura_Marimba_M01!A36="", "", SUMIFS(Captura_Obra!$F:$F, Captura_Obra!$A:$A, E182, Captura_Obra!$B:$B, F182, Captura_Obra!$D:$D, G182))</f>
        <v>20</v>
      </c>
      <c r="J182" s="8309">
        <f>IF(Captura_Marimba_M01!A36="", "", H182 - I182)</f>
        <v>0</v>
      </c>
      <c r="K182" s="3991"/>
    </row>
    <row r="183" spans="1:11">
      <c r="A183" s="8310" t="str">
        <f>IF(Captura_Marimba_M01!A37="", "", "Marimba")</f>
        <v>Marimba</v>
      </c>
      <c r="B183" s="8311" t="str">
        <f>IF(Captura_Marimba_M01!A37="", "", Captura_Marimba_M01!N37)</f>
        <v>CM-CL-24-033</v>
      </c>
      <c r="C183" s="8312" t="str">
        <f>IF(Captura_Marimba_M01!A37="", "", IFERROR(LOOKUP(2, 1/((Captura_Obra!$A$5:$A$1000=E183)*(Captura_Obra!$B$5:$B$1000=F183)*(Captura_Obra!$D$5:$D$1000=G183)), Captura_Obra!$N$5:$N$1000), "No Reportado"))</f>
        <v>CO-CL-24-049</v>
      </c>
      <c r="D183" s="8313" t="str">
        <f>IF(Captura_Marimba_M01!A37="", "", IF(J183=0, "✅ Cuadrado", IF(I183=0, "❌ Falta en Obra", "⚠️ Dif")))</f>
        <v>✅ Cuadrado</v>
      </c>
      <c r="E183" s="8314">
        <f>IF(Captura_Marimba_M01!A37="", "", Captura_Marimba_M01!A37)</f>
        <v>46185</v>
      </c>
      <c r="F183" s="8315" t="str">
        <f>IF(Captura_Marimba_M01!A37="", "", Captura_Marimba_M01!C37)</f>
        <v>Chamapa-Lechería</v>
      </c>
      <c r="G183" s="8316" t="str">
        <f>IF(Captura_Marimba_M01!A37="", "", Captura_Marimba_M01!D37)</f>
        <v>Tandem Hamm</v>
      </c>
      <c r="H183" s="8317">
        <f>IF(Captura_Marimba_M01!A37="", "", Captura_Marimba_M01!G37)</f>
        <v>32</v>
      </c>
      <c r="I183" s="8318">
        <f>IF(Captura_Marimba_M01!A37="", "", SUMIFS(Captura_Obra!$F:$F, Captura_Obra!$A:$A, E183, Captura_Obra!$B:$B, F183, Captura_Obra!$D:$D, G183))</f>
        <v>32</v>
      </c>
      <c r="J183" s="8319">
        <f>IF(Captura_Marimba_M01!A37="", "", H183 - I183)</f>
        <v>0</v>
      </c>
      <c r="K183" s="3992"/>
    </row>
    <row r="184" spans="1:11">
      <c r="A184" s="8320" t="str">
        <f>IF(Captura_Marimba_M01!A38="", "", "Marimba")</f>
        <v>Marimba</v>
      </c>
      <c r="B184" s="8321" t="str">
        <f>IF(Captura_Marimba_M01!A38="", "", Captura_Marimba_M01!N38)</f>
        <v>CM-CL-24-034</v>
      </c>
      <c r="C184" s="8322" t="str">
        <f>IF(Captura_Marimba_M01!A38="", "", IFERROR(LOOKUP(2, 1/((Captura_Obra!$A$5:$A$1000=E184)*(Captura_Obra!$B$5:$B$1000=F184)*(Captura_Obra!$D$5:$D$1000=G184)), Captura_Obra!$N$5:$N$1000), "No Reportado"))</f>
        <v>CO-CL-24-050</v>
      </c>
      <c r="D184" s="8323" t="str">
        <f>IF(Captura_Marimba_M01!A38="", "", IF(J184=0, "✅ Cuadrado", IF(I184=0, "❌ Falta en Obra", "⚠️ Dif")))</f>
        <v>✅ Cuadrado</v>
      </c>
      <c r="E184" s="8324">
        <f>IF(Captura_Marimba_M01!A38="", "", Captura_Marimba_M01!A38)</f>
        <v>46185</v>
      </c>
      <c r="F184" s="8325" t="str">
        <f>IF(Captura_Marimba_M01!A38="", "", Captura_Marimba_M01!C38)</f>
        <v>Chamapa-Lechería</v>
      </c>
      <c r="G184" s="8326" t="str">
        <f>IF(Captura_Marimba_M01!A38="", "", Captura_Marimba_M01!D38)</f>
        <v>Neuomatico Dynapac</v>
      </c>
      <c r="H184" s="8327">
        <f>IF(Captura_Marimba_M01!A38="", "", Captura_Marimba_M01!G38)</f>
        <v>30</v>
      </c>
      <c r="I184" s="8328">
        <f>IF(Captura_Marimba_M01!A38="", "", SUMIFS(Captura_Obra!$F:$F, Captura_Obra!$A:$A, E184, Captura_Obra!$B:$B, F184, Captura_Obra!$D:$D, G184))</f>
        <v>30</v>
      </c>
      <c r="J184" s="8329">
        <f>IF(Captura_Marimba_M01!A38="", "", H184 - I184)</f>
        <v>0</v>
      </c>
      <c r="K184" s="3993"/>
    </row>
    <row r="185" spans="1:11">
      <c r="A185" s="8330" t="str">
        <f>IF(Captura_Marimba_M01!A39="", "", "Marimba")</f>
        <v>Marimba</v>
      </c>
      <c r="B185" s="8331" t="str">
        <f>IF(Captura_Marimba_M01!A39="", "", Captura_Marimba_M01!N39)</f>
        <v>CM-CL-24-035</v>
      </c>
      <c r="C185" s="8332" t="str">
        <f>IF(Captura_Marimba_M01!A39="", "", IFERROR(LOOKUP(2, 1/((Captura_Obra!$A$5:$A$1000=E185)*(Captura_Obra!$B$5:$B$1000=F185)*(Captura_Obra!$D$5:$D$1000=G185)), Captura_Obra!$N$5:$N$1000), "No Reportado"))</f>
        <v>CO-CL-24-051</v>
      </c>
      <c r="D185" s="8333" t="str">
        <f>IF(Captura_Marimba_M01!A39="", "", IF(J185=0, "✅ Cuadrado", IF(I185=0, "❌ Falta en Obra", "⚠️ Dif")))</f>
        <v>✅ Cuadrado</v>
      </c>
      <c r="E185" s="8334">
        <f>IF(Captura_Marimba_M01!A39="", "", Captura_Marimba_M01!A39)</f>
        <v>46185</v>
      </c>
      <c r="F185" s="8335" t="str">
        <f>IF(Captura_Marimba_M01!A39="", "", Captura_Marimba_M01!C39)</f>
        <v>Chamapa-Lechería</v>
      </c>
      <c r="G185" s="8336" t="str">
        <f>IF(Captura_Marimba_M01!A39="", "", Captura_Marimba_M01!D39)</f>
        <v>Barredora Broce</v>
      </c>
      <c r="H185" s="8337">
        <f>IF(Captura_Marimba_M01!A39="", "", Captura_Marimba_M01!G39)</f>
        <v>30</v>
      </c>
      <c r="I185" s="8338">
        <f>IF(Captura_Marimba_M01!A39="", "", SUMIFS(Captura_Obra!$F:$F, Captura_Obra!$A:$A, E185, Captura_Obra!$B:$B, F185, Captura_Obra!$D:$D, G185))</f>
        <v>30</v>
      </c>
      <c r="J185" s="8339">
        <f>IF(Captura_Marimba_M01!A39="", "", H185 - I185)</f>
        <v>0</v>
      </c>
      <c r="K185" s="3994"/>
    </row>
    <row r="186" spans="1:11">
      <c r="A186" s="8340" t="str">
        <f>IF(Captura_Marimba_M01!A40="", "", "Marimba")</f>
        <v>Marimba</v>
      </c>
      <c r="B186" s="8341" t="str">
        <f>IF(Captura_Marimba_M01!A40="", "", Captura_Marimba_M01!N40)</f>
        <v>CM-CL-24-036</v>
      </c>
      <c r="C186" s="8342" t="str">
        <f>IF(Captura_Marimba_M01!A40="", "", IFERROR(LOOKUP(2, 1/((Captura_Obra!$A$5:$A$1000=E186)*(Captura_Obra!$B$5:$B$1000=F186)*(Captura_Obra!$D$5:$D$1000=G186)), Captura_Obra!$N$5:$N$1000), "No Reportado"))</f>
        <v>CO-CL-24-052</v>
      </c>
      <c r="D186" s="8343" t="str">
        <f>IF(Captura_Marimba_M01!A40="", "", IF(J186=0, "✅ Cuadrado", IF(I186=0, "❌ Falta en Obra", "⚠️ Dif")))</f>
        <v>✅ Cuadrado</v>
      </c>
      <c r="E186" s="8344">
        <f>IF(Captura_Marimba_M01!A40="", "", Captura_Marimba_M01!A40)</f>
        <v>46185</v>
      </c>
      <c r="F186" s="8345" t="str">
        <f>IF(Captura_Marimba_M01!A40="", "", Captura_Marimba_M01!C40)</f>
        <v>Chamapa-Lechería</v>
      </c>
      <c r="G186" s="8346" t="str">
        <f>IF(Captura_Marimba_M01!A40="", "", Captura_Marimba_M01!D40)</f>
        <v>Retroexcavadora Jonh Deere</v>
      </c>
      <c r="H186" s="8347">
        <f>IF(Captura_Marimba_M01!A40="", "", Captura_Marimba_M01!G40)</f>
        <v>50</v>
      </c>
      <c r="I186" s="8348">
        <f>IF(Captura_Marimba_M01!A40="", "", SUMIFS(Captura_Obra!$F:$F, Captura_Obra!$A:$A, E186, Captura_Obra!$B:$B, F186, Captura_Obra!$D:$D, G186))</f>
        <v>50</v>
      </c>
      <c r="J186" s="8349">
        <f>IF(Captura_Marimba_M01!A40="", "", H186 - I186)</f>
        <v>0</v>
      </c>
      <c r="K186" s="3995"/>
    </row>
    <row r="187" spans="1:11">
      <c r="A187" s="8350" t="str">
        <f>IF(Captura_Marimba_M01!A41="", "", "Marimba")</f>
        <v>Marimba</v>
      </c>
      <c r="B187" s="8351" t="str">
        <f>IF(Captura_Marimba_M01!A41="", "", Captura_Marimba_M01!N41)</f>
        <v>CM-CL-24-037</v>
      </c>
      <c r="C187" s="8352" t="str">
        <f>IF(Captura_Marimba_M01!A41="", "", IFERROR(LOOKUP(2, 1/((Captura_Obra!$A$5:$A$1000=E187)*(Captura_Obra!$B$5:$B$1000=F187)*(Captura_Obra!$D$5:$D$1000=G187)), Captura_Obra!$N$5:$N$1000), "No Reportado"))</f>
        <v>CO-CL-24-053</v>
      </c>
      <c r="D187" s="8353" t="str">
        <f>IF(Captura_Marimba_M01!A41="", "", IF(J187=0, "✅ Cuadrado", IF(I187=0, "❌ Falta en Obra", "⚠️ Dif")))</f>
        <v>✅ Cuadrado</v>
      </c>
      <c r="E187" s="8354">
        <f>IF(Captura_Marimba_M01!A41="", "", Captura_Marimba_M01!A41)</f>
        <v>46185</v>
      </c>
      <c r="F187" s="8355" t="str">
        <f>IF(Captura_Marimba_M01!A41="", "", Captura_Marimba_M01!C41)</f>
        <v>Chamapa-Lechería</v>
      </c>
      <c r="G187" s="8356" t="str">
        <f>IF(Captura_Marimba_M01!A41="", "", Captura_Marimba_M01!D41)</f>
        <v>Vogele Guion</v>
      </c>
      <c r="H187" s="8357">
        <f>IF(Captura_Marimba_M01!A41="", "", Captura_Marimba_M01!G41)</f>
        <v>120</v>
      </c>
      <c r="I187" s="8358">
        <f>IF(Captura_Marimba_M01!A41="", "", SUMIFS(Captura_Obra!$F:$F, Captura_Obra!$A:$A, E187, Captura_Obra!$B:$B, F187, Captura_Obra!$D:$D, G187))</f>
        <v>120</v>
      </c>
      <c r="J187" s="8359">
        <f>IF(Captura_Marimba_M01!A41="", "", H187 - I187)</f>
        <v>0</v>
      </c>
      <c r="K187" s="3996"/>
    </row>
    <row r="188" spans="1:11">
      <c r="A188" s="8360" t="str">
        <f>IF(Captura_Marimba_M01!A42="", "", "Marimba")</f>
        <v>Marimba</v>
      </c>
      <c r="B188" s="8361" t="str">
        <f>IF(Captura_Marimba_M01!A42="", "", Captura_Marimba_M01!N42)</f>
        <v>CM-CL-24-038</v>
      </c>
      <c r="C188" s="8362" t="str">
        <f>IF(Captura_Marimba_M01!A42="", "", IFERROR(LOOKUP(2, 1/((Captura_Obra!$A$5:$A$1000=E188)*(Captura_Obra!$B$5:$B$1000=F188)*(Captura_Obra!$D$5:$D$1000=G188)), Captura_Obra!$N$5:$N$1000), "No Reportado"))</f>
        <v>CO-CL-24-054</v>
      </c>
      <c r="D188" s="8363" t="str">
        <f>IF(Captura_Marimba_M01!A42="", "", IF(J188=0, "✅ Cuadrado", IF(I188=0, "❌ Falta en Obra", "⚠️ Dif")))</f>
        <v>✅ Cuadrado</v>
      </c>
      <c r="E188" s="8364">
        <f>IF(Captura_Marimba_M01!A42="", "", Captura_Marimba_M01!A42)</f>
        <v>46185</v>
      </c>
      <c r="F188" s="8365" t="str">
        <f>IF(Captura_Marimba_M01!A42="", "", Captura_Marimba_M01!C42)</f>
        <v>Chamapa-Lechería</v>
      </c>
      <c r="G188" s="8366" t="str">
        <f>IF(Captura_Marimba_M01!A42="", "", Captura_Marimba_M01!D42)</f>
        <v>Petrolizadora Elton</v>
      </c>
      <c r="H188" s="8367">
        <f>IF(Captura_Marimba_M01!A42="", "", Captura_Marimba_M01!G42)</f>
        <v>40</v>
      </c>
      <c r="I188" s="8368">
        <f>IF(Captura_Marimba_M01!A42="", "", SUMIFS(Captura_Obra!$F:$F, Captura_Obra!$A:$A, E188, Captura_Obra!$B:$B, F188, Captura_Obra!$D:$D, G188))</f>
        <v>40</v>
      </c>
      <c r="J188" s="8369">
        <f>IF(Captura_Marimba_M01!A42="", "", H188 - I188)</f>
        <v>0</v>
      </c>
      <c r="K188" s="3997"/>
    </row>
    <row r="189" spans="1:11">
      <c r="A189" s="8370" t="str">
        <f>IF(Captura_Marimba_M01!A43="", "", "Marimba")</f>
        <v>Marimba</v>
      </c>
      <c r="B189" s="8371" t="str">
        <f>IF(Captura_Marimba_M01!A43="", "", Captura_Marimba_M01!N43)</f>
        <v>CM-CL-24-039</v>
      </c>
      <c r="C189" s="8372" t="str">
        <f>IF(Captura_Marimba_M01!A43="", "", IFERROR(LOOKUP(2, 1/((Captura_Obra!$A$5:$A$1000=E189)*(Captura_Obra!$B$5:$B$1000=F189)*(Captura_Obra!$D$5:$D$1000=G189)), Captura_Obra!$N$5:$N$1000), "No Reportado"))</f>
        <v>CO-CL-24-055</v>
      </c>
      <c r="D189" s="8373" t="str">
        <f>IF(Captura_Marimba_M01!A43="", "", IF(J189=0, "✅ Cuadrado", IF(I189=0, "❌ Falta en Obra", "⚠️ Dif")))</f>
        <v>✅ Cuadrado</v>
      </c>
      <c r="E189" s="8374">
        <f>IF(Captura_Marimba_M01!A43="", "", Captura_Marimba_M01!A43)</f>
        <v>46185</v>
      </c>
      <c r="F189" s="8375" t="str">
        <f>IF(Captura_Marimba_M01!A43="", "", Captura_Marimba_M01!C43)</f>
        <v>Chamapa-Lechería</v>
      </c>
      <c r="G189" s="8376" t="str">
        <f>IF(Captura_Marimba_M01!A43="", "", Captura_Marimba_M01!D43)</f>
        <v>Perfiladora Wirgent</v>
      </c>
      <c r="H189" s="8377">
        <f>IF(Captura_Marimba_M01!A43="", "", Captura_Marimba_M01!G43)</f>
        <v>200</v>
      </c>
      <c r="I189" s="8378">
        <f>IF(Captura_Marimba_M01!A43="", "", SUMIFS(Captura_Obra!$F:$F, Captura_Obra!$A:$A, E189, Captura_Obra!$B:$B, F189, Captura_Obra!$D:$D, G189))</f>
        <v>200</v>
      </c>
      <c r="J189" s="8379">
        <f>IF(Captura_Marimba_M01!A43="", "", H189 - I189)</f>
        <v>0</v>
      </c>
      <c r="K189" s="3998"/>
    </row>
    <row r="190" spans="1:11">
      <c r="A190" s="8380" t="str">
        <f>IF(Captura_Marimba_M01!A44="", "", "Marimba")</f>
        <v>Marimba</v>
      </c>
      <c r="B190" s="8381" t="str">
        <f>IF(Captura_Marimba_M01!A44="", "", Captura_Marimba_M01!N44)</f>
        <v>CM-MT-24-040</v>
      </c>
      <c r="C190" s="8382" t="str">
        <f>IF(Captura_Marimba_M01!A44="", "", IFERROR(LOOKUP(2, 1/((Captura_Obra!$A$5:$A$1000=E190)*(Captura_Obra!$B$5:$B$1000=F190)*(Captura_Obra!$D$5:$D$1000=G190)), Captura_Obra!$N$5:$N$1000), "No Reportado"))</f>
        <v>CO-MT-24-056</v>
      </c>
      <c r="D190" s="8383" t="str">
        <f>IF(Captura_Marimba_M01!A44="", "", IF(J190=0, "✅ Cuadrado", IF(I190=0, "❌ Falta en Obra", "⚠️ Dif")))</f>
        <v>✅ Cuadrado</v>
      </c>
      <c r="E190" s="8384">
        <f>IF(Captura_Marimba_M01!A44="", "", Captura_Marimba_M01!A44)</f>
        <v>46185</v>
      </c>
      <c r="F190" s="8385" t="str">
        <f>IF(Captura_Marimba_M01!A44="", "", Captura_Marimba_M01!C44)</f>
        <v>México-Toluca</v>
      </c>
      <c r="G190" s="8386" t="str">
        <f>IF(Captura_Marimba_M01!A44="", "", Captura_Marimba_M01!D44)</f>
        <v>Barredora</v>
      </c>
      <c r="H190" s="8387">
        <f>IF(Captura_Marimba_M01!A44="", "", Captura_Marimba_M01!G44)</f>
        <v>20</v>
      </c>
      <c r="I190" s="8388">
        <f>IF(Captura_Marimba_M01!A44="", "", SUMIFS(Captura_Obra!$F:$F, Captura_Obra!$A:$A, E190, Captura_Obra!$B:$B, F190, Captura_Obra!$D:$D, G190))</f>
        <v>20</v>
      </c>
      <c r="J190" s="8389">
        <f>IF(Captura_Marimba_M01!A44="", "", H190 - I190)</f>
        <v>0</v>
      </c>
      <c r="K190" s="3999"/>
    </row>
    <row r="191" spans="1:11">
      <c r="A191" s="8390" t="str">
        <f>IF(Captura_Marimba_M01!A45="", "", "Marimba")</f>
        <v>Marimba</v>
      </c>
      <c r="B191" s="8391" t="str">
        <f>IF(Captura_Marimba_M01!A45="", "", Captura_Marimba_M01!N45)</f>
        <v>CM-MT-24-041</v>
      </c>
      <c r="C191" s="8392" t="str">
        <f>IF(Captura_Marimba_M01!A45="", "", IFERROR(LOOKUP(2, 1/((Captura_Obra!$A$5:$A$1000=E191)*(Captura_Obra!$B$5:$B$1000=F191)*(Captura_Obra!$D$5:$D$1000=G191)), Captura_Obra!$N$5:$N$1000), "No Reportado"))</f>
        <v>CO-MT-24-057</v>
      </c>
      <c r="D191" s="8393" t="str">
        <f>IF(Captura_Marimba_M01!A45="", "", IF(J191=0, "✅ Cuadrado", IF(I191=0, "❌ Falta en Obra", "⚠️ Dif")))</f>
        <v>✅ Cuadrado</v>
      </c>
      <c r="E191" s="8394">
        <f>IF(Captura_Marimba_M01!A45="", "", Captura_Marimba_M01!A45)</f>
        <v>46185</v>
      </c>
      <c r="F191" s="8395" t="str">
        <f>IF(Captura_Marimba_M01!A45="", "", Captura_Marimba_M01!C45)</f>
        <v>México-Toluca</v>
      </c>
      <c r="G191" s="8396" t="str">
        <f>IF(Captura_Marimba_M01!A45="", "", Captura_Marimba_M01!D45)</f>
        <v>Neuomatico</v>
      </c>
      <c r="H191" s="8397">
        <f>IF(Captura_Marimba_M01!A45="", "", Captura_Marimba_M01!G45)</f>
        <v>30</v>
      </c>
      <c r="I191" s="8398">
        <f>IF(Captura_Marimba_M01!A45="", "", SUMIFS(Captura_Obra!$F:$F, Captura_Obra!$A:$A, E191, Captura_Obra!$B:$B, F191, Captura_Obra!$D:$D, G191))</f>
        <v>30</v>
      </c>
      <c r="J191" s="8399">
        <f>IF(Captura_Marimba_M01!A45="", "", H191 - I191)</f>
        <v>0</v>
      </c>
      <c r="K191" s="4000"/>
    </row>
    <row r="192" spans="1:11">
      <c r="A192" s="8400" t="str">
        <f>IF(Captura_Marimba_M01!A46="", "", "Marimba")</f>
        <v>Marimba</v>
      </c>
      <c r="B192" s="8401" t="str">
        <f>IF(Captura_Marimba_M01!A46="", "", Captura_Marimba_M01!N46)</f>
        <v>CM-MT-24-042</v>
      </c>
      <c r="C192" s="8402" t="str">
        <f>IF(Captura_Marimba_M01!A46="", "", IFERROR(LOOKUP(2, 1/((Captura_Obra!$A$5:$A$1000=E192)*(Captura_Obra!$B$5:$B$1000=F192)*(Captura_Obra!$D$5:$D$1000=G192)), Captura_Obra!$N$5:$N$1000), "No Reportado"))</f>
        <v>CO-MT-24-058</v>
      </c>
      <c r="D192" s="8403" t="str">
        <f>IF(Captura_Marimba_M01!A46="", "", IF(J192=0, "✅ Cuadrado", IF(I192=0, "❌ Falta en Obra", "⚠️ Dif")))</f>
        <v>✅ Cuadrado</v>
      </c>
      <c r="E192" s="8404">
        <f>IF(Captura_Marimba_M01!A46="", "", Captura_Marimba_M01!A46)</f>
        <v>46185</v>
      </c>
      <c r="F192" s="8405" t="str">
        <f>IF(Captura_Marimba_M01!A46="", "", Captura_Marimba_M01!C46)</f>
        <v>México-Toluca</v>
      </c>
      <c r="G192" s="8406" t="str">
        <f>IF(Captura_Marimba_M01!A46="", "", Captura_Marimba_M01!D46)</f>
        <v>Maxilihgs</v>
      </c>
      <c r="H192" s="8407">
        <f>IF(Captura_Marimba_M01!A46="", "", Captura_Marimba_M01!G46)</f>
        <v>20</v>
      </c>
      <c r="I192" s="8408">
        <f>IF(Captura_Marimba_M01!A46="", "", SUMIFS(Captura_Obra!$F:$F, Captura_Obra!$A:$A, E192, Captura_Obra!$B:$B, F192, Captura_Obra!$D:$D, G192))</f>
        <v>20</v>
      </c>
      <c r="J192" s="8409">
        <f>IF(Captura_Marimba_M01!A46="", "", H192 - I192)</f>
        <v>0</v>
      </c>
      <c r="K192" s="4001"/>
    </row>
    <row r="193" spans="1:11">
      <c r="A193" s="8410" t="str">
        <f>IF(Captura_Marimba_M01!A47="", "", "Marimba")</f>
        <v>Marimba</v>
      </c>
      <c r="B193" s="8411" t="str">
        <f>IF(Captura_Marimba_M01!A47="", "", Captura_Marimba_M01!N47)</f>
        <v>CM-MT-24-043</v>
      </c>
      <c r="C193" s="8412" t="str">
        <f>IF(Captura_Marimba_M01!A47="", "", IFERROR(LOOKUP(2, 1/((Captura_Obra!$A$5:$A$1000=E193)*(Captura_Obra!$B$5:$B$1000=F193)*(Captura_Obra!$D$5:$D$1000=G193)), Captura_Obra!$N$5:$N$1000), "No Reportado"))</f>
        <v>CO-MT-24-059</v>
      </c>
      <c r="D193" s="8413" t="str">
        <f>IF(Captura_Marimba_M01!A47="", "", IF(J193=0, "✅ Cuadrado", IF(I193=0, "❌ Falta en Obra", "⚠️ Dif")))</f>
        <v>✅ Cuadrado</v>
      </c>
      <c r="E193" s="8414">
        <f>IF(Captura_Marimba_M01!A47="", "", Captura_Marimba_M01!A47)</f>
        <v>46185</v>
      </c>
      <c r="F193" s="8415" t="str">
        <f>IF(Captura_Marimba_M01!A47="", "", Captura_Marimba_M01!C47)</f>
        <v>México-Toluca</v>
      </c>
      <c r="G193" s="8416" t="str">
        <f>IF(Captura_Marimba_M01!A47="", "", Captura_Marimba_M01!D47)</f>
        <v>Compactador</v>
      </c>
      <c r="H193" s="8417">
        <f>IF(Captura_Marimba_M01!A47="", "", Captura_Marimba_M01!G47)</f>
        <v>40</v>
      </c>
      <c r="I193" s="8418">
        <f>IF(Captura_Marimba_M01!A47="", "", SUMIFS(Captura_Obra!$F:$F, Captura_Obra!$A:$A, E193, Captura_Obra!$B:$B, F193, Captura_Obra!$D:$D, G193))</f>
        <v>40</v>
      </c>
      <c r="J193" s="8419">
        <f>IF(Captura_Marimba_M01!A47="", "", H193 - I193)</f>
        <v>0</v>
      </c>
      <c r="K193" s="4002"/>
    </row>
    <row r="194" spans="1:11">
      <c r="A194" s="8420" t="str">
        <f>IF(Captura_Marimba_M01!A48="", "", "Marimba")</f>
        <v>Marimba</v>
      </c>
      <c r="B194" s="8421" t="str">
        <f>IF(Captura_Marimba_M01!A48="", "", Captura_Marimba_M01!N48)</f>
        <v>CM-MT-24-044</v>
      </c>
      <c r="C194" s="8422" t="str">
        <f>IF(Captura_Marimba_M01!A48="", "", IFERROR(LOOKUP(2, 1/((Captura_Obra!$A$5:$A$1000=E194)*(Captura_Obra!$B$5:$B$1000=F194)*(Captura_Obra!$D$5:$D$1000=G194)), Captura_Obra!$N$5:$N$1000), "No Reportado"))</f>
        <v>CO-MT-24-060</v>
      </c>
      <c r="D194" s="8423" t="str">
        <f>IF(Captura_Marimba_M01!A48="", "", IF(J194=0, "✅ Cuadrado", IF(I194=0, "❌ Falta en Obra", "⚠️ Dif")))</f>
        <v>✅ Cuadrado</v>
      </c>
      <c r="E194" s="8424">
        <f>IF(Captura_Marimba_M01!A48="", "", Captura_Marimba_M01!A48)</f>
        <v>46185</v>
      </c>
      <c r="F194" s="8425" t="str">
        <f>IF(Captura_Marimba_M01!A48="", "", Captura_Marimba_M01!C48)</f>
        <v>México-Toluca</v>
      </c>
      <c r="G194" s="8426" t="str">
        <f>IF(Captura_Marimba_M01!A48="", "", Captura_Marimba_M01!D48)</f>
        <v>Perfiladora</v>
      </c>
      <c r="H194" s="8427">
        <f>IF(Captura_Marimba_M01!A48="", "", Captura_Marimba_M01!G48)</f>
        <v>250</v>
      </c>
      <c r="I194" s="8428">
        <f>IF(Captura_Marimba_M01!A48="", "", SUMIFS(Captura_Obra!$F:$F, Captura_Obra!$A:$A, E194, Captura_Obra!$B:$B, F194, Captura_Obra!$D:$D, G194))</f>
        <v>250</v>
      </c>
      <c r="J194" s="8429">
        <f>IF(Captura_Marimba_M01!A48="", "", H194 - I194)</f>
        <v>0</v>
      </c>
      <c r="K194" s="4003"/>
    </row>
    <row r="195" spans="1:11">
      <c r="A195" s="8430" t="str">
        <f>IF(Captura_Marimba_M01!A49="", "", "Marimba")</f>
        <v>Marimba</v>
      </c>
      <c r="B195" s="8431" t="str">
        <f>IF(Captura_Marimba_M01!A49="", "", Captura_Marimba_M01!N49)</f>
        <v>CM-NA-25-045</v>
      </c>
      <c r="C195" s="8432" t="str">
        <f>IF(Captura_Marimba_M01!A49="", "", IFERROR(LOOKUP(2, 1/((Captura_Obra!$A$5:$A$1000=E195)*(Captura_Obra!$B$5:$B$1000=F195)*(Captura_Obra!$D$5:$D$1000=G195)), Captura_Obra!$N$5:$N$1000), "No Reportado"))</f>
        <v>No Reportado</v>
      </c>
      <c r="D195" s="8433" t="str">
        <f>IF(Captura_Marimba_M01!A49="", "", IF(J195=0, "✅ Cuadrado", IF(I195=0, "❌ Falta en Obra", "⚠️ Dif")))</f>
        <v>✅ Cuadrado</v>
      </c>
      <c r="E195" s="8434">
        <f>IF(Captura_Marimba_M01!A49="", "", Captura_Marimba_M01!A49)</f>
        <v>46188</v>
      </c>
      <c r="F195" s="8435" t="str">
        <f>IF(Captura_Marimba_M01!A49="", "", Captura_Marimba_M01!C49)</f>
        <v>No aplica</v>
      </c>
      <c r="G195" s="8436" t="str">
        <f>IF(Captura_Marimba_M01!A49="", "", Captura_Marimba_M01!D49)</f>
        <v>MARIMBA</v>
      </c>
      <c r="H195" s="8437">
        <f>IF(Captura_Marimba_M01!A49="", "", Captura_Marimba_M01!G49)</f>
        <v>0</v>
      </c>
      <c r="I195" s="8438">
        <f>IF(Captura_Marimba_M01!A49="", "", SUMIFS(Captura_Obra!$F:$F, Captura_Obra!$A:$A, E195, Captura_Obra!$B:$B, F195, Captura_Obra!$D:$D, G195))</f>
        <v>0</v>
      </c>
      <c r="J195" s="8439">
        <f>IF(Captura_Marimba_M01!A49="", "", H195 - I195)</f>
        <v>0</v>
      </c>
      <c r="K195" s="4004"/>
    </row>
    <row r="196" spans="1:11">
      <c r="A196" s="8440" t="str">
        <f>IF(Captura_Marimba_M01!A50="", "", "Marimba")</f>
        <v>Marimba</v>
      </c>
      <c r="B196" s="8441" t="str">
        <f>IF(Captura_Marimba_M01!A50="", "", Captura_Marimba_M01!N50)</f>
        <v>CM-MT-25-046</v>
      </c>
      <c r="C196" s="8442" t="str">
        <f>IF(Captura_Marimba_M01!A50="", "", IFERROR(LOOKUP(2, 1/((Captura_Obra!$A$5:$A$1000=E196)*(Captura_Obra!$B$5:$B$1000=F196)*(Captura_Obra!$D$5:$D$1000=G196)), Captura_Obra!$N$5:$N$1000), "No Reportado"))</f>
        <v>CO-MT-25-061</v>
      </c>
      <c r="D196" s="8443" t="str">
        <f>IF(Captura_Marimba_M01!A50="", "", IF(J196=0, "✅ Cuadrado", IF(I196=0, "❌ Falta en Obra", "⚠️ Dif")))</f>
        <v>✅ Cuadrado</v>
      </c>
      <c r="E196" s="8444">
        <f>IF(Captura_Marimba_M01!A50="", "", Captura_Marimba_M01!A50)</f>
        <v>46188</v>
      </c>
      <c r="F196" s="8445" t="str">
        <f>IF(Captura_Marimba_M01!A50="", "", Captura_Marimba_M01!C50)</f>
        <v>México-Toluca</v>
      </c>
      <c r="G196" s="8446" t="str">
        <f>IF(Captura_Marimba_M01!A50="", "", Captura_Marimba_M01!D50)</f>
        <v>PERFILADORA WIRGENT-W200i</v>
      </c>
      <c r="H196" s="8447">
        <f>IF(Captura_Marimba_M01!A50="", "", Captura_Marimba_M01!G50)</f>
        <v>200</v>
      </c>
      <c r="I196" s="8448">
        <f>IF(Captura_Marimba_M01!A50="", "", SUMIFS(Captura_Obra!$F:$F, Captura_Obra!$A:$A, E196, Captura_Obra!$B:$B, F196, Captura_Obra!$D:$D, G196))</f>
        <v>200</v>
      </c>
      <c r="J196" s="8449">
        <f>IF(Captura_Marimba_M01!A50="", "", H196 - I196)</f>
        <v>0</v>
      </c>
      <c r="K196" s="4005"/>
    </row>
    <row r="197" spans="1:11">
      <c r="A197" s="8450" t="str">
        <f>IF(Captura_Marimba_M01!A51="", "", "Marimba")</f>
        <v>Marimba</v>
      </c>
      <c r="B197" s="8451" t="str">
        <f>IF(Captura_Marimba_M01!A51="", "", Captura_Marimba_M01!N51)</f>
        <v>CM-MT-25-047</v>
      </c>
      <c r="C197" s="8452" t="str">
        <f>IF(Captura_Marimba_M01!A51="", "", IFERROR(LOOKUP(2, 1/((Captura_Obra!$A$5:$A$1000=E197)*(Captura_Obra!$B$5:$B$1000=F197)*(Captura_Obra!$D$5:$D$1000=G197)), Captura_Obra!$N$5:$N$1000), "No Reportado"))</f>
        <v>CO-MT-25-062</v>
      </c>
      <c r="D197" s="8453" t="str">
        <f>IF(Captura_Marimba_M01!A51="", "", IF(J197=0, "✅ Cuadrado", IF(I197=0, "❌ Falta en Obra", "⚠️ Dif")))</f>
        <v>✅ Cuadrado</v>
      </c>
      <c r="E197" s="8454">
        <f>IF(Captura_Marimba_M01!A51="", "", Captura_Marimba_M01!A51)</f>
        <v>46188</v>
      </c>
      <c r="F197" s="8455" t="str">
        <f>IF(Captura_Marimba_M01!A51="", "", Captura_Marimba_M01!C51)</f>
        <v>México-Toluca</v>
      </c>
      <c r="G197" s="8456" t="str">
        <f>IF(Captura_Marimba_M01!A51="", "", Captura_Marimba_M01!D51)</f>
        <v>RETROEXCAVADORA JHONDEREE 310SK</v>
      </c>
      <c r="H197" s="8457">
        <f>IF(Captura_Marimba_M01!A51="", "", Captura_Marimba_M01!G51)</f>
        <v>40</v>
      </c>
      <c r="I197" s="8458">
        <f>IF(Captura_Marimba_M01!A51="", "", SUMIFS(Captura_Obra!$F:$F, Captura_Obra!$A:$A, E197, Captura_Obra!$B:$B, F197, Captura_Obra!$D:$D, G197))</f>
        <v>40</v>
      </c>
      <c r="J197" s="8459">
        <f>IF(Captura_Marimba_M01!A51="", "", H197 - I197)</f>
        <v>0</v>
      </c>
      <c r="K197" s="4006"/>
    </row>
    <row r="198" spans="1:11">
      <c r="A198" s="8460" t="str">
        <f>IF(Captura_Marimba_M01!A52="", "", "Marimba")</f>
        <v>Marimba</v>
      </c>
      <c r="B198" s="8461" t="str">
        <f>IF(Captura_Marimba_M01!A52="", "", Captura_Marimba_M01!N52)</f>
        <v>CM-MT-25-048</v>
      </c>
      <c r="C198" s="8462" t="str">
        <f>IF(Captura_Marimba_M01!A52="", "", IFERROR(LOOKUP(2, 1/((Captura_Obra!$A$5:$A$1000=E198)*(Captura_Obra!$B$5:$B$1000=F198)*(Captura_Obra!$D$5:$D$1000=G198)), Captura_Obra!$N$5:$N$1000), "No Reportado"))</f>
        <v>CO-MT-25-063</v>
      </c>
      <c r="D198" s="8463" t="str">
        <f>IF(Captura_Marimba_M01!A52="", "", IF(J198=0, "✅ Cuadrado", IF(I198=0, "❌ Falta en Obra", "⚠️ Dif")))</f>
        <v>✅ Cuadrado</v>
      </c>
      <c r="E198" s="8464">
        <f>IF(Captura_Marimba_M01!A52="", "", Captura_Marimba_M01!A52)</f>
        <v>46188</v>
      </c>
      <c r="F198" s="8465" t="str">
        <f>IF(Captura_Marimba_M01!A52="", "", Captura_Marimba_M01!C52)</f>
        <v>México-Toluca</v>
      </c>
      <c r="G198" s="8466" t="str">
        <f>IF(Captura_Marimba_M01!A52="", "", Captura_Marimba_M01!D52)</f>
        <v>TANDEM DOBLE RODILLO / VIBROCOMPACTOR RODILLO CAT CB54</v>
      </c>
      <c r="H198" s="8467">
        <f>IF(Captura_Marimba_M01!A52="", "", Captura_Marimba_M01!G52)</f>
        <v>30</v>
      </c>
      <c r="I198" s="8468">
        <f>IF(Captura_Marimba_M01!A52="", "", SUMIFS(Captura_Obra!$F:$F, Captura_Obra!$A:$A, E198, Captura_Obra!$B:$B, F198, Captura_Obra!$D:$D, G198))</f>
        <v>30</v>
      </c>
      <c r="J198" s="8469">
        <f>IF(Captura_Marimba_M01!A52="", "", H198 - I198)</f>
        <v>0</v>
      </c>
      <c r="K198" s="4007"/>
    </row>
    <row r="199" spans="1:11">
      <c r="A199" s="8470" t="str">
        <f>IF(Captura_Marimba_M01!A53="", "", "Marimba")</f>
        <v>Marimba</v>
      </c>
      <c r="B199" s="8471" t="str">
        <f>IF(Captura_Marimba_M01!A53="", "", Captura_Marimba_M01!N53)</f>
        <v>CM-MT-25-049</v>
      </c>
      <c r="C199" s="8472" t="str">
        <f>IF(Captura_Marimba_M01!A53="", "", IFERROR(LOOKUP(2, 1/((Captura_Obra!$A$5:$A$1000=E199)*(Captura_Obra!$B$5:$B$1000=F199)*(Captura_Obra!$D$5:$D$1000=G199)), Captura_Obra!$N$5:$N$1000), "No Reportado"))</f>
        <v>CO-MT-25-064</v>
      </c>
      <c r="D199" s="8473" t="str">
        <f>IF(Captura_Marimba_M01!A53="", "", IF(J199=0, "✅ Cuadrado", IF(I199=0, "❌ Falta en Obra", "⚠️ Dif")))</f>
        <v>✅ Cuadrado</v>
      </c>
      <c r="E199" s="8474">
        <f>IF(Captura_Marimba_M01!A53="", "", Captura_Marimba_M01!A53)</f>
        <v>46188</v>
      </c>
      <c r="F199" s="8475" t="str">
        <f>IF(Captura_Marimba_M01!A53="", "", Captura_Marimba_M01!C53)</f>
        <v>México-Toluca</v>
      </c>
      <c r="G199" s="8476" t="str">
        <f>IF(Captura_Marimba_M01!A53="", "", Captura_Marimba_M01!D53)</f>
        <v>NEUMATICO VOLVO PT-240R</v>
      </c>
      <c r="H199" s="8477">
        <f>IF(Captura_Marimba_M01!A53="", "", Captura_Marimba_M01!G53)</f>
        <v>50</v>
      </c>
      <c r="I199" s="8478">
        <f>IF(Captura_Marimba_M01!A53="", "", SUMIFS(Captura_Obra!$F:$F, Captura_Obra!$A:$A, E199, Captura_Obra!$B:$B, F199, Captura_Obra!$D:$D, G199))</f>
        <v>50</v>
      </c>
      <c r="J199" s="8479">
        <f>IF(Captura_Marimba_M01!A53="", "", H199 - I199)</f>
        <v>0</v>
      </c>
      <c r="K199" s="4008"/>
    </row>
    <row r="200" spans="1:11">
      <c r="A200" s="8480" t="str">
        <f>IF(Captura_Marimba_M01!A54="", "", "Marimba")</f>
        <v>Marimba</v>
      </c>
      <c r="B200" s="8481" t="str">
        <f>IF(Captura_Marimba_M01!A54="", "", Captura_Marimba_M01!N54)</f>
        <v>CM-MT-25-050</v>
      </c>
      <c r="C200" s="8482" t="str">
        <f>IF(Captura_Marimba_M01!A54="", "", IFERROR(LOOKUP(2, 1/((Captura_Obra!$A$5:$A$1000=E200)*(Captura_Obra!$B$5:$B$1000=F200)*(Captura_Obra!$D$5:$D$1000=G200)), Captura_Obra!$N$5:$N$1000), "No Reportado"))</f>
        <v>CO-MT-25-066</v>
      </c>
      <c r="D200" s="8483" t="str">
        <f>IF(Captura_Marimba_M01!A54="", "", IF(J200=0, "✅ Cuadrado", IF(I200=0, "❌ Falta en Obra", "⚠️ Dif")))</f>
        <v>✅ Cuadrado</v>
      </c>
      <c r="E200" s="8484">
        <f>IF(Captura_Marimba_M01!A54="", "", Captura_Marimba_M01!A54)</f>
        <v>46188</v>
      </c>
      <c r="F200" s="8485" t="str">
        <f>IF(Captura_Marimba_M01!A54="", "", Captura_Marimba_M01!C54)</f>
        <v>México-Toluca</v>
      </c>
      <c r="G200" s="8486" t="str">
        <f>IF(Captura_Marimba_M01!A54="", "", Captura_Marimba_M01!D54)</f>
        <v>PAVIMENTADORA  VOGELE SJ 1800-3</v>
      </c>
      <c r="H200" s="8487">
        <f>IF(Captura_Marimba_M01!A54="", "", Captura_Marimba_M01!G54)</f>
        <v>99</v>
      </c>
      <c r="I200" s="8488">
        <f>IF(Captura_Marimba_M01!A54="", "", SUMIFS(Captura_Obra!$F:$F, Captura_Obra!$A:$A, E200, Captura_Obra!$B:$B, F200, Captura_Obra!$D:$D, G200))</f>
        <v>99</v>
      </c>
      <c r="J200" s="8489">
        <f>IF(Captura_Marimba_M01!A54="", "", H200 - I200)</f>
        <v>0</v>
      </c>
      <c r="K200" s="4009"/>
    </row>
    <row r="201" spans="1:11">
      <c r="A201" s="8490" t="str">
        <f>IF(Captura_Marimba_M01!A55="", "", "Marimba")</f>
        <v>Marimba</v>
      </c>
      <c r="B201" s="8491" t="str">
        <f>IF(Captura_Marimba_M01!A55="", "", Captura_Marimba_M01!N55)</f>
        <v>CM-MT-25-051</v>
      </c>
      <c r="C201" s="8492" t="str">
        <f>IF(Captura_Marimba_M01!A55="", "", IFERROR(LOOKUP(2, 1/((Captura_Obra!$A$5:$A$1000=E201)*(Captura_Obra!$B$5:$B$1000=F201)*(Captura_Obra!$D$5:$D$1000=G201)), Captura_Obra!$N$5:$N$1000), "No Reportado"))</f>
        <v>CO-MT-25-067</v>
      </c>
      <c r="D201" s="8493" t="str">
        <f>IF(Captura_Marimba_M01!A55="", "", IF(J201=0, "✅ Cuadrado", IF(I201=0, "❌ Falta en Obra", "⚠️ Dif")))</f>
        <v>✅ Cuadrado</v>
      </c>
      <c r="E201" s="8494">
        <f>IF(Captura_Marimba_M01!A55="", "", Captura_Marimba_M01!A55)</f>
        <v>46188</v>
      </c>
      <c r="F201" s="8495" t="str">
        <f>IF(Captura_Marimba_M01!A55="", "", Captura_Marimba_M01!C55)</f>
        <v>México-Toluca</v>
      </c>
      <c r="G201" s="8496" t="str">
        <f>IF(Captura_Marimba_M01!A55="", "", Captura_Marimba_M01!D55)</f>
        <v>PETROLIZADORA    INTERNATIONAL</v>
      </c>
      <c r="H201" s="8497">
        <f>IF(Captura_Marimba_M01!A55="", "", Captura_Marimba_M01!G55)</f>
        <v>50</v>
      </c>
      <c r="I201" s="8498">
        <f>IF(Captura_Marimba_M01!A55="", "", SUMIFS(Captura_Obra!$F:$F, Captura_Obra!$A:$A, E201, Captura_Obra!$B:$B, F201, Captura_Obra!$D:$D, G201))</f>
        <v>50</v>
      </c>
      <c r="J201" s="8499">
        <f>IF(Captura_Marimba_M01!A55="", "", H201 - I201)</f>
        <v>0</v>
      </c>
      <c r="K201" s="4010"/>
    </row>
    <row r="202" spans="1:11">
      <c r="A202" s="8500" t="str">
        <f>IF(Captura_Marimba_M01!A56="", "", "Marimba")</f>
        <v>Marimba</v>
      </c>
      <c r="B202" s="8501" t="str">
        <f>IF(Captura_Marimba_M01!A56="", "", Captura_Marimba_M01!N56)</f>
        <v>CM-NA-25-052</v>
      </c>
      <c r="C202" s="8502" t="str">
        <f>IF(Captura_Marimba_M01!A56="", "", IFERROR(LOOKUP(2, 1/((Captura_Obra!$A$5:$A$1000=E202)*(Captura_Obra!$B$5:$B$1000=F202)*(Captura_Obra!$D$5:$D$1000=G202)), Captura_Obra!$N$5:$N$1000), "No Reportado"))</f>
        <v>No Reportado</v>
      </c>
      <c r="D202" s="8503" t="str">
        <f>IF(Captura_Marimba_M01!A56="", "", IF(J202=0, "✅ Cuadrado", IF(I202=0, "❌ Falta en Obra", "⚠️ Dif")))</f>
        <v>✅ Cuadrado</v>
      </c>
      <c r="E202" s="8504">
        <f>IF(Captura_Marimba_M01!A56="", "", Captura_Marimba_M01!A56)</f>
        <v>46189</v>
      </c>
      <c r="F202" s="8505" t="str">
        <f>IF(Captura_Marimba_M01!A56="", "", Captura_Marimba_M01!C56)</f>
        <v>No aplica</v>
      </c>
      <c r="G202" s="8506" t="str">
        <f>IF(Captura_Marimba_M01!A56="", "", Captura_Marimba_M01!D56)</f>
        <v>MARIMBA</v>
      </c>
      <c r="H202" s="8507">
        <f>IF(Captura_Marimba_M01!A56="", "", Captura_Marimba_M01!G56)</f>
        <v>0</v>
      </c>
      <c r="I202" s="8508">
        <f>IF(Captura_Marimba_M01!A56="", "", SUMIFS(Captura_Obra!$F:$F, Captura_Obra!$A:$A, E202, Captura_Obra!$B:$B, F202, Captura_Obra!$D:$D, G202))</f>
        <v>0</v>
      </c>
      <c r="J202" s="8509">
        <f>IF(Captura_Marimba_M01!A56="", "", H202 - I202)</f>
        <v>0</v>
      </c>
      <c r="K202" s="4011"/>
    </row>
    <row r="203" spans="1:11">
      <c r="A203" s="8510" t="str">
        <f>IF(Captura_Marimba_M01!A57="", "", "Marimba")</f>
        <v>Marimba</v>
      </c>
      <c r="B203" s="8511" t="str">
        <f>IF(Captura_Marimba_M01!A57="", "", Captura_Marimba_M01!N57)</f>
        <v>CM-MT-25-053</v>
      </c>
      <c r="C203" s="8512" t="str">
        <f>IF(Captura_Marimba_M01!A57="", "", IFERROR(LOOKUP(2, 1/((Captura_Obra!$A$5:$A$1000=E203)*(Captura_Obra!$B$5:$B$1000=F203)*(Captura_Obra!$D$5:$D$1000=G203)), Captura_Obra!$N$5:$N$1000), "No Reportado"))</f>
        <v>CO-MT-25-080</v>
      </c>
      <c r="D203" s="8513" t="str">
        <f>IF(Captura_Marimba_M01!A57="", "", IF(J203=0, "✅ Cuadrado", IF(I203=0, "❌ Falta en Obra", "⚠️ Dif")))</f>
        <v>✅ Cuadrado</v>
      </c>
      <c r="E203" s="8514">
        <f>IF(Captura_Marimba_M01!A57="", "", Captura_Marimba_M01!A57)</f>
        <v>46189</v>
      </c>
      <c r="F203" s="8515" t="str">
        <f>IF(Captura_Marimba_M01!A57="", "", Captura_Marimba_M01!C57)</f>
        <v>México-Toluca</v>
      </c>
      <c r="G203" s="8516" t="str">
        <f>IF(Captura_Marimba_M01!A57="", "", Captura_Marimba_M01!D57)</f>
        <v>PERFILADORA WIRGENT-W200i</v>
      </c>
      <c r="H203" s="8517">
        <f>IF(Captura_Marimba_M01!A57="", "", Captura_Marimba_M01!G57)</f>
        <v>200</v>
      </c>
      <c r="I203" s="8518">
        <f>IF(Captura_Marimba_M01!A57="", "", SUMIFS(Captura_Obra!$F:$F, Captura_Obra!$A:$A, E203, Captura_Obra!$B:$B, F203, Captura_Obra!$D:$D, G203))</f>
        <v>200</v>
      </c>
      <c r="J203" s="8519">
        <f>IF(Captura_Marimba_M01!A57="", "", H203 - I203)</f>
        <v>0</v>
      </c>
      <c r="K203" s="4012"/>
    </row>
    <row r="204" spans="1:11">
      <c r="A204" s="8520" t="str">
        <f>IF(Captura_Marimba_M01!A58="", "", "Marimba")</f>
        <v>Marimba</v>
      </c>
      <c r="B204" s="8521" t="str">
        <f>IF(Captura_Marimba_M01!A58="", "", Captura_Marimba_M01!N58)</f>
        <v>CM-MT-25-054</v>
      </c>
      <c r="C204" s="8522" t="str">
        <f>IF(Captura_Marimba_M01!A58="", "", IFERROR(LOOKUP(2, 1/((Captura_Obra!$A$5:$A$1000=E204)*(Captura_Obra!$B$5:$B$1000=F204)*(Captura_Obra!$D$5:$D$1000=G204)), Captura_Obra!$N$5:$N$1000), "No Reportado"))</f>
        <v>CO-MT-25-081</v>
      </c>
      <c r="D204" s="8523" t="str">
        <f>IF(Captura_Marimba_M01!A58="", "", IF(J204=0, "✅ Cuadrado", IF(I204=0, "❌ Falta en Obra", "⚠️ Dif")))</f>
        <v>✅ Cuadrado</v>
      </c>
      <c r="E204" s="8524">
        <f>IF(Captura_Marimba_M01!A58="", "", Captura_Marimba_M01!A58)</f>
        <v>46189</v>
      </c>
      <c r="F204" s="8525" t="str">
        <f>IF(Captura_Marimba_M01!A58="", "", Captura_Marimba_M01!C58)</f>
        <v>México-Toluca</v>
      </c>
      <c r="G204" s="8526" t="str">
        <f>IF(Captura_Marimba_M01!A58="", "", Captura_Marimba_M01!D58)</f>
        <v>TANDEM DOBLE RODILLO / VIBROCOMPACTOR RODILLO CAT CB54</v>
      </c>
      <c r="H204" s="8527">
        <f>IF(Captura_Marimba_M01!A58="", "", Captura_Marimba_M01!G58)</f>
        <v>32</v>
      </c>
      <c r="I204" s="8528">
        <f>IF(Captura_Marimba_M01!A58="", "", SUMIFS(Captura_Obra!$F:$F, Captura_Obra!$A:$A, E204, Captura_Obra!$B:$B, F204, Captura_Obra!$D:$D, G204))</f>
        <v>32</v>
      </c>
      <c r="J204" s="8529">
        <f>IF(Captura_Marimba_M01!A58="", "", H204 - I204)</f>
        <v>0</v>
      </c>
      <c r="K204" s="4013"/>
    </row>
    <row r="205" spans="1:11">
      <c r="A205" s="8530" t="str">
        <f>IF(Captura_Marimba_M01!A59="", "", "Marimba")</f>
        <v>Marimba</v>
      </c>
      <c r="B205" s="8531" t="str">
        <f>IF(Captura_Marimba_M01!A59="", "", Captura_Marimba_M01!N59)</f>
        <v>CM-MT-25-055</v>
      </c>
      <c r="C205" s="8532" t="str">
        <f>IF(Captura_Marimba_M01!A59="", "", IFERROR(LOOKUP(2, 1/((Captura_Obra!$A$5:$A$1000=E205)*(Captura_Obra!$B$5:$B$1000=F205)*(Captura_Obra!$D$5:$D$1000=G205)), Captura_Obra!$N$5:$N$1000), "No Reportado"))</f>
        <v>CO-MT-25-082</v>
      </c>
      <c r="D205" s="8533" t="str">
        <f>IF(Captura_Marimba_M01!A59="", "", IF(J205=0, "✅ Cuadrado", IF(I205=0, "❌ Falta en Obra", "⚠️ Dif")))</f>
        <v>✅ Cuadrado</v>
      </c>
      <c r="E205" s="8534">
        <f>IF(Captura_Marimba_M01!A59="", "", Captura_Marimba_M01!A59)</f>
        <v>46189</v>
      </c>
      <c r="F205" s="8535" t="str">
        <f>IF(Captura_Marimba_M01!A59="", "", Captura_Marimba_M01!C59)</f>
        <v>México-Toluca</v>
      </c>
      <c r="G205" s="8536" t="str">
        <f>IF(Captura_Marimba_M01!A59="", "", Captura_Marimba_M01!D59)</f>
        <v>NEUMATICO VOLVO PT-240R</v>
      </c>
      <c r="H205" s="8537">
        <f>IF(Captura_Marimba_M01!A59="", "", Captura_Marimba_M01!G59)</f>
        <v>30</v>
      </c>
      <c r="I205" s="8538">
        <f>IF(Captura_Marimba_M01!A59="", "", SUMIFS(Captura_Obra!$F:$F, Captura_Obra!$A:$A, E205, Captura_Obra!$B:$B, F205, Captura_Obra!$D:$D, G205))</f>
        <v>30</v>
      </c>
      <c r="J205" s="8539">
        <f>IF(Captura_Marimba_M01!A59="", "", H205 - I205)</f>
        <v>0</v>
      </c>
      <c r="K205" s="4014"/>
    </row>
    <row r="206" spans="1:11">
      <c r="A206" s="8540" t="str">
        <f>IF(Captura_Marimba_M01!A60="", "", "Marimba")</f>
        <v>Marimba</v>
      </c>
      <c r="B206" s="8541" t="str">
        <f>IF(Captura_Marimba_M01!A60="", "", Captura_Marimba_M01!N60)</f>
        <v>CM-MT-25-056</v>
      </c>
      <c r="C206" s="8542" t="str">
        <f>IF(Captura_Marimba_M01!A60="", "", IFERROR(LOOKUP(2, 1/((Captura_Obra!$A$5:$A$1000=E206)*(Captura_Obra!$B$5:$B$1000=F206)*(Captura_Obra!$D$5:$D$1000=G206)), Captura_Obra!$N$5:$N$1000), "No Reportado"))</f>
        <v>CO-MT-25-083</v>
      </c>
      <c r="D206" s="8543" t="str">
        <f>IF(Captura_Marimba_M01!A60="", "", IF(J206=0, "✅ Cuadrado", IF(I206=0, "❌ Falta en Obra", "⚠️ Dif")))</f>
        <v>✅ Cuadrado</v>
      </c>
      <c r="E206" s="8544">
        <f>IF(Captura_Marimba_M01!A60="", "", Captura_Marimba_M01!A60)</f>
        <v>46189</v>
      </c>
      <c r="F206" s="8545" t="str">
        <f>IF(Captura_Marimba_M01!A60="", "", Captura_Marimba_M01!C60)</f>
        <v>México-Toluca</v>
      </c>
      <c r="G206" s="8546" t="str">
        <f>IF(Captura_Marimba_M01!A60="", "", Captura_Marimba_M01!D60)</f>
        <v>BARREDORA BROCE RJ350</v>
      </c>
      <c r="H206" s="8547">
        <f>IF(Captura_Marimba_M01!A60="", "", Captura_Marimba_M01!G60)</f>
        <v>30</v>
      </c>
      <c r="I206" s="8548">
        <f>IF(Captura_Marimba_M01!A60="", "", SUMIFS(Captura_Obra!$F:$F, Captura_Obra!$A:$A, E206, Captura_Obra!$B:$B, F206, Captura_Obra!$D:$D, G206))</f>
        <v>30</v>
      </c>
      <c r="J206" s="8549">
        <f>IF(Captura_Marimba_M01!A60="", "", H206 - I206)</f>
        <v>0</v>
      </c>
      <c r="K206" s="4015"/>
    </row>
    <row r="207" spans="1:11">
      <c r="A207" s="8550" t="str">
        <f>IF(Captura_Marimba_M01!A61="", "", "Marimba")</f>
        <v>Marimba</v>
      </c>
      <c r="B207" s="8551" t="str">
        <f>IF(Captura_Marimba_M01!A61="", "", Captura_Marimba_M01!N61)</f>
        <v>CM-MT-25-057</v>
      </c>
      <c r="C207" s="8552" t="str">
        <f>IF(Captura_Marimba_M01!A61="", "", IFERROR(LOOKUP(2, 1/((Captura_Obra!$A$5:$A$1000=E207)*(Captura_Obra!$B$5:$B$1000=F207)*(Captura_Obra!$D$5:$D$1000=G207)), Captura_Obra!$N$5:$N$1000), "No Reportado"))</f>
        <v>CO-MT-25-084</v>
      </c>
      <c r="D207" s="8553" t="str">
        <f>IF(Captura_Marimba_M01!A61="", "", IF(J207=0, "✅ Cuadrado", IF(I207=0, "❌ Falta en Obra", "⚠️ Dif")))</f>
        <v>✅ Cuadrado</v>
      </c>
      <c r="E207" s="8554">
        <f>IF(Captura_Marimba_M01!A61="", "", Captura_Marimba_M01!A61)</f>
        <v>46189</v>
      </c>
      <c r="F207" s="8555" t="str">
        <f>IF(Captura_Marimba_M01!A61="", "", Captura_Marimba_M01!C61)</f>
        <v>México-Toluca</v>
      </c>
      <c r="G207" s="8556" t="str">
        <f>IF(Captura_Marimba_M01!A61="", "", Captura_Marimba_M01!D61)</f>
        <v>PAVIMENTADORA  VOGELE SJ 1800-3</v>
      </c>
      <c r="H207" s="8557">
        <f>IF(Captura_Marimba_M01!A61="", "", Captura_Marimba_M01!G61)</f>
        <v>107</v>
      </c>
      <c r="I207" s="8558">
        <f>IF(Captura_Marimba_M01!A61="", "", SUMIFS(Captura_Obra!$F:$F, Captura_Obra!$A:$A, E207, Captura_Obra!$B:$B, F207, Captura_Obra!$D:$D, G207))</f>
        <v>107</v>
      </c>
      <c r="J207" s="8559">
        <f>IF(Captura_Marimba_M01!A61="", "", H207 - I207)</f>
        <v>0</v>
      </c>
      <c r="K207" s="4016"/>
    </row>
    <row r="208" spans="1:11">
      <c r="A208" s="8560" t="str">
        <f>IF(Captura_Marimba_M01!A62="", "", "Marimba")</f>
        <v>Marimba</v>
      </c>
      <c r="B208" s="8561" t="str">
        <f>IF(Captura_Marimba_M01!A62="", "", Captura_Marimba_M01!N62)</f>
        <v>CM-MT-25-058</v>
      </c>
      <c r="C208" s="8562" t="str">
        <f>IF(Captura_Marimba_M01!A62="", "", IFERROR(LOOKUP(2, 1/((Captura_Obra!$A$5:$A$1000=E208)*(Captura_Obra!$B$5:$B$1000=F208)*(Captura_Obra!$D$5:$D$1000=G208)), Captura_Obra!$N$5:$N$1000), "No Reportado"))</f>
        <v>CO-MT-25-085</v>
      </c>
      <c r="D208" s="8563" t="str">
        <f>IF(Captura_Marimba_M01!A62="", "", IF(J208=0, "✅ Cuadrado", IF(I208=0, "❌ Falta en Obra", "⚠️ Dif")))</f>
        <v>✅ Cuadrado</v>
      </c>
      <c r="E208" s="8564">
        <f>IF(Captura_Marimba_M01!A62="", "", Captura_Marimba_M01!A62)</f>
        <v>46189</v>
      </c>
      <c r="F208" s="8565" t="str">
        <f>IF(Captura_Marimba_M01!A62="", "", Captura_Marimba_M01!C62)</f>
        <v>México-Toluca</v>
      </c>
      <c r="G208" s="8566" t="str">
        <f>IF(Captura_Marimba_M01!A62="", "", Captura_Marimba_M01!D62)</f>
        <v>RETROEXCAVADORA JHONDEREE 310SK</v>
      </c>
      <c r="H208" s="8567">
        <f>IF(Captura_Marimba_M01!A62="", "", Captura_Marimba_M01!G62)</f>
        <v>40</v>
      </c>
      <c r="I208" s="8568">
        <f>IF(Captura_Marimba_M01!A62="", "", SUMIFS(Captura_Obra!$F:$F, Captura_Obra!$A:$A, E208, Captura_Obra!$B:$B, F208, Captura_Obra!$D:$D, G208))</f>
        <v>40</v>
      </c>
      <c r="J208" s="8569">
        <f>IF(Captura_Marimba_M01!A62="", "", H208 - I208)</f>
        <v>0</v>
      </c>
      <c r="K208" s="4017"/>
    </row>
    <row r="209" spans="1:11">
      <c r="A209" s="8570" t="str">
        <f>IF(Captura_Marimba_M01!A63="", "", "Marimba")</f>
        <v>Marimba</v>
      </c>
      <c r="B209" s="8571" t="str">
        <f>IF(Captura_Marimba_M01!A63="", "", Captura_Marimba_M01!N63)</f>
        <v>CM-MT-25-059</v>
      </c>
      <c r="C209" s="8572" t="str">
        <f>IF(Captura_Marimba_M01!A63="", "", IFERROR(LOOKUP(2, 1/((Captura_Obra!$A$5:$A$1000=E209)*(Captura_Obra!$B$5:$B$1000=F209)*(Captura_Obra!$D$5:$D$1000=G209)), Captura_Obra!$N$5:$N$1000), "No Reportado"))</f>
        <v>CO-MT-25-086</v>
      </c>
      <c r="D209" s="8573" t="str">
        <f>IF(Captura_Marimba_M01!A63="", "", IF(J209=0, "✅ Cuadrado", IF(I209=0, "❌ Falta en Obra", "⚠️ Dif")))</f>
        <v>✅ Cuadrado</v>
      </c>
      <c r="E209" s="8574">
        <f>IF(Captura_Marimba_M01!A63="", "", Captura_Marimba_M01!A63)</f>
        <v>46189</v>
      </c>
      <c r="F209" s="8575" t="str">
        <f>IF(Captura_Marimba_M01!A63="", "", Captura_Marimba_M01!C63)</f>
        <v>México-Toluca</v>
      </c>
      <c r="G209" s="8576" t="str">
        <f>IF(Captura_Marimba_M01!A63="", "", Captura_Marimba_M01!D63)</f>
        <v>PETROLIZADORA    INTERNATIONAL</v>
      </c>
      <c r="H209" s="8577">
        <f>IF(Captura_Marimba_M01!A63="", "", Captura_Marimba_M01!G63)</f>
        <v>50</v>
      </c>
      <c r="I209" s="8578">
        <f>IF(Captura_Marimba_M01!A63="", "", SUMIFS(Captura_Obra!$F:$F, Captura_Obra!$A:$A, E209, Captura_Obra!$B:$B, F209, Captura_Obra!$D:$D, G209))</f>
        <v>50</v>
      </c>
      <c r="J209" s="8579">
        <f>IF(Captura_Marimba_M01!A63="", "", H209 - I209)</f>
        <v>0</v>
      </c>
      <c r="K209" s="4018"/>
    </row>
    <row r="210" spans="1:11">
      <c r="A210" s="8580" t="str">
        <f>IF(Captura_Marimba_M01!A64="", "", "Marimba")</f>
        <v>Marimba</v>
      </c>
      <c r="B210" s="8581" t="str">
        <f>IF(Captura_Marimba_M01!A64="", "", Captura_Marimba_M01!N64)</f>
        <v>CM-NA-25-060</v>
      </c>
      <c r="C210" s="8582" t="str">
        <f>IF(Captura_Marimba_M01!A64="", "", IFERROR(LOOKUP(2, 1/((Captura_Obra!$A$5:$A$1000=E210)*(Captura_Obra!$B$5:$B$1000=F210)*(Captura_Obra!$D$5:$D$1000=G210)), Captura_Obra!$N$5:$N$1000), "No Reportado"))</f>
        <v>No Reportado</v>
      </c>
      <c r="D210" s="8583" t="str">
        <f>IF(Captura_Marimba_M01!A64="", "", IF(J210=0, "✅ Cuadrado", IF(I210=0, "❌ Falta en Obra", "⚠️ Dif")))</f>
        <v>✅ Cuadrado</v>
      </c>
      <c r="E210" s="8584">
        <f>IF(Captura_Marimba_M01!A64="", "", Captura_Marimba_M01!A64)</f>
        <v>46190</v>
      </c>
      <c r="F210" s="8585" t="str">
        <f>IF(Captura_Marimba_M01!A64="", "", Captura_Marimba_M01!C64)</f>
        <v>No aplica</v>
      </c>
      <c r="G210" s="8586" t="str">
        <f>IF(Captura_Marimba_M01!A64="", "", Captura_Marimba_M01!D64)</f>
        <v>MARIMBA</v>
      </c>
      <c r="H210" s="8587">
        <f>IF(Captura_Marimba_M01!A64="", "", Captura_Marimba_M01!G64)</f>
        <v>0</v>
      </c>
      <c r="I210" s="8588">
        <f>IF(Captura_Marimba_M01!A64="", "", SUMIFS(Captura_Obra!$F:$F, Captura_Obra!$A:$A, E210, Captura_Obra!$B:$B, F210, Captura_Obra!$D:$D, G210))</f>
        <v>0</v>
      </c>
      <c r="J210" s="8589">
        <f>IF(Captura_Marimba_M01!A64="", "", H210 - I210)</f>
        <v>0</v>
      </c>
      <c r="K210" s="4019"/>
    </row>
    <row r="211" spans="1:11">
      <c r="A211" s="8590" t="str">
        <f>IF(Captura_Marimba_M01!A65="", "", "Marimba")</f>
        <v>Marimba</v>
      </c>
      <c r="B211" s="8591" t="str">
        <f>IF(Captura_Marimba_M01!A65="", "", Captura_Marimba_M01!N65)</f>
        <v>CM-MT-25-061</v>
      </c>
      <c r="C211" s="8592" t="str">
        <f>IF(Captura_Marimba_M01!A65="", "", IFERROR(LOOKUP(2, 1/((Captura_Obra!$A$5:$A$1000=E211)*(Captura_Obra!$B$5:$B$1000=F211)*(Captura_Obra!$D$5:$D$1000=G211)), Captura_Obra!$N$5:$N$1000), "No Reportado"))</f>
        <v>CO-MT-25-094</v>
      </c>
      <c r="D211" s="8593" t="str">
        <f>IF(Captura_Marimba_M01!A65="", "", IF(J211=0, "✅ Cuadrado", IF(I211=0, "❌ Falta en Obra", "⚠️ Dif")))</f>
        <v>✅ Cuadrado</v>
      </c>
      <c r="E211" s="8594">
        <f>IF(Captura_Marimba_M01!A65="", "", Captura_Marimba_M01!A65)</f>
        <v>46190</v>
      </c>
      <c r="F211" s="8595" t="str">
        <f>IF(Captura_Marimba_M01!A65="", "", Captura_Marimba_M01!C65)</f>
        <v>México-Toluca</v>
      </c>
      <c r="G211" s="8596" t="str">
        <f>IF(Captura_Marimba_M01!A65="", "", Captura_Marimba_M01!D65)</f>
        <v>PERFILADORA WIRGENT-W200i</v>
      </c>
      <c r="H211" s="8597">
        <f>IF(Captura_Marimba_M01!A65="", "", Captura_Marimba_M01!G65)</f>
        <v>200</v>
      </c>
      <c r="I211" s="8598">
        <f>IF(Captura_Marimba_M01!A65="", "", SUMIFS(Captura_Obra!$F:$F, Captura_Obra!$A:$A, E211, Captura_Obra!$B:$B, F211, Captura_Obra!$D:$D, G211))</f>
        <v>200</v>
      </c>
      <c r="J211" s="8599">
        <f>IF(Captura_Marimba_M01!A65="", "", H211 - I211)</f>
        <v>0</v>
      </c>
      <c r="K211" s="4020"/>
    </row>
    <row r="212" spans="1:11">
      <c r="A212" s="8600" t="str">
        <f>IF(Captura_Marimba_M01!A66="", "", "Marimba")</f>
        <v>Marimba</v>
      </c>
      <c r="B212" s="8601" t="str">
        <f>IF(Captura_Marimba_M01!A66="", "", Captura_Marimba_M01!N66)</f>
        <v>CM-MT-25-062</v>
      </c>
      <c r="C212" s="8602" t="str">
        <f>IF(Captura_Marimba_M01!A66="", "", IFERROR(LOOKUP(2, 1/((Captura_Obra!$A$5:$A$1000=E212)*(Captura_Obra!$B$5:$B$1000=F212)*(Captura_Obra!$D$5:$D$1000=G212)), Captura_Obra!$N$5:$N$1000), "No Reportado"))</f>
        <v>CO-MT-25-095</v>
      </c>
      <c r="D212" s="8603" t="str">
        <f>IF(Captura_Marimba_M01!A66="", "", IF(J212=0, "✅ Cuadrado", IF(I212=0, "❌ Falta en Obra", "⚠️ Dif")))</f>
        <v>✅ Cuadrado</v>
      </c>
      <c r="E212" s="8604">
        <f>IF(Captura_Marimba_M01!A66="", "", Captura_Marimba_M01!A66)</f>
        <v>46190</v>
      </c>
      <c r="F212" s="8605" t="str">
        <f>IF(Captura_Marimba_M01!A66="", "", Captura_Marimba_M01!C66)</f>
        <v>México-Toluca</v>
      </c>
      <c r="G212" s="8606" t="str">
        <f>IF(Captura_Marimba_M01!A66="", "", Captura_Marimba_M01!D66)</f>
        <v>PAVIMENTADORA  VOGELE SJ 1800-3</v>
      </c>
      <c r="H212" s="8607">
        <f>IF(Captura_Marimba_M01!A66="", "", Captura_Marimba_M01!G66)</f>
        <v>120</v>
      </c>
      <c r="I212" s="8608">
        <f>IF(Captura_Marimba_M01!A66="", "", SUMIFS(Captura_Obra!$F:$F, Captura_Obra!$A:$A, E212, Captura_Obra!$B:$B, F212, Captura_Obra!$D:$D, G212))</f>
        <v>120</v>
      </c>
      <c r="J212" s="8609">
        <f>IF(Captura_Marimba_M01!A66="", "", H212 - I212)</f>
        <v>0</v>
      </c>
      <c r="K212" s="4021"/>
    </row>
    <row r="213" spans="1:11">
      <c r="A213" s="8610" t="str">
        <f>IF(Captura_Marimba_M01!A67="", "", "Marimba")</f>
        <v>Marimba</v>
      </c>
      <c r="B213" s="8611" t="str">
        <f>IF(Captura_Marimba_M01!A67="", "", Captura_Marimba_M01!N67)</f>
        <v>CM-MT-25-063</v>
      </c>
      <c r="C213" s="8612" t="str">
        <f>IF(Captura_Marimba_M01!A67="", "", IFERROR(LOOKUP(2, 1/((Captura_Obra!$A$5:$A$1000=E213)*(Captura_Obra!$B$5:$B$1000=F213)*(Captura_Obra!$D$5:$D$1000=G213)), Captura_Obra!$N$5:$N$1000), "No Reportado"))</f>
        <v>CO-MT-25-096</v>
      </c>
      <c r="D213" s="8613" t="str">
        <f>IF(Captura_Marimba_M01!A67="", "", IF(J213=0, "✅ Cuadrado", IF(I213=0, "❌ Falta en Obra", "⚠️ Dif")))</f>
        <v>⚠️ Dif</v>
      </c>
      <c r="E213" s="8614">
        <f>IF(Captura_Marimba_M01!A67="", "", Captura_Marimba_M01!A67)</f>
        <v>46190</v>
      </c>
      <c r="F213" s="8615" t="str">
        <f>IF(Captura_Marimba_M01!A67="", "", Captura_Marimba_M01!C67)</f>
        <v>México-Toluca</v>
      </c>
      <c r="G213" s="8616" t="str">
        <f>IF(Captura_Marimba_M01!A67="", "", Captura_Marimba_M01!D67)</f>
        <v>TANDEM DOBLE RODILLO / VIBROCOMPACTOR RODILLO CAT CB54</v>
      </c>
      <c r="H213" s="8617">
        <f>IF(Captura_Marimba_M01!A67="", "", Captura_Marimba_M01!G67)</f>
        <v>32</v>
      </c>
      <c r="I213" s="8618">
        <f>IF(Captura_Marimba_M01!A67="", "", SUMIFS(Captura_Obra!$F:$F, Captura_Obra!$A:$A, E213, Captura_Obra!$B:$B, F213, Captura_Obra!$D:$D, G213))</f>
        <v>30</v>
      </c>
      <c r="J213" s="8619">
        <f>IF(Captura_Marimba_M01!A67="", "", H213 - I213)</f>
        <v>2</v>
      </c>
      <c r="K213" s="4022"/>
    </row>
    <row r="214" spans="1:11">
      <c r="A214" s="8620" t="str">
        <f>IF(Captura_Marimba_M01!A68="", "", "Marimba")</f>
        <v>Marimba</v>
      </c>
      <c r="B214" s="8621" t="str">
        <f>IF(Captura_Marimba_M01!A68="", "", Captura_Marimba_M01!N68)</f>
        <v>CM-MT-25-064</v>
      </c>
      <c r="C214" s="8622" t="str">
        <f>IF(Captura_Marimba_M01!A68="", "", IFERROR(LOOKUP(2, 1/((Captura_Obra!$A$5:$A$1000=E214)*(Captura_Obra!$B$5:$B$1000=F214)*(Captura_Obra!$D$5:$D$1000=G214)), Captura_Obra!$N$5:$N$1000), "No Reportado"))</f>
        <v>CO-MT-25-097</v>
      </c>
      <c r="D214" s="8623" t="str">
        <f>IF(Captura_Marimba_M01!A68="", "", IF(J214=0, "✅ Cuadrado", IF(I214=0, "❌ Falta en Obra", "⚠️ Dif")))</f>
        <v>✅ Cuadrado</v>
      </c>
      <c r="E214" s="8624">
        <f>IF(Captura_Marimba_M01!A68="", "", Captura_Marimba_M01!A68)</f>
        <v>46190</v>
      </c>
      <c r="F214" s="8625" t="str">
        <f>IF(Captura_Marimba_M01!A68="", "", Captura_Marimba_M01!C68)</f>
        <v>México-Toluca</v>
      </c>
      <c r="G214" s="8626" t="str">
        <f>IF(Captura_Marimba_M01!A68="", "", Captura_Marimba_M01!D68)</f>
        <v>NEUMATICO VOLVO PT-240R</v>
      </c>
      <c r="H214" s="8627">
        <f>IF(Captura_Marimba_M01!A68="", "", Captura_Marimba_M01!G68)</f>
        <v>30</v>
      </c>
      <c r="I214" s="8628">
        <f>IF(Captura_Marimba_M01!A68="", "", SUMIFS(Captura_Obra!$F:$F, Captura_Obra!$A:$A, E214, Captura_Obra!$B:$B, F214, Captura_Obra!$D:$D, G214))</f>
        <v>30</v>
      </c>
      <c r="J214" s="8629">
        <f>IF(Captura_Marimba_M01!A68="", "", H214 - I214)</f>
        <v>0</v>
      </c>
      <c r="K214" s="4023"/>
    </row>
    <row r="215" spans="1:11">
      <c r="A215" s="8630" t="str">
        <f>IF(Captura_Marimba_M01!A69="", "", "Marimba")</f>
        <v>Marimba</v>
      </c>
      <c r="B215" s="8631" t="str">
        <f>IF(Captura_Marimba_M01!A69="", "", Captura_Marimba_M01!N69)</f>
        <v>CM-MT-25-065</v>
      </c>
      <c r="C215" s="8632" t="str">
        <f>IF(Captura_Marimba_M01!A69="", "", IFERROR(LOOKUP(2, 1/((Captura_Obra!$A$5:$A$1000=E215)*(Captura_Obra!$B$5:$B$1000=F215)*(Captura_Obra!$D$5:$D$1000=G215)), Captura_Obra!$N$5:$N$1000), "No Reportado"))</f>
        <v>CO-MT-25-098</v>
      </c>
      <c r="D215" s="8633" t="str">
        <f>IF(Captura_Marimba_M01!A69="", "", IF(J215=0, "✅ Cuadrado", IF(I215=0, "❌ Falta en Obra", "⚠️ Dif")))</f>
        <v>✅ Cuadrado</v>
      </c>
      <c r="E215" s="8634">
        <f>IF(Captura_Marimba_M01!A69="", "", Captura_Marimba_M01!A69)</f>
        <v>46190</v>
      </c>
      <c r="F215" s="8635" t="str">
        <f>IF(Captura_Marimba_M01!A69="", "", Captura_Marimba_M01!C69)</f>
        <v>México-Toluca</v>
      </c>
      <c r="G215" s="8636" t="str">
        <f>IF(Captura_Marimba_M01!A69="", "", Captura_Marimba_M01!D69)</f>
        <v>BARREDORA BROCE RJ350</v>
      </c>
      <c r="H215" s="8637">
        <f>IF(Captura_Marimba_M01!A69="", "", Captura_Marimba_M01!G69)</f>
        <v>28</v>
      </c>
      <c r="I215" s="8638">
        <f>IF(Captura_Marimba_M01!A69="", "", SUMIFS(Captura_Obra!$F:$F, Captura_Obra!$A:$A, E215, Captura_Obra!$B:$B, F215, Captura_Obra!$D:$D, G215))</f>
        <v>28</v>
      </c>
      <c r="J215" s="8639">
        <f>IF(Captura_Marimba_M01!A69="", "", H215 - I215)</f>
        <v>0</v>
      </c>
      <c r="K215" s="4024"/>
    </row>
    <row r="216" spans="1:11">
      <c r="A216" s="8640" t="str">
        <f>IF(Captura_Marimba_M01!A70="", "", "Marimba")</f>
        <v>Marimba</v>
      </c>
      <c r="B216" s="8641" t="str">
        <f>IF(Captura_Marimba_M01!A70="", "", Captura_Marimba_M01!N70)</f>
        <v>CM-MT-25-066</v>
      </c>
      <c r="C216" s="8642" t="str">
        <f>IF(Captura_Marimba_M01!A70="", "", IFERROR(LOOKUP(2, 1/((Captura_Obra!$A$5:$A$1000=E216)*(Captura_Obra!$B$5:$B$1000=F216)*(Captura_Obra!$D$5:$D$1000=G216)), Captura_Obra!$N$5:$N$1000), "No Reportado"))</f>
        <v>CO-MT-25-099</v>
      </c>
      <c r="D216" s="8643" t="str">
        <f>IF(Captura_Marimba_M01!A70="", "", IF(J216=0, "✅ Cuadrado", IF(I216=0, "❌ Falta en Obra", "⚠️ Dif")))</f>
        <v>✅ Cuadrado</v>
      </c>
      <c r="E216" s="8644">
        <f>IF(Captura_Marimba_M01!A70="", "", Captura_Marimba_M01!A70)</f>
        <v>46190</v>
      </c>
      <c r="F216" s="8645" t="str">
        <f>IF(Captura_Marimba_M01!A70="", "", Captura_Marimba_M01!C70)</f>
        <v>México-Toluca</v>
      </c>
      <c r="G216" s="8646" t="str">
        <f>IF(Captura_Marimba_M01!A70="", "", Captura_Marimba_M01!D70)</f>
        <v>RETROEXCAVADORA JHONDEREE 310SK</v>
      </c>
      <c r="H216" s="8647">
        <f>IF(Captura_Marimba_M01!A70="", "", Captura_Marimba_M01!G70)</f>
        <v>60</v>
      </c>
      <c r="I216" s="8648">
        <f>IF(Captura_Marimba_M01!A70="", "", SUMIFS(Captura_Obra!$F:$F, Captura_Obra!$A:$A, E216, Captura_Obra!$B:$B, F216, Captura_Obra!$D:$D, G216))</f>
        <v>60</v>
      </c>
      <c r="J216" s="8649">
        <f>IF(Captura_Marimba_M01!A70="", "", H216 - I216)</f>
        <v>0</v>
      </c>
      <c r="K216" s="4025"/>
    </row>
    <row r="217" spans="1:11">
      <c r="A217" s="8650" t="str">
        <f>IF(Captura_Marimba_M01!A71="", "", "Marimba")</f>
        <v>Marimba</v>
      </c>
      <c r="B217" s="8651" t="str">
        <f>IF(Captura_Marimba_M01!A71="", "", Captura_Marimba_M01!N71)</f>
        <v>CM-MT-25-067</v>
      </c>
      <c r="C217" s="8652" t="str">
        <f>IF(Captura_Marimba_M01!A71="", "", IFERROR(LOOKUP(2, 1/((Captura_Obra!$A$5:$A$1000=E217)*(Captura_Obra!$B$5:$B$1000=F217)*(Captura_Obra!$D$5:$D$1000=G217)), Captura_Obra!$N$5:$N$1000), "No Reportado"))</f>
        <v>CO-MT-25-109</v>
      </c>
      <c r="D217" s="8653" t="str">
        <f>IF(Captura_Marimba_M01!A71="", "", IF(J217=0, "✅ Cuadrado", IF(I217=0, "❌ Falta en Obra", "⚠️ Dif")))</f>
        <v>✅ Cuadrado</v>
      </c>
      <c r="E217" s="8654">
        <f>IF(Captura_Marimba_M01!A71="", "", Captura_Marimba_M01!A71)</f>
        <v>46191</v>
      </c>
      <c r="F217" s="8655" t="str">
        <f>IF(Captura_Marimba_M01!A71="", "", Captura_Marimba_M01!C71)</f>
        <v>México-Toluca</v>
      </c>
      <c r="G217" s="8656" t="str">
        <f>IF(Captura_Marimba_M01!A71="", "", Captura_Marimba_M01!D71)</f>
        <v>PETROLIZADORA    INTERNATIONAL</v>
      </c>
      <c r="H217" s="8657">
        <f>IF(Captura_Marimba_M01!A71="", "", Captura_Marimba_M01!G71)</f>
        <v>50</v>
      </c>
      <c r="I217" s="8658">
        <f>IF(Captura_Marimba_M01!A71="", "", SUMIFS(Captura_Obra!$F:$F, Captura_Obra!$A:$A, E217, Captura_Obra!$B:$B, F217, Captura_Obra!$D:$D, G217))</f>
        <v>50</v>
      </c>
      <c r="J217" s="8659">
        <f>IF(Captura_Marimba_M01!A71="", "", H217 - I217)</f>
        <v>0</v>
      </c>
      <c r="K217" s="4026"/>
    </row>
    <row r="218" spans="1:11">
      <c r="A218" s="8660" t="str">
        <f>IF(Captura_Marimba_M01!A72="", "", "Marimba")</f>
        <v>Marimba</v>
      </c>
      <c r="B218" s="8661" t="str">
        <f>IF(Captura_Marimba_M01!A72="", "", Captura_Marimba_M01!N72)</f>
        <v>CM-MT-25-068</v>
      </c>
      <c r="C218" s="8662" t="str">
        <f>IF(Captura_Marimba_M01!A72="", "", IFERROR(LOOKUP(2, 1/((Captura_Obra!$A$5:$A$1000=E218)*(Captura_Obra!$B$5:$B$1000=F218)*(Captura_Obra!$D$5:$D$1000=G218)), Captura_Obra!$N$5:$N$1000), "No Reportado"))</f>
        <v>CO-MT-25-104</v>
      </c>
      <c r="D218" s="8663" t="str">
        <f>IF(Captura_Marimba_M01!A72="", "", IF(J218=0, "✅ Cuadrado", IF(I218=0, "❌ Falta en Obra", "⚠️ Dif")))</f>
        <v>✅ Cuadrado</v>
      </c>
      <c r="E218" s="8664">
        <f>IF(Captura_Marimba_M01!A72="", "", Captura_Marimba_M01!A72)</f>
        <v>46191</v>
      </c>
      <c r="F218" s="8665" t="str">
        <f>IF(Captura_Marimba_M01!A72="", "", Captura_Marimba_M01!C72)</f>
        <v>México-Toluca</v>
      </c>
      <c r="G218" s="8666" t="str">
        <f>IF(Captura_Marimba_M01!A72="", "", Captura_Marimba_M01!D72)</f>
        <v>PERFILADORA WIRGENT-W200i</v>
      </c>
      <c r="H218" s="8667">
        <f>IF(Captura_Marimba_M01!A72="", "", Captura_Marimba_M01!G72)</f>
        <v>200</v>
      </c>
      <c r="I218" s="8668">
        <f>IF(Captura_Marimba_M01!A72="", "", SUMIFS(Captura_Obra!$F:$F, Captura_Obra!$A:$A, E218, Captura_Obra!$B:$B, F218, Captura_Obra!$D:$D, G218))</f>
        <v>200</v>
      </c>
      <c r="J218" s="8669">
        <f>IF(Captura_Marimba_M01!A72="", "", H218 - I218)</f>
        <v>0</v>
      </c>
      <c r="K218" s="4027"/>
    </row>
    <row r="219" spans="1:11">
      <c r="A219" s="8670" t="str">
        <f>IF(Captura_Marimba_M01!A73="", "", "Marimba")</f>
        <v>Marimba</v>
      </c>
      <c r="B219" s="8671" t="str">
        <f>IF(Captura_Marimba_M01!A73="", "", Captura_Marimba_M01!N73)</f>
        <v>CM-MT-25-069</v>
      </c>
      <c r="C219" s="8672" t="str">
        <f>IF(Captura_Marimba_M01!A73="", "", IFERROR(LOOKUP(2, 1/((Captura_Obra!$A$5:$A$1000=E219)*(Captura_Obra!$B$5:$B$1000=F219)*(Captura_Obra!$D$5:$D$1000=G219)), Captura_Obra!$N$5:$N$1000), "No Reportado"))</f>
        <v>CO-MT-25-105</v>
      </c>
      <c r="D219" s="8673" t="str">
        <f>IF(Captura_Marimba_M01!A73="", "", IF(J219=0, "✅ Cuadrado", IF(I219=0, "❌ Falta en Obra", "⚠️ Dif")))</f>
        <v>✅ Cuadrado</v>
      </c>
      <c r="E219" s="8674">
        <f>IF(Captura_Marimba_M01!A73="", "", Captura_Marimba_M01!A73)</f>
        <v>46191</v>
      </c>
      <c r="F219" s="8675" t="str">
        <f>IF(Captura_Marimba_M01!A73="", "", Captura_Marimba_M01!C73)</f>
        <v>México-Toluca</v>
      </c>
      <c r="G219" s="8676" t="str">
        <f>IF(Captura_Marimba_M01!A73="", "", Captura_Marimba_M01!D73)</f>
        <v>PAVIMENTADORA  VOGELE SJ 1800-3</v>
      </c>
      <c r="H219" s="8677">
        <f>IF(Captura_Marimba_M01!A73="", "", Captura_Marimba_M01!G73)</f>
        <v>115</v>
      </c>
      <c r="I219" s="8678">
        <f>IF(Captura_Marimba_M01!A73="", "", SUMIFS(Captura_Obra!$F:$F, Captura_Obra!$A:$A, E219, Captura_Obra!$B:$B, F219, Captura_Obra!$D:$D, G219))</f>
        <v>115</v>
      </c>
      <c r="J219" s="8679">
        <f>IF(Captura_Marimba_M01!A73="", "", H219 - I219)</f>
        <v>0</v>
      </c>
      <c r="K219" s="4028"/>
    </row>
    <row r="220" spans="1:11">
      <c r="A220" s="8680" t="str">
        <f>IF(Captura_Marimba_M01!A74="", "", "Marimba")</f>
        <v>Marimba</v>
      </c>
      <c r="B220" s="8681" t="str">
        <f>IF(Captura_Marimba_M01!A74="", "", Captura_Marimba_M01!N74)</f>
        <v>CM-MT-25-070</v>
      </c>
      <c r="C220" s="8682" t="str">
        <f>IF(Captura_Marimba_M01!A74="", "", IFERROR(LOOKUP(2, 1/((Captura_Obra!$A$5:$A$1000=E220)*(Captura_Obra!$B$5:$B$1000=F220)*(Captura_Obra!$D$5:$D$1000=G220)), Captura_Obra!$N$5:$N$1000), "No Reportado"))</f>
        <v>CO-MT-25-106</v>
      </c>
      <c r="D220" s="8683" t="str">
        <f>IF(Captura_Marimba_M01!A74="", "", IF(J220=0, "✅ Cuadrado", IF(I220=0, "❌ Falta en Obra", "⚠️ Dif")))</f>
        <v>✅ Cuadrado</v>
      </c>
      <c r="E220" s="8684">
        <f>IF(Captura_Marimba_M01!A74="", "", Captura_Marimba_M01!A74)</f>
        <v>46191</v>
      </c>
      <c r="F220" s="8685" t="str">
        <f>IF(Captura_Marimba_M01!A74="", "", Captura_Marimba_M01!C74)</f>
        <v>México-Toluca</v>
      </c>
      <c r="G220" s="8686" t="str">
        <f>IF(Captura_Marimba_M01!A74="", "", Captura_Marimba_M01!D74)</f>
        <v>NEUMATICO VOLVO PT-240R</v>
      </c>
      <c r="H220" s="8687">
        <f>IF(Captura_Marimba_M01!A74="", "", Captura_Marimba_M01!G74)</f>
        <v>30</v>
      </c>
      <c r="I220" s="8688">
        <f>IF(Captura_Marimba_M01!A74="", "", SUMIFS(Captura_Obra!$F:$F, Captura_Obra!$A:$A, E220, Captura_Obra!$B:$B, F220, Captura_Obra!$D:$D, G220))</f>
        <v>30</v>
      </c>
      <c r="J220" s="8689">
        <f>IF(Captura_Marimba_M01!A74="", "", H220 - I220)</f>
        <v>0</v>
      </c>
      <c r="K220" s="4029"/>
    </row>
    <row r="221" spans="1:11">
      <c r="A221" s="8690" t="str">
        <f>IF(Captura_Marimba_M01!A75="", "", "Marimba")</f>
        <v>Marimba</v>
      </c>
      <c r="B221" s="8691" t="str">
        <f>IF(Captura_Marimba_M01!A75="", "", Captura_Marimba_M01!N75)</f>
        <v>CM-MT-25-071</v>
      </c>
      <c r="C221" s="8692" t="str">
        <f>IF(Captura_Marimba_M01!A75="", "", IFERROR(LOOKUP(2, 1/((Captura_Obra!$A$5:$A$1000=E221)*(Captura_Obra!$B$5:$B$1000=F221)*(Captura_Obra!$D$5:$D$1000=G221)), Captura_Obra!$N$5:$N$1000), "No Reportado"))</f>
        <v>CO-MT-25-107</v>
      </c>
      <c r="D221" s="8693" t="str">
        <f>IF(Captura_Marimba_M01!A75="", "", IF(J221=0, "✅ Cuadrado", IF(I221=0, "❌ Falta en Obra", "⚠️ Dif")))</f>
        <v>✅ Cuadrado</v>
      </c>
      <c r="E221" s="8694">
        <f>IF(Captura_Marimba_M01!A75="", "", Captura_Marimba_M01!A75)</f>
        <v>46191</v>
      </c>
      <c r="F221" s="8695" t="str">
        <f>IF(Captura_Marimba_M01!A75="", "", Captura_Marimba_M01!C75)</f>
        <v>México-Toluca</v>
      </c>
      <c r="G221" s="8696" t="str">
        <f>IF(Captura_Marimba_M01!A75="", "", Captura_Marimba_M01!D75)</f>
        <v>TANDEM DOBLE RODILLO / VIBROCOMPACTOR RODILLO CAT CB54</v>
      </c>
      <c r="H221" s="8697">
        <f>IF(Captura_Marimba_M01!A75="", "", Captura_Marimba_M01!G75)</f>
        <v>30</v>
      </c>
      <c r="I221" s="8698">
        <f>IF(Captura_Marimba_M01!A75="", "", SUMIFS(Captura_Obra!$F:$F, Captura_Obra!$A:$A, E221, Captura_Obra!$B:$B, F221, Captura_Obra!$D:$D, G221))</f>
        <v>30</v>
      </c>
      <c r="J221" s="8699">
        <f>IF(Captura_Marimba_M01!A75="", "", H221 - I221)</f>
        <v>0</v>
      </c>
      <c r="K221" s="4030"/>
    </row>
    <row r="222" spans="1:11">
      <c r="A222" s="8700" t="str">
        <f>IF(Captura_Marimba_M01!A76="", "", "Marimba")</f>
        <v>Marimba</v>
      </c>
      <c r="B222" s="8701" t="str">
        <f>IF(Captura_Marimba_M01!A76="", "", Captura_Marimba_M01!N76)</f>
        <v>CM-MT-25-072</v>
      </c>
      <c r="C222" s="8702" t="str">
        <f>IF(Captura_Marimba_M01!A76="", "", IFERROR(LOOKUP(2, 1/((Captura_Obra!$A$5:$A$1000=E222)*(Captura_Obra!$B$5:$B$1000=F222)*(Captura_Obra!$D$5:$D$1000=G222)), Captura_Obra!$N$5:$N$1000), "No Reportado"))</f>
        <v>CO-MT-25-123</v>
      </c>
      <c r="D222" s="8703" t="str">
        <f>IF(Captura_Marimba_M01!A76="", "", IF(J222=0, "✅ Cuadrado", IF(I222=0, "❌ Falta en Obra", "⚠️ Dif")))</f>
        <v>✅ Cuadrado</v>
      </c>
      <c r="E222" s="8704">
        <f>IF(Captura_Marimba_M01!A76="", "", Captura_Marimba_M01!A76)</f>
        <v>46192</v>
      </c>
      <c r="F222" s="8705" t="str">
        <f>IF(Captura_Marimba_M01!A76="", "", Captura_Marimba_M01!C76)</f>
        <v>México-Toluca</v>
      </c>
      <c r="G222" s="8706" t="str">
        <f>IF(Captura_Marimba_M01!A76="", "", Captura_Marimba_M01!D76)</f>
        <v>PAVIMENTADORA  VOGELE SJ 1800-3</v>
      </c>
      <c r="H222" s="8707">
        <f>IF(Captura_Marimba_M01!A76="", "", Captura_Marimba_M01!G76)</f>
        <v>120</v>
      </c>
      <c r="I222" s="8708">
        <f>IF(Captura_Marimba_M01!A76="", "", SUMIFS(Captura_Obra!$F:$F, Captura_Obra!$A:$A, E222, Captura_Obra!$B:$B, F222, Captura_Obra!$D:$D, G222))</f>
        <v>120</v>
      </c>
      <c r="J222" s="8709">
        <f>IF(Captura_Marimba_M01!A76="", "", H222 - I222)</f>
        <v>0</v>
      </c>
      <c r="K222" s="4031"/>
    </row>
    <row r="223" spans="1:11">
      <c r="A223" s="8710" t="str">
        <f>IF(Captura_Marimba_M01!A77="", "", "Marimba")</f>
        <v>Marimba</v>
      </c>
      <c r="B223" s="8711" t="str">
        <f>IF(Captura_Marimba_M01!A77="", "", Captura_Marimba_M01!N77)</f>
        <v>CM-MT-25-073</v>
      </c>
      <c r="C223" s="8712" t="str">
        <f>IF(Captura_Marimba_M01!A77="", "", IFERROR(LOOKUP(2, 1/((Captura_Obra!$A$5:$A$1000=E223)*(Captura_Obra!$B$5:$B$1000=F223)*(Captura_Obra!$D$5:$D$1000=G223)), Captura_Obra!$N$5:$N$1000), "No Reportado"))</f>
        <v>CO-MT-25-124</v>
      </c>
      <c r="D223" s="8713" t="str">
        <f>IF(Captura_Marimba_M01!A77="", "", IF(J223=0, "✅ Cuadrado", IF(I223=0, "❌ Falta en Obra", "⚠️ Dif")))</f>
        <v>✅ Cuadrado</v>
      </c>
      <c r="E223" s="8714">
        <f>IF(Captura_Marimba_M01!A77="", "", Captura_Marimba_M01!A77)</f>
        <v>46192</v>
      </c>
      <c r="F223" s="8715" t="str">
        <f>IF(Captura_Marimba_M01!A77="", "", Captura_Marimba_M01!C77)</f>
        <v>México-Toluca</v>
      </c>
      <c r="G223" s="8716" t="str">
        <f>IF(Captura_Marimba_M01!A77="", "", Captura_Marimba_M01!D77)</f>
        <v>TANDEM DOBLE RODILLO / VIBROCOMPACTOR RODILLO CAT CB54</v>
      </c>
      <c r="H223" s="8717">
        <f>IF(Captura_Marimba_M01!A77="", "", Captura_Marimba_M01!G77)</f>
        <v>30</v>
      </c>
      <c r="I223" s="8718">
        <f>IF(Captura_Marimba_M01!A77="", "", SUMIFS(Captura_Obra!$F:$F, Captura_Obra!$A:$A, E223, Captura_Obra!$B:$B, F223, Captura_Obra!$D:$D, G223))</f>
        <v>30</v>
      </c>
      <c r="J223" s="8719">
        <f>IF(Captura_Marimba_M01!A77="", "", H223 - I223)</f>
        <v>0</v>
      </c>
      <c r="K223" s="4032"/>
    </row>
    <row r="224" spans="1:11">
      <c r="A224" s="8720" t="str">
        <f>IF(Captura_Marimba_M01!A78="", "", "Marimba")</f>
        <v>Marimba</v>
      </c>
      <c r="B224" s="8721" t="str">
        <f>IF(Captura_Marimba_M01!A78="", "", Captura_Marimba_M01!N78)</f>
        <v>CM-MT-25-074</v>
      </c>
      <c r="C224" s="8722" t="str">
        <f>IF(Captura_Marimba_M01!A78="", "", IFERROR(LOOKUP(2, 1/((Captura_Obra!$A$5:$A$1000=E224)*(Captura_Obra!$B$5:$B$1000=F224)*(Captura_Obra!$D$5:$D$1000=G224)), Captura_Obra!$N$5:$N$1000), "No Reportado"))</f>
        <v>CO-MT-25-125</v>
      </c>
      <c r="D224" s="8723" t="str">
        <f>IF(Captura_Marimba_M01!A78="", "", IF(J224=0, "✅ Cuadrado", IF(I224=0, "❌ Falta en Obra", "⚠️ Dif")))</f>
        <v>✅ Cuadrado</v>
      </c>
      <c r="E224" s="8724">
        <f>IF(Captura_Marimba_M01!A78="", "", Captura_Marimba_M01!A78)</f>
        <v>46192</v>
      </c>
      <c r="F224" s="8725" t="str">
        <f>IF(Captura_Marimba_M01!A78="", "", Captura_Marimba_M01!C78)</f>
        <v>México-Toluca</v>
      </c>
      <c r="G224" s="8726" t="str">
        <f>IF(Captura_Marimba_M01!A78="", "", Captura_Marimba_M01!D78)</f>
        <v>NEUMATICO VOLVO PT-240R</v>
      </c>
      <c r="H224" s="8727">
        <f>IF(Captura_Marimba_M01!A78="", "", Captura_Marimba_M01!G78)</f>
        <v>84</v>
      </c>
      <c r="I224" s="8728">
        <f>IF(Captura_Marimba_M01!A78="", "", SUMIFS(Captura_Obra!$F:$F, Captura_Obra!$A:$A, E224, Captura_Obra!$B:$B, F224, Captura_Obra!$D:$D, G224))</f>
        <v>84</v>
      </c>
      <c r="J224" s="8729">
        <f>IF(Captura_Marimba_M01!A78="", "", H224 - I224)</f>
        <v>0</v>
      </c>
      <c r="K224" s="4033"/>
    </row>
    <row r="225" spans="1:11">
      <c r="A225" s="8730" t="str">
        <f>IF(Captura_Marimba_M01!A79="", "", "Marimba")</f>
        <v>Marimba</v>
      </c>
      <c r="B225" s="8731" t="str">
        <f>IF(Captura_Marimba_M01!A79="", "", Captura_Marimba_M01!N79)</f>
        <v>CM-MT-25-075</v>
      </c>
      <c r="C225" s="8732" t="str">
        <f>IF(Captura_Marimba_M01!A79="", "", IFERROR(LOOKUP(2, 1/((Captura_Obra!$A$5:$A$1000=E225)*(Captura_Obra!$B$5:$B$1000=F225)*(Captura_Obra!$D$5:$D$1000=G225)), Captura_Obra!$N$5:$N$1000), "No Reportado"))</f>
        <v>CO-MT-25-126</v>
      </c>
      <c r="D225" s="8733" t="str">
        <f>IF(Captura_Marimba_M01!A79="", "", IF(J225=0, "✅ Cuadrado", IF(I225=0, "❌ Falta en Obra", "⚠️ Dif")))</f>
        <v>✅ Cuadrado</v>
      </c>
      <c r="E225" s="8734">
        <f>IF(Captura_Marimba_M01!A79="", "", Captura_Marimba_M01!A79)</f>
        <v>46192</v>
      </c>
      <c r="F225" s="8735" t="str">
        <f>IF(Captura_Marimba_M01!A79="", "", Captura_Marimba_M01!C79)</f>
        <v>México-Toluca</v>
      </c>
      <c r="G225" s="8736" t="str">
        <f>IF(Captura_Marimba_M01!A79="", "", Captura_Marimba_M01!D79)</f>
        <v>RETROEXCAVADORA JHONDEREE 310SK</v>
      </c>
      <c r="H225" s="8737">
        <f>IF(Captura_Marimba_M01!A79="", "", Captura_Marimba_M01!G79)</f>
        <v>40</v>
      </c>
      <c r="I225" s="8738">
        <f>IF(Captura_Marimba_M01!A79="", "", SUMIFS(Captura_Obra!$F:$F, Captura_Obra!$A:$A, E225, Captura_Obra!$B:$B, F225, Captura_Obra!$D:$D, G225))</f>
        <v>40</v>
      </c>
      <c r="J225" s="8739">
        <f>IF(Captura_Marimba_M01!A79="", "", H225 - I225)</f>
        <v>0</v>
      </c>
      <c r="K225" s="4034"/>
    </row>
    <row r="226" spans="1:11">
      <c r="A226" s="8740" t="str">
        <f>IF(Captura_Marimba_M01!A80="", "", "Marimba")</f>
        <v>Marimba</v>
      </c>
      <c r="B226" s="8741" t="str">
        <f>IF(Captura_Marimba_M01!A80="", "", Captura_Marimba_M01!N80)</f>
        <v>CM-MT-25-076</v>
      </c>
      <c r="C226" s="8742" t="str">
        <f>IF(Captura_Marimba_M01!A80="", "", IFERROR(LOOKUP(2, 1/((Captura_Obra!$A$5:$A$1000=E226)*(Captura_Obra!$B$5:$B$1000=F226)*(Captura_Obra!$D$5:$D$1000=G226)), Captura_Obra!$N$5:$N$1000), "No Reportado"))</f>
        <v>CO-MT-25-127</v>
      </c>
      <c r="D226" s="8743" t="str">
        <f>IF(Captura_Marimba_M01!A80="", "", IF(J226=0, "✅ Cuadrado", IF(I226=0, "❌ Falta en Obra", "⚠️ Dif")))</f>
        <v>✅ Cuadrado</v>
      </c>
      <c r="E226" s="8744">
        <f>IF(Captura_Marimba_M01!A80="", "", Captura_Marimba_M01!A80)</f>
        <v>46192</v>
      </c>
      <c r="F226" s="8745" t="str">
        <f>IF(Captura_Marimba_M01!A80="", "", Captura_Marimba_M01!C80)</f>
        <v>México-Toluca</v>
      </c>
      <c r="G226" s="8746" t="str">
        <f>IF(Captura_Marimba_M01!A80="", "", Captura_Marimba_M01!D80)</f>
        <v>BARREDORA BROCE RJ350</v>
      </c>
      <c r="H226" s="8747">
        <f>IF(Captura_Marimba_M01!A80="", "", Captura_Marimba_M01!G80)</f>
        <v>30</v>
      </c>
      <c r="I226" s="8748">
        <f>IF(Captura_Marimba_M01!A80="", "", SUMIFS(Captura_Obra!$F:$F, Captura_Obra!$A:$A, E226, Captura_Obra!$B:$B, F226, Captura_Obra!$D:$D, G226))</f>
        <v>30</v>
      </c>
      <c r="J226" s="8749">
        <f>IF(Captura_Marimba_M01!A80="", "", H226 - I226)</f>
        <v>0</v>
      </c>
      <c r="K226" s="4035"/>
    </row>
    <row r="227" spans="1:11">
      <c r="A227" s="8750" t="str">
        <f>IF(Captura_Marimba_M01!A81="", "", "Marimba")</f>
        <v>Marimba</v>
      </c>
      <c r="B227" s="8751" t="str">
        <f>IF(Captura_Marimba_M01!A81="", "", Captura_Marimba_M01!N81)</f>
        <v>CM-MT-25-077</v>
      </c>
      <c r="C227" s="8752" t="str">
        <f>IF(Captura_Marimba_M01!A81="", "", IFERROR(LOOKUP(2, 1/((Captura_Obra!$A$5:$A$1000=E227)*(Captura_Obra!$B$5:$B$1000=F227)*(Captura_Obra!$D$5:$D$1000=G227)), Captura_Obra!$N$5:$N$1000), "No Reportado"))</f>
        <v>CO-MT-25-108</v>
      </c>
      <c r="D227" s="8753" t="str">
        <f>IF(Captura_Marimba_M01!A81="", "", IF(J227=0, "✅ Cuadrado", IF(I227=0, "❌ Falta en Obra", "⚠️ Dif")))</f>
        <v>⚠️ Dif</v>
      </c>
      <c r="E227" s="8754">
        <f>IF(Captura_Marimba_M01!A81="", "", Captura_Marimba_M01!A81)</f>
        <v>46191</v>
      </c>
      <c r="F227" s="8755" t="str">
        <f>IF(Captura_Marimba_M01!A81="", "", Captura_Marimba_M01!C81)</f>
        <v>México-Toluca</v>
      </c>
      <c r="G227" s="8756" t="str">
        <f>IF(Captura_Marimba_M01!A81="", "", Captura_Marimba_M01!D81)</f>
        <v>RETROEXCAVADORA JHONDEREE 310SK</v>
      </c>
      <c r="H227" s="8757">
        <f>IF(Captura_Marimba_M01!A81="", "", Captura_Marimba_M01!G81)</f>
        <v>32</v>
      </c>
      <c r="I227" s="8758">
        <f>IF(Captura_Marimba_M01!A81="", "", SUMIFS(Captura_Obra!$F:$F, Captura_Obra!$A:$A, E227, Captura_Obra!$B:$B, F227, Captura_Obra!$D:$D, G227))</f>
        <v>30</v>
      </c>
      <c r="J227" s="8759">
        <f>IF(Captura_Marimba_M01!A81="", "", H227 - I227)</f>
        <v>2</v>
      </c>
      <c r="K227" s="4036"/>
    </row>
    <row r="228" spans="1:11">
      <c r="A228" s="8760" t="str">
        <f>IF(Captura_Marimba_M01!A82="", "", "Marimba")</f>
        <v/>
      </c>
      <c r="B228" s="8761" t="str">
        <f>IF(Captura_Marimba_M01!A82="", "", Captura_Marimba_M01!N82)</f>
        <v/>
      </c>
      <c r="C228" s="8762" t="str">
        <f>IF(Captura_Marimba_M01!A82="", "", IFERROR(LOOKUP(2, 1/((Captura_Obra!$A$5:$A$1000=E228)*(Captura_Obra!$B$5:$B$1000=F228)*(Captura_Obra!$D$5:$D$1000=G228)), Captura_Obra!$N$5:$N$1000), "No Reportado"))</f>
        <v/>
      </c>
      <c r="D228" s="8763" t="str">
        <f>IF(Captura_Marimba_M01!A82="", "", IF(J228=0, "✅ Cuadrado", IF(I228=0, "❌ Falta en Obra", "⚠️ Dif")))</f>
        <v/>
      </c>
      <c r="E228" s="8764" t="str">
        <f>IF(Captura_Marimba_M01!A82="", "", Captura_Marimba_M01!A82)</f>
        <v/>
      </c>
      <c r="F228" s="8765" t="str">
        <f>IF(Captura_Marimba_M01!A82="", "", Captura_Marimba_M01!C82)</f>
        <v/>
      </c>
      <c r="G228" s="8766" t="str">
        <f>IF(Captura_Marimba_M01!A82="", "", Captura_Marimba_M01!D82)</f>
        <v/>
      </c>
      <c r="H228" s="8767" t="str">
        <f>IF(Captura_Marimba_M01!A82="", "", Captura_Marimba_M01!G82)</f>
        <v/>
      </c>
      <c r="I228" s="8768" t="str">
        <f>IF(Captura_Marimba_M01!A82="", "", SUMIFS(Captura_Obra!$F:$F, Captura_Obra!$A:$A, E228, Captura_Obra!$B:$B, F228, Captura_Obra!$D:$D, G228))</f>
        <v/>
      </c>
      <c r="J228" s="8769" t="str">
        <f>IF(Captura_Marimba_M01!A82="", "", H228 - I228)</f>
        <v/>
      </c>
      <c r="K228" s="4037"/>
    </row>
    <row r="229" spans="1:11">
      <c r="A229" s="8770" t="str">
        <f>IF(Captura_Marimba_M01!A83="", "", "Marimba")</f>
        <v/>
      </c>
      <c r="B229" s="8771" t="str">
        <f>IF(Captura_Marimba_M01!A83="", "", Captura_Marimba_M01!N83)</f>
        <v/>
      </c>
      <c r="C229" s="8772" t="str">
        <f>IF(Captura_Marimba_M01!A83="", "", IFERROR(LOOKUP(2, 1/((Captura_Obra!$A$5:$A$1000=E229)*(Captura_Obra!$B$5:$B$1000=F229)*(Captura_Obra!$D$5:$D$1000=G229)), Captura_Obra!$N$5:$N$1000), "No Reportado"))</f>
        <v/>
      </c>
      <c r="D229" s="8773" t="str">
        <f>IF(Captura_Marimba_M01!A83="", "", IF(J229=0, "✅ Cuadrado", IF(I229=0, "❌ Falta en Obra", "⚠️ Dif")))</f>
        <v/>
      </c>
      <c r="E229" s="8774" t="str">
        <f>IF(Captura_Marimba_M01!A83="", "", Captura_Marimba_M01!A83)</f>
        <v/>
      </c>
      <c r="F229" s="8775" t="str">
        <f>IF(Captura_Marimba_M01!A83="", "", Captura_Marimba_M01!C83)</f>
        <v/>
      </c>
      <c r="G229" s="8776" t="str">
        <f>IF(Captura_Marimba_M01!A83="", "", Captura_Marimba_M01!D83)</f>
        <v/>
      </c>
      <c r="H229" s="8777" t="str">
        <f>IF(Captura_Marimba_M01!A83="", "", Captura_Marimba_M01!G83)</f>
        <v/>
      </c>
      <c r="I229" s="8778" t="str">
        <f>IF(Captura_Marimba_M01!A83="", "", SUMIFS(Captura_Obra!$F:$F, Captura_Obra!$A:$A, E229, Captura_Obra!$B:$B, F229, Captura_Obra!$D:$D, G229))</f>
        <v/>
      </c>
      <c r="J229" s="8779" t="str">
        <f>IF(Captura_Marimba_M01!A83="", "", H229 - I229)</f>
        <v/>
      </c>
      <c r="K229" s="4038"/>
    </row>
    <row r="230" spans="1:11">
      <c r="A230" s="8780" t="str">
        <f>IF(Captura_Marimba_M01!A84="", "", "Marimba")</f>
        <v/>
      </c>
      <c r="B230" s="8781" t="str">
        <f>IF(Captura_Marimba_M01!A84="", "", Captura_Marimba_M01!N84)</f>
        <v/>
      </c>
      <c r="C230" s="8782" t="str">
        <f>IF(Captura_Marimba_M01!A84="", "", IFERROR(LOOKUP(2, 1/((Captura_Obra!$A$5:$A$1000=E230)*(Captura_Obra!$B$5:$B$1000=F230)*(Captura_Obra!$D$5:$D$1000=G230)), Captura_Obra!$N$5:$N$1000), "No Reportado"))</f>
        <v/>
      </c>
      <c r="D230" s="8783" t="str">
        <f>IF(Captura_Marimba_M01!A84="", "", IF(J230=0, "✅ Cuadrado", IF(I230=0, "❌ Falta en Obra", "⚠️ Dif")))</f>
        <v/>
      </c>
      <c r="E230" s="8784" t="str">
        <f>IF(Captura_Marimba_M01!A84="", "", Captura_Marimba_M01!A84)</f>
        <v/>
      </c>
      <c r="F230" s="8785" t="str">
        <f>IF(Captura_Marimba_M01!A84="", "", Captura_Marimba_M01!C84)</f>
        <v/>
      </c>
      <c r="G230" s="8786" t="str">
        <f>IF(Captura_Marimba_M01!A84="", "", Captura_Marimba_M01!D84)</f>
        <v/>
      </c>
      <c r="H230" s="8787" t="str">
        <f>IF(Captura_Marimba_M01!A84="", "", Captura_Marimba_M01!G84)</f>
        <v/>
      </c>
      <c r="I230" s="8788" t="str">
        <f>IF(Captura_Marimba_M01!A84="", "", SUMIFS(Captura_Obra!$F:$F, Captura_Obra!$A:$A, E230, Captura_Obra!$B:$B, F230, Captura_Obra!$D:$D, G230))</f>
        <v/>
      </c>
      <c r="J230" s="8789" t="str">
        <f>IF(Captura_Marimba_M01!A84="", "", H230 - I230)</f>
        <v/>
      </c>
      <c r="K230" s="4039"/>
    </row>
    <row r="231" spans="1:11">
      <c r="A231" s="8790" t="str">
        <f>IF(Captura_Marimba_M01!A85="", "", "Marimba")</f>
        <v/>
      </c>
      <c r="B231" s="8791" t="str">
        <f>IF(Captura_Marimba_M01!A85="", "", Captura_Marimba_M01!N85)</f>
        <v/>
      </c>
      <c r="C231" s="8792" t="str">
        <f>IF(Captura_Marimba_M01!A85="", "", IFERROR(LOOKUP(2, 1/((Captura_Obra!$A$5:$A$1000=E231)*(Captura_Obra!$B$5:$B$1000=F231)*(Captura_Obra!$D$5:$D$1000=G231)), Captura_Obra!$N$5:$N$1000), "No Reportado"))</f>
        <v/>
      </c>
      <c r="D231" s="8793" t="str">
        <f>IF(Captura_Marimba_M01!A85="", "", IF(J231=0, "✅ Cuadrado", IF(I231=0, "❌ Falta en Obra", "⚠️ Dif")))</f>
        <v/>
      </c>
      <c r="E231" s="8794" t="str">
        <f>IF(Captura_Marimba_M01!A85="", "", Captura_Marimba_M01!A85)</f>
        <v/>
      </c>
      <c r="F231" s="8795" t="str">
        <f>IF(Captura_Marimba_M01!A85="", "", Captura_Marimba_M01!C85)</f>
        <v/>
      </c>
      <c r="G231" s="8796" t="str">
        <f>IF(Captura_Marimba_M01!A85="", "", Captura_Marimba_M01!D85)</f>
        <v/>
      </c>
      <c r="H231" s="8797" t="str">
        <f>IF(Captura_Marimba_M01!A85="", "", Captura_Marimba_M01!G85)</f>
        <v/>
      </c>
      <c r="I231" s="8798" t="str">
        <f>IF(Captura_Marimba_M01!A85="", "", SUMIFS(Captura_Obra!$F:$F, Captura_Obra!$A:$A, E231, Captura_Obra!$B:$B, F231, Captura_Obra!$D:$D, G231))</f>
        <v/>
      </c>
      <c r="J231" s="8799" t="str">
        <f>IF(Captura_Marimba_M01!A85="", "", H231 - I231)</f>
        <v/>
      </c>
      <c r="K231" s="4040"/>
    </row>
    <row r="232" spans="1:11">
      <c r="A232" s="8800" t="str">
        <f>IF(Captura_Marimba_M01!A86="", "", "Marimba")</f>
        <v/>
      </c>
      <c r="B232" s="8801" t="str">
        <f>IF(Captura_Marimba_M01!A86="", "", Captura_Marimba_M01!N86)</f>
        <v/>
      </c>
      <c r="C232" s="8802" t="str">
        <f>IF(Captura_Marimba_M01!A86="", "", IFERROR(LOOKUP(2, 1/((Captura_Obra!$A$5:$A$1000=E232)*(Captura_Obra!$B$5:$B$1000=F232)*(Captura_Obra!$D$5:$D$1000=G232)), Captura_Obra!$N$5:$N$1000), "No Reportado"))</f>
        <v/>
      </c>
      <c r="D232" s="8803" t="str">
        <f>IF(Captura_Marimba_M01!A86="", "", IF(J232=0, "✅ Cuadrado", IF(I232=0, "❌ Falta en Obra", "⚠️ Dif")))</f>
        <v/>
      </c>
      <c r="E232" s="8804" t="str">
        <f>IF(Captura_Marimba_M01!A86="", "", Captura_Marimba_M01!A86)</f>
        <v/>
      </c>
      <c r="F232" s="8805" t="str">
        <f>IF(Captura_Marimba_M01!A86="", "", Captura_Marimba_M01!C86)</f>
        <v/>
      </c>
      <c r="G232" s="8806" t="str">
        <f>IF(Captura_Marimba_M01!A86="", "", Captura_Marimba_M01!D86)</f>
        <v/>
      </c>
      <c r="H232" s="8807" t="str">
        <f>IF(Captura_Marimba_M01!A86="", "", Captura_Marimba_M01!G86)</f>
        <v/>
      </c>
      <c r="I232" s="8808" t="str">
        <f>IF(Captura_Marimba_M01!A86="", "", SUMIFS(Captura_Obra!$F:$F, Captura_Obra!$A:$A, E232, Captura_Obra!$B:$B, F232, Captura_Obra!$D:$D, G232))</f>
        <v/>
      </c>
      <c r="J232" s="8809" t="str">
        <f>IF(Captura_Marimba_M01!A86="", "", H232 - I232)</f>
        <v/>
      </c>
      <c r="K232" s="4041"/>
    </row>
    <row r="233" spans="1:11">
      <c r="A233" s="8810" t="str">
        <f>IF(Captura_Marimba_M01!A87="", "", "Marimba")</f>
        <v/>
      </c>
      <c r="B233" s="8811" t="str">
        <f>IF(Captura_Marimba_M01!A87="", "", Captura_Marimba_M01!N87)</f>
        <v/>
      </c>
      <c r="C233" s="8812" t="str">
        <f>IF(Captura_Marimba_M01!A87="", "", IFERROR(LOOKUP(2, 1/((Captura_Obra!$A$5:$A$1000=E233)*(Captura_Obra!$B$5:$B$1000=F233)*(Captura_Obra!$D$5:$D$1000=G233)), Captura_Obra!$N$5:$N$1000), "No Reportado"))</f>
        <v/>
      </c>
      <c r="D233" s="8813" t="str">
        <f>IF(Captura_Marimba_M01!A87="", "", IF(J233=0, "✅ Cuadrado", IF(I233=0, "❌ Falta en Obra", "⚠️ Dif")))</f>
        <v/>
      </c>
      <c r="E233" s="8814" t="str">
        <f>IF(Captura_Marimba_M01!A87="", "", Captura_Marimba_M01!A87)</f>
        <v/>
      </c>
      <c r="F233" s="8815" t="str">
        <f>IF(Captura_Marimba_M01!A87="", "", Captura_Marimba_M01!C87)</f>
        <v/>
      </c>
      <c r="G233" s="8816" t="str">
        <f>IF(Captura_Marimba_M01!A87="", "", Captura_Marimba_M01!D87)</f>
        <v/>
      </c>
      <c r="H233" s="8817" t="str">
        <f>IF(Captura_Marimba_M01!A87="", "", Captura_Marimba_M01!G87)</f>
        <v/>
      </c>
      <c r="I233" s="8818" t="str">
        <f>IF(Captura_Marimba_M01!A87="", "", SUMIFS(Captura_Obra!$F:$F, Captura_Obra!$A:$A, E233, Captura_Obra!$B:$B, F233, Captura_Obra!$D:$D, G233))</f>
        <v/>
      </c>
      <c r="J233" s="8819" t="str">
        <f>IF(Captura_Marimba_M01!A87="", "", H233 - I233)</f>
        <v/>
      </c>
      <c r="K233" s="4042"/>
    </row>
    <row r="234" spans="1:11">
      <c r="A234" s="8820" t="str">
        <f>IF(Captura_Marimba_M01!A88="", "", "Marimba")</f>
        <v/>
      </c>
      <c r="B234" s="8821" t="str">
        <f>IF(Captura_Marimba_M01!A88="", "", Captura_Marimba_M01!N88)</f>
        <v/>
      </c>
      <c r="C234" s="8822" t="str">
        <f>IF(Captura_Marimba_M01!A88="", "", IFERROR(LOOKUP(2, 1/((Captura_Obra!$A$5:$A$1000=E234)*(Captura_Obra!$B$5:$B$1000=F234)*(Captura_Obra!$D$5:$D$1000=G234)), Captura_Obra!$N$5:$N$1000), "No Reportado"))</f>
        <v/>
      </c>
      <c r="D234" s="8823" t="str">
        <f>IF(Captura_Marimba_M01!A88="", "", IF(J234=0, "✅ Cuadrado", IF(I234=0, "❌ Falta en Obra", "⚠️ Dif")))</f>
        <v/>
      </c>
      <c r="E234" s="8824" t="str">
        <f>IF(Captura_Marimba_M01!A88="", "", Captura_Marimba_M01!A88)</f>
        <v/>
      </c>
      <c r="F234" s="8825" t="str">
        <f>IF(Captura_Marimba_M01!A88="", "", Captura_Marimba_M01!C88)</f>
        <v/>
      </c>
      <c r="G234" s="8826" t="str">
        <f>IF(Captura_Marimba_M01!A88="", "", Captura_Marimba_M01!D88)</f>
        <v/>
      </c>
      <c r="H234" s="8827" t="str">
        <f>IF(Captura_Marimba_M01!A88="", "", Captura_Marimba_M01!G88)</f>
        <v/>
      </c>
      <c r="I234" s="8828" t="str">
        <f>IF(Captura_Marimba_M01!A88="", "", SUMIFS(Captura_Obra!$F:$F, Captura_Obra!$A:$A, E234, Captura_Obra!$B:$B, F234, Captura_Obra!$D:$D, G234))</f>
        <v/>
      </c>
      <c r="J234" s="8829" t="str">
        <f>IF(Captura_Marimba_M01!A88="", "", H234 - I234)</f>
        <v/>
      </c>
      <c r="K234" s="4043"/>
    </row>
    <row r="235" spans="1:11">
      <c r="A235" s="8830" t="str">
        <f>IF(Captura_Marimba_M01!A89="", "", "Marimba")</f>
        <v/>
      </c>
      <c r="B235" s="8831" t="str">
        <f>IF(Captura_Marimba_M01!A89="", "", Captura_Marimba_M01!N89)</f>
        <v/>
      </c>
      <c r="C235" s="8832" t="str">
        <f>IF(Captura_Marimba_M01!A89="", "", IFERROR(LOOKUP(2, 1/((Captura_Obra!$A$5:$A$1000=E235)*(Captura_Obra!$B$5:$B$1000=F235)*(Captura_Obra!$D$5:$D$1000=G235)), Captura_Obra!$N$5:$N$1000), "No Reportado"))</f>
        <v/>
      </c>
      <c r="D235" s="8833" t="str">
        <f>IF(Captura_Marimba_M01!A89="", "", IF(J235=0, "✅ Cuadrado", IF(I235=0, "❌ Falta en Obra", "⚠️ Dif")))</f>
        <v/>
      </c>
      <c r="E235" s="8834" t="str">
        <f>IF(Captura_Marimba_M01!A89="", "", Captura_Marimba_M01!A89)</f>
        <v/>
      </c>
      <c r="F235" s="8835" t="str">
        <f>IF(Captura_Marimba_M01!A89="", "", Captura_Marimba_M01!C89)</f>
        <v/>
      </c>
      <c r="G235" s="8836" t="str">
        <f>IF(Captura_Marimba_M01!A89="", "", Captura_Marimba_M01!D89)</f>
        <v/>
      </c>
      <c r="H235" s="8837" t="str">
        <f>IF(Captura_Marimba_M01!A89="", "", Captura_Marimba_M01!G89)</f>
        <v/>
      </c>
      <c r="I235" s="8838" t="str">
        <f>IF(Captura_Marimba_M01!A89="", "", SUMIFS(Captura_Obra!$F:$F, Captura_Obra!$A:$A, E235, Captura_Obra!$B:$B, F235, Captura_Obra!$D:$D, G235))</f>
        <v/>
      </c>
      <c r="J235" s="8839" t="str">
        <f>IF(Captura_Marimba_M01!A89="", "", H235 - I235)</f>
        <v/>
      </c>
      <c r="K235" s="4044"/>
    </row>
    <row r="236" spans="1:11">
      <c r="A236" s="8840" t="str">
        <f>IF(Captura_Marimba_M01!A90="", "", "Marimba")</f>
        <v/>
      </c>
      <c r="B236" s="8841" t="str">
        <f>IF(Captura_Marimba_M01!A90="", "", Captura_Marimba_M01!N90)</f>
        <v/>
      </c>
      <c r="C236" s="8842" t="str">
        <f>IF(Captura_Marimba_M01!A90="", "", IFERROR(LOOKUP(2, 1/((Captura_Obra!$A$5:$A$1000=E236)*(Captura_Obra!$B$5:$B$1000=F236)*(Captura_Obra!$D$5:$D$1000=G236)), Captura_Obra!$N$5:$N$1000), "No Reportado"))</f>
        <v/>
      </c>
      <c r="D236" s="8843" t="str">
        <f>IF(Captura_Marimba_M01!A90="", "", IF(J236=0, "✅ Cuadrado", IF(I236=0, "❌ Falta en Obra", "⚠️ Dif")))</f>
        <v/>
      </c>
      <c r="E236" s="8844" t="str">
        <f>IF(Captura_Marimba_M01!A90="", "", Captura_Marimba_M01!A90)</f>
        <v/>
      </c>
      <c r="F236" s="8845" t="str">
        <f>IF(Captura_Marimba_M01!A90="", "", Captura_Marimba_M01!C90)</f>
        <v/>
      </c>
      <c r="G236" s="8846" t="str">
        <f>IF(Captura_Marimba_M01!A90="", "", Captura_Marimba_M01!D90)</f>
        <v/>
      </c>
      <c r="H236" s="8847" t="str">
        <f>IF(Captura_Marimba_M01!A90="", "", Captura_Marimba_M01!G90)</f>
        <v/>
      </c>
      <c r="I236" s="8848" t="str">
        <f>IF(Captura_Marimba_M01!A90="", "", SUMIFS(Captura_Obra!$F:$F, Captura_Obra!$A:$A, E236, Captura_Obra!$B:$B, F236, Captura_Obra!$D:$D, G236))</f>
        <v/>
      </c>
      <c r="J236" s="8849" t="str">
        <f>IF(Captura_Marimba_M01!A90="", "", H236 - I236)</f>
        <v/>
      </c>
      <c r="K236" s="4045"/>
    </row>
    <row r="237" spans="1:11">
      <c r="A237" s="8850" t="str">
        <f>IF(Captura_Marimba_M01!A91="", "", "Marimba")</f>
        <v/>
      </c>
      <c r="B237" s="8851" t="str">
        <f>IF(Captura_Marimba_M01!A91="", "", Captura_Marimba_M01!N91)</f>
        <v/>
      </c>
      <c r="C237" s="8852" t="str">
        <f>IF(Captura_Marimba_M01!A91="", "", IFERROR(LOOKUP(2, 1/((Captura_Obra!$A$5:$A$1000=E237)*(Captura_Obra!$B$5:$B$1000=F237)*(Captura_Obra!$D$5:$D$1000=G237)), Captura_Obra!$N$5:$N$1000), "No Reportado"))</f>
        <v/>
      </c>
      <c r="D237" s="8853" t="str">
        <f>IF(Captura_Marimba_M01!A91="", "", IF(J237=0, "✅ Cuadrado", IF(I237=0, "❌ Falta en Obra", "⚠️ Dif")))</f>
        <v/>
      </c>
      <c r="E237" s="8854" t="str">
        <f>IF(Captura_Marimba_M01!A91="", "", Captura_Marimba_M01!A91)</f>
        <v/>
      </c>
      <c r="F237" s="8855" t="str">
        <f>IF(Captura_Marimba_M01!A91="", "", Captura_Marimba_M01!C91)</f>
        <v/>
      </c>
      <c r="G237" s="8856" t="str">
        <f>IF(Captura_Marimba_M01!A91="", "", Captura_Marimba_M01!D91)</f>
        <v/>
      </c>
      <c r="H237" s="8857" t="str">
        <f>IF(Captura_Marimba_M01!A91="", "", Captura_Marimba_M01!G91)</f>
        <v/>
      </c>
      <c r="I237" s="8858" t="str">
        <f>IF(Captura_Marimba_M01!A91="", "", SUMIFS(Captura_Obra!$F:$F, Captura_Obra!$A:$A, E237, Captura_Obra!$B:$B, F237, Captura_Obra!$D:$D, G237))</f>
        <v/>
      </c>
      <c r="J237" s="8859" t="str">
        <f>IF(Captura_Marimba_M01!A91="", "", H237 - I237)</f>
        <v/>
      </c>
      <c r="K237" s="4046"/>
    </row>
    <row r="238" spans="1:11">
      <c r="A238" s="8860" t="str">
        <f>IF(Captura_Marimba_M01!A92="", "", "Marimba")</f>
        <v/>
      </c>
      <c r="B238" s="8861" t="str">
        <f>IF(Captura_Marimba_M01!A92="", "", Captura_Marimba_M01!N92)</f>
        <v/>
      </c>
      <c r="C238" s="8862" t="str">
        <f>IF(Captura_Marimba_M01!A92="", "", IFERROR(LOOKUP(2, 1/((Captura_Obra!$A$5:$A$1000=E238)*(Captura_Obra!$B$5:$B$1000=F238)*(Captura_Obra!$D$5:$D$1000=G238)), Captura_Obra!$N$5:$N$1000), "No Reportado"))</f>
        <v/>
      </c>
      <c r="D238" s="8863" t="str">
        <f>IF(Captura_Marimba_M01!A92="", "", IF(J238=0, "✅ Cuadrado", IF(I238=0, "❌ Falta en Obra", "⚠️ Dif")))</f>
        <v/>
      </c>
      <c r="E238" s="8864" t="str">
        <f>IF(Captura_Marimba_M01!A92="", "", Captura_Marimba_M01!A92)</f>
        <v/>
      </c>
      <c r="F238" s="8865" t="str">
        <f>IF(Captura_Marimba_M01!A92="", "", Captura_Marimba_M01!C92)</f>
        <v/>
      </c>
      <c r="G238" s="8866" t="str">
        <f>IF(Captura_Marimba_M01!A92="", "", Captura_Marimba_M01!D92)</f>
        <v/>
      </c>
      <c r="H238" s="8867" t="str">
        <f>IF(Captura_Marimba_M01!A92="", "", Captura_Marimba_M01!G92)</f>
        <v/>
      </c>
      <c r="I238" s="8868" t="str">
        <f>IF(Captura_Marimba_M01!A92="", "", SUMIFS(Captura_Obra!$F:$F, Captura_Obra!$A:$A, E238, Captura_Obra!$B:$B, F238, Captura_Obra!$D:$D, G238))</f>
        <v/>
      </c>
      <c r="J238" s="8869" t="str">
        <f>IF(Captura_Marimba_M01!A92="", "", H238 - I238)</f>
        <v/>
      </c>
      <c r="K238" s="4047"/>
    </row>
    <row r="239" spans="1:11">
      <c r="A239" s="8870" t="str">
        <f>IF(Captura_Marimba_M01!A93="", "", "Marimba")</f>
        <v/>
      </c>
      <c r="B239" s="8871" t="str">
        <f>IF(Captura_Marimba_M01!A93="", "", Captura_Marimba_M01!N93)</f>
        <v/>
      </c>
      <c r="C239" s="8872" t="str">
        <f>IF(Captura_Marimba_M01!A93="", "", IFERROR(LOOKUP(2, 1/((Captura_Obra!$A$5:$A$1000=E239)*(Captura_Obra!$B$5:$B$1000=F239)*(Captura_Obra!$D$5:$D$1000=G239)), Captura_Obra!$N$5:$N$1000), "No Reportado"))</f>
        <v/>
      </c>
      <c r="D239" s="8873" t="str">
        <f>IF(Captura_Marimba_M01!A93="", "", IF(J239=0, "✅ Cuadrado", IF(I239=0, "❌ Falta en Obra", "⚠️ Dif")))</f>
        <v/>
      </c>
      <c r="E239" s="8874" t="str">
        <f>IF(Captura_Marimba_M01!A93="", "", Captura_Marimba_M01!A93)</f>
        <v/>
      </c>
      <c r="F239" s="8875" t="str">
        <f>IF(Captura_Marimba_M01!A93="", "", Captura_Marimba_M01!C93)</f>
        <v/>
      </c>
      <c r="G239" s="8876" t="str">
        <f>IF(Captura_Marimba_M01!A93="", "", Captura_Marimba_M01!D93)</f>
        <v/>
      </c>
      <c r="H239" s="8877" t="str">
        <f>IF(Captura_Marimba_M01!A93="", "", Captura_Marimba_M01!G93)</f>
        <v/>
      </c>
      <c r="I239" s="8878" t="str">
        <f>IF(Captura_Marimba_M01!A93="", "", SUMIFS(Captura_Obra!$F:$F, Captura_Obra!$A:$A, E239, Captura_Obra!$B:$B, F239, Captura_Obra!$D:$D, G239))</f>
        <v/>
      </c>
      <c r="J239" s="8879" t="str">
        <f>IF(Captura_Marimba_M01!A93="", "", H239 - I239)</f>
        <v/>
      </c>
      <c r="K239" s="4048"/>
    </row>
    <row r="240" spans="1:11">
      <c r="A240" s="8880" t="str">
        <f>IF(Captura_Marimba_M01!A94="", "", "Marimba")</f>
        <v/>
      </c>
      <c r="B240" s="8881" t="str">
        <f>IF(Captura_Marimba_M01!A94="", "", Captura_Marimba_M01!N94)</f>
        <v/>
      </c>
      <c r="C240" s="8882" t="str">
        <f>IF(Captura_Marimba_M01!A94="", "", IFERROR(LOOKUP(2, 1/((Captura_Obra!$A$5:$A$1000=E240)*(Captura_Obra!$B$5:$B$1000=F240)*(Captura_Obra!$D$5:$D$1000=G240)), Captura_Obra!$N$5:$N$1000), "No Reportado"))</f>
        <v/>
      </c>
      <c r="D240" s="8883" t="str">
        <f>IF(Captura_Marimba_M01!A94="", "", IF(J240=0, "✅ Cuadrado", IF(I240=0, "❌ Falta en Obra", "⚠️ Dif")))</f>
        <v/>
      </c>
      <c r="E240" s="8884" t="str">
        <f>IF(Captura_Marimba_M01!A94="", "", Captura_Marimba_M01!A94)</f>
        <v/>
      </c>
      <c r="F240" s="8885" t="str">
        <f>IF(Captura_Marimba_M01!A94="", "", Captura_Marimba_M01!C94)</f>
        <v/>
      </c>
      <c r="G240" s="8886" t="str">
        <f>IF(Captura_Marimba_M01!A94="", "", Captura_Marimba_M01!D94)</f>
        <v/>
      </c>
      <c r="H240" s="8887" t="str">
        <f>IF(Captura_Marimba_M01!A94="", "", Captura_Marimba_M01!G94)</f>
        <v/>
      </c>
      <c r="I240" s="8888" t="str">
        <f>IF(Captura_Marimba_M01!A94="", "", SUMIFS(Captura_Obra!$F:$F, Captura_Obra!$A:$A, E240, Captura_Obra!$B:$B, F240, Captura_Obra!$D:$D, G240))</f>
        <v/>
      </c>
      <c r="J240" s="8889" t="str">
        <f>IF(Captura_Marimba_M01!A94="", "", H240 - I240)</f>
        <v/>
      </c>
      <c r="K240" s="4049"/>
    </row>
    <row r="241" spans="1:11">
      <c r="A241" s="8890" t="str">
        <f>IF(Captura_Marimba_M01!A95="", "", "Marimba")</f>
        <v/>
      </c>
      <c r="B241" s="8891" t="str">
        <f>IF(Captura_Marimba_M01!A95="", "", Captura_Marimba_M01!N95)</f>
        <v/>
      </c>
      <c r="C241" s="8892" t="str">
        <f>IF(Captura_Marimba_M01!A95="", "", IFERROR(LOOKUP(2, 1/((Captura_Obra!$A$5:$A$1000=E241)*(Captura_Obra!$B$5:$B$1000=F241)*(Captura_Obra!$D$5:$D$1000=G241)), Captura_Obra!$N$5:$N$1000), "No Reportado"))</f>
        <v/>
      </c>
      <c r="D241" s="8893" t="str">
        <f>IF(Captura_Marimba_M01!A95="", "", IF(J241=0, "✅ Cuadrado", IF(I241=0, "❌ Falta en Obra", "⚠️ Dif")))</f>
        <v/>
      </c>
      <c r="E241" s="8894" t="str">
        <f>IF(Captura_Marimba_M01!A95="", "", Captura_Marimba_M01!A95)</f>
        <v/>
      </c>
      <c r="F241" s="8895" t="str">
        <f>IF(Captura_Marimba_M01!A95="", "", Captura_Marimba_M01!C95)</f>
        <v/>
      </c>
      <c r="G241" s="8896" t="str">
        <f>IF(Captura_Marimba_M01!A95="", "", Captura_Marimba_M01!D95)</f>
        <v/>
      </c>
      <c r="H241" s="8897" t="str">
        <f>IF(Captura_Marimba_M01!A95="", "", Captura_Marimba_M01!G95)</f>
        <v/>
      </c>
      <c r="I241" s="8898" t="str">
        <f>IF(Captura_Marimba_M01!A95="", "", SUMIFS(Captura_Obra!$F:$F, Captura_Obra!$A:$A, E241, Captura_Obra!$B:$B, F241, Captura_Obra!$D:$D, G241))</f>
        <v/>
      </c>
      <c r="J241" s="8899" t="str">
        <f>IF(Captura_Marimba_M01!A95="", "", H241 - I241)</f>
        <v/>
      </c>
      <c r="K241" s="4050"/>
    </row>
    <row r="242" spans="1:11">
      <c r="A242" s="8900" t="str">
        <f>IF(Captura_Marimba_M01!A96="", "", "Marimba")</f>
        <v/>
      </c>
      <c r="B242" s="8901" t="str">
        <f>IF(Captura_Marimba_M01!A96="", "", Captura_Marimba_M01!N96)</f>
        <v/>
      </c>
      <c r="C242" s="8902" t="str">
        <f>IF(Captura_Marimba_M01!A96="", "", IFERROR(LOOKUP(2, 1/((Captura_Obra!$A$5:$A$1000=E242)*(Captura_Obra!$B$5:$B$1000=F242)*(Captura_Obra!$D$5:$D$1000=G242)), Captura_Obra!$N$5:$N$1000), "No Reportado"))</f>
        <v/>
      </c>
      <c r="D242" s="8903" t="str">
        <f>IF(Captura_Marimba_M01!A96="", "", IF(J242=0, "✅ Cuadrado", IF(I242=0, "❌ Falta en Obra", "⚠️ Dif")))</f>
        <v/>
      </c>
      <c r="E242" s="8904" t="str">
        <f>IF(Captura_Marimba_M01!A96="", "", Captura_Marimba_M01!A96)</f>
        <v/>
      </c>
      <c r="F242" s="8905" t="str">
        <f>IF(Captura_Marimba_M01!A96="", "", Captura_Marimba_M01!C96)</f>
        <v/>
      </c>
      <c r="G242" s="8906" t="str">
        <f>IF(Captura_Marimba_M01!A96="", "", Captura_Marimba_M01!D96)</f>
        <v/>
      </c>
      <c r="H242" s="8907" t="str">
        <f>IF(Captura_Marimba_M01!A96="", "", Captura_Marimba_M01!G96)</f>
        <v/>
      </c>
      <c r="I242" s="8908" t="str">
        <f>IF(Captura_Marimba_M01!A96="", "", SUMIFS(Captura_Obra!$F:$F, Captura_Obra!$A:$A, E242, Captura_Obra!$B:$B, F242, Captura_Obra!$D:$D, G242))</f>
        <v/>
      </c>
      <c r="J242" s="8909" t="str">
        <f>IF(Captura_Marimba_M01!A96="", "", H242 - I242)</f>
        <v/>
      </c>
      <c r="K242" s="4051"/>
    </row>
    <row r="243" spans="1:11">
      <c r="A243" s="8910" t="str">
        <f>IF(Captura_Marimba_M01!A97="", "", "Marimba")</f>
        <v/>
      </c>
      <c r="B243" s="8911" t="str">
        <f>IF(Captura_Marimba_M01!A97="", "", Captura_Marimba_M01!N97)</f>
        <v/>
      </c>
      <c r="C243" s="8912" t="str">
        <f>IF(Captura_Marimba_M01!A97="", "", IFERROR(LOOKUP(2, 1/((Captura_Obra!$A$5:$A$1000=E243)*(Captura_Obra!$B$5:$B$1000=F243)*(Captura_Obra!$D$5:$D$1000=G243)), Captura_Obra!$N$5:$N$1000), "No Reportado"))</f>
        <v/>
      </c>
      <c r="D243" s="8913" t="str">
        <f>IF(Captura_Marimba_M01!A97="", "", IF(J243=0, "✅ Cuadrado", IF(I243=0, "❌ Falta en Obra", "⚠️ Dif")))</f>
        <v/>
      </c>
      <c r="E243" s="8914" t="str">
        <f>IF(Captura_Marimba_M01!A97="", "", Captura_Marimba_M01!A97)</f>
        <v/>
      </c>
      <c r="F243" s="8915" t="str">
        <f>IF(Captura_Marimba_M01!A97="", "", Captura_Marimba_M01!C97)</f>
        <v/>
      </c>
      <c r="G243" s="8916" t="str">
        <f>IF(Captura_Marimba_M01!A97="", "", Captura_Marimba_M01!D97)</f>
        <v/>
      </c>
      <c r="H243" s="8917" t="str">
        <f>IF(Captura_Marimba_M01!A97="", "", Captura_Marimba_M01!G97)</f>
        <v/>
      </c>
      <c r="I243" s="8918" t="str">
        <f>IF(Captura_Marimba_M01!A97="", "", SUMIFS(Captura_Obra!$F:$F, Captura_Obra!$A:$A, E243, Captura_Obra!$B:$B, F243, Captura_Obra!$D:$D, G243))</f>
        <v/>
      </c>
      <c r="J243" s="8919" t="str">
        <f>IF(Captura_Marimba_M01!A97="", "", H243 - I243)</f>
        <v/>
      </c>
      <c r="K243" s="4052"/>
    </row>
    <row r="244" spans="1:11">
      <c r="A244" s="8920" t="str">
        <f>IF(Captura_Marimba_M01!A98="", "", "Marimba")</f>
        <v/>
      </c>
      <c r="B244" s="8921" t="str">
        <f>IF(Captura_Marimba_M01!A98="", "", Captura_Marimba_M01!N98)</f>
        <v/>
      </c>
      <c r="C244" s="8922" t="str">
        <f>IF(Captura_Marimba_M01!A98="", "", IFERROR(LOOKUP(2, 1/((Captura_Obra!$A$5:$A$1000=E244)*(Captura_Obra!$B$5:$B$1000=F244)*(Captura_Obra!$D$5:$D$1000=G244)), Captura_Obra!$N$5:$N$1000), "No Reportado"))</f>
        <v/>
      </c>
      <c r="D244" s="8923" t="str">
        <f>IF(Captura_Marimba_M01!A98="", "", IF(J244=0, "✅ Cuadrado", IF(I244=0, "❌ Falta en Obra", "⚠️ Dif")))</f>
        <v/>
      </c>
      <c r="E244" s="8924" t="str">
        <f>IF(Captura_Marimba_M01!A98="", "", Captura_Marimba_M01!A98)</f>
        <v/>
      </c>
      <c r="F244" s="8925" t="str">
        <f>IF(Captura_Marimba_M01!A98="", "", Captura_Marimba_M01!C98)</f>
        <v/>
      </c>
      <c r="G244" s="8926" t="str">
        <f>IF(Captura_Marimba_M01!A98="", "", Captura_Marimba_M01!D98)</f>
        <v/>
      </c>
      <c r="H244" s="8927" t="str">
        <f>IF(Captura_Marimba_M01!A98="", "", Captura_Marimba_M01!G98)</f>
        <v/>
      </c>
      <c r="I244" s="8928" t="str">
        <f>IF(Captura_Marimba_M01!A98="", "", SUMIFS(Captura_Obra!$F:$F, Captura_Obra!$A:$A, E244, Captura_Obra!$B:$B, F244, Captura_Obra!$D:$D, G244))</f>
        <v/>
      </c>
      <c r="J244" s="8929" t="str">
        <f>IF(Captura_Marimba_M01!A98="", "", H244 - I244)</f>
        <v/>
      </c>
      <c r="K244" s="4053"/>
    </row>
    <row r="245" spans="1:11">
      <c r="A245" s="8930" t="str">
        <f>IF(Captura_Marimba_M01!A99="", "", "Marimba")</f>
        <v/>
      </c>
      <c r="B245" s="8931" t="str">
        <f>IF(Captura_Marimba_M01!A99="", "", Captura_Marimba_M01!N99)</f>
        <v/>
      </c>
      <c r="C245" s="8932" t="str">
        <f>IF(Captura_Marimba_M01!A99="", "", IFERROR(LOOKUP(2, 1/((Captura_Obra!$A$5:$A$1000=E245)*(Captura_Obra!$B$5:$B$1000=F245)*(Captura_Obra!$D$5:$D$1000=G245)), Captura_Obra!$N$5:$N$1000), "No Reportado"))</f>
        <v/>
      </c>
      <c r="D245" s="8933" t="str">
        <f>IF(Captura_Marimba_M01!A99="", "", IF(J245=0, "✅ Cuadrado", IF(I245=0, "❌ Falta en Obra", "⚠️ Dif")))</f>
        <v/>
      </c>
      <c r="E245" s="8934" t="str">
        <f>IF(Captura_Marimba_M01!A99="", "", Captura_Marimba_M01!A99)</f>
        <v/>
      </c>
      <c r="F245" s="8935" t="str">
        <f>IF(Captura_Marimba_M01!A99="", "", Captura_Marimba_M01!C99)</f>
        <v/>
      </c>
      <c r="G245" s="8936" t="str">
        <f>IF(Captura_Marimba_M01!A99="", "", Captura_Marimba_M01!D99)</f>
        <v/>
      </c>
      <c r="H245" s="8937" t="str">
        <f>IF(Captura_Marimba_M01!A99="", "", Captura_Marimba_M01!G99)</f>
        <v/>
      </c>
      <c r="I245" s="8938" t="str">
        <f>IF(Captura_Marimba_M01!A99="", "", SUMIFS(Captura_Obra!$F:$F, Captura_Obra!$A:$A, E245, Captura_Obra!$B:$B, F245, Captura_Obra!$D:$D, G245))</f>
        <v/>
      </c>
      <c r="J245" s="8939" t="str">
        <f>IF(Captura_Marimba_M01!A99="", "", H245 - I245)</f>
        <v/>
      </c>
      <c r="K245" s="4054"/>
    </row>
    <row r="246" spans="1:11">
      <c r="A246" s="8940" t="str">
        <f>IF(Captura_Marimba_M01!A100="", "", "Marimba")</f>
        <v/>
      </c>
      <c r="B246" s="8941" t="str">
        <f>IF(Captura_Marimba_M01!A100="", "", Captura_Marimba_M01!N100)</f>
        <v/>
      </c>
      <c r="C246" s="8942" t="str">
        <f>IF(Captura_Marimba_M01!A100="", "", IFERROR(LOOKUP(2, 1/((Captura_Obra!$A$5:$A$1000=E246)*(Captura_Obra!$B$5:$B$1000=F246)*(Captura_Obra!$D$5:$D$1000=G246)), Captura_Obra!$N$5:$N$1000), "No Reportado"))</f>
        <v/>
      </c>
      <c r="D246" s="8943" t="str">
        <f>IF(Captura_Marimba_M01!A100="", "", IF(J246=0, "✅ Cuadrado", IF(I246=0, "❌ Falta en Obra", "⚠️ Dif")))</f>
        <v/>
      </c>
      <c r="E246" s="8944" t="str">
        <f>IF(Captura_Marimba_M01!A100="", "", Captura_Marimba_M01!A100)</f>
        <v/>
      </c>
      <c r="F246" s="8945" t="str">
        <f>IF(Captura_Marimba_M01!A100="", "", Captura_Marimba_M01!C100)</f>
        <v/>
      </c>
      <c r="G246" s="8946" t="str">
        <f>IF(Captura_Marimba_M01!A100="", "", Captura_Marimba_M01!D100)</f>
        <v/>
      </c>
      <c r="H246" s="8947" t="str">
        <f>IF(Captura_Marimba_M01!A100="", "", Captura_Marimba_M01!G100)</f>
        <v/>
      </c>
      <c r="I246" s="8948" t="str">
        <f>IF(Captura_Marimba_M01!A100="", "", SUMIFS(Captura_Obra!$F:$F, Captura_Obra!$A:$A, E246, Captura_Obra!$B:$B, F246, Captura_Obra!$D:$D, G246))</f>
        <v/>
      </c>
      <c r="J246" s="8949" t="str">
        <f>IF(Captura_Marimba_M01!A100="", "", H246 - I246)</f>
        <v/>
      </c>
      <c r="K246" s="4055"/>
    </row>
    <row r="247" spans="1:11">
      <c r="A247" s="8950" t="str">
        <f>IF(Captura_Marimba_M01!A101="", "", "Marimba")</f>
        <v/>
      </c>
      <c r="B247" s="8951" t="str">
        <f>IF(Captura_Marimba_M01!A101="", "", Captura_Marimba_M01!N101)</f>
        <v/>
      </c>
      <c r="C247" s="8952" t="str">
        <f>IF(Captura_Marimba_M01!A101="", "", IFERROR(LOOKUP(2, 1/((Captura_Obra!$A$5:$A$1000=E247)*(Captura_Obra!$B$5:$B$1000=F247)*(Captura_Obra!$D$5:$D$1000=G247)), Captura_Obra!$N$5:$N$1000), "No Reportado"))</f>
        <v/>
      </c>
      <c r="D247" s="8953" t="str">
        <f>IF(Captura_Marimba_M01!A101="", "", IF(J247=0, "✅ Cuadrado", IF(I247=0, "❌ Falta en Obra", "⚠️ Dif")))</f>
        <v/>
      </c>
      <c r="E247" s="8954" t="str">
        <f>IF(Captura_Marimba_M01!A101="", "", Captura_Marimba_M01!A101)</f>
        <v/>
      </c>
      <c r="F247" s="8955" t="str">
        <f>IF(Captura_Marimba_M01!A101="", "", Captura_Marimba_M01!C101)</f>
        <v/>
      </c>
      <c r="G247" s="8956" t="str">
        <f>IF(Captura_Marimba_M01!A101="", "", Captura_Marimba_M01!D101)</f>
        <v/>
      </c>
      <c r="H247" s="8957" t="str">
        <f>IF(Captura_Marimba_M01!A101="", "", Captura_Marimba_M01!G101)</f>
        <v/>
      </c>
      <c r="I247" s="8958" t="str">
        <f>IF(Captura_Marimba_M01!A101="", "", SUMIFS(Captura_Obra!$F:$F, Captura_Obra!$A:$A, E247, Captura_Obra!$B:$B, F247, Captura_Obra!$D:$D, G247))</f>
        <v/>
      </c>
      <c r="J247" s="8959" t="str">
        <f>IF(Captura_Marimba_M01!A101="", "", H247 - I247)</f>
        <v/>
      </c>
      <c r="K247" s="4056"/>
    </row>
    <row r="248" spans="1:11">
      <c r="A248" s="8960" t="str">
        <f>IF(Captura_Marimba_M01!A102="", "", "Marimba")</f>
        <v/>
      </c>
      <c r="B248" s="8961" t="str">
        <f>IF(Captura_Marimba_M01!A102="", "", Captura_Marimba_M01!N102)</f>
        <v/>
      </c>
      <c r="C248" s="8962" t="str">
        <f>IF(Captura_Marimba_M01!A102="", "", IFERROR(LOOKUP(2, 1/((Captura_Obra!$A$5:$A$1000=E248)*(Captura_Obra!$B$5:$B$1000=F248)*(Captura_Obra!$D$5:$D$1000=G248)), Captura_Obra!$N$5:$N$1000), "No Reportado"))</f>
        <v/>
      </c>
      <c r="D248" s="8963" t="str">
        <f>IF(Captura_Marimba_M01!A102="", "", IF(J248=0, "✅ Cuadrado", IF(I248=0, "❌ Falta en Obra", "⚠️ Dif")))</f>
        <v/>
      </c>
      <c r="E248" s="8964" t="str">
        <f>IF(Captura_Marimba_M01!A102="", "", Captura_Marimba_M01!A102)</f>
        <v/>
      </c>
      <c r="F248" s="8965" t="str">
        <f>IF(Captura_Marimba_M01!A102="", "", Captura_Marimba_M01!C102)</f>
        <v/>
      </c>
      <c r="G248" s="8966" t="str">
        <f>IF(Captura_Marimba_M01!A102="", "", Captura_Marimba_M01!D102)</f>
        <v/>
      </c>
      <c r="H248" s="8967" t="str">
        <f>IF(Captura_Marimba_M01!A102="", "", Captura_Marimba_M01!G102)</f>
        <v/>
      </c>
      <c r="I248" s="8968" t="str">
        <f>IF(Captura_Marimba_M01!A102="", "", SUMIFS(Captura_Obra!$F:$F, Captura_Obra!$A:$A, E248, Captura_Obra!$B:$B, F248, Captura_Obra!$D:$D, G248))</f>
        <v/>
      </c>
      <c r="J248" s="8969" t="str">
        <f>IF(Captura_Marimba_M01!A102="", "", H248 - I248)</f>
        <v/>
      </c>
      <c r="K248" s="4057"/>
    </row>
    <row r="249" spans="1:11">
      <c r="A249" s="8970" t="str">
        <f>IF(Captura_Marimba_M01!A103="", "", "Marimba")</f>
        <v/>
      </c>
      <c r="B249" s="8971" t="str">
        <f>IF(Captura_Marimba_M01!A103="", "", Captura_Marimba_M01!N103)</f>
        <v/>
      </c>
      <c r="C249" s="8972" t="str">
        <f>IF(Captura_Marimba_M01!A103="", "", IFERROR(LOOKUP(2, 1/((Captura_Obra!$A$5:$A$1000=E249)*(Captura_Obra!$B$5:$B$1000=F249)*(Captura_Obra!$D$5:$D$1000=G249)), Captura_Obra!$N$5:$N$1000), "No Reportado"))</f>
        <v/>
      </c>
      <c r="D249" s="8973" t="str">
        <f>IF(Captura_Marimba_M01!A103="", "", IF(J249=0, "✅ Cuadrado", IF(I249=0, "❌ Falta en Obra", "⚠️ Dif")))</f>
        <v/>
      </c>
      <c r="E249" s="8974" t="str">
        <f>IF(Captura_Marimba_M01!A103="", "", Captura_Marimba_M01!A103)</f>
        <v/>
      </c>
      <c r="F249" s="8975" t="str">
        <f>IF(Captura_Marimba_M01!A103="", "", Captura_Marimba_M01!C103)</f>
        <v/>
      </c>
      <c r="G249" s="8976" t="str">
        <f>IF(Captura_Marimba_M01!A103="", "", Captura_Marimba_M01!D103)</f>
        <v/>
      </c>
      <c r="H249" s="8977" t="str">
        <f>IF(Captura_Marimba_M01!A103="", "", Captura_Marimba_M01!G103)</f>
        <v/>
      </c>
      <c r="I249" s="8978" t="str">
        <f>IF(Captura_Marimba_M01!A103="", "", SUMIFS(Captura_Obra!$F:$F, Captura_Obra!$A:$A, E249, Captura_Obra!$B:$B, F249, Captura_Obra!$D:$D, G249))</f>
        <v/>
      </c>
      <c r="J249" s="8979" t="str">
        <f>IF(Captura_Marimba_M01!A103="", "", H249 - I249)</f>
        <v/>
      </c>
      <c r="K249" s="4058"/>
    </row>
    <row r="250" spans="1:11">
      <c r="A250" s="8980" t="str">
        <f>IF(Captura_Marimba_M01!A104="", "", "Marimba")</f>
        <v/>
      </c>
      <c r="B250" s="8981" t="str">
        <f>IF(Captura_Marimba_M01!A104="", "", Captura_Marimba_M01!N104)</f>
        <v/>
      </c>
      <c r="C250" s="8982" t="str">
        <f>IF(Captura_Marimba_M01!A104="", "", IFERROR(LOOKUP(2, 1/((Captura_Obra!$A$5:$A$1000=E250)*(Captura_Obra!$B$5:$B$1000=F250)*(Captura_Obra!$D$5:$D$1000=G250)), Captura_Obra!$N$5:$N$1000), "No Reportado"))</f>
        <v/>
      </c>
      <c r="D250" s="8983" t="str">
        <f>IF(Captura_Marimba_M01!A104="", "", IF(J250=0, "✅ Cuadrado", IF(I250=0, "❌ Falta en Obra", "⚠️ Dif")))</f>
        <v/>
      </c>
      <c r="E250" s="8984" t="str">
        <f>IF(Captura_Marimba_M01!A104="", "", Captura_Marimba_M01!A104)</f>
        <v/>
      </c>
      <c r="F250" s="8985" t="str">
        <f>IF(Captura_Marimba_M01!A104="", "", Captura_Marimba_M01!C104)</f>
        <v/>
      </c>
      <c r="G250" s="8986" t="str">
        <f>IF(Captura_Marimba_M01!A104="", "", Captura_Marimba_M01!D104)</f>
        <v/>
      </c>
      <c r="H250" s="8987" t="str">
        <f>IF(Captura_Marimba_M01!A104="", "", Captura_Marimba_M01!G104)</f>
        <v/>
      </c>
      <c r="I250" s="8988" t="str">
        <f>IF(Captura_Marimba_M01!A104="", "", SUMIFS(Captura_Obra!$F:$F, Captura_Obra!$A:$A, E250, Captura_Obra!$B:$B, F250, Captura_Obra!$D:$D, G250))</f>
        <v/>
      </c>
      <c r="J250" s="8989" t="str">
        <f>IF(Captura_Marimba_M01!A104="", "", H250 - I250)</f>
        <v/>
      </c>
      <c r="K250" s="4059"/>
    </row>
    <row r="251" spans="1:11">
      <c r="A251" s="8990" t="str">
        <f>IF(Captura_Marimba_M01!A105="", "", "Marimba")</f>
        <v/>
      </c>
      <c r="B251" s="8991" t="str">
        <f>IF(Captura_Marimba_M01!A105="", "", Captura_Marimba_M01!N105)</f>
        <v/>
      </c>
      <c r="C251" s="8992" t="str">
        <f>IF(Captura_Marimba_M01!A105="", "", IFERROR(LOOKUP(2, 1/((Captura_Obra!$A$5:$A$1000=E251)*(Captura_Obra!$B$5:$B$1000=F251)*(Captura_Obra!$D$5:$D$1000=G251)), Captura_Obra!$N$5:$N$1000), "No Reportado"))</f>
        <v/>
      </c>
      <c r="D251" s="8993" t="str">
        <f>IF(Captura_Marimba_M01!A105="", "", IF(J251=0, "✅ Cuadrado", IF(I251=0, "❌ Falta en Obra", "⚠️ Dif")))</f>
        <v/>
      </c>
      <c r="E251" s="8994" t="str">
        <f>IF(Captura_Marimba_M01!A105="", "", Captura_Marimba_M01!A105)</f>
        <v/>
      </c>
      <c r="F251" s="8995" t="str">
        <f>IF(Captura_Marimba_M01!A105="", "", Captura_Marimba_M01!C105)</f>
        <v/>
      </c>
      <c r="G251" s="8996" t="str">
        <f>IF(Captura_Marimba_M01!A105="", "", Captura_Marimba_M01!D105)</f>
        <v/>
      </c>
      <c r="H251" s="8997" t="str">
        <f>IF(Captura_Marimba_M01!A105="", "", Captura_Marimba_M01!G105)</f>
        <v/>
      </c>
      <c r="I251" s="8998" t="str">
        <f>IF(Captura_Marimba_M01!A105="", "", SUMIFS(Captura_Obra!$F:$F, Captura_Obra!$A:$A, E251, Captura_Obra!$B:$B, F251, Captura_Obra!$D:$D, G251))</f>
        <v/>
      </c>
      <c r="J251" s="8999" t="str">
        <f>IF(Captura_Marimba_M01!A105="", "", H251 - I251)</f>
        <v/>
      </c>
      <c r="K251" s="4060"/>
    </row>
    <row r="252" spans="1:11">
      <c r="A252" s="9000" t="str">
        <f>IF(Captura_Marimba_M01!A106="", "", "Marimba")</f>
        <v/>
      </c>
      <c r="B252" s="9001" t="str">
        <f>IF(Captura_Marimba_M01!A106="", "", Captura_Marimba_M01!N106)</f>
        <v/>
      </c>
      <c r="C252" s="9002" t="str">
        <f>IF(Captura_Marimba_M01!A106="", "", IFERROR(LOOKUP(2, 1/((Captura_Obra!$A$5:$A$1000=E252)*(Captura_Obra!$B$5:$B$1000=F252)*(Captura_Obra!$D$5:$D$1000=G252)), Captura_Obra!$N$5:$N$1000), "No Reportado"))</f>
        <v/>
      </c>
      <c r="D252" s="9003" t="str">
        <f>IF(Captura_Marimba_M01!A106="", "", IF(J252=0, "✅ Cuadrado", IF(I252=0, "❌ Falta en Obra", "⚠️ Dif")))</f>
        <v/>
      </c>
      <c r="E252" s="9004" t="str">
        <f>IF(Captura_Marimba_M01!A106="", "", Captura_Marimba_M01!A106)</f>
        <v/>
      </c>
      <c r="F252" s="9005" t="str">
        <f>IF(Captura_Marimba_M01!A106="", "", Captura_Marimba_M01!C106)</f>
        <v/>
      </c>
      <c r="G252" s="9006" t="str">
        <f>IF(Captura_Marimba_M01!A106="", "", Captura_Marimba_M01!D106)</f>
        <v/>
      </c>
      <c r="H252" s="9007" t="str">
        <f>IF(Captura_Marimba_M01!A106="", "", Captura_Marimba_M01!G106)</f>
        <v/>
      </c>
      <c r="I252" s="9008" t="str">
        <f>IF(Captura_Marimba_M01!A106="", "", SUMIFS(Captura_Obra!$F:$F, Captura_Obra!$A:$A, E252, Captura_Obra!$B:$B, F252, Captura_Obra!$D:$D, G252))</f>
        <v/>
      </c>
      <c r="J252" s="9009" t="str">
        <f>IF(Captura_Marimba_M01!A106="", "", H252 - I252)</f>
        <v/>
      </c>
      <c r="K252" s="4061"/>
    </row>
    <row r="253" spans="1:11">
      <c r="A253" s="9010" t="str">
        <f>IF(Captura_Marimba_M01!A107="", "", "Marimba")</f>
        <v/>
      </c>
      <c r="B253" s="9011" t="str">
        <f>IF(Captura_Marimba_M01!A107="", "", Captura_Marimba_M01!N107)</f>
        <v/>
      </c>
      <c r="C253" s="9012" t="str">
        <f>IF(Captura_Marimba_M01!A107="", "", IFERROR(LOOKUP(2, 1/((Captura_Obra!$A$5:$A$1000=E253)*(Captura_Obra!$B$5:$B$1000=F253)*(Captura_Obra!$D$5:$D$1000=G253)), Captura_Obra!$N$5:$N$1000), "No Reportado"))</f>
        <v/>
      </c>
      <c r="D253" s="9013" t="str">
        <f>IF(Captura_Marimba_M01!A107="", "", IF(J253=0, "✅ Cuadrado", IF(I253=0, "❌ Falta en Obra", "⚠️ Dif")))</f>
        <v/>
      </c>
      <c r="E253" s="9014" t="str">
        <f>IF(Captura_Marimba_M01!A107="", "", Captura_Marimba_M01!A107)</f>
        <v/>
      </c>
      <c r="F253" s="9015" t="str">
        <f>IF(Captura_Marimba_M01!A107="", "", Captura_Marimba_M01!C107)</f>
        <v/>
      </c>
      <c r="G253" s="9016" t="str">
        <f>IF(Captura_Marimba_M01!A107="", "", Captura_Marimba_M01!D107)</f>
        <v/>
      </c>
      <c r="H253" s="9017" t="str">
        <f>IF(Captura_Marimba_M01!A107="", "", Captura_Marimba_M01!G107)</f>
        <v/>
      </c>
      <c r="I253" s="9018" t="str">
        <f>IF(Captura_Marimba_M01!A107="", "", SUMIFS(Captura_Obra!$F:$F, Captura_Obra!$A:$A, E253, Captura_Obra!$B:$B, F253, Captura_Obra!$D:$D, G253))</f>
        <v/>
      </c>
      <c r="J253" s="9019" t="str">
        <f>IF(Captura_Marimba_M01!A107="", "", H253 - I253)</f>
        <v/>
      </c>
      <c r="K253" s="4062"/>
    </row>
    <row r="254" spans="1:11">
      <c r="A254" s="9020" t="str">
        <f>IF(Captura_Marimba_M01!A108="", "", "Marimba")</f>
        <v/>
      </c>
      <c r="B254" s="9021" t="str">
        <f>IF(Captura_Marimba_M01!A108="", "", Captura_Marimba_M01!N108)</f>
        <v/>
      </c>
      <c r="C254" s="9022" t="str">
        <f>IF(Captura_Marimba_M01!A108="", "", IFERROR(LOOKUP(2, 1/((Captura_Obra!$A$5:$A$1000=E254)*(Captura_Obra!$B$5:$B$1000=F254)*(Captura_Obra!$D$5:$D$1000=G254)), Captura_Obra!$N$5:$N$1000), "No Reportado"))</f>
        <v/>
      </c>
      <c r="D254" s="9023" t="str">
        <f>IF(Captura_Marimba_M01!A108="", "", IF(J254=0, "✅ Cuadrado", IF(I254=0, "❌ Falta en Obra", "⚠️ Dif")))</f>
        <v/>
      </c>
      <c r="E254" s="9024" t="str">
        <f>IF(Captura_Marimba_M01!A108="", "", Captura_Marimba_M01!A108)</f>
        <v/>
      </c>
      <c r="F254" s="9025" t="str">
        <f>IF(Captura_Marimba_M01!A108="", "", Captura_Marimba_M01!C108)</f>
        <v/>
      </c>
      <c r="G254" s="9026" t="str">
        <f>IF(Captura_Marimba_M01!A108="", "", Captura_Marimba_M01!D108)</f>
        <v/>
      </c>
      <c r="H254" s="9027" t="str">
        <f>IF(Captura_Marimba_M01!A108="", "", Captura_Marimba_M01!G108)</f>
        <v/>
      </c>
      <c r="I254" s="9028" t="str">
        <f>IF(Captura_Marimba_M01!A108="", "", SUMIFS(Captura_Obra!$F:$F, Captura_Obra!$A:$A, E254, Captura_Obra!$B:$B, F254, Captura_Obra!$D:$D, G254))</f>
        <v/>
      </c>
      <c r="J254" s="9029" t="str">
        <f>IF(Captura_Marimba_M01!A108="", "", H254 - I254)</f>
        <v/>
      </c>
      <c r="K254" s="4063"/>
    </row>
    <row r="255" spans="1:11">
      <c r="A255" s="9030" t="str">
        <f>IF(Captura_Marimba_M01!A109="", "", "Marimba")</f>
        <v/>
      </c>
      <c r="B255" s="9031" t="str">
        <f>IF(Captura_Marimba_M01!A109="", "", Captura_Marimba_M01!N109)</f>
        <v/>
      </c>
      <c r="C255" s="9032" t="str">
        <f>IF(Captura_Marimba_M01!A109="", "", IFERROR(LOOKUP(2, 1/((Captura_Obra!$A$5:$A$1000=E255)*(Captura_Obra!$B$5:$B$1000=F255)*(Captura_Obra!$D$5:$D$1000=G255)), Captura_Obra!$N$5:$N$1000), "No Reportado"))</f>
        <v/>
      </c>
      <c r="D255" s="9033" t="str">
        <f>IF(Captura_Marimba_M01!A109="", "", IF(J255=0, "✅ Cuadrado", IF(I255=0, "❌ Falta en Obra", "⚠️ Dif")))</f>
        <v/>
      </c>
      <c r="E255" s="9034" t="str">
        <f>IF(Captura_Marimba_M01!A109="", "", Captura_Marimba_M01!A109)</f>
        <v/>
      </c>
      <c r="F255" s="9035" t="str">
        <f>IF(Captura_Marimba_M01!A109="", "", Captura_Marimba_M01!C109)</f>
        <v/>
      </c>
      <c r="G255" s="9036" t="str">
        <f>IF(Captura_Marimba_M01!A109="", "", Captura_Marimba_M01!D109)</f>
        <v/>
      </c>
      <c r="H255" s="9037" t="str">
        <f>IF(Captura_Marimba_M01!A109="", "", Captura_Marimba_M01!G109)</f>
        <v/>
      </c>
      <c r="I255" s="9038" t="str">
        <f>IF(Captura_Marimba_M01!A109="", "", SUMIFS(Captura_Obra!$F:$F, Captura_Obra!$A:$A, E255, Captura_Obra!$B:$B, F255, Captura_Obra!$D:$D, G255))</f>
        <v/>
      </c>
      <c r="J255" s="9039" t="str">
        <f>IF(Captura_Marimba_M01!A109="", "", H255 - I255)</f>
        <v/>
      </c>
      <c r="K255" s="4064"/>
    </row>
    <row r="256" spans="1:11">
      <c r="A256" s="9040" t="str">
        <f>IF(Captura_Marimba_M01!A110="", "", "Marimba")</f>
        <v/>
      </c>
      <c r="B256" s="9041" t="str">
        <f>IF(Captura_Marimba_M01!A110="", "", Captura_Marimba_M01!N110)</f>
        <v/>
      </c>
      <c r="C256" s="9042" t="str">
        <f>IF(Captura_Marimba_M01!A110="", "", IFERROR(LOOKUP(2, 1/((Captura_Obra!$A$5:$A$1000=E256)*(Captura_Obra!$B$5:$B$1000=F256)*(Captura_Obra!$D$5:$D$1000=G256)), Captura_Obra!$N$5:$N$1000), "No Reportado"))</f>
        <v/>
      </c>
      <c r="D256" s="9043" t="str">
        <f>IF(Captura_Marimba_M01!A110="", "", IF(J256=0, "✅ Cuadrado", IF(I256=0, "❌ Falta en Obra", "⚠️ Dif")))</f>
        <v/>
      </c>
      <c r="E256" s="9044" t="str">
        <f>IF(Captura_Marimba_M01!A110="", "", Captura_Marimba_M01!A110)</f>
        <v/>
      </c>
      <c r="F256" s="9045" t="str">
        <f>IF(Captura_Marimba_M01!A110="", "", Captura_Marimba_M01!C110)</f>
        <v/>
      </c>
      <c r="G256" s="9046" t="str">
        <f>IF(Captura_Marimba_M01!A110="", "", Captura_Marimba_M01!D110)</f>
        <v/>
      </c>
      <c r="H256" s="9047" t="str">
        <f>IF(Captura_Marimba_M01!A110="", "", Captura_Marimba_M01!G110)</f>
        <v/>
      </c>
      <c r="I256" s="9048" t="str">
        <f>IF(Captura_Marimba_M01!A110="", "", SUMIFS(Captura_Obra!$F:$F, Captura_Obra!$A:$A, E256, Captura_Obra!$B:$B, F256, Captura_Obra!$D:$D, G256))</f>
        <v/>
      </c>
      <c r="J256" s="9049" t="str">
        <f>IF(Captura_Marimba_M01!A110="", "", H256 - I256)</f>
        <v/>
      </c>
      <c r="K256" s="4065"/>
    </row>
    <row r="257" spans="1:11">
      <c r="A257" s="9050" t="str">
        <f>IF(Captura_Marimba_M01!A111="", "", "Marimba")</f>
        <v/>
      </c>
      <c r="B257" s="9051" t="str">
        <f>IF(Captura_Marimba_M01!A111="", "", Captura_Marimba_M01!N111)</f>
        <v/>
      </c>
      <c r="C257" s="9052" t="str">
        <f>IF(Captura_Marimba_M01!A111="", "", IFERROR(LOOKUP(2, 1/((Captura_Obra!$A$5:$A$1000=E257)*(Captura_Obra!$B$5:$B$1000=F257)*(Captura_Obra!$D$5:$D$1000=G257)), Captura_Obra!$N$5:$N$1000), "No Reportado"))</f>
        <v/>
      </c>
      <c r="D257" s="9053" t="str">
        <f>IF(Captura_Marimba_M01!A111="", "", IF(J257=0, "✅ Cuadrado", IF(I257=0, "❌ Falta en Obra", "⚠️ Dif")))</f>
        <v/>
      </c>
      <c r="E257" s="9054" t="str">
        <f>IF(Captura_Marimba_M01!A111="", "", Captura_Marimba_M01!A111)</f>
        <v/>
      </c>
      <c r="F257" s="9055" t="str">
        <f>IF(Captura_Marimba_M01!A111="", "", Captura_Marimba_M01!C111)</f>
        <v/>
      </c>
      <c r="G257" s="9056" t="str">
        <f>IF(Captura_Marimba_M01!A111="", "", Captura_Marimba_M01!D111)</f>
        <v/>
      </c>
      <c r="H257" s="9057" t="str">
        <f>IF(Captura_Marimba_M01!A111="", "", Captura_Marimba_M01!G111)</f>
        <v/>
      </c>
      <c r="I257" s="9058" t="str">
        <f>IF(Captura_Marimba_M01!A111="", "", SUMIFS(Captura_Obra!$F:$F, Captura_Obra!$A:$A, E257, Captura_Obra!$B:$B, F257, Captura_Obra!$D:$D, G257))</f>
        <v/>
      </c>
      <c r="J257" s="9059" t="str">
        <f>IF(Captura_Marimba_M01!A111="", "", H257 - I257)</f>
        <v/>
      </c>
      <c r="K257" s="4066"/>
    </row>
    <row r="258" spans="1:11">
      <c r="A258" s="9060" t="str">
        <f>IF(Captura_Marimba_M01!A112="", "", "Marimba")</f>
        <v/>
      </c>
      <c r="B258" s="9061" t="str">
        <f>IF(Captura_Marimba_M01!A112="", "", Captura_Marimba_M01!N112)</f>
        <v/>
      </c>
      <c r="C258" s="9062" t="str">
        <f>IF(Captura_Marimba_M01!A112="", "", IFERROR(LOOKUP(2, 1/((Captura_Obra!$A$5:$A$1000=E258)*(Captura_Obra!$B$5:$B$1000=F258)*(Captura_Obra!$D$5:$D$1000=G258)), Captura_Obra!$N$5:$N$1000), "No Reportado"))</f>
        <v/>
      </c>
      <c r="D258" s="9063" t="str">
        <f>IF(Captura_Marimba_M01!A112="", "", IF(J258=0, "✅ Cuadrado", IF(I258=0, "❌ Falta en Obra", "⚠️ Dif")))</f>
        <v/>
      </c>
      <c r="E258" s="9064" t="str">
        <f>IF(Captura_Marimba_M01!A112="", "", Captura_Marimba_M01!A112)</f>
        <v/>
      </c>
      <c r="F258" s="9065" t="str">
        <f>IF(Captura_Marimba_M01!A112="", "", Captura_Marimba_M01!C112)</f>
        <v/>
      </c>
      <c r="G258" s="9066" t="str">
        <f>IF(Captura_Marimba_M01!A112="", "", Captura_Marimba_M01!D112)</f>
        <v/>
      </c>
      <c r="H258" s="9067" t="str">
        <f>IF(Captura_Marimba_M01!A112="", "", Captura_Marimba_M01!G112)</f>
        <v/>
      </c>
      <c r="I258" s="9068" t="str">
        <f>IF(Captura_Marimba_M01!A112="", "", SUMIFS(Captura_Obra!$F:$F, Captura_Obra!$A:$A, E258, Captura_Obra!$B:$B, F258, Captura_Obra!$D:$D, G258))</f>
        <v/>
      </c>
      <c r="J258" s="9069" t="str">
        <f>IF(Captura_Marimba_M01!A112="", "", H258 - I258)</f>
        <v/>
      </c>
      <c r="K258" s="4067"/>
    </row>
    <row r="259" spans="1:11">
      <c r="A259" s="9070" t="str">
        <f>IF(Captura_Marimba_M01!A113="", "", "Marimba")</f>
        <v/>
      </c>
      <c r="B259" s="9071" t="str">
        <f>IF(Captura_Marimba_M01!A113="", "", Captura_Marimba_M01!N113)</f>
        <v/>
      </c>
      <c r="C259" s="9072" t="str">
        <f>IF(Captura_Marimba_M01!A113="", "", IFERROR(LOOKUP(2, 1/((Captura_Obra!$A$5:$A$1000=E259)*(Captura_Obra!$B$5:$B$1000=F259)*(Captura_Obra!$D$5:$D$1000=G259)), Captura_Obra!$N$5:$N$1000), "No Reportado"))</f>
        <v/>
      </c>
      <c r="D259" s="9073" t="str">
        <f>IF(Captura_Marimba_M01!A113="", "", IF(J259=0, "✅ Cuadrado", IF(I259=0, "❌ Falta en Obra", "⚠️ Dif")))</f>
        <v/>
      </c>
      <c r="E259" s="9074" t="str">
        <f>IF(Captura_Marimba_M01!A113="", "", Captura_Marimba_M01!A113)</f>
        <v/>
      </c>
      <c r="F259" s="9075" t="str">
        <f>IF(Captura_Marimba_M01!A113="", "", Captura_Marimba_M01!C113)</f>
        <v/>
      </c>
      <c r="G259" s="9076" t="str">
        <f>IF(Captura_Marimba_M01!A113="", "", Captura_Marimba_M01!D113)</f>
        <v/>
      </c>
      <c r="H259" s="9077" t="str">
        <f>IF(Captura_Marimba_M01!A113="", "", Captura_Marimba_M01!G113)</f>
        <v/>
      </c>
      <c r="I259" s="9078" t="str">
        <f>IF(Captura_Marimba_M01!A113="", "", SUMIFS(Captura_Obra!$F:$F, Captura_Obra!$A:$A, E259, Captura_Obra!$B:$B, F259, Captura_Obra!$D:$D, G259))</f>
        <v/>
      </c>
      <c r="J259" s="9079" t="str">
        <f>IF(Captura_Marimba_M01!A113="", "", H259 - I259)</f>
        <v/>
      </c>
      <c r="K259" s="4068"/>
    </row>
    <row r="260" spans="1:11">
      <c r="A260" s="9080" t="str">
        <f>IF(Captura_Marimba_M01!A114="", "", "Marimba")</f>
        <v/>
      </c>
      <c r="B260" s="9081" t="str">
        <f>IF(Captura_Marimba_M01!A114="", "", Captura_Marimba_M01!N114)</f>
        <v/>
      </c>
      <c r="C260" s="9082" t="str">
        <f>IF(Captura_Marimba_M01!A114="", "", IFERROR(LOOKUP(2, 1/((Captura_Obra!$A$5:$A$1000=E260)*(Captura_Obra!$B$5:$B$1000=F260)*(Captura_Obra!$D$5:$D$1000=G260)), Captura_Obra!$N$5:$N$1000), "No Reportado"))</f>
        <v/>
      </c>
      <c r="D260" s="9083" t="str">
        <f>IF(Captura_Marimba_M01!A114="", "", IF(J260=0, "✅ Cuadrado", IF(I260=0, "❌ Falta en Obra", "⚠️ Dif")))</f>
        <v/>
      </c>
      <c r="E260" s="9084" t="str">
        <f>IF(Captura_Marimba_M01!A114="", "", Captura_Marimba_M01!A114)</f>
        <v/>
      </c>
      <c r="F260" s="9085" t="str">
        <f>IF(Captura_Marimba_M01!A114="", "", Captura_Marimba_M01!C114)</f>
        <v/>
      </c>
      <c r="G260" s="9086" t="str">
        <f>IF(Captura_Marimba_M01!A114="", "", Captura_Marimba_M01!D114)</f>
        <v/>
      </c>
      <c r="H260" s="9087" t="str">
        <f>IF(Captura_Marimba_M01!A114="", "", Captura_Marimba_M01!G114)</f>
        <v/>
      </c>
      <c r="I260" s="9088" t="str">
        <f>IF(Captura_Marimba_M01!A114="", "", SUMIFS(Captura_Obra!$F:$F, Captura_Obra!$A:$A, E260, Captura_Obra!$B:$B, F260, Captura_Obra!$D:$D, G260))</f>
        <v/>
      </c>
      <c r="J260" s="9089" t="str">
        <f>IF(Captura_Marimba_M01!A114="", "", H260 - I260)</f>
        <v/>
      </c>
      <c r="K260" s="4069"/>
    </row>
    <row r="261" spans="1:11">
      <c r="A261" s="9090" t="str">
        <f>IF(Captura_Marimba_M01!A115="", "", "Marimba")</f>
        <v/>
      </c>
      <c r="B261" s="9091" t="str">
        <f>IF(Captura_Marimba_M01!A115="", "", Captura_Marimba_M01!N115)</f>
        <v/>
      </c>
      <c r="C261" s="9092" t="str">
        <f>IF(Captura_Marimba_M01!A115="", "", IFERROR(LOOKUP(2, 1/((Captura_Obra!$A$5:$A$1000=E261)*(Captura_Obra!$B$5:$B$1000=F261)*(Captura_Obra!$D$5:$D$1000=G261)), Captura_Obra!$N$5:$N$1000), "No Reportado"))</f>
        <v/>
      </c>
      <c r="D261" s="9093" t="str">
        <f>IF(Captura_Marimba_M01!A115="", "", IF(J261=0, "✅ Cuadrado", IF(I261=0, "❌ Falta en Obra", "⚠️ Dif")))</f>
        <v/>
      </c>
      <c r="E261" s="9094" t="str">
        <f>IF(Captura_Marimba_M01!A115="", "", Captura_Marimba_M01!A115)</f>
        <v/>
      </c>
      <c r="F261" s="9095" t="str">
        <f>IF(Captura_Marimba_M01!A115="", "", Captura_Marimba_M01!C115)</f>
        <v/>
      </c>
      <c r="G261" s="9096" t="str">
        <f>IF(Captura_Marimba_M01!A115="", "", Captura_Marimba_M01!D115)</f>
        <v/>
      </c>
      <c r="H261" s="9097" t="str">
        <f>IF(Captura_Marimba_M01!A115="", "", Captura_Marimba_M01!G115)</f>
        <v/>
      </c>
      <c r="I261" s="9098" t="str">
        <f>IF(Captura_Marimba_M01!A115="", "", SUMIFS(Captura_Obra!$F:$F, Captura_Obra!$A:$A, E261, Captura_Obra!$B:$B, F261, Captura_Obra!$D:$D, G261))</f>
        <v/>
      </c>
      <c r="J261" s="9099" t="str">
        <f>IF(Captura_Marimba_M01!A115="", "", H261 - I261)</f>
        <v/>
      </c>
      <c r="K261" s="4070"/>
    </row>
    <row r="262" spans="1:11">
      <c r="A262" s="9100" t="str">
        <f>IF(Captura_Marimba_M01!A116="", "", "Marimba")</f>
        <v/>
      </c>
      <c r="B262" s="9101" t="str">
        <f>IF(Captura_Marimba_M01!A116="", "", Captura_Marimba_M01!N116)</f>
        <v/>
      </c>
      <c r="C262" s="9102" t="str">
        <f>IF(Captura_Marimba_M01!A116="", "", IFERROR(LOOKUP(2, 1/((Captura_Obra!$A$5:$A$1000=E262)*(Captura_Obra!$B$5:$B$1000=F262)*(Captura_Obra!$D$5:$D$1000=G262)), Captura_Obra!$N$5:$N$1000), "No Reportado"))</f>
        <v/>
      </c>
      <c r="D262" s="9103" t="str">
        <f>IF(Captura_Marimba_M01!A116="", "", IF(J262=0, "✅ Cuadrado", IF(I262=0, "❌ Falta en Obra", "⚠️ Dif")))</f>
        <v/>
      </c>
      <c r="E262" s="9104" t="str">
        <f>IF(Captura_Marimba_M01!A116="", "", Captura_Marimba_M01!A116)</f>
        <v/>
      </c>
      <c r="F262" s="9105" t="str">
        <f>IF(Captura_Marimba_M01!A116="", "", Captura_Marimba_M01!C116)</f>
        <v/>
      </c>
      <c r="G262" s="9106" t="str">
        <f>IF(Captura_Marimba_M01!A116="", "", Captura_Marimba_M01!D116)</f>
        <v/>
      </c>
      <c r="H262" s="9107" t="str">
        <f>IF(Captura_Marimba_M01!A116="", "", Captura_Marimba_M01!G116)</f>
        <v/>
      </c>
      <c r="I262" s="9108" t="str">
        <f>IF(Captura_Marimba_M01!A116="", "", SUMIFS(Captura_Obra!$F:$F, Captura_Obra!$A:$A, E262, Captura_Obra!$B:$B, F262, Captura_Obra!$D:$D, G262))</f>
        <v/>
      </c>
      <c r="J262" s="9109" t="str">
        <f>IF(Captura_Marimba_M01!A116="", "", H262 - I262)</f>
        <v/>
      </c>
      <c r="K262" s="4071"/>
    </row>
    <row r="263" spans="1:11">
      <c r="A263" s="9110" t="str">
        <f>IF(Captura_Marimba_M01!A117="", "", "Marimba")</f>
        <v/>
      </c>
      <c r="B263" s="9111" t="str">
        <f>IF(Captura_Marimba_M01!A117="", "", Captura_Marimba_M01!N117)</f>
        <v/>
      </c>
      <c r="C263" s="9112" t="str">
        <f>IF(Captura_Marimba_M01!A117="", "", IFERROR(LOOKUP(2, 1/((Captura_Obra!$A$5:$A$1000=E263)*(Captura_Obra!$B$5:$B$1000=F263)*(Captura_Obra!$D$5:$D$1000=G263)), Captura_Obra!$N$5:$N$1000), "No Reportado"))</f>
        <v/>
      </c>
      <c r="D263" s="9113" t="str">
        <f>IF(Captura_Marimba_M01!A117="", "", IF(J263=0, "✅ Cuadrado", IF(I263=0, "❌ Falta en Obra", "⚠️ Dif")))</f>
        <v/>
      </c>
      <c r="E263" s="9114" t="str">
        <f>IF(Captura_Marimba_M01!A117="", "", Captura_Marimba_M01!A117)</f>
        <v/>
      </c>
      <c r="F263" s="9115" t="str">
        <f>IF(Captura_Marimba_M01!A117="", "", Captura_Marimba_M01!C117)</f>
        <v/>
      </c>
      <c r="G263" s="9116" t="str">
        <f>IF(Captura_Marimba_M01!A117="", "", Captura_Marimba_M01!D117)</f>
        <v/>
      </c>
      <c r="H263" s="9117" t="str">
        <f>IF(Captura_Marimba_M01!A117="", "", Captura_Marimba_M01!G117)</f>
        <v/>
      </c>
      <c r="I263" s="9118" t="str">
        <f>IF(Captura_Marimba_M01!A117="", "", SUMIFS(Captura_Obra!$F:$F, Captura_Obra!$A:$A, E263, Captura_Obra!$B:$B, F263, Captura_Obra!$D:$D, G263))</f>
        <v/>
      </c>
      <c r="J263" s="9119" t="str">
        <f>IF(Captura_Marimba_M01!A117="", "", H263 - I263)</f>
        <v/>
      </c>
      <c r="K263" s="4072"/>
    </row>
    <row r="264" spans="1:11">
      <c r="A264" s="9120" t="str">
        <f>IF(Captura_Marimba_M01!A118="", "", "Marimba")</f>
        <v/>
      </c>
      <c r="B264" s="9121" t="str">
        <f>IF(Captura_Marimba_M01!A118="", "", Captura_Marimba_M01!N118)</f>
        <v/>
      </c>
      <c r="C264" s="9122" t="str">
        <f>IF(Captura_Marimba_M01!A118="", "", IFERROR(LOOKUP(2, 1/((Captura_Obra!$A$5:$A$1000=E264)*(Captura_Obra!$B$5:$B$1000=F264)*(Captura_Obra!$D$5:$D$1000=G264)), Captura_Obra!$N$5:$N$1000), "No Reportado"))</f>
        <v/>
      </c>
      <c r="D264" s="9123" t="str">
        <f>IF(Captura_Marimba_M01!A118="", "", IF(J264=0, "✅ Cuadrado", IF(I264=0, "❌ Falta en Obra", "⚠️ Dif")))</f>
        <v/>
      </c>
      <c r="E264" s="9124" t="str">
        <f>IF(Captura_Marimba_M01!A118="", "", Captura_Marimba_M01!A118)</f>
        <v/>
      </c>
      <c r="F264" s="9125" t="str">
        <f>IF(Captura_Marimba_M01!A118="", "", Captura_Marimba_M01!C118)</f>
        <v/>
      </c>
      <c r="G264" s="9126" t="str">
        <f>IF(Captura_Marimba_M01!A118="", "", Captura_Marimba_M01!D118)</f>
        <v/>
      </c>
      <c r="H264" s="9127" t="str">
        <f>IF(Captura_Marimba_M01!A118="", "", Captura_Marimba_M01!G118)</f>
        <v/>
      </c>
      <c r="I264" s="9128" t="str">
        <f>IF(Captura_Marimba_M01!A118="", "", SUMIFS(Captura_Obra!$F:$F, Captura_Obra!$A:$A, E264, Captura_Obra!$B:$B, F264, Captura_Obra!$D:$D, G264))</f>
        <v/>
      </c>
      <c r="J264" s="9129" t="str">
        <f>IF(Captura_Marimba_M01!A118="", "", H264 - I264)</f>
        <v/>
      </c>
      <c r="K264" s="4073"/>
    </row>
    <row r="265" spans="1:11">
      <c r="A265" s="9130" t="str">
        <f>IF(Captura_Marimba_M01!A119="", "", "Marimba")</f>
        <v/>
      </c>
      <c r="B265" s="9131" t="str">
        <f>IF(Captura_Marimba_M01!A119="", "", Captura_Marimba_M01!N119)</f>
        <v/>
      </c>
      <c r="C265" s="9132" t="str">
        <f>IF(Captura_Marimba_M01!A119="", "", IFERROR(LOOKUP(2, 1/((Captura_Obra!$A$5:$A$1000=E265)*(Captura_Obra!$B$5:$B$1000=F265)*(Captura_Obra!$D$5:$D$1000=G265)), Captura_Obra!$N$5:$N$1000), "No Reportado"))</f>
        <v/>
      </c>
      <c r="D265" s="9133" t="str">
        <f>IF(Captura_Marimba_M01!A119="", "", IF(J265=0, "✅ Cuadrado", IF(I265=0, "❌ Falta en Obra", "⚠️ Dif")))</f>
        <v/>
      </c>
      <c r="E265" s="9134" t="str">
        <f>IF(Captura_Marimba_M01!A119="", "", Captura_Marimba_M01!A119)</f>
        <v/>
      </c>
      <c r="F265" s="9135" t="str">
        <f>IF(Captura_Marimba_M01!A119="", "", Captura_Marimba_M01!C119)</f>
        <v/>
      </c>
      <c r="G265" s="9136" t="str">
        <f>IF(Captura_Marimba_M01!A119="", "", Captura_Marimba_M01!D119)</f>
        <v/>
      </c>
      <c r="H265" s="9137" t="str">
        <f>IF(Captura_Marimba_M01!A119="", "", Captura_Marimba_M01!G119)</f>
        <v/>
      </c>
      <c r="I265" s="9138" t="str">
        <f>IF(Captura_Marimba_M01!A119="", "", SUMIFS(Captura_Obra!$F:$F, Captura_Obra!$A:$A, E265, Captura_Obra!$B:$B, F265, Captura_Obra!$D:$D, G265))</f>
        <v/>
      </c>
      <c r="J265" s="9139" t="str">
        <f>IF(Captura_Marimba_M01!A119="", "", H265 - I265)</f>
        <v/>
      </c>
      <c r="K265" s="4074"/>
    </row>
    <row r="266" spans="1:11">
      <c r="A266" s="9140" t="str">
        <f>IF(Captura_Marimba_M01!A120="", "", "Marimba")</f>
        <v/>
      </c>
      <c r="B266" s="9141" t="str">
        <f>IF(Captura_Marimba_M01!A120="", "", Captura_Marimba_M01!N120)</f>
        <v/>
      </c>
      <c r="C266" s="9142" t="str">
        <f>IF(Captura_Marimba_M01!A120="", "", IFERROR(LOOKUP(2, 1/((Captura_Obra!$A$5:$A$1000=E266)*(Captura_Obra!$B$5:$B$1000=F266)*(Captura_Obra!$D$5:$D$1000=G266)), Captura_Obra!$N$5:$N$1000), "No Reportado"))</f>
        <v/>
      </c>
      <c r="D266" s="9143" t="str">
        <f>IF(Captura_Marimba_M01!A120="", "", IF(J266=0, "✅ Cuadrado", IF(I266=0, "❌ Falta en Obra", "⚠️ Dif")))</f>
        <v/>
      </c>
      <c r="E266" s="9144" t="str">
        <f>IF(Captura_Marimba_M01!A120="", "", Captura_Marimba_M01!A120)</f>
        <v/>
      </c>
      <c r="F266" s="9145" t="str">
        <f>IF(Captura_Marimba_M01!A120="", "", Captura_Marimba_M01!C120)</f>
        <v/>
      </c>
      <c r="G266" s="9146" t="str">
        <f>IF(Captura_Marimba_M01!A120="", "", Captura_Marimba_M01!D120)</f>
        <v/>
      </c>
      <c r="H266" s="9147" t="str">
        <f>IF(Captura_Marimba_M01!A120="", "", Captura_Marimba_M01!G120)</f>
        <v/>
      </c>
      <c r="I266" s="9148" t="str">
        <f>IF(Captura_Marimba_M01!A120="", "", SUMIFS(Captura_Obra!$F:$F, Captura_Obra!$A:$A, E266, Captura_Obra!$B:$B, F266, Captura_Obra!$D:$D, G266))</f>
        <v/>
      </c>
      <c r="J266" s="9149" t="str">
        <f>IF(Captura_Marimba_M01!A120="", "", H266 - I266)</f>
        <v/>
      </c>
      <c r="K266" s="4075"/>
    </row>
    <row r="267" spans="1:11">
      <c r="A267" s="9150" t="str">
        <f>IF(Captura_Marimba_M01!A121="", "", "Marimba")</f>
        <v/>
      </c>
      <c r="B267" s="9151" t="str">
        <f>IF(Captura_Marimba_M01!A121="", "", Captura_Marimba_M01!N121)</f>
        <v/>
      </c>
      <c r="C267" s="9152" t="str">
        <f>IF(Captura_Marimba_M01!A121="", "", IFERROR(LOOKUP(2, 1/((Captura_Obra!$A$5:$A$1000=E267)*(Captura_Obra!$B$5:$B$1000=F267)*(Captura_Obra!$D$5:$D$1000=G267)), Captura_Obra!$N$5:$N$1000), "No Reportado"))</f>
        <v/>
      </c>
      <c r="D267" s="9153" t="str">
        <f>IF(Captura_Marimba_M01!A121="", "", IF(J267=0, "✅ Cuadrado", IF(I267=0, "❌ Falta en Obra", "⚠️ Dif")))</f>
        <v/>
      </c>
      <c r="E267" s="9154" t="str">
        <f>IF(Captura_Marimba_M01!A121="", "", Captura_Marimba_M01!A121)</f>
        <v/>
      </c>
      <c r="F267" s="9155" t="str">
        <f>IF(Captura_Marimba_M01!A121="", "", Captura_Marimba_M01!C121)</f>
        <v/>
      </c>
      <c r="G267" s="9156" t="str">
        <f>IF(Captura_Marimba_M01!A121="", "", Captura_Marimba_M01!D121)</f>
        <v/>
      </c>
      <c r="H267" s="9157" t="str">
        <f>IF(Captura_Marimba_M01!A121="", "", Captura_Marimba_M01!G121)</f>
        <v/>
      </c>
      <c r="I267" s="9158" t="str">
        <f>IF(Captura_Marimba_M01!A121="", "", SUMIFS(Captura_Obra!$F:$F, Captura_Obra!$A:$A, E267, Captura_Obra!$B:$B, F267, Captura_Obra!$D:$D, G267))</f>
        <v/>
      </c>
      <c r="J267" s="9159" t="str">
        <f>IF(Captura_Marimba_M01!A121="", "", H267 - I267)</f>
        <v/>
      </c>
      <c r="K267" s="4076"/>
    </row>
    <row r="268" spans="1:11">
      <c r="A268" s="9160" t="str">
        <f>IF(Captura_Marimba_M01!A122="", "", "Marimba")</f>
        <v/>
      </c>
      <c r="B268" s="9161" t="str">
        <f>IF(Captura_Marimba_M01!A122="", "", Captura_Marimba_M01!N122)</f>
        <v/>
      </c>
      <c r="C268" s="9162" t="str">
        <f>IF(Captura_Marimba_M01!A122="", "", IFERROR(LOOKUP(2, 1/((Captura_Obra!$A$5:$A$1000=E268)*(Captura_Obra!$B$5:$B$1000=F268)*(Captura_Obra!$D$5:$D$1000=G268)), Captura_Obra!$N$5:$N$1000), "No Reportado"))</f>
        <v/>
      </c>
      <c r="D268" s="9163" t="str">
        <f>IF(Captura_Marimba_M01!A122="", "", IF(J268=0, "✅ Cuadrado", IF(I268=0, "❌ Falta en Obra", "⚠️ Dif")))</f>
        <v/>
      </c>
      <c r="E268" s="9164" t="str">
        <f>IF(Captura_Marimba_M01!A122="", "", Captura_Marimba_M01!A122)</f>
        <v/>
      </c>
      <c r="F268" s="9165" t="str">
        <f>IF(Captura_Marimba_M01!A122="", "", Captura_Marimba_M01!C122)</f>
        <v/>
      </c>
      <c r="G268" s="9166" t="str">
        <f>IF(Captura_Marimba_M01!A122="", "", Captura_Marimba_M01!D122)</f>
        <v/>
      </c>
      <c r="H268" s="9167" t="str">
        <f>IF(Captura_Marimba_M01!A122="", "", Captura_Marimba_M01!G122)</f>
        <v/>
      </c>
      <c r="I268" s="9168" t="str">
        <f>IF(Captura_Marimba_M01!A122="", "", SUMIFS(Captura_Obra!$F:$F, Captura_Obra!$A:$A, E268, Captura_Obra!$B:$B, F268, Captura_Obra!$D:$D, G268))</f>
        <v/>
      </c>
      <c r="J268" s="9169" t="str">
        <f>IF(Captura_Marimba_M01!A122="", "", H268 - I268)</f>
        <v/>
      </c>
      <c r="K268" s="4077"/>
    </row>
    <row r="269" spans="1:11">
      <c r="A269" s="9170" t="str">
        <f>IF(Captura_Marimba_M01!A123="", "", "Marimba")</f>
        <v/>
      </c>
      <c r="B269" s="9171" t="str">
        <f>IF(Captura_Marimba_M01!A123="", "", Captura_Marimba_M01!N123)</f>
        <v/>
      </c>
      <c r="C269" s="9172" t="str">
        <f>IF(Captura_Marimba_M01!A123="", "", IFERROR(LOOKUP(2, 1/((Captura_Obra!$A$5:$A$1000=E269)*(Captura_Obra!$B$5:$B$1000=F269)*(Captura_Obra!$D$5:$D$1000=G269)), Captura_Obra!$N$5:$N$1000), "No Reportado"))</f>
        <v/>
      </c>
      <c r="D269" s="9173" t="str">
        <f>IF(Captura_Marimba_M01!A123="", "", IF(J269=0, "✅ Cuadrado", IF(I269=0, "❌ Falta en Obra", "⚠️ Dif")))</f>
        <v/>
      </c>
      <c r="E269" s="9174" t="str">
        <f>IF(Captura_Marimba_M01!A123="", "", Captura_Marimba_M01!A123)</f>
        <v/>
      </c>
      <c r="F269" s="9175" t="str">
        <f>IF(Captura_Marimba_M01!A123="", "", Captura_Marimba_M01!C123)</f>
        <v/>
      </c>
      <c r="G269" s="9176" t="str">
        <f>IF(Captura_Marimba_M01!A123="", "", Captura_Marimba_M01!D123)</f>
        <v/>
      </c>
      <c r="H269" s="9177" t="str">
        <f>IF(Captura_Marimba_M01!A123="", "", Captura_Marimba_M01!G123)</f>
        <v/>
      </c>
      <c r="I269" s="9178" t="str">
        <f>IF(Captura_Marimba_M01!A123="", "", SUMIFS(Captura_Obra!$F:$F, Captura_Obra!$A:$A, E269, Captura_Obra!$B:$B, F269, Captura_Obra!$D:$D, G269))</f>
        <v/>
      </c>
      <c r="J269" s="9179" t="str">
        <f>IF(Captura_Marimba_M01!A123="", "", H269 - I269)</f>
        <v/>
      </c>
      <c r="K269" s="4078"/>
    </row>
    <row r="270" spans="1:11">
      <c r="A270" s="9180" t="str">
        <f>IF(Captura_Marimba_M01!A124="", "", "Marimba")</f>
        <v/>
      </c>
      <c r="B270" s="9181" t="str">
        <f>IF(Captura_Marimba_M01!A124="", "", Captura_Marimba_M01!N124)</f>
        <v/>
      </c>
      <c r="C270" s="9182" t="str">
        <f>IF(Captura_Marimba_M01!A124="", "", IFERROR(LOOKUP(2, 1/((Captura_Obra!$A$5:$A$1000=E270)*(Captura_Obra!$B$5:$B$1000=F270)*(Captura_Obra!$D$5:$D$1000=G270)), Captura_Obra!$N$5:$N$1000), "No Reportado"))</f>
        <v/>
      </c>
      <c r="D270" s="9183" t="str">
        <f>IF(Captura_Marimba_M01!A124="", "", IF(J270=0, "✅ Cuadrado", IF(I270=0, "❌ Falta en Obra", "⚠️ Dif")))</f>
        <v/>
      </c>
      <c r="E270" s="9184" t="str">
        <f>IF(Captura_Marimba_M01!A124="", "", Captura_Marimba_M01!A124)</f>
        <v/>
      </c>
      <c r="F270" s="9185" t="str">
        <f>IF(Captura_Marimba_M01!A124="", "", Captura_Marimba_M01!C124)</f>
        <v/>
      </c>
      <c r="G270" s="9186" t="str">
        <f>IF(Captura_Marimba_M01!A124="", "", Captura_Marimba_M01!D124)</f>
        <v/>
      </c>
      <c r="H270" s="9187" t="str">
        <f>IF(Captura_Marimba_M01!A124="", "", Captura_Marimba_M01!G124)</f>
        <v/>
      </c>
      <c r="I270" s="9188" t="str">
        <f>IF(Captura_Marimba_M01!A124="", "", SUMIFS(Captura_Obra!$F:$F, Captura_Obra!$A:$A, E270, Captura_Obra!$B:$B, F270, Captura_Obra!$D:$D, G270))</f>
        <v/>
      </c>
      <c r="J270" s="9189" t="str">
        <f>IF(Captura_Marimba_M01!A124="", "", H270 - I270)</f>
        <v/>
      </c>
      <c r="K270" s="4079"/>
    </row>
    <row r="271" spans="1:11">
      <c r="A271" s="9190" t="str">
        <f>IF(Captura_Marimba_M01!A125="", "", "Marimba")</f>
        <v/>
      </c>
      <c r="B271" s="9191" t="str">
        <f>IF(Captura_Marimba_M01!A125="", "", Captura_Marimba_M01!N125)</f>
        <v/>
      </c>
      <c r="C271" s="9192" t="str">
        <f>IF(Captura_Marimba_M01!A125="", "", IFERROR(LOOKUP(2, 1/((Captura_Obra!$A$5:$A$1000=E271)*(Captura_Obra!$B$5:$B$1000=F271)*(Captura_Obra!$D$5:$D$1000=G271)), Captura_Obra!$N$5:$N$1000), "No Reportado"))</f>
        <v/>
      </c>
      <c r="D271" s="9193" t="str">
        <f>IF(Captura_Marimba_M01!A125="", "", IF(J271=0, "✅ Cuadrado", IF(I271=0, "❌ Falta en Obra", "⚠️ Dif")))</f>
        <v/>
      </c>
      <c r="E271" s="9194" t="str">
        <f>IF(Captura_Marimba_M01!A125="", "", Captura_Marimba_M01!A125)</f>
        <v/>
      </c>
      <c r="F271" s="9195" t="str">
        <f>IF(Captura_Marimba_M01!A125="", "", Captura_Marimba_M01!C125)</f>
        <v/>
      </c>
      <c r="G271" s="9196" t="str">
        <f>IF(Captura_Marimba_M01!A125="", "", Captura_Marimba_M01!D125)</f>
        <v/>
      </c>
      <c r="H271" s="9197" t="str">
        <f>IF(Captura_Marimba_M01!A125="", "", Captura_Marimba_M01!G125)</f>
        <v/>
      </c>
      <c r="I271" s="9198" t="str">
        <f>IF(Captura_Marimba_M01!A125="", "", SUMIFS(Captura_Obra!$F:$F, Captura_Obra!$A:$A, E271, Captura_Obra!$B:$B, F271, Captura_Obra!$D:$D, G271))</f>
        <v/>
      </c>
      <c r="J271" s="9199" t="str">
        <f>IF(Captura_Marimba_M01!A125="", "", H271 - I271)</f>
        <v/>
      </c>
      <c r="K271" s="4080"/>
    </row>
    <row r="272" spans="1:11">
      <c r="A272" s="9200" t="str">
        <f>IF(Captura_Marimba_M01!A126="", "", "Marimba")</f>
        <v/>
      </c>
      <c r="B272" s="9201" t="str">
        <f>IF(Captura_Marimba_M01!A126="", "", Captura_Marimba_M01!N126)</f>
        <v/>
      </c>
      <c r="C272" s="9202" t="str">
        <f>IF(Captura_Marimba_M01!A126="", "", IFERROR(LOOKUP(2, 1/((Captura_Obra!$A$5:$A$1000=E272)*(Captura_Obra!$B$5:$B$1000=F272)*(Captura_Obra!$D$5:$D$1000=G272)), Captura_Obra!$N$5:$N$1000), "No Reportado"))</f>
        <v/>
      </c>
      <c r="D272" s="9203" t="str">
        <f>IF(Captura_Marimba_M01!A126="", "", IF(J272=0, "✅ Cuadrado", IF(I272=0, "❌ Falta en Obra", "⚠️ Dif")))</f>
        <v/>
      </c>
      <c r="E272" s="9204" t="str">
        <f>IF(Captura_Marimba_M01!A126="", "", Captura_Marimba_M01!A126)</f>
        <v/>
      </c>
      <c r="F272" s="9205" t="str">
        <f>IF(Captura_Marimba_M01!A126="", "", Captura_Marimba_M01!C126)</f>
        <v/>
      </c>
      <c r="G272" s="9206" t="str">
        <f>IF(Captura_Marimba_M01!A126="", "", Captura_Marimba_M01!D126)</f>
        <v/>
      </c>
      <c r="H272" s="9207" t="str">
        <f>IF(Captura_Marimba_M01!A126="", "", Captura_Marimba_M01!G126)</f>
        <v/>
      </c>
      <c r="I272" s="9208" t="str">
        <f>IF(Captura_Marimba_M01!A126="", "", SUMIFS(Captura_Obra!$F:$F, Captura_Obra!$A:$A, E272, Captura_Obra!$B:$B, F272, Captura_Obra!$D:$D, G272))</f>
        <v/>
      </c>
      <c r="J272" s="9209" t="str">
        <f>IF(Captura_Marimba_M01!A126="", "", H272 - I272)</f>
        <v/>
      </c>
      <c r="K272" s="4081"/>
    </row>
    <row r="273" spans="1:11">
      <c r="A273" s="9210" t="str">
        <f>IF(Captura_Marimba_M01!A127="", "", "Marimba")</f>
        <v/>
      </c>
      <c r="B273" s="9211" t="str">
        <f>IF(Captura_Marimba_M01!A127="", "", Captura_Marimba_M01!N127)</f>
        <v/>
      </c>
      <c r="C273" s="9212" t="str">
        <f>IF(Captura_Marimba_M01!A127="", "", IFERROR(LOOKUP(2, 1/((Captura_Obra!$A$5:$A$1000=E273)*(Captura_Obra!$B$5:$B$1000=F273)*(Captura_Obra!$D$5:$D$1000=G273)), Captura_Obra!$N$5:$N$1000), "No Reportado"))</f>
        <v/>
      </c>
      <c r="D273" s="9213" t="str">
        <f>IF(Captura_Marimba_M01!A127="", "", IF(J273=0, "✅ Cuadrado", IF(I273=0, "❌ Falta en Obra", "⚠️ Dif")))</f>
        <v/>
      </c>
      <c r="E273" s="9214" t="str">
        <f>IF(Captura_Marimba_M01!A127="", "", Captura_Marimba_M01!A127)</f>
        <v/>
      </c>
      <c r="F273" s="9215" t="str">
        <f>IF(Captura_Marimba_M01!A127="", "", Captura_Marimba_M01!C127)</f>
        <v/>
      </c>
      <c r="G273" s="9216" t="str">
        <f>IF(Captura_Marimba_M01!A127="", "", Captura_Marimba_M01!D127)</f>
        <v/>
      </c>
      <c r="H273" s="9217" t="str">
        <f>IF(Captura_Marimba_M01!A127="", "", Captura_Marimba_M01!G127)</f>
        <v/>
      </c>
      <c r="I273" s="9218" t="str">
        <f>IF(Captura_Marimba_M01!A127="", "", SUMIFS(Captura_Obra!$F:$F, Captura_Obra!$A:$A, E273, Captura_Obra!$B:$B, F273, Captura_Obra!$D:$D, G273))</f>
        <v/>
      </c>
      <c r="J273" s="9219" t="str">
        <f>IF(Captura_Marimba_M01!A127="", "", H273 - I273)</f>
        <v/>
      </c>
      <c r="K273" s="4082"/>
    </row>
    <row r="274" spans="1:11">
      <c r="A274" s="9220" t="str">
        <f>IF(Captura_Marimba_M01!A128="", "", "Marimba")</f>
        <v/>
      </c>
      <c r="B274" s="9221" t="str">
        <f>IF(Captura_Marimba_M01!A128="", "", Captura_Marimba_M01!N128)</f>
        <v/>
      </c>
      <c r="C274" s="9222" t="str">
        <f>IF(Captura_Marimba_M01!A128="", "", IFERROR(LOOKUP(2, 1/((Captura_Obra!$A$5:$A$1000=E274)*(Captura_Obra!$B$5:$B$1000=F274)*(Captura_Obra!$D$5:$D$1000=G274)), Captura_Obra!$N$5:$N$1000), "No Reportado"))</f>
        <v/>
      </c>
      <c r="D274" s="9223" t="str">
        <f>IF(Captura_Marimba_M01!A128="", "", IF(J274=0, "✅ Cuadrado", IF(I274=0, "❌ Falta en Obra", "⚠️ Dif")))</f>
        <v/>
      </c>
      <c r="E274" s="9224" t="str">
        <f>IF(Captura_Marimba_M01!A128="", "", Captura_Marimba_M01!A128)</f>
        <v/>
      </c>
      <c r="F274" s="9225" t="str">
        <f>IF(Captura_Marimba_M01!A128="", "", Captura_Marimba_M01!C128)</f>
        <v/>
      </c>
      <c r="G274" s="9226" t="str">
        <f>IF(Captura_Marimba_M01!A128="", "", Captura_Marimba_M01!D128)</f>
        <v/>
      </c>
      <c r="H274" s="9227" t="str">
        <f>IF(Captura_Marimba_M01!A128="", "", Captura_Marimba_M01!G128)</f>
        <v/>
      </c>
      <c r="I274" s="9228" t="str">
        <f>IF(Captura_Marimba_M01!A128="", "", SUMIFS(Captura_Obra!$F:$F, Captura_Obra!$A:$A, E274, Captura_Obra!$B:$B, F274, Captura_Obra!$D:$D, G274))</f>
        <v/>
      </c>
      <c r="J274" s="9229" t="str">
        <f>IF(Captura_Marimba_M01!A128="", "", H274 - I274)</f>
        <v/>
      </c>
      <c r="K274" s="4083"/>
    </row>
    <row r="275" spans="1:11">
      <c r="A275" s="9230" t="str">
        <f>IF(Captura_Marimba_M01!A129="", "", "Marimba")</f>
        <v/>
      </c>
      <c r="B275" s="9231" t="str">
        <f>IF(Captura_Marimba_M01!A129="", "", Captura_Marimba_M01!N129)</f>
        <v/>
      </c>
      <c r="C275" s="9232" t="str">
        <f>IF(Captura_Marimba_M01!A129="", "", IFERROR(LOOKUP(2, 1/((Captura_Obra!$A$5:$A$1000=E275)*(Captura_Obra!$B$5:$B$1000=F275)*(Captura_Obra!$D$5:$D$1000=G275)), Captura_Obra!$N$5:$N$1000), "No Reportado"))</f>
        <v/>
      </c>
      <c r="D275" s="9233" t="str">
        <f>IF(Captura_Marimba_M01!A129="", "", IF(J275=0, "✅ Cuadrado", IF(I275=0, "❌ Falta en Obra", "⚠️ Dif")))</f>
        <v/>
      </c>
      <c r="E275" s="9234" t="str">
        <f>IF(Captura_Marimba_M01!A129="", "", Captura_Marimba_M01!A129)</f>
        <v/>
      </c>
      <c r="F275" s="9235" t="str">
        <f>IF(Captura_Marimba_M01!A129="", "", Captura_Marimba_M01!C129)</f>
        <v/>
      </c>
      <c r="G275" s="9236" t="str">
        <f>IF(Captura_Marimba_M01!A129="", "", Captura_Marimba_M01!D129)</f>
        <v/>
      </c>
      <c r="H275" s="9237" t="str">
        <f>IF(Captura_Marimba_M01!A129="", "", Captura_Marimba_M01!G129)</f>
        <v/>
      </c>
      <c r="I275" s="9238" t="str">
        <f>IF(Captura_Marimba_M01!A129="", "", SUMIFS(Captura_Obra!$F:$F, Captura_Obra!$A:$A, E275, Captura_Obra!$B:$B, F275, Captura_Obra!$D:$D, G275))</f>
        <v/>
      </c>
      <c r="J275" s="9239" t="str">
        <f>IF(Captura_Marimba_M01!A129="", "", H275 - I275)</f>
        <v/>
      </c>
      <c r="K275" s="4084"/>
    </row>
    <row r="276" spans="1:11">
      <c r="A276" s="9240" t="str">
        <f>IF(Captura_Marimba_M01!A130="", "", "Marimba")</f>
        <v/>
      </c>
      <c r="B276" s="9241" t="str">
        <f>IF(Captura_Marimba_M01!A130="", "", Captura_Marimba_M01!N130)</f>
        <v/>
      </c>
      <c r="C276" s="9242" t="str">
        <f>IF(Captura_Marimba_M01!A130="", "", IFERROR(LOOKUP(2, 1/((Captura_Obra!$A$5:$A$1000=E276)*(Captura_Obra!$B$5:$B$1000=F276)*(Captura_Obra!$D$5:$D$1000=G276)), Captura_Obra!$N$5:$N$1000), "No Reportado"))</f>
        <v/>
      </c>
      <c r="D276" s="9243" t="str">
        <f>IF(Captura_Marimba_M01!A130="", "", IF(J276=0, "✅ Cuadrado", IF(I276=0, "❌ Falta en Obra", "⚠️ Dif")))</f>
        <v/>
      </c>
      <c r="E276" s="9244" t="str">
        <f>IF(Captura_Marimba_M01!A130="", "", Captura_Marimba_M01!A130)</f>
        <v/>
      </c>
      <c r="F276" s="9245" t="str">
        <f>IF(Captura_Marimba_M01!A130="", "", Captura_Marimba_M01!C130)</f>
        <v/>
      </c>
      <c r="G276" s="9246" t="str">
        <f>IF(Captura_Marimba_M01!A130="", "", Captura_Marimba_M01!D130)</f>
        <v/>
      </c>
      <c r="H276" s="9247" t="str">
        <f>IF(Captura_Marimba_M01!A130="", "", Captura_Marimba_M01!G130)</f>
        <v/>
      </c>
      <c r="I276" s="9248" t="str">
        <f>IF(Captura_Marimba_M01!A130="", "", SUMIFS(Captura_Obra!$F:$F, Captura_Obra!$A:$A, E276, Captura_Obra!$B:$B, F276, Captura_Obra!$D:$D, G276))</f>
        <v/>
      </c>
      <c r="J276" s="9249" t="str">
        <f>IF(Captura_Marimba_M01!A130="", "", H276 - I276)</f>
        <v/>
      </c>
      <c r="K276" s="4085"/>
    </row>
    <row r="277" spans="1:11">
      <c r="A277" s="9250" t="str">
        <f>IF(Captura_Marimba_M01!A131="", "", "Marimba")</f>
        <v/>
      </c>
      <c r="B277" s="9251" t="str">
        <f>IF(Captura_Marimba_M01!A131="", "", Captura_Marimba_M01!N131)</f>
        <v/>
      </c>
      <c r="C277" s="9252" t="str">
        <f>IF(Captura_Marimba_M01!A131="", "", IFERROR(LOOKUP(2, 1/((Captura_Obra!$A$5:$A$1000=E277)*(Captura_Obra!$B$5:$B$1000=F277)*(Captura_Obra!$D$5:$D$1000=G277)), Captura_Obra!$N$5:$N$1000), "No Reportado"))</f>
        <v/>
      </c>
      <c r="D277" s="9253" t="str">
        <f>IF(Captura_Marimba_M01!A131="", "", IF(J277=0, "✅ Cuadrado", IF(I277=0, "❌ Falta en Obra", "⚠️ Dif")))</f>
        <v/>
      </c>
      <c r="E277" s="9254" t="str">
        <f>IF(Captura_Marimba_M01!A131="", "", Captura_Marimba_M01!A131)</f>
        <v/>
      </c>
      <c r="F277" s="9255" t="str">
        <f>IF(Captura_Marimba_M01!A131="", "", Captura_Marimba_M01!C131)</f>
        <v/>
      </c>
      <c r="G277" s="9256" t="str">
        <f>IF(Captura_Marimba_M01!A131="", "", Captura_Marimba_M01!D131)</f>
        <v/>
      </c>
      <c r="H277" s="9257" t="str">
        <f>IF(Captura_Marimba_M01!A131="", "", Captura_Marimba_M01!G131)</f>
        <v/>
      </c>
      <c r="I277" s="9258" t="str">
        <f>IF(Captura_Marimba_M01!A131="", "", SUMIFS(Captura_Obra!$F:$F, Captura_Obra!$A:$A, E277, Captura_Obra!$B:$B, F277, Captura_Obra!$D:$D, G277))</f>
        <v/>
      </c>
      <c r="J277" s="9259" t="str">
        <f>IF(Captura_Marimba_M01!A131="", "", H277 - I277)</f>
        <v/>
      </c>
      <c r="K277" s="4086"/>
    </row>
    <row r="278" spans="1:11">
      <c r="A278" s="9260" t="str">
        <f>IF(Captura_Marimba_M01!A132="", "", "Marimba")</f>
        <v/>
      </c>
      <c r="B278" s="9261" t="str">
        <f>IF(Captura_Marimba_M01!A132="", "", Captura_Marimba_M01!N132)</f>
        <v/>
      </c>
      <c r="C278" s="9262" t="str">
        <f>IF(Captura_Marimba_M01!A132="", "", IFERROR(LOOKUP(2, 1/((Captura_Obra!$A$5:$A$1000=E278)*(Captura_Obra!$B$5:$B$1000=F278)*(Captura_Obra!$D$5:$D$1000=G278)), Captura_Obra!$N$5:$N$1000), "No Reportado"))</f>
        <v/>
      </c>
      <c r="D278" s="9263" t="str">
        <f>IF(Captura_Marimba_M01!A132="", "", IF(J278=0, "✅ Cuadrado", IF(I278=0, "❌ Falta en Obra", "⚠️ Dif")))</f>
        <v/>
      </c>
      <c r="E278" s="9264" t="str">
        <f>IF(Captura_Marimba_M01!A132="", "", Captura_Marimba_M01!A132)</f>
        <v/>
      </c>
      <c r="F278" s="9265" t="str">
        <f>IF(Captura_Marimba_M01!A132="", "", Captura_Marimba_M01!C132)</f>
        <v/>
      </c>
      <c r="G278" s="9266" t="str">
        <f>IF(Captura_Marimba_M01!A132="", "", Captura_Marimba_M01!D132)</f>
        <v/>
      </c>
      <c r="H278" s="9267" t="str">
        <f>IF(Captura_Marimba_M01!A132="", "", Captura_Marimba_M01!G132)</f>
        <v/>
      </c>
      <c r="I278" s="9268" t="str">
        <f>IF(Captura_Marimba_M01!A132="", "", SUMIFS(Captura_Obra!$F:$F, Captura_Obra!$A:$A, E278, Captura_Obra!$B:$B, F278, Captura_Obra!$D:$D, G278))</f>
        <v/>
      </c>
      <c r="J278" s="9269" t="str">
        <f>IF(Captura_Marimba_M01!A132="", "", H278 - I278)</f>
        <v/>
      </c>
      <c r="K278" s="4087"/>
    </row>
    <row r="279" spans="1:11">
      <c r="A279" s="9270" t="str">
        <f>IF(Captura_Marimba_M01!A133="", "", "Marimba")</f>
        <v/>
      </c>
      <c r="B279" s="9271" t="str">
        <f>IF(Captura_Marimba_M01!A133="", "", Captura_Marimba_M01!N133)</f>
        <v/>
      </c>
      <c r="C279" s="9272" t="str">
        <f>IF(Captura_Marimba_M01!A133="", "", IFERROR(LOOKUP(2, 1/((Captura_Obra!$A$5:$A$1000=E279)*(Captura_Obra!$B$5:$B$1000=F279)*(Captura_Obra!$D$5:$D$1000=G279)), Captura_Obra!$N$5:$N$1000), "No Reportado"))</f>
        <v/>
      </c>
      <c r="D279" s="9273" t="str">
        <f>IF(Captura_Marimba_M01!A133="", "", IF(J279=0, "✅ Cuadrado", IF(I279=0, "❌ Falta en Obra", "⚠️ Dif")))</f>
        <v/>
      </c>
      <c r="E279" s="9274" t="str">
        <f>IF(Captura_Marimba_M01!A133="", "", Captura_Marimba_M01!A133)</f>
        <v/>
      </c>
      <c r="F279" s="9275" t="str">
        <f>IF(Captura_Marimba_M01!A133="", "", Captura_Marimba_M01!C133)</f>
        <v/>
      </c>
      <c r="G279" s="9276" t="str">
        <f>IF(Captura_Marimba_M01!A133="", "", Captura_Marimba_M01!D133)</f>
        <v/>
      </c>
      <c r="H279" s="9277" t="str">
        <f>IF(Captura_Marimba_M01!A133="", "", Captura_Marimba_M01!G133)</f>
        <v/>
      </c>
      <c r="I279" s="9278" t="str">
        <f>IF(Captura_Marimba_M01!A133="", "", SUMIFS(Captura_Obra!$F:$F, Captura_Obra!$A:$A, E279, Captura_Obra!$B:$B, F279, Captura_Obra!$D:$D, G279))</f>
        <v/>
      </c>
      <c r="J279" s="9279" t="str">
        <f>IF(Captura_Marimba_M01!A133="", "", H279 - I279)</f>
        <v/>
      </c>
      <c r="K279" s="4088"/>
    </row>
    <row r="280" spans="1:11">
      <c r="A280" s="9280" t="str">
        <f>IF(Captura_Marimba_M01!A134="", "", "Marimba")</f>
        <v/>
      </c>
      <c r="B280" s="9281" t="str">
        <f>IF(Captura_Marimba_M01!A134="", "", Captura_Marimba_M01!N134)</f>
        <v/>
      </c>
      <c r="C280" s="9282" t="str">
        <f>IF(Captura_Marimba_M01!A134="", "", IFERROR(LOOKUP(2, 1/((Captura_Obra!$A$5:$A$1000=E280)*(Captura_Obra!$B$5:$B$1000=F280)*(Captura_Obra!$D$5:$D$1000=G280)), Captura_Obra!$N$5:$N$1000), "No Reportado"))</f>
        <v/>
      </c>
      <c r="D280" s="9283" t="str">
        <f>IF(Captura_Marimba_M01!A134="", "", IF(J280=0, "✅ Cuadrado", IF(I280=0, "❌ Falta en Obra", "⚠️ Dif")))</f>
        <v/>
      </c>
      <c r="E280" s="9284" t="str">
        <f>IF(Captura_Marimba_M01!A134="", "", Captura_Marimba_M01!A134)</f>
        <v/>
      </c>
      <c r="F280" s="9285" t="str">
        <f>IF(Captura_Marimba_M01!A134="", "", Captura_Marimba_M01!C134)</f>
        <v/>
      </c>
      <c r="G280" s="9286" t="str">
        <f>IF(Captura_Marimba_M01!A134="", "", Captura_Marimba_M01!D134)</f>
        <v/>
      </c>
      <c r="H280" s="9287" t="str">
        <f>IF(Captura_Marimba_M01!A134="", "", Captura_Marimba_M01!G134)</f>
        <v/>
      </c>
      <c r="I280" s="9288" t="str">
        <f>IF(Captura_Marimba_M01!A134="", "", SUMIFS(Captura_Obra!$F:$F, Captura_Obra!$A:$A, E280, Captura_Obra!$B:$B, F280, Captura_Obra!$D:$D, G280))</f>
        <v/>
      </c>
      <c r="J280" s="9289" t="str">
        <f>IF(Captura_Marimba_M01!A134="", "", H280 - I280)</f>
        <v/>
      </c>
      <c r="K280" s="4089"/>
    </row>
    <row r="281" spans="1:11">
      <c r="A281" s="9290" t="str">
        <f>IF(Captura_Marimba_M01!A135="", "", "Marimba")</f>
        <v/>
      </c>
      <c r="B281" s="9291" t="str">
        <f>IF(Captura_Marimba_M01!A135="", "", Captura_Marimba_M01!N135)</f>
        <v/>
      </c>
      <c r="C281" s="9292" t="str">
        <f>IF(Captura_Marimba_M01!A135="", "", IFERROR(LOOKUP(2, 1/((Captura_Obra!$A$5:$A$1000=E281)*(Captura_Obra!$B$5:$B$1000=F281)*(Captura_Obra!$D$5:$D$1000=G281)), Captura_Obra!$N$5:$N$1000), "No Reportado"))</f>
        <v/>
      </c>
      <c r="D281" s="9293" t="str">
        <f>IF(Captura_Marimba_M01!A135="", "", IF(J281=0, "✅ Cuadrado", IF(I281=0, "❌ Falta en Obra", "⚠️ Dif")))</f>
        <v/>
      </c>
      <c r="E281" s="9294" t="str">
        <f>IF(Captura_Marimba_M01!A135="", "", Captura_Marimba_M01!A135)</f>
        <v/>
      </c>
      <c r="F281" s="9295" t="str">
        <f>IF(Captura_Marimba_M01!A135="", "", Captura_Marimba_M01!C135)</f>
        <v/>
      </c>
      <c r="G281" s="9296" t="str">
        <f>IF(Captura_Marimba_M01!A135="", "", Captura_Marimba_M01!D135)</f>
        <v/>
      </c>
      <c r="H281" s="9297" t="str">
        <f>IF(Captura_Marimba_M01!A135="", "", Captura_Marimba_M01!G135)</f>
        <v/>
      </c>
      <c r="I281" s="9298" t="str">
        <f>IF(Captura_Marimba_M01!A135="", "", SUMIFS(Captura_Obra!$F:$F, Captura_Obra!$A:$A, E281, Captura_Obra!$B:$B, F281, Captura_Obra!$D:$D, G281))</f>
        <v/>
      </c>
      <c r="J281" s="9299" t="str">
        <f>IF(Captura_Marimba_M01!A135="", "", H281 - I281)</f>
        <v/>
      </c>
      <c r="K281" s="4090"/>
    </row>
    <row r="282" spans="1:11">
      <c r="A282" s="9300" t="str">
        <f>IF(Captura_Marimba_M01!A136="", "", "Marimba")</f>
        <v/>
      </c>
      <c r="B282" s="9301" t="str">
        <f>IF(Captura_Marimba_M01!A136="", "", Captura_Marimba_M01!N136)</f>
        <v/>
      </c>
      <c r="C282" s="9302" t="str">
        <f>IF(Captura_Marimba_M01!A136="", "", IFERROR(LOOKUP(2, 1/((Captura_Obra!$A$5:$A$1000=E282)*(Captura_Obra!$B$5:$B$1000=F282)*(Captura_Obra!$D$5:$D$1000=G282)), Captura_Obra!$N$5:$N$1000), "No Reportado"))</f>
        <v/>
      </c>
      <c r="D282" s="9303" t="str">
        <f>IF(Captura_Marimba_M01!A136="", "", IF(J282=0, "✅ Cuadrado", IF(I282=0, "❌ Falta en Obra", "⚠️ Dif")))</f>
        <v/>
      </c>
      <c r="E282" s="9304" t="str">
        <f>IF(Captura_Marimba_M01!A136="", "", Captura_Marimba_M01!A136)</f>
        <v/>
      </c>
      <c r="F282" s="9305" t="str">
        <f>IF(Captura_Marimba_M01!A136="", "", Captura_Marimba_M01!C136)</f>
        <v/>
      </c>
      <c r="G282" s="9306" t="str">
        <f>IF(Captura_Marimba_M01!A136="", "", Captura_Marimba_M01!D136)</f>
        <v/>
      </c>
      <c r="H282" s="9307" t="str">
        <f>IF(Captura_Marimba_M01!A136="", "", Captura_Marimba_M01!G136)</f>
        <v/>
      </c>
      <c r="I282" s="9308" t="str">
        <f>IF(Captura_Marimba_M01!A136="", "", SUMIFS(Captura_Obra!$F:$F, Captura_Obra!$A:$A, E282, Captura_Obra!$B:$B, F282, Captura_Obra!$D:$D, G282))</f>
        <v/>
      </c>
      <c r="J282" s="9309" t="str">
        <f>IF(Captura_Marimba_M01!A136="", "", H282 - I282)</f>
        <v/>
      </c>
      <c r="K282" s="4091"/>
    </row>
    <row r="283" spans="1:11">
      <c r="A283" s="9310" t="str">
        <f>IF(Captura_Marimba_M01!A137="", "", "Marimba")</f>
        <v/>
      </c>
      <c r="B283" s="9311" t="str">
        <f>IF(Captura_Marimba_M01!A137="", "", Captura_Marimba_M01!N137)</f>
        <v/>
      </c>
      <c r="C283" s="9312" t="str">
        <f>IF(Captura_Marimba_M01!A137="", "", IFERROR(LOOKUP(2, 1/((Captura_Obra!$A$5:$A$1000=E283)*(Captura_Obra!$B$5:$B$1000=F283)*(Captura_Obra!$D$5:$D$1000=G283)), Captura_Obra!$N$5:$N$1000), "No Reportado"))</f>
        <v/>
      </c>
      <c r="D283" s="9313" t="str">
        <f>IF(Captura_Marimba_M01!A137="", "", IF(J283=0, "✅ Cuadrado", IF(I283=0, "❌ Falta en Obra", "⚠️ Dif")))</f>
        <v/>
      </c>
      <c r="E283" s="9314" t="str">
        <f>IF(Captura_Marimba_M01!A137="", "", Captura_Marimba_M01!A137)</f>
        <v/>
      </c>
      <c r="F283" s="9315" t="str">
        <f>IF(Captura_Marimba_M01!A137="", "", Captura_Marimba_M01!C137)</f>
        <v/>
      </c>
      <c r="G283" s="9316" t="str">
        <f>IF(Captura_Marimba_M01!A137="", "", Captura_Marimba_M01!D137)</f>
        <v/>
      </c>
      <c r="H283" s="9317" t="str">
        <f>IF(Captura_Marimba_M01!A137="", "", Captura_Marimba_M01!G137)</f>
        <v/>
      </c>
      <c r="I283" s="9318" t="str">
        <f>IF(Captura_Marimba_M01!A137="", "", SUMIFS(Captura_Obra!$F:$F, Captura_Obra!$A:$A, E283, Captura_Obra!$B:$B, F283, Captura_Obra!$D:$D, G283))</f>
        <v/>
      </c>
      <c r="J283" s="9319" t="str">
        <f>IF(Captura_Marimba_M01!A137="", "", H283 - I283)</f>
        <v/>
      </c>
      <c r="K283" s="4092"/>
    </row>
    <row r="284" spans="1:11">
      <c r="A284" s="9320" t="str">
        <f>IF(Captura_Marimba_M01!A138="", "", "Marimba")</f>
        <v/>
      </c>
      <c r="B284" s="9321" t="str">
        <f>IF(Captura_Marimba_M01!A138="", "", Captura_Marimba_M01!N138)</f>
        <v/>
      </c>
      <c r="C284" s="9322" t="str">
        <f>IF(Captura_Marimba_M01!A138="", "", IFERROR(LOOKUP(2, 1/((Captura_Obra!$A$5:$A$1000=E284)*(Captura_Obra!$B$5:$B$1000=F284)*(Captura_Obra!$D$5:$D$1000=G284)), Captura_Obra!$N$5:$N$1000), "No Reportado"))</f>
        <v/>
      </c>
      <c r="D284" s="9323" t="str">
        <f>IF(Captura_Marimba_M01!A138="", "", IF(J284=0, "✅ Cuadrado", IF(I284=0, "❌ Falta en Obra", "⚠️ Dif")))</f>
        <v/>
      </c>
      <c r="E284" s="9324" t="str">
        <f>IF(Captura_Marimba_M01!A138="", "", Captura_Marimba_M01!A138)</f>
        <v/>
      </c>
      <c r="F284" s="9325" t="str">
        <f>IF(Captura_Marimba_M01!A138="", "", Captura_Marimba_M01!C138)</f>
        <v/>
      </c>
      <c r="G284" s="9326" t="str">
        <f>IF(Captura_Marimba_M01!A138="", "", Captura_Marimba_M01!D138)</f>
        <v/>
      </c>
      <c r="H284" s="9327" t="str">
        <f>IF(Captura_Marimba_M01!A138="", "", Captura_Marimba_M01!G138)</f>
        <v/>
      </c>
      <c r="I284" s="9328" t="str">
        <f>IF(Captura_Marimba_M01!A138="", "", SUMIFS(Captura_Obra!$F:$F, Captura_Obra!$A:$A, E284, Captura_Obra!$B:$B, F284, Captura_Obra!$D:$D, G284))</f>
        <v/>
      </c>
      <c r="J284" s="9329" t="str">
        <f>IF(Captura_Marimba_M01!A138="", "", H284 - I284)</f>
        <v/>
      </c>
      <c r="K284" s="4093"/>
    </row>
    <row r="285" spans="1:11">
      <c r="A285" s="9330" t="str">
        <f>IF(Captura_Marimba_M01!A139="", "", "Marimba")</f>
        <v/>
      </c>
      <c r="B285" s="9331" t="str">
        <f>IF(Captura_Marimba_M01!A139="", "", Captura_Marimba_M01!N139)</f>
        <v/>
      </c>
      <c r="C285" s="9332" t="str">
        <f>IF(Captura_Marimba_M01!A139="", "", IFERROR(LOOKUP(2, 1/((Captura_Obra!$A$5:$A$1000=E285)*(Captura_Obra!$B$5:$B$1000=F285)*(Captura_Obra!$D$5:$D$1000=G285)), Captura_Obra!$N$5:$N$1000), "No Reportado"))</f>
        <v/>
      </c>
      <c r="D285" s="9333" t="str">
        <f>IF(Captura_Marimba_M01!A139="", "", IF(J285=0, "✅ Cuadrado", IF(I285=0, "❌ Falta en Obra", "⚠️ Dif")))</f>
        <v/>
      </c>
      <c r="E285" s="9334" t="str">
        <f>IF(Captura_Marimba_M01!A139="", "", Captura_Marimba_M01!A139)</f>
        <v/>
      </c>
      <c r="F285" s="9335" t="str">
        <f>IF(Captura_Marimba_M01!A139="", "", Captura_Marimba_M01!C139)</f>
        <v/>
      </c>
      <c r="G285" s="9336" t="str">
        <f>IF(Captura_Marimba_M01!A139="", "", Captura_Marimba_M01!D139)</f>
        <v/>
      </c>
      <c r="H285" s="9337" t="str">
        <f>IF(Captura_Marimba_M01!A139="", "", Captura_Marimba_M01!G139)</f>
        <v/>
      </c>
      <c r="I285" s="9338" t="str">
        <f>IF(Captura_Marimba_M01!A139="", "", SUMIFS(Captura_Obra!$F:$F, Captura_Obra!$A:$A, E285, Captura_Obra!$B:$B, F285, Captura_Obra!$D:$D, G285))</f>
        <v/>
      </c>
      <c r="J285" s="9339" t="str">
        <f>IF(Captura_Marimba_M01!A139="", "", H285 - I285)</f>
        <v/>
      </c>
      <c r="K285" s="4094"/>
    </row>
    <row r="286" spans="1:11">
      <c r="A286" s="9340" t="str">
        <f>IF(Captura_Marimba_M01!A140="", "", "Marimba")</f>
        <v/>
      </c>
      <c r="B286" s="9341" t="str">
        <f>IF(Captura_Marimba_M01!A140="", "", Captura_Marimba_M01!N140)</f>
        <v/>
      </c>
      <c r="C286" s="9342" t="str">
        <f>IF(Captura_Marimba_M01!A140="", "", IFERROR(LOOKUP(2, 1/((Captura_Obra!$A$5:$A$1000=E286)*(Captura_Obra!$B$5:$B$1000=F286)*(Captura_Obra!$D$5:$D$1000=G286)), Captura_Obra!$N$5:$N$1000), "No Reportado"))</f>
        <v/>
      </c>
      <c r="D286" s="9343" t="str">
        <f>IF(Captura_Marimba_M01!A140="", "", IF(J286=0, "✅ Cuadrado", IF(I286=0, "❌ Falta en Obra", "⚠️ Dif")))</f>
        <v/>
      </c>
      <c r="E286" s="9344" t="str">
        <f>IF(Captura_Marimba_M01!A140="", "", Captura_Marimba_M01!A140)</f>
        <v/>
      </c>
      <c r="F286" s="9345" t="str">
        <f>IF(Captura_Marimba_M01!A140="", "", Captura_Marimba_M01!C140)</f>
        <v/>
      </c>
      <c r="G286" s="9346" t="str">
        <f>IF(Captura_Marimba_M01!A140="", "", Captura_Marimba_M01!D140)</f>
        <v/>
      </c>
      <c r="H286" s="9347" t="str">
        <f>IF(Captura_Marimba_M01!A140="", "", Captura_Marimba_M01!G140)</f>
        <v/>
      </c>
      <c r="I286" s="9348" t="str">
        <f>IF(Captura_Marimba_M01!A140="", "", SUMIFS(Captura_Obra!$F:$F, Captura_Obra!$A:$A, E286, Captura_Obra!$B:$B, F286, Captura_Obra!$D:$D, G286))</f>
        <v/>
      </c>
      <c r="J286" s="9349" t="str">
        <f>IF(Captura_Marimba_M01!A140="", "", H286 - I286)</f>
        <v/>
      </c>
      <c r="K286" s="4095"/>
    </row>
    <row r="287" spans="1:11">
      <c r="A287" s="9350" t="str">
        <f>IF(Captura_Marimba_M01!A141="", "", "Marimba")</f>
        <v/>
      </c>
      <c r="B287" s="9351" t="str">
        <f>IF(Captura_Marimba_M01!A141="", "", Captura_Marimba_M01!N141)</f>
        <v/>
      </c>
      <c r="C287" s="9352" t="str">
        <f>IF(Captura_Marimba_M01!A141="", "", IFERROR(LOOKUP(2, 1/((Captura_Obra!$A$5:$A$1000=E287)*(Captura_Obra!$B$5:$B$1000=F287)*(Captura_Obra!$D$5:$D$1000=G287)), Captura_Obra!$N$5:$N$1000), "No Reportado"))</f>
        <v/>
      </c>
      <c r="D287" s="9353" t="str">
        <f>IF(Captura_Marimba_M01!A141="", "", IF(J287=0, "✅ Cuadrado", IF(I287=0, "❌ Falta en Obra", "⚠️ Dif")))</f>
        <v/>
      </c>
      <c r="E287" s="9354" t="str">
        <f>IF(Captura_Marimba_M01!A141="", "", Captura_Marimba_M01!A141)</f>
        <v/>
      </c>
      <c r="F287" s="9355" t="str">
        <f>IF(Captura_Marimba_M01!A141="", "", Captura_Marimba_M01!C141)</f>
        <v/>
      </c>
      <c r="G287" s="9356" t="str">
        <f>IF(Captura_Marimba_M01!A141="", "", Captura_Marimba_M01!D141)</f>
        <v/>
      </c>
      <c r="H287" s="9357" t="str">
        <f>IF(Captura_Marimba_M01!A141="", "", Captura_Marimba_M01!G141)</f>
        <v/>
      </c>
      <c r="I287" s="9358" t="str">
        <f>IF(Captura_Marimba_M01!A141="", "", SUMIFS(Captura_Obra!$F:$F, Captura_Obra!$A:$A, E287, Captura_Obra!$B:$B, F287, Captura_Obra!$D:$D, G287))</f>
        <v/>
      </c>
      <c r="J287" s="9359" t="str">
        <f>IF(Captura_Marimba_M01!A141="", "", H287 - I287)</f>
        <v/>
      </c>
      <c r="K287" s="4096"/>
    </row>
    <row r="288" spans="1:11">
      <c r="A288" s="9360" t="str">
        <f>IF(Captura_Marimba_M01!A142="", "", "Marimba")</f>
        <v/>
      </c>
      <c r="B288" s="9361" t="str">
        <f>IF(Captura_Marimba_M01!A142="", "", Captura_Marimba_M01!N142)</f>
        <v/>
      </c>
      <c r="C288" s="9362" t="str">
        <f>IF(Captura_Marimba_M01!A142="", "", IFERROR(LOOKUP(2, 1/((Captura_Obra!$A$5:$A$1000=E288)*(Captura_Obra!$B$5:$B$1000=F288)*(Captura_Obra!$D$5:$D$1000=G288)), Captura_Obra!$N$5:$N$1000), "No Reportado"))</f>
        <v/>
      </c>
      <c r="D288" s="9363" t="str">
        <f>IF(Captura_Marimba_M01!A142="", "", IF(J288=0, "✅ Cuadrado", IF(I288=0, "❌ Falta en Obra", "⚠️ Dif")))</f>
        <v/>
      </c>
      <c r="E288" s="9364" t="str">
        <f>IF(Captura_Marimba_M01!A142="", "", Captura_Marimba_M01!A142)</f>
        <v/>
      </c>
      <c r="F288" s="9365" t="str">
        <f>IF(Captura_Marimba_M01!A142="", "", Captura_Marimba_M01!C142)</f>
        <v/>
      </c>
      <c r="G288" s="9366" t="str">
        <f>IF(Captura_Marimba_M01!A142="", "", Captura_Marimba_M01!D142)</f>
        <v/>
      </c>
      <c r="H288" s="9367" t="str">
        <f>IF(Captura_Marimba_M01!A142="", "", Captura_Marimba_M01!G142)</f>
        <v/>
      </c>
      <c r="I288" s="9368" t="str">
        <f>IF(Captura_Marimba_M01!A142="", "", SUMIFS(Captura_Obra!$F:$F, Captura_Obra!$A:$A, E288, Captura_Obra!$B:$B, F288, Captura_Obra!$D:$D, G288))</f>
        <v/>
      </c>
      <c r="J288" s="9369" t="str">
        <f>IF(Captura_Marimba_M01!A142="", "", H288 - I288)</f>
        <v/>
      </c>
      <c r="K288" s="4097"/>
    </row>
    <row r="289" spans="1:11">
      <c r="A289" s="9370" t="str">
        <f>IF(Captura_Marimba_M01!A143="", "", "Marimba")</f>
        <v/>
      </c>
      <c r="B289" s="9371" t="str">
        <f>IF(Captura_Marimba_M01!A143="", "", Captura_Marimba_M01!N143)</f>
        <v/>
      </c>
      <c r="C289" s="9372" t="str">
        <f>IF(Captura_Marimba_M01!A143="", "", IFERROR(LOOKUP(2, 1/((Captura_Obra!$A$5:$A$1000=E289)*(Captura_Obra!$B$5:$B$1000=F289)*(Captura_Obra!$D$5:$D$1000=G289)), Captura_Obra!$N$5:$N$1000), "No Reportado"))</f>
        <v/>
      </c>
      <c r="D289" s="9373" t="str">
        <f>IF(Captura_Marimba_M01!A143="", "", IF(J289=0, "✅ Cuadrado", IF(I289=0, "❌ Falta en Obra", "⚠️ Dif")))</f>
        <v/>
      </c>
      <c r="E289" s="9374" t="str">
        <f>IF(Captura_Marimba_M01!A143="", "", Captura_Marimba_M01!A143)</f>
        <v/>
      </c>
      <c r="F289" s="9375" t="str">
        <f>IF(Captura_Marimba_M01!A143="", "", Captura_Marimba_M01!C143)</f>
        <v/>
      </c>
      <c r="G289" s="9376" t="str">
        <f>IF(Captura_Marimba_M01!A143="", "", Captura_Marimba_M01!D143)</f>
        <v/>
      </c>
      <c r="H289" s="9377" t="str">
        <f>IF(Captura_Marimba_M01!A143="", "", Captura_Marimba_M01!G143)</f>
        <v/>
      </c>
      <c r="I289" s="9378" t="str">
        <f>IF(Captura_Marimba_M01!A143="", "", SUMIFS(Captura_Obra!$F:$F, Captura_Obra!$A:$A, E289, Captura_Obra!$B:$B, F289, Captura_Obra!$D:$D, G289))</f>
        <v/>
      </c>
      <c r="J289" s="9379" t="str">
        <f>IF(Captura_Marimba_M01!A143="", "", H289 - I289)</f>
        <v/>
      </c>
      <c r="K289" s="4098"/>
    </row>
    <row r="290" spans="1:11">
      <c r="A290" s="9380" t="str">
        <f>IF(Captura_Marimba_M01!A144="", "", "Marimba")</f>
        <v/>
      </c>
      <c r="B290" s="9381" t="str">
        <f>IF(Captura_Marimba_M01!A144="", "", Captura_Marimba_M01!N144)</f>
        <v/>
      </c>
      <c r="C290" s="9382" t="str">
        <f>IF(Captura_Marimba_M01!A144="", "", IFERROR(LOOKUP(2, 1/((Captura_Obra!$A$5:$A$1000=E290)*(Captura_Obra!$B$5:$B$1000=F290)*(Captura_Obra!$D$5:$D$1000=G290)), Captura_Obra!$N$5:$N$1000), "No Reportado"))</f>
        <v/>
      </c>
      <c r="D290" s="9383" t="str">
        <f>IF(Captura_Marimba_M01!A144="", "", IF(J290=0, "✅ Cuadrado", IF(I290=0, "❌ Falta en Obra", "⚠️ Dif")))</f>
        <v/>
      </c>
      <c r="E290" s="9384" t="str">
        <f>IF(Captura_Marimba_M01!A144="", "", Captura_Marimba_M01!A144)</f>
        <v/>
      </c>
      <c r="F290" s="9385" t="str">
        <f>IF(Captura_Marimba_M01!A144="", "", Captura_Marimba_M01!C144)</f>
        <v/>
      </c>
      <c r="G290" s="9386" t="str">
        <f>IF(Captura_Marimba_M01!A144="", "", Captura_Marimba_M01!D144)</f>
        <v/>
      </c>
      <c r="H290" s="9387" t="str">
        <f>IF(Captura_Marimba_M01!A144="", "", Captura_Marimba_M01!G144)</f>
        <v/>
      </c>
      <c r="I290" s="9388" t="str">
        <f>IF(Captura_Marimba_M01!A144="", "", SUMIFS(Captura_Obra!$F:$F, Captura_Obra!$A:$A, E290, Captura_Obra!$B:$B, F290, Captura_Obra!$D:$D, G290))</f>
        <v/>
      </c>
      <c r="J290" s="9389" t="str">
        <f>IF(Captura_Marimba_M01!A144="", "", H290 - I290)</f>
        <v/>
      </c>
      <c r="K290" s="4099"/>
    </row>
    <row r="291" spans="1:11">
      <c r="A291" s="9390" t="str">
        <f>IF(Captura_Marimba_M01!A145="", "", "Marimba")</f>
        <v/>
      </c>
      <c r="B291" s="9391" t="str">
        <f>IF(Captura_Marimba_M01!A145="", "", Captura_Marimba_M01!N145)</f>
        <v/>
      </c>
      <c r="C291" s="9392" t="str">
        <f>IF(Captura_Marimba_M01!A145="", "", IFERROR(LOOKUP(2, 1/((Captura_Obra!$A$5:$A$1000=E291)*(Captura_Obra!$B$5:$B$1000=F291)*(Captura_Obra!$D$5:$D$1000=G291)), Captura_Obra!$N$5:$N$1000), "No Reportado"))</f>
        <v/>
      </c>
      <c r="D291" s="9393" t="str">
        <f>IF(Captura_Marimba_M01!A145="", "", IF(J291=0, "✅ Cuadrado", IF(I291=0, "❌ Falta en Obra", "⚠️ Dif")))</f>
        <v/>
      </c>
      <c r="E291" s="9394" t="str">
        <f>IF(Captura_Marimba_M01!A145="", "", Captura_Marimba_M01!A145)</f>
        <v/>
      </c>
      <c r="F291" s="9395" t="str">
        <f>IF(Captura_Marimba_M01!A145="", "", Captura_Marimba_M01!C145)</f>
        <v/>
      </c>
      <c r="G291" s="9396" t="str">
        <f>IF(Captura_Marimba_M01!A145="", "", Captura_Marimba_M01!D145)</f>
        <v/>
      </c>
      <c r="H291" s="9397" t="str">
        <f>IF(Captura_Marimba_M01!A145="", "", Captura_Marimba_M01!G145)</f>
        <v/>
      </c>
      <c r="I291" s="9398" t="str">
        <f>IF(Captura_Marimba_M01!A145="", "", SUMIFS(Captura_Obra!$F:$F, Captura_Obra!$A:$A, E291, Captura_Obra!$B:$B, F291, Captura_Obra!$D:$D, G291))</f>
        <v/>
      </c>
      <c r="J291" s="9399" t="str">
        <f>IF(Captura_Marimba_M01!A145="", "", H291 - I291)</f>
        <v/>
      </c>
      <c r="K291" s="4100"/>
    </row>
    <row r="292" spans="1:11">
      <c r="A292" s="9400" t="str">
        <f>IF(Captura_Marimba_M01!A146="", "", "Marimba")</f>
        <v/>
      </c>
      <c r="B292" s="9401" t="str">
        <f>IF(Captura_Marimba_M01!A146="", "", Captura_Marimba_M01!N146)</f>
        <v/>
      </c>
      <c r="C292" s="9402" t="str">
        <f>IF(Captura_Marimba_M01!A146="", "", IFERROR(LOOKUP(2, 1/((Captura_Obra!$A$5:$A$1000=E292)*(Captura_Obra!$B$5:$B$1000=F292)*(Captura_Obra!$D$5:$D$1000=G292)), Captura_Obra!$N$5:$N$1000), "No Reportado"))</f>
        <v/>
      </c>
      <c r="D292" s="9403" t="str">
        <f>IF(Captura_Marimba_M01!A146="", "", IF(J292=0, "✅ Cuadrado", IF(I292=0, "❌ Falta en Obra", "⚠️ Dif")))</f>
        <v/>
      </c>
      <c r="E292" s="9404" t="str">
        <f>IF(Captura_Marimba_M01!A146="", "", Captura_Marimba_M01!A146)</f>
        <v/>
      </c>
      <c r="F292" s="9405" t="str">
        <f>IF(Captura_Marimba_M01!A146="", "", Captura_Marimba_M01!C146)</f>
        <v/>
      </c>
      <c r="G292" s="9406" t="str">
        <f>IF(Captura_Marimba_M01!A146="", "", Captura_Marimba_M01!D146)</f>
        <v/>
      </c>
      <c r="H292" s="9407" t="str">
        <f>IF(Captura_Marimba_M01!A146="", "", Captura_Marimba_M01!G146)</f>
        <v/>
      </c>
      <c r="I292" s="9408" t="str">
        <f>IF(Captura_Marimba_M01!A146="", "", SUMIFS(Captura_Obra!$F:$F, Captura_Obra!$A:$A, E292, Captura_Obra!$B:$B, F292, Captura_Obra!$D:$D, G292))</f>
        <v/>
      </c>
      <c r="J292" s="9409" t="str">
        <f>IF(Captura_Marimba_M01!A146="", "", H292 - I292)</f>
        <v/>
      </c>
      <c r="K292" s="4101"/>
    </row>
    <row r="293" spans="1:11">
      <c r="A293" s="9410" t="str">
        <f>IF(Captura_Marimba_M01!A147="", "", "Marimba")</f>
        <v/>
      </c>
      <c r="B293" s="9411" t="str">
        <f>IF(Captura_Marimba_M01!A147="", "", Captura_Marimba_M01!N147)</f>
        <v/>
      </c>
      <c r="C293" s="9412" t="str">
        <f>IF(Captura_Marimba_M01!A147="", "", IFERROR(LOOKUP(2, 1/((Captura_Obra!$A$5:$A$1000=E293)*(Captura_Obra!$B$5:$B$1000=F293)*(Captura_Obra!$D$5:$D$1000=G293)), Captura_Obra!$N$5:$N$1000), "No Reportado"))</f>
        <v/>
      </c>
      <c r="D293" s="9413" t="str">
        <f>IF(Captura_Marimba_M01!A147="", "", IF(J293=0, "✅ Cuadrado", IF(I293=0, "❌ Falta en Obra", "⚠️ Dif")))</f>
        <v/>
      </c>
      <c r="E293" s="9414" t="str">
        <f>IF(Captura_Marimba_M01!A147="", "", Captura_Marimba_M01!A147)</f>
        <v/>
      </c>
      <c r="F293" s="9415" t="str">
        <f>IF(Captura_Marimba_M01!A147="", "", Captura_Marimba_M01!C147)</f>
        <v/>
      </c>
      <c r="G293" s="9416" t="str">
        <f>IF(Captura_Marimba_M01!A147="", "", Captura_Marimba_M01!D147)</f>
        <v/>
      </c>
      <c r="H293" s="9417" t="str">
        <f>IF(Captura_Marimba_M01!A147="", "", Captura_Marimba_M01!G147)</f>
        <v/>
      </c>
      <c r="I293" s="9418" t="str">
        <f>IF(Captura_Marimba_M01!A147="", "", SUMIFS(Captura_Obra!$F:$F, Captura_Obra!$A:$A, E293, Captura_Obra!$B:$B, F293, Captura_Obra!$D:$D, G293))</f>
        <v/>
      </c>
      <c r="J293" s="9419" t="str">
        <f>IF(Captura_Marimba_M01!A147="", "", H293 - I293)</f>
        <v/>
      </c>
      <c r="K293" s="4102"/>
    </row>
    <row r="294" spans="1:11">
      <c r="A294" s="9420" t="str">
        <f>IF(Captura_Marimba_M01!A148="", "", "Marimba")</f>
        <v/>
      </c>
      <c r="B294" s="9421" t="str">
        <f>IF(Captura_Marimba_M01!A148="", "", Captura_Marimba_M01!N148)</f>
        <v/>
      </c>
      <c r="C294" s="9422" t="str">
        <f>IF(Captura_Marimba_M01!A148="", "", IFERROR(LOOKUP(2, 1/((Captura_Obra!$A$5:$A$1000=E294)*(Captura_Obra!$B$5:$B$1000=F294)*(Captura_Obra!$D$5:$D$1000=G294)), Captura_Obra!$N$5:$N$1000), "No Reportado"))</f>
        <v/>
      </c>
      <c r="D294" s="9423" t="str">
        <f>IF(Captura_Marimba_M01!A148="", "", IF(J294=0, "✅ Cuadrado", IF(I294=0, "❌ Falta en Obra", "⚠️ Dif")))</f>
        <v/>
      </c>
      <c r="E294" s="9424" t="str">
        <f>IF(Captura_Marimba_M01!A148="", "", Captura_Marimba_M01!A148)</f>
        <v/>
      </c>
      <c r="F294" s="9425" t="str">
        <f>IF(Captura_Marimba_M01!A148="", "", Captura_Marimba_M01!C148)</f>
        <v/>
      </c>
      <c r="G294" s="9426" t="str">
        <f>IF(Captura_Marimba_M01!A148="", "", Captura_Marimba_M01!D148)</f>
        <v/>
      </c>
      <c r="H294" s="9427" t="str">
        <f>IF(Captura_Marimba_M01!A148="", "", Captura_Marimba_M01!G148)</f>
        <v/>
      </c>
      <c r="I294" s="9428" t="str">
        <f>IF(Captura_Marimba_M01!A148="", "", SUMIFS(Captura_Obra!$F:$F, Captura_Obra!$A:$A, E294, Captura_Obra!$B:$B, F294, Captura_Obra!$D:$D, G294))</f>
        <v/>
      </c>
      <c r="J294" s="9429" t="str">
        <f>IF(Captura_Marimba_M01!A148="", "", H294 - I294)</f>
        <v/>
      </c>
      <c r="K294" s="4103"/>
    </row>
    <row r="295" spans="1:11">
      <c r="A295" s="9430" t="str">
        <f>IF(Captura_Marimba_M01!A149="", "", "Marimba")</f>
        <v/>
      </c>
      <c r="B295" s="9431" t="str">
        <f>IF(Captura_Marimba_M01!A149="", "", Captura_Marimba_M01!N149)</f>
        <v/>
      </c>
      <c r="C295" s="9432" t="str">
        <f>IF(Captura_Marimba_M01!A149="", "", IFERROR(LOOKUP(2, 1/((Captura_Obra!$A$5:$A$1000=E295)*(Captura_Obra!$B$5:$B$1000=F295)*(Captura_Obra!$D$5:$D$1000=G295)), Captura_Obra!$N$5:$N$1000), "No Reportado"))</f>
        <v/>
      </c>
      <c r="D295" s="9433" t="str">
        <f>IF(Captura_Marimba_M01!A149="", "", IF(J295=0, "✅ Cuadrado", IF(I295=0, "❌ Falta en Obra", "⚠️ Dif")))</f>
        <v/>
      </c>
      <c r="E295" s="9434" t="str">
        <f>IF(Captura_Marimba_M01!A149="", "", Captura_Marimba_M01!A149)</f>
        <v/>
      </c>
      <c r="F295" s="9435" t="str">
        <f>IF(Captura_Marimba_M01!A149="", "", Captura_Marimba_M01!C149)</f>
        <v/>
      </c>
      <c r="G295" s="9436" t="str">
        <f>IF(Captura_Marimba_M01!A149="", "", Captura_Marimba_M01!D149)</f>
        <v/>
      </c>
      <c r="H295" s="9437" t="str">
        <f>IF(Captura_Marimba_M01!A149="", "", Captura_Marimba_M01!G149)</f>
        <v/>
      </c>
      <c r="I295" s="9438" t="str">
        <f>IF(Captura_Marimba_M01!A149="", "", SUMIFS(Captura_Obra!$F:$F, Captura_Obra!$A:$A, E295, Captura_Obra!$B:$B, F295, Captura_Obra!$D:$D, G295))</f>
        <v/>
      </c>
      <c r="J295" s="9439" t="str">
        <f>IF(Captura_Marimba_M01!A149="", "", H295 - I295)</f>
        <v/>
      </c>
      <c r="K295" s="4104"/>
    </row>
    <row r="296" spans="1:11">
      <c r="A296" s="9440" t="str">
        <f>IF(Captura_Marimba_M01!A150="", "", "Marimba")</f>
        <v/>
      </c>
      <c r="B296" s="9441" t="str">
        <f>IF(Captura_Marimba_M01!A150="", "", Captura_Marimba_M01!N150)</f>
        <v/>
      </c>
      <c r="C296" s="9442" t="str">
        <f>IF(Captura_Marimba_M01!A150="", "", IFERROR(LOOKUP(2, 1/((Captura_Obra!$A$5:$A$1000=E296)*(Captura_Obra!$B$5:$B$1000=F296)*(Captura_Obra!$D$5:$D$1000=G296)), Captura_Obra!$N$5:$N$1000), "No Reportado"))</f>
        <v/>
      </c>
      <c r="D296" s="9443" t="str">
        <f>IF(Captura_Marimba_M01!A150="", "", IF(J296=0, "✅ Cuadrado", IF(I296=0, "❌ Falta en Obra", "⚠️ Dif")))</f>
        <v/>
      </c>
      <c r="E296" s="9444" t="str">
        <f>IF(Captura_Marimba_M01!A150="", "", Captura_Marimba_M01!A150)</f>
        <v/>
      </c>
      <c r="F296" s="9445" t="str">
        <f>IF(Captura_Marimba_M01!A150="", "", Captura_Marimba_M01!C150)</f>
        <v/>
      </c>
      <c r="G296" s="9446" t="str">
        <f>IF(Captura_Marimba_M01!A150="", "", Captura_Marimba_M01!D150)</f>
        <v/>
      </c>
      <c r="H296" s="9447" t="str">
        <f>IF(Captura_Marimba_M01!A150="", "", Captura_Marimba_M01!G150)</f>
        <v/>
      </c>
      <c r="I296" s="9448" t="str">
        <f>IF(Captura_Marimba_M01!A150="", "", SUMIFS(Captura_Obra!$F:$F, Captura_Obra!$A:$A, E296, Captura_Obra!$B:$B, F296, Captura_Obra!$D:$D, G296))</f>
        <v/>
      </c>
      <c r="J296" s="9449" t="str">
        <f>IF(Captura_Marimba_M01!A150="", "", H296 - I296)</f>
        <v/>
      </c>
      <c r="K296" s="4105"/>
    </row>
    <row r="297" spans="1:11">
      <c r="A297" s="9450" t="str">
        <f>IF(Captura_Marimba_M01!A151="", "", "Marimba")</f>
        <v/>
      </c>
      <c r="B297" s="9451" t="str">
        <f>IF(Captura_Marimba_M01!A151="", "", Captura_Marimba_M01!N151)</f>
        <v/>
      </c>
      <c r="C297" s="9452" t="str">
        <f>IF(Captura_Marimba_M01!A151="", "", IFERROR(LOOKUP(2, 1/((Captura_Obra!$A$5:$A$1000=E297)*(Captura_Obra!$B$5:$B$1000=F297)*(Captura_Obra!$D$5:$D$1000=G297)), Captura_Obra!$N$5:$N$1000), "No Reportado"))</f>
        <v/>
      </c>
      <c r="D297" s="9453" t="str">
        <f>IF(Captura_Marimba_M01!A151="", "", IF(J297=0, "✅ Cuadrado", IF(I297=0, "❌ Falta en Obra", "⚠️ Dif")))</f>
        <v/>
      </c>
      <c r="E297" s="9454" t="str">
        <f>IF(Captura_Marimba_M01!A151="", "", Captura_Marimba_M01!A151)</f>
        <v/>
      </c>
      <c r="F297" s="9455" t="str">
        <f>IF(Captura_Marimba_M01!A151="", "", Captura_Marimba_M01!C151)</f>
        <v/>
      </c>
      <c r="G297" s="9456" t="str">
        <f>IF(Captura_Marimba_M01!A151="", "", Captura_Marimba_M01!D151)</f>
        <v/>
      </c>
      <c r="H297" s="9457" t="str">
        <f>IF(Captura_Marimba_M01!A151="", "", Captura_Marimba_M01!G151)</f>
        <v/>
      </c>
      <c r="I297" s="9458" t="str">
        <f>IF(Captura_Marimba_M01!A151="", "", SUMIFS(Captura_Obra!$F:$F, Captura_Obra!$A:$A, E297, Captura_Obra!$B:$B, F297, Captura_Obra!$D:$D, G297))</f>
        <v/>
      </c>
      <c r="J297" s="9459" t="str">
        <f>IF(Captura_Marimba_M01!A151="", "", H297 - I297)</f>
        <v/>
      </c>
      <c r="K297" s="4106"/>
    </row>
    <row r="298" spans="1:11">
      <c r="A298" s="9460" t="str">
        <f>IF(Captura_Marimba_M01!A152="", "", "Marimba")</f>
        <v/>
      </c>
      <c r="B298" s="9461" t="str">
        <f>IF(Captura_Marimba_M01!A152="", "", Captura_Marimba_M01!N152)</f>
        <v/>
      </c>
      <c r="C298" s="9462" t="str">
        <f>IF(Captura_Marimba_M01!A152="", "", IFERROR(LOOKUP(2, 1/((Captura_Obra!$A$5:$A$1000=E298)*(Captura_Obra!$B$5:$B$1000=F298)*(Captura_Obra!$D$5:$D$1000=G298)), Captura_Obra!$N$5:$N$1000), "No Reportado"))</f>
        <v/>
      </c>
      <c r="D298" s="9463" t="str">
        <f>IF(Captura_Marimba_M01!A152="", "", IF(J298=0, "✅ Cuadrado", IF(I298=0, "❌ Falta en Obra", "⚠️ Dif")))</f>
        <v/>
      </c>
      <c r="E298" s="9464" t="str">
        <f>IF(Captura_Marimba_M01!A152="", "", Captura_Marimba_M01!A152)</f>
        <v/>
      </c>
      <c r="F298" s="9465" t="str">
        <f>IF(Captura_Marimba_M01!A152="", "", Captura_Marimba_M01!C152)</f>
        <v/>
      </c>
      <c r="G298" s="9466" t="str">
        <f>IF(Captura_Marimba_M01!A152="", "", Captura_Marimba_M01!D152)</f>
        <v/>
      </c>
      <c r="H298" s="9467" t="str">
        <f>IF(Captura_Marimba_M01!A152="", "", Captura_Marimba_M01!G152)</f>
        <v/>
      </c>
      <c r="I298" s="9468" t="str">
        <f>IF(Captura_Marimba_M01!A152="", "", SUMIFS(Captura_Obra!$F:$F, Captura_Obra!$A:$A, E298, Captura_Obra!$B:$B, F298, Captura_Obra!$D:$D, G298))</f>
        <v/>
      </c>
      <c r="J298" s="9469" t="str">
        <f>IF(Captura_Marimba_M01!A152="", "", H298 - I298)</f>
        <v/>
      </c>
      <c r="K298" s="4107"/>
    </row>
    <row r="299" spans="1:11">
      <c r="A299" s="9470" t="str">
        <f>IF(Captura_Marimba_M01!A153="", "", "Marimba")</f>
        <v/>
      </c>
      <c r="B299" s="9471" t="str">
        <f>IF(Captura_Marimba_M01!A153="", "", Captura_Marimba_M01!N153)</f>
        <v/>
      </c>
      <c r="C299" s="9472" t="str">
        <f>IF(Captura_Marimba_M01!A153="", "", IFERROR(LOOKUP(2, 1/((Captura_Obra!$A$5:$A$1000=E299)*(Captura_Obra!$B$5:$B$1000=F299)*(Captura_Obra!$D$5:$D$1000=G299)), Captura_Obra!$N$5:$N$1000), "No Reportado"))</f>
        <v/>
      </c>
      <c r="D299" s="9473" t="str">
        <f>IF(Captura_Marimba_M01!A153="", "", IF(J299=0, "✅ Cuadrado", IF(I299=0, "❌ Falta en Obra", "⚠️ Dif")))</f>
        <v/>
      </c>
      <c r="E299" s="9474" t="str">
        <f>IF(Captura_Marimba_M01!A153="", "", Captura_Marimba_M01!A153)</f>
        <v/>
      </c>
      <c r="F299" s="9475" t="str">
        <f>IF(Captura_Marimba_M01!A153="", "", Captura_Marimba_M01!C153)</f>
        <v/>
      </c>
      <c r="G299" s="9476" t="str">
        <f>IF(Captura_Marimba_M01!A153="", "", Captura_Marimba_M01!D153)</f>
        <v/>
      </c>
      <c r="H299" s="9477" t="str">
        <f>IF(Captura_Marimba_M01!A153="", "", Captura_Marimba_M01!G153)</f>
        <v/>
      </c>
      <c r="I299" s="9478" t="str">
        <f>IF(Captura_Marimba_M01!A153="", "", SUMIFS(Captura_Obra!$F:$F, Captura_Obra!$A:$A, E299, Captura_Obra!$B:$B, F299, Captura_Obra!$D:$D, G299))</f>
        <v/>
      </c>
      <c r="J299" s="9479" t="str">
        <f>IF(Captura_Marimba_M01!A153="", "", H299 - I299)</f>
        <v/>
      </c>
      <c r="K299" s="4108"/>
    </row>
    <row r="300" spans="1:11">
      <c r="A300" s="9480" t="str">
        <f>IF(Captura_Marimba_M01!A154="", "", "Marimba")</f>
        <v/>
      </c>
      <c r="B300" s="9481" t="str">
        <f>IF(Captura_Marimba_M01!A154="", "", Captura_Marimba_M01!N154)</f>
        <v/>
      </c>
      <c r="C300" s="9482" t="str">
        <f>IF(Captura_Marimba_M01!A154="", "", IFERROR(LOOKUP(2, 1/((Captura_Obra!$A$5:$A$1000=E300)*(Captura_Obra!$B$5:$B$1000=F300)*(Captura_Obra!$D$5:$D$1000=G300)), Captura_Obra!$N$5:$N$1000), "No Reportado"))</f>
        <v/>
      </c>
      <c r="D300" s="9483" t="str">
        <f>IF(Captura_Marimba_M01!A154="", "", IF(J300=0, "✅ Cuadrado", IF(I300=0, "❌ Falta en Obra", "⚠️ Dif")))</f>
        <v/>
      </c>
      <c r="E300" s="9484" t="str">
        <f>IF(Captura_Marimba_M01!A154="", "", Captura_Marimba_M01!A154)</f>
        <v/>
      </c>
      <c r="F300" s="9485" t="str">
        <f>IF(Captura_Marimba_M01!A154="", "", Captura_Marimba_M01!C154)</f>
        <v/>
      </c>
      <c r="G300" s="9486" t="str">
        <f>IF(Captura_Marimba_M01!A154="", "", Captura_Marimba_M01!D154)</f>
        <v/>
      </c>
      <c r="H300" s="9487" t="str">
        <f>IF(Captura_Marimba_M01!A154="", "", Captura_Marimba_M01!G154)</f>
        <v/>
      </c>
      <c r="I300" s="9488" t="str">
        <f>IF(Captura_Marimba_M01!A154="", "", SUMIFS(Captura_Obra!$F:$F, Captura_Obra!$A:$A, E300, Captura_Obra!$B:$B, F300, Captura_Obra!$D:$D, G300))</f>
        <v/>
      </c>
      <c r="J300" s="9489" t="str">
        <f>IF(Captura_Marimba_M01!A154="", "", H300 - I300)</f>
        <v/>
      </c>
      <c r="K300" s="4109"/>
    </row>
    <row r="301" spans="1:11">
      <c r="A301" s="9490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"Huérfano Obra")</f>
        <v/>
      </c>
      <c r="B301" s="9491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"No Reportado")</f>
        <v/>
      </c>
      <c r="C301" s="9492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Captura_Obra!N5)</f>
        <v/>
      </c>
      <c r="D301" s="9493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"❌ Falta en Pipa")</f>
        <v/>
      </c>
      <c r="E301" s="9494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Captura_Obra!A5)</f>
        <v/>
      </c>
      <c r="F301" s="9495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Captura_Obra!B5)</f>
        <v/>
      </c>
      <c r="G301" s="9496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Captura_Obra!D5)</f>
        <v/>
      </c>
      <c r="H301" s="9497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0)</f>
        <v/>
      </c>
      <c r="I301" s="9498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Captura_Obra!F5)</f>
        <v/>
      </c>
      <c r="J301" s="9499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H301 - I301)</f>
        <v/>
      </c>
      <c r="K301" s="4110"/>
    </row>
    <row r="302" spans="1:11">
      <c r="A302" s="9500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"Huérfano Obra")</f>
        <v/>
      </c>
      <c r="B302" s="9501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"No Reportado")</f>
        <v/>
      </c>
      <c r="C302" s="9502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Captura_Obra!N6)</f>
        <v/>
      </c>
      <c r="D302" s="9503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"❌ Falta en Pipa")</f>
        <v/>
      </c>
      <c r="E302" s="9504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Captura_Obra!A6)</f>
        <v/>
      </c>
      <c r="F302" s="9505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Captura_Obra!B6)</f>
        <v/>
      </c>
      <c r="G302" s="9506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Captura_Obra!D6)</f>
        <v/>
      </c>
      <c r="H302" s="9507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0)</f>
        <v/>
      </c>
      <c r="I302" s="9508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Captura_Obra!F6)</f>
        <v/>
      </c>
      <c r="J302" s="9509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H302 - I302)</f>
        <v/>
      </c>
      <c r="K302" s="4111"/>
    </row>
    <row r="303" spans="1:11">
      <c r="A303" s="9510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"Huérfano Obra")</f>
        <v/>
      </c>
      <c r="B303" s="9511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"No Reportado")</f>
        <v/>
      </c>
      <c r="C303" s="9512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Captura_Obra!N7)</f>
        <v/>
      </c>
      <c r="D303" s="9513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"❌ Falta en Pipa")</f>
        <v/>
      </c>
      <c r="E303" s="9514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Captura_Obra!A7)</f>
        <v/>
      </c>
      <c r="F303" s="9515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Captura_Obra!B7)</f>
        <v/>
      </c>
      <c r="G303" s="9516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Captura_Obra!D7)</f>
        <v/>
      </c>
      <c r="H303" s="9517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0)</f>
        <v/>
      </c>
      <c r="I303" s="9518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Captura_Obra!F7)</f>
        <v/>
      </c>
      <c r="J303" s="9519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H303 - I303)</f>
        <v/>
      </c>
      <c r="K303" s="4112"/>
    </row>
    <row r="304" spans="1:11">
      <c r="A304" s="9520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"Huérfano Obra")</f>
        <v/>
      </c>
      <c r="B304" s="9521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"No Reportado")</f>
        <v/>
      </c>
      <c r="C304" s="9522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Captura_Obra!N8)</f>
        <v/>
      </c>
      <c r="D304" s="9523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"❌ Falta en Pipa")</f>
        <v/>
      </c>
      <c r="E304" s="9524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Captura_Obra!A8)</f>
        <v/>
      </c>
      <c r="F304" s="9525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Captura_Obra!B8)</f>
        <v/>
      </c>
      <c r="G304" s="9526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Captura_Obra!D8)</f>
        <v/>
      </c>
      <c r="H304" s="9527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0)</f>
        <v/>
      </c>
      <c r="I304" s="9528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Captura_Obra!F8)</f>
        <v/>
      </c>
      <c r="J304" s="9529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H304 - I304)</f>
        <v/>
      </c>
      <c r="K304" s="4113"/>
    </row>
    <row r="305" spans="1:11">
      <c r="A305" s="9530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"Huérfano Obra")</f>
        <v/>
      </c>
      <c r="B305" s="9531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"No Reportado")</f>
        <v/>
      </c>
      <c r="C305" s="9532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Captura_Obra!N9)</f>
        <v/>
      </c>
      <c r="D305" s="9533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"❌ Falta en Pipa")</f>
        <v/>
      </c>
      <c r="E305" s="9534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Captura_Obra!A9)</f>
        <v/>
      </c>
      <c r="F305" s="9535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Captura_Obra!B9)</f>
        <v/>
      </c>
      <c r="G305" s="9536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Captura_Obra!D9)</f>
        <v/>
      </c>
      <c r="H305" s="9537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0)</f>
        <v/>
      </c>
      <c r="I305" s="9538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Captura_Obra!F9)</f>
        <v/>
      </c>
      <c r="J305" s="9539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H305 - I305)</f>
        <v/>
      </c>
      <c r="K305" s="4114"/>
    </row>
    <row r="306" spans="1:11">
      <c r="A306" s="9540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"Huérfano Obra")</f>
        <v/>
      </c>
      <c r="B306" s="9541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"No Reportado")</f>
        <v/>
      </c>
      <c r="C306" s="9542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Captura_Obra!N10)</f>
        <v/>
      </c>
      <c r="D306" s="9543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"❌ Falta en Pipa")</f>
        <v/>
      </c>
      <c r="E306" s="9544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Captura_Obra!A10)</f>
        <v/>
      </c>
      <c r="F306" s="9545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Captura_Obra!B10)</f>
        <v/>
      </c>
      <c r="G306" s="9546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Captura_Obra!D10)</f>
        <v/>
      </c>
      <c r="H306" s="9547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0)</f>
        <v/>
      </c>
      <c r="I306" s="9548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Captura_Obra!F10)</f>
        <v/>
      </c>
      <c r="J306" s="9549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H306 - I306)</f>
        <v/>
      </c>
      <c r="K306" s="4115"/>
    </row>
    <row r="307" spans="1:11">
      <c r="A307" s="9550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"Huérfano Obra")</f>
        <v/>
      </c>
      <c r="B307" s="9551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"No Reportado")</f>
        <v/>
      </c>
      <c r="C307" s="9552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Captura_Obra!N11)</f>
        <v/>
      </c>
      <c r="D307" s="9553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"❌ Falta en Pipa")</f>
        <v/>
      </c>
      <c r="E307" s="9554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Captura_Obra!A11)</f>
        <v/>
      </c>
      <c r="F307" s="9555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Captura_Obra!B11)</f>
        <v/>
      </c>
      <c r="G307" s="9556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Captura_Obra!D11)</f>
        <v/>
      </c>
      <c r="H307" s="9557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0)</f>
        <v/>
      </c>
      <c r="I307" s="9558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Captura_Obra!F11)</f>
        <v/>
      </c>
      <c r="J307" s="9559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H307 - I307)</f>
        <v/>
      </c>
      <c r="K307" s="4116"/>
    </row>
    <row r="308" spans="1:11">
      <c r="A308" s="9560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"Huérfano Obra")</f>
        <v/>
      </c>
      <c r="B308" s="9561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"No Reportado")</f>
        <v/>
      </c>
      <c r="C308" s="9562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Captura_Obra!N12)</f>
        <v/>
      </c>
      <c r="D308" s="9563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"❌ Falta en Pipa")</f>
        <v/>
      </c>
      <c r="E308" s="9564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Captura_Obra!A12)</f>
        <v/>
      </c>
      <c r="F308" s="9565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Captura_Obra!B12)</f>
        <v/>
      </c>
      <c r="G308" s="9566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Captura_Obra!D12)</f>
        <v/>
      </c>
      <c r="H308" s="9567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0)</f>
        <v/>
      </c>
      <c r="I308" s="9568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Captura_Obra!F12)</f>
        <v/>
      </c>
      <c r="J308" s="9569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H308 - I308)</f>
        <v/>
      </c>
      <c r="K308" s="4117"/>
    </row>
    <row r="309" spans="1:11">
      <c r="A309" s="9570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"Huérfano Obra")</f>
        <v/>
      </c>
      <c r="B309" s="9571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"No Reportado")</f>
        <v/>
      </c>
      <c r="C309" s="9572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Captura_Obra!N13)</f>
        <v/>
      </c>
      <c r="D309" s="9573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"❌ Falta en Pipa")</f>
        <v/>
      </c>
      <c r="E309" s="9574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Captura_Obra!A13)</f>
        <v/>
      </c>
      <c r="F309" s="9575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Captura_Obra!B13)</f>
        <v/>
      </c>
      <c r="G309" s="9576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Captura_Obra!D13)</f>
        <v/>
      </c>
      <c r="H309" s="9577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0)</f>
        <v/>
      </c>
      <c r="I309" s="9578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Captura_Obra!F13)</f>
        <v/>
      </c>
      <c r="J309" s="9579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H309 - I309)</f>
        <v/>
      </c>
      <c r="K309" s="4118"/>
    </row>
    <row r="310" spans="1:11">
      <c r="A310" s="9580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"Huérfano Obra")</f>
        <v/>
      </c>
      <c r="B310" s="9581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"No Reportado")</f>
        <v/>
      </c>
      <c r="C310" s="9582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Captura_Obra!N14)</f>
        <v/>
      </c>
      <c r="D310" s="9583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"❌ Falta en Pipa")</f>
        <v/>
      </c>
      <c r="E310" s="9584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Captura_Obra!A14)</f>
        <v/>
      </c>
      <c r="F310" s="9585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Captura_Obra!B14)</f>
        <v/>
      </c>
      <c r="G310" s="9586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Captura_Obra!D14)</f>
        <v/>
      </c>
      <c r="H310" s="9587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0)</f>
        <v/>
      </c>
      <c r="I310" s="9588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Captura_Obra!F14)</f>
        <v/>
      </c>
      <c r="J310" s="9589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H310 - I310)</f>
        <v/>
      </c>
      <c r="K310" s="4119"/>
    </row>
    <row r="311" spans="1:11">
      <c r="A311" s="9590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"Huérfano Obra")</f>
        <v/>
      </c>
      <c r="B311" s="9591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"No Reportado")</f>
        <v/>
      </c>
      <c r="C311" s="9592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Captura_Obra!N15)</f>
        <v/>
      </c>
      <c r="D311" s="9593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"❌ Falta en Pipa")</f>
        <v/>
      </c>
      <c r="E311" s="9594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Captura_Obra!A15)</f>
        <v/>
      </c>
      <c r="F311" s="9595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Captura_Obra!B15)</f>
        <v/>
      </c>
      <c r="G311" s="9596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Captura_Obra!D15)</f>
        <v/>
      </c>
      <c r="H311" s="9597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0)</f>
        <v/>
      </c>
      <c r="I311" s="9598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Captura_Obra!F15)</f>
        <v/>
      </c>
      <c r="J311" s="9599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H311 - I311)</f>
        <v/>
      </c>
      <c r="K311" s="4120"/>
    </row>
    <row r="312" spans="1:11">
      <c r="A312" s="9600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"Huérfano Obra")</f>
        <v/>
      </c>
      <c r="B312" s="9601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"No Reportado")</f>
        <v/>
      </c>
      <c r="C312" s="9602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Captura_Obra!N16)</f>
        <v/>
      </c>
      <c r="D312" s="9603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"❌ Falta en Pipa")</f>
        <v/>
      </c>
      <c r="E312" s="9604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Captura_Obra!A16)</f>
        <v/>
      </c>
      <c r="F312" s="9605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Captura_Obra!B16)</f>
        <v/>
      </c>
      <c r="G312" s="9606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Captura_Obra!D16)</f>
        <v/>
      </c>
      <c r="H312" s="9607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0)</f>
        <v/>
      </c>
      <c r="I312" s="9608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Captura_Obra!F16)</f>
        <v/>
      </c>
      <c r="J312" s="9609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H312 - I312)</f>
        <v/>
      </c>
      <c r="K312" s="4121"/>
    </row>
    <row r="313" spans="1:11">
      <c r="A313" s="9610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"Huérfano Obra")</f>
        <v/>
      </c>
      <c r="B313" s="9611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"No Reportado")</f>
        <v/>
      </c>
      <c r="C313" s="9612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Captura_Obra!N17)</f>
        <v/>
      </c>
      <c r="D313" s="9613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"❌ Falta en Pipa")</f>
        <v/>
      </c>
      <c r="E313" s="9614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Captura_Obra!A17)</f>
        <v/>
      </c>
      <c r="F313" s="9615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Captura_Obra!B17)</f>
        <v/>
      </c>
      <c r="G313" s="9616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Captura_Obra!D17)</f>
        <v/>
      </c>
      <c r="H313" s="9617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0)</f>
        <v/>
      </c>
      <c r="I313" s="9618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Captura_Obra!F17)</f>
        <v/>
      </c>
      <c r="J313" s="9619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H313 - I313)</f>
        <v/>
      </c>
      <c r="K313" s="4122"/>
    </row>
    <row r="314" spans="1:11">
      <c r="A314" s="9620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"Huérfano Obra")</f>
        <v>Huérfano Obra</v>
      </c>
      <c r="B314" s="9621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"No Reportado")</f>
        <v>No Reportado</v>
      </c>
      <c r="C314" s="9622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Captura_Obra!N18)</f>
        <v>CO-MP-24-014</v>
      </c>
      <c r="D314" s="9623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"❌ Falta en Pipa")</f>
        <v>❌ Falta en Pipa</v>
      </c>
      <c r="E314" s="9624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Captura_Obra!A18)</f>
        <v>46181</v>
      </c>
      <c r="F314" s="9625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Captura_Obra!B18)</f>
        <v>Maquinaria Pegaso</v>
      </c>
      <c r="G314" s="9626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Captura_Obra!D18)</f>
        <v>Bidones</v>
      </c>
      <c r="H314" s="9627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0)</f>
        <v>0</v>
      </c>
      <c r="I314" s="9628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Captura_Obra!F18)</f>
        <v>200</v>
      </c>
      <c r="J314" s="9629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H314 - I314)</f>
        <v>-200</v>
      </c>
      <c r="K314" s="4123"/>
    </row>
    <row r="315" spans="1:11">
      <c r="A315" s="9630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"Huérfano Obra")</f>
        <v>Huérfano Obra</v>
      </c>
      <c r="B315" s="9631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"No Reportado")</f>
        <v>No Reportado</v>
      </c>
      <c r="C315" s="9632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Captura_Obra!N19)</f>
        <v>CO-MP-24-015</v>
      </c>
      <c r="D315" s="9633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"❌ Falta en Pipa")</f>
        <v>❌ Falta en Pipa</v>
      </c>
      <c r="E315" s="9634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Captura_Obra!A19)</f>
        <v>46181</v>
      </c>
      <c r="F315" s="9635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Captura_Obra!B19)</f>
        <v>Maquinaria Pegaso</v>
      </c>
      <c r="G315" s="9636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Captura_Obra!D19)</f>
        <v>Bidones</v>
      </c>
      <c r="H315" s="9637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0)</f>
        <v>0</v>
      </c>
      <c r="I315" s="9638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Captura_Obra!F19)</f>
        <v>209</v>
      </c>
      <c r="J315" s="9639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H315 - I315)</f>
        <v>-209</v>
      </c>
      <c r="K315" s="4124"/>
    </row>
    <row r="316" spans="1:11">
      <c r="A316" s="9640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"Huérfano Obra")</f>
        <v/>
      </c>
      <c r="B316" s="9641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"No Reportado")</f>
        <v/>
      </c>
      <c r="C316" s="9642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Captura_Obra!N20)</f>
        <v/>
      </c>
      <c r="D316" s="9643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"❌ Falta en Pipa")</f>
        <v/>
      </c>
      <c r="E316" s="9644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Captura_Obra!A20)</f>
        <v/>
      </c>
      <c r="F316" s="9645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Captura_Obra!B20)</f>
        <v/>
      </c>
      <c r="G316" s="9646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Captura_Obra!D20)</f>
        <v/>
      </c>
      <c r="H316" s="9647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0)</f>
        <v/>
      </c>
      <c r="I316" s="9648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Captura_Obra!F20)</f>
        <v/>
      </c>
      <c r="J316" s="9649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H316 - I316)</f>
        <v/>
      </c>
      <c r="K316" s="4125"/>
    </row>
    <row r="317" spans="1:11">
      <c r="A317" s="9650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"Huérfano Obra")</f>
        <v/>
      </c>
      <c r="B317" s="9651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"No Reportado")</f>
        <v/>
      </c>
      <c r="C317" s="9652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Captura_Obra!N21)</f>
        <v/>
      </c>
      <c r="D317" s="9653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"❌ Falta en Pipa")</f>
        <v/>
      </c>
      <c r="E317" s="9654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Captura_Obra!A21)</f>
        <v/>
      </c>
      <c r="F317" s="9655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Captura_Obra!B21)</f>
        <v/>
      </c>
      <c r="G317" s="9656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Captura_Obra!D21)</f>
        <v/>
      </c>
      <c r="H317" s="9657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0)</f>
        <v/>
      </c>
      <c r="I317" s="9658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Captura_Obra!F21)</f>
        <v/>
      </c>
      <c r="J317" s="9659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H317 - I317)</f>
        <v/>
      </c>
      <c r="K317" s="4126"/>
    </row>
    <row r="318" spans="1:11">
      <c r="A318" s="9660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"Huérfano Obra")</f>
        <v/>
      </c>
      <c r="B318" s="9661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"No Reportado")</f>
        <v/>
      </c>
      <c r="C318" s="9662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Captura_Obra!N22)</f>
        <v/>
      </c>
      <c r="D318" s="9663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"❌ Falta en Pipa")</f>
        <v/>
      </c>
      <c r="E318" s="9664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Captura_Obra!A22)</f>
        <v/>
      </c>
      <c r="F318" s="9665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Captura_Obra!B22)</f>
        <v/>
      </c>
      <c r="G318" s="9666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Captura_Obra!D22)</f>
        <v/>
      </c>
      <c r="H318" s="9667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0)</f>
        <v/>
      </c>
      <c r="I318" s="9668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Captura_Obra!F22)</f>
        <v/>
      </c>
      <c r="J318" s="9669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H318 - I318)</f>
        <v/>
      </c>
      <c r="K318" s="4127"/>
    </row>
    <row r="319" spans="1:11">
      <c r="A319" s="9670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"Huérfano Obra")</f>
        <v/>
      </c>
      <c r="B319" s="9671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"No Reportado")</f>
        <v/>
      </c>
      <c r="C319" s="9672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Captura_Obra!N23)</f>
        <v/>
      </c>
      <c r="D319" s="9673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"❌ Falta en Pipa")</f>
        <v/>
      </c>
      <c r="E319" s="9674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Captura_Obra!A23)</f>
        <v/>
      </c>
      <c r="F319" s="9675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Captura_Obra!B23)</f>
        <v/>
      </c>
      <c r="G319" s="9676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Captura_Obra!D23)</f>
        <v/>
      </c>
      <c r="H319" s="9677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0)</f>
        <v/>
      </c>
      <c r="I319" s="9678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Captura_Obra!F23)</f>
        <v/>
      </c>
      <c r="J319" s="9679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H319 - I319)</f>
        <v/>
      </c>
      <c r="K319" s="4128"/>
    </row>
    <row r="320" spans="1:11">
      <c r="A320" s="9680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"Huérfano Obra")</f>
        <v/>
      </c>
      <c r="B320" s="9681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"No Reportado")</f>
        <v/>
      </c>
      <c r="C320" s="9682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Captura_Obra!N24)</f>
        <v/>
      </c>
      <c r="D320" s="9683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"❌ Falta en Pipa")</f>
        <v/>
      </c>
      <c r="E320" s="9684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Captura_Obra!A24)</f>
        <v/>
      </c>
      <c r="F320" s="9685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Captura_Obra!B24)</f>
        <v/>
      </c>
      <c r="G320" s="9686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Captura_Obra!D24)</f>
        <v/>
      </c>
      <c r="H320" s="9687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0)</f>
        <v/>
      </c>
      <c r="I320" s="9688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Captura_Obra!F24)</f>
        <v/>
      </c>
      <c r="J320" s="9689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H320 - I320)</f>
        <v/>
      </c>
      <c r="K320" s="4129"/>
    </row>
    <row r="321" spans="1:11">
      <c r="A321" s="9690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"Huérfano Obra")</f>
        <v/>
      </c>
      <c r="B321" s="9691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"No Reportado")</f>
        <v/>
      </c>
      <c r="C321" s="9692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Captura_Obra!N25)</f>
        <v/>
      </c>
      <c r="D321" s="9693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"❌ Falta en Pipa")</f>
        <v/>
      </c>
      <c r="E321" s="9694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Captura_Obra!A25)</f>
        <v/>
      </c>
      <c r="F321" s="9695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Captura_Obra!B25)</f>
        <v/>
      </c>
      <c r="G321" s="9696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Captura_Obra!D25)</f>
        <v/>
      </c>
      <c r="H321" s="9697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0)</f>
        <v/>
      </c>
      <c r="I321" s="9698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Captura_Obra!F25)</f>
        <v/>
      </c>
      <c r="J321" s="9699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H321 - I321)</f>
        <v/>
      </c>
      <c r="K321" s="4130"/>
    </row>
    <row r="322" spans="1:11">
      <c r="A322" s="9700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"Huérfano Obra")</f>
        <v/>
      </c>
      <c r="B322" s="9701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"No Reportado")</f>
        <v/>
      </c>
      <c r="C322" s="9702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Captura_Obra!N26)</f>
        <v/>
      </c>
      <c r="D322" s="9703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"❌ Falta en Pipa")</f>
        <v/>
      </c>
      <c r="E322" s="9704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Captura_Obra!A26)</f>
        <v/>
      </c>
      <c r="F322" s="9705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Captura_Obra!B26)</f>
        <v/>
      </c>
      <c r="G322" s="9706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Captura_Obra!D26)</f>
        <v/>
      </c>
      <c r="H322" s="9707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0)</f>
        <v/>
      </c>
      <c r="I322" s="9708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Captura_Obra!F26)</f>
        <v/>
      </c>
      <c r="J322" s="9709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H322 - I322)</f>
        <v/>
      </c>
      <c r="K322" s="4131"/>
    </row>
    <row r="323" spans="1:11">
      <c r="A323" s="9710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"Huérfano Obra")</f>
        <v/>
      </c>
      <c r="B323" s="9711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"No Reportado")</f>
        <v/>
      </c>
      <c r="C323" s="9712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Captura_Obra!N27)</f>
        <v/>
      </c>
      <c r="D323" s="9713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"❌ Falta en Pipa")</f>
        <v/>
      </c>
      <c r="E323" s="9714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Captura_Obra!A27)</f>
        <v/>
      </c>
      <c r="F323" s="9715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Captura_Obra!B27)</f>
        <v/>
      </c>
      <c r="G323" s="9716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Captura_Obra!D27)</f>
        <v/>
      </c>
      <c r="H323" s="9717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0)</f>
        <v/>
      </c>
      <c r="I323" s="9718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Captura_Obra!F27)</f>
        <v/>
      </c>
      <c r="J323" s="9719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H323 - I323)</f>
        <v/>
      </c>
      <c r="K323" s="4132"/>
    </row>
    <row r="324" spans="1:11">
      <c r="A324" s="9720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"Huérfano Obra")</f>
        <v/>
      </c>
      <c r="B324" s="9721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"No Reportado")</f>
        <v/>
      </c>
      <c r="C324" s="9722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Captura_Obra!N28)</f>
        <v/>
      </c>
      <c r="D324" s="9723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"❌ Falta en Pipa")</f>
        <v/>
      </c>
      <c r="E324" s="9724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Captura_Obra!A28)</f>
        <v/>
      </c>
      <c r="F324" s="9725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Captura_Obra!B28)</f>
        <v/>
      </c>
      <c r="G324" s="9726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Captura_Obra!D28)</f>
        <v/>
      </c>
      <c r="H324" s="9727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0)</f>
        <v/>
      </c>
      <c r="I324" s="9728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Captura_Obra!F28)</f>
        <v/>
      </c>
      <c r="J324" s="9729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H324 - I324)</f>
        <v/>
      </c>
      <c r="K324" s="4133"/>
    </row>
    <row r="325" spans="1:11">
      <c r="A325" s="9730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"Huérfano Obra")</f>
        <v/>
      </c>
      <c r="B325" s="9731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"No Reportado")</f>
        <v/>
      </c>
      <c r="C325" s="9732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Captura_Obra!N29)</f>
        <v/>
      </c>
      <c r="D325" s="9733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"❌ Falta en Pipa")</f>
        <v/>
      </c>
      <c r="E325" s="9734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Captura_Obra!A29)</f>
        <v/>
      </c>
      <c r="F325" s="9735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Captura_Obra!B29)</f>
        <v/>
      </c>
      <c r="G325" s="9736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Captura_Obra!D29)</f>
        <v/>
      </c>
      <c r="H325" s="9737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0)</f>
        <v/>
      </c>
      <c r="I325" s="9738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Captura_Obra!F29)</f>
        <v/>
      </c>
      <c r="J325" s="9739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H325 - I325)</f>
        <v/>
      </c>
      <c r="K325" s="4134"/>
    </row>
    <row r="326" spans="1:11">
      <c r="A326" s="9740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"Huérfano Obra")</f>
        <v/>
      </c>
      <c r="B326" s="9741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"No Reportado")</f>
        <v/>
      </c>
      <c r="C326" s="9742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Captura_Obra!N30)</f>
        <v/>
      </c>
      <c r="D326" s="9743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"❌ Falta en Pipa")</f>
        <v/>
      </c>
      <c r="E326" s="9744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Captura_Obra!A30)</f>
        <v/>
      </c>
      <c r="F326" s="9745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Captura_Obra!B30)</f>
        <v/>
      </c>
      <c r="G326" s="9746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Captura_Obra!D30)</f>
        <v/>
      </c>
      <c r="H326" s="9747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0)</f>
        <v/>
      </c>
      <c r="I326" s="9748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Captura_Obra!F30)</f>
        <v/>
      </c>
      <c r="J326" s="9749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H326 - I326)</f>
        <v/>
      </c>
      <c r="K326" s="4135"/>
    </row>
    <row r="327" spans="1:11">
      <c r="A327" s="9750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"Huérfano Obra")</f>
        <v/>
      </c>
      <c r="B327" s="9751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"No Reportado")</f>
        <v/>
      </c>
      <c r="C327" s="9752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Captura_Obra!N31)</f>
        <v/>
      </c>
      <c r="D327" s="9753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"❌ Falta en Pipa")</f>
        <v/>
      </c>
      <c r="E327" s="9754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Captura_Obra!A31)</f>
        <v/>
      </c>
      <c r="F327" s="9755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Captura_Obra!B31)</f>
        <v/>
      </c>
      <c r="G327" s="9756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Captura_Obra!D31)</f>
        <v/>
      </c>
      <c r="H327" s="9757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0)</f>
        <v/>
      </c>
      <c r="I327" s="9758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Captura_Obra!F31)</f>
        <v/>
      </c>
      <c r="J327" s="9759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H327 - I327)</f>
        <v/>
      </c>
      <c r="K327" s="4136"/>
    </row>
    <row r="328" spans="1:11">
      <c r="A328" s="9760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"Huérfano Obra")</f>
        <v/>
      </c>
      <c r="B328" s="9761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"No Reportado")</f>
        <v/>
      </c>
      <c r="C328" s="9762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Captura_Obra!N32)</f>
        <v/>
      </c>
      <c r="D328" s="9763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"❌ Falta en Pipa")</f>
        <v/>
      </c>
      <c r="E328" s="9764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Captura_Obra!A32)</f>
        <v/>
      </c>
      <c r="F328" s="9765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Captura_Obra!B32)</f>
        <v/>
      </c>
      <c r="G328" s="9766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Captura_Obra!D32)</f>
        <v/>
      </c>
      <c r="H328" s="9767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0)</f>
        <v/>
      </c>
      <c r="I328" s="9768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Captura_Obra!F32)</f>
        <v/>
      </c>
      <c r="J328" s="9769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H328 - I328)</f>
        <v/>
      </c>
      <c r="K328" s="4137"/>
    </row>
    <row r="329" spans="1:11">
      <c r="A329" s="9770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"Huérfano Obra")</f>
        <v/>
      </c>
      <c r="B329" s="9771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"No Reportado")</f>
        <v/>
      </c>
      <c r="C329" s="9772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Captura_Obra!N33)</f>
        <v/>
      </c>
      <c r="D329" s="9773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"❌ Falta en Pipa")</f>
        <v/>
      </c>
      <c r="E329" s="9774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Captura_Obra!A33)</f>
        <v/>
      </c>
      <c r="F329" s="9775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Captura_Obra!B33)</f>
        <v/>
      </c>
      <c r="G329" s="9776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Captura_Obra!D33)</f>
        <v/>
      </c>
      <c r="H329" s="9777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0)</f>
        <v/>
      </c>
      <c r="I329" s="9778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Captura_Obra!F33)</f>
        <v/>
      </c>
      <c r="J329" s="9779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H329 - I329)</f>
        <v/>
      </c>
      <c r="K329" s="4138"/>
    </row>
    <row r="330" spans="1:11">
      <c r="A330" s="9780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"Huérfano Obra")</f>
        <v/>
      </c>
      <c r="B330" s="9781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"No Reportado")</f>
        <v/>
      </c>
      <c r="C330" s="9782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Captura_Obra!N34)</f>
        <v/>
      </c>
      <c r="D330" s="9783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"❌ Falta en Pipa")</f>
        <v/>
      </c>
      <c r="E330" s="9784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Captura_Obra!A34)</f>
        <v/>
      </c>
      <c r="F330" s="9785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Captura_Obra!B34)</f>
        <v/>
      </c>
      <c r="G330" s="9786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Captura_Obra!D34)</f>
        <v/>
      </c>
      <c r="H330" s="9787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0)</f>
        <v/>
      </c>
      <c r="I330" s="9788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Captura_Obra!F34)</f>
        <v/>
      </c>
      <c r="J330" s="9789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H330 - I330)</f>
        <v/>
      </c>
      <c r="K330" s="4139"/>
    </row>
    <row r="331" spans="1:11">
      <c r="A331" s="9790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"Huérfano Obra")</f>
        <v/>
      </c>
      <c r="B331" s="9791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"No Reportado")</f>
        <v/>
      </c>
      <c r="C331" s="9792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Captura_Obra!N35)</f>
        <v/>
      </c>
      <c r="D331" s="9793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"❌ Falta en Pipa")</f>
        <v/>
      </c>
      <c r="E331" s="9794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Captura_Obra!A35)</f>
        <v/>
      </c>
      <c r="F331" s="9795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Captura_Obra!B35)</f>
        <v/>
      </c>
      <c r="G331" s="9796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Captura_Obra!D35)</f>
        <v/>
      </c>
      <c r="H331" s="9797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0)</f>
        <v/>
      </c>
      <c r="I331" s="9798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Captura_Obra!F35)</f>
        <v/>
      </c>
      <c r="J331" s="9799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H331 - I331)</f>
        <v/>
      </c>
      <c r="K331" s="4140"/>
    </row>
    <row r="332" spans="1:11">
      <c r="A332" s="9800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"Huérfano Obra")</f>
        <v/>
      </c>
      <c r="B332" s="9801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"No Reportado")</f>
        <v/>
      </c>
      <c r="C332" s="9802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Captura_Obra!N36)</f>
        <v/>
      </c>
      <c r="D332" s="9803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"❌ Falta en Pipa")</f>
        <v/>
      </c>
      <c r="E332" s="9804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Captura_Obra!A36)</f>
        <v/>
      </c>
      <c r="F332" s="9805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Captura_Obra!B36)</f>
        <v/>
      </c>
      <c r="G332" s="9806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Captura_Obra!D36)</f>
        <v/>
      </c>
      <c r="H332" s="9807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0)</f>
        <v/>
      </c>
      <c r="I332" s="9808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Captura_Obra!F36)</f>
        <v/>
      </c>
      <c r="J332" s="9809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H332 - I332)</f>
        <v/>
      </c>
      <c r="K332" s="4141"/>
    </row>
    <row r="333" spans="1:11">
      <c r="A333" s="9810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"Huérfano Obra")</f>
        <v/>
      </c>
      <c r="B333" s="9811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"No Reportado")</f>
        <v/>
      </c>
      <c r="C333" s="9812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Captura_Obra!N37)</f>
        <v/>
      </c>
      <c r="D333" s="9813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"❌ Falta en Pipa")</f>
        <v/>
      </c>
      <c r="E333" s="9814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Captura_Obra!A37)</f>
        <v/>
      </c>
      <c r="F333" s="9815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Captura_Obra!B37)</f>
        <v/>
      </c>
      <c r="G333" s="9816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Captura_Obra!D37)</f>
        <v/>
      </c>
      <c r="H333" s="9817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0)</f>
        <v/>
      </c>
      <c r="I333" s="9818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Captura_Obra!F37)</f>
        <v/>
      </c>
      <c r="J333" s="9819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H333 - I333)</f>
        <v/>
      </c>
      <c r="K333" s="4142"/>
    </row>
    <row r="334" spans="1:11">
      <c r="A334" s="9820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"Huérfano Obra")</f>
        <v/>
      </c>
      <c r="B334" s="9821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"No Reportado")</f>
        <v/>
      </c>
      <c r="C334" s="9822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Captura_Obra!N38)</f>
        <v/>
      </c>
      <c r="D334" s="9823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"❌ Falta en Pipa")</f>
        <v/>
      </c>
      <c r="E334" s="9824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Captura_Obra!A38)</f>
        <v/>
      </c>
      <c r="F334" s="9825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Captura_Obra!B38)</f>
        <v/>
      </c>
      <c r="G334" s="9826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Captura_Obra!D38)</f>
        <v/>
      </c>
      <c r="H334" s="9827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0)</f>
        <v/>
      </c>
      <c r="I334" s="9828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Captura_Obra!F38)</f>
        <v/>
      </c>
      <c r="J334" s="9829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H334 - I334)</f>
        <v/>
      </c>
      <c r="K334" s="4143"/>
    </row>
    <row r="335" spans="1:11">
      <c r="A335" s="9830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"Huérfano Obra")</f>
        <v/>
      </c>
      <c r="B335" s="9831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"No Reportado")</f>
        <v/>
      </c>
      <c r="C335" s="9832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Captura_Obra!N39)</f>
        <v/>
      </c>
      <c r="D335" s="9833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"❌ Falta en Pipa")</f>
        <v/>
      </c>
      <c r="E335" s="9834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Captura_Obra!A39)</f>
        <v/>
      </c>
      <c r="F335" s="9835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Captura_Obra!B39)</f>
        <v/>
      </c>
      <c r="G335" s="9836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Captura_Obra!D39)</f>
        <v/>
      </c>
      <c r="H335" s="9837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0)</f>
        <v/>
      </c>
      <c r="I335" s="9838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Captura_Obra!F39)</f>
        <v/>
      </c>
      <c r="J335" s="9839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H335 - I335)</f>
        <v/>
      </c>
      <c r="K335" s="4144"/>
    </row>
    <row r="336" spans="1:11">
      <c r="A336" s="9840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"Huérfano Obra")</f>
        <v/>
      </c>
      <c r="B336" s="9841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"No Reportado")</f>
        <v/>
      </c>
      <c r="C336" s="9842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Captura_Obra!N40)</f>
        <v/>
      </c>
      <c r="D336" s="9843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"❌ Falta en Pipa")</f>
        <v/>
      </c>
      <c r="E336" s="9844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Captura_Obra!A40)</f>
        <v/>
      </c>
      <c r="F336" s="9845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Captura_Obra!B40)</f>
        <v/>
      </c>
      <c r="G336" s="9846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Captura_Obra!D40)</f>
        <v/>
      </c>
      <c r="H336" s="9847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0)</f>
        <v/>
      </c>
      <c r="I336" s="9848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Captura_Obra!F40)</f>
        <v/>
      </c>
      <c r="J336" s="9849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H336 - I336)</f>
        <v/>
      </c>
      <c r="K336" s="4145"/>
    </row>
    <row r="337" spans="1:11">
      <c r="A337" s="9850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"Huérfano Obra")</f>
        <v/>
      </c>
      <c r="B337" s="9851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"No Reportado")</f>
        <v/>
      </c>
      <c r="C337" s="9852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Captura_Obra!N41)</f>
        <v/>
      </c>
      <c r="D337" s="9853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"❌ Falta en Pipa")</f>
        <v/>
      </c>
      <c r="E337" s="9854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Captura_Obra!A41)</f>
        <v/>
      </c>
      <c r="F337" s="9855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Captura_Obra!B41)</f>
        <v/>
      </c>
      <c r="G337" s="9856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Captura_Obra!D41)</f>
        <v/>
      </c>
      <c r="H337" s="9857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0)</f>
        <v/>
      </c>
      <c r="I337" s="9858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Captura_Obra!F41)</f>
        <v/>
      </c>
      <c r="J337" s="9859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H337 - I337)</f>
        <v/>
      </c>
      <c r="K337" s="4146"/>
    </row>
    <row r="338" spans="1:11">
      <c r="A338" s="9860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"Huérfano Obra")</f>
        <v/>
      </c>
      <c r="B338" s="9861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"No Reportado")</f>
        <v/>
      </c>
      <c r="C338" s="9862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Captura_Obra!N42)</f>
        <v/>
      </c>
      <c r="D338" s="9863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"❌ Falta en Pipa")</f>
        <v/>
      </c>
      <c r="E338" s="9864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Captura_Obra!A42)</f>
        <v/>
      </c>
      <c r="F338" s="9865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Captura_Obra!B42)</f>
        <v/>
      </c>
      <c r="G338" s="9866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Captura_Obra!D42)</f>
        <v/>
      </c>
      <c r="H338" s="9867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0)</f>
        <v/>
      </c>
      <c r="I338" s="9868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Captura_Obra!F42)</f>
        <v/>
      </c>
      <c r="J338" s="9869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H338 - I338)</f>
        <v/>
      </c>
      <c r="K338" s="4147"/>
    </row>
    <row r="339" spans="1:11">
      <c r="A339" s="9870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"Huérfano Obra")</f>
        <v/>
      </c>
      <c r="B339" s="9871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"No Reportado")</f>
        <v/>
      </c>
      <c r="C339" s="9872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Captura_Obra!N43)</f>
        <v/>
      </c>
      <c r="D339" s="9873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"❌ Falta en Pipa")</f>
        <v/>
      </c>
      <c r="E339" s="9874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Captura_Obra!A43)</f>
        <v/>
      </c>
      <c r="F339" s="9875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Captura_Obra!B43)</f>
        <v/>
      </c>
      <c r="G339" s="9876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Captura_Obra!D43)</f>
        <v/>
      </c>
      <c r="H339" s="9877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0)</f>
        <v/>
      </c>
      <c r="I339" s="9878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Captura_Obra!F43)</f>
        <v/>
      </c>
      <c r="J339" s="9879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H339 - I339)</f>
        <v/>
      </c>
      <c r="K339" s="4148"/>
    </row>
    <row r="340" spans="1:11">
      <c r="A340" s="9880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"Huérfano Obra")</f>
        <v>Huérfano Obra</v>
      </c>
      <c r="B340" s="9881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"No Reportado")</f>
        <v>No Reportado</v>
      </c>
      <c r="C340" s="9882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Captura_Obra!N44)</f>
        <v>CO-MP-24-040</v>
      </c>
      <c r="D340" s="9883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"❌ Falta en Pipa")</f>
        <v>❌ Falta en Pipa</v>
      </c>
      <c r="E340" s="9884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Captura_Obra!A44)</f>
        <v>46184</v>
      </c>
      <c r="F340" s="9885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Captura_Obra!B44)</f>
        <v>Maquinaria Pegaso</v>
      </c>
      <c r="G340" s="9886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Captura_Obra!D44)</f>
        <v>PayLoder</v>
      </c>
      <c r="H340" s="9887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0)</f>
        <v>0</v>
      </c>
      <c r="I340" s="9888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Captura_Obra!F44)</f>
        <v>238</v>
      </c>
      <c r="J340" s="9889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H340 - I340)</f>
        <v>-238</v>
      </c>
      <c r="K340" s="4149"/>
    </row>
    <row r="341" spans="1:11">
      <c r="A341" s="9890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"Huérfano Obra")</f>
        <v/>
      </c>
      <c r="B341" s="9891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"No Reportado")</f>
        <v/>
      </c>
      <c r="C341" s="9892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Captura_Obra!N45)</f>
        <v/>
      </c>
      <c r="D341" s="9893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"❌ Falta en Pipa")</f>
        <v/>
      </c>
      <c r="E341" s="9894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Captura_Obra!A45)</f>
        <v/>
      </c>
      <c r="F341" s="9895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Captura_Obra!B45)</f>
        <v/>
      </c>
      <c r="G341" s="9896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Captura_Obra!D45)</f>
        <v/>
      </c>
      <c r="H341" s="9897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0)</f>
        <v/>
      </c>
      <c r="I341" s="9898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Captura_Obra!F45)</f>
        <v/>
      </c>
      <c r="J341" s="9899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H341 - I341)</f>
        <v/>
      </c>
      <c r="K341" s="4150"/>
    </row>
    <row r="342" spans="1:11">
      <c r="A342" s="9900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"Huérfano Obra")</f>
        <v/>
      </c>
      <c r="B342" s="9901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"No Reportado")</f>
        <v/>
      </c>
      <c r="C342" s="9902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Captura_Obra!N46)</f>
        <v/>
      </c>
      <c r="D342" s="9903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"❌ Falta en Pipa")</f>
        <v/>
      </c>
      <c r="E342" s="9904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Captura_Obra!A46)</f>
        <v/>
      </c>
      <c r="F342" s="9905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Captura_Obra!B46)</f>
        <v/>
      </c>
      <c r="G342" s="9906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Captura_Obra!D46)</f>
        <v/>
      </c>
      <c r="H342" s="9907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0)</f>
        <v/>
      </c>
      <c r="I342" s="9908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Captura_Obra!F46)</f>
        <v/>
      </c>
      <c r="J342" s="9909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H342 - I342)</f>
        <v/>
      </c>
      <c r="K342" s="4151"/>
    </row>
    <row r="343" spans="1:11">
      <c r="A343" s="9910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"Huérfano Obra")</f>
        <v/>
      </c>
      <c r="B343" s="9911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"No Reportado")</f>
        <v/>
      </c>
      <c r="C343" s="9912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Captura_Obra!N47)</f>
        <v/>
      </c>
      <c r="D343" s="9913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"❌ Falta en Pipa")</f>
        <v/>
      </c>
      <c r="E343" s="9914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Captura_Obra!A47)</f>
        <v/>
      </c>
      <c r="F343" s="9915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Captura_Obra!B47)</f>
        <v/>
      </c>
      <c r="G343" s="9916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Captura_Obra!D47)</f>
        <v/>
      </c>
      <c r="H343" s="9917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0)</f>
        <v/>
      </c>
      <c r="I343" s="9918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Captura_Obra!F47)</f>
        <v/>
      </c>
      <c r="J343" s="9919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H343 - I343)</f>
        <v/>
      </c>
      <c r="K343" s="4152"/>
    </row>
    <row r="344" spans="1:11">
      <c r="A344" s="9920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"Huérfano Obra")</f>
        <v/>
      </c>
      <c r="B344" s="9921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"No Reportado")</f>
        <v/>
      </c>
      <c r="C344" s="9922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Captura_Obra!N48)</f>
        <v/>
      </c>
      <c r="D344" s="9923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"❌ Falta en Pipa")</f>
        <v/>
      </c>
      <c r="E344" s="9924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Captura_Obra!A48)</f>
        <v/>
      </c>
      <c r="F344" s="9925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Captura_Obra!B48)</f>
        <v/>
      </c>
      <c r="G344" s="9926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Captura_Obra!D48)</f>
        <v/>
      </c>
      <c r="H344" s="9927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0)</f>
        <v/>
      </c>
      <c r="I344" s="9928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Captura_Obra!F48)</f>
        <v/>
      </c>
      <c r="J344" s="9929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H344 - I344)</f>
        <v/>
      </c>
      <c r="K344" s="4153"/>
    </row>
    <row r="345" spans="1:11">
      <c r="A345" s="9930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"Huérfano Obra")</f>
        <v/>
      </c>
      <c r="B345" s="9931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"No Reportado")</f>
        <v/>
      </c>
      <c r="C345" s="9932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Captura_Obra!N49)</f>
        <v/>
      </c>
      <c r="D345" s="9933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"❌ Falta en Pipa")</f>
        <v/>
      </c>
      <c r="E345" s="9934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Captura_Obra!A49)</f>
        <v/>
      </c>
      <c r="F345" s="9935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Captura_Obra!B49)</f>
        <v/>
      </c>
      <c r="G345" s="9936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Captura_Obra!D49)</f>
        <v/>
      </c>
      <c r="H345" s="9937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0)</f>
        <v/>
      </c>
      <c r="I345" s="9938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Captura_Obra!F49)</f>
        <v/>
      </c>
      <c r="J345" s="9939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H345 - I345)</f>
        <v/>
      </c>
      <c r="K345" s="4154"/>
    </row>
    <row r="346" spans="1:11">
      <c r="A346" s="9940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"Huérfano Obra")</f>
        <v/>
      </c>
      <c r="B346" s="9941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"No Reportado")</f>
        <v/>
      </c>
      <c r="C346" s="9942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Captura_Obra!N50)</f>
        <v/>
      </c>
      <c r="D346" s="9943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"❌ Falta en Pipa")</f>
        <v/>
      </c>
      <c r="E346" s="9944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Captura_Obra!A50)</f>
        <v/>
      </c>
      <c r="F346" s="9945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Captura_Obra!B50)</f>
        <v/>
      </c>
      <c r="G346" s="9946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Captura_Obra!D50)</f>
        <v/>
      </c>
      <c r="H346" s="9947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0)</f>
        <v/>
      </c>
      <c r="I346" s="9948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Captura_Obra!F50)</f>
        <v/>
      </c>
      <c r="J346" s="9949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H346 - I346)</f>
        <v/>
      </c>
      <c r="K346" s="4155"/>
    </row>
    <row r="347" spans="1:11">
      <c r="A347" s="9950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"Huérfano Obra")</f>
        <v/>
      </c>
      <c r="B347" s="9951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"No Reportado")</f>
        <v/>
      </c>
      <c r="C347" s="9952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Captura_Obra!N51)</f>
        <v/>
      </c>
      <c r="D347" s="9953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"❌ Falta en Pipa")</f>
        <v/>
      </c>
      <c r="E347" s="9954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Captura_Obra!A51)</f>
        <v/>
      </c>
      <c r="F347" s="9955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Captura_Obra!B51)</f>
        <v/>
      </c>
      <c r="G347" s="9956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Captura_Obra!D51)</f>
        <v/>
      </c>
      <c r="H347" s="9957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0)</f>
        <v/>
      </c>
      <c r="I347" s="9958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Captura_Obra!F51)</f>
        <v/>
      </c>
      <c r="J347" s="9959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H347 - I347)</f>
        <v/>
      </c>
      <c r="K347" s="4156"/>
    </row>
    <row r="348" spans="1:11">
      <c r="A348" s="9960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"Huérfano Obra")</f>
        <v/>
      </c>
      <c r="B348" s="9961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"No Reportado")</f>
        <v/>
      </c>
      <c r="C348" s="9962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Captura_Obra!N52)</f>
        <v/>
      </c>
      <c r="D348" s="9963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"❌ Falta en Pipa")</f>
        <v/>
      </c>
      <c r="E348" s="9964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Captura_Obra!A52)</f>
        <v/>
      </c>
      <c r="F348" s="9965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Captura_Obra!B52)</f>
        <v/>
      </c>
      <c r="G348" s="9966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Captura_Obra!D52)</f>
        <v/>
      </c>
      <c r="H348" s="9967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0)</f>
        <v/>
      </c>
      <c r="I348" s="9968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Captura_Obra!F52)</f>
        <v/>
      </c>
      <c r="J348" s="9969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H348 - I348)</f>
        <v/>
      </c>
      <c r="K348" s="4157"/>
    </row>
    <row r="349" spans="1:11">
      <c r="A349" s="9970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"Huérfano Obra")</f>
        <v/>
      </c>
      <c r="B349" s="9971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"No Reportado")</f>
        <v/>
      </c>
      <c r="C349" s="9972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Captura_Obra!N53)</f>
        <v/>
      </c>
      <c r="D349" s="9973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"❌ Falta en Pipa")</f>
        <v/>
      </c>
      <c r="E349" s="9974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Captura_Obra!A53)</f>
        <v/>
      </c>
      <c r="F349" s="9975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Captura_Obra!B53)</f>
        <v/>
      </c>
      <c r="G349" s="9976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Captura_Obra!D53)</f>
        <v/>
      </c>
      <c r="H349" s="9977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0)</f>
        <v/>
      </c>
      <c r="I349" s="9978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Captura_Obra!F53)</f>
        <v/>
      </c>
      <c r="J349" s="9979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H349 - I349)</f>
        <v/>
      </c>
      <c r="K349" s="4158"/>
    </row>
    <row r="350" spans="1:11">
      <c r="A350" s="9980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"Huérfano Obra")</f>
        <v/>
      </c>
      <c r="B350" s="9981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"No Reportado")</f>
        <v/>
      </c>
      <c r="C350" s="9982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Captura_Obra!N54)</f>
        <v/>
      </c>
      <c r="D350" s="9983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"❌ Falta en Pipa")</f>
        <v/>
      </c>
      <c r="E350" s="9984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Captura_Obra!A54)</f>
        <v/>
      </c>
      <c r="F350" s="9985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Captura_Obra!B54)</f>
        <v/>
      </c>
      <c r="G350" s="9986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Captura_Obra!D54)</f>
        <v/>
      </c>
      <c r="H350" s="9987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0)</f>
        <v/>
      </c>
      <c r="I350" s="9988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Captura_Obra!F54)</f>
        <v/>
      </c>
      <c r="J350" s="9989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H350 - I350)</f>
        <v/>
      </c>
      <c r="K350" s="4159"/>
    </row>
    <row r="351" spans="1:11">
      <c r="A351" s="9990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"Huérfano Obra")</f>
        <v/>
      </c>
      <c r="B351" s="9991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"No Reportado")</f>
        <v/>
      </c>
      <c r="C351" s="9992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Captura_Obra!N55)</f>
        <v/>
      </c>
      <c r="D351" s="9993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"❌ Falta en Pipa")</f>
        <v/>
      </c>
      <c r="E351" s="9994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Captura_Obra!A55)</f>
        <v/>
      </c>
      <c r="F351" s="9995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Captura_Obra!B55)</f>
        <v/>
      </c>
      <c r="G351" s="9996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Captura_Obra!D55)</f>
        <v/>
      </c>
      <c r="H351" s="9997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0)</f>
        <v/>
      </c>
      <c r="I351" s="9998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Captura_Obra!F55)</f>
        <v/>
      </c>
      <c r="J351" s="9999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H351 - I351)</f>
        <v/>
      </c>
      <c r="K351" s="4160"/>
    </row>
    <row r="352" spans="1:11">
      <c r="A352" s="10000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"Huérfano Obra")</f>
        <v/>
      </c>
      <c r="B352" s="10001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"No Reportado")</f>
        <v/>
      </c>
      <c r="C352" s="10002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Captura_Obra!N56)</f>
        <v/>
      </c>
      <c r="D352" s="10003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"❌ Falta en Pipa")</f>
        <v/>
      </c>
      <c r="E352" s="10004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Captura_Obra!A56)</f>
        <v/>
      </c>
      <c r="F352" s="10005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Captura_Obra!B56)</f>
        <v/>
      </c>
      <c r="G352" s="10006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Captura_Obra!D56)</f>
        <v/>
      </c>
      <c r="H352" s="10007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0)</f>
        <v/>
      </c>
      <c r="I352" s="10008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Captura_Obra!F56)</f>
        <v/>
      </c>
      <c r="J352" s="10009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H352 - I352)</f>
        <v/>
      </c>
      <c r="K352" s="4161"/>
    </row>
    <row r="353" spans="1:11">
      <c r="A353" s="10010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"Huérfano Obra")</f>
        <v/>
      </c>
      <c r="B353" s="10011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"No Reportado")</f>
        <v/>
      </c>
      <c r="C353" s="10012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Captura_Obra!N57)</f>
        <v/>
      </c>
      <c r="D353" s="10013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"❌ Falta en Pipa")</f>
        <v/>
      </c>
      <c r="E353" s="10014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Captura_Obra!A57)</f>
        <v/>
      </c>
      <c r="F353" s="10015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Captura_Obra!B57)</f>
        <v/>
      </c>
      <c r="G353" s="10016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Captura_Obra!D57)</f>
        <v/>
      </c>
      <c r="H353" s="10017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0)</f>
        <v/>
      </c>
      <c r="I353" s="10018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Captura_Obra!F57)</f>
        <v/>
      </c>
      <c r="J353" s="10019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H353 - I353)</f>
        <v/>
      </c>
      <c r="K353" s="4162"/>
    </row>
    <row r="354" spans="1:11">
      <c r="A354" s="10020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"Huérfano Obra")</f>
        <v/>
      </c>
      <c r="B354" s="10021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"No Reportado")</f>
        <v/>
      </c>
      <c r="C354" s="10022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Captura_Obra!N58)</f>
        <v/>
      </c>
      <c r="D354" s="10023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"❌ Falta en Pipa")</f>
        <v/>
      </c>
      <c r="E354" s="10024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Captura_Obra!A58)</f>
        <v/>
      </c>
      <c r="F354" s="10025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Captura_Obra!B58)</f>
        <v/>
      </c>
      <c r="G354" s="10026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Captura_Obra!D58)</f>
        <v/>
      </c>
      <c r="H354" s="10027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0)</f>
        <v/>
      </c>
      <c r="I354" s="10028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Captura_Obra!F58)</f>
        <v/>
      </c>
      <c r="J354" s="10029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H354 - I354)</f>
        <v/>
      </c>
      <c r="K354" s="4163"/>
    </row>
    <row r="355" spans="1:11">
      <c r="A355" s="10030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"Huérfano Obra")</f>
        <v/>
      </c>
      <c r="B355" s="10031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"No Reportado")</f>
        <v/>
      </c>
      <c r="C355" s="10032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Captura_Obra!N59)</f>
        <v/>
      </c>
      <c r="D355" s="10033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"❌ Falta en Pipa")</f>
        <v/>
      </c>
      <c r="E355" s="10034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Captura_Obra!A59)</f>
        <v/>
      </c>
      <c r="F355" s="10035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Captura_Obra!B59)</f>
        <v/>
      </c>
      <c r="G355" s="10036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Captura_Obra!D59)</f>
        <v/>
      </c>
      <c r="H355" s="10037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0)</f>
        <v/>
      </c>
      <c r="I355" s="10038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Captura_Obra!F59)</f>
        <v/>
      </c>
      <c r="J355" s="10039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H355 - I355)</f>
        <v/>
      </c>
      <c r="K355" s="4164"/>
    </row>
    <row r="356" spans="1:11">
      <c r="A356" s="10040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"Huérfano Obra")</f>
        <v/>
      </c>
      <c r="B356" s="10041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"No Reportado")</f>
        <v/>
      </c>
      <c r="C356" s="10042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Captura_Obra!N60)</f>
        <v/>
      </c>
      <c r="D356" s="10043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"❌ Falta en Pipa")</f>
        <v/>
      </c>
      <c r="E356" s="10044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Captura_Obra!A60)</f>
        <v/>
      </c>
      <c r="F356" s="10045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Captura_Obra!B60)</f>
        <v/>
      </c>
      <c r="G356" s="10046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Captura_Obra!D60)</f>
        <v/>
      </c>
      <c r="H356" s="10047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0)</f>
        <v/>
      </c>
      <c r="I356" s="10048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Captura_Obra!F60)</f>
        <v/>
      </c>
      <c r="J356" s="10049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H356 - I356)</f>
        <v/>
      </c>
      <c r="K356" s="4165"/>
    </row>
    <row r="357" spans="1:11">
      <c r="A357" s="10050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"Huérfano Obra")</f>
        <v/>
      </c>
      <c r="B357" s="10051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"No Reportado")</f>
        <v/>
      </c>
      <c r="C357" s="10052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Captura_Obra!N61)</f>
        <v/>
      </c>
      <c r="D357" s="10053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"❌ Falta en Pipa")</f>
        <v/>
      </c>
      <c r="E357" s="10054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Captura_Obra!A61)</f>
        <v/>
      </c>
      <c r="F357" s="10055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Captura_Obra!B61)</f>
        <v/>
      </c>
      <c r="G357" s="10056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Captura_Obra!D61)</f>
        <v/>
      </c>
      <c r="H357" s="10057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0)</f>
        <v/>
      </c>
      <c r="I357" s="10058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Captura_Obra!F61)</f>
        <v/>
      </c>
      <c r="J357" s="10059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H357 - I357)</f>
        <v/>
      </c>
      <c r="K357" s="4166"/>
    </row>
    <row r="358" spans="1:11">
      <c r="A358" s="10060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"Huérfano Obra")</f>
        <v/>
      </c>
      <c r="B358" s="10061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"No Reportado")</f>
        <v/>
      </c>
      <c r="C358" s="10062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Captura_Obra!N62)</f>
        <v/>
      </c>
      <c r="D358" s="10063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"❌ Falta en Pipa")</f>
        <v/>
      </c>
      <c r="E358" s="10064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Captura_Obra!A62)</f>
        <v/>
      </c>
      <c r="F358" s="10065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Captura_Obra!B62)</f>
        <v/>
      </c>
      <c r="G358" s="10066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Captura_Obra!D62)</f>
        <v/>
      </c>
      <c r="H358" s="10067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0)</f>
        <v/>
      </c>
      <c r="I358" s="10068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Captura_Obra!F62)</f>
        <v/>
      </c>
      <c r="J358" s="10069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H358 - I358)</f>
        <v/>
      </c>
      <c r="K358" s="4167"/>
    </row>
    <row r="359" spans="1:11">
      <c r="A359" s="10070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"Huérfano Obra")</f>
        <v/>
      </c>
      <c r="B359" s="10071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"No Reportado")</f>
        <v/>
      </c>
      <c r="C359" s="10072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Captura_Obra!N63)</f>
        <v/>
      </c>
      <c r="D359" s="10073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"❌ Falta en Pipa")</f>
        <v/>
      </c>
      <c r="E359" s="10074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Captura_Obra!A63)</f>
        <v/>
      </c>
      <c r="F359" s="10075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Captura_Obra!B63)</f>
        <v/>
      </c>
      <c r="G359" s="10076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Captura_Obra!D63)</f>
        <v/>
      </c>
      <c r="H359" s="10077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0)</f>
        <v/>
      </c>
      <c r="I359" s="10078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Captura_Obra!F63)</f>
        <v/>
      </c>
      <c r="J359" s="10079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H359 - I359)</f>
        <v/>
      </c>
      <c r="K359" s="4168"/>
    </row>
    <row r="360" spans="1:11">
      <c r="A360" s="10080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"Huérfano Obra")</f>
        <v/>
      </c>
      <c r="B360" s="10081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"No Reportado")</f>
        <v/>
      </c>
      <c r="C360" s="10082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Captura_Obra!N64)</f>
        <v/>
      </c>
      <c r="D360" s="10083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"❌ Falta en Pipa")</f>
        <v/>
      </c>
      <c r="E360" s="10084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Captura_Obra!A64)</f>
        <v/>
      </c>
      <c r="F360" s="10085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Captura_Obra!B64)</f>
        <v/>
      </c>
      <c r="G360" s="10086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Captura_Obra!D64)</f>
        <v/>
      </c>
      <c r="H360" s="10087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0)</f>
        <v/>
      </c>
      <c r="I360" s="10088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Captura_Obra!F64)</f>
        <v/>
      </c>
      <c r="J360" s="10089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H360 - I360)</f>
        <v/>
      </c>
      <c r="K360" s="4169"/>
    </row>
    <row r="361" spans="1:11">
      <c r="A361" s="10090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"Huérfano Obra")</f>
        <v/>
      </c>
      <c r="B361" s="10091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"No Reportado")</f>
        <v/>
      </c>
      <c r="C361" s="10092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Captura_Obra!N65)</f>
        <v/>
      </c>
      <c r="D361" s="10093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"❌ Falta en Pipa")</f>
        <v/>
      </c>
      <c r="E361" s="10094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Captura_Obra!A65)</f>
        <v/>
      </c>
      <c r="F361" s="10095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Captura_Obra!B65)</f>
        <v/>
      </c>
      <c r="G361" s="10096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Captura_Obra!D65)</f>
        <v/>
      </c>
      <c r="H361" s="10097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0)</f>
        <v/>
      </c>
      <c r="I361" s="10098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Captura_Obra!F65)</f>
        <v/>
      </c>
      <c r="J361" s="10099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H361 - I361)</f>
        <v/>
      </c>
      <c r="K361" s="4170"/>
    </row>
    <row r="362" spans="1:11">
      <c r="A362" s="10100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"Huérfano Obra")</f>
        <v/>
      </c>
      <c r="B362" s="10101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"No Reportado")</f>
        <v/>
      </c>
      <c r="C362" s="10102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Captura_Obra!N66)</f>
        <v/>
      </c>
      <c r="D362" s="10103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"❌ Falta en Pipa")</f>
        <v/>
      </c>
      <c r="E362" s="10104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Captura_Obra!A66)</f>
        <v/>
      </c>
      <c r="F362" s="10105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Captura_Obra!B66)</f>
        <v/>
      </c>
      <c r="G362" s="10106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Captura_Obra!D66)</f>
        <v/>
      </c>
      <c r="H362" s="10107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0)</f>
        <v/>
      </c>
      <c r="I362" s="10108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Captura_Obra!F66)</f>
        <v/>
      </c>
      <c r="J362" s="10109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H362 - I362)</f>
        <v/>
      </c>
      <c r="K362" s="4171"/>
    </row>
    <row r="363" spans="1:11">
      <c r="A363" s="10110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"Huérfano Obra")</f>
        <v/>
      </c>
      <c r="B363" s="10111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"No Reportado")</f>
        <v/>
      </c>
      <c r="C363" s="10112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Captura_Obra!N67)</f>
        <v/>
      </c>
      <c r="D363" s="10113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"❌ Falta en Pipa")</f>
        <v/>
      </c>
      <c r="E363" s="10114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Captura_Obra!A67)</f>
        <v/>
      </c>
      <c r="F363" s="10115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Captura_Obra!B67)</f>
        <v/>
      </c>
      <c r="G363" s="10116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Captura_Obra!D67)</f>
        <v/>
      </c>
      <c r="H363" s="10117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0)</f>
        <v/>
      </c>
      <c r="I363" s="10118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Captura_Obra!F67)</f>
        <v/>
      </c>
      <c r="J363" s="10119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H363 - I363)</f>
        <v/>
      </c>
      <c r="K363" s="4172"/>
    </row>
    <row r="364" spans="1:11">
      <c r="A364" s="10120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"Huérfano Obra")</f>
        <v/>
      </c>
      <c r="B364" s="10121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"No Reportado")</f>
        <v/>
      </c>
      <c r="C364" s="10122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Captura_Obra!N68)</f>
        <v/>
      </c>
      <c r="D364" s="10123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"❌ Falta en Pipa")</f>
        <v/>
      </c>
      <c r="E364" s="10124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Captura_Obra!A68)</f>
        <v/>
      </c>
      <c r="F364" s="10125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Captura_Obra!B68)</f>
        <v/>
      </c>
      <c r="G364" s="10126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Captura_Obra!D68)</f>
        <v/>
      </c>
      <c r="H364" s="10127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0)</f>
        <v/>
      </c>
      <c r="I364" s="10128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Captura_Obra!F68)</f>
        <v/>
      </c>
      <c r="J364" s="10129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H364 - I364)</f>
        <v/>
      </c>
      <c r="K364" s="4173"/>
    </row>
    <row r="365" spans="1:11">
      <c r="A365" s="10130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"Huérfano Obra")</f>
        <v>Huérfano Obra</v>
      </c>
      <c r="B365" s="10131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"No Reportado")</f>
        <v>No Reportado</v>
      </c>
      <c r="C365" s="10132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Captura_Obra!N69)</f>
        <v>CO-LT-25-065</v>
      </c>
      <c r="D365" s="10133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"❌ Falta en Pipa")</f>
        <v>❌ Falta en Pipa</v>
      </c>
      <c r="E365" s="10134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Captura_Obra!A69)</f>
        <v>46188</v>
      </c>
      <c r="F365" s="10135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Captura_Obra!B69)</f>
        <v>Lerma - Tres Marías</v>
      </c>
      <c r="G365" s="10136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Captura_Obra!D69)</f>
        <v>PAVIMENTADORA  VOGELE 1800-3 i</v>
      </c>
      <c r="H365" s="10137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0)</f>
        <v>0</v>
      </c>
      <c r="I365" s="10138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Captura_Obra!F69)</f>
        <v>73</v>
      </c>
      <c r="J365" s="10139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H365 - I365)</f>
        <v>-73</v>
      </c>
      <c r="K365" s="4174"/>
    </row>
    <row r="366" spans="1:11">
      <c r="A366" s="10140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"Huérfano Obra")</f>
        <v/>
      </c>
      <c r="B366" s="10141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"No Reportado")</f>
        <v/>
      </c>
      <c r="C366" s="10142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Captura_Obra!N70)</f>
        <v/>
      </c>
      <c r="D366" s="10143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"❌ Falta en Pipa")</f>
        <v/>
      </c>
      <c r="E366" s="10144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Captura_Obra!A70)</f>
        <v/>
      </c>
      <c r="F366" s="10145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Captura_Obra!B70)</f>
        <v/>
      </c>
      <c r="G366" s="10146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Captura_Obra!D70)</f>
        <v/>
      </c>
      <c r="H366" s="10147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0)</f>
        <v/>
      </c>
      <c r="I366" s="10148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Captura_Obra!F70)</f>
        <v/>
      </c>
      <c r="J366" s="10149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H366 - I366)</f>
        <v/>
      </c>
      <c r="K366" s="4175"/>
    </row>
    <row r="367" spans="1:11">
      <c r="A367" s="10150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"Huérfano Obra")</f>
        <v/>
      </c>
      <c r="B367" s="10151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"No Reportado")</f>
        <v/>
      </c>
      <c r="C367" s="10152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Captura_Obra!N71)</f>
        <v/>
      </c>
      <c r="D367" s="10153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"❌ Falta en Pipa")</f>
        <v/>
      </c>
      <c r="E367" s="10154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Captura_Obra!A71)</f>
        <v/>
      </c>
      <c r="F367" s="10155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Captura_Obra!B71)</f>
        <v/>
      </c>
      <c r="G367" s="10156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Captura_Obra!D71)</f>
        <v/>
      </c>
      <c r="H367" s="10157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0)</f>
        <v/>
      </c>
      <c r="I367" s="10158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Captura_Obra!F71)</f>
        <v/>
      </c>
      <c r="J367" s="10159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H367 - I367)</f>
        <v/>
      </c>
      <c r="K367" s="4176"/>
    </row>
    <row r="368" spans="1:11">
      <c r="A368" s="10160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"Huérfano Obra")</f>
        <v/>
      </c>
      <c r="B368" s="10161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"No Reportado")</f>
        <v/>
      </c>
      <c r="C368" s="10162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Captura_Obra!N72)</f>
        <v/>
      </c>
      <c r="D368" s="10163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"❌ Falta en Pipa")</f>
        <v/>
      </c>
      <c r="E368" s="10164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Captura_Obra!A72)</f>
        <v/>
      </c>
      <c r="F368" s="10165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Captura_Obra!B72)</f>
        <v/>
      </c>
      <c r="G368" s="10166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Captura_Obra!D72)</f>
        <v/>
      </c>
      <c r="H368" s="10167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0)</f>
        <v/>
      </c>
      <c r="I368" s="10168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Captura_Obra!F72)</f>
        <v/>
      </c>
      <c r="J368" s="10169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H368 - I368)</f>
        <v/>
      </c>
      <c r="K368" s="4177"/>
    </row>
    <row r="369" spans="1:11">
      <c r="A369" s="10170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"Huérfano Obra")</f>
        <v/>
      </c>
      <c r="B369" s="10171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"No Reportado")</f>
        <v/>
      </c>
      <c r="C369" s="10172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Captura_Obra!N73)</f>
        <v/>
      </c>
      <c r="D369" s="10173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"❌ Falta en Pipa")</f>
        <v/>
      </c>
      <c r="E369" s="10174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Captura_Obra!A73)</f>
        <v/>
      </c>
      <c r="F369" s="10175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Captura_Obra!B73)</f>
        <v/>
      </c>
      <c r="G369" s="10176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Captura_Obra!D73)</f>
        <v/>
      </c>
      <c r="H369" s="10177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0)</f>
        <v/>
      </c>
      <c r="I369" s="10178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Captura_Obra!F73)</f>
        <v/>
      </c>
      <c r="J369" s="10179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H369 - I369)</f>
        <v/>
      </c>
      <c r="K369" s="4178"/>
    </row>
    <row r="370" spans="1:11">
      <c r="A370" s="10180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"Huérfano Obra")</f>
        <v>Huérfano Obra</v>
      </c>
      <c r="B370" s="10181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"No Reportado")</f>
        <v>No Reportado</v>
      </c>
      <c r="C370" s="10182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Captura_Obra!N74)</f>
        <v>CO-MP-25-070</v>
      </c>
      <c r="D370" s="10183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"❌ Falta en Pipa")</f>
        <v>❌ Falta en Pipa</v>
      </c>
      <c r="E370" s="10184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Captura_Obra!A74)</f>
        <v>46188</v>
      </c>
      <c r="F370" s="10185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Captura_Obra!B74)</f>
        <v>Maquinaria Pegaso</v>
      </c>
      <c r="G370" s="10186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Captura_Obra!D74)</f>
        <v>PayLoder</v>
      </c>
      <c r="H370" s="10187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0)</f>
        <v>0</v>
      </c>
      <c r="I370" s="10188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Captura_Obra!F74)</f>
        <v>265</v>
      </c>
      <c r="J370" s="10189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H370 - I370)</f>
        <v>-265</v>
      </c>
      <c r="K370" s="4179"/>
    </row>
    <row r="371" spans="1:11">
      <c r="A371" s="10190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"Huérfano Obra")</f>
        <v/>
      </c>
      <c r="B371" s="10191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"No Reportado")</f>
        <v/>
      </c>
      <c r="C371" s="10192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Captura_Obra!N75)</f>
        <v/>
      </c>
      <c r="D371" s="10193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"❌ Falta en Pipa")</f>
        <v/>
      </c>
      <c r="E371" s="10194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Captura_Obra!A75)</f>
        <v/>
      </c>
      <c r="F371" s="10195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Captura_Obra!B75)</f>
        <v/>
      </c>
      <c r="G371" s="10196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Captura_Obra!D75)</f>
        <v/>
      </c>
      <c r="H371" s="10197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0)</f>
        <v/>
      </c>
      <c r="I371" s="10198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Captura_Obra!F75)</f>
        <v/>
      </c>
      <c r="J371" s="10199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H371 - I371)</f>
        <v/>
      </c>
      <c r="K371" s="4180"/>
    </row>
    <row r="372" spans="1:11">
      <c r="A372" s="10200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"Huérfano Obra")</f>
        <v/>
      </c>
      <c r="B372" s="10201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"No Reportado")</f>
        <v/>
      </c>
      <c r="C372" s="10202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Captura_Obra!N76)</f>
        <v/>
      </c>
      <c r="D372" s="10203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"❌ Falta en Pipa")</f>
        <v/>
      </c>
      <c r="E372" s="10204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Captura_Obra!A76)</f>
        <v/>
      </c>
      <c r="F372" s="10205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Captura_Obra!B76)</f>
        <v/>
      </c>
      <c r="G372" s="10206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Captura_Obra!D76)</f>
        <v/>
      </c>
      <c r="H372" s="10207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0)</f>
        <v/>
      </c>
      <c r="I372" s="10208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Captura_Obra!F76)</f>
        <v/>
      </c>
      <c r="J372" s="10209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H372 - I372)</f>
        <v/>
      </c>
      <c r="K372" s="4181"/>
    </row>
    <row r="373" spans="1:11">
      <c r="A373" s="10210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"Huérfano Obra")</f>
        <v/>
      </c>
      <c r="B373" s="10211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"No Reportado")</f>
        <v/>
      </c>
      <c r="C373" s="10212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Captura_Obra!N77)</f>
        <v/>
      </c>
      <c r="D373" s="10213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"❌ Falta en Pipa")</f>
        <v/>
      </c>
      <c r="E373" s="10214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Captura_Obra!A77)</f>
        <v/>
      </c>
      <c r="F373" s="10215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Captura_Obra!B77)</f>
        <v/>
      </c>
      <c r="G373" s="10216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Captura_Obra!D77)</f>
        <v/>
      </c>
      <c r="H373" s="10217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0)</f>
        <v/>
      </c>
      <c r="I373" s="10218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Captura_Obra!F77)</f>
        <v/>
      </c>
      <c r="J373" s="10219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H373 - I373)</f>
        <v/>
      </c>
      <c r="K373" s="4182"/>
    </row>
    <row r="374" spans="1:11">
      <c r="A374" s="10220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"Huérfano Obra")</f>
        <v/>
      </c>
      <c r="B374" s="10221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"No Reportado")</f>
        <v/>
      </c>
      <c r="C374" s="10222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Captura_Obra!N78)</f>
        <v/>
      </c>
      <c r="D374" s="10223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"❌ Falta en Pipa")</f>
        <v/>
      </c>
      <c r="E374" s="10224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Captura_Obra!A78)</f>
        <v/>
      </c>
      <c r="F374" s="10225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Captura_Obra!B78)</f>
        <v/>
      </c>
      <c r="G374" s="10226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Captura_Obra!D78)</f>
        <v/>
      </c>
      <c r="H374" s="10227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0)</f>
        <v/>
      </c>
      <c r="I374" s="10228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Captura_Obra!F78)</f>
        <v/>
      </c>
      <c r="J374" s="10229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H374 - I374)</f>
        <v/>
      </c>
      <c r="K374" s="4183"/>
    </row>
    <row r="375" spans="1:11">
      <c r="A375" s="10230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"Huérfano Obra")</f>
        <v/>
      </c>
      <c r="B375" s="10231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"No Reportado")</f>
        <v/>
      </c>
      <c r="C375" s="10232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Captura_Obra!N79)</f>
        <v/>
      </c>
      <c r="D375" s="10233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"❌ Falta en Pipa")</f>
        <v/>
      </c>
      <c r="E375" s="10234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Captura_Obra!A79)</f>
        <v/>
      </c>
      <c r="F375" s="10235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Captura_Obra!B79)</f>
        <v/>
      </c>
      <c r="G375" s="10236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Captura_Obra!D79)</f>
        <v/>
      </c>
      <c r="H375" s="10237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0)</f>
        <v/>
      </c>
      <c r="I375" s="10238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Captura_Obra!F79)</f>
        <v/>
      </c>
      <c r="J375" s="10239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H375 - I375)</f>
        <v/>
      </c>
      <c r="K375" s="4184"/>
    </row>
    <row r="376" spans="1:11">
      <c r="A376" s="10240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"Huérfano Obra")</f>
        <v/>
      </c>
      <c r="B376" s="10241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"No Reportado")</f>
        <v/>
      </c>
      <c r="C376" s="10242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Captura_Obra!N80)</f>
        <v/>
      </c>
      <c r="D376" s="10243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"❌ Falta en Pipa")</f>
        <v/>
      </c>
      <c r="E376" s="10244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Captura_Obra!A80)</f>
        <v/>
      </c>
      <c r="F376" s="10245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Captura_Obra!B80)</f>
        <v/>
      </c>
      <c r="G376" s="10246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Captura_Obra!D80)</f>
        <v/>
      </c>
      <c r="H376" s="10247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0)</f>
        <v/>
      </c>
      <c r="I376" s="10248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Captura_Obra!F80)</f>
        <v/>
      </c>
      <c r="J376" s="10249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H376 - I376)</f>
        <v/>
      </c>
      <c r="K376" s="4185"/>
    </row>
    <row r="377" spans="1:11">
      <c r="A377" s="10250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"Huérfano Obra")</f>
        <v>Huérfano Obra</v>
      </c>
      <c r="B377" s="10251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"No Reportado")</f>
        <v>No Reportado</v>
      </c>
      <c r="C377" s="10252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Captura_Obra!N81)</f>
        <v>CO-PAH-25-077</v>
      </c>
      <c r="D377" s="10253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"❌ Falta en Pipa")</f>
        <v>❌ Falta en Pipa</v>
      </c>
      <c r="E377" s="10254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Captura_Obra!A81)</f>
        <v>46188</v>
      </c>
      <c r="F377" s="10255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Captura_Obra!B81)</f>
        <v>Planta Asflato Huixquilucan</v>
      </c>
      <c r="G377" s="10256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Captura_Obra!D81)</f>
        <v>GENERADOR</v>
      </c>
      <c r="H377" s="10257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0)</f>
        <v>0</v>
      </c>
      <c r="I377" s="10258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Captura_Obra!F81)</f>
        <v>300</v>
      </c>
      <c r="J377" s="10259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H377 - I377)</f>
        <v>-300</v>
      </c>
      <c r="K377" s="4186"/>
    </row>
    <row r="378" spans="1:11">
      <c r="A378" s="10260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"Huérfano Obra")</f>
        <v>Huérfano Obra</v>
      </c>
      <c r="B378" s="10261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"No Reportado")</f>
        <v>No Reportado</v>
      </c>
      <c r="C378" s="10262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Captura_Obra!N82)</f>
        <v>CO-PAH-25-078</v>
      </c>
      <c r="D378" s="10263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"❌ Falta en Pipa")</f>
        <v>❌ Falta en Pipa</v>
      </c>
      <c r="E378" s="10264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Captura_Obra!A82)</f>
        <v>46188</v>
      </c>
      <c r="F378" s="10265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Captura_Obra!B82)</f>
        <v>Planta Asflato Huixquilucan</v>
      </c>
      <c r="G378" s="10266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Captura_Obra!D82)</f>
        <v>PAYLODER</v>
      </c>
      <c r="H378" s="10267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0)</f>
        <v>0</v>
      </c>
      <c r="I378" s="10268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Captura_Obra!F82)</f>
        <v>100</v>
      </c>
      <c r="J378" s="10269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H378 - I378)</f>
        <v>-100</v>
      </c>
      <c r="K378" s="4187"/>
    </row>
    <row r="379" spans="1:11">
      <c r="A379" s="10270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"Huérfano Obra")</f>
        <v>Huérfano Obra</v>
      </c>
      <c r="B379" s="10271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"No Reportado")</f>
        <v>No Reportado</v>
      </c>
      <c r="C379" s="10272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Captura_Obra!N83)</f>
        <v>CO-PAH-25-079</v>
      </c>
      <c r="D379" s="10273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"❌ Falta en Pipa")</f>
        <v>❌ Falta en Pipa</v>
      </c>
      <c r="E379" s="10274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Captura_Obra!A83)</f>
        <v>46188</v>
      </c>
      <c r="F379" s="10275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Captura_Obra!B83)</f>
        <v>Planta Asflato Huixquilucan</v>
      </c>
      <c r="G379" s="10276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Captura_Obra!D83)</f>
        <v>GENERADOR AMMANN</v>
      </c>
      <c r="H379" s="10277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0)</f>
        <v>0</v>
      </c>
      <c r="I379" s="10278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Captura_Obra!F83)</f>
        <v>400</v>
      </c>
      <c r="J379" s="10279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H379 - I379)</f>
        <v>-400</v>
      </c>
      <c r="K379" s="4188"/>
    </row>
    <row r="380" spans="1:11">
      <c r="A380" s="10280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"Huérfano Obra")</f>
        <v/>
      </c>
      <c r="B380" s="10281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"No Reportado")</f>
        <v/>
      </c>
      <c r="C380" s="10282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Captura_Obra!N84)</f>
        <v/>
      </c>
      <c r="D380" s="10283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"❌ Falta en Pipa")</f>
        <v/>
      </c>
      <c r="E380" s="10284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Captura_Obra!A84)</f>
        <v/>
      </c>
      <c r="F380" s="10285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Captura_Obra!B84)</f>
        <v/>
      </c>
      <c r="G380" s="10286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Captura_Obra!D84)</f>
        <v/>
      </c>
      <c r="H380" s="10287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0)</f>
        <v/>
      </c>
      <c r="I380" s="10288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Captura_Obra!F84)</f>
        <v/>
      </c>
      <c r="J380" s="10289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H380 - I380)</f>
        <v/>
      </c>
      <c r="K380" s="4189"/>
    </row>
    <row r="381" spans="1:11">
      <c r="A381" s="10290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"Huérfano Obra")</f>
        <v/>
      </c>
      <c r="B381" s="10291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"No Reportado")</f>
        <v/>
      </c>
      <c r="C381" s="10292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Captura_Obra!N85)</f>
        <v/>
      </c>
      <c r="D381" s="10293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"❌ Falta en Pipa")</f>
        <v/>
      </c>
      <c r="E381" s="10294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Captura_Obra!A85)</f>
        <v/>
      </c>
      <c r="F381" s="10295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Captura_Obra!B85)</f>
        <v/>
      </c>
      <c r="G381" s="10296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Captura_Obra!D85)</f>
        <v/>
      </c>
      <c r="H381" s="10297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0)</f>
        <v/>
      </c>
      <c r="I381" s="10298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Captura_Obra!F85)</f>
        <v/>
      </c>
      <c r="J381" s="10299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H381 - I381)</f>
        <v/>
      </c>
      <c r="K381" s="4190"/>
    </row>
    <row r="382" spans="1:11">
      <c r="A382" s="10300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"Huérfano Obra")</f>
        <v/>
      </c>
      <c r="B382" s="10301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"No Reportado")</f>
        <v/>
      </c>
      <c r="C382" s="10302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Captura_Obra!N86)</f>
        <v/>
      </c>
      <c r="D382" s="10303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"❌ Falta en Pipa")</f>
        <v/>
      </c>
      <c r="E382" s="10304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Captura_Obra!A86)</f>
        <v/>
      </c>
      <c r="F382" s="10305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Captura_Obra!B86)</f>
        <v/>
      </c>
      <c r="G382" s="10306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Captura_Obra!D86)</f>
        <v/>
      </c>
      <c r="H382" s="10307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0)</f>
        <v/>
      </c>
      <c r="I382" s="10308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Captura_Obra!F86)</f>
        <v/>
      </c>
      <c r="J382" s="10309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H382 - I382)</f>
        <v/>
      </c>
      <c r="K382" s="4191"/>
    </row>
    <row r="383" spans="1:11">
      <c r="A383" s="10310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"Huérfano Obra")</f>
        <v/>
      </c>
      <c r="B383" s="10311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"No Reportado")</f>
        <v/>
      </c>
      <c r="C383" s="10312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Captura_Obra!N87)</f>
        <v/>
      </c>
      <c r="D383" s="10313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"❌ Falta en Pipa")</f>
        <v/>
      </c>
      <c r="E383" s="10314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Captura_Obra!A87)</f>
        <v/>
      </c>
      <c r="F383" s="10315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Captura_Obra!B87)</f>
        <v/>
      </c>
      <c r="G383" s="10316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Captura_Obra!D87)</f>
        <v/>
      </c>
      <c r="H383" s="10317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0)</f>
        <v/>
      </c>
      <c r="I383" s="10318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Captura_Obra!F87)</f>
        <v/>
      </c>
      <c r="J383" s="10319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H383 - I383)</f>
        <v/>
      </c>
      <c r="K383" s="4192"/>
    </row>
    <row r="384" spans="1:11">
      <c r="A384" s="10320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"Huérfano Obra")</f>
        <v/>
      </c>
      <c r="B384" s="10321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"No Reportado")</f>
        <v/>
      </c>
      <c r="C384" s="10322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Captura_Obra!N88)</f>
        <v/>
      </c>
      <c r="D384" s="10323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"❌ Falta en Pipa")</f>
        <v/>
      </c>
      <c r="E384" s="10324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Captura_Obra!A88)</f>
        <v/>
      </c>
      <c r="F384" s="10325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Captura_Obra!B88)</f>
        <v/>
      </c>
      <c r="G384" s="10326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Captura_Obra!D88)</f>
        <v/>
      </c>
      <c r="H384" s="10327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0)</f>
        <v/>
      </c>
      <c r="I384" s="10328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Captura_Obra!F88)</f>
        <v/>
      </c>
      <c r="J384" s="10329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H384 - I384)</f>
        <v/>
      </c>
      <c r="K384" s="4193"/>
    </row>
    <row r="385" spans="1:11">
      <c r="A385" s="10330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"Huérfano Obra")</f>
        <v/>
      </c>
      <c r="B385" s="10331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"No Reportado")</f>
        <v/>
      </c>
      <c r="C385" s="10332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Captura_Obra!N89)</f>
        <v/>
      </c>
      <c r="D385" s="10333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"❌ Falta en Pipa")</f>
        <v/>
      </c>
      <c r="E385" s="10334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Captura_Obra!A89)</f>
        <v/>
      </c>
      <c r="F385" s="10335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Captura_Obra!B89)</f>
        <v/>
      </c>
      <c r="G385" s="10336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Captura_Obra!D89)</f>
        <v/>
      </c>
      <c r="H385" s="10337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0)</f>
        <v/>
      </c>
      <c r="I385" s="10338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Captura_Obra!F89)</f>
        <v/>
      </c>
      <c r="J385" s="10339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H385 - I385)</f>
        <v/>
      </c>
      <c r="K385" s="4194"/>
    </row>
    <row r="386" spans="1:11">
      <c r="A386" s="10340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"Huérfano Obra")</f>
        <v/>
      </c>
      <c r="B386" s="10341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"No Reportado")</f>
        <v/>
      </c>
      <c r="C386" s="10342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Captura_Obra!N90)</f>
        <v/>
      </c>
      <c r="D386" s="10343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"❌ Falta en Pipa")</f>
        <v/>
      </c>
      <c r="E386" s="10344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Captura_Obra!A90)</f>
        <v/>
      </c>
      <c r="F386" s="10345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Captura_Obra!B90)</f>
        <v/>
      </c>
      <c r="G386" s="10346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Captura_Obra!D90)</f>
        <v/>
      </c>
      <c r="H386" s="10347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0)</f>
        <v/>
      </c>
      <c r="I386" s="10348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Captura_Obra!F90)</f>
        <v/>
      </c>
      <c r="J386" s="10349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H386 - I386)</f>
        <v/>
      </c>
      <c r="K386" s="4195"/>
    </row>
    <row r="387" spans="1:11">
      <c r="A387" s="10350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"Huérfano Obra")</f>
        <v/>
      </c>
      <c r="B387" s="10351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"No Reportado")</f>
        <v/>
      </c>
      <c r="C387" s="10352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Captura_Obra!N91)</f>
        <v/>
      </c>
      <c r="D387" s="10353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"❌ Falta en Pipa")</f>
        <v/>
      </c>
      <c r="E387" s="10354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Captura_Obra!A91)</f>
        <v/>
      </c>
      <c r="F387" s="10355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Captura_Obra!B91)</f>
        <v/>
      </c>
      <c r="G387" s="10356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Captura_Obra!D91)</f>
        <v/>
      </c>
      <c r="H387" s="10357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0)</f>
        <v/>
      </c>
      <c r="I387" s="10358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Captura_Obra!F91)</f>
        <v/>
      </c>
      <c r="J387" s="10359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H387 - I387)</f>
        <v/>
      </c>
      <c r="K387" s="4196"/>
    </row>
    <row r="388" spans="1:11">
      <c r="A388" s="10360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"Huérfano Obra")</f>
        <v>Huérfano Obra</v>
      </c>
      <c r="B388" s="10361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"No Reportado")</f>
        <v>No Reportado</v>
      </c>
      <c r="C388" s="10362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Captura_Obra!N92)</f>
        <v>CO-MP-25-088</v>
      </c>
      <c r="D388" s="10363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"❌ Falta en Pipa")</f>
        <v>❌ Falta en Pipa</v>
      </c>
      <c r="E388" s="10364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Captura_Obra!A92)</f>
        <v>46189</v>
      </c>
      <c r="F388" s="10365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Captura_Obra!B92)</f>
        <v>Maquinaria Pegaso</v>
      </c>
      <c r="G388" s="10366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Captura_Obra!D92)</f>
        <v>PETROLIZADORA    INTERNATIONAL</v>
      </c>
      <c r="H388" s="10367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0)</f>
        <v>0</v>
      </c>
      <c r="I388" s="10368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Captura_Obra!F92)</f>
        <v>50</v>
      </c>
      <c r="J388" s="10369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H388 - I388)</f>
        <v>-50</v>
      </c>
      <c r="K388" s="4197"/>
    </row>
    <row r="389" spans="1:11">
      <c r="A389" s="10370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"Huérfano Obra")</f>
        <v>Huérfano Obra</v>
      </c>
      <c r="B389" s="10371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"No Reportado")</f>
        <v>No Reportado</v>
      </c>
      <c r="C389" s="10372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Captura_Obra!N93)</f>
        <v>CO-MP-25-089</v>
      </c>
      <c r="D389" s="10373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"❌ Falta en Pipa")</f>
        <v>❌ Falta en Pipa</v>
      </c>
      <c r="E389" s="10374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Captura_Obra!A93)</f>
        <v>46189</v>
      </c>
      <c r="F389" s="10375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Captura_Obra!B93)</f>
        <v>Maquinaria Pegaso</v>
      </c>
      <c r="G389" s="10376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Captura_Obra!D93)</f>
        <v>Bidones</v>
      </c>
      <c r="H389" s="10377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0)</f>
        <v>0</v>
      </c>
      <c r="I389" s="10378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Captura_Obra!F93)</f>
        <v>1001</v>
      </c>
      <c r="J389" s="10379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H389 - I389)</f>
        <v>-1001</v>
      </c>
      <c r="K389" s="4198"/>
    </row>
    <row r="390" spans="1:11">
      <c r="A390" s="10380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"Huérfano Obra")</f>
        <v/>
      </c>
      <c r="B390" s="10381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"No Reportado")</f>
        <v/>
      </c>
      <c r="C390" s="10382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Captura_Obra!N94)</f>
        <v/>
      </c>
      <c r="D390" s="10383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"❌ Falta en Pipa")</f>
        <v/>
      </c>
      <c r="E390" s="10384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Captura_Obra!A94)</f>
        <v/>
      </c>
      <c r="F390" s="10385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Captura_Obra!B94)</f>
        <v/>
      </c>
      <c r="G390" s="10386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Captura_Obra!D94)</f>
        <v/>
      </c>
      <c r="H390" s="10387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0)</f>
        <v/>
      </c>
      <c r="I390" s="10388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Captura_Obra!F94)</f>
        <v/>
      </c>
      <c r="J390" s="10389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H390 - I390)</f>
        <v/>
      </c>
      <c r="K390" s="4199"/>
    </row>
    <row r="391" spans="1:11">
      <c r="A391" s="10390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"Huérfano Obra")</f>
        <v/>
      </c>
      <c r="B391" s="10391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"No Reportado")</f>
        <v/>
      </c>
      <c r="C391" s="10392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Captura_Obra!N95)</f>
        <v/>
      </c>
      <c r="D391" s="10393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"❌ Falta en Pipa")</f>
        <v/>
      </c>
      <c r="E391" s="10394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Captura_Obra!A95)</f>
        <v/>
      </c>
      <c r="F391" s="10395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Captura_Obra!B95)</f>
        <v/>
      </c>
      <c r="G391" s="10396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Captura_Obra!D95)</f>
        <v/>
      </c>
      <c r="H391" s="10397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0)</f>
        <v/>
      </c>
      <c r="I391" s="10398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Captura_Obra!F95)</f>
        <v/>
      </c>
      <c r="J391" s="10399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H391 - I391)</f>
        <v/>
      </c>
      <c r="K391" s="4200"/>
    </row>
    <row r="392" spans="1:11">
      <c r="A392" s="10400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"Huérfano Obra")</f>
        <v/>
      </c>
      <c r="B392" s="10401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"No Reportado")</f>
        <v/>
      </c>
      <c r="C392" s="10402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Captura_Obra!N96)</f>
        <v/>
      </c>
      <c r="D392" s="10403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"❌ Falta en Pipa")</f>
        <v/>
      </c>
      <c r="E392" s="10404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Captura_Obra!A96)</f>
        <v/>
      </c>
      <c r="F392" s="10405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Captura_Obra!B96)</f>
        <v/>
      </c>
      <c r="G392" s="10406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Captura_Obra!D96)</f>
        <v/>
      </c>
      <c r="H392" s="10407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0)</f>
        <v/>
      </c>
      <c r="I392" s="10408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Captura_Obra!F96)</f>
        <v/>
      </c>
      <c r="J392" s="10409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H392 - I392)</f>
        <v/>
      </c>
      <c r="K392" s="4201"/>
    </row>
    <row r="393" spans="1:11">
      <c r="A393" s="10410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"Huérfano Obra")</f>
        <v/>
      </c>
      <c r="B393" s="10411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"No Reportado")</f>
        <v/>
      </c>
      <c r="C393" s="10412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Captura_Obra!N97)</f>
        <v/>
      </c>
      <c r="D393" s="10413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"❌ Falta en Pipa")</f>
        <v/>
      </c>
      <c r="E393" s="10414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Captura_Obra!A97)</f>
        <v/>
      </c>
      <c r="F393" s="10415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Captura_Obra!B97)</f>
        <v/>
      </c>
      <c r="G393" s="10416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Captura_Obra!D97)</f>
        <v/>
      </c>
      <c r="H393" s="10417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0)</f>
        <v/>
      </c>
      <c r="I393" s="10418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Captura_Obra!F97)</f>
        <v/>
      </c>
      <c r="J393" s="10419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H393 - I393)</f>
        <v/>
      </c>
      <c r="K393" s="4202"/>
    </row>
    <row r="394" spans="1:11">
      <c r="A394" s="10420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"Huérfano Obra")</f>
        <v/>
      </c>
      <c r="B394" s="10421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"No Reportado")</f>
        <v/>
      </c>
      <c r="C394" s="10422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Captura_Obra!N98)</f>
        <v/>
      </c>
      <c r="D394" s="10423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"❌ Falta en Pipa")</f>
        <v/>
      </c>
      <c r="E394" s="10424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Captura_Obra!A98)</f>
        <v/>
      </c>
      <c r="F394" s="10425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Captura_Obra!B98)</f>
        <v/>
      </c>
      <c r="G394" s="10426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Captura_Obra!D98)</f>
        <v/>
      </c>
      <c r="H394" s="10427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0)</f>
        <v/>
      </c>
      <c r="I394" s="10428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Captura_Obra!F98)</f>
        <v/>
      </c>
      <c r="J394" s="10429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H394 - I394)</f>
        <v/>
      </c>
      <c r="K394" s="4203"/>
    </row>
    <row r="395" spans="1:11">
      <c r="A395" s="10430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"Huérfano Obra")</f>
        <v/>
      </c>
      <c r="B395" s="10431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"No Reportado")</f>
        <v/>
      </c>
      <c r="C395" s="10432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Captura_Obra!N99)</f>
        <v/>
      </c>
      <c r="D395" s="10433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"❌ Falta en Pipa")</f>
        <v/>
      </c>
      <c r="E395" s="10434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Captura_Obra!A99)</f>
        <v/>
      </c>
      <c r="F395" s="10435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Captura_Obra!B99)</f>
        <v/>
      </c>
      <c r="G395" s="10436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Captura_Obra!D99)</f>
        <v/>
      </c>
      <c r="H395" s="10437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0)</f>
        <v/>
      </c>
      <c r="I395" s="10438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Captura_Obra!F99)</f>
        <v/>
      </c>
      <c r="J395" s="10439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H395 - I395)</f>
        <v/>
      </c>
      <c r="K395" s="4204"/>
    </row>
    <row r="396" spans="1:11">
      <c r="A396" s="10440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"Huérfano Obra")</f>
        <v/>
      </c>
      <c r="B396" s="10441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"No Reportado")</f>
        <v/>
      </c>
      <c r="C396" s="10442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Captura_Obra!N100)</f>
        <v/>
      </c>
      <c r="D396" s="10443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"❌ Falta en Pipa")</f>
        <v/>
      </c>
      <c r="E396" s="10444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Captura_Obra!A100)</f>
        <v/>
      </c>
      <c r="F396" s="10445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Captura_Obra!B100)</f>
        <v/>
      </c>
      <c r="G396" s="10446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Captura_Obra!D100)</f>
        <v/>
      </c>
      <c r="H396" s="10447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0)</f>
        <v/>
      </c>
      <c r="I396" s="10448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Captura_Obra!F100)</f>
        <v/>
      </c>
      <c r="J396" s="10449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H396 - I396)</f>
        <v/>
      </c>
      <c r="K396" s="4205"/>
    </row>
    <row r="397" spans="1:11">
      <c r="A397" s="10450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"Huérfano Obra")</f>
        <v/>
      </c>
      <c r="B397" s="10451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"No Reportado")</f>
        <v/>
      </c>
      <c r="C397" s="10452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Captura_Obra!N101)</f>
        <v/>
      </c>
      <c r="D397" s="10453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"❌ Falta en Pipa")</f>
        <v/>
      </c>
      <c r="E397" s="10454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Captura_Obra!A101)</f>
        <v/>
      </c>
      <c r="F397" s="10455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Captura_Obra!B101)</f>
        <v/>
      </c>
      <c r="G397" s="10456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Captura_Obra!D101)</f>
        <v/>
      </c>
      <c r="H397" s="10457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0)</f>
        <v/>
      </c>
      <c r="I397" s="10458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Captura_Obra!F101)</f>
        <v/>
      </c>
      <c r="J397" s="10459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H397 - I397)</f>
        <v/>
      </c>
      <c r="K397" s="4206"/>
    </row>
    <row r="398" spans="1:11">
      <c r="A398" s="10460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"Huérfano Obra")</f>
        <v/>
      </c>
      <c r="B398" s="10461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"No Reportado")</f>
        <v/>
      </c>
      <c r="C398" s="10462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Captura_Obra!N102)</f>
        <v/>
      </c>
      <c r="D398" s="10463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"❌ Falta en Pipa")</f>
        <v/>
      </c>
      <c r="E398" s="10464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Captura_Obra!A102)</f>
        <v/>
      </c>
      <c r="F398" s="10465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Captura_Obra!B102)</f>
        <v/>
      </c>
      <c r="G398" s="10466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Captura_Obra!D102)</f>
        <v/>
      </c>
      <c r="H398" s="10467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0)</f>
        <v/>
      </c>
      <c r="I398" s="10468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Captura_Obra!F102)</f>
        <v/>
      </c>
      <c r="J398" s="10469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H398 - I398)</f>
        <v/>
      </c>
      <c r="K398" s="4207"/>
    </row>
    <row r="399" spans="1:11">
      <c r="A399" s="10470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"Huérfano Obra")</f>
        <v/>
      </c>
      <c r="B399" s="10471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"No Reportado")</f>
        <v/>
      </c>
      <c r="C399" s="10472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Captura_Obra!N103)</f>
        <v/>
      </c>
      <c r="D399" s="10473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"❌ Falta en Pipa")</f>
        <v/>
      </c>
      <c r="E399" s="10474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Captura_Obra!A103)</f>
        <v/>
      </c>
      <c r="F399" s="10475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Captura_Obra!B103)</f>
        <v/>
      </c>
      <c r="G399" s="10476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Captura_Obra!D103)</f>
        <v/>
      </c>
      <c r="H399" s="10477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0)</f>
        <v/>
      </c>
      <c r="I399" s="10478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Captura_Obra!F103)</f>
        <v/>
      </c>
      <c r="J399" s="10479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H399 - I399)</f>
        <v/>
      </c>
      <c r="K399" s="4208"/>
    </row>
    <row r="400" spans="1:11">
      <c r="A400" s="10480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"Huérfano Obra")</f>
        <v/>
      </c>
      <c r="B400" s="10481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"No Reportado")</f>
        <v/>
      </c>
      <c r="C400" s="10482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Captura_Obra!N104)</f>
        <v/>
      </c>
      <c r="D400" s="10483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"❌ Falta en Pipa")</f>
        <v/>
      </c>
      <c r="E400" s="10484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Captura_Obra!A104)</f>
        <v/>
      </c>
      <c r="F400" s="10485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Captura_Obra!B104)</f>
        <v/>
      </c>
      <c r="G400" s="10486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Captura_Obra!D104)</f>
        <v/>
      </c>
      <c r="H400" s="10487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0)</f>
        <v/>
      </c>
      <c r="I400" s="10488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Captura_Obra!F104)</f>
        <v/>
      </c>
      <c r="J400" s="10489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H400 - I400)</f>
        <v/>
      </c>
      <c r="K400" s="4209"/>
    </row>
    <row r="401" spans="1:11">
      <c r="A401" s="10490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"Huérfano Obra")</f>
        <v>Huérfano Obra</v>
      </c>
      <c r="B401" s="10491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"No Reportado")</f>
        <v>No Reportado</v>
      </c>
      <c r="C401" s="10492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Captura_Obra!N105)</f>
        <v>CO-BT-25-101</v>
      </c>
      <c r="D401" s="10493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"❌ Falta en Pipa")</f>
        <v>❌ Falta en Pipa</v>
      </c>
      <c r="E401" s="10494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Captura_Obra!A105)</f>
        <v>46190</v>
      </c>
      <c r="F401" s="10495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Captura_Obra!B105)</f>
        <v>Bacheo Toluca</v>
      </c>
      <c r="G401" s="10496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Captura_Obra!D105)</f>
        <v>TANDEM DOBLE RODILLO / VIBROCOMPACTOR RODILLO CAT CB54</v>
      </c>
      <c r="H401" s="10497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0)</f>
        <v>0</v>
      </c>
      <c r="I401" s="10498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Captura_Obra!F105)</f>
        <v>20</v>
      </c>
      <c r="J401" s="10499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H401 - I401)</f>
        <v>-20</v>
      </c>
      <c r="K401" s="4210"/>
    </row>
    <row r="402" spans="1:11">
      <c r="A402" s="10500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"Huérfano Obra")</f>
        <v>Huérfano Obra</v>
      </c>
      <c r="B402" s="10501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"No Reportado")</f>
        <v>No Reportado</v>
      </c>
      <c r="C402" s="10502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Captura_Obra!N106)</f>
        <v>CO-PAH-25-102</v>
      </c>
      <c r="D402" s="10503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"❌ Falta en Pipa")</f>
        <v>❌ Falta en Pipa</v>
      </c>
      <c r="E402" s="10504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Captura_Obra!A106)</f>
        <v>46190</v>
      </c>
      <c r="F402" s="10505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Captura_Obra!B106)</f>
        <v>Planta Asflato Huixquilucan</v>
      </c>
      <c r="G402" s="10506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Captura_Obra!D106)</f>
        <v>GENERADOR</v>
      </c>
      <c r="H402" s="10507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0)</f>
        <v>0</v>
      </c>
      <c r="I402" s="10508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Captura_Obra!F106)</f>
        <v>100</v>
      </c>
      <c r="J402" s="10509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H402 - I402)</f>
        <v>-100</v>
      </c>
      <c r="K402" s="4211"/>
    </row>
    <row r="403" spans="1:11">
      <c r="A403" s="10510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"Huérfano Obra")</f>
        <v>Huérfano Obra</v>
      </c>
      <c r="B403" s="10511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"No Reportado")</f>
        <v>No Reportado</v>
      </c>
      <c r="C403" s="10512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Captura_Obra!N107)</f>
        <v>CO-PAH-25-103</v>
      </c>
      <c r="D403" s="10513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"❌ Falta en Pipa")</f>
        <v>❌ Falta en Pipa</v>
      </c>
      <c r="E403" s="10514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Captura_Obra!A107)</f>
        <v>46190</v>
      </c>
      <c r="F403" s="10515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Captura_Obra!B107)</f>
        <v>Planta Asflato Huixquilucan</v>
      </c>
      <c r="G403" s="10516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Captura_Obra!D107)</f>
        <v>GENERADOR AMMANN</v>
      </c>
      <c r="H403" s="10517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0)</f>
        <v>0</v>
      </c>
      <c r="I403" s="10518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Captura_Obra!F107)</f>
        <v>200</v>
      </c>
      <c r="J403" s="10519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H403 - I403)</f>
        <v>-200</v>
      </c>
      <c r="K403" s="4212"/>
    </row>
    <row r="404" spans="1:11">
      <c r="A404" s="10520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"Huérfano Obra")</f>
        <v/>
      </c>
      <c r="B404" s="10521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"No Reportado")</f>
        <v/>
      </c>
      <c r="C404" s="10522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Captura_Obra!N108)</f>
        <v/>
      </c>
      <c r="D404" s="10523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"❌ Falta en Pipa")</f>
        <v/>
      </c>
      <c r="E404" s="10524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Captura_Obra!A108)</f>
        <v/>
      </c>
      <c r="F404" s="10525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Captura_Obra!B108)</f>
        <v/>
      </c>
      <c r="G404" s="10526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Captura_Obra!D108)</f>
        <v/>
      </c>
      <c r="H404" s="10527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0)</f>
        <v/>
      </c>
      <c r="I404" s="10528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Captura_Obra!F108)</f>
        <v/>
      </c>
      <c r="J404" s="10529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H404 - I404)</f>
        <v/>
      </c>
      <c r="K404" s="4213"/>
    </row>
    <row r="405" spans="1:11">
      <c r="A405" s="10530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"Huérfano Obra")</f>
        <v/>
      </c>
      <c r="B405" s="10531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"No Reportado")</f>
        <v/>
      </c>
      <c r="C405" s="10532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Captura_Obra!N109)</f>
        <v/>
      </c>
      <c r="D405" s="10533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"❌ Falta en Pipa")</f>
        <v/>
      </c>
      <c r="E405" s="10534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Captura_Obra!A109)</f>
        <v/>
      </c>
      <c r="F405" s="10535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Captura_Obra!B109)</f>
        <v/>
      </c>
      <c r="G405" s="10536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Captura_Obra!D109)</f>
        <v/>
      </c>
      <c r="H405" s="10537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0)</f>
        <v/>
      </c>
      <c r="I405" s="10538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Captura_Obra!F109)</f>
        <v/>
      </c>
      <c r="J405" s="10539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H405 - I405)</f>
        <v/>
      </c>
      <c r="K405" s="4214"/>
    </row>
    <row r="406" spans="1:11">
      <c r="A406" s="10540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"Huérfano Obra")</f>
        <v/>
      </c>
      <c r="B406" s="10541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"No Reportado")</f>
        <v/>
      </c>
      <c r="C406" s="10542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Captura_Obra!N110)</f>
        <v/>
      </c>
      <c r="D406" s="10543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"❌ Falta en Pipa")</f>
        <v/>
      </c>
      <c r="E406" s="10544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Captura_Obra!A110)</f>
        <v/>
      </c>
      <c r="F406" s="10545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Captura_Obra!B110)</f>
        <v/>
      </c>
      <c r="G406" s="10546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Captura_Obra!D110)</f>
        <v/>
      </c>
      <c r="H406" s="10547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0)</f>
        <v/>
      </c>
      <c r="I406" s="10548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Captura_Obra!F110)</f>
        <v/>
      </c>
      <c r="J406" s="10549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H406 - I406)</f>
        <v/>
      </c>
      <c r="K406" s="4215"/>
    </row>
    <row r="407" spans="1:11">
      <c r="A407" s="10550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"Huérfano Obra")</f>
        <v/>
      </c>
      <c r="B407" s="10551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"No Reportado")</f>
        <v/>
      </c>
      <c r="C407" s="10552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Captura_Obra!N111)</f>
        <v/>
      </c>
      <c r="D407" s="10553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"❌ Falta en Pipa")</f>
        <v/>
      </c>
      <c r="E407" s="10554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Captura_Obra!A111)</f>
        <v/>
      </c>
      <c r="F407" s="10555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Captura_Obra!B111)</f>
        <v/>
      </c>
      <c r="G407" s="10556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Captura_Obra!D111)</f>
        <v/>
      </c>
      <c r="H407" s="10557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0)</f>
        <v/>
      </c>
      <c r="I407" s="10558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Captura_Obra!F111)</f>
        <v/>
      </c>
      <c r="J407" s="10559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H407 - I407)</f>
        <v/>
      </c>
      <c r="K407" s="4216"/>
    </row>
    <row r="408" spans="1:11">
      <c r="A408" s="10560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"Huérfano Obra")</f>
        <v/>
      </c>
      <c r="B408" s="10561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"No Reportado")</f>
        <v/>
      </c>
      <c r="C408" s="10562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Captura_Obra!N112)</f>
        <v/>
      </c>
      <c r="D408" s="10563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"❌ Falta en Pipa")</f>
        <v/>
      </c>
      <c r="E408" s="10564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Captura_Obra!A112)</f>
        <v/>
      </c>
      <c r="F408" s="10565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Captura_Obra!B112)</f>
        <v/>
      </c>
      <c r="G408" s="10566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Captura_Obra!D112)</f>
        <v/>
      </c>
      <c r="H408" s="10567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0)</f>
        <v/>
      </c>
      <c r="I408" s="10568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Captura_Obra!F112)</f>
        <v/>
      </c>
      <c r="J408" s="10569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H408 - I408)</f>
        <v/>
      </c>
      <c r="K408" s="4217"/>
    </row>
    <row r="409" spans="1:11">
      <c r="A409" s="10570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"Huérfano Obra")</f>
        <v/>
      </c>
      <c r="B409" s="10571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"No Reportado")</f>
        <v/>
      </c>
      <c r="C409" s="10572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Captura_Obra!N113)</f>
        <v/>
      </c>
      <c r="D409" s="10573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"❌ Falta en Pipa")</f>
        <v/>
      </c>
      <c r="E409" s="10574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Captura_Obra!A113)</f>
        <v/>
      </c>
      <c r="F409" s="10575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Captura_Obra!B113)</f>
        <v/>
      </c>
      <c r="G409" s="10576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Captura_Obra!D113)</f>
        <v/>
      </c>
      <c r="H409" s="10577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0)</f>
        <v/>
      </c>
      <c r="I409" s="10578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Captura_Obra!F113)</f>
        <v/>
      </c>
      <c r="J409" s="10579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H409 - I409)</f>
        <v/>
      </c>
      <c r="K409" s="4218"/>
    </row>
    <row r="410" spans="1:11">
      <c r="A410" s="10580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"Huérfano Obra")</f>
        <v>Huérfano Obra</v>
      </c>
      <c r="B410" s="10581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"No Reportado")</f>
        <v>No Reportado</v>
      </c>
      <c r="C410" s="10582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Captura_Obra!N114)</f>
        <v>CO-PAH-25-110</v>
      </c>
      <c r="D410" s="10583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"❌ Falta en Pipa")</f>
        <v>❌ Falta en Pipa</v>
      </c>
      <c r="E410" s="10584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Captura_Obra!A114)</f>
        <v>46191</v>
      </c>
      <c r="F410" s="10585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Captura_Obra!B114)</f>
        <v>Planta Asflato Huixquilucan</v>
      </c>
      <c r="G410" s="10586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Captura_Obra!D114)</f>
        <v>GENERADOR</v>
      </c>
      <c r="H410" s="10587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0)</f>
        <v>0</v>
      </c>
      <c r="I410" s="10588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Captura_Obra!F114)</f>
        <v>200</v>
      </c>
      <c r="J410" s="10589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H410 - I410)</f>
        <v>-200</v>
      </c>
      <c r="K410" s="4219"/>
    </row>
    <row r="411" spans="1:11">
      <c r="A411" s="10590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"Huérfano Obra")</f>
        <v>Huérfano Obra</v>
      </c>
      <c r="B411" s="10591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"No Reportado")</f>
        <v>No Reportado</v>
      </c>
      <c r="C411" s="10592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Captura_Obra!N115)</f>
        <v>CO-PAH-25-111</v>
      </c>
      <c r="D411" s="10593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"❌ Falta en Pipa")</f>
        <v>❌ Falta en Pipa</v>
      </c>
      <c r="E411" s="10594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Captura_Obra!A115)</f>
        <v>46191</v>
      </c>
      <c r="F411" s="10595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Captura_Obra!B115)</f>
        <v>Planta Asflato Huixquilucan</v>
      </c>
      <c r="G411" s="10596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Captura_Obra!D115)</f>
        <v>MAXILIGHT</v>
      </c>
      <c r="H411" s="10597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0)</f>
        <v>0</v>
      </c>
      <c r="I411" s="10598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Captura_Obra!F115)</f>
        <v>100</v>
      </c>
      <c r="J411" s="10599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H411 - I411)</f>
        <v>-100</v>
      </c>
      <c r="K411" s="4220"/>
    </row>
    <row r="412" spans="1:11">
      <c r="A412" s="10600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"Huérfano Obra")</f>
        <v>Huérfano Obra</v>
      </c>
      <c r="B412" s="10601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"No Reportado")</f>
        <v>No Reportado</v>
      </c>
      <c r="C412" s="10602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Captura_Obra!N116)</f>
        <v>CO-PAH-25-112</v>
      </c>
      <c r="D412" s="10603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"❌ Falta en Pipa")</f>
        <v>❌ Falta en Pipa</v>
      </c>
      <c r="E412" s="10604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Captura_Obra!A116)</f>
        <v>46191</v>
      </c>
      <c r="F412" s="10605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Captura_Obra!B116)</f>
        <v>Planta Asflato Huixquilucan</v>
      </c>
      <c r="G412" s="10606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Captura_Obra!D116)</f>
        <v>CRIBA ROJA</v>
      </c>
      <c r="H412" s="10607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0)</f>
        <v>0</v>
      </c>
      <c r="I412" s="10608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Captura_Obra!F116)</f>
        <v>100</v>
      </c>
      <c r="J412" s="10609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H412 - I412)</f>
        <v>-100</v>
      </c>
      <c r="K412" s="4221"/>
    </row>
    <row r="413" spans="1:11">
      <c r="A413" s="10610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"Huérfano Obra")</f>
        <v>Huérfano Obra</v>
      </c>
      <c r="B413" s="10611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"No Reportado")</f>
        <v>No Reportado</v>
      </c>
      <c r="C413" s="10612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Captura_Obra!N117)</f>
        <v>CO-PAH-25-113</v>
      </c>
      <c r="D413" s="10613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"❌ Falta en Pipa")</f>
        <v>❌ Falta en Pipa</v>
      </c>
      <c r="E413" s="10614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Captura_Obra!A117)</f>
        <v>46191</v>
      </c>
      <c r="F413" s="10615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Captura_Obra!B117)</f>
        <v>Planta Asflato Huixquilucan</v>
      </c>
      <c r="G413" s="10616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Captura_Obra!D117)</f>
        <v>PAYLODER</v>
      </c>
      <c r="H413" s="10617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0)</f>
        <v>0</v>
      </c>
      <c r="I413" s="10618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Captura_Obra!F117)</f>
        <v>100</v>
      </c>
      <c r="J413" s="10619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H413 - I413)</f>
        <v>-100</v>
      </c>
      <c r="K413" s="4222"/>
    </row>
    <row r="414" spans="1:11">
      <c r="A414" s="10620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"Huérfano Obra")</f>
        <v/>
      </c>
      <c r="B414" s="10621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"No Reportado")</f>
        <v/>
      </c>
      <c r="C414" s="10622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Captura_Obra!N118)</f>
        <v/>
      </c>
      <c r="D414" s="10623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"❌ Falta en Pipa")</f>
        <v/>
      </c>
      <c r="E414" s="10624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Captura_Obra!A118)</f>
        <v/>
      </c>
      <c r="F414" s="10625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Captura_Obra!B118)</f>
        <v/>
      </c>
      <c r="G414" s="10626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Captura_Obra!D118)</f>
        <v/>
      </c>
      <c r="H414" s="10627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0)</f>
        <v/>
      </c>
      <c r="I414" s="10628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Captura_Obra!F118)</f>
        <v/>
      </c>
      <c r="J414" s="10629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H414 - I414)</f>
        <v/>
      </c>
      <c r="K414" s="4223"/>
    </row>
    <row r="415" spans="1:11">
      <c r="A415" s="10630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"Huérfano Obra")</f>
        <v/>
      </c>
      <c r="B415" s="10631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"No Reportado")</f>
        <v/>
      </c>
      <c r="C415" s="10632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Captura_Obra!N119)</f>
        <v/>
      </c>
      <c r="D415" s="10633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"❌ Falta en Pipa")</f>
        <v/>
      </c>
      <c r="E415" s="10634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Captura_Obra!A119)</f>
        <v/>
      </c>
      <c r="F415" s="10635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Captura_Obra!B119)</f>
        <v/>
      </c>
      <c r="G415" s="10636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Captura_Obra!D119)</f>
        <v/>
      </c>
      <c r="H415" s="10637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0)</f>
        <v/>
      </c>
      <c r="I415" s="10638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Captura_Obra!F119)</f>
        <v/>
      </c>
      <c r="J415" s="10639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H415 - I415)</f>
        <v/>
      </c>
      <c r="K415" s="4224"/>
    </row>
    <row r="416" spans="1:11">
      <c r="A416" s="10640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"Huérfano Obra")</f>
        <v/>
      </c>
      <c r="B416" s="10641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"No Reportado")</f>
        <v/>
      </c>
      <c r="C416" s="10642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Captura_Obra!N120)</f>
        <v/>
      </c>
      <c r="D416" s="10643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"❌ Falta en Pipa")</f>
        <v/>
      </c>
      <c r="E416" s="10644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Captura_Obra!A120)</f>
        <v/>
      </c>
      <c r="F416" s="10645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Captura_Obra!B120)</f>
        <v/>
      </c>
      <c r="G416" s="10646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Captura_Obra!D120)</f>
        <v/>
      </c>
      <c r="H416" s="10647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0)</f>
        <v/>
      </c>
      <c r="I416" s="10648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Captura_Obra!F120)</f>
        <v/>
      </c>
      <c r="J416" s="10649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H416 - I416)</f>
        <v/>
      </c>
      <c r="K416" s="4225"/>
    </row>
    <row r="417" spans="1:11">
      <c r="A417" s="10650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"Huérfano Obra")</f>
        <v/>
      </c>
      <c r="B417" s="10651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"No Reportado")</f>
        <v/>
      </c>
      <c r="C417" s="10652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Captura_Obra!N121)</f>
        <v/>
      </c>
      <c r="D417" s="10653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"❌ Falta en Pipa")</f>
        <v/>
      </c>
      <c r="E417" s="10654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Captura_Obra!A121)</f>
        <v/>
      </c>
      <c r="F417" s="10655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Captura_Obra!B121)</f>
        <v/>
      </c>
      <c r="G417" s="10656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Captura_Obra!D121)</f>
        <v/>
      </c>
      <c r="H417" s="10657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0)</f>
        <v/>
      </c>
      <c r="I417" s="10658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Captura_Obra!F121)</f>
        <v/>
      </c>
      <c r="J417" s="10659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H417 - I417)</f>
        <v/>
      </c>
      <c r="K417" s="4226"/>
    </row>
    <row r="418" spans="1:11">
      <c r="A418" s="10660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"Huérfano Obra")</f>
        <v/>
      </c>
      <c r="B418" s="10661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"No Reportado")</f>
        <v/>
      </c>
      <c r="C418" s="10662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Captura_Obra!N122)</f>
        <v/>
      </c>
      <c r="D418" s="10663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"❌ Falta en Pipa")</f>
        <v/>
      </c>
      <c r="E418" s="10664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Captura_Obra!A122)</f>
        <v/>
      </c>
      <c r="F418" s="10665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Captura_Obra!B122)</f>
        <v/>
      </c>
      <c r="G418" s="10666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Captura_Obra!D122)</f>
        <v/>
      </c>
      <c r="H418" s="10667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0)</f>
        <v/>
      </c>
      <c r="I418" s="10668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Captura_Obra!F122)</f>
        <v/>
      </c>
      <c r="J418" s="10669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H418 - I418)</f>
        <v/>
      </c>
      <c r="K418" s="4227"/>
    </row>
    <row r="419" spans="1:11">
      <c r="A419" s="10670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"Huérfano Obra")</f>
        <v/>
      </c>
      <c r="B419" s="10671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"No Reportado")</f>
        <v/>
      </c>
      <c r="C419" s="10672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Captura_Obra!N123)</f>
        <v/>
      </c>
      <c r="D419" s="10673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"❌ Falta en Pipa")</f>
        <v/>
      </c>
      <c r="E419" s="10674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Captura_Obra!A123)</f>
        <v/>
      </c>
      <c r="F419" s="10675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Captura_Obra!B123)</f>
        <v/>
      </c>
      <c r="G419" s="10676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Captura_Obra!D123)</f>
        <v/>
      </c>
      <c r="H419" s="10677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0)</f>
        <v/>
      </c>
      <c r="I419" s="10678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Captura_Obra!F123)</f>
        <v/>
      </c>
      <c r="J419" s="10679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H419 - I419)</f>
        <v/>
      </c>
      <c r="K419" s="4228"/>
    </row>
    <row r="420" spans="1:11">
      <c r="A420" s="10680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"Huérfano Obra")</f>
        <v/>
      </c>
      <c r="B420" s="10681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"No Reportado")</f>
        <v/>
      </c>
      <c r="C420" s="10682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Captura_Obra!N124)</f>
        <v/>
      </c>
      <c r="D420" s="10683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"❌ Falta en Pipa")</f>
        <v/>
      </c>
      <c r="E420" s="10684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Captura_Obra!A124)</f>
        <v/>
      </c>
      <c r="F420" s="10685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Captura_Obra!B124)</f>
        <v/>
      </c>
      <c r="G420" s="10686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Captura_Obra!D124)</f>
        <v/>
      </c>
      <c r="H420" s="10687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0)</f>
        <v/>
      </c>
      <c r="I420" s="10688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Captura_Obra!F124)</f>
        <v/>
      </c>
      <c r="J420" s="10689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H420 - I420)</f>
        <v/>
      </c>
      <c r="K420" s="4229"/>
    </row>
    <row r="421" spans="1:11">
      <c r="A421" s="10690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"Huérfano Obra")</f>
        <v/>
      </c>
      <c r="B421" s="10691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"No Reportado")</f>
        <v/>
      </c>
      <c r="C421" s="10692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Captura_Obra!N125)</f>
        <v/>
      </c>
      <c r="D421" s="10693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"❌ Falta en Pipa")</f>
        <v/>
      </c>
      <c r="E421" s="10694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Captura_Obra!A125)</f>
        <v/>
      </c>
      <c r="F421" s="10695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Captura_Obra!B125)</f>
        <v/>
      </c>
      <c r="G421" s="10696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Captura_Obra!D125)</f>
        <v/>
      </c>
      <c r="H421" s="10697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0)</f>
        <v/>
      </c>
      <c r="I421" s="10698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Captura_Obra!F125)</f>
        <v/>
      </c>
      <c r="J421" s="10699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H421 - I421)</f>
        <v/>
      </c>
      <c r="K421" s="4230"/>
    </row>
    <row r="422" spans="1:11">
      <c r="A422" s="10700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"Huérfano Obra")</f>
        <v/>
      </c>
      <c r="B422" s="10701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"No Reportado")</f>
        <v/>
      </c>
      <c r="C422" s="10702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Captura_Obra!N126)</f>
        <v/>
      </c>
      <c r="D422" s="10703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"❌ Falta en Pipa")</f>
        <v/>
      </c>
      <c r="E422" s="10704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Captura_Obra!A126)</f>
        <v/>
      </c>
      <c r="F422" s="10705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Captura_Obra!B126)</f>
        <v/>
      </c>
      <c r="G422" s="10706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Captura_Obra!D126)</f>
        <v/>
      </c>
      <c r="H422" s="10707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0)</f>
        <v/>
      </c>
      <c r="I422" s="10708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Captura_Obra!F126)</f>
        <v/>
      </c>
      <c r="J422" s="10709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H422 - I422)</f>
        <v/>
      </c>
      <c r="K422" s="4231"/>
    </row>
    <row r="423" spans="1:11">
      <c r="A423" s="10710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"Huérfano Obra")</f>
        <v/>
      </c>
      <c r="B423" s="10711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"No Reportado")</f>
        <v/>
      </c>
      <c r="C423" s="10712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Captura_Obra!N127)</f>
        <v/>
      </c>
      <c r="D423" s="10713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"❌ Falta en Pipa")</f>
        <v/>
      </c>
      <c r="E423" s="10714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Captura_Obra!A127)</f>
        <v/>
      </c>
      <c r="F423" s="10715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Captura_Obra!B127)</f>
        <v/>
      </c>
      <c r="G423" s="10716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Captura_Obra!D127)</f>
        <v/>
      </c>
      <c r="H423" s="10717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0)</f>
        <v/>
      </c>
      <c r="I423" s="10718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Captura_Obra!F127)</f>
        <v/>
      </c>
      <c r="J423" s="10719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H423 - I423)</f>
        <v/>
      </c>
      <c r="K423" s="4232"/>
    </row>
    <row r="424" spans="1:11">
      <c r="A424" s="10720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"Huérfano Obra")</f>
        <v/>
      </c>
      <c r="B424" s="10721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"No Reportado")</f>
        <v/>
      </c>
      <c r="C424" s="10722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Captura_Obra!N128)</f>
        <v/>
      </c>
      <c r="D424" s="10723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"❌ Falta en Pipa")</f>
        <v/>
      </c>
      <c r="E424" s="10724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Captura_Obra!A128)</f>
        <v/>
      </c>
      <c r="F424" s="10725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Captura_Obra!B128)</f>
        <v/>
      </c>
      <c r="G424" s="10726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Captura_Obra!D128)</f>
        <v/>
      </c>
      <c r="H424" s="10727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0)</f>
        <v/>
      </c>
      <c r="I424" s="10728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Captura_Obra!F128)</f>
        <v/>
      </c>
      <c r="J424" s="10729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H424 - I424)</f>
        <v/>
      </c>
      <c r="K424" s="4233"/>
    </row>
    <row r="425" spans="1:11">
      <c r="A425" s="10730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"Huérfano Obra")</f>
        <v/>
      </c>
      <c r="B425" s="10731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"No Reportado")</f>
        <v/>
      </c>
      <c r="C425" s="10732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Captura_Obra!N129)</f>
        <v/>
      </c>
      <c r="D425" s="10733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"❌ Falta en Pipa")</f>
        <v/>
      </c>
      <c r="E425" s="10734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Captura_Obra!A129)</f>
        <v/>
      </c>
      <c r="F425" s="10735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Captura_Obra!B129)</f>
        <v/>
      </c>
      <c r="G425" s="10736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Captura_Obra!D129)</f>
        <v/>
      </c>
      <c r="H425" s="10737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0)</f>
        <v/>
      </c>
      <c r="I425" s="10738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Captura_Obra!F129)</f>
        <v/>
      </c>
      <c r="J425" s="10739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H425 - I425)</f>
        <v/>
      </c>
      <c r="K425" s="4234"/>
    </row>
    <row r="426" spans="1:11">
      <c r="A426" s="10740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"Huérfano Obra")</f>
        <v/>
      </c>
      <c r="B426" s="10741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"No Reportado")</f>
        <v/>
      </c>
      <c r="C426" s="10742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Captura_Obra!N130)</f>
        <v/>
      </c>
      <c r="D426" s="10743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"❌ Falta en Pipa")</f>
        <v/>
      </c>
      <c r="E426" s="10744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Captura_Obra!A130)</f>
        <v/>
      </c>
      <c r="F426" s="10745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Captura_Obra!B130)</f>
        <v/>
      </c>
      <c r="G426" s="10746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Captura_Obra!D130)</f>
        <v/>
      </c>
      <c r="H426" s="10747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0)</f>
        <v/>
      </c>
      <c r="I426" s="10748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Captura_Obra!F130)</f>
        <v/>
      </c>
      <c r="J426" s="10749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H426 - I426)</f>
        <v/>
      </c>
      <c r="K426" s="4235"/>
    </row>
    <row r="427" spans="1:11">
      <c r="A427" s="10750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"Huérfano Obra")</f>
        <v/>
      </c>
      <c r="B427" s="10751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"No Reportado")</f>
        <v/>
      </c>
      <c r="C427" s="10752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Captura_Obra!N131)</f>
        <v/>
      </c>
      <c r="D427" s="10753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"❌ Falta en Pipa")</f>
        <v/>
      </c>
      <c r="E427" s="10754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Captura_Obra!A131)</f>
        <v/>
      </c>
      <c r="F427" s="10755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Captura_Obra!B131)</f>
        <v/>
      </c>
      <c r="G427" s="10756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Captura_Obra!D131)</f>
        <v/>
      </c>
      <c r="H427" s="10757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0)</f>
        <v/>
      </c>
      <c r="I427" s="10758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Captura_Obra!F131)</f>
        <v/>
      </c>
      <c r="J427" s="10759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H427 - I427)</f>
        <v/>
      </c>
      <c r="K427" s="4236"/>
    </row>
    <row r="428" spans="1:11">
      <c r="A428" s="10760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"Huérfano Obra")</f>
        <v/>
      </c>
      <c r="B428" s="10761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"No Reportado")</f>
        <v/>
      </c>
      <c r="C428" s="10762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Captura_Obra!N132)</f>
        <v/>
      </c>
      <c r="D428" s="10763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"❌ Falta en Pipa")</f>
        <v/>
      </c>
      <c r="E428" s="10764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Captura_Obra!A132)</f>
        <v/>
      </c>
      <c r="F428" s="10765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Captura_Obra!B132)</f>
        <v/>
      </c>
      <c r="G428" s="10766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Captura_Obra!D132)</f>
        <v/>
      </c>
      <c r="H428" s="10767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0)</f>
        <v/>
      </c>
      <c r="I428" s="10768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Captura_Obra!F132)</f>
        <v/>
      </c>
      <c r="J428" s="10769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H428 - I428)</f>
        <v/>
      </c>
      <c r="K428" s="4237"/>
    </row>
    <row r="429" spans="1:11">
      <c r="A429" s="10770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"Huérfano Obra")</f>
        <v>Huérfano Obra</v>
      </c>
      <c r="B429" s="10771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"No Reportado")</f>
        <v>No Reportado</v>
      </c>
      <c r="C429" s="10772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Captura_Obra!N133)</f>
        <v>CO-BT-25-129</v>
      </c>
      <c r="D429" s="10773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"❌ Falta en Pipa")</f>
        <v>❌ Falta en Pipa</v>
      </c>
      <c r="E429" s="10774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Captura_Obra!A133)</f>
        <v>46192</v>
      </c>
      <c r="F429" s="10775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Captura_Obra!B133)</f>
        <v>Bacheo Toluca</v>
      </c>
      <c r="G429" s="10776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Captura_Obra!D133)</f>
        <v>HOMBRE A BORDO</v>
      </c>
      <c r="H429" s="10777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0)</f>
        <v>0</v>
      </c>
      <c r="I429" s="10778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Captura_Obra!F133)</f>
        <v>10</v>
      </c>
      <c r="J429" s="10779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H429 - I429)</f>
        <v>-10</v>
      </c>
      <c r="K429" s="4238"/>
    </row>
    <row r="430" spans="1:11">
      <c r="A430" s="10780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"Huérfano Obra")</f>
        <v>Huérfano Obra</v>
      </c>
      <c r="B430" s="10781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"No Reportado")</f>
        <v>No Reportado</v>
      </c>
      <c r="C430" s="10782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Captura_Obra!N134)</f>
        <v>CO-MT-26-130</v>
      </c>
      <c r="D430" s="10783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"❌ Falta en Pipa")</f>
        <v>❌ Falta en Pipa</v>
      </c>
      <c r="E430" s="10784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Captura_Obra!A134)</f>
        <v>46195</v>
      </c>
      <c r="F430" s="10785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Captura_Obra!B134)</f>
        <v>México-Toluca</v>
      </c>
      <c r="G430" s="10786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Captura_Obra!D134)</f>
        <v>PAVIMENTADORA VOGELE 1800-3 I</v>
      </c>
      <c r="H430" s="10787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0)</f>
        <v>0</v>
      </c>
      <c r="I430" s="10788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Captura_Obra!F134)</f>
        <v>106</v>
      </c>
      <c r="J430" s="10789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H430 - I430)</f>
        <v>-106</v>
      </c>
      <c r="K430" s="4239"/>
    </row>
    <row r="431" spans="1:11">
      <c r="A431" s="10790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"Huérfano Obra")</f>
        <v>Huérfano Obra</v>
      </c>
      <c r="B431" s="10791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"No Reportado")</f>
        <v>No Reportado</v>
      </c>
      <c r="C431" s="10792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Captura_Obra!N135)</f>
        <v>CO-MT-26-131</v>
      </c>
      <c r="D431" s="10793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"❌ Falta en Pipa")</f>
        <v>❌ Falta en Pipa</v>
      </c>
      <c r="E431" s="10794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Captura_Obra!A135)</f>
        <v>46195</v>
      </c>
      <c r="F431" s="10795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Captura_Obra!B135)</f>
        <v>México-Toluca</v>
      </c>
      <c r="G431" s="10796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Captura_Obra!D135)</f>
        <v>NEUMATICO VOLVO PT-240R</v>
      </c>
      <c r="H431" s="10797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0)</f>
        <v>0</v>
      </c>
      <c r="I431" s="10798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Captura_Obra!F135)</f>
        <v>50</v>
      </c>
      <c r="J431" s="10799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H431 - I431)</f>
        <v>-50</v>
      </c>
      <c r="K431" s="4240"/>
    </row>
    <row r="432" spans="1:11">
      <c r="A432" s="10800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"Huérfano Obra")</f>
        <v>Huérfano Obra</v>
      </c>
      <c r="B432" s="10801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"No Reportado")</f>
        <v>No Reportado</v>
      </c>
      <c r="C432" s="10802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Captura_Obra!N136)</f>
        <v>CO-MT-26-132</v>
      </c>
      <c r="D432" s="10803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"❌ Falta en Pipa")</f>
        <v>❌ Falta en Pipa</v>
      </c>
      <c r="E432" s="10804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Captura_Obra!A136)</f>
        <v>46195</v>
      </c>
      <c r="F432" s="10805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Captura_Obra!B136)</f>
        <v>México-Toluca</v>
      </c>
      <c r="G432" s="10806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Captura_Obra!D136)</f>
        <v>DOBLE RODILLO/VIBROCOMPACTADOR DE RODILLOS HAMM 120HD VV</v>
      </c>
      <c r="H432" s="10807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0)</f>
        <v>0</v>
      </c>
      <c r="I432" s="10808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Captura_Obra!F136)</f>
        <v>50</v>
      </c>
      <c r="J432" s="10809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H432 - I432)</f>
        <v>-50</v>
      </c>
      <c r="K432" s="4241"/>
    </row>
    <row r="433" spans="1:11">
      <c r="A433" s="10810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"Huérfano Obra")</f>
        <v>Huérfano Obra</v>
      </c>
      <c r="B433" s="10811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"No Reportado")</f>
        <v>No Reportado</v>
      </c>
      <c r="C433" s="10812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Captura_Obra!N137)</f>
        <v>CO-MT-26-133</v>
      </c>
      <c r="D433" s="10813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"❌ Falta en Pipa")</f>
        <v>❌ Falta en Pipa</v>
      </c>
      <c r="E433" s="10814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Captura_Obra!A137)</f>
        <v>46195</v>
      </c>
      <c r="F433" s="10815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Captura_Obra!B137)</f>
        <v>México-Toluca</v>
      </c>
      <c r="G433" s="10816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Captura_Obra!D137)</f>
        <v>RETROEXCAVADORA JHONDEREE 310 K</v>
      </c>
      <c r="H433" s="10817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0)</f>
        <v>0</v>
      </c>
      <c r="I433" s="10818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Captura_Obra!F137)</f>
        <v>60</v>
      </c>
      <c r="J433" s="10819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H433 - I433)</f>
        <v>-60</v>
      </c>
      <c r="K433" s="4242"/>
    </row>
    <row r="434" spans="1:11">
      <c r="A434" s="10820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"Huérfano Obra")</f>
        <v>Huérfano Obra</v>
      </c>
      <c r="B434" s="10821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"No Reportado")</f>
        <v>No Reportado</v>
      </c>
      <c r="C434" s="10822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Captura_Obra!N138)</f>
        <v>CO-MT-26-134</v>
      </c>
      <c r="D434" s="10823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"❌ Falta en Pipa")</f>
        <v>❌ Falta en Pipa</v>
      </c>
      <c r="E434" s="10824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Captura_Obra!A138)</f>
        <v>46195</v>
      </c>
      <c r="F434" s="10825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Captura_Obra!B138)</f>
        <v>México-Toluca</v>
      </c>
      <c r="G434" s="10826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Captura_Obra!D138)</f>
        <v>PERFILADORA RODATEC RX600-4-4008</v>
      </c>
      <c r="H434" s="10827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0)</f>
        <v>0</v>
      </c>
      <c r="I434" s="10828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Captura_Obra!F138)</f>
        <v>250</v>
      </c>
      <c r="J434" s="10829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H434 - I434)</f>
        <v>-250</v>
      </c>
      <c r="K434" s="4243"/>
    </row>
    <row r="435" spans="1:11">
      <c r="A435" s="10830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"Huérfano Obra")</f>
        <v>Huérfano Obra</v>
      </c>
      <c r="B435" s="10831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"No Reportado")</f>
        <v>No Reportado</v>
      </c>
      <c r="C435" s="10832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Captura_Obra!N139)</f>
        <v>CO-LT-26-135</v>
      </c>
      <c r="D435" s="10833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"❌ Falta en Pipa")</f>
        <v>❌ Falta en Pipa</v>
      </c>
      <c r="E435" s="10834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Captura_Obra!A139)</f>
        <v>46195</v>
      </c>
      <c r="F435" s="10835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Captura_Obra!B139)</f>
        <v>Lerma - Tres Marías</v>
      </c>
      <c r="G435" s="10836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Captura_Obra!D139)</f>
        <v>PETROLIZADORA INTERNATIONAL</v>
      </c>
      <c r="H435" s="10837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0)</f>
        <v>0</v>
      </c>
      <c r="I435" s="10838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Captura_Obra!F139)</f>
        <v>40</v>
      </c>
      <c r="J435" s="10839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H435 - I435)</f>
        <v>-40</v>
      </c>
      <c r="K435" s="4244"/>
    </row>
    <row r="436" spans="1:11">
      <c r="A436" s="10840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"Huérfano Obra")</f>
        <v>Huérfano Obra</v>
      </c>
      <c r="B436" s="10841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"No Reportado")</f>
        <v>No Reportado</v>
      </c>
      <c r="C436" s="10842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Captura_Obra!N140)</f>
        <v>CO-DR-26-136</v>
      </c>
      <c r="D436" s="10843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"❌ Falta en Pipa")</f>
        <v>❌ Falta en Pipa</v>
      </c>
      <c r="E436" s="10844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Captura_Obra!A140)</f>
        <v>46195</v>
      </c>
      <c r="F436" s="10845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Captura_Obra!B140)</f>
        <v>Dragones</v>
      </c>
      <c r="G436" s="10846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Captura_Obra!D140)</f>
        <v>PETROLIZADORA INTERNATIONAL</v>
      </c>
      <c r="H436" s="10847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0)</f>
        <v>0</v>
      </c>
      <c r="I436" s="10848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Captura_Obra!F140)</f>
        <v>40</v>
      </c>
      <c r="J436" s="10849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H436 - I436)</f>
        <v>-40</v>
      </c>
      <c r="K436" s="4245"/>
    </row>
    <row r="437" spans="1:11">
      <c r="A437" s="10850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"Huérfano Obra")</f>
        <v>Huérfano Obra</v>
      </c>
      <c r="B437" s="10851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"No Reportado")</f>
        <v>No Reportado</v>
      </c>
      <c r="C437" s="10852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Captura_Obra!N141)</f>
        <v>CO-BT-26-137</v>
      </c>
      <c r="D437" s="10853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"❌ Falta en Pipa")</f>
        <v>❌ Falta en Pipa</v>
      </c>
      <c r="E437" s="10854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Captura_Obra!A141)</f>
        <v>46195</v>
      </c>
      <c r="F437" s="10855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Captura_Obra!B141)</f>
        <v>Bacheo Toluca</v>
      </c>
      <c r="G437" s="10856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Captura_Obra!D141)</f>
        <v>BIDONES</v>
      </c>
      <c r="H437" s="10857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0)</f>
        <v>0</v>
      </c>
      <c r="I437" s="10858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Captura_Obra!F141)</f>
        <v>110</v>
      </c>
      <c r="J437" s="10859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H437 - I437)</f>
        <v>-110</v>
      </c>
      <c r="K437" s="4246"/>
    </row>
    <row r="438" spans="1:11">
      <c r="A438" s="10860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"Huérfano Obra")</f>
        <v>Huérfano Obra</v>
      </c>
      <c r="B438" s="10861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"No Reportado")</f>
        <v>No Reportado</v>
      </c>
      <c r="C438" s="10862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Captura_Obra!N142)</f>
        <v>CO-LT-26-138</v>
      </c>
      <c r="D438" s="10863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"❌ Falta en Pipa")</f>
        <v>❌ Falta en Pipa</v>
      </c>
      <c r="E438" s="10864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Captura_Obra!A142)</f>
        <v>46195</v>
      </c>
      <c r="F438" s="10865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Captura_Obra!B142)</f>
        <v>Lerma - Tres Marías</v>
      </c>
      <c r="G438" s="10866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Captura_Obra!D142)</f>
        <v>VIBROCOMPACTADOR CATERPILLAR CB66B</v>
      </c>
      <c r="H438" s="10867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0)</f>
        <v>0</v>
      </c>
      <c r="I438" s="10868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Captura_Obra!F142)</f>
        <v>50</v>
      </c>
      <c r="J438" s="10869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H438 - I438)</f>
        <v>-50</v>
      </c>
      <c r="K438" s="4247"/>
    </row>
    <row r="439" spans="1:11">
      <c r="A439" s="10870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"Huérfano Obra")</f>
        <v>Huérfano Obra</v>
      </c>
      <c r="B439" s="10871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"No Reportado")</f>
        <v>No Reportado</v>
      </c>
      <c r="C439" s="10872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Captura_Obra!N143)</f>
        <v>CO-MT-26-139</v>
      </c>
      <c r="D439" s="10873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"❌ Falta en Pipa")</f>
        <v>❌ Falta en Pipa</v>
      </c>
      <c r="E439" s="10874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Captura_Obra!A143)</f>
        <v>46195</v>
      </c>
      <c r="F439" s="10875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Captura_Obra!B143)</f>
        <v>México-Toluca</v>
      </c>
      <c r="G439" s="10876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Captura_Obra!D143)</f>
        <v>PERFILADORA RODATEC RX600E</v>
      </c>
      <c r="H439" s="10877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0)</f>
        <v>0</v>
      </c>
      <c r="I439" s="10878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Captura_Obra!F143)</f>
        <v>250</v>
      </c>
      <c r="J439" s="10879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H439 - I439)</f>
        <v>-250</v>
      </c>
      <c r="K439" s="4248"/>
    </row>
    <row r="440" spans="1:11">
      <c r="A440" s="10880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"Huérfano Obra")</f>
        <v>Huérfano Obra</v>
      </c>
      <c r="B440" s="10881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"No Reportado")</f>
        <v>No Reportado</v>
      </c>
      <c r="C440" s="10882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Captura_Obra!N144)</f>
        <v>CO-LT-26-140</v>
      </c>
      <c r="D440" s="10883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"❌ Falta en Pipa")</f>
        <v>❌ Falta en Pipa</v>
      </c>
      <c r="E440" s="10884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Captura_Obra!A144)</f>
        <v>46195</v>
      </c>
      <c r="F440" s="10885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Captura_Obra!B144)</f>
        <v>Lerma - Tres Marías</v>
      </c>
      <c r="G440" s="10886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Captura_Obra!D144)</f>
        <v>NEUMATICO / COMPACTADOR DE NEUMATICOS DINAPAC CP271</v>
      </c>
      <c r="H440" s="10887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0)</f>
        <v>0</v>
      </c>
      <c r="I440" s="10888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Captura_Obra!F144)</f>
        <v>50</v>
      </c>
      <c r="J440" s="10889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H440 - I440)</f>
        <v>-50</v>
      </c>
      <c r="K440" s="4249"/>
    </row>
    <row r="441" spans="1:11">
      <c r="A441" s="10890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"Huérfano Obra")</f>
        <v>Huérfano Obra</v>
      </c>
      <c r="B441" s="10891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"No Reportado")</f>
        <v>No Reportado</v>
      </c>
      <c r="C441" s="10892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Captura_Obra!N145)</f>
        <v>CO-LT-26-141</v>
      </c>
      <c r="D441" s="10893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"❌ Falta en Pipa")</f>
        <v>❌ Falta en Pipa</v>
      </c>
      <c r="E441" s="10894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Captura_Obra!A145)</f>
        <v>46195</v>
      </c>
      <c r="F441" s="10895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Captura_Obra!B145)</f>
        <v>Lerma - Tres Marías</v>
      </c>
      <c r="G441" s="10896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Captura_Obra!D145)</f>
        <v>PAVIMENTADORA VOGELE SJ 1800-3</v>
      </c>
      <c r="H441" s="10897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0)</f>
        <v>0</v>
      </c>
      <c r="I441" s="10898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Captura_Obra!F145)</f>
        <v>162</v>
      </c>
      <c r="J441" s="10899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H441 - I441)</f>
        <v>-162</v>
      </c>
      <c r="K441" s="4250"/>
    </row>
    <row r="442" spans="1:11">
      <c r="A442" s="10900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"Huérfano Obra")</f>
        <v>Huérfano Obra</v>
      </c>
      <c r="B442" s="10901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"No Reportado")</f>
        <v>No Reportado</v>
      </c>
      <c r="C442" s="10902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Captura_Obra!N146)</f>
        <v>CO-LT-26-142</v>
      </c>
      <c r="D442" s="10903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"❌ Falta en Pipa")</f>
        <v>❌ Falta en Pipa</v>
      </c>
      <c r="E442" s="10904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Captura_Obra!A146)</f>
        <v>46195</v>
      </c>
      <c r="F442" s="10905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Captura_Obra!B146)</f>
        <v>Lerma - Tres Marías</v>
      </c>
      <c r="G442" s="10906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Captura_Obra!D146)</f>
        <v>PIPA DE AGUA (IMPACTO 01) FORD</v>
      </c>
      <c r="H442" s="10907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0)</f>
        <v>0</v>
      </c>
      <c r="I442" s="10908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Captura_Obra!F146)</f>
        <v>50</v>
      </c>
      <c r="J442" s="10909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H442 - I442)</f>
        <v>-50</v>
      </c>
      <c r="K442" s="4251"/>
    </row>
    <row r="443" spans="1:11">
      <c r="A443" s="10910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"Huérfano Obra")</f>
        <v>Huérfano Obra</v>
      </c>
      <c r="B443" s="10911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"No Reportado")</f>
        <v>No Reportado</v>
      </c>
      <c r="C443" s="10912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Captura_Obra!N147)</f>
        <v>CO-LT-26-143</v>
      </c>
      <c r="D443" s="10913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"❌ Falta en Pipa")</f>
        <v>❌ Falta en Pipa</v>
      </c>
      <c r="E443" s="10914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Captura_Obra!A147)</f>
        <v>46195</v>
      </c>
      <c r="F443" s="10915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Captura_Obra!B147)</f>
        <v>Lerma - Tres Marías</v>
      </c>
      <c r="G443" s="10916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Captura_Obra!D147)</f>
        <v>NEUMATICO / COMPACTADOR DE NEUMATICOS DINAPAC CP271</v>
      </c>
      <c r="H443" s="10917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0)</f>
        <v>0</v>
      </c>
      <c r="I443" s="10918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Captura_Obra!F147)</f>
        <v>50</v>
      </c>
      <c r="J443" s="10919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H443 - I443)</f>
        <v>-50</v>
      </c>
      <c r="K443" s="4252"/>
    </row>
    <row r="444" spans="1:11">
      <c r="A444" s="10920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"Huérfano Obra")</f>
        <v>Huérfano Obra</v>
      </c>
      <c r="B444" s="10921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"No Reportado")</f>
        <v>No Reportado</v>
      </c>
      <c r="C444" s="10922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Captura_Obra!N148)</f>
        <v>CO-MP-26-144</v>
      </c>
      <c r="D444" s="10923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"❌ Falta en Pipa")</f>
        <v>❌ Falta en Pipa</v>
      </c>
      <c r="E444" s="10924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Captura_Obra!A148)</f>
        <v>46196</v>
      </c>
      <c r="F444" s="10925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Captura_Obra!B148)</f>
        <v>Maquinaria Pegaso</v>
      </c>
      <c r="G444" s="10926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Captura_Obra!D148)</f>
        <v>PAYLODER</v>
      </c>
      <c r="H444" s="10927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0)</f>
        <v>0</v>
      </c>
      <c r="I444" s="10928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Captura_Obra!F148)</f>
        <v>275</v>
      </c>
      <c r="J444" s="10929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H444 - I444)</f>
        <v>-275</v>
      </c>
      <c r="K444" s="4253"/>
    </row>
    <row r="445" spans="1:11">
      <c r="A445" s="10930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"Huérfano Obra")</f>
        <v>Huérfano Obra</v>
      </c>
      <c r="B445" s="10931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"No Reportado")</f>
        <v>No Reportado</v>
      </c>
      <c r="C445" s="10932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Captura_Obra!N149)</f>
        <v>CO-MP-26-145</v>
      </c>
      <c r="D445" s="10933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"❌ Falta en Pipa")</f>
        <v>❌ Falta en Pipa</v>
      </c>
      <c r="E445" s="10934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Captura_Obra!A149)</f>
        <v>46196</v>
      </c>
      <c r="F445" s="10935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Captura_Obra!B149)</f>
        <v>Maquinaria Pegaso</v>
      </c>
      <c r="G445" s="10936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Captura_Obra!D149)</f>
        <v>LIMPIEZA</v>
      </c>
      <c r="H445" s="10937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0)</f>
        <v>0</v>
      </c>
      <c r="I445" s="10938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Captura_Obra!F149)</f>
        <v>20</v>
      </c>
      <c r="J445" s="10939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H445 - I445)</f>
        <v>-20</v>
      </c>
      <c r="K445" s="4254"/>
    </row>
    <row r="446" spans="1:11">
      <c r="A446" s="10940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"Huérfano Obra")</f>
        <v>Huérfano Obra</v>
      </c>
      <c r="B446" s="10941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"No Reportado")</f>
        <v>No Reportado</v>
      </c>
      <c r="C446" s="10942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Captura_Obra!N150)</f>
        <v>CO-BT-26-146</v>
      </c>
      <c r="D446" s="10943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"❌ Falta en Pipa")</f>
        <v>❌ Falta en Pipa</v>
      </c>
      <c r="E446" s="10944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Captura_Obra!A150)</f>
        <v>46196</v>
      </c>
      <c r="F446" s="10945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Captura_Obra!B150)</f>
        <v>Bacheo Toluca</v>
      </c>
      <c r="G446" s="10946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Captura_Obra!D150)</f>
        <v>BIDONES</v>
      </c>
      <c r="H446" s="10947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0)</f>
        <v>0</v>
      </c>
      <c r="I446" s="10948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Captura_Obra!F150)</f>
        <v>110</v>
      </c>
      <c r="J446" s="10949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H446 - I446)</f>
        <v>-110</v>
      </c>
      <c r="K446" s="4255"/>
    </row>
    <row r="447" spans="1:11">
      <c r="A447" s="10950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"Huérfano Obra")</f>
        <v>Huérfano Obra</v>
      </c>
      <c r="B447" s="10951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"No Reportado")</f>
        <v>No Reportado</v>
      </c>
      <c r="C447" s="10952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Captura_Obra!N151)</f>
        <v>CO-MP-26-147</v>
      </c>
      <c r="D447" s="10953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"❌ Falta en Pipa")</f>
        <v>❌ Falta en Pipa</v>
      </c>
      <c r="E447" s="10954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Captura_Obra!A151)</f>
        <v>46196</v>
      </c>
      <c r="F447" s="10955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Captura_Obra!B151)</f>
        <v>Maquinaria Pegaso</v>
      </c>
      <c r="G447" s="10956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Captura_Obra!D151)</f>
        <v>PAVIMENTADORA VOGELE 1800-2 SJ</v>
      </c>
      <c r="H447" s="10957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0)</f>
        <v>0</v>
      </c>
      <c r="I447" s="10958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Captura_Obra!F151)</f>
        <v>100</v>
      </c>
      <c r="J447" s="10959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H447 - I447)</f>
        <v>-100</v>
      </c>
      <c r="K447" s="4256"/>
    </row>
    <row r="448" spans="1:11">
      <c r="A448" s="10960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"Huérfano Obra")</f>
        <v>Huérfano Obra</v>
      </c>
      <c r="B448" s="10961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"No Reportado")</f>
        <v>No Reportado</v>
      </c>
      <c r="C448" s="10962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Captura_Obra!N152)</f>
        <v>CO-LT-26-148</v>
      </c>
      <c r="D448" s="10963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"❌ Falta en Pipa")</f>
        <v>❌ Falta en Pipa</v>
      </c>
      <c r="E448" s="10964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Captura_Obra!A152)</f>
        <v>46196</v>
      </c>
      <c r="F448" s="10965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Captura_Obra!B152)</f>
        <v>Lerma - Tres Marías</v>
      </c>
      <c r="G448" s="10966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Captura_Obra!D152)</f>
        <v>RETROEXCAVADORA JHONDEREE 310 K</v>
      </c>
      <c r="H448" s="10967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0)</f>
        <v>0</v>
      </c>
      <c r="I448" s="10968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Captura_Obra!F152)</f>
        <v>50</v>
      </c>
      <c r="J448" s="10969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H448 - I448)</f>
        <v>-50</v>
      </c>
      <c r="K448" s="4257"/>
    </row>
    <row r="449" spans="1:11">
      <c r="A449" s="10970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"Huérfano Obra")</f>
        <v>Huérfano Obra</v>
      </c>
      <c r="B449" s="10971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"No Reportado")</f>
        <v>No Reportado</v>
      </c>
      <c r="C449" s="10972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Captura_Obra!N153)</f>
        <v>CO-BT-26-149</v>
      </c>
      <c r="D449" s="10973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"❌ Falta en Pipa")</f>
        <v>❌ Falta en Pipa</v>
      </c>
      <c r="E449" s="10974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Captura_Obra!A153)</f>
        <v>46196</v>
      </c>
      <c r="F449" s="10975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Captura_Obra!B153)</f>
        <v>Bacheo Toluca</v>
      </c>
      <c r="G449" s="10976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Captura_Obra!D153)</f>
        <v>PERFILADORA RODATEC RX600E</v>
      </c>
      <c r="H449" s="10977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0)</f>
        <v>0</v>
      </c>
      <c r="I449" s="10978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Captura_Obra!F153)</f>
        <v>96</v>
      </c>
      <c r="J449" s="10979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H449 - I449)</f>
        <v>-96</v>
      </c>
      <c r="K449" s="4258"/>
    </row>
    <row r="450" spans="1:11">
      <c r="A450" s="10980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"Huérfano Obra")</f>
        <v>Huérfano Obra</v>
      </c>
      <c r="B450" s="10981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"No Reportado")</f>
        <v>No Reportado</v>
      </c>
      <c r="C450" s="10982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Captura_Obra!N154)</f>
        <v>CO-MT-26-150</v>
      </c>
      <c r="D450" s="10983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"❌ Falta en Pipa")</f>
        <v>❌ Falta en Pipa</v>
      </c>
      <c r="E450" s="10984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Captura_Obra!A154)</f>
        <v>46196</v>
      </c>
      <c r="F450" s="10985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Captura_Obra!B154)</f>
        <v>México-Toluca</v>
      </c>
      <c r="G450" s="10986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Captura_Obra!D154)</f>
        <v>PAVIMENTADORA  VOGELE SJ 1800-3</v>
      </c>
      <c r="H450" s="10987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0)</f>
        <v>0</v>
      </c>
      <c r="I450" s="10988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Captura_Obra!F154)</f>
        <v>21</v>
      </c>
      <c r="J450" s="10989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H450 - I450)</f>
        <v>-21</v>
      </c>
      <c r="K450" s="4259"/>
    </row>
    <row r="451" spans="1:11">
      <c r="A451" s="10990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"Huérfano Obra")</f>
        <v>Huérfano Obra</v>
      </c>
      <c r="B451" s="10991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"No Reportado")</f>
        <v>No Reportado</v>
      </c>
      <c r="C451" s="10992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Captura_Obra!N155)</f>
        <v>CO-MT-26-151</v>
      </c>
      <c r="D451" s="10993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"❌ Falta en Pipa")</f>
        <v>❌ Falta en Pipa</v>
      </c>
      <c r="E451" s="10994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Captura_Obra!A155)</f>
        <v>46196</v>
      </c>
      <c r="F451" s="10995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Captura_Obra!B155)</f>
        <v>México-Toluca</v>
      </c>
      <c r="G451" s="10996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Captura_Obra!D155)</f>
        <v>RETROEXCAVADORA JHONDEREE 310SK</v>
      </c>
      <c r="H451" s="10997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0)</f>
        <v>0</v>
      </c>
      <c r="I451" s="10998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Captura_Obra!F155)</f>
        <v>50</v>
      </c>
      <c r="J451" s="10999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H451 - I451)</f>
        <v>-50</v>
      </c>
      <c r="K451" s="4260"/>
    </row>
    <row r="452" spans="1:11">
      <c r="A452" s="11000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"Huérfano Obra")</f>
        <v>Huérfano Obra</v>
      </c>
      <c r="B452" s="11001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"No Reportado")</f>
        <v>No Reportado</v>
      </c>
      <c r="C452" s="11002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Captura_Obra!N156)</f>
        <v>CO-MT-26-152</v>
      </c>
      <c r="D452" s="11003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"❌ Falta en Pipa")</f>
        <v>❌ Falta en Pipa</v>
      </c>
      <c r="E452" s="11004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Captura_Obra!A156)</f>
        <v>46196</v>
      </c>
      <c r="F452" s="11005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Captura_Obra!B156)</f>
        <v>México-Toluca</v>
      </c>
      <c r="G452" s="11006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Captura_Obra!D156)</f>
        <v>BARREDORA BROCE RJ350</v>
      </c>
      <c r="H452" s="11007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0)</f>
        <v>0</v>
      </c>
      <c r="I452" s="11008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Captura_Obra!F156)</f>
        <v>31</v>
      </c>
      <c r="J452" s="11009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H452 - I452)</f>
        <v>-31</v>
      </c>
      <c r="K452" s="4261"/>
    </row>
    <row r="453" spans="1:11">
      <c r="A453" s="11010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"Huérfano Obra")</f>
        <v>Huérfano Obra</v>
      </c>
      <c r="B453" s="11011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"No Reportado")</f>
        <v>No Reportado</v>
      </c>
      <c r="C453" s="11012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Captura_Obra!N157)</f>
        <v>CO-PAH-26-153</v>
      </c>
      <c r="D453" s="11013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"❌ Falta en Pipa")</f>
        <v>❌ Falta en Pipa</v>
      </c>
      <c r="E453" s="11014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Captura_Obra!A157)</f>
        <v>46196</v>
      </c>
      <c r="F453" s="11015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Captura_Obra!B157)</f>
        <v>Planta Asflato Huixquilucan</v>
      </c>
      <c r="G453" s="11016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Captura_Obra!D157)</f>
        <v>GENERADOR AMMANN</v>
      </c>
      <c r="H453" s="11017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0)</f>
        <v>0</v>
      </c>
      <c r="I453" s="11018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Captura_Obra!F157)</f>
        <v>100</v>
      </c>
      <c r="J453" s="11019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H453 - I453)</f>
        <v>-100</v>
      </c>
      <c r="K453" s="4262"/>
    </row>
    <row r="454" spans="1:11">
      <c r="A454" s="11020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"Huérfano Obra")</f>
        <v>Huérfano Obra</v>
      </c>
      <c r="B454" s="11021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"No Reportado")</f>
        <v>No Reportado</v>
      </c>
      <c r="C454" s="11022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Captura_Obra!N158)</f>
        <v>CO-PAH-26-154</v>
      </c>
      <c r="D454" s="11023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"❌ Falta en Pipa")</f>
        <v>❌ Falta en Pipa</v>
      </c>
      <c r="E454" s="11024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Captura_Obra!A158)</f>
        <v>46196</v>
      </c>
      <c r="F454" s="11025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Captura_Obra!B158)</f>
        <v>Planta Asflato Huixquilucan</v>
      </c>
      <c r="G454" s="11026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Captura_Obra!D158)</f>
        <v>MAXILIGHT</v>
      </c>
      <c r="H454" s="11027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0)</f>
        <v>0</v>
      </c>
      <c r="I454" s="11028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Captura_Obra!F158)</f>
        <v>50</v>
      </c>
      <c r="J454" s="11029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H454 - I454)</f>
        <v>-50</v>
      </c>
      <c r="K454" s="4263"/>
    </row>
    <row r="455" spans="1:11">
      <c r="A455" s="11030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"Huérfano Obra")</f>
        <v>Huérfano Obra</v>
      </c>
      <c r="B455" s="11031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"No Reportado")</f>
        <v>No Reportado</v>
      </c>
      <c r="C455" s="11032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Captura_Obra!N159)</f>
        <v>CO-MT-26-155</v>
      </c>
      <c r="D455" s="11033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"❌ Falta en Pipa")</f>
        <v>❌ Falta en Pipa</v>
      </c>
      <c r="E455" s="11034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Captura_Obra!A159)</f>
        <v>46197</v>
      </c>
      <c r="F455" s="11035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Captura_Obra!B159)</f>
        <v>México-Toluca</v>
      </c>
      <c r="G455" s="11036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Captura_Obra!D159)</f>
        <v>TANDEM DOBLE RODILLO / VIBROCOMPACTOR RODILLO CAT CB54</v>
      </c>
      <c r="H455" s="11037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0)</f>
        <v>0</v>
      </c>
      <c r="I455" s="11038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Captura_Obra!F159)</f>
        <v>35</v>
      </c>
      <c r="J455" s="11039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H455 - I455)</f>
        <v>-35</v>
      </c>
      <c r="K455" s="4264"/>
    </row>
    <row r="456" spans="1:11">
      <c r="A456" s="11040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"Huérfano Obra")</f>
        <v>Huérfano Obra</v>
      </c>
      <c r="B456" s="11041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"No Reportado")</f>
        <v>No Reportado</v>
      </c>
      <c r="C456" s="11042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Captura_Obra!N160)</f>
        <v>CO-MT-26-156</v>
      </c>
      <c r="D456" s="11043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"❌ Falta en Pipa")</f>
        <v>❌ Falta en Pipa</v>
      </c>
      <c r="E456" s="11044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Captura_Obra!A160)</f>
        <v>46197</v>
      </c>
      <c r="F456" s="11045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Captura_Obra!B160)</f>
        <v>México-Toluca</v>
      </c>
      <c r="G456" s="11046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Captura_Obra!D160)</f>
        <v>PAVIMENTADORA VOGELE SJ 1800-3</v>
      </c>
      <c r="H456" s="11047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0)</f>
        <v>0</v>
      </c>
      <c r="I456" s="11048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Captura_Obra!F160)</f>
        <v>76</v>
      </c>
      <c r="J456" s="11049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H456 - I456)</f>
        <v>-76</v>
      </c>
      <c r="K456" s="4265"/>
    </row>
    <row r="457" spans="1:11">
      <c r="A457" s="11050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"Huérfano Obra")</f>
        <v>Huérfano Obra</v>
      </c>
      <c r="B457" s="11051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"No Reportado")</f>
        <v>No Reportado</v>
      </c>
      <c r="C457" s="11052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Captura_Obra!N161)</f>
        <v>CO-MT-26-157</v>
      </c>
      <c r="D457" s="11053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"❌ Falta en Pipa")</f>
        <v>❌ Falta en Pipa</v>
      </c>
      <c r="E457" s="11054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Captura_Obra!A161)</f>
        <v>46197</v>
      </c>
      <c r="F457" s="11055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Captura_Obra!B161)</f>
        <v>México-Toluca</v>
      </c>
      <c r="G457" s="11056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Captura_Obra!D161)</f>
        <v>TANDEM DOBLE RODILLO / VIBROCOMPACTOR RODILLO CAT CB54</v>
      </c>
      <c r="H457" s="11057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0)</f>
        <v>0</v>
      </c>
      <c r="I457" s="11058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Captura_Obra!F161)</f>
        <v>40</v>
      </c>
      <c r="J457" s="11059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H457 - I457)</f>
        <v>-40</v>
      </c>
      <c r="K457" s="4266"/>
    </row>
    <row r="458" spans="1:11">
      <c r="A458" s="11060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"Huérfano Obra")</f>
        <v>Huérfano Obra</v>
      </c>
      <c r="B458" s="11061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"No Reportado")</f>
        <v>No Reportado</v>
      </c>
      <c r="C458" s="11062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Captura_Obra!N162)</f>
        <v>CO-MT-26-158</v>
      </c>
      <c r="D458" s="11063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"❌ Falta en Pipa")</f>
        <v>❌ Falta en Pipa</v>
      </c>
      <c r="E458" s="11064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Captura_Obra!A162)</f>
        <v>46197</v>
      </c>
      <c r="F458" s="11065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Captura_Obra!B162)</f>
        <v>México-Toluca</v>
      </c>
      <c r="G458" s="11066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Captura_Obra!D162)</f>
        <v>RETROEXCAVADORA JHONDEREE 310SK</v>
      </c>
      <c r="H458" s="11067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0)</f>
        <v>0</v>
      </c>
      <c r="I458" s="11068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Captura_Obra!F162)</f>
        <v>40</v>
      </c>
      <c r="J458" s="11069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H458 - I458)</f>
        <v>-40</v>
      </c>
      <c r="K458" s="4267"/>
    </row>
    <row r="459" spans="1:11">
      <c r="A459" s="11070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"Huérfano Obra")</f>
        <v>Huérfano Obra</v>
      </c>
      <c r="B459" s="11071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"No Reportado")</f>
        <v>No Reportado</v>
      </c>
      <c r="C459" s="11072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Captura_Obra!N163)</f>
        <v>CO-MT-26-159</v>
      </c>
      <c r="D459" s="11073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"❌ Falta en Pipa")</f>
        <v>❌ Falta en Pipa</v>
      </c>
      <c r="E459" s="11074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Captura_Obra!A163)</f>
        <v>46197</v>
      </c>
      <c r="F459" s="11075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Captura_Obra!B163)</f>
        <v>México-Toluca</v>
      </c>
      <c r="G459" s="11076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Captura_Obra!D163)</f>
        <v>PERFILADORA RODATEC RX600-4-4008</v>
      </c>
      <c r="H459" s="11077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0)</f>
        <v>0</v>
      </c>
      <c r="I459" s="11078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Captura_Obra!F163)</f>
        <v>200</v>
      </c>
      <c r="J459" s="11079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H459 - I459)</f>
        <v>-200</v>
      </c>
      <c r="K459" s="4268"/>
    </row>
    <row r="460" spans="1:11">
      <c r="A460" s="11080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"Huérfano Obra")</f>
        <v>Huérfano Obra</v>
      </c>
      <c r="B460" s="11081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"No Reportado")</f>
        <v>No Reportado</v>
      </c>
      <c r="C460" s="11082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Captura_Obra!N164)</f>
        <v>CO-BT-26-160</v>
      </c>
      <c r="D460" s="11083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"❌ Falta en Pipa")</f>
        <v>❌ Falta en Pipa</v>
      </c>
      <c r="E460" s="11084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Captura_Obra!A164)</f>
        <v>46197</v>
      </c>
      <c r="F460" s="11085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Captura_Obra!B164)</f>
        <v>Bacheo Toluca</v>
      </c>
      <c r="G460" s="11086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Captura_Obra!D164)</f>
        <v>BIDONES</v>
      </c>
      <c r="H460" s="11087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0)</f>
        <v>0</v>
      </c>
      <c r="I460" s="11088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Captura_Obra!F164)</f>
        <v>120</v>
      </c>
      <c r="J460" s="11089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H460 - I460)</f>
        <v>-120</v>
      </c>
      <c r="K460" s="4269"/>
    </row>
    <row r="461" spans="1:11">
      <c r="A461" s="11090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"Huérfano Obra")</f>
        <v>Huérfano Obra</v>
      </c>
      <c r="B461" s="11091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"No Reportado")</f>
        <v>No Reportado</v>
      </c>
      <c r="C461" s="11092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Captura_Obra!N165)</f>
        <v>CO-MT-26-161</v>
      </c>
      <c r="D461" s="11093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"❌ Falta en Pipa")</f>
        <v>❌ Falta en Pipa</v>
      </c>
      <c r="E461" s="11094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Captura_Obra!A165)</f>
        <v>46197</v>
      </c>
      <c r="F461" s="11095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Captura_Obra!B165)</f>
        <v>México-Toluca</v>
      </c>
      <c r="G461" s="11096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Captura_Obra!D165)</f>
        <v>NEUMATICO VOLVO PT-240R</v>
      </c>
      <c r="H461" s="11097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0)</f>
        <v>0</v>
      </c>
      <c r="I461" s="11098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Captura_Obra!F165)</f>
        <v>50</v>
      </c>
      <c r="J461" s="11099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H461 - I461)</f>
        <v>-50</v>
      </c>
      <c r="K461" s="4270"/>
    </row>
    <row r="462" spans="1:11">
      <c r="A462" s="11100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"Huérfano Obra")</f>
        <v>Huérfano Obra</v>
      </c>
      <c r="B462" s="11101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"No Reportado")</f>
        <v>No Reportado</v>
      </c>
      <c r="C462" s="11102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Captura_Obra!N166)</f>
        <v>CO-MT-26-162</v>
      </c>
      <c r="D462" s="11103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"❌ Falta en Pipa")</f>
        <v>❌ Falta en Pipa</v>
      </c>
      <c r="E462" s="11104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Captura_Obra!A166)</f>
        <v>46197</v>
      </c>
      <c r="F462" s="11105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Captura_Obra!B166)</f>
        <v>México-Toluca</v>
      </c>
      <c r="G462" s="11106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Captura_Obra!D166)</f>
        <v>NEUMATICO / COMPACTADOR DE NEUMATICOS DINAPAC CP271</v>
      </c>
      <c r="H462" s="11107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0)</f>
        <v>0</v>
      </c>
      <c r="I462" s="11108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Captura_Obra!F166)</f>
        <v>30</v>
      </c>
      <c r="J462" s="11109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H462 - I462)</f>
        <v>-30</v>
      </c>
      <c r="K462" s="4271"/>
    </row>
    <row r="463" spans="1:11">
      <c r="A463" s="11110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"Huérfano Obra")</f>
        <v>Huérfano Obra</v>
      </c>
      <c r="B463" s="11111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"No Reportado")</f>
        <v>No Reportado</v>
      </c>
      <c r="C463" s="11112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Captura_Obra!N167)</f>
        <v>CO-LT-26-163</v>
      </c>
      <c r="D463" s="11113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"❌ Falta en Pipa")</f>
        <v>❌ Falta en Pipa</v>
      </c>
      <c r="E463" s="11114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Captura_Obra!A167)</f>
        <v>46197</v>
      </c>
      <c r="F463" s="11115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Captura_Obra!B167)</f>
        <v>Lerma - Tres Marías</v>
      </c>
      <c r="G463" s="11116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Captura_Obra!D167)</f>
        <v>IMPACTO FORD 4300</v>
      </c>
      <c r="H463" s="11117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0)</f>
        <v>0</v>
      </c>
      <c r="I463" s="11118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Captura_Obra!F167)</f>
        <v>129</v>
      </c>
      <c r="J463" s="11119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H463 - I463)</f>
        <v>-129</v>
      </c>
      <c r="K463" s="4272"/>
    </row>
    <row r="464" spans="1:11">
      <c r="A464" s="11120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"Huérfano Obra")</f>
        <v>Huérfano Obra</v>
      </c>
      <c r="B464" s="11121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"No Reportado")</f>
        <v>No Reportado</v>
      </c>
      <c r="C464" s="11122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Captura_Obra!N168)</f>
        <v>CO-LT-26-164</v>
      </c>
      <c r="D464" s="11123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"❌ Falta en Pipa")</f>
        <v>❌ Falta en Pipa</v>
      </c>
      <c r="E464" s="11124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Captura_Obra!A168)</f>
        <v>46197</v>
      </c>
      <c r="F464" s="11125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Captura_Obra!B168)</f>
        <v>Lerma - Tres Marías</v>
      </c>
      <c r="G464" s="11126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Captura_Obra!D168)</f>
        <v>COMPRESOR  SULLIVAN PALATEK D2010</v>
      </c>
      <c r="H464" s="11127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0)</f>
        <v>0</v>
      </c>
      <c r="I464" s="11128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Captura_Obra!F168)</f>
        <v>88</v>
      </c>
      <c r="J464" s="11129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H464 - I464)</f>
        <v>-88</v>
      </c>
      <c r="K464" s="4273"/>
    </row>
    <row r="465" spans="1:11">
      <c r="A465" s="11130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"Huérfano Obra")</f>
        <v>Huérfano Obra</v>
      </c>
      <c r="B465" s="11131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"No Reportado")</f>
        <v>No Reportado</v>
      </c>
      <c r="C465" s="11132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Captura_Obra!N169)</f>
        <v>CO-LT-26-165</v>
      </c>
      <c r="D465" s="11133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"❌ Falta en Pipa")</f>
        <v>❌ Falta en Pipa</v>
      </c>
      <c r="E465" s="11134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Captura_Obra!A169)</f>
        <v>46197</v>
      </c>
      <c r="F465" s="11135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Captura_Obra!B169)</f>
        <v>Lerma - Tres Marías</v>
      </c>
      <c r="G465" s="11136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Captura_Obra!D169)</f>
        <v>PIPA DE AGUA (IMPACTO 01) FORD</v>
      </c>
      <c r="H465" s="11137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0)</f>
        <v>0</v>
      </c>
      <c r="I465" s="11138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Captura_Obra!F169)</f>
        <v>90</v>
      </c>
      <c r="J465" s="11139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H465 - I465)</f>
        <v>-90</v>
      </c>
      <c r="K465" s="4274"/>
    </row>
    <row r="466" spans="1:11">
      <c r="A466" s="11140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"Huérfano Obra")</f>
        <v>Huérfano Obra</v>
      </c>
      <c r="B466" s="11141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"No Reportado")</f>
        <v>No Reportado</v>
      </c>
      <c r="C466" s="11142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Captura_Obra!N170)</f>
        <v>CO-LT-26-166</v>
      </c>
      <c r="D466" s="11143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"❌ Falta en Pipa")</f>
        <v>❌ Falta en Pipa</v>
      </c>
      <c r="E466" s="11144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Captura_Obra!A170)</f>
        <v>46197</v>
      </c>
      <c r="F466" s="11145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Captura_Obra!B170)</f>
        <v>Lerma - Tres Marías</v>
      </c>
      <c r="G466" s="11146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Captura_Obra!D170)</f>
        <v>PETROLIZADORA    INTERNATIONAL</v>
      </c>
      <c r="H466" s="11147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0)</f>
        <v>0</v>
      </c>
      <c r="I466" s="11148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Captura_Obra!F170)</f>
        <v>62</v>
      </c>
      <c r="J466" s="11149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H466 - I466)</f>
        <v>-62</v>
      </c>
      <c r="K466" s="4275"/>
    </row>
    <row r="467" spans="1:11">
      <c r="A467" s="11150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"Huérfano Obra")</f>
        <v>Huérfano Obra</v>
      </c>
      <c r="B467" s="11151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"No Reportado")</f>
        <v>No Reportado</v>
      </c>
      <c r="C467" s="11152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Captura_Obra!N171)</f>
        <v>CO-DR-26-167</v>
      </c>
      <c r="D467" s="11153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"❌ Falta en Pipa")</f>
        <v>❌ Falta en Pipa</v>
      </c>
      <c r="E467" s="11154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Captura_Obra!A171)</f>
        <v>46197</v>
      </c>
      <c r="F467" s="11155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Captura_Obra!B171)</f>
        <v>Dragones</v>
      </c>
      <c r="G467" s="11156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Captura_Obra!D171)</f>
        <v>PETROLIZADORA    INTERNATIONAL</v>
      </c>
      <c r="H467" s="11157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0)</f>
        <v>0</v>
      </c>
      <c r="I467" s="11158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Captura_Obra!F171)</f>
        <v>62</v>
      </c>
      <c r="J467" s="11159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H467 - I467)</f>
        <v>-62</v>
      </c>
      <c r="K467" s="4276"/>
    </row>
    <row r="468" spans="1:11">
      <c r="A468" s="11160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"Huérfano Obra")</f>
        <v>Huérfano Obra</v>
      </c>
      <c r="B468" s="11161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"No Reportado")</f>
        <v>No Reportado</v>
      </c>
      <c r="C468" s="11162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Captura_Obra!N172)</f>
        <v>CO-MT-26-168</v>
      </c>
      <c r="D468" s="11163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"❌ Falta en Pipa")</f>
        <v>❌ Falta en Pipa</v>
      </c>
      <c r="E468" s="11164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Captura_Obra!A172)</f>
        <v>46198</v>
      </c>
      <c r="F468" s="11165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Captura_Obra!B172)</f>
        <v>México-Toluca</v>
      </c>
      <c r="G468" s="11166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Captura_Obra!D172)</f>
        <v>BARREDORA BROCE RJ350</v>
      </c>
      <c r="H468" s="11167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0)</f>
        <v>0</v>
      </c>
      <c r="I468" s="11168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Captura_Obra!F172)</f>
        <v>26</v>
      </c>
      <c r="J468" s="11169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H468 - I468)</f>
        <v>-26</v>
      </c>
      <c r="K468" s="4277"/>
    </row>
    <row r="469" spans="1:11">
      <c r="A469" s="11170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"Huérfano Obra")</f>
        <v>Huérfano Obra</v>
      </c>
      <c r="B469" s="11171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"No Reportado")</f>
        <v>No Reportado</v>
      </c>
      <c r="C469" s="11172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Captura_Obra!N173)</f>
        <v>CO-MT-26-169</v>
      </c>
      <c r="D469" s="11173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"❌ Falta en Pipa")</f>
        <v>❌ Falta en Pipa</v>
      </c>
      <c r="E469" s="11174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Captura_Obra!A173)</f>
        <v>46198</v>
      </c>
      <c r="F469" s="11175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Captura_Obra!B173)</f>
        <v>México-Toluca</v>
      </c>
      <c r="G469" s="11176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Captura_Obra!D173)</f>
        <v>PETROLIZADORA    INTERNATIONAL</v>
      </c>
      <c r="H469" s="11177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0)</f>
        <v>0</v>
      </c>
      <c r="I469" s="11178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Captura_Obra!F173)</f>
        <v>50</v>
      </c>
      <c r="J469" s="11179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H469 - I469)</f>
        <v>-50</v>
      </c>
      <c r="K469" s="4278"/>
    </row>
    <row r="470" spans="1:11">
      <c r="A470" s="11180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"Huérfano Obra")</f>
        <v>Huérfano Obra</v>
      </c>
      <c r="B470" s="11181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"No Reportado")</f>
        <v>No Reportado</v>
      </c>
      <c r="C470" s="11182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Captura_Obra!N174)</f>
        <v>CO-MT-26-170</v>
      </c>
      <c r="D470" s="11183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"❌ Falta en Pipa")</f>
        <v>❌ Falta en Pipa</v>
      </c>
      <c r="E470" s="11184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Captura_Obra!A174)</f>
        <v>46198</v>
      </c>
      <c r="F470" s="11185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Captura_Obra!B174)</f>
        <v>México-Toluca</v>
      </c>
      <c r="G470" s="11186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Captura_Obra!D174)</f>
        <v>TANDEM DOBLE RODILLO / VIBROCOMPACTOR RODILLO CAT CB54</v>
      </c>
      <c r="H470" s="11187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0)</f>
        <v>0</v>
      </c>
      <c r="I470" s="11188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Captura_Obra!F174)</f>
        <v>30</v>
      </c>
      <c r="J470" s="11189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H470 - I470)</f>
        <v>-30</v>
      </c>
      <c r="K470" s="4279"/>
    </row>
    <row r="471" spans="1:11">
      <c r="A471" s="11190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"Huérfano Obra")</f>
        <v>Huérfano Obra</v>
      </c>
      <c r="B471" s="11191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"No Reportado")</f>
        <v>No Reportado</v>
      </c>
      <c r="C471" s="11192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Captura_Obra!N175)</f>
        <v>CO-MT-26-171</v>
      </c>
      <c r="D471" s="11193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"❌ Falta en Pipa")</f>
        <v>❌ Falta en Pipa</v>
      </c>
      <c r="E471" s="11194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Captura_Obra!A175)</f>
        <v>46198</v>
      </c>
      <c r="F471" s="11195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Captura_Obra!B175)</f>
        <v>México-Toluca</v>
      </c>
      <c r="G471" s="11196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Captura_Obra!D175)</f>
        <v>NEUMATICO / COMPACTADOR DE NEUMATICOS DINAPAC CP271</v>
      </c>
      <c r="H471" s="11197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0)</f>
        <v>0</v>
      </c>
      <c r="I471" s="11198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Captura_Obra!F175)</f>
        <v>14</v>
      </c>
      <c r="J471" s="11199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H471 - I471)</f>
        <v>-14</v>
      </c>
      <c r="K471" s="4280"/>
    </row>
    <row r="472" spans="1:11">
      <c r="A472" s="11200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"Huérfano Obra")</f>
        <v>Huérfano Obra</v>
      </c>
      <c r="B472" s="11201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"No Reportado")</f>
        <v>No Reportado</v>
      </c>
      <c r="C472" s="11202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Captura_Obra!N176)</f>
        <v>CO-MT-26-172</v>
      </c>
      <c r="D472" s="11203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"❌ Falta en Pipa")</f>
        <v>❌ Falta en Pipa</v>
      </c>
      <c r="E472" s="11204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Captura_Obra!A176)</f>
        <v>46198</v>
      </c>
      <c r="F472" s="11205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Captura_Obra!B176)</f>
        <v>México-Toluca</v>
      </c>
      <c r="G472" s="11206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Captura_Obra!D176)</f>
        <v>NEUMATICO VOLVO PT-240R</v>
      </c>
      <c r="H472" s="11207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0)</f>
        <v>0</v>
      </c>
      <c r="I472" s="11208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Captura_Obra!F176)</f>
        <v>30</v>
      </c>
      <c r="J472" s="11209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H472 - I472)</f>
        <v>-30</v>
      </c>
      <c r="K472" s="4281"/>
    </row>
    <row r="473" spans="1:11">
      <c r="A473" s="11210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"Huérfano Obra")</f>
        <v>Huérfano Obra</v>
      </c>
      <c r="B473" s="11211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"No Reportado")</f>
        <v>No Reportado</v>
      </c>
      <c r="C473" s="11212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Captura_Obra!N177)</f>
        <v>CO-BT-26-173</v>
      </c>
      <c r="D473" s="11213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"❌ Falta en Pipa")</f>
        <v>❌ Falta en Pipa</v>
      </c>
      <c r="E473" s="11214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Captura_Obra!A177)</f>
        <v>46198</v>
      </c>
      <c r="F473" s="11215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Captura_Obra!B177)</f>
        <v>Bacheo Toluca</v>
      </c>
      <c r="G473" s="11216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Captura_Obra!D177)</f>
        <v>BIDONES</v>
      </c>
      <c r="H473" s="11217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0)</f>
        <v>0</v>
      </c>
      <c r="I473" s="11218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Captura_Obra!F177)</f>
        <v>120</v>
      </c>
      <c r="J473" s="11219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H473 - I473)</f>
        <v>-120</v>
      </c>
      <c r="K473" s="4282"/>
    </row>
    <row r="474" spans="1:11">
      <c r="A474" s="11220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"Huérfano Obra")</f>
        <v>Huérfano Obra</v>
      </c>
      <c r="B474" s="11221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"No Reportado")</f>
        <v>No Reportado</v>
      </c>
      <c r="C474" s="11222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Captura_Obra!N178)</f>
        <v>CO-MP-26-174</v>
      </c>
      <c r="D474" s="11223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"❌ Falta en Pipa")</f>
        <v>❌ Falta en Pipa</v>
      </c>
      <c r="E474" s="11224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Captura_Obra!A178)</f>
        <v>46198</v>
      </c>
      <c r="F474" s="11225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Captura_Obra!B178)</f>
        <v>Maquinaria Pegaso</v>
      </c>
      <c r="G474" s="11226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Captura_Obra!D178)</f>
        <v>PETROLIZADORA    INTERNATIONAL</v>
      </c>
      <c r="H474" s="11227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0)</f>
        <v>0</v>
      </c>
      <c r="I474" s="11228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Captura_Obra!F178)</f>
        <v>160</v>
      </c>
      <c r="J474" s="11229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H474 - I474)</f>
        <v>-160</v>
      </c>
      <c r="K474" s="4283"/>
    </row>
    <row r="475" spans="1:11">
      <c r="A475" s="11230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"Huérfano Obra")</f>
        <v>Huérfano Obra</v>
      </c>
      <c r="B475" s="11231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"No Reportado")</f>
        <v>No Reportado</v>
      </c>
      <c r="C475" s="11232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Captura_Obra!N179)</f>
        <v>CO-LT-26-175</v>
      </c>
      <c r="D475" s="11233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"❌ Falta en Pipa")</f>
        <v>❌ Falta en Pipa</v>
      </c>
      <c r="E475" s="11234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Captura_Obra!A179)</f>
        <v>46198</v>
      </c>
      <c r="F475" s="11235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Captura_Obra!B179)</f>
        <v>Lerma - Tres Marías</v>
      </c>
      <c r="G475" s="11236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Captura_Obra!D179)</f>
        <v>PERFILADORA RODATEC RX600-4-4008</v>
      </c>
      <c r="H475" s="11237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0)</f>
        <v>0</v>
      </c>
      <c r="I475" s="11238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Captura_Obra!F179)</f>
        <v>140</v>
      </c>
      <c r="J475" s="11239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H475 - I475)</f>
        <v>-140</v>
      </c>
      <c r="K475" s="4284"/>
    </row>
    <row r="476" spans="1:11">
      <c r="A476" s="11240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"Huérfano Obra")</f>
        <v>Huérfano Obra</v>
      </c>
      <c r="B476" s="11241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"No Reportado")</f>
        <v>No Reportado</v>
      </c>
      <c r="C476" s="11242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Captura_Obra!N180)</f>
        <v>CO-MP-26-176</v>
      </c>
      <c r="D476" s="11243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"❌ Falta en Pipa")</f>
        <v>❌ Falta en Pipa</v>
      </c>
      <c r="E476" s="11244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Captura_Obra!A180)</f>
        <v>46198</v>
      </c>
      <c r="F476" s="11245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Captura_Obra!B180)</f>
        <v>Maquinaria Pegaso</v>
      </c>
      <c r="G476" s="11246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Captura_Obra!D180)</f>
        <v>PAVIMENTADORA  VOGELE 1800-2 SJ</v>
      </c>
      <c r="H476" s="11247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0)</f>
        <v>0</v>
      </c>
      <c r="I476" s="11248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Captura_Obra!F180)</f>
        <v>222</v>
      </c>
      <c r="J476" s="11249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H476 - I476)</f>
        <v>-222</v>
      </c>
      <c r="K476" s="4285"/>
    </row>
    <row r="477" spans="1:11">
      <c r="A477" s="11250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"Huérfano Obra")</f>
        <v>Huérfano Obra</v>
      </c>
      <c r="B477" s="11251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"No Reportado")</f>
        <v>No Reportado</v>
      </c>
      <c r="C477" s="11252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Captura_Obra!N181)</f>
        <v>CO-MP-26-177</v>
      </c>
      <c r="D477" s="11253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"❌ Falta en Pipa")</f>
        <v>❌ Falta en Pipa</v>
      </c>
      <c r="E477" s="11254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Captura_Obra!A181)</f>
        <v>46198</v>
      </c>
      <c r="F477" s="11255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Captura_Obra!B181)</f>
        <v>Maquinaria Pegaso</v>
      </c>
      <c r="G477" s="11256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Captura_Obra!D181)</f>
        <v>PAYLODER</v>
      </c>
      <c r="H477" s="11257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0)</f>
        <v>0</v>
      </c>
      <c r="I477" s="11258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Captura_Obra!F181)</f>
        <v>217</v>
      </c>
      <c r="J477" s="11259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H477 - I477)</f>
        <v>-217</v>
      </c>
      <c r="K477" s="4286"/>
    </row>
    <row r="478" spans="1:11">
      <c r="A478" s="11260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"Huérfano Obra")</f>
        <v>Huérfano Obra</v>
      </c>
      <c r="B478" s="11261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"No Reportado")</f>
        <v>No Reportado</v>
      </c>
      <c r="C478" s="11262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Captura_Obra!N182)</f>
        <v>CO-MP-26-178</v>
      </c>
      <c r="D478" s="11263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"❌ Falta en Pipa")</f>
        <v>❌ Falta en Pipa</v>
      </c>
      <c r="E478" s="11264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Captura_Obra!A182)</f>
        <v>46198</v>
      </c>
      <c r="F478" s="11265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Captura_Obra!B182)</f>
        <v>Maquinaria Pegaso</v>
      </c>
      <c r="G478" s="11266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Captura_Obra!D182)</f>
        <v>BIDONES</v>
      </c>
      <c r="H478" s="11267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0)</f>
        <v>0</v>
      </c>
      <c r="I478" s="11268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Captura_Obra!F182)</f>
        <v>850</v>
      </c>
      <c r="J478" s="11269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H478 - I478)</f>
        <v>-850</v>
      </c>
      <c r="K478" s="4287"/>
    </row>
    <row r="479" spans="1:11">
      <c r="A479" s="11270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"Huérfano Obra")</f>
        <v>Huérfano Obra</v>
      </c>
      <c r="B479" s="11271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"No Reportado")</f>
        <v>No Reportado</v>
      </c>
      <c r="C479" s="11272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Captura_Obra!N183)</f>
        <v>CO-LT-26-179</v>
      </c>
      <c r="D479" s="11273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"❌ Falta en Pipa")</f>
        <v>❌ Falta en Pipa</v>
      </c>
      <c r="E479" s="11274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Captura_Obra!A183)</f>
        <v>46198</v>
      </c>
      <c r="F479" s="11275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Captura_Obra!B183)</f>
        <v>Lerma - Tres Marías</v>
      </c>
      <c r="G479" s="11276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Captura_Obra!D183)</f>
        <v>RETROEXCAVADORA JHONDEREE 310SK</v>
      </c>
      <c r="H479" s="11277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0)</f>
        <v>0</v>
      </c>
      <c r="I479" s="11278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Captura_Obra!F183)</f>
        <v>50</v>
      </c>
      <c r="J479" s="11279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H479 - I479)</f>
        <v>-50</v>
      </c>
      <c r="K479" s="4288"/>
    </row>
    <row r="480" spans="1:11">
      <c r="A480" s="11280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"Huérfano Obra")</f>
        <v>Huérfano Obra</v>
      </c>
      <c r="B480" s="11281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"No Reportado")</f>
        <v>No Reportado</v>
      </c>
      <c r="C480" s="11282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Captura_Obra!N184)</f>
        <v>CO-LT-26-180</v>
      </c>
      <c r="D480" s="11283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"❌ Falta en Pipa")</f>
        <v>❌ Falta en Pipa</v>
      </c>
      <c r="E480" s="11284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Captura_Obra!A184)</f>
        <v>46198</v>
      </c>
      <c r="F480" s="11285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Captura_Obra!B184)</f>
        <v>Lerma - Tres Marías</v>
      </c>
      <c r="G480" s="11286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Captura_Obra!D184)</f>
        <v>BARREDORA LAYMOR SM400</v>
      </c>
      <c r="H480" s="11287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0)</f>
        <v>0</v>
      </c>
      <c r="I480" s="11288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Captura_Obra!F184)</f>
        <v>50</v>
      </c>
      <c r="J480" s="11289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H480 - I480)</f>
        <v>-50</v>
      </c>
      <c r="K480" s="4289"/>
    </row>
    <row r="481" spans="1:11">
      <c r="A481" s="11290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"Huérfano Obra")</f>
        <v>Huérfano Obra</v>
      </c>
      <c r="B481" s="11291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"No Reportado")</f>
        <v>No Reportado</v>
      </c>
      <c r="C481" s="11292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Captura_Obra!N185)</f>
        <v>CO-LT-26-181</v>
      </c>
      <c r="D481" s="11293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"❌ Falta en Pipa")</f>
        <v>❌ Falta en Pipa</v>
      </c>
      <c r="E481" s="11294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Captura_Obra!A185)</f>
        <v>46198</v>
      </c>
      <c r="F481" s="11295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Captura_Obra!B185)</f>
        <v>Lerma - Tres Marías</v>
      </c>
      <c r="G481" s="11296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Captura_Obra!D185)</f>
        <v>PAVIMENTADORA  VOGELE 1800-3 i</v>
      </c>
      <c r="H481" s="11297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0)</f>
        <v>0</v>
      </c>
      <c r="I481" s="11298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Captura_Obra!F185)</f>
        <v>177</v>
      </c>
      <c r="J481" s="11299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H481 - I481)</f>
        <v>-177</v>
      </c>
      <c r="K481" s="4290"/>
    </row>
    <row r="482" spans="1:11">
      <c r="A482" s="11300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"Huérfano Obra")</f>
        <v>Huérfano Obra</v>
      </c>
      <c r="B482" s="11301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"No Reportado")</f>
        <v>No Reportado</v>
      </c>
      <c r="C482" s="11302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Captura_Obra!N186)</f>
        <v>CO-PAH-26-182</v>
      </c>
      <c r="D482" s="11303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"❌ Falta en Pipa")</f>
        <v>❌ Falta en Pipa</v>
      </c>
      <c r="E482" s="11304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Captura_Obra!A186)</f>
        <v>46198</v>
      </c>
      <c r="F482" s="11305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Captura_Obra!B186)</f>
        <v>Planta Asflato Huixquilucan</v>
      </c>
      <c r="G482" s="11306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Captura_Obra!D186)</f>
        <v>GENERADOR AMMANN</v>
      </c>
      <c r="H482" s="11307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0)</f>
        <v>0</v>
      </c>
      <c r="I482" s="11308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Captura_Obra!F186)</f>
        <v>100</v>
      </c>
      <c r="J482" s="11309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H482 - I482)</f>
        <v>-100</v>
      </c>
      <c r="K482" s="4291"/>
    </row>
    <row r="483" spans="1:11">
      <c r="A483" s="11310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  <v>#REF!</v>
      </c>
      <c r="B483" s="11311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  <v>#REF!</v>
      </c>
      <c r="C483" s="11312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Captura_Obra!N187)</f>
        <v>#REF!</v>
      </c>
      <c r="D483" s="11313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  <v>#REF!</v>
      </c>
      <c r="E483" s="11314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F483" s="11315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G483" s="11316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H483" s="11317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  <v>#REF!</v>
      </c>
      <c r="I483" s="11318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J483" s="11319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H483 - I483)</f>
        <v>#REF!</v>
      </c>
      <c r="K483" s="4292"/>
    </row>
    <row r="484" spans="1:11">
      <c r="A484" s="11320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  <v>#REF!</v>
      </c>
      <c r="B484" s="11321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  <v>#REF!</v>
      </c>
      <c r="C484" s="11322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Captura_Obra!N188)</f>
        <v>#REF!</v>
      </c>
      <c r="D484" s="11323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  <v>#REF!</v>
      </c>
      <c r="E484" s="11324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F484" s="11325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G484" s="11326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H484" s="11327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  <v>#REF!</v>
      </c>
      <c r="I484" s="11328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J484" s="11329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H484 - I484)</f>
        <v>#REF!</v>
      </c>
      <c r="K484" s="4293"/>
    </row>
    <row r="485" spans="1:11">
      <c r="A485" s="11330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"Huérfano Obra")</f>
        <v>Huérfano Obra</v>
      </c>
      <c r="B485" s="11331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"No Reportado")</f>
        <v>No Reportado</v>
      </c>
      <c r="C485" s="11332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Captura_Obra!N189)</f>
        <v>CO-MT-26-185</v>
      </c>
      <c r="D485" s="11333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"❌ Falta en Pipa")</f>
        <v>❌ Falta en Pipa</v>
      </c>
      <c r="E485" s="11334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Captura_Obra!A189)</f>
        <v>46199</v>
      </c>
      <c r="F485" s="11335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Captura_Obra!B189)</f>
        <v>México-Toluca</v>
      </c>
      <c r="G485" s="11336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Captura_Obra!D189)</f>
        <v>TANDEM DOBLE RODILLO / VIBROCOMPACTOR RODILLO CAT CB54</v>
      </c>
      <c r="H485" s="11337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0)</f>
        <v>0</v>
      </c>
      <c r="I485" s="11338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Captura_Obra!F189)</f>
        <v>40</v>
      </c>
      <c r="J485" s="11339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H485 - I485)</f>
        <v>-40</v>
      </c>
      <c r="K485" s="4294"/>
    </row>
    <row r="486" spans="1:11">
      <c r="A486" s="11340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"Huérfano Obra")</f>
        <v>Huérfano Obra</v>
      </c>
      <c r="B486" s="11341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"No Reportado")</f>
        <v>No Reportado</v>
      </c>
      <c r="C486" s="11342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Captura_Obra!N190)</f>
        <v>CO-MT-26-186</v>
      </c>
      <c r="D486" s="11343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"❌ Falta en Pipa")</f>
        <v>❌ Falta en Pipa</v>
      </c>
      <c r="E486" s="11344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Captura_Obra!A190)</f>
        <v>46199</v>
      </c>
      <c r="F486" s="11345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Captura_Obra!B190)</f>
        <v>México-Toluca</v>
      </c>
      <c r="G486" s="11346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Captura_Obra!D190)</f>
        <v>NEUMATICO VOLVO PT-240R</v>
      </c>
      <c r="H486" s="11347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0)</f>
        <v>0</v>
      </c>
      <c r="I486" s="11348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Captura_Obra!F190)</f>
        <v>30</v>
      </c>
      <c r="J486" s="11349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H486 - I486)</f>
        <v>-30</v>
      </c>
      <c r="K486" s="4295"/>
    </row>
    <row r="487" spans="1:11">
      <c r="A487" s="11350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"Huérfano Obra")</f>
        <v>Huérfano Obra</v>
      </c>
      <c r="B487" s="11351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"No Reportado")</f>
        <v>No Reportado</v>
      </c>
      <c r="C487" s="11352" t="e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Captura_Obra!N191)</f>
        <v>#REF!</v>
      </c>
      <c r="D487" s="11353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"❌ Falta en Pipa")</f>
        <v>❌ Falta en Pipa</v>
      </c>
      <c r="E487" s="11354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Captura_Obra!A191)</f>
        <v>46199</v>
      </c>
      <c r="F487" s="11355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Captura_Obra!B191)</f>
        <v>México-Toluca</v>
      </c>
      <c r="G487" s="11356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Captura_Obra!D191)</f>
        <v>NEUMATICO / COMPACTADOR DE NEUMATICOS DINAPAC CP271</v>
      </c>
      <c r="H487" s="11357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0)</f>
        <v>0</v>
      </c>
      <c r="I487" s="11358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Captura_Obra!F191)</f>
        <v>16</v>
      </c>
      <c r="J487" s="11359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H487 - I487)</f>
        <v>-16</v>
      </c>
      <c r="K487" s="4296"/>
    </row>
    <row r="488" spans="1:11">
      <c r="A488" s="11360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"Huérfano Obra")</f>
        <v>Huérfano Obra</v>
      </c>
      <c r="B488" s="11361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"No Reportado")</f>
        <v>No Reportado</v>
      </c>
      <c r="C488" s="11362" t="e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Captura_Obra!N192)</f>
        <v>#REF!</v>
      </c>
      <c r="D488" s="11363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"❌ Falta en Pipa")</f>
        <v>❌ Falta en Pipa</v>
      </c>
      <c r="E488" s="11364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Captura_Obra!A192)</f>
        <v>46199</v>
      </c>
      <c r="F488" s="11365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Captura_Obra!B192)</f>
        <v>México-Toluca</v>
      </c>
      <c r="G488" s="11366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Captura_Obra!D192)</f>
        <v>PAVIMENTADORA  VOGELE SJ 1800-3</v>
      </c>
      <c r="H488" s="11367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0)</f>
        <v>0</v>
      </c>
      <c r="I488" s="11368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Captura_Obra!F192)</f>
        <v>120</v>
      </c>
      <c r="J488" s="11369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H488 - I488)</f>
        <v>-120</v>
      </c>
      <c r="K488" s="4297"/>
    </row>
    <row r="489" spans="1:11">
      <c r="A489" s="11370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"Huérfano Obra")</f>
        <v>Huérfano Obra</v>
      </c>
      <c r="B489" s="11371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"No Reportado")</f>
        <v>No Reportado</v>
      </c>
      <c r="C489" s="11372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Captura_Obra!N193)</f>
        <v>CO-MT-26-189</v>
      </c>
      <c r="D489" s="11373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"❌ Falta en Pipa")</f>
        <v>❌ Falta en Pipa</v>
      </c>
      <c r="E489" s="11374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Captura_Obra!A193)</f>
        <v>46199</v>
      </c>
      <c r="F489" s="11375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Captura_Obra!B193)</f>
        <v>México-Toluca</v>
      </c>
      <c r="G489" s="11376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Captura_Obra!D193)</f>
        <v>TANDEM DOBLE RODILLO / VIBROCOMPACTOR RODILLO CAT CB54</v>
      </c>
      <c r="H489" s="11377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0)</f>
        <v>0</v>
      </c>
      <c r="I489" s="11378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Captura_Obra!F193)</f>
        <v>32</v>
      </c>
      <c r="J489" s="11379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H489 - I489)</f>
        <v>-32</v>
      </c>
      <c r="K489" s="4298"/>
    </row>
    <row r="490" spans="1:11">
      <c r="A490" s="11380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"Huérfano Obra")</f>
        <v>Huérfano Obra</v>
      </c>
      <c r="B490" s="11381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"No Reportado")</f>
        <v>No Reportado</v>
      </c>
      <c r="C490" s="11382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Captura_Obra!N194)</f>
        <v>CO-MT-26-190</v>
      </c>
      <c r="D490" s="11383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"❌ Falta en Pipa")</f>
        <v>❌ Falta en Pipa</v>
      </c>
      <c r="E490" s="11384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Captura_Obra!A194)</f>
        <v>46199</v>
      </c>
      <c r="F490" s="11385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Captura_Obra!B194)</f>
        <v>México-Toluca</v>
      </c>
      <c r="G490" s="11386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Captura_Obra!D194)</f>
        <v>RETROEXCAVADORA JHONDEREE 310SK</v>
      </c>
      <c r="H490" s="11387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0)</f>
        <v>0</v>
      </c>
      <c r="I490" s="11388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Captura_Obra!F194)</f>
        <v>40</v>
      </c>
      <c r="J490" s="11389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H490 - I490)</f>
        <v>-40</v>
      </c>
      <c r="K490" s="4299"/>
    </row>
    <row r="491" spans="1:11">
      <c r="A491" s="11390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"Huérfano Obra")</f>
        <v>Huérfano Obra</v>
      </c>
      <c r="B491" s="11391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"No Reportado")</f>
        <v>No Reportado</v>
      </c>
      <c r="C491" s="11392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Captura_Obra!N195)</f>
        <v>CO-LT-26-191</v>
      </c>
      <c r="D491" s="11393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"❌ Falta en Pipa")</f>
        <v>❌ Falta en Pipa</v>
      </c>
      <c r="E491" s="11394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Captura_Obra!A195)</f>
        <v>46199</v>
      </c>
      <c r="F491" s="11395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Captura_Obra!B195)</f>
        <v>Lerma - Tres Marías</v>
      </c>
      <c r="G491" s="11396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Captura_Obra!D195)</f>
        <v>PETROLIZADORA    INTERNATIONAL</v>
      </c>
      <c r="H491" s="11397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0)</f>
        <v>0</v>
      </c>
      <c r="I491" s="11398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Captura_Obra!F195)</f>
        <v>41</v>
      </c>
      <c r="J491" s="11399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H491 - I491)</f>
        <v>-41</v>
      </c>
      <c r="K491" s="4300"/>
    </row>
    <row r="492" spans="1:11">
      <c r="A492" s="11400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"Huérfano Obra")</f>
        <v>Huérfano Obra</v>
      </c>
      <c r="B492" s="11401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"No Reportado")</f>
        <v>No Reportado</v>
      </c>
      <c r="C492" s="11402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Captura_Obra!N196)</f>
        <v>CO-MT-26-192</v>
      </c>
      <c r="D492" s="11403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"❌ Falta en Pipa")</f>
        <v>❌ Falta en Pipa</v>
      </c>
      <c r="E492" s="11404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Captura_Obra!A196)</f>
        <v>46199</v>
      </c>
      <c r="F492" s="11405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Captura_Obra!B196)</f>
        <v>México-Toluca</v>
      </c>
      <c r="G492" s="11406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Captura_Obra!D196)</f>
        <v>PERFILADORA RODATEC RX600E</v>
      </c>
      <c r="H492" s="11407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0)</f>
        <v>0</v>
      </c>
      <c r="I492" s="11408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Captura_Obra!F196)</f>
        <v>329</v>
      </c>
      <c r="J492" s="11409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H492 - I492)</f>
        <v>-329</v>
      </c>
      <c r="K492" s="4301"/>
    </row>
    <row r="493" spans="1:11">
      <c r="A493" s="11410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"Huérfano Obra")</f>
        <v>Huérfano Obra</v>
      </c>
      <c r="B493" s="11411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"No Reportado")</f>
        <v>No Reportado</v>
      </c>
      <c r="C493" s="11412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Captura_Obra!N197)</f>
        <v>CO-BT-26-193</v>
      </c>
      <c r="D493" s="11413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"❌ Falta en Pipa")</f>
        <v>❌ Falta en Pipa</v>
      </c>
      <c r="E493" s="11414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Captura_Obra!A197)</f>
        <v>46199</v>
      </c>
      <c r="F493" s="11415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Captura_Obra!B197)</f>
        <v>Bacheo Toluca</v>
      </c>
      <c r="G493" s="11416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Captura_Obra!D197)</f>
        <v>BIDONES</v>
      </c>
      <c r="H493" s="11417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0)</f>
        <v>0</v>
      </c>
      <c r="I493" s="11418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Captura_Obra!F197)</f>
        <v>480</v>
      </c>
      <c r="J493" s="11419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H493 - I493)</f>
        <v>-480</v>
      </c>
      <c r="K493" s="4302"/>
    </row>
    <row r="494" spans="1:11">
      <c r="A494" s="11420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"Huérfano Obra")</f>
        <v>Huérfano Obra</v>
      </c>
      <c r="B494" s="11421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"No Reportado")</f>
        <v>No Reportado</v>
      </c>
      <c r="C494" s="11422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Captura_Obra!N198)</f>
        <v>CO-BT-26-194</v>
      </c>
      <c r="D494" s="11423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"❌ Falta en Pipa")</f>
        <v>❌ Falta en Pipa</v>
      </c>
      <c r="E494" s="11424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Captura_Obra!A198)</f>
        <v>46199</v>
      </c>
      <c r="F494" s="11425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Captura_Obra!B198)</f>
        <v>Bacheo Toluca</v>
      </c>
      <c r="G494" s="11426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Captura_Obra!D198)</f>
        <v>MOTOCONFORMADORA RENTADA</v>
      </c>
      <c r="H494" s="11427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0)</f>
        <v>0</v>
      </c>
      <c r="I494" s="11428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Captura_Obra!F198)</f>
        <v>220</v>
      </c>
      <c r="J494" s="11429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H494 - I494)</f>
        <v>-220</v>
      </c>
      <c r="K494" s="4303"/>
    </row>
    <row r="495" spans="1:11">
      <c r="A495" s="11430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"Huérfano Obra")</f>
        <v>Huérfano Obra</v>
      </c>
      <c r="B495" s="11431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"No Reportado")</f>
        <v>No Reportado</v>
      </c>
      <c r="C495" s="11432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Captura_Obra!N199)</f>
        <v>CO-BT-26-195</v>
      </c>
      <c r="D495" s="11433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"❌ Falta en Pipa")</f>
        <v>❌ Falta en Pipa</v>
      </c>
      <c r="E495" s="11434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Captura_Obra!A199)</f>
        <v>46199</v>
      </c>
      <c r="F495" s="11435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Captura_Obra!B199)</f>
        <v>Bacheo Toluca</v>
      </c>
      <c r="G495" s="11436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Captura_Obra!D199)</f>
        <v>DOBLE RODILLO/VIBROCOMPACTADOR DE RODILLOS HAMM 140HD</v>
      </c>
      <c r="H495" s="11437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0)</f>
        <v>0</v>
      </c>
      <c r="I495" s="11438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Captura_Obra!F199)</f>
        <v>80</v>
      </c>
      <c r="J495" s="11439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H495 - I495)</f>
        <v>-80</v>
      </c>
      <c r="K495" s="4304"/>
    </row>
    <row r="496" spans="1:11">
      <c r="A496" s="11440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"Huérfano Obra")</f>
        <v>Huérfano Obra</v>
      </c>
      <c r="B496" s="11441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"No Reportado")</f>
        <v>No Reportado</v>
      </c>
      <c r="C496" s="11442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Captura_Obra!N200)</f>
        <v>CO-BT-26-196</v>
      </c>
      <c r="D496" s="11443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"❌ Falta en Pipa")</f>
        <v>❌ Falta en Pipa</v>
      </c>
      <c r="E496" s="11444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Captura_Obra!A200)</f>
        <v>46199</v>
      </c>
      <c r="F496" s="11445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Captura_Obra!B200)</f>
        <v>Bacheo Toluca</v>
      </c>
      <c r="G496" s="11446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Captura_Obra!D200)</f>
        <v>RETROEXCAVADORA CASE 580 N</v>
      </c>
      <c r="H496" s="11447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0)</f>
        <v>0</v>
      </c>
      <c r="I496" s="11448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Captura_Obra!F200)</f>
        <v>80</v>
      </c>
      <c r="J496" s="11449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H496 - I496)</f>
        <v>-80</v>
      </c>
      <c r="K496" s="4305"/>
    </row>
    <row r="497" spans="1:11">
      <c r="A497" s="11450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"Huérfano Obra")</f>
        <v>Huérfano Obra</v>
      </c>
      <c r="B497" s="11451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"No Reportado")</f>
        <v>No Reportado</v>
      </c>
      <c r="C497" s="11452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Captura_Obra!N201)</f>
        <v>CO-MT-26-197</v>
      </c>
      <c r="D497" s="11453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"❌ Falta en Pipa")</f>
        <v>❌ Falta en Pipa</v>
      </c>
      <c r="E497" s="11454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Captura_Obra!A201)</f>
        <v>46199</v>
      </c>
      <c r="F497" s="11455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Captura_Obra!B201)</f>
        <v>México-Toluca</v>
      </c>
      <c r="G497" s="11456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Captura_Obra!D201)</f>
        <v>PERFILADORA RODATEC RX600E</v>
      </c>
      <c r="H497" s="11457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0)</f>
        <v>0</v>
      </c>
      <c r="I497" s="11458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Captura_Obra!F201)</f>
        <v>200</v>
      </c>
      <c r="J497" s="11459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H497 - I497)</f>
        <v>-200</v>
      </c>
      <c r="K497" s="4306"/>
    </row>
    <row r="498" spans="1:11">
      <c r="A498" s="11460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"Huérfano Obra")</f>
        <v>Huérfano Obra</v>
      </c>
      <c r="B498" s="11461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"No Reportado")</f>
        <v>No Reportado</v>
      </c>
      <c r="C498" s="11462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Captura_Obra!N202)</f>
        <v>CO-PAH-26-198</v>
      </c>
      <c r="D498" s="11463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"❌ Falta en Pipa")</f>
        <v>❌ Falta en Pipa</v>
      </c>
      <c r="E498" s="11464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Captura_Obra!A202)</f>
        <v>46199</v>
      </c>
      <c r="F498" s="11465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Captura_Obra!B202)</f>
        <v>Planta Asflato Huixquilucan</v>
      </c>
      <c r="G498" s="11466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Captura_Obra!D202)</f>
        <v>GENERADOR AMMANN</v>
      </c>
      <c r="H498" s="11467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0)</f>
        <v>0</v>
      </c>
      <c r="I498" s="11468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Captura_Obra!F202)</f>
        <v>200</v>
      </c>
      <c r="J498" s="11469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H498 - I498)</f>
        <v>-200</v>
      </c>
      <c r="K498" s="4307"/>
    </row>
    <row r="499" spans="1:11">
      <c r="A499" s="11470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"Huérfano Obra")</f>
        <v>Huérfano Obra</v>
      </c>
      <c r="B499" s="11471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"No Reportado")</f>
        <v>No Reportado</v>
      </c>
      <c r="C499" s="11472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Captura_Obra!N203)</f>
        <v>CO-MT-26-199</v>
      </c>
      <c r="D499" s="11473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"❌ Falta en Pipa")</f>
        <v>❌ Falta en Pipa</v>
      </c>
      <c r="E499" s="11474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Captura_Obra!A203)</f>
        <v>46200</v>
      </c>
      <c r="F499" s="11475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Captura_Obra!B203)</f>
        <v>México-Toluca</v>
      </c>
      <c r="G499" s="11476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Captura_Obra!D203)</f>
        <v>BARREDORA BROCE RJ350</v>
      </c>
      <c r="H499" s="11477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0)</f>
        <v>0</v>
      </c>
      <c r="I499" s="11478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Captura_Obra!F203)</f>
        <v>24</v>
      </c>
      <c r="J499" s="11479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H499 - I499)</f>
        <v>-24</v>
      </c>
      <c r="K499" s="4308"/>
    </row>
    <row r="500" spans="1:11">
      <c r="A500" s="11480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"Huérfano Obra")</f>
        <v>Huérfano Obra</v>
      </c>
      <c r="B500" s="11481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"No Reportado")</f>
        <v>No Reportado</v>
      </c>
      <c r="C500" s="11482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Captura_Obra!N204)</f>
        <v>CO-MT-26-200</v>
      </c>
      <c r="D500" s="11483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"❌ Falta en Pipa")</f>
        <v>❌ Falta en Pipa</v>
      </c>
      <c r="E500" s="11484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Captura_Obra!A204)</f>
        <v>46200</v>
      </c>
      <c r="F500" s="11485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Captura_Obra!B204)</f>
        <v>México-Toluca</v>
      </c>
      <c r="G500" s="11486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Captura_Obra!D204)</f>
        <v>PIPA DE AGUA (IMPACTO 01) FORD</v>
      </c>
      <c r="H500" s="11487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0)</f>
        <v>0</v>
      </c>
      <c r="I500" s="11488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Captura_Obra!F204)</f>
        <v>50</v>
      </c>
      <c r="J500" s="11489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H500 - I500)</f>
        <v>-50</v>
      </c>
      <c r="K500" s="4309"/>
    </row>
    <row r="501" spans="1:11">
      <c r="A501" s="4310"/>
      <c r="B501" s="4311"/>
      <c r="C501" s="4312"/>
      <c r="D501" s="4313"/>
      <c r="E501" s="4314"/>
      <c r="F501" s="4315"/>
      <c r="G501" s="4316"/>
      <c r="H501" s="4317"/>
      <c r="I501" s="4318"/>
      <c r="J501" s="4319"/>
      <c r="K501" s="4320"/>
    </row>
    <row r="502" spans="1:11">
      <c r="A502" s="4321"/>
      <c r="B502" s="4322"/>
      <c r="C502" s="4323"/>
      <c r="D502" s="4324"/>
      <c r="E502" s="4325"/>
      <c r="F502" s="4326"/>
      <c r="G502" s="4327"/>
      <c r="H502" s="4328"/>
      <c r="I502" s="4329"/>
      <c r="J502" s="4330"/>
      <c r="K502" s="4331"/>
    </row>
    <row r="503" spans="1:11">
      <c r="A503" s="4332"/>
      <c r="B503" s="4333"/>
      <c r="C503" s="4334"/>
      <c r="D503" s="4335"/>
      <c r="E503" s="4336"/>
      <c r="F503" s="4337"/>
      <c r="G503" s="4338"/>
      <c r="H503" s="4339"/>
      <c r="I503" s="4340"/>
      <c r="J503" s="4341"/>
      <c r="K503" s="4342"/>
    </row>
    <row r="504" spans="1:11">
      <c r="A504" s="4343"/>
      <c r="B504" s="4344"/>
      <c r="C504" s="4345"/>
      <c r="D504" s="4346"/>
      <c r="E504" s="4347"/>
      <c r="F504" s="4348"/>
      <c r="G504" s="4349"/>
      <c r="H504" s="4350"/>
      <c r="I504" s="4351"/>
      <c r="J504" s="4352"/>
      <c r="K504" s="4353"/>
    </row>
    <row r="505" spans="1:11">
      <c r="A505" s="4354"/>
      <c r="B505" s="4355"/>
      <c r="C505" s="4356"/>
      <c r="D505" s="4357"/>
      <c r="E505" s="4358"/>
      <c r="F505" s="4359"/>
      <c r="G505" s="4360"/>
      <c r="H505" s="4361"/>
      <c r="I505" s="4362"/>
      <c r="J505" s="4363"/>
      <c r="K505" s="4364"/>
    </row>
    <row r="506" spans="1:11">
      <c r="A506" s="4365"/>
      <c r="B506" s="4366"/>
      <c r="C506" s="4367"/>
      <c r="D506" s="4368"/>
      <c r="E506" s="4369"/>
      <c r="F506" s="4370"/>
      <c r="G506" s="4371"/>
      <c r="H506" s="4372"/>
      <c r="I506" s="4373"/>
      <c r="J506" s="4374"/>
      <c r="K506" s="4375"/>
    </row>
    <row r="507" spans="1:11">
      <c r="A507" s="4376"/>
      <c r="B507" s="4377"/>
      <c r="C507" s="4378"/>
      <c r="D507" s="4379"/>
      <c r="E507" s="4380"/>
      <c r="F507" s="4381"/>
      <c r="G507" s="4382"/>
      <c r="H507" s="4383"/>
      <c r="I507" s="4384"/>
      <c r="J507" s="4385"/>
      <c r="K507" s="4386"/>
    </row>
    <row r="508" spans="1:11">
      <c r="A508" s="4387"/>
      <c r="B508" s="4388"/>
      <c r="C508" s="4389"/>
      <c r="D508" s="4390"/>
      <c r="E508" s="4391"/>
      <c r="F508" s="4392"/>
      <c r="G508" s="4393"/>
      <c r="H508" s="4394"/>
      <c r="I508" s="4395"/>
      <c r="J508" s="4396"/>
      <c r="K508" s="4397"/>
    </row>
    <row r="509" spans="1:11">
      <c r="A509" s="4398"/>
      <c r="B509" s="4399"/>
      <c r="C509" s="4400"/>
      <c r="D509" s="4401"/>
      <c r="E509" s="4402"/>
      <c r="F509" s="4403"/>
      <c r="G509" s="4404"/>
      <c r="H509" s="4405"/>
      <c r="I509" s="4406"/>
      <c r="J509" s="4407"/>
      <c r="K509" s="4408"/>
    </row>
    <row r="510" spans="1:11">
      <c r="A510" s="4409"/>
      <c r="B510" s="4410"/>
      <c r="C510" s="4411"/>
      <c r="D510" s="4412"/>
      <c r="E510" s="4413"/>
      <c r="F510" s="4414"/>
      <c r="G510" s="4415"/>
      <c r="H510" s="4416"/>
      <c r="I510" s="4417"/>
      <c r="J510" s="4418"/>
      <c r="K510" s="4419"/>
    </row>
    <row r="511" spans="1:11">
      <c r="A511" s="4420"/>
      <c r="B511" s="4421"/>
      <c r="C511" s="4422"/>
      <c r="D511" s="4423"/>
      <c r="E511" s="4424"/>
      <c r="F511" s="4425"/>
      <c r="G511" s="4426"/>
      <c r="H511" s="4427"/>
      <c r="I511" s="4428"/>
      <c r="J511" s="4429"/>
      <c r="K511" s="4430"/>
    </row>
    <row r="512" spans="1:11">
      <c r="A512" s="4431"/>
      <c r="B512" s="4432"/>
      <c r="C512" s="4433"/>
      <c r="D512" s="4434"/>
      <c r="E512" s="4435"/>
      <c r="F512" s="4436"/>
      <c r="G512" s="4437"/>
      <c r="H512" s="4438"/>
      <c r="I512" s="4439"/>
      <c r="J512" s="4440"/>
      <c r="K512" s="4441"/>
    </row>
    <row r="513" spans="1:11">
      <c r="A513" s="4442"/>
      <c r="B513" s="4443"/>
      <c r="C513" s="4444"/>
      <c r="D513" s="4445"/>
      <c r="E513" s="4446"/>
      <c r="F513" s="4447"/>
      <c r="G513" s="4448"/>
      <c r="H513" s="4449"/>
      <c r="I513" s="4450"/>
      <c r="J513" s="4451"/>
      <c r="K513" s="4452"/>
    </row>
    <row r="514" spans="1:11">
      <c r="A514" s="4453"/>
      <c r="B514" s="4454"/>
      <c r="C514" s="4455"/>
      <c r="D514" s="4456"/>
      <c r="E514" s="4457"/>
      <c r="F514" s="4458"/>
      <c r="G514" s="4459"/>
      <c r="H514" s="4460"/>
      <c r="I514" s="4461"/>
      <c r="J514" s="4462"/>
      <c r="K514" s="4463"/>
    </row>
    <row r="515" spans="1:11">
      <c r="A515" s="4464"/>
      <c r="B515" s="4465"/>
      <c r="C515" s="4466"/>
      <c r="D515" s="4467"/>
      <c r="E515" s="4468"/>
      <c r="F515" s="4469"/>
      <c r="G515" s="4470"/>
      <c r="H515" s="4471"/>
      <c r="I515" s="4472"/>
      <c r="J515" s="4473"/>
      <c r="K515" s="4474"/>
    </row>
    <row r="516" spans="1:11">
      <c r="A516" s="4475"/>
      <c r="B516" s="4476"/>
      <c r="C516" s="4477"/>
      <c r="D516" s="4478"/>
      <c r="E516" s="4479"/>
      <c r="F516" s="4480"/>
      <c r="G516" s="4481"/>
      <c r="H516" s="4482"/>
      <c r="I516" s="4483"/>
      <c r="J516" s="4484"/>
      <c r="K516" s="4485"/>
    </row>
    <row r="517" spans="1:11">
      <c r="A517" s="4486"/>
      <c r="B517" s="4487"/>
      <c r="C517" s="4488"/>
      <c r="D517" s="4489"/>
      <c r="E517" s="4490"/>
      <c r="F517" s="4491"/>
      <c r="G517" s="4492"/>
      <c r="H517" s="4493"/>
      <c r="I517" s="4494"/>
      <c r="J517" s="4495"/>
      <c r="K517" s="4496"/>
    </row>
    <row r="518" spans="1:11">
      <c r="A518" s="4497"/>
      <c r="B518" s="4498"/>
      <c r="C518" s="4499"/>
      <c r="D518" s="4500"/>
      <c r="E518" s="4501"/>
      <c r="F518" s="4502"/>
      <c r="G518" s="4503"/>
      <c r="H518" s="4504"/>
      <c r="I518" s="4505"/>
      <c r="J518" s="4506"/>
      <c r="K518" s="4507"/>
    </row>
    <row r="519" spans="1:11">
      <c r="A519" s="4508"/>
      <c r="B519" s="4509"/>
      <c r="C519" s="4510"/>
      <c r="D519" s="4511"/>
      <c r="E519" s="4512"/>
      <c r="F519" s="4513"/>
      <c r="G519" s="4514"/>
      <c r="H519" s="4515"/>
      <c r="I519" s="4516"/>
      <c r="J519" s="4517"/>
      <c r="K519" s="4518"/>
    </row>
    <row r="520" spans="1:11">
      <c r="A520" s="4519"/>
      <c r="B520" s="4520"/>
      <c r="C520" s="4521"/>
      <c r="D520" s="4522"/>
      <c r="E520" s="4523"/>
      <c r="F520" s="4524"/>
      <c r="G520" s="4525"/>
      <c r="H520" s="4526"/>
      <c r="I520" s="4527"/>
      <c r="J520" s="4528"/>
      <c r="K520" s="4529"/>
    </row>
    <row r="521" spans="1:11">
      <c r="A521" s="4530"/>
      <c r="B521" s="4531"/>
      <c r="C521" s="4532"/>
      <c r="D521" s="4533"/>
      <c r="E521" s="4534"/>
      <c r="F521" s="4535"/>
      <c r="G521" s="4536"/>
      <c r="H521" s="4537"/>
      <c r="I521" s="4538"/>
      <c r="J521" s="4539"/>
      <c r="K521" s="4540"/>
    </row>
    <row r="522" spans="1:11">
      <c r="A522" s="4541"/>
      <c r="B522" s="4542"/>
      <c r="C522" s="4543"/>
      <c r="D522" s="4544"/>
      <c r="E522" s="4545"/>
      <c r="F522" s="4546"/>
      <c r="G522" s="4547"/>
      <c r="H522" s="4548"/>
      <c r="I522" s="4549"/>
      <c r="J522" s="4550"/>
      <c r="K522" s="4551"/>
    </row>
    <row r="523" spans="1:11">
      <c r="A523" s="4552"/>
      <c r="B523" s="4553"/>
      <c r="C523" s="4554"/>
      <c r="D523" s="4555"/>
      <c r="E523" s="4556"/>
      <c r="F523" s="4557"/>
      <c r="G523" s="4558"/>
      <c r="H523" s="4559"/>
      <c r="I523" s="4560"/>
      <c r="J523" s="4561"/>
      <c r="K523" s="4562"/>
    </row>
    <row r="524" spans="1:11">
      <c r="A524" s="4563"/>
      <c r="B524" s="4564"/>
      <c r="C524" s="4565"/>
      <c r="D524" s="4566"/>
      <c r="E524" s="4567"/>
      <c r="F524" s="4568"/>
      <c r="G524" s="4569"/>
      <c r="H524" s="4570"/>
      <c r="I524" s="4571"/>
      <c r="J524" s="4572"/>
      <c r="K524" s="4573"/>
    </row>
    <row r="525" spans="1:11">
      <c r="A525" s="4574"/>
      <c r="B525" s="4575"/>
      <c r="C525" s="4576"/>
      <c r="D525" s="4577"/>
      <c r="E525" s="4578"/>
      <c r="F525" s="4579"/>
      <c r="G525" s="4580"/>
      <c r="H525" s="4581"/>
      <c r="I525" s="4582"/>
      <c r="J525" s="4583"/>
      <c r="K525" s="4584"/>
    </row>
    <row r="526" spans="1:11">
      <c r="A526" s="4585"/>
      <c r="B526" s="4586"/>
      <c r="C526" s="4587"/>
      <c r="D526" s="4588"/>
      <c r="E526" s="4589"/>
      <c r="F526" s="4590"/>
      <c r="G526" s="4591"/>
      <c r="H526" s="4592"/>
      <c r="I526" s="4593"/>
      <c r="J526" s="4594"/>
      <c r="K526" s="4595"/>
    </row>
    <row r="527" spans="1:11">
      <c r="A527" s="4596"/>
      <c r="B527" s="4597"/>
      <c r="C527" s="4598"/>
      <c r="D527" s="4599"/>
      <c r="E527" s="4600"/>
      <c r="F527" s="4601"/>
      <c r="G527" s="4602"/>
      <c r="H527" s="4603"/>
      <c r="I527" s="4604"/>
      <c r="J527" s="4605"/>
      <c r="K527" s="4606"/>
    </row>
    <row r="528" spans="1:11">
      <c r="A528" s="4607"/>
      <c r="B528" s="4608"/>
      <c r="C528" s="4609"/>
      <c r="D528" s="4610"/>
      <c r="E528" s="4611"/>
      <c r="F528" s="4612"/>
      <c r="G528" s="4613"/>
      <c r="H528" s="4614"/>
      <c r="I528" s="4615"/>
      <c r="J528" s="4616"/>
      <c r="K528" s="4617"/>
    </row>
    <row r="529" spans="1:11">
      <c r="A529" s="4618"/>
      <c r="B529" s="4619"/>
      <c r="C529" s="4620"/>
      <c r="D529" s="4621"/>
      <c r="E529" s="4622"/>
      <c r="F529" s="4623"/>
      <c r="G529" s="4624"/>
      <c r="H529" s="4625"/>
      <c r="I529" s="4626"/>
      <c r="J529" s="4627"/>
      <c r="K529" s="4628"/>
    </row>
    <row r="530" spans="1:11">
      <c r="A530" s="4629"/>
      <c r="B530" s="4630"/>
      <c r="C530" s="4631"/>
      <c r="D530" s="4632"/>
      <c r="E530" s="4633"/>
      <c r="F530" s="4634"/>
      <c r="G530" s="4635"/>
      <c r="H530" s="4636"/>
      <c r="I530" s="4637"/>
      <c r="J530" s="4638"/>
      <c r="K530" s="4639"/>
    </row>
    <row r="531" spans="1:11">
      <c r="A531" s="4640"/>
      <c r="B531" s="4641"/>
      <c r="C531" s="4642"/>
      <c r="D531" s="4643"/>
      <c r="E531" s="4644"/>
      <c r="F531" s="4645"/>
      <c r="G531" s="4646"/>
      <c r="H531" s="4647"/>
      <c r="I531" s="4648"/>
      <c r="J531" s="4649"/>
      <c r="K531" s="4650"/>
    </row>
    <row r="532" spans="1:11">
      <c r="A532" s="4651"/>
      <c r="B532" s="4652"/>
      <c r="C532" s="4653"/>
      <c r="D532" s="4654"/>
      <c r="E532" s="4655"/>
      <c r="F532" s="4656"/>
      <c r="G532" s="4657"/>
      <c r="H532" s="4658"/>
      <c r="I532" s="4659"/>
      <c r="J532" s="4660"/>
      <c r="K532" s="4661"/>
    </row>
    <row r="533" spans="1:11">
      <c r="A533" s="4662"/>
      <c r="B533" s="4663"/>
      <c r="C533" s="4664"/>
      <c r="D533" s="4665"/>
      <c r="E533" s="4666"/>
      <c r="F533" s="4667"/>
      <c r="G533" s="4668"/>
      <c r="H533" s="4669"/>
      <c r="I533" s="4670"/>
      <c r="J533" s="4671"/>
      <c r="K533" s="4672"/>
    </row>
    <row r="534" spans="1:11">
      <c r="A534" s="4673"/>
      <c r="B534" s="4674"/>
      <c r="C534" s="4675"/>
      <c r="D534" s="4676"/>
      <c r="E534" s="4677"/>
      <c r="F534" s="4678"/>
      <c r="G534" s="4679"/>
      <c r="H534" s="4680"/>
      <c r="I534" s="4681"/>
      <c r="J534" s="4682"/>
      <c r="K534" s="4683"/>
    </row>
    <row r="535" spans="1:11">
      <c r="A535" s="4684"/>
      <c r="B535" s="4685"/>
      <c r="C535" s="4686"/>
      <c r="D535" s="4687"/>
      <c r="E535" s="4688"/>
      <c r="F535" s="4689"/>
      <c r="G535" s="4690"/>
      <c r="H535" s="4691"/>
      <c r="I535" s="4692"/>
      <c r="J535" s="4693"/>
      <c r="K535" s="4694"/>
    </row>
    <row r="536" spans="1:11">
      <c r="A536" s="4695"/>
      <c r="B536" s="4696"/>
      <c r="C536" s="4697"/>
      <c r="D536" s="4698"/>
      <c r="E536" s="4699"/>
      <c r="F536" s="4700"/>
      <c r="G536" s="4701"/>
      <c r="H536" s="4702"/>
      <c r="I536" s="4703"/>
      <c r="J536" s="4704"/>
      <c r="K536" s="4705"/>
    </row>
    <row r="537" spans="1:11">
      <c r="A537" s="4706"/>
      <c r="B537" s="4707"/>
      <c r="C537" s="4708"/>
      <c r="D537" s="4709"/>
      <c r="E537" s="4710"/>
      <c r="F537" s="4711"/>
      <c r="G537" s="4712"/>
      <c r="H537" s="4713"/>
      <c r="I537" s="4714"/>
      <c r="J537" s="4715"/>
      <c r="K537" s="4716"/>
    </row>
    <row r="538" spans="1:11">
      <c r="A538" s="4717"/>
      <c r="B538" s="4718"/>
      <c r="C538" s="4719"/>
      <c r="D538" s="4720"/>
      <c r="E538" s="4721"/>
      <c r="F538" s="4722"/>
      <c r="G538" s="4723"/>
      <c r="H538" s="4724"/>
      <c r="I538" s="4725"/>
      <c r="J538" s="4726"/>
      <c r="K538" s="4727"/>
    </row>
    <row r="539" spans="1:11">
      <c r="A539" s="4728"/>
      <c r="B539" s="4729"/>
      <c r="C539" s="4730"/>
      <c r="D539" s="4731"/>
      <c r="E539" s="4732"/>
      <c r="F539" s="4733"/>
      <c r="G539" s="4734"/>
      <c r="H539" s="4735"/>
      <c r="I539" s="4736"/>
      <c r="J539" s="4737"/>
      <c r="K539" s="4738"/>
    </row>
    <row r="540" spans="1:11">
      <c r="A540" s="4739"/>
      <c r="B540" s="4740"/>
      <c r="C540" s="4741"/>
      <c r="D540" s="4742"/>
      <c r="E540" s="4743"/>
      <c r="F540" s="4744"/>
      <c r="G540" s="4745"/>
      <c r="H540" s="4746"/>
      <c r="I540" s="4747"/>
      <c r="J540" s="4748"/>
      <c r="K540" s="4749"/>
    </row>
    <row r="541" spans="1:11">
      <c r="A541" s="4750"/>
      <c r="B541" s="4751"/>
      <c r="C541" s="4752"/>
      <c r="D541" s="4753"/>
      <c r="E541" s="4754"/>
      <c r="F541" s="4755"/>
      <c r="G541" s="4756"/>
      <c r="H541" s="4757"/>
      <c r="I541" s="4758"/>
      <c r="J541" s="4759"/>
      <c r="K541" s="4760"/>
    </row>
    <row r="542" spans="1:11">
      <c r="A542" s="4761"/>
      <c r="B542" s="4762"/>
      <c r="C542" s="4763"/>
      <c r="D542" s="4764"/>
      <c r="E542" s="4765"/>
      <c r="F542" s="4766"/>
      <c r="G542" s="4767"/>
      <c r="H542" s="4768"/>
      <c r="I542" s="4769"/>
      <c r="J542" s="4770"/>
      <c r="K542" s="4771"/>
    </row>
    <row r="543" spans="1:11">
      <c r="A543" s="4772"/>
      <c r="B543" s="4773"/>
      <c r="C543" s="4774"/>
      <c r="D543" s="4775"/>
      <c r="E543" s="4776"/>
      <c r="F543" s="4777"/>
      <c r="G543" s="4778"/>
      <c r="H543" s="4779"/>
      <c r="I543" s="4780"/>
      <c r="J543" s="4781"/>
      <c r="K543" s="4782"/>
    </row>
    <row r="544" spans="1:11">
      <c r="A544" s="4783"/>
      <c r="B544" s="4784"/>
      <c r="C544" s="4785"/>
      <c r="D544" s="4786"/>
      <c r="E544" s="4787"/>
      <c r="F544" s="4788"/>
      <c r="G544" s="4789"/>
      <c r="H544" s="4790"/>
      <c r="I544" s="4791"/>
      <c r="J544" s="4792"/>
      <c r="K544" s="4793"/>
    </row>
    <row r="545" spans="1:11">
      <c r="A545" s="4794"/>
      <c r="B545" s="4795"/>
      <c r="C545" s="4796"/>
      <c r="D545" s="4797"/>
      <c r="E545" s="4798"/>
      <c r="F545" s="4799"/>
      <c r="G545" s="4800"/>
      <c r="H545" s="4801"/>
      <c r="I545" s="4802"/>
      <c r="J545" s="4803"/>
      <c r="K545" s="4804"/>
    </row>
    <row r="546" spans="1:11">
      <c r="A546" s="4805"/>
      <c r="B546" s="4806"/>
      <c r="C546" s="4807"/>
      <c r="D546" s="4808"/>
      <c r="E546" s="4809"/>
      <c r="F546" s="4810"/>
      <c r="G546" s="4811"/>
      <c r="H546" s="4812"/>
      <c r="I546" s="4813"/>
      <c r="J546" s="4814"/>
      <c r="K546" s="4815"/>
    </row>
    <row r="547" spans="1:11">
      <c r="A547" s="4816"/>
      <c r="B547" s="4817"/>
      <c r="C547" s="4818"/>
      <c r="D547" s="4819"/>
      <c r="E547" s="4820"/>
      <c r="F547" s="4821"/>
      <c r="G547" s="4822"/>
      <c r="H547" s="4823"/>
      <c r="I547" s="4824"/>
      <c r="J547" s="4825"/>
      <c r="K547" s="4826"/>
    </row>
    <row r="548" spans="1:11">
      <c r="A548" s="4827"/>
      <c r="B548" s="4828"/>
      <c r="C548" s="4829"/>
      <c r="D548" s="4830"/>
      <c r="E548" s="4831"/>
      <c r="F548" s="4832"/>
      <c r="G548" s="4833"/>
      <c r="H548" s="4834"/>
      <c r="I548" s="4835"/>
      <c r="J548" s="4836"/>
      <c r="K548" s="4837"/>
    </row>
    <row r="549" spans="1:11">
      <c r="A549" s="4838"/>
      <c r="B549" s="4839"/>
      <c r="C549" s="4840"/>
      <c r="D549" s="4841"/>
      <c r="E549" s="4842"/>
      <c r="F549" s="4843"/>
      <c r="G549" s="4844"/>
      <c r="H549" s="4845"/>
      <c r="I549" s="4846"/>
      <c r="J549" s="4847"/>
      <c r="K549" s="4848"/>
    </row>
    <row r="550" spans="1:11">
      <c r="A550" s="4849"/>
      <c r="B550" s="4850"/>
      <c r="C550" s="4851"/>
      <c r="D550" s="4852"/>
      <c r="E550" s="4853"/>
      <c r="F550" s="4854"/>
      <c r="G550" s="4855"/>
      <c r="H550" s="4856"/>
      <c r="I550" s="4857"/>
      <c r="J550" s="4858"/>
      <c r="K550" s="4859"/>
    </row>
    <row r="551" spans="1:11">
      <c r="A551" s="4860"/>
      <c r="B551" s="4861"/>
      <c r="C551" s="4862"/>
      <c r="D551" s="4863"/>
      <c r="E551" s="4864"/>
      <c r="F551" s="4865"/>
      <c r="G551" s="4866"/>
      <c r="H551" s="4867"/>
      <c r="I551" s="4868"/>
      <c r="J551" s="4869"/>
      <c r="K551" s="4870"/>
    </row>
    <row r="552" spans="1:11">
      <c r="A552" s="4871"/>
      <c r="B552" s="4872"/>
      <c r="C552" s="4873"/>
      <c r="D552" s="4874"/>
      <c r="E552" s="4875"/>
      <c r="F552" s="4876"/>
      <c r="G552" s="4877"/>
      <c r="H552" s="4878"/>
      <c r="I552" s="4879"/>
      <c r="J552" s="4880"/>
      <c r="K552" s="4881"/>
    </row>
    <row r="553" spans="1:11">
      <c r="A553" s="4882"/>
      <c r="B553" s="4883"/>
      <c r="C553" s="4884"/>
      <c r="D553" s="4885"/>
      <c r="E553" s="4886"/>
      <c r="F553" s="4887"/>
      <c r="G553" s="4888"/>
      <c r="H553" s="4889"/>
      <c r="I553" s="4890"/>
      <c r="J553" s="4891"/>
      <c r="K553" s="4892"/>
    </row>
    <row r="554" spans="1:11">
      <c r="A554" s="4893"/>
      <c r="B554" s="4894"/>
      <c r="C554" s="4895"/>
      <c r="D554" s="4896"/>
      <c r="E554" s="4897"/>
      <c r="F554" s="4898"/>
      <c r="G554" s="4899"/>
      <c r="H554" s="4900"/>
      <c r="I554" s="4901"/>
      <c r="J554" s="4902"/>
      <c r="K554" s="4903"/>
    </row>
    <row r="555" spans="1:11">
      <c r="A555" s="4904"/>
      <c r="B555" s="4905"/>
      <c r="C555" s="4906"/>
      <c r="D555" s="4907"/>
      <c r="E555" s="4908"/>
      <c r="F555" s="4909"/>
      <c r="G555" s="4910"/>
      <c r="H555" s="4911"/>
      <c r="I555" s="4912"/>
      <c r="J555" s="4913"/>
      <c r="K555" s="4914"/>
    </row>
    <row r="556" spans="1:11">
      <c r="A556" s="4915"/>
      <c r="B556" s="4916"/>
      <c r="C556" s="4917"/>
      <c r="D556" s="4918"/>
      <c r="E556" s="4919"/>
      <c r="F556" s="4920"/>
      <c r="G556" s="4921"/>
      <c r="H556" s="4922"/>
      <c r="I556" s="4923"/>
      <c r="J556" s="4924"/>
      <c r="K556" s="4925"/>
    </row>
    <row r="557" spans="1:11">
      <c r="A557" s="4926"/>
      <c r="B557" s="4927"/>
      <c r="C557" s="4928"/>
      <c r="D557" s="4929"/>
      <c r="E557" s="4930"/>
      <c r="F557" s="4931"/>
      <c r="G557" s="4932"/>
      <c r="H557" s="4933"/>
      <c r="I557" s="4934"/>
      <c r="J557" s="4935"/>
      <c r="K557" s="4936"/>
    </row>
    <row r="558" spans="1:11">
      <c r="A558" s="4937"/>
      <c r="B558" s="4938"/>
      <c r="C558" s="4939"/>
      <c r="D558" s="4940"/>
      <c r="E558" s="4941"/>
      <c r="F558" s="4942"/>
      <c r="G558" s="4943"/>
      <c r="H558" s="4944"/>
      <c r="I558" s="4945"/>
      <c r="J558" s="4946"/>
      <c r="K558" s="4947"/>
    </row>
    <row r="559" spans="1:11">
      <c r="A559" s="4948"/>
      <c r="B559" s="4949"/>
      <c r="C559" s="4950"/>
      <c r="D559" s="4951"/>
      <c r="E559" s="4952"/>
      <c r="F559" s="4953"/>
      <c r="G559" s="4954"/>
      <c r="H559" s="4955"/>
      <c r="I559" s="4956"/>
      <c r="J559" s="4957"/>
      <c r="K559" s="4958"/>
    </row>
    <row r="560" spans="1:11">
      <c r="A560" s="4959"/>
      <c r="B560" s="4960"/>
      <c r="C560" s="4961"/>
      <c r="D560" s="4962"/>
      <c r="E560" s="4963"/>
      <c r="F560" s="4964"/>
      <c r="G560" s="4965"/>
      <c r="H560" s="4966"/>
      <c r="I560" s="4967"/>
      <c r="J560" s="4968"/>
      <c r="K560" s="4969"/>
    </row>
    <row r="561" spans="1:11">
      <c r="A561" s="4970"/>
      <c r="B561" s="4971"/>
      <c r="C561" s="4972"/>
      <c r="D561" s="4973"/>
      <c r="E561" s="4974"/>
      <c r="F561" s="4975"/>
      <c r="G561" s="4976"/>
      <c r="H561" s="4977"/>
      <c r="I561" s="4978"/>
      <c r="J561" s="4979"/>
      <c r="K561" s="4980"/>
    </row>
    <row r="562" spans="1:11">
      <c r="A562" s="4981"/>
      <c r="B562" s="4982"/>
      <c r="C562" s="4983"/>
      <c r="D562" s="4984"/>
      <c r="E562" s="4985"/>
      <c r="F562" s="4986"/>
      <c r="G562" s="4987"/>
      <c r="H562" s="4988"/>
      <c r="I562" s="4989"/>
      <c r="J562" s="4990"/>
      <c r="K562" s="4991"/>
    </row>
    <row r="563" spans="1:11">
      <c r="A563" s="4992"/>
      <c r="B563" s="4993"/>
      <c r="C563" s="4994"/>
      <c r="D563" s="4995"/>
      <c r="E563" s="4996"/>
      <c r="F563" s="4997"/>
      <c r="G563" s="4998"/>
      <c r="H563" s="4999"/>
      <c r="I563" s="5000"/>
      <c r="J563" s="5001"/>
      <c r="K563" s="5002"/>
    </row>
    <row r="564" spans="1:11">
      <c r="A564" s="5003"/>
      <c r="B564" s="5004"/>
      <c r="C564" s="5005"/>
      <c r="D564" s="5006"/>
      <c r="E564" s="5007"/>
      <c r="F564" s="5008"/>
      <c r="G564" s="5009"/>
      <c r="H564" s="5010"/>
      <c r="I564" s="5011"/>
      <c r="J564" s="5012"/>
      <c r="K564" s="5013"/>
    </row>
    <row r="565" spans="1:11">
      <c r="A565" s="5014"/>
      <c r="B565" s="5015"/>
      <c r="C565" s="5016"/>
      <c r="D565" s="5017"/>
      <c r="E565" s="5018"/>
      <c r="F565" s="5019"/>
      <c r="G565" s="5020"/>
      <c r="H565" s="5021"/>
      <c r="I565" s="5022"/>
      <c r="J565" s="5023"/>
      <c r="K565" s="5024"/>
    </row>
    <row r="566" spans="1:11">
      <c r="A566" s="5025"/>
      <c r="B566" s="5026"/>
      <c r="C566" s="5027"/>
      <c r="D566" s="5028"/>
      <c r="E566" s="5029"/>
      <c r="F566" s="5030"/>
      <c r="G566" s="5031"/>
      <c r="H566" s="5032"/>
      <c r="I566" s="5033"/>
      <c r="J566" s="5034"/>
      <c r="K566" s="5035"/>
    </row>
    <row r="567" spans="1:11">
      <c r="A567" s="5036"/>
      <c r="B567" s="5037"/>
      <c r="C567" s="5038"/>
      <c r="D567" s="5039"/>
      <c r="E567" s="5040"/>
      <c r="F567" s="5041"/>
      <c r="G567" s="5042"/>
      <c r="H567" s="5043"/>
      <c r="I567" s="5044"/>
      <c r="J567" s="5045"/>
      <c r="K567" s="5046"/>
    </row>
    <row r="568" spans="1:11">
      <c r="A568" s="5047"/>
      <c r="B568" s="5048"/>
      <c r="C568" s="5049"/>
      <c r="D568" s="5050"/>
      <c r="E568" s="5051"/>
      <c r="F568" s="5052"/>
      <c r="G568" s="5053"/>
      <c r="H568" s="5054"/>
      <c r="I568" s="5055"/>
      <c r="J568" s="5056"/>
      <c r="K568" s="5057"/>
    </row>
    <row r="569" spans="1:11">
      <c r="A569" s="5058"/>
      <c r="B569" s="5059"/>
      <c r="C569" s="5060"/>
      <c r="D569" s="5061"/>
      <c r="E569" s="5062"/>
      <c r="F569" s="5063"/>
      <c r="G569" s="5064"/>
      <c r="H569" s="5065"/>
      <c r="I569" s="5066"/>
      <c r="J569" s="5067"/>
      <c r="K569" s="5068"/>
    </row>
    <row r="570" spans="1:11">
      <c r="A570" s="5069"/>
      <c r="B570" s="5070"/>
      <c r="C570" s="5071"/>
      <c r="D570" s="5072"/>
      <c r="E570" s="5073"/>
      <c r="F570" s="5074"/>
      <c r="G570" s="5075"/>
      <c r="H570" s="5076"/>
      <c r="I570" s="5077"/>
      <c r="J570" s="5078"/>
      <c r="K570" s="5079"/>
    </row>
    <row r="571" spans="1:11">
      <c r="A571" s="5080"/>
      <c r="B571" s="5081"/>
      <c r="C571" s="5082"/>
      <c r="D571" s="5083"/>
      <c r="E571" s="5084"/>
      <c r="F571" s="5085"/>
      <c r="G571" s="5086"/>
      <c r="H571" s="5087"/>
      <c r="I571" s="5088"/>
      <c r="J571" s="5089"/>
      <c r="K571" s="5090"/>
    </row>
    <row r="572" spans="1:11">
      <c r="A572" s="5091"/>
      <c r="B572" s="5092"/>
      <c r="C572" s="5093"/>
      <c r="D572" s="5094"/>
      <c r="E572" s="5095"/>
      <c r="F572" s="5096"/>
      <c r="G572" s="5097"/>
      <c r="H572" s="5098"/>
      <c r="I572" s="5099"/>
      <c r="J572" s="5100"/>
      <c r="K572" s="5101"/>
    </row>
    <row r="573" spans="1:11">
      <c r="A573" s="5102"/>
      <c r="B573" s="5103"/>
      <c r="C573" s="5104"/>
      <c r="D573" s="5105"/>
      <c r="E573" s="5106"/>
      <c r="F573" s="5107"/>
      <c r="G573" s="5108"/>
      <c r="H573" s="5109"/>
      <c r="I573" s="5110"/>
      <c r="J573" s="5111"/>
      <c r="K573" s="5112"/>
    </row>
    <row r="574" spans="1:11">
      <c r="A574" s="5113"/>
      <c r="B574" s="5114"/>
      <c r="C574" s="5115"/>
      <c r="D574" s="5116"/>
      <c r="E574" s="5117"/>
      <c r="F574" s="5118"/>
      <c r="G574" s="5119"/>
      <c r="H574" s="5120"/>
      <c r="I574" s="5121"/>
      <c r="J574" s="5122"/>
      <c r="K574" s="5123"/>
    </row>
    <row r="575" spans="1:11">
      <c r="A575" s="5124"/>
      <c r="B575" s="5125"/>
      <c r="C575" s="5126"/>
      <c r="D575" s="5127"/>
      <c r="E575" s="5128"/>
      <c r="F575" s="5129"/>
      <c r="G575" s="5130"/>
      <c r="H575" s="5131"/>
      <c r="I575" s="5132"/>
      <c r="J575" s="5133"/>
      <c r="K575" s="5134"/>
    </row>
    <row r="576" spans="1:11">
      <c r="A576" s="5135"/>
      <c r="B576" s="5136"/>
      <c r="C576" s="5137"/>
      <c r="D576" s="5138"/>
      <c r="E576" s="5139"/>
      <c r="F576" s="5140"/>
      <c r="G576" s="5141"/>
      <c r="H576" s="5142"/>
      <c r="I576" s="5143"/>
      <c r="J576" s="5144"/>
      <c r="K576" s="5145"/>
    </row>
    <row r="577" spans="1:11">
      <c r="A577" s="5146"/>
      <c r="B577" s="5147"/>
      <c r="C577" s="5148"/>
      <c r="D577" s="5149"/>
      <c r="E577" s="5150"/>
      <c r="F577" s="5151"/>
      <c r="G577" s="5152"/>
      <c r="H577" s="5153"/>
      <c r="I577" s="5154"/>
      <c r="J577" s="5155"/>
      <c r="K577" s="5156"/>
    </row>
    <row r="578" spans="1:11">
      <c r="A578" s="5157"/>
      <c r="B578" s="5158"/>
      <c r="C578" s="5159"/>
      <c r="D578" s="5160"/>
      <c r="E578" s="5161"/>
      <c r="F578" s="5162"/>
      <c r="G578" s="5163"/>
      <c r="H578" s="5164"/>
      <c r="I578" s="5165"/>
      <c r="J578" s="5166"/>
      <c r="K578" s="5167"/>
    </row>
    <row r="579" spans="1:11">
      <c r="A579" s="5168"/>
      <c r="B579" s="5169"/>
      <c r="C579" s="5170"/>
      <c r="D579" s="5171"/>
      <c r="E579" s="5172"/>
      <c r="F579" s="5173"/>
      <c r="G579" s="5174"/>
      <c r="H579" s="5175"/>
      <c r="I579" s="5176"/>
      <c r="J579" s="5177"/>
      <c r="K579" s="5178"/>
    </row>
    <row r="580" spans="1:11">
      <c r="A580" s="5179"/>
      <c r="B580" s="5180"/>
      <c r="C580" s="5181"/>
      <c r="D580" s="5182"/>
      <c r="E580" s="5183"/>
      <c r="F580" s="5184"/>
      <c r="G580" s="5185"/>
      <c r="H580" s="5186"/>
      <c r="I580" s="5187"/>
      <c r="J580" s="5188"/>
      <c r="K580" s="5189"/>
    </row>
    <row r="581" spans="1:11">
      <c r="A581" s="5190"/>
      <c r="B581" s="5191"/>
      <c r="C581" s="5192"/>
      <c r="D581" s="5193"/>
      <c r="E581" s="5194"/>
      <c r="F581" s="5195"/>
      <c r="G581" s="5196"/>
      <c r="H581" s="5197"/>
      <c r="I581" s="5198"/>
      <c r="J581" s="5199"/>
      <c r="K581" s="5200"/>
    </row>
    <row r="582" spans="1:11">
      <c r="A582" s="5201"/>
      <c r="B582" s="5202"/>
      <c r="C582" s="5203"/>
      <c r="D582" s="5204"/>
      <c r="E582" s="5205"/>
      <c r="F582" s="5206"/>
      <c r="G582" s="5207"/>
      <c r="H582" s="5208"/>
      <c r="I582" s="5209"/>
      <c r="J582" s="5210"/>
      <c r="K582" s="5211"/>
    </row>
    <row r="583" spans="1:11">
      <c r="A583" s="5212"/>
      <c r="B583" s="5213"/>
      <c r="C583" s="5214"/>
      <c r="D583" s="5215"/>
      <c r="E583" s="5216"/>
      <c r="F583" s="5217"/>
      <c r="G583" s="5218"/>
      <c r="H583" s="5219"/>
      <c r="I583" s="5220"/>
      <c r="J583" s="5221"/>
      <c r="K583" s="5222"/>
    </row>
    <row r="584" spans="1:11">
      <c r="A584" s="5223"/>
      <c r="B584" s="5224"/>
      <c r="C584" s="5225"/>
      <c r="D584" s="5226"/>
      <c r="E584" s="5227"/>
      <c r="F584" s="5228"/>
      <c r="G584" s="5229"/>
      <c r="H584" s="5230"/>
      <c r="I584" s="5231"/>
      <c r="J584" s="5232"/>
      <c r="K584" s="5233"/>
    </row>
    <row r="585" spans="1:11">
      <c r="A585" s="5234"/>
      <c r="B585" s="5235"/>
      <c r="C585" s="5236"/>
      <c r="D585" s="5237"/>
      <c r="E585" s="5238"/>
      <c r="F585" s="5239"/>
      <c r="G585" s="5240"/>
      <c r="H585" s="5241"/>
      <c r="I585" s="5242"/>
      <c r="J585" s="5243"/>
      <c r="K585" s="5244"/>
    </row>
    <row r="586" spans="1:11">
      <c r="A586" s="5245"/>
      <c r="B586" s="5246"/>
      <c r="C586" s="5247"/>
      <c r="D586" s="5248"/>
      <c r="E586" s="5249"/>
      <c r="F586" s="5250"/>
      <c r="G586" s="5251"/>
      <c r="H586" s="5252"/>
      <c r="I586" s="5253"/>
      <c r="J586" s="5254"/>
      <c r="K586" s="5255"/>
    </row>
    <row r="587" spans="1:11">
      <c r="A587" s="5256"/>
      <c r="B587" s="5257"/>
      <c r="C587" s="5258"/>
      <c r="D587" s="5259"/>
      <c r="E587" s="5260"/>
      <c r="F587" s="5261"/>
      <c r="G587" s="5262"/>
      <c r="H587" s="5263"/>
      <c r="I587" s="5264"/>
      <c r="J587" s="5265"/>
      <c r="K587" s="5266"/>
    </row>
    <row r="588" spans="1:11">
      <c r="A588" s="5267"/>
      <c r="B588" s="5268"/>
      <c r="C588" s="5269"/>
      <c r="D588" s="5270"/>
      <c r="E588" s="5271"/>
      <c r="F588" s="5272"/>
      <c r="G588" s="5273"/>
      <c r="H588" s="5274"/>
      <c r="I588" s="5275"/>
      <c r="J588" s="5276"/>
      <c r="K588" s="5277"/>
    </row>
    <row r="589" spans="1:11">
      <c r="A589" s="5278"/>
      <c r="B589" s="5279"/>
      <c r="C589" s="5280"/>
      <c r="D589" s="5281"/>
      <c r="E589" s="5282"/>
      <c r="F589" s="5283"/>
      <c r="G589" s="5284"/>
      <c r="H589" s="5285"/>
      <c r="I589" s="5286"/>
      <c r="J589" s="5287"/>
      <c r="K589" s="5288"/>
    </row>
    <row r="590" spans="1:11">
      <c r="A590" s="5289"/>
      <c r="B590" s="5290"/>
      <c r="C590" s="5291"/>
      <c r="D590" s="5292"/>
      <c r="E590" s="5293"/>
      <c r="F590" s="5294"/>
      <c r="G590" s="5295"/>
      <c r="H590" s="5296"/>
      <c r="I590" s="5297"/>
      <c r="J590" s="5298"/>
      <c r="K590" s="5299"/>
    </row>
    <row r="591" spans="1:11">
      <c r="A591" s="5300"/>
      <c r="B591" s="5301"/>
      <c r="C591" s="5302"/>
      <c r="D591" s="5303"/>
      <c r="E591" s="5304"/>
      <c r="F591" s="5305"/>
      <c r="G591" s="5306"/>
      <c r="H591" s="5307"/>
      <c r="I591" s="5308"/>
      <c r="J591" s="5309"/>
      <c r="K591" s="5310"/>
    </row>
    <row r="592" spans="1:11">
      <c r="A592" s="5311"/>
      <c r="B592" s="5312"/>
      <c r="C592" s="5313"/>
      <c r="D592" s="5314"/>
      <c r="E592" s="5315"/>
      <c r="F592" s="5316"/>
      <c r="G592" s="5317"/>
      <c r="H592" s="5318"/>
      <c r="I592" s="5319"/>
      <c r="J592" s="5320"/>
      <c r="K592" s="5321"/>
    </row>
    <row r="593" spans="1:11">
      <c r="A593" s="5322"/>
      <c r="B593" s="5323"/>
      <c r="C593" s="5324"/>
      <c r="D593" s="5325"/>
      <c r="E593" s="5326"/>
      <c r="F593" s="5327"/>
      <c r="G593" s="5328"/>
      <c r="H593" s="5329"/>
      <c r="I593" s="5330"/>
      <c r="J593" s="5331"/>
      <c r="K593" s="5332"/>
    </row>
    <row r="594" spans="1:11">
      <c r="A594" s="5333"/>
      <c r="B594" s="5334"/>
      <c r="C594" s="5335"/>
      <c r="D594" s="5336"/>
      <c r="E594" s="5337"/>
      <c r="F594" s="5338"/>
      <c r="G594" s="5339"/>
      <c r="H594" s="5340"/>
      <c r="I594" s="5341"/>
      <c r="J594" s="5342"/>
      <c r="K594" s="5343"/>
    </row>
    <row r="595" spans="1:11">
      <c r="A595" s="5344"/>
      <c r="B595" s="5345"/>
      <c r="C595" s="5346"/>
      <c r="D595" s="5347"/>
      <c r="E595" s="5348"/>
      <c r="F595" s="5349"/>
      <c r="G595" s="5350"/>
      <c r="H595" s="5351"/>
      <c r="I595" s="5352"/>
      <c r="J595" s="5353"/>
      <c r="K595" s="5354"/>
    </row>
    <row r="596" spans="1:11">
      <c r="A596" s="5355"/>
      <c r="B596" s="5356"/>
      <c r="C596" s="5357"/>
      <c r="D596" s="5358"/>
      <c r="E596" s="5359"/>
      <c r="F596" s="5360"/>
      <c r="G596" s="5361"/>
      <c r="H596" s="5362"/>
      <c r="I596" s="5363"/>
      <c r="J596" s="5364"/>
      <c r="K596" s="5365"/>
    </row>
    <row r="597" spans="1:11">
      <c r="A597" s="5366"/>
      <c r="B597" s="5367"/>
      <c r="C597" s="5368"/>
      <c r="D597" s="5369"/>
      <c r="E597" s="5370"/>
      <c r="F597" s="5371"/>
      <c r="G597" s="5372"/>
      <c r="H597" s="5373"/>
      <c r="I597" s="5374"/>
      <c r="J597" s="5375"/>
      <c r="K597" s="5376"/>
    </row>
    <row r="598" spans="1:11">
      <c r="A598" s="5377"/>
      <c r="B598" s="5378"/>
      <c r="C598" s="5379"/>
      <c r="D598" s="5380"/>
      <c r="E598" s="5381"/>
      <c r="F598" s="5382"/>
      <c r="G598" s="5383"/>
      <c r="H598" s="5384"/>
      <c r="I598" s="5385"/>
      <c r="J598" s="5386"/>
      <c r="K598" s="5387"/>
    </row>
    <row r="599" spans="1:11">
      <c r="A599" s="5388"/>
      <c r="B599" s="5389"/>
      <c r="C599" s="5390"/>
      <c r="D599" s="5391"/>
      <c r="E599" s="5392"/>
      <c r="F599" s="5393"/>
      <c r="G599" s="5394"/>
      <c r="H599" s="5395"/>
      <c r="I599" s="5396"/>
      <c r="J599" s="5397"/>
      <c r="K599" s="5398"/>
    </row>
    <row r="600" spans="1:11">
      <c r="A600" s="5399"/>
      <c r="B600" s="5400"/>
      <c r="C600" s="5401"/>
      <c r="D600" s="5402"/>
      <c r="E600" s="5403"/>
      <c r="F600" s="5404"/>
      <c r="G600" s="5405"/>
      <c r="H600" s="5406"/>
      <c r="I600" s="5407"/>
      <c r="J600" s="5408"/>
      <c r="K600" s="5409"/>
    </row>
    <row r="601" spans="1:11">
      <c r="A601" s="5410"/>
      <c r="B601" s="5411"/>
      <c r="C601" s="5412"/>
      <c r="D601" s="5413"/>
      <c r="E601" s="5414"/>
      <c r="F601" s="5415"/>
      <c r="G601" s="5416"/>
      <c r="H601" s="5417"/>
      <c r="I601" s="5418"/>
      <c r="J601" s="5419"/>
      <c r="K601" s="5420"/>
    </row>
    <row r="602" spans="1:11">
      <c r="A602" s="5421"/>
      <c r="B602" s="5422"/>
      <c r="C602" s="5423"/>
      <c r="D602" s="5424"/>
      <c r="E602" s="5425"/>
      <c r="F602" s="5426"/>
      <c r="G602" s="5427"/>
      <c r="H602" s="5428"/>
      <c r="I602" s="5429"/>
      <c r="J602" s="5430"/>
      <c r="K602" s="5431"/>
    </row>
    <row r="603" spans="1:11">
      <c r="A603" s="5432"/>
      <c r="B603" s="5433"/>
      <c r="C603" s="5434"/>
      <c r="D603" s="5435"/>
      <c r="E603" s="5436"/>
      <c r="F603" s="5437"/>
      <c r="G603" s="5438"/>
      <c r="H603" s="5439"/>
      <c r="I603" s="5440"/>
      <c r="J603" s="5441"/>
      <c r="K603" s="5442"/>
    </row>
    <row r="604" spans="1:11">
      <c r="A604" s="5443"/>
      <c r="B604" s="5444"/>
      <c r="C604" s="5445"/>
      <c r="D604" s="5446"/>
      <c r="E604" s="5447"/>
      <c r="F604" s="5448"/>
      <c r="G604" s="5449"/>
      <c r="H604" s="5450"/>
      <c r="I604" s="5451"/>
      <c r="J604" s="5452"/>
      <c r="K604" s="5453"/>
    </row>
    <row r="605" spans="1:11">
      <c r="A605" s="5454"/>
      <c r="B605" s="5455"/>
      <c r="C605" s="5456"/>
      <c r="D605" s="5457"/>
      <c r="E605" s="5458"/>
      <c r="F605" s="5459"/>
      <c r="G605" s="5460"/>
      <c r="H605" s="5461"/>
      <c r="I605" s="5462"/>
      <c r="J605" s="5463"/>
      <c r="K605" s="5464"/>
    </row>
    <row r="606" spans="1:11">
      <c r="A606" s="5465"/>
      <c r="B606" s="5466"/>
      <c r="C606" s="5467"/>
      <c r="D606" s="5468"/>
      <c r="E606" s="5469"/>
      <c r="F606" s="5470"/>
      <c r="G606" s="5471"/>
      <c r="H606" s="5472"/>
      <c r="I606" s="5473"/>
      <c r="J606" s="5474"/>
      <c r="K606" s="5475"/>
    </row>
    <row r="607" spans="1:11">
      <c r="A607" s="5476"/>
      <c r="B607" s="5477"/>
      <c r="C607" s="5478"/>
      <c r="D607" s="5479"/>
      <c r="E607" s="5480"/>
      <c r="F607" s="5481"/>
      <c r="G607" s="5482"/>
      <c r="H607" s="5483"/>
      <c r="I607" s="5484"/>
      <c r="J607" s="5485"/>
      <c r="K607" s="5486"/>
    </row>
    <row r="608" spans="1:11">
      <c r="A608" s="5487"/>
      <c r="B608" s="5488"/>
      <c r="C608" s="5489"/>
      <c r="D608" s="5490"/>
      <c r="E608" s="5491"/>
      <c r="F608" s="5492"/>
      <c r="G608" s="5493"/>
      <c r="H608" s="5494"/>
      <c r="I608" s="5495"/>
      <c r="J608" s="5496"/>
      <c r="K608" s="5497"/>
    </row>
    <row r="609" spans="1:11">
      <c r="A609" s="5498"/>
      <c r="B609" s="5499"/>
      <c r="C609" s="5500"/>
      <c r="D609" s="5501"/>
      <c r="E609" s="5502"/>
      <c r="F609" s="5503"/>
      <c r="G609" s="5504"/>
      <c r="H609" s="5505"/>
      <c r="I609" s="5506"/>
      <c r="J609" s="5507"/>
      <c r="K609" s="5508"/>
    </row>
    <row r="610" spans="1:11">
      <c r="A610" s="5509"/>
      <c r="B610" s="5510"/>
      <c r="C610" s="5511"/>
      <c r="D610" s="5512"/>
      <c r="E610" s="5513"/>
      <c r="F610" s="5514"/>
      <c r="G610" s="5515"/>
      <c r="H610" s="5516"/>
      <c r="I610" s="5517"/>
      <c r="J610" s="5518"/>
      <c r="K610" s="5519"/>
    </row>
    <row r="611" spans="1:11">
      <c r="A611" s="5520"/>
      <c r="B611" s="5521"/>
      <c r="C611" s="5522"/>
      <c r="D611" s="5523"/>
      <c r="E611" s="5524"/>
      <c r="F611" s="5525"/>
      <c r="G611" s="5526"/>
      <c r="H611" s="5527"/>
      <c r="I611" s="5528"/>
      <c r="J611" s="5529"/>
      <c r="K611" s="5530"/>
    </row>
    <row r="612" spans="1:11">
      <c r="A612" s="5531"/>
      <c r="B612" s="5532"/>
      <c r="C612" s="5533"/>
      <c r="D612" s="5534"/>
      <c r="E612" s="5535"/>
      <c r="F612" s="5536"/>
      <c r="G612" s="5537"/>
      <c r="H612" s="5538"/>
      <c r="I612" s="5539"/>
      <c r="J612" s="5540"/>
      <c r="K612" s="5541"/>
    </row>
    <row r="613" spans="1:11">
      <c r="A613" s="5542"/>
      <c r="B613" s="5543"/>
      <c r="C613" s="5544"/>
      <c r="D613" s="5545"/>
      <c r="E613" s="5546"/>
      <c r="F613" s="5547"/>
      <c r="G613" s="5548"/>
      <c r="H613" s="5549"/>
      <c r="I613" s="5550"/>
      <c r="J613" s="5551"/>
      <c r="K613" s="5552"/>
    </row>
    <row r="614" spans="1:11">
      <c r="A614" s="5553"/>
      <c r="B614" s="5554"/>
      <c r="C614" s="5555"/>
      <c r="D614" s="5556"/>
      <c r="E614" s="5557"/>
      <c r="F614" s="5558"/>
      <c r="G614" s="5559"/>
      <c r="H614" s="5560"/>
      <c r="I614" s="5561"/>
      <c r="J614" s="5562"/>
      <c r="K614" s="5563"/>
    </row>
    <row r="615" spans="1:11">
      <c r="A615" s="5564"/>
      <c r="B615" s="5565"/>
      <c r="C615" s="5566"/>
      <c r="D615" s="5567"/>
      <c r="E615" s="5568"/>
      <c r="F615" s="5569"/>
      <c r="G615" s="5570"/>
      <c r="H615" s="5571"/>
      <c r="I615" s="5572"/>
      <c r="J615" s="5573"/>
      <c r="K615" s="5574"/>
    </row>
    <row r="616" spans="1:11">
      <c r="A616" s="5575"/>
      <c r="B616" s="5576"/>
      <c r="C616" s="5577"/>
      <c r="D616" s="5578"/>
      <c r="E616" s="5579"/>
      <c r="F616" s="5580"/>
      <c r="G616" s="5581"/>
      <c r="H616" s="5582"/>
      <c r="I616" s="5583"/>
      <c r="J616" s="5584"/>
      <c r="K616" s="5585"/>
    </row>
    <row r="617" spans="1:11">
      <c r="A617" s="5586"/>
      <c r="B617" s="5587"/>
      <c r="C617" s="5588"/>
      <c r="D617" s="5589"/>
      <c r="E617" s="5590"/>
      <c r="F617" s="5591"/>
      <c r="G617" s="5592"/>
      <c r="H617" s="5593"/>
      <c r="I617" s="5594"/>
      <c r="J617" s="5595"/>
      <c r="K617" s="5596"/>
    </row>
    <row r="618" spans="1:11">
      <c r="A618" s="5597"/>
      <c r="B618" s="5598"/>
      <c r="C618" s="5599"/>
      <c r="D618" s="5600"/>
      <c r="E618" s="5601"/>
      <c r="F618" s="5602"/>
      <c r="G618" s="5603"/>
      <c r="H618" s="5604"/>
      <c r="I618" s="5605"/>
      <c r="J618" s="5606"/>
      <c r="K618" s="5607"/>
    </row>
    <row r="619" spans="1:11">
      <c r="A619" s="5608"/>
      <c r="B619" s="5609"/>
      <c r="C619" s="5610"/>
      <c r="D619" s="5611"/>
      <c r="E619" s="5612"/>
      <c r="F619" s="5613"/>
      <c r="G619" s="5614"/>
      <c r="H619" s="5615"/>
      <c r="I619" s="5616"/>
      <c r="J619" s="5617"/>
      <c r="K619" s="5618"/>
    </row>
    <row r="620" spans="1:11">
      <c r="A620" s="5619"/>
      <c r="B620" s="5620"/>
      <c r="C620" s="5621"/>
      <c r="D620" s="5622"/>
      <c r="E620" s="5623"/>
      <c r="F620" s="5624"/>
      <c r="G620" s="5625"/>
      <c r="H620" s="5626"/>
      <c r="I620" s="5627"/>
      <c r="J620" s="5628"/>
      <c r="K620" s="5629"/>
    </row>
    <row r="621" spans="1:11">
      <c r="A621" s="5630"/>
      <c r="B621" s="5631"/>
      <c r="C621" s="5632"/>
      <c r="D621" s="5633"/>
      <c r="E621" s="5634"/>
      <c r="F621" s="5635"/>
      <c r="G621" s="5636"/>
      <c r="H621" s="5637"/>
      <c r="I621" s="5638"/>
      <c r="J621" s="5639"/>
      <c r="K621" s="5640"/>
    </row>
    <row r="622" spans="1:11">
      <c r="A622" s="5641"/>
      <c r="B622" s="5642"/>
      <c r="C622" s="5643"/>
      <c r="D622" s="5644"/>
      <c r="E622" s="5645"/>
      <c r="F622" s="5646"/>
      <c r="G622" s="5647"/>
      <c r="H622" s="5648"/>
      <c r="I622" s="5649"/>
      <c r="J622" s="5650"/>
      <c r="K622" s="5651"/>
    </row>
    <row r="623" spans="1:11">
      <c r="A623" s="5652"/>
      <c r="B623" s="5653"/>
      <c r="C623" s="5654"/>
      <c r="D623" s="5655"/>
      <c r="E623" s="5656"/>
      <c r="F623" s="5657"/>
      <c r="G623" s="5658"/>
      <c r="H623" s="5659"/>
      <c r="I623" s="5660"/>
      <c r="J623" s="5661"/>
      <c r="K623" s="5662"/>
    </row>
    <row r="624" spans="1:11">
      <c r="A624" s="5663"/>
      <c r="B624" s="5664"/>
      <c r="C624" s="5665"/>
      <c r="D624" s="5666"/>
      <c r="E624" s="5667"/>
      <c r="F624" s="5668"/>
      <c r="G624" s="5669"/>
      <c r="H624" s="5670"/>
      <c r="I624" s="5671"/>
      <c r="J624" s="5672"/>
      <c r="K624" s="5673"/>
    </row>
    <row r="625" spans="1:11">
      <c r="A625" s="5674"/>
      <c r="B625" s="5675"/>
      <c r="C625" s="5676"/>
      <c r="D625" s="5677"/>
      <c r="E625" s="5678"/>
      <c r="F625" s="5679"/>
      <c r="G625" s="5680"/>
      <c r="H625" s="5681"/>
      <c r="I625" s="5682"/>
      <c r="J625" s="5683"/>
      <c r="K625" s="5684"/>
    </row>
    <row r="626" spans="1:11">
      <c r="A626" s="5685"/>
      <c r="B626" s="5686"/>
      <c r="C626" s="5687"/>
      <c r="D626" s="5688"/>
      <c r="E626" s="5689"/>
      <c r="F626" s="5690"/>
      <c r="G626" s="5691"/>
      <c r="H626" s="5692"/>
      <c r="I626" s="5693"/>
      <c r="J626" s="5694"/>
      <c r="K626" s="5695"/>
    </row>
    <row r="627" spans="1:11">
      <c r="A627" s="5696"/>
      <c r="B627" s="5697"/>
      <c r="C627" s="5698"/>
      <c r="D627" s="5699"/>
      <c r="E627" s="5700"/>
      <c r="F627" s="5701"/>
      <c r="G627" s="5702"/>
      <c r="H627" s="5703"/>
      <c r="I627" s="5704"/>
      <c r="J627" s="5705"/>
      <c r="K627" s="5706"/>
    </row>
    <row r="628" spans="1:11">
      <c r="A628" s="5707"/>
      <c r="B628" s="5708"/>
      <c r="C628" s="5709"/>
      <c r="D628" s="5710"/>
      <c r="E628" s="5711"/>
      <c r="F628" s="5712"/>
      <c r="G628" s="5713"/>
      <c r="H628" s="5714"/>
      <c r="I628" s="5715"/>
      <c r="J628" s="5716"/>
      <c r="K628" s="5717"/>
    </row>
    <row r="629" spans="1:11">
      <c r="A629" s="5718"/>
      <c r="B629" s="5719"/>
      <c r="C629" s="5720"/>
      <c r="D629" s="5721"/>
      <c r="E629" s="5722"/>
      <c r="F629" s="5723"/>
      <c r="G629" s="5724"/>
      <c r="H629" s="5725"/>
      <c r="I629" s="5726"/>
      <c r="J629" s="5727"/>
      <c r="K629" s="5728"/>
    </row>
    <row r="630" spans="1:11">
      <c r="A630" s="5729"/>
      <c r="B630" s="5730"/>
      <c r="C630" s="5731"/>
      <c r="D630" s="5732"/>
      <c r="E630" s="5733"/>
      <c r="F630" s="5734"/>
      <c r="G630" s="5735"/>
      <c r="H630" s="5736"/>
      <c r="I630" s="5737"/>
      <c r="J630" s="5738"/>
      <c r="K630" s="5739"/>
    </row>
    <row r="631" spans="1:11">
      <c r="A631" s="5740"/>
      <c r="B631" s="5741"/>
      <c r="C631" s="5742"/>
      <c r="D631" s="5743"/>
      <c r="E631" s="5744"/>
      <c r="F631" s="5745"/>
      <c r="G631" s="5746"/>
      <c r="H631" s="5747"/>
      <c r="I631" s="5748"/>
      <c r="J631" s="5749"/>
      <c r="K631" s="5750"/>
    </row>
    <row r="632" spans="1:11">
      <c r="A632" s="5751"/>
      <c r="B632" s="5752"/>
      <c r="C632" s="5753"/>
      <c r="D632" s="5754"/>
      <c r="E632" s="5755"/>
      <c r="F632" s="5756"/>
      <c r="G632" s="5757"/>
      <c r="H632" s="5758"/>
      <c r="I632" s="5759"/>
      <c r="J632" s="5760"/>
      <c r="K632" s="5761"/>
    </row>
    <row r="633" spans="1:11">
      <c r="A633" s="5762"/>
      <c r="B633" s="5763"/>
      <c r="C633" s="5764"/>
      <c r="D633" s="5765"/>
      <c r="E633" s="5766"/>
      <c r="F633" s="5767"/>
      <c r="G633" s="5768"/>
      <c r="H633" s="5769"/>
      <c r="I633" s="5770"/>
      <c r="J633" s="5771"/>
      <c r="K633" s="5772"/>
    </row>
    <row r="634" spans="1:11">
      <c r="A634" s="5773"/>
      <c r="B634" s="5774"/>
      <c r="C634" s="5775"/>
      <c r="D634" s="5776"/>
      <c r="E634" s="5777"/>
      <c r="F634" s="5778"/>
      <c r="G634" s="5779"/>
      <c r="H634" s="5780"/>
      <c r="I634" s="5781"/>
      <c r="J634" s="5782"/>
      <c r="K634" s="5783"/>
    </row>
    <row r="635" spans="1:11">
      <c r="A635" s="5784"/>
      <c r="B635" s="5785"/>
      <c r="C635" s="5786"/>
      <c r="D635" s="5787"/>
      <c r="E635" s="5788"/>
      <c r="F635" s="5789"/>
      <c r="G635" s="5790"/>
      <c r="H635" s="5791"/>
      <c r="I635" s="5792"/>
      <c r="J635" s="5793"/>
      <c r="K635" s="5794"/>
    </row>
    <row r="636" spans="1:11">
      <c r="A636" s="5795"/>
      <c r="B636" s="5796"/>
      <c r="C636" s="5797"/>
      <c r="D636" s="5798"/>
      <c r="E636" s="5799"/>
      <c r="F636" s="5800"/>
      <c r="G636" s="5801"/>
      <c r="H636" s="5802"/>
      <c r="I636" s="5803"/>
      <c r="J636" s="5804"/>
      <c r="K636" s="5805"/>
    </row>
    <row r="637" spans="1:11">
      <c r="A637" s="5806"/>
      <c r="B637" s="5807"/>
      <c r="C637" s="5808"/>
      <c r="D637" s="5809"/>
      <c r="E637" s="5810"/>
      <c r="F637" s="5811"/>
      <c r="G637" s="5812"/>
      <c r="H637" s="5813"/>
      <c r="I637" s="5814"/>
      <c r="J637" s="5815"/>
      <c r="K637" s="5816"/>
    </row>
    <row r="638" spans="1:11">
      <c r="A638" s="5817"/>
      <c r="B638" s="5818"/>
      <c r="C638" s="5819"/>
      <c r="D638" s="5820"/>
      <c r="E638" s="5821"/>
      <c r="F638" s="5822"/>
      <c r="G638" s="5823"/>
      <c r="H638" s="5824"/>
      <c r="I638" s="5825"/>
      <c r="J638" s="5826"/>
      <c r="K638" s="5827"/>
    </row>
    <row r="639" spans="1:11">
      <c r="A639" s="5828"/>
      <c r="B639" s="5829"/>
      <c r="C639" s="5830"/>
      <c r="D639" s="5831"/>
      <c r="E639" s="5832"/>
      <c r="F639" s="5833"/>
      <c r="G639" s="5834"/>
      <c r="H639" s="5835"/>
      <c r="I639" s="5836"/>
      <c r="J639" s="5837"/>
      <c r="K639" s="5838"/>
    </row>
    <row r="640" spans="1:11">
      <c r="A640" s="5839"/>
      <c r="B640" s="5840"/>
      <c r="C640" s="5841"/>
      <c r="D640" s="5842"/>
      <c r="E640" s="5843"/>
      <c r="F640" s="5844"/>
      <c r="G640" s="5845"/>
      <c r="H640" s="5846"/>
      <c r="I640" s="5847"/>
      <c r="J640" s="5848"/>
      <c r="K640" s="5849"/>
    </row>
    <row r="641" spans="1:11">
      <c r="A641" s="5850"/>
      <c r="B641" s="5851"/>
      <c r="C641" s="5852"/>
      <c r="D641" s="5853"/>
      <c r="E641" s="5854"/>
      <c r="F641" s="5855"/>
      <c r="G641" s="5856"/>
      <c r="H641" s="5857"/>
      <c r="I641" s="5858"/>
      <c r="J641" s="5859"/>
      <c r="K641" s="5860"/>
    </row>
    <row r="642" spans="1:11">
      <c r="A642" s="5861"/>
      <c r="B642" s="5862"/>
      <c r="C642" s="5863"/>
      <c r="D642" s="5864"/>
      <c r="E642" s="5865"/>
      <c r="F642" s="5866"/>
      <c r="G642" s="5867"/>
      <c r="H642" s="5868"/>
      <c r="I642" s="5869"/>
      <c r="J642" s="5870"/>
      <c r="K642" s="5871"/>
    </row>
    <row r="643" spans="1:11">
      <c r="A643" s="5872"/>
      <c r="B643" s="5873"/>
      <c r="C643" s="5874"/>
      <c r="D643" s="5875"/>
      <c r="E643" s="5876"/>
      <c r="F643" s="5877"/>
      <c r="G643" s="5878"/>
      <c r="H643" s="5879"/>
      <c r="I643" s="5880"/>
      <c r="J643" s="5881"/>
      <c r="K643" s="5882"/>
    </row>
    <row r="644" spans="1:11">
      <c r="A644" s="5883"/>
      <c r="B644" s="5884"/>
      <c r="C644" s="5885"/>
      <c r="D644" s="5886"/>
      <c r="E644" s="5887"/>
      <c r="F644" s="5888"/>
      <c r="G644" s="5889"/>
      <c r="H644" s="5890"/>
      <c r="I644" s="5891"/>
      <c r="J644" s="5892"/>
      <c r="K644" s="5893"/>
    </row>
    <row r="645" spans="1:11">
      <c r="A645" s="5894"/>
      <c r="B645" s="5895"/>
      <c r="C645" s="5896"/>
      <c r="D645" s="5897"/>
      <c r="E645" s="5898"/>
      <c r="F645" s="5899"/>
      <c r="G645" s="5900"/>
      <c r="H645" s="5901"/>
      <c r="I645" s="5902"/>
      <c r="J645" s="5903"/>
      <c r="K645" s="5904"/>
    </row>
    <row r="646" spans="1:11">
      <c r="A646" s="5905"/>
      <c r="B646" s="5906"/>
      <c r="C646" s="5907"/>
      <c r="D646" s="5908"/>
      <c r="E646" s="5909"/>
      <c r="F646" s="5910"/>
      <c r="G646" s="5911"/>
      <c r="H646" s="5912"/>
      <c r="I646" s="5913"/>
      <c r="J646" s="5914"/>
      <c r="K646" s="5915"/>
    </row>
    <row r="647" spans="1:11">
      <c r="A647" s="5916"/>
      <c r="B647" s="5917"/>
      <c r="C647" s="5918"/>
      <c r="D647" s="5919"/>
      <c r="E647" s="5920"/>
      <c r="F647" s="5921"/>
      <c r="G647" s="5922"/>
      <c r="H647" s="5923"/>
      <c r="I647" s="5924"/>
      <c r="J647" s="5925"/>
      <c r="K647" s="5926"/>
    </row>
    <row r="648" spans="1:11">
      <c r="A648" s="5927"/>
      <c r="B648" s="5928"/>
      <c r="C648" s="5929"/>
      <c r="D648" s="5930"/>
      <c r="E648" s="5931"/>
      <c r="F648" s="5932"/>
      <c r="G648" s="5933"/>
      <c r="H648" s="5934"/>
      <c r="I648" s="5935"/>
      <c r="J648" s="5936"/>
      <c r="K648" s="5937"/>
    </row>
    <row r="649" spans="1:11">
      <c r="A649" s="5938"/>
      <c r="B649" s="5939"/>
      <c r="C649" s="5940"/>
      <c r="D649" s="5941"/>
      <c r="E649" s="5942"/>
      <c r="F649" s="5943"/>
      <c r="G649" s="5944"/>
      <c r="H649" s="5945"/>
      <c r="I649" s="5946"/>
      <c r="J649" s="5947"/>
      <c r="K649" s="5948"/>
    </row>
    <row r="650" spans="1:11">
      <c r="A650" s="5949"/>
      <c r="B650" s="5950"/>
      <c r="C650" s="5951"/>
      <c r="D650" s="5952"/>
      <c r="E650" s="5953"/>
      <c r="F650" s="5954"/>
      <c r="G650" s="5955"/>
      <c r="H650" s="5956"/>
      <c r="I650" s="5957"/>
      <c r="J650" s="5958"/>
      <c r="K650" s="5959"/>
    </row>
    <row r="651" spans="1:11">
      <c r="A651" s="5960"/>
      <c r="B651" s="5961"/>
      <c r="C651" s="5962"/>
      <c r="D651" s="5963"/>
      <c r="E651" s="5964"/>
      <c r="F651" s="5965"/>
      <c r="G651" s="5966"/>
      <c r="H651" s="5967"/>
      <c r="I651" s="5968"/>
      <c r="J651" s="5969"/>
      <c r="K651" s="5970"/>
    </row>
    <row r="652" spans="1:11">
      <c r="A652" s="5971"/>
      <c r="B652" s="5972"/>
      <c r="C652" s="5973"/>
      <c r="D652" s="5974"/>
      <c r="E652" s="5975"/>
      <c r="F652" s="5976"/>
      <c r="G652" s="5977"/>
      <c r="H652" s="5978"/>
      <c r="I652" s="5979"/>
      <c r="J652" s="5980"/>
      <c r="K652" s="5981"/>
    </row>
    <row r="653" spans="1:11">
      <c r="A653" s="5982"/>
      <c r="B653" s="5983"/>
      <c r="C653" s="5984"/>
      <c r="D653" s="5985"/>
      <c r="E653" s="5986"/>
      <c r="F653" s="5987"/>
      <c r="G653" s="5988"/>
      <c r="H653" s="5989"/>
      <c r="I653" s="5990"/>
      <c r="J653" s="5991"/>
      <c r="K653" s="5992"/>
    </row>
    <row r="654" spans="1:11">
      <c r="A654" s="5993"/>
      <c r="B654" s="5994"/>
      <c r="C654" s="5995"/>
      <c r="D654" s="5996"/>
      <c r="E654" s="5997"/>
      <c r="F654" s="5998"/>
      <c r="G654" s="5999"/>
      <c r="H654" s="6000"/>
      <c r="I654" s="6001"/>
      <c r="J654" s="6002"/>
      <c r="K654" s="6003"/>
    </row>
    <row r="655" spans="1:11">
      <c r="A655" s="6004"/>
      <c r="B655" s="6005"/>
      <c r="C655" s="6006"/>
      <c r="D655" s="6007"/>
      <c r="E655" s="6008"/>
      <c r="F655" s="6009"/>
      <c r="G655" s="6010"/>
      <c r="H655" s="6011"/>
      <c r="I655" s="6012"/>
      <c r="J655" s="6013"/>
      <c r="K655" s="6014"/>
    </row>
    <row r="656" spans="1:11">
      <c r="A656" s="6015"/>
      <c r="B656" s="6016"/>
      <c r="C656" s="6017"/>
      <c r="D656" s="6018"/>
      <c r="E656" s="6019"/>
      <c r="F656" s="6020"/>
      <c r="G656" s="6021"/>
      <c r="H656" s="6022"/>
      <c r="I656" s="6023"/>
      <c r="J656" s="6024"/>
      <c r="K656" s="6025"/>
    </row>
    <row r="657" spans="1:11">
      <c r="A657" s="6026"/>
      <c r="B657" s="6027"/>
      <c r="C657" s="6028"/>
      <c r="D657" s="6029"/>
      <c r="E657" s="6030"/>
      <c r="F657" s="6031"/>
      <c r="G657" s="6032"/>
      <c r="H657" s="6033"/>
      <c r="I657" s="6034"/>
      <c r="J657" s="6035"/>
      <c r="K657" s="6036"/>
    </row>
    <row r="658" spans="1:11">
      <c r="A658" s="6037"/>
      <c r="B658" s="6038"/>
      <c r="C658" s="6039"/>
      <c r="D658" s="6040"/>
      <c r="E658" s="6041"/>
      <c r="F658" s="6042"/>
      <c r="G658" s="6043"/>
      <c r="H658" s="6044"/>
      <c r="I658" s="6045"/>
      <c r="J658" s="6046"/>
      <c r="K658" s="6047"/>
    </row>
    <row r="659" spans="1:11">
      <c r="A659" s="6048"/>
      <c r="B659" s="6049"/>
      <c r="C659" s="6050"/>
      <c r="D659" s="6051"/>
      <c r="E659" s="6052"/>
      <c r="F659" s="6053"/>
      <c r="G659" s="6054"/>
      <c r="H659" s="6055"/>
      <c r="I659" s="6056"/>
      <c r="J659" s="6057"/>
      <c r="K659" s="6058"/>
    </row>
    <row r="660" spans="1:11">
      <c r="A660" s="6059"/>
      <c r="B660" s="6060"/>
      <c r="C660" s="6061"/>
      <c r="D660" s="6062"/>
      <c r="E660" s="6063"/>
      <c r="F660" s="6064"/>
      <c r="G660" s="6065"/>
      <c r="H660" s="6066"/>
      <c r="I660" s="6067"/>
      <c r="J660" s="6068"/>
      <c r="K660" s="6069"/>
    </row>
    <row r="661" spans="1:11">
      <c r="A661" s="6070"/>
      <c r="B661" s="6071"/>
      <c r="C661" s="6072"/>
      <c r="D661" s="6073"/>
      <c r="E661" s="6074"/>
      <c r="F661" s="6075"/>
      <c r="G661" s="6076"/>
      <c r="H661" s="6077"/>
      <c r="I661" s="6078"/>
      <c r="J661" s="6079"/>
      <c r="K661" s="6080"/>
    </row>
    <row r="662" spans="1:11">
      <c r="A662" s="6081"/>
      <c r="B662" s="6082"/>
      <c r="C662" s="6083"/>
      <c r="D662" s="6084"/>
      <c r="E662" s="6085"/>
      <c r="F662" s="6086"/>
      <c r="G662" s="6087"/>
      <c r="H662" s="6088"/>
      <c r="I662" s="6089"/>
      <c r="J662" s="6090"/>
      <c r="K662" s="6091"/>
    </row>
    <row r="663" spans="1:11">
      <c r="A663" s="6092"/>
      <c r="B663" s="6093"/>
      <c r="C663" s="6094"/>
      <c r="D663" s="6095"/>
      <c r="E663" s="6096"/>
      <c r="F663" s="6097"/>
      <c r="G663" s="6098"/>
      <c r="H663" s="6099"/>
      <c r="I663" s="6100"/>
      <c r="J663" s="6101"/>
      <c r="K663" s="6102"/>
    </row>
    <row r="664" spans="1:11">
      <c r="A664" s="6103"/>
      <c r="B664" s="6104"/>
      <c r="C664" s="6105"/>
      <c r="D664" s="6106"/>
      <c r="E664" s="6107"/>
      <c r="F664" s="6108"/>
      <c r="G664" s="6109"/>
      <c r="H664" s="6110"/>
      <c r="I664" s="6111"/>
      <c r="J664" s="6112"/>
      <c r="K664" s="6113"/>
    </row>
    <row r="665" spans="1:11">
      <c r="A665" s="6114"/>
      <c r="B665" s="6115"/>
      <c r="C665" s="6116"/>
      <c r="D665" s="6117"/>
      <c r="E665" s="6118"/>
      <c r="F665" s="6119"/>
      <c r="G665" s="6120"/>
      <c r="H665" s="6121"/>
      <c r="I665" s="6122"/>
      <c r="J665" s="6123"/>
      <c r="K665" s="6124"/>
    </row>
    <row r="666" spans="1:11">
      <c r="A666" s="6125"/>
      <c r="B666" s="6126"/>
      <c r="C666" s="6127"/>
      <c r="D666" s="6128"/>
      <c r="E666" s="6129"/>
      <c r="F666" s="6130"/>
      <c r="G666" s="6131"/>
      <c r="H666" s="6132"/>
      <c r="I666" s="6133"/>
      <c r="J666" s="6134"/>
      <c r="K666" s="6135"/>
    </row>
    <row r="667" spans="1:11">
      <c r="A667" s="6136"/>
      <c r="B667" s="6137"/>
      <c r="C667" s="6138"/>
      <c r="D667" s="6139"/>
      <c r="E667" s="6140"/>
      <c r="F667" s="6141"/>
      <c r="G667" s="6142"/>
      <c r="H667" s="6143"/>
      <c r="I667" s="6144"/>
      <c r="J667" s="6145"/>
      <c r="K667" s="6146"/>
    </row>
    <row r="668" spans="1:11">
      <c r="A668" s="6147"/>
      <c r="B668" s="6148"/>
      <c r="C668" s="6149"/>
      <c r="D668" s="6150"/>
      <c r="E668" s="6151"/>
      <c r="F668" s="6152"/>
      <c r="G668" s="6153"/>
      <c r="H668" s="6154"/>
      <c r="I668" s="6155"/>
      <c r="J668" s="6156"/>
      <c r="K668" s="6157"/>
    </row>
    <row r="669" spans="1:11">
      <c r="A669" s="6158"/>
      <c r="B669" s="6159"/>
      <c r="C669" s="6160"/>
      <c r="D669" s="6161"/>
      <c r="E669" s="6162"/>
      <c r="F669" s="6163"/>
      <c r="G669" s="6164"/>
      <c r="H669" s="6165"/>
      <c r="I669" s="6166"/>
      <c r="J669" s="6167"/>
      <c r="K669" s="6168"/>
    </row>
    <row r="670" spans="1:11">
      <c r="A670" s="6169"/>
      <c r="B670" s="6170"/>
      <c r="C670" s="6171"/>
      <c r="D670" s="6172"/>
      <c r="E670" s="6173"/>
      <c r="F670" s="6174"/>
      <c r="G670" s="6175"/>
      <c r="H670" s="6176"/>
      <c r="I670" s="6177"/>
      <c r="J670" s="6178"/>
      <c r="K670" s="6179"/>
    </row>
    <row r="671" spans="1:11">
      <c r="A671" s="6180"/>
      <c r="B671" s="6181"/>
      <c r="C671" s="6182"/>
      <c r="D671" s="6183"/>
      <c r="E671" s="6184"/>
      <c r="F671" s="6185"/>
      <c r="G671" s="6186"/>
      <c r="H671" s="6187"/>
      <c r="I671" s="6188"/>
      <c r="J671" s="6189"/>
      <c r="K671" s="6190"/>
    </row>
    <row r="672" spans="1:11">
      <c r="A672" s="6191"/>
      <c r="B672" s="6192"/>
      <c r="C672" s="6193"/>
      <c r="D672" s="6194"/>
      <c r="E672" s="6195"/>
      <c r="F672" s="6196"/>
      <c r="G672" s="6197"/>
      <c r="H672" s="6198"/>
      <c r="I672" s="6199"/>
      <c r="J672" s="6200"/>
      <c r="K672" s="6201"/>
    </row>
    <row r="673" spans="1:11">
      <c r="A673" s="6202"/>
      <c r="B673" s="6203"/>
      <c r="C673" s="6204"/>
      <c r="D673" s="6205"/>
      <c r="E673" s="6206"/>
      <c r="F673" s="6207"/>
      <c r="G673" s="6208"/>
      <c r="H673" s="6209"/>
      <c r="I673" s="6210"/>
      <c r="J673" s="6211"/>
      <c r="K673" s="6212"/>
    </row>
    <row r="674" spans="1:11">
      <c r="A674" s="6213"/>
      <c r="B674" s="6214"/>
      <c r="C674" s="6215"/>
      <c r="D674" s="6216"/>
      <c r="E674" s="6217"/>
      <c r="F674" s="6218"/>
      <c r="G674" s="6219"/>
      <c r="H674" s="6220"/>
      <c r="I674" s="6221"/>
      <c r="J674" s="6222"/>
      <c r="K674" s="6223"/>
    </row>
    <row r="675" spans="1:11">
      <c r="A675" s="6224"/>
      <c r="B675" s="6225"/>
      <c r="C675" s="6226"/>
      <c r="D675" s="6227"/>
      <c r="E675" s="6228"/>
      <c r="F675" s="6229"/>
      <c r="G675" s="6230"/>
      <c r="H675" s="6231"/>
      <c r="I675" s="6232"/>
      <c r="J675" s="6233"/>
      <c r="K675" s="6234"/>
    </row>
    <row r="676" spans="1:11">
      <c r="A676" s="6235"/>
      <c r="B676" s="6236"/>
      <c r="C676" s="6237"/>
      <c r="D676" s="6238"/>
      <c r="E676" s="6239"/>
      <c r="F676" s="6240"/>
      <c r="G676" s="6241"/>
      <c r="H676" s="6242"/>
      <c r="I676" s="6243"/>
      <c r="J676" s="6244"/>
      <c r="K676" s="6245"/>
    </row>
    <row r="677" spans="1:11">
      <c r="A677" s="6246"/>
      <c r="B677" s="6247"/>
      <c r="C677" s="6248"/>
      <c r="D677" s="6249"/>
      <c r="E677" s="6250"/>
      <c r="F677" s="6251"/>
      <c r="G677" s="6252"/>
      <c r="H677" s="6253"/>
      <c r="I677" s="6254"/>
      <c r="J677" s="6255"/>
      <c r="K677" s="6256"/>
    </row>
    <row r="678" spans="1:11">
      <c r="A678" s="6257"/>
      <c r="B678" s="6258"/>
      <c r="C678" s="6259"/>
      <c r="D678" s="6260"/>
      <c r="E678" s="6261"/>
      <c r="F678" s="6262"/>
      <c r="G678" s="6263"/>
      <c r="H678" s="6264"/>
      <c r="I678" s="6265"/>
      <c r="J678" s="6266"/>
      <c r="K678" s="6267"/>
    </row>
    <row r="679" spans="1:11">
      <c r="A679" s="6268"/>
      <c r="B679" s="6269"/>
      <c r="C679" s="6270"/>
      <c r="D679" s="6271"/>
      <c r="E679" s="6272"/>
      <c r="F679" s="6273"/>
      <c r="G679" s="6274"/>
      <c r="H679" s="6275"/>
      <c r="I679" s="6276"/>
      <c r="J679" s="6277"/>
      <c r="K679" s="6278"/>
    </row>
    <row r="680" spans="1:11">
      <c r="A680" s="6279"/>
      <c r="B680" s="6280"/>
      <c r="C680" s="6281"/>
      <c r="D680" s="6282"/>
      <c r="E680" s="6283"/>
      <c r="F680" s="6284"/>
      <c r="G680" s="6285"/>
      <c r="H680" s="6286"/>
      <c r="I680" s="6287"/>
      <c r="J680" s="6288"/>
      <c r="K680" s="6289"/>
    </row>
    <row r="681" spans="1:11">
      <c r="A681" s="6290"/>
      <c r="B681" s="6291"/>
      <c r="C681" s="6292"/>
      <c r="D681" s="6293"/>
      <c r="E681" s="6294"/>
      <c r="F681" s="6295"/>
      <c r="G681" s="6296"/>
      <c r="H681" s="6297"/>
      <c r="I681" s="6298"/>
      <c r="J681" s="6299"/>
      <c r="K681" s="6300"/>
    </row>
    <row r="682" spans="1:11">
      <c r="A682" s="6301"/>
      <c r="B682" s="6302"/>
      <c r="C682" s="6303"/>
      <c r="D682" s="6304"/>
      <c r="E682" s="6305"/>
      <c r="F682" s="6306"/>
      <c r="G682" s="6307"/>
      <c r="H682" s="6308"/>
      <c r="I682" s="6309"/>
      <c r="J682" s="6310"/>
      <c r="K682" s="6311"/>
    </row>
    <row r="683" spans="1:11">
      <c r="A683" s="6312"/>
      <c r="B683" s="6313"/>
      <c r="C683" s="6314"/>
      <c r="D683" s="6315"/>
      <c r="E683" s="6316"/>
      <c r="F683" s="6317"/>
      <c r="G683" s="6318"/>
      <c r="H683" s="6319"/>
      <c r="I683" s="6320"/>
      <c r="J683" s="6321"/>
      <c r="K683" s="6322"/>
    </row>
    <row r="684" spans="1:11">
      <c r="A684" s="6323"/>
      <c r="B684" s="6324"/>
      <c r="C684" s="6325"/>
      <c r="D684" s="6326"/>
      <c r="E684" s="6327"/>
      <c r="F684" s="6328"/>
      <c r="G684" s="6329"/>
      <c r="H684" s="6330"/>
      <c r="I684" s="6331"/>
      <c r="J684" s="6332"/>
      <c r="K684" s="6333"/>
    </row>
    <row r="685" spans="1:11">
      <c r="A685" s="6334"/>
      <c r="B685" s="6335"/>
      <c r="C685" s="6336"/>
      <c r="D685" s="6337"/>
      <c r="E685" s="6338"/>
      <c r="F685" s="6339"/>
      <c r="G685" s="6340"/>
      <c r="H685" s="6341"/>
      <c r="I685" s="6342"/>
      <c r="J685" s="6343"/>
      <c r="K685" s="6344"/>
    </row>
    <row r="686" spans="1:11">
      <c r="A686" s="6345"/>
      <c r="B686" s="6346"/>
      <c r="C686" s="6347"/>
      <c r="D686" s="6348"/>
      <c r="E686" s="6349"/>
      <c r="F686" s="6350"/>
      <c r="G686" s="6351"/>
      <c r="H686" s="6352"/>
      <c r="I686" s="6353"/>
      <c r="J686" s="6354"/>
      <c r="K686" s="6355"/>
    </row>
    <row r="687" spans="1:11">
      <c r="A687" s="6356"/>
      <c r="B687" s="6357"/>
      <c r="C687" s="6358"/>
      <c r="D687" s="6359"/>
      <c r="E687" s="6360"/>
      <c r="F687" s="6361"/>
      <c r="G687" s="6362"/>
      <c r="H687" s="6363"/>
      <c r="I687" s="6364"/>
      <c r="J687" s="6365"/>
      <c r="K687" s="6366"/>
    </row>
    <row r="688" spans="1:11">
      <c r="A688" s="6367"/>
      <c r="B688" s="6368"/>
      <c r="C688" s="6369"/>
      <c r="D688" s="6370"/>
      <c r="E688" s="6371"/>
      <c r="F688" s="6372"/>
      <c r="G688" s="6373"/>
      <c r="H688" s="6374"/>
      <c r="I688" s="6375"/>
      <c r="J688" s="6376"/>
      <c r="K688" s="6377"/>
    </row>
    <row r="689" spans="1:11">
      <c r="A689" s="6378"/>
      <c r="B689" s="6379"/>
      <c r="C689" s="6380"/>
      <c r="D689" s="6381"/>
      <c r="E689" s="6382"/>
      <c r="F689" s="6383"/>
      <c r="G689" s="6384"/>
      <c r="H689" s="6385"/>
      <c r="I689" s="6386"/>
      <c r="J689" s="6387"/>
      <c r="K689" s="6388"/>
    </row>
    <row r="690" spans="1:11">
      <c r="A690" s="6389"/>
      <c r="B690" s="6390"/>
      <c r="C690" s="6391"/>
      <c r="D690" s="6392"/>
      <c r="E690" s="6393"/>
      <c r="F690" s="6394"/>
      <c r="G690" s="6395"/>
      <c r="H690" s="6396"/>
      <c r="I690" s="6397"/>
      <c r="J690" s="6398"/>
      <c r="K690" s="6399"/>
    </row>
    <row r="691" spans="1:11">
      <c r="A691" s="6400"/>
      <c r="B691" s="6401"/>
      <c r="C691" s="6402"/>
      <c r="D691" s="6403"/>
      <c r="E691" s="6404"/>
      <c r="F691" s="6405"/>
      <c r="G691" s="6406"/>
      <c r="H691" s="6407"/>
      <c r="I691" s="6408"/>
      <c r="J691" s="6409"/>
      <c r="K691" s="6410"/>
    </row>
    <row r="692" spans="1:11">
      <c r="A692" s="6411"/>
      <c r="B692" s="6412"/>
      <c r="C692" s="6413"/>
      <c r="D692" s="6414"/>
      <c r="E692" s="6415"/>
      <c r="F692" s="6416"/>
      <c r="G692" s="6417"/>
      <c r="H692" s="6418"/>
      <c r="I692" s="6419"/>
      <c r="J692" s="6420"/>
      <c r="K692" s="6421"/>
    </row>
    <row r="693" spans="1:11">
      <c r="A693" s="6422"/>
      <c r="B693" s="6423"/>
      <c r="C693" s="6424"/>
      <c r="D693" s="6425"/>
      <c r="E693" s="6426"/>
      <c r="F693" s="6427"/>
      <c r="G693" s="6428"/>
      <c r="H693" s="6429"/>
      <c r="I693" s="6430"/>
      <c r="J693" s="6431"/>
      <c r="K693" s="6432"/>
    </row>
    <row r="694" spans="1:11">
      <c r="A694" s="6433"/>
      <c r="B694" s="6434"/>
      <c r="C694" s="6435"/>
      <c r="D694" s="6436"/>
      <c r="E694" s="6437"/>
      <c r="F694" s="6438"/>
      <c r="G694" s="6439"/>
      <c r="H694" s="6440"/>
      <c r="I694" s="6441"/>
      <c r="J694" s="6442"/>
      <c r="K694" s="6443"/>
    </row>
    <row r="695" spans="1:11">
      <c r="A695" s="6444"/>
      <c r="B695" s="6445"/>
      <c r="C695" s="6446"/>
      <c r="D695" s="6447"/>
      <c r="E695" s="6448"/>
      <c r="F695" s="6449"/>
      <c r="G695" s="6450"/>
      <c r="H695" s="6451"/>
      <c r="I695" s="6452"/>
      <c r="J695" s="6453"/>
      <c r="K695" s="6454"/>
    </row>
    <row r="696" spans="1:11">
      <c r="A696" s="6455"/>
      <c r="B696" s="6456"/>
      <c r="C696" s="6457"/>
      <c r="D696" s="6458"/>
      <c r="E696" s="6459"/>
      <c r="F696" s="6460"/>
      <c r="G696" s="6461"/>
      <c r="H696" s="6462"/>
      <c r="I696" s="6463"/>
      <c r="J696" s="6464"/>
      <c r="K696" s="6465"/>
    </row>
    <row r="697" spans="1:11">
      <c r="A697" s="6466"/>
      <c r="B697" s="6467"/>
      <c r="C697" s="6468"/>
      <c r="D697" s="6469"/>
      <c r="E697" s="6470"/>
      <c r="F697" s="6471"/>
      <c r="G697" s="6472"/>
      <c r="H697" s="6473"/>
      <c r="I697" s="6474"/>
      <c r="J697" s="6475"/>
      <c r="K697" s="6476"/>
    </row>
    <row r="698" spans="1:11">
      <c r="A698" s="6477"/>
      <c r="B698" s="6478"/>
      <c r="C698" s="6479"/>
      <c r="D698" s="6480"/>
      <c r="E698" s="6481"/>
      <c r="F698" s="6482"/>
      <c r="G698" s="6483"/>
      <c r="H698" s="6484"/>
      <c r="I698" s="6485"/>
      <c r="J698" s="6486"/>
      <c r="K698" s="6487"/>
    </row>
    <row r="699" spans="1:11">
      <c r="A699" s="6488"/>
      <c r="B699" s="6489"/>
      <c r="C699" s="6490"/>
      <c r="D699" s="6491"/>
      <c r="E699" s="6492"/>
      <c r="F699" s="6493"/>
      <c r="G699" s="6494"/>
      <c r="H699" s="6495"/>
      <c r="I699" s="6496"/>
      <c r="J699" s="6497"/>
      <c r="K699" s="6498"/>
    </row>
    <row r="700" spans="1:11">
      <c r="A700" s="6499"/>
      <c r="B700" s="6500"/>
      <c r="C700" s="6501"/>
      <c r="D700" s="6502"/>
      <c r="E700" s="6503"/>
      <c r="F700" s="6504"/>
      <c r="G700" s="6505"/>
      <c r="H700" s="6506"/>
      <c r="I700" s="6507"/>
      <c r="J700" s="6508"/>
      <c r="K700" s="650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00"/>
  <sheetViews>
    <sheetView workbookViewId="0"/>
  </sheetViews>
  <sheetFormatPr baseColWidth="10" defaultRowHeight="13.8"/>
  <cols>
    <col min="4" max="4" width="18.59765625" bestFit="1" customWidth="1"/>
    <col min="5" max="5" width="60.69921875" bestFit="1" customWidth="1"/>
    <col min="6" max="6" width="13" bestFit="1" customWidth="1"/>
  </cols>
  <sheetData>
    <row r="1" spans="1:14" ht="17.399999999999999">
      <c r="A1" s="17844" t="s">
        <v>4</v>
      </c>
    </row>
    <row r="2" spans="1:14">
      <c r="A2" t="s">
        <v>5</v>
      </c>
      <c r="C2" t="s">
        <v>6</v>
      </c>
      <c r="F2" t="s">
        <v>7</v>
      </c>
      <c r="H2" t="s">
        <v>8</v>
      </c>
      <c r="I2" t="s">
        <v>9</v>
      </c>
      <c r="J2" t="s">
        <v>10</v>
      </c>
    </row>
    <row r="4" spans="1:14" ht="27.6">
      <c r="A4" s="1" t="s">
        <v>11</v>
      </c>
      <c r="B4" s="1" t="s">
        <v>12</v>
      </c>
      <c r="C4" s="1" t="s">
        <v>13</v>
      </c>
      <c r="D4" s="1" t="s">
        <v>0</v>
      </c>
      <c r="E4" s="1" t="s">
        <v>27</v>
      </c>
      <c r="F4" s="1" t="s">
        <v>110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t="s">
        <v>408</v>
      </c>
      <c r="N4" t="s">
        <v>410</v>
      </c>
    </row>
    <row r="5" spans="1:14">
      <c r="A5" s="2">
        <v>46181</v>
      </c>
      <c r="B5" t="s">
        <v>171</v>
      </c>
      <c r="C5" t="s">
        <v>57</v>
      </c>
      <c r="D5" t="s">
        <v>111</v>
      </c>
      <c r="E5" t="s">
        <v>112</v>
      </c>
      <c r="F5" t="e">
        <f>VLOOKUP(#REF!,Catalogos!$V$4:$W$85,2,FALSE)</f>
        <v>#REF!</v>
      </c>
      <c r="G5" s="3"/>
      <c r="H5" s="3">
        <v>100</v>
      </c>
      <c r="I5" s="3">
        <f t="shared" ref="I5:I69" si="0">IF(ROW()=5,G5-H5,I4+G5-H5)</f>
        <v>-100</v>
      </c>
      <c r="J5" s="4">
        <v>28.3</v>
      </c>
      <c r="K5" s="4">
        <f t="shared" ref="K5:K39" si="1">IFERROR((G5+H5)*J5,0)</f>
        <v>2830</v>
      </c>
      <c r="M5">
        <v>24</v>
      </c>
      <c r="N5" t="str">
        <f>IF(A5="","", "CP-" &amp; IFERROR(VLOOKUP(D5, Catalogos!$Z$4:$AA$20, 2, FALSE), "FOL") &amp; "-" &amp; WEEKNUM(A5,2) &amp; "-" &amp; TEXT(ROW(A1),"000"))</f>
        <v>CP-BT-24-001</v>
      </c>
    </row>
    <row r="6" spans="1:14">
      <c r="A6" s="2">
        <v>46181</v>
      </c>
      <c r="B6" t="s">
        <v>171</v>
      </c>
      <c r="C6" t="s">
        <v>115</v>
      </c>
      <c r="D6" t="s">
        <v>115</v>
      </c>
      <c r="E6" t="s">
        <v>112</v>
      </c>
      <c r="F6" t="e">
        <f>VLOOKUP(#REF!,Catalogos!$V$4:$W$85,2,FALSE)</f>
        <v>#REF!</v>
      </c>
      <c r="G6" s="3"/>
      <c r="H6" s="3">
        <v>200</v>
      </c>
      <c r="I6" s="3">
        <f t="shared" si="0"/>
        <v>-300</v>
      </c>
      <c r="J6" s="4">
        <v>28.3</v>
      </c>
      <c r="K6" s="4">
        <f t="shared" si="1"/>
        <v>5660</v>
      </c>
      <c r="M6">
        <v>24</v>
      </c>
      <c r="N6" t="str">
        <f>IF(A6="","", "CP-" &amp; IFERROR(VLOOKUP(D6, Catalogos!$Z$4:$AA$20, 2, FALSE), "FOL") &amp; "-" &amp; WEEKNUM(A6,2) &amp; "-" &amp; TEXT(ROW(A2),"000"))</f>
        <v>CP-PAP-24-002</v>
      </c>
    </row>
    <row r="7" spans="1:14">
      <c r="A7" s="2">
        <v>46181</v>
      </c>
      <c r="B7" t="s">
        <v>171</v>
      </c>
      <c r="C7" t="s">
        <v>116</v>
      </c>
      <c r="D7" t="s">
        <v>115</v>
      </c>
      <c r="E7" t="s">
        <v>112</v>
      </c>
      <c r="F7" t="e">
        <f>VLOOKUP(#REF!,Catalogos!$V$4:$W$85,2,FALSE)</f>
        <v>#REF!</v>
      </c>
      <c r="G7" s="3"/>
      <c r="H7" s="3">
        <v>209</v>
      </c>
      <c r="I7" s="3">
        <f t="shared" si="0"/>
        <v>-509</v>
      </c>
      <c r="J7" s="4">
        <v>28.3</v>
      </c>
      <c r="K7" s="4">
        <f t="shared" si="1"/>
        <v>5914.7</v>
      </c>
      <c r="M7">
        <v>24</v>
      </c>
      <c r="N7" t="str">
        <f>IF(A7="","", "CP-" &amp; IFERROR(VLOOKUP(D7, Catalogos!$Z$4:$AA$20, 2, FALSE), "FOL") &amp; "-" &amp; WEEKNUM(A7,2) &amp; "-" &amp; TEXT(ROW(A3),"000"))</f>
        <v>CP-PAP-24-003</v>
      </c>
    </row>
    <row r="8" spans="1:14">
      <c r="A8" s="2">
        <v>46181</v>
      </c>
      <c r="B8" t="s">
        <v>125</v>
      </c>
      <c r="F8" t="e">
        <f>VLOOKUP(#REF!,Catalogos!$V$4:$W$85,2,FALSE)</f>
        <v>#REF!</v>
      </c>
      <c r="G8" s="3">
        <v>2800</v>
      </c>
      <c r="H8" s="3"/>
      <c r="I8" s="3">
        <f t="shared" si="0"/>
        <v>2291</v>
      </c>
      <c r="J8" s="4">
        <v>28.3</v>
      </c>
      <c r="K8" s="4">
        <f t="shared" si="1"/>
        <v>79240</v>
      </c>
      <c r="M8">
        <v>24</v>
      </c>
      <c r="N8" t="str">
        <f>IF(A8="","", "CP-" &amp; IFERROR(VLOOKUP(D8, Catalogos!$Z$4:$AA$20, 2, FALSE), "FOL") &amp; "-" &amp; WEEKNUM(A8,2) &amp; "-" &amp; TEXT(ROW(A4),"000"))</f>
        <v>CP-FOL-24-004</v>
      </c>
    </row>
    <row r="9" spans="1:14">
      <c r="A9" s="2">
        <v>46181</v>
      </c>
      <c r="B9" t="s">
        <v>171</v>
      </c>
      <c r="C9" t="s">
        <v>54</v>
      </c>
      <c r="D9" t="s">
        <v>111</v>
      </c>
      <c r="E9" t="s">
        <v>112</v>
      </c>
      <c r="F9" t="e">
        <f>VLOOKUP(#REF!,Catalogos!$V$4:$W$85,2,FALSE)</f>
        <v>#REF!</v>
      </c>
      <c r="G9" s="3"/>
      <c r="H9" s="3">
        <v>80</v>
      </c>
      <c r="I9" s="3">
        <f t="shared" si="0"/>
        <v>2211</v>
      </c>
      <c r="J9" s="4">
        <v>28.3</v>
      </c>
      <c r="K9" s="4">
        <f t="shared" si="1"/>
        <v>2264</v>
      </c>
      <c r="M9">
        <v>24</v>
      </c>
      <c r="N9" t="str">
        <f>IF(A9="","", "CP-" &amp; IFERROR(VLOOKUP(D9, Catalogos!$Z$4:$AA$20, 2, FALSE), "FOL") &amp; "-" &amp; WEEKNUM(A9,2) &amp; "-" &amp; TEXT(ROW(A5),"000"))</f>
        <v>CP-BT-24-005</v>
      </c>
    </row>
    <row r="10" spans="1:14">
      <c r="A10" s="2">
        <v>46182</v>
      </c>
      <c r="B10" t="s">
        <v>171</v>
      </c>
      <c r="C10" t="s">
        <v>54</v>
      </c>
      <c r="D10" t="s">
        <v>2</v>
      </c>
      <c r="E10" t="s">
        <v>56</v>
      </c>
      <c r="F10" t="e">
        <f>VLOOKUP(#REF!,Catalogos!$V$4:$W$85,2,FALSE)</f>
        <v>#REF!</v>
      </c>
      <c r="G10" s="3"/>
      <c r="H10" s="3">
        <v>70</v>
      </c>
      <c r="I10" s="3">
        <f t="shared" si="0"/>
        <v>2141</v>
      </c>
      <c r="J10" s="4">
        <v>28.3</v>
      </c>
      <c r="K10" s="4">
        <f t="shared" si="1"/>
        <v>1981</v>
      </c>
      <c r="M10">
        <v>24</v>
      </c>
      <c r="N10" t="str">
        <f>IF(A10="","", "CP-" &amp; IFERROR(VLOOKUP(D10, Catalogos!$Z$4:$AA$20, 2, FALSE), "FOL") &amp; "-" &amp; WEEKNUM(A10,2) &amp; "-" &amp; TEXT(ROW(A6),"000"))</f>
        <v>CP-LT-24-006</v>
      </c>
    </row>
    <row r="11" spans="1:14">
      <c r="A11" s="2">
        <v>46182</v>
      </c>
      <c r="B11" t="s">
        <v>171</v>
      </c>
      <c r="C11" t="s">
        <v>54</v>
      </c>
      <c r="D11" t="s">
        <v>2</v>
      </c>
      <c r="E11" t="s">
        <v>104</v>
      </c>
      <c r="F11" t="e">
        <f>VLOOKUP(#REF!,Catalogos!$V$4:$W$85,2,FALSE)</f>
        <v>#REF!</v>
      </c>
      <c r="G11" s="3"/>
      <c r="H11" s="3">
        <v>50</v>
      </c>
      <c r="I11" s="3">
        <f t="shared" si="0"/>
        <v>2091</v>
      </c>
      <c r="J11" s="4">
        <v>28.3</v>
      </c>
      <c r="K11" s="4">
        <f t="shared" si="1"/>
        <v>1415</v>
      </c>
      <c r="M11">
        <v>24</v>
      </c>
      <c r="N11" t="str">
        <f>IF(A11="","", "CP-" &amp; IFERROR(VLOOKUP(D11, Catalogos!$Z$4:$AA$20, 2, FALSE), "FOL") &amp; "-" &amp; WEEKNUM(A11,2) &amp; "-" &amp; TEXT(ROW(A7),"000"))</f>
        <v>CP-LT-24-007</v>
      </c>
    </row>
    <row r="12" spans="1:14">
      <c r="A12" s="2">
        <v>46182</v>
      </c>
      <c r="B12" t="s">
        <v>171</v>
      </c>
      <c r="C12" t="s">
        <v>54</v>
      </c>
      <c r="D12" t="s">
        <v>2</v>
      </c>
      <c r="E12" t="s">
        <v>60</v>
      </c>
      <c r="F12" t="e">
        <f>VLOOKUP(#REF!,Catalogos!$V$4:$W$85,2,FALSE)</f>
        <v>#REF!</v>
      </c>
      <c r="G12" s="3"/>
      <c r="H12" s="3">
        <v>60</v>
      </c>
      <c r="I12" s="3">
        <f t="shared" si="0"/>
        <v>2031</v>
      </c>
      <c r="J12" s="4">
        <v>28.3</v>
      </c>
      <c r="K12" s="4">
        <f t="shared" si="1"/>
        <v>1698</v>
      </c>
      <c r="M12">
        <v>24</v>
      </c>
      <c r="N12" t="str">
        <f>IF(A12="","", "CP-" &amp; IFERROR(VLOOKUP(D12, Catalogos!$Z$4:$AA$20, 2, FALSE), "FOL") &amp; "-" &amp; WEEKNUM(A12,2) &amp; "-" &amp; TEXT(ROW(A8),"000"))</f>
        <v>CP-LT-24-008</v>
      </c>
    </row>
    <row r="13" spans="1:14">
      <c r="A13" s="2">
        <v>46183</v>
      </c>
      <c r="B13" t="s">
        <v>171</v>
      </c>
      <c r="C13" t="s">
        <v>57</v>
      </c>
      <c r="D13" t="s">
        <v>111</v>
      </c>
      <c r="E13" t="s">
        <v>112</v>
      </c>
      <c r="F13" t="e">
        <f>VLOOKUP(#REF!,Catalogos!$V$4:$W$85,2,FALSE)</f>
        <v>#REF!</v>
      </c>
      <c r="G13" s="3"/>
      <c r="H13" s="3">
        <v>100</v>
      </c>
      <c r="I13" s="3">
        <f t="shared" si="0"/>
        <v>1931</v>
      </c>
      <c r="J13" s="4">
        <v>28.3</v>
      </c>
      <c r="K13" s="4">
        <f t="shared" si="1"/>
        <v>2830</v>
      </c>
      <c r="M13">
        <v>24</v>
      </c>
      <c r="N13" t="str">
        <f>IF(A13="","", "CP-" &amp; IFERROR(VLOOKUP(D13, Catalogos!$Z$4:$AA$20, 2, FALSE), "FOL") &amp; "-" &amp; WEEKNUM(A13,2) &amp; "-" &amp; TEXT(ROW(A9),"000"))</f>
        <v>CP-BT-24-009</v>
      </c>
    </row>
    <row r="14" spans="1:14">
      <c r="A14" s="2">
        <v>46184</v>
      </c>
      <c r="B14" t="s">
        <v>171</v>
      </c>
      <c r="C14" t="s">
        <v>115</v>
      </c>
      <c r="D14" t="s">
        <v>115</v>
      </c>
      <c r="E14" t="s">
        <v>117</v>
      </c>
      <c r="F14" t="e">
        <f>VLOOKUP(#REF!,Catalogos!$V$4:$W$85,2,FALSE)</f>
        <v>#REF!</v>
      </c>
      <c r="G14" s="3"/>
      <c r="H14" s="3">
        <v>238</v>
      </c>
      <c r="I14" s="3">
        <f t="shared" si="0"/>
        <v>1693</v>
      </c>
      <c r="J14" s="4">
        <v>28.3</v>
      </c>
      <c r="K14" s="4">
        <f t="shared" si="1"/>
        <v>6735.4000000000005</v>
      </c>
      <c r="M14">
        <v>24</v>
      </c>
      <c r="N14" t="str">
        <f>IF(A14="","", "CP-" &amp; IFERROR(VLOOKUP(D14, Catalogos!$Z$4:$AA$20, 2, FALSE), "FOL") &amp; "-" &amp; WEEKNUM(A14,2) &amp; "-" &amp; TEXT(ROW(A10),"000"))</f>
        <v>CP-PAP-24-010</v>
      </c>
    </row>
    <row r="15" spans="1:14">
      <c r="A15" s="2">
        <v>46184</v>
      </c>
      <c r="B15" t="s">
        <v>171</v>
      </c>
      <c r="C15" t="s">
        <v>54</v>
      </c>
      <c r="D15" t="s">
        <v>2</v>
      </c>
      <c r="E15" t="s">
        <v>60</v>
      </c>
      <c r="F15" t="e">
        <f>VLOOKUP(#REF!,Catalogos!$V$4:$W$85,2,FALSE)</f>
        <v>#REF!</v>
      </c>
      <c r="G15" s="3"/>
      <c r="H15" s="3">
        <v>80</v>
      </c>
      <c r="I15" s="3">
        <f t="shared" si="0"/>
        <v>1613</v>
      </c>
      <c r="J15" s="4">
        <v>28.3</v>
      </c>
      <c r="K15" s="4">
        <f t="shared" si="1"/>
        <v>2264</v>
      </c>
      <c r="M15">
        <v>24</v>
      </c>
      <c r="N15" t="str">
        <f>IF(A15="","", "CP-" &amp; IFERROR(VLOOKUP(D15, Catalogos!$Z$4:$AA$20, 2, FALSE), "FOL") &amp; "-" &amp; WEEKNUM(A15,2) &amp; "-" &amp; TEXT(ROW(A11),"000"))</f>
        <v>CP-LT-24-011</v>
      </c>
    </row>
    <row r="16" spans="1:14">
      <c r="A16" s="2">
        <v>46184</v>
      </c>
      <c r="B16" t="s">
        <v>171</v>
      </c>
      <c r="C16" t="s">
        <v>54</v>
      </c>
      <c r="D16" t="s">
        <v>2</v>
      </c>
      <c r="E16" t="s">
        <v>98</v>
      </c>
      <c r="F16" t="e">
        <f>VLOOKUP(#REF!,Catalogos!$V$4:$W$85,2,FALSE)</f>
        <v>#REF!</v>
      </c>
      <c r="G16" s="3"/>
      <c r="H16" s="3">
        <v>50</v>
      </c>
      <c r="I16" s="3">
        <f t="shared" si="0"/>
        <v>1563</v>
      </c>
      <c r="J16" s="4">
        <v>28.3</v>
      </c>
      <c r="K16" s="4">
        <f t="shared" si="1"/>
        <v>1415</v>
      </c>
      <c r="M16">
        <v>24</v>
      </c>
      <c r="N16" t="str">
        <f>IF(A16="","", "CP-" &amp; IFERROR(VLOOKUP(D16, Catalogos!$Z$4:$AA$20, 2, FALSE), "FOL") &amp; "-" &amp; WEEKNUM(A16,2) &amp; "-" &amp; TEXT(ROW(A12),"000"))</f>
        <v>CP-LT-24-012</v>
      </c>
    </row>
    <row r="17" spans="1:14">
      <c r="A17" s="2">
        <v>46184</v>
      </c>
      <c r="B17" t="s">
        <v>171</v>
      </c>
      <c r="C17" t="s">
        <v>54</v>
      </c>
      <c r="D17" t="s">
        <v>2</v>
      </c>
      <c r="E17" t="s">
        <v>56</v>
      </c>
      <c r="F17" t="e">
        <f>VLOOKUP(#REF!,Catalogos!$V$4:$W$85,2,FALSE)</f>
        <v>#REF!</v>
      </c>
      <c r="G17" s="3"/>
      <c r="H17" s="3">
        <v>70</v>
      </c>
      <c r="I17" s="3">
        <f t="shared" si="0"/>
        <v>1493</v>
      </c>
      <c r="J17" s="4">
        <v>28.3</v>
      </c>
      <c r="K17" s="4">
        <f t="shared" si="1"/>
        <v>1981</v>
      </c>
      <c r="M17">
        <v>24</v>
      </c>
      <c r="N17" t="str">
        <f>IF(A17="","", "CP-" &amp; IFERROR(VLOOKUP(D17, Catalogos!$Z$4:$AA$20, 2, FALSE), "FOL") &amp; "-" &amp; WEEKNUM(A17,2) &amp; "-" &amp; TEXT(ROW(A13),"000"))</f>
        <v>CP-LT-24-013</v>
      </c>
    </row>
    <row r="18" spans="1:14">
      <c r="A18" s="2">
        <v>46184</v>
      </c>
      <c r="B18" t="s">
        <v>171</v>
      </c>
      <c r="C18" t="s">
        <v>54</v>
      </c>
      <c r="D18" t="s">
        <v>2</v>
      </c>
      <c r="E18" t="s">
        <v>94</v>
      </c>
      <c r="F18" t="e">
        <f>VLOOKUP(#REF!,Catalogos!$V$4:$W$85,2,FALSE)</f>
        <v>#REF!</v>
      </c>
      <c r="G18" s="3"/>
      <c r="H18" s="3">
        <v>80</v>
      </c>
      <c r="I18" s="3">
        <f t="shared" si="0"/>
        <v>1413</v>
      </c>
      <c r="J18" s="4">
        <v>28.3</v>
      </c>
      <c r="K18" s="4">
        <f t="shared" si="1"/>
        <v>2264</v>
      </c>
      <c r="M18">
        <v>24</v>
      </c>
      <c r="N18" t="str">
        <f>IF(A18="","", "CP-" &amp; IFERROR(VLOOKUP(D18, Catalogos!$Z$4:$AA$20, 2, FALSE), "FOL") &amp; "-" &amp; WEEKNUM(A18,2) &amp; "-" &amp; TEXT(ROW(A14),"000"))</f>
        <v>CP-LT-24-014</v>
      </c>
    </row>
    <row r="19" spans="1:14">
      <c r="A19" s="2">
        <v>46184</v>
      </c>
      <c r="B19" t="s">
        <v>171</v>
      </c>
      <c r="C19" t="s">
        <v>54</v>
      </c>
      <c r="D19" t="s">
        <v>2</v>
      </c>
      <c r="E19" t="s">
        <v>65</v>
      </c>
      <c r="F19" t="e">
        <f>VLOOKUP(#REF!,Catalogos!$V$4:$W$85,2,FALSE)</f>
        <v>#REF!</v>
      </c>
      <c r="G19" s="3"/>
      <c r="H19" s="3">
        <v>185</v>
      </c>
      <c r="I19" s="3">
        <f t="shared" si="0"/>
        <v>1228</v>
      </c>
      <c r="J19" s="4">
        <v>28.3</v>
      </c>
      <c r="K19" s="4">
        <f t="shared" si="1"/>
        <v>5235.5</v>
      </c>
      <c r="M19">
        <v>24</v>
      </c>
      <c r="N19" t="str">
        <f>IF(A19="","", "CP-" &amp; IFERROR(VLOOKUP(D19, Catalogos!$Z$4:$AA$20, 2, FALSE), "FOL") &amp; "-" &amp; WEEKNUM(A19,2) &amp; "-" &amp; TEXT(ROW(A15),"000"))</f>
        <v>CP-LT-24-015</v>
      </c>
    </row>
    <row r="20" spans="1:14">
      <c r="A20" s="2">
        <v>46184</v>
      </c>
      <c r="B20" t="s">
        <v>171</v>
      </c>
      <c r="C20" t="s">
        <v>54</v>
      </c>
      <c r="D20" t="s">
        <v>2</v>
      </c>
      <c r="E20" t="s">
        <v>104</v>
      </c>
      <c r="F20" t="e">
        <f>VLOOKUP(#REF!,Catalogos!$V$4:$W$85,2,FALSE)</f>
        <v>#REF!</v>
      </c>
      <c r="G20" s="3"/>
      <c r="H20" s="3">
        <v>50</v>
      </c>
      <c r="I20" s="3">
        <f t="shared" si="0"/>
        <v>1178</v>
      </c>
      <c r="J20" s="4">
        <v>28.3</v>
      </c>
      <c r="K20" s="4">
        <f t="shared" si="1"/>
        <v>1415</v>
      </c>
      <c r="M20">
        <v>24</v>
      </c>
      <c r="N20" t="str">
        <f>IF(A20="","", "CP-" &amp; IFERROR(VLOOKUP(D20, Catalogos!$Z$4:$AA$20, 2, FALSE), "FOL") &amp; "-" &amp; WEEKNUM(A20,2) &amp; "-" &amp; TEXT(ROW(A16),"000"))</f>
        <v>CP-LT-24-016</v>
      </c>
    </row>
    <row r="21" spans="1:14">
      <c r="A21" s="2">
        <v>46184</v>
      </c>
      <c r="B21" t="s">
        <v>171</v>
      </c>
      <c r="C21" t="s">
        <v>54</v>
      </c>
      <c r="D21" t="s">
        <v>2</v>
      </c>
      <c r="E21" t="s">
        <v>104</v>
      </c>
      <c r="F21" t="e">
        <f>VLOOKUP(#REF!,Catalogos!$V$4:$W$85,2,FALSE)</f>
        <v>#REF!</v>
      </c>
      <c r="G21" s="3"/>
      <c r="H21" s="3">
        <v>40</v>
      </c>
      <c r="I21" s="3">
        <f t="shared" si="0"/>
        <v>1138</v>
      </c>
      <c r="J21" s="4">
        <v>28.3</v>
      </c>
      <c r="K21" s="4">
        <f t="shared" si="1"/>
        <v>1132</v>
      </c>
      <c r="M21">
        <v>24</v>
      </c>
      <c r="N21" t="str">
        <f>IF(A21="","", "CP-" &amp; IFERROR(VLOOKUP(D21, Catalogos!$Z$4:$AA$20, 2, FALSE), "FOL") &amp; "-" &amp; WEEKNUM(A21,2) &amp; "-" &amp; TEXT(ROW(A17),"000"))</f>
        <v>CP-LT-24-017</v>
      </c>
    </row>
    <row r="22" spans="1:14">
      <c r="A22" s="2">
        <v>46184</v>
      </c>
      <c r="B22" t="s">
        <v>171</v>
      </c>
      <c r="C22" t="s">
        <v>54</v>
      </c>
      <c r="D22" t="s">
        <v>2</v>
      </c>
      <c r="E22" t="s">
        <v>85</v>
      </c>
      <c r="F22" t="e">
        <f>VLOOKUP(#REF!,Catalogos!$V$4:$W$85,2,FALSE)</f>
        <v>#REF!</v>
      </c>
      <c r="G22" s="3"/>
      <c r="H22" s="3">
        <v>40</v>
      </c>
      <c r="I22" s="3">
        <f t="shared" si="0"/>
        <v>1098</v>
      </c>
      <c r="J22" s="4">
        <v>28.3</v>
      </c>
      <c r="K22" s="4">
        <f t="shared" si="1"/>
        <v>1132</v>
      </c>
      <c r="M22">
        <v>24</v>
      </c>
      <c r="N22" t="str">
        <f>IF(A22="","", "CP-" &amp; IFERROR(VLOOKUP(D22, Catalogos!$Z$4:$AA$20, 2, FALSE), "FOL") &amp; "-" &amp; WEEKNUM(A22,2) &amp; "-" &amp; TEXT(ROW(A18),"000"))</f>
        <v>CP-LT-24-018</v>
      </c>
    </row>
    <row r="23" spans="1:14">
      <c r="A23" s="2">
        <v>46185</v>
      </c>
      <c r="B23" t="s">
        <v>171</v>
      </c>
      <c r="C23" t="s">
        <v>54</v>
      </c>
      <c r="D23" t="s">
        <v>111</v>
      </c>
      <c r="E23" t="s">
        <v>79</v>
      </c>
      <c r="F23" t="e">
        <f>VLOOKUP(#REF!,Catalogos!$V$4:$W$85,2,FALSE)</f>
        <v>#REF!</v>
      </c>
      <c r="G23" s="3"/>
      <c r="H23" s="3">
        <v>70</v>
      </c>
      <c r="I23" s="3">
        <f t="shared" si="0"/>
        <v>1028</v>
      </c>
      <c r="J23" s="4">
        <v>28.3</v>
      </c>
      <c r="K23" s="4">
        <f t="shared" si="1"/>
        <v>1981</v>
      </c>
      <c r="M23">
        <v>24</v>
      </c>
      <c r="N23" t="str">
        <f>IF(A23="","", "CP-" &amp; IFERROR(VLOOKUP(D23, Catalogos!$Z$4:$AA$20, 2, FALSE), "FOL") &amp; "-" &amp; WEEKNUM(A23,2) &amp; "-" &amp; TEXT(ROW(A19),"000"))</f>
        <v>CP-BT-24-019</v>
      </c>
    </row>
    <row r="24" spans="1:14">
      <c r="A24" s="2">
        <v>46188</v>
      </c>
      <c r="B24" t="s">
        <v>171</v>
      </c>
      <c r="C24" t="s">
        <v>47</v>
      </c>
      <c r="D24" t="s">
        <v>111</v>
      </c>
      <c r="E24" t="s">
        <v>237</v>
      </c>
      <c r="F24" t="e">
        <f>VLOOKUP(#REF!,Catalogos!$V$4:$W$85,2,FALSE)</f>
        <v>#REF!</v>
      </c>
      <c r="G24" s="3"/>
      <c r="H24" s="3">
        <v>70</v>
      </c>
      <c r="I24" s="3">
        <f t="shared" si="0"/>
        <v>958</v>
      </c>
      <c r="J24" s="4">
        <v>28.3</v>
      </c>
      <c r="K24" s="4">
        <f t="shared" si="1"/>
        <v>1981</v>
      </c>
      <c r="M24">
        <v>25</v>
      </c>
      <c r="N24" t="str">
        <f>IF(A24="","", "CP-" &amp; IFERROR(VLOOKUP(D24, Catalogos!$Z$4:$AA$20, 2, FALSE), "FOL") &amp; "-" &amp; WEEKNUM(A24,2) &amp; "-" &amp; TEXT(ROW(A20),"000"))</f>
        <v>CP-BT-25-020</v>
      </c>
    </row>
    <row r="25" spans="1:14">
      <c r="A25" s="2">
        <v>46188</v>
      </c>
      <c r="B25" t="s">
        <v>171</v>
      </c>
      <c r="C25" t="s">
        <v>47</v>
      </c>
      <c r="D25" t="s">
        <v>2</v>
      </c>
      <c r="E25" t="s">
        <v>221</v>
      </c>
      <c r="F25" t="e">
        <f>VLOOKUP(#REF!,Catalogos!$V$4:$W$85,2,FALSE)</f>
        <v>#REF!</v>
      </c>
      <c r="G25" s="3"/>
      <c r="H25" s="3">
        <v>24</v>
      </c>
      <c r="I25" s="3">
        <f t="shared" si="0"/>
        <v>934</v>
      </c>
      <c r="J25" s="4">
        <v>28.3</v>
      </c>
      <c r="K25" s="4">
        <f t="shared" si="1"/>
        <v>679.2</v>
      </c>
      <c r="M25">
        <v>25</v>
      </c>
      <c r="N25" t="str">
        <f>IF(A25="","", "CP-" &amp; IFERROR(VLOOKUP(D25, Catalogos!$Z$4:$AA$20, 2, FALSE), "FOL") &amp; "-" &amp; WEEKNUM(A25,2) &amp; "-" &amp; TEXT(ROW(A21),"000"))</f>
        <v>CP-LT-25-021</v>
      </c>
    </row>
    <row r="26" spans="1:14">
      <c r="A26" s="2">
        <v>46188</v>
      </c>
      <c r="B26" t="s">
        <v>171</v>
      </c>
      <c r="C26" t="s">
        <v>47</v>
      </c>
      <c r="D26" t="s">
        <v>115</v>
      </c>
      <c r="E26" t="s">
        <v>245</v>
      </c>
      <c r="F26" t="e">
        <f>VLOOKUP(#REF!,Catalogos!$V$4:$W$85,2,FALSE)</f>
        <v>#REF!</v>
      </c>
      <c r="G26" s="3"/>
      <c r="H26" s="3">
        <v>265</v>
      </c>
      <c r="I26" s="3">
        <f t="shared" si="0"/>
        <v>669</v>
      </c>
      <c r="J26" s="4">
        <v>28.3</v>
      </c>
      <c r="K26" s="4">
        <f t="shared" si="1"/>
        <v>7499.5</v>
      </c>
      <c r="M26">
        <v>25</v>
      </c>
      <c r="N26" t="str">
        <f>IF(A26="","", "CP-" &amp; IFERROR(VLOOKUP(D26, Catalogos!$Z$4:$AA$20, 2, FALSE), "FOL") &amp; "-" &amp; WEEKNUM(A26,2) &amp; "-" &amp; TEXT(ROW(A22),"000"))</f>
        <v>CP-PAP-25-022</v>
      </c>
    </row>
    <row r="27" spans="1:14">
      <c r="A27" s="2">
        <v>46188</v>
      </c>
      <c r="B27" t="s">
        <v>171</v>
      </c>
      <c r="C27" t="s">
        <v>47</v>
      </c>
      <c r="D27" t="s">
        <v>111</v>
      </c>
      <c r="E27" t="s">
        <v>220</v>
      </c>
      <c r="F27" t="e">
        <f>VLOOKUP(#REF!,Catalogos!$V$4:$W$85,2,FALSE)</f>
        <v>#REF!</v>
      </c>
      <c r="G27" s="3"/>
      <c r="H27" s="3">
        <v>33</v>
      </c>
      <c r="I27" s="3">
        <f t="shared" si="0"/>
        <v>636</v>
      </c>
      <c r="J27" s="4">
        <v>28.3</v>
      </c>
      <c r="K27" s="4">
        <f t="shared" si="1"/>
        <v>933.9</v>
      </c>
      <c r="M27">
        <v>25</v>
      </c>
      <c r="N27" t="str">
        <f>IF(A27="","", "CP-" &amp; IFERROR(VLOOKUP(D27, Catalogos!$Z$4:$AA$20, 2, FALSE), "FOL") &amp; "-" &amp; WEEKNUM(A27,2) &amp; "-" &amp; TEXT(ROW(A23),"000"))</f>
        <v>CP-BT-25-023</v>
      </c>
    </row>
    <row r="28" spans="1:14">
      <c r="A28" s="2">
        <v>46188</v>
      </c>
      <c r="B28" t="s">
        <v>171</v>
      </c>
      <c r="C28" t="s">
        <v>47</v>
      </c>
      <c r="D28" t="s">
        <v>2</v>
      </c>
      <c r="E28" t="s">
        <v>383</v>
      </c>
      <c r="F28" t="e">
        <f>VLOOKUP(#REF!,Catalogos!$V$4:$W$85,2,FALSE)</f>
        <v>#REF!</v>
      </c>
      <c r="G28" s="3"/>
      <c r="H28" s="3">
        <v>60</v>
      </c>
      <c r="I28" s="3">
        <f t="shared" si="0"/>
        <v>576</v>
      </c>
      <c r="J28" s="4">
        <v>28.3</v>
      </c>
      <c r="K28" s="4">
        <f t="shared" si="1"/>
        <v>1698</v>
      </c>
      <c r="M28">
        <v>25</v>
      </c>
      <c r="N28" t="str">
        <f>IF(A28="","", "CP-" &amp; IFERROR(VLOOKUP(D28, Catalogos!$Z$4:$AA$20, 2, FALSE), "FOL") &amp; "-" &amp; WEEKNUM(A28,2) &amp; "-" &amp; TEXT(ROW(A24),"000"))</f>
        <v>CP-LT-25-024</v>
      </c>
    </row>
    <row r="29" spans="1:14">
      <c r="A29" s="2">
        <v>46188</v>
      </c>
      <c r="B29" t="s">
        <v>171</v>
      </c>
      <c r="C29" t="s">
        <v>47</v>
      </c>
      <c r="D29" t="s">
        <v>2</v>
      </c>
      <c r="E29" t="s">
        <v>217</v>
      </c>
      <c r="F29" t="e">
        <f>VLOOKUP(#REF!,Catalogos!$V$4:$W$85,2,FALSE)</f>
        <v>#REF!</v>
      </c>
      <c r="G29" s="3"/>
      <c r="H29" s="3">
        <v>52</v>
      </c>
      <c r="I29" s="3">
        <f t="shared" si="0"/>
        <v>524</v>
      </c>
      <c r="J29" s="4">
        <v>28.3</v>
      </c>
      <c r="K29" s="4">
        <f t="shared" si="1"/>
        <v>1471.6000000000001</v>
      </c>
      <c r="M29">
        <v>25</v>
      </c>
      <c r="N29" t="str">
        <f>IF(A29="","", "CP-" &amp; IFERROR(VLOOKUP(D29, Catalogos!$Z$4:$AA$20, 2, FALSE), "FOL") &amp; "-" &amp; WEEKNUM(A29,2) &amp; "-" &amp; TEXT(ROW(A25),"000"))</f>
        <v>CP-LT-25-025</v>
      </c>
    </row>
    <row r="30" spans="1:14">
      <c r="A30" s="2">
        <v>46188</v>
      </c>
      <c r="B30" t="s">
        <v>171</v>
      </c>
      <c r="C30" t="s">
        <v>47</v>
      </c>
      <c r="D30" t="s">
        <v>2</v>
      </c>
      <c r="E30" t="s">
        <v>246</v>
      </c>
      <c r="F30" t="e">
        <f>VLOOKUP(#REF!,Catalogos!$V$4:$W$85,2,FALSE)</f>
        <v>#REF!</v>
      </c>
      <c r="G30" s="3"/>
      <c r="H30" s="3">
        <v>25</v>
      </c>
      <c r="I30" s="3">
        <f t="shared" si="0"/>
        <v>499</v>
      </c>
      <c r="J30" s="4">
        <v>28.3</v>
      </c>
      <c r="K30" s="4">
        <f t="shared" si="1"/>
        <v>707.5</v>
      </c>
      <c r="L30" t="s">
        <v>246</v>
      </c>
      <c r="M30">
        <v>25</v>
      </c>
      <c r="N30" t="str">
        <f>IF(A30="","", "CP-" &amp; IFERROR(VLOOKUP(D30, Catalogos!$Z$4:$AA$20, 2, FALSE), "FOL") &amp; "-" &amp; WEEKNUM(A30,2) &amp; "-" &amp; TEXT(ROW(A26),"000"))</f>
        <v>CP-LT-25-026</v>
      </c>
    </row>
    <row r="31" spans="1:14">
      <c r="A31" s="2">
        <v>46188</v>
      </c>
      <c r="B31" t="s">
        <v>171</v>
      </c>
      <c r="C31" t="s">
        <v>47</v>
      </c>
      <c r="D31" t="s">
        <v>2</v>
      </c>
      <c r="E31" t="s">
        <v>228</v>
      </c>
      <c r="F31" t="e">
        <f>VLOOKUP(#REF!,Catalogos!$V$4:$W$85,2,FALSE)</f>
        <v>#REF!</v>
      </c>
      <c r="G31" s="3"/>
      <c r="H31" s="3">
        <v>55</v>
      </c>
      <c r="I31" s="3">
        <f t="shared" si="0"/>
        <v>444</v>
      </c>
      <c r="J31" s="4">
        <v>28.3</v>
      </c>
      <c r="K31" s="4">
        <f t="shared" si="1"/>
        <v>1556.5</v>
      </c>
      <c r="M31">
        <v>25</v>
      </c>
      <c r="N31" t="str">
        <f>IF(A31="","", "CP-" &amp; IFERROR(VLOOKUP(D31, Catalogos!$Z$4:$AA$20, 2, FALSE), "FOL") &amp; "-" &amp; WEEKNUM(A31,2) &amp; "-" &amp; TEXT(ROW(A27),"000"))</f>
        <v>CP-LT-25-027</v>
      </c>
    </row>
    <row r="32" spans="1:14">
      <c r="A32" s="2">
        <v>46189</v>
      </c>
      <c r="B32" t="s">
        <v>171</v>
      </c>
      <c r="C32" t="s">
        <v>47</v>
      </c>
      <c r="D32" t="s">
        <v>2</v>
      </c>
      <c r="E32" t="s">
        <v>235</v>
      </c>
      <c r="F32" t="e">
        <f>VLOOKUP(#REF!,Catalogos!$V$4:$W$85,2,FALSE)</f>
        <v>#REF!</v>
      </c>
      <c r="G32" s="3"/>
      <c r="H32" s="3">
        <v>50</v>
      </c>
      <c r="I32" s="3">
        <f t="shared" si="0"/>
        <v>394</v>
      </c>
      <c r="J32" s="4">
        <v>28.3</v>
      </c>
      <c r="K32" s="4">
        <f t="shared" si="1"/>
        <v>1415</v>
      </c>
      <c r="M32">
        <v>25</v>
      </c>
      <c r="N32" t="str">
        <f>IF(A32="","", "CP-" &amp; IFERROR(VLOOKUP(D32, Catalogos!$Z$4:$AA$20, 2, FALSE), "FOL") &amp; "-" &amp; WEEKNUM(A32,2) &amp; "-" &amp; TEXT(ROW(A28),"000"))</f>
        <v>CP-LT-25-028</v>
      </c>
    </row>
    <row r="33" spans="1:14">
      <c r="A33" s="2">
        <v>46189</v>
      </c>
      <c r="B33" t="s">
        <v>171</v>
      </c>
      <c r="C33" t="s">
        <v>47</v>
      </c>
      <c r="D33" t="s">
        <v>115</v>
      </c>
      <c r="E33" t="s">
        <v>233</v>
      </c>
      <c r="F33" t="e">
        <f>VLOOKUP(#REF!,Catalogos!$V$4:$W$85,2,FALSE)</f>
        <v>#REF!</v>
      </c>
      <c r="G33" s="3"/>
      <c r="H33" s="3">
        <v>51</v>
      </c>
      <c r="I33" s="3">
        <f t="shared" si="0"/>
        <v>343</v>
      </c>
      <c r="J33" s="4">
        <v>28.3</v>
      </c>
      <c r="K33" s="4">
        <f t="shared" si="1"/>
        <v>1443.3</v>
      </c>
      <c r="L33" t="s">
        <v>398</v>
      </c>
      <c r="M33">
        <v>25</v>
      </c>
      <c r="N33" t="str">
        <f>IF(A33="","", "CP-" &amp; IFERROR(VLOOKUP(D33, Catalogos!$Z$4:$AA$20, 2, FALSE), "FOL") &amp; "-" &amp; WEEKNUM(A33,2) &amp; "-" &amp; TEXT(ROW(A29),"000"))</f>
        <v>CP-PAP-25-029</v>
      </c>
    </row>
    <row r="34" spans="1:14">
      <c r="A34" s="2">
        <v>46189</v>
      </c>
      <c r="B34" t="s">
        <v>171</v>
      </c>
      <c r="C34" t="s">
        <v>47</v>
      </c>
      <c r="D34" t="s">
        <v>115</v>
      </c>
      <c r="E34" t="s">
        <v>237</v>
      </c>
      <c r="F34" t="e">
        <f>VLOOKUP(#REF!,Catalogos!$V$4:$W$85,2,FALSE)</f>
        <v>#REF!</v>
      </c>
      <c r="G34" s="3"/>
      <c r="H34" s="3">
        <v>1001</v>
      </c>
      <c r="I34" s="3">
        <f t="shared" si="0"/>
        <v>-658</v>
      </c>
      <c r="J34" s="4">
        <v>28.3</v>
      </c>
      <c r="K34" s="4">
        <f t="shared" si="1"/>
        <v>28328.3</v>
      </c>
      <c r="M34">
        <v>25</v>
      </c>
      <c r="N34" t="str">
        <f>IF(A34="","", "CP-" &amp; IFERROR(VLOOKUP(D34, Catalogos!$Z$4:$AA$20, 2, FALSE), "FOL") &amp; "-" &amp; WEEKNUM(A34,2) &amp; "-" &amp; TEXT(ROW(A30),"000"))</f>
        <v>CP-PAP-25-030</v>
      </c>
    </row>
    <row r="35" spans="1:14">
      <c r="A35" s="2">
        <v>46189</v>
      </c>
      <c r="B35" t="s">
        <v>171</v>
      </c>
      <c r="C35" t="s">
        <v>47</v>
      </c>
      <c r="D35" t="s">
        <v>2</v>
      </c>
      <c r="E35" t="s">
        <v>214</v>
      </c>
      <c r="F35" t="e">
        <f>VLOOKUP(#REF!,Catalogos!$V$4:$W$85,2,FALSE)</f>
        <v>#REF!</v>
      </c>
      <c r="G35" s="3"/>
      <c r="H35" s="3">
        <v>350</v>
      </c>
      <c r="I35" s="3">
        <f t="shared" si="0"/>
        <v>-1008</v>
      </c>
      <c r="J35" s="4">
        <v>28.3</v>
      </c>
      <c r="K35" s="4">
        <f t="shared" si="1"/>
        <v>9905</v>
      </c>
      <c r="M35">
        <v>25</v>
      </c>
      <c r="N35" t="str">
        <f>IF(A35="","", "CP-" &amp; IFERROR(VLOOKUP(D35, Catalogos!$Z$4:$AA$20, 2, FALSE), "FOL") &amp; "-" &amp; WEEKNUM(A35,2) &amp; "-" &amp; TEXT(ROW(A31),"000"))</f>
        <v>CP-LT-25-031</v>
      </c>
    </row>
    <row r="36" spans="1:14">
      <c r="A36" s="2">
        <v>46189</v>
      </c>
      <c r="B36" t="s">
        <v>171</v>
      </c>
      <c r="C36" t="s">
        <v>47</v>
      </c>
      <c r="D36" t="s">
        <v>111</v>
      </c>
      <c r="E36" t="s">
        <v>214</v>
      </c>
      <c r="F36" t="e">
        <f>VLOOKUP(#REF!,Catalogos!$V$4:$W$85,2,FALSE)</f>
        <v>#REF!</v>
      </c>
      <c r="G36" s="3"/>
      <c r="H36" s="3">
        <v>200</v>
      </c>
      <c r="I36" s="3">
        <f t="shared" si="0"/>
        <v>-1208</v>
      </c>
      <c r="J36" s="4">
        <v>28.3</v>
      </c>
      <c r="K36" s="4"/>
      <c r="M36">
        <v>25</v>
      </c>
      <c r="N36" t="str">
        <f>IF(A36="","", "CP-" &amp; IFERROR(VLOOKUP(D36, Catalogos!$Z$4:$AA$20, 2, FALSE), "FOL") &amp; "-" &amp; WEEKNUM(A36,2) &amp; "-" &amp; TEXT(ROW(A32),"000"))</f>
        <v>CP-BT-25-032</v>
      </c>
    </row>
    <row r="37" spans="1:14">
      <c r="A37" s="2">
        <v>46189</v>
      </c>
      <c r="B37" t="s">
        <v>171</v>
      </c>
      <c r="C37" t="s">
        <v>47</v>
      </c>
      <c r="D37" t="s">
        <v>2</v>
      </c>
      <c r="E37" t="s">
        <v>235</v>
      </c>
      <c r="F37" t="e">
        <f>VLOOKUP(#REF!,Catalogos!$V$4:$W$85,2,FALSE)</f>
        <v>#REF!</v>
      </c>
      <c r="G37" s="3"/>
      <c r="H37" s="3">
        <v>50</v>
      </c>
      <c r="I37" s="3">
        <f t="shared" si="0"/>
        <v>-1258</v>
      </c>
      <c r="J37" s="4">
        <v>28.3</v>
      </c>
      <c r="K37" s="4">
        <f t="shared" si="1"/>
        <v>1415</v>
      </c>
      <c r="M37">
        <v>25</v>
      </c>
      <c r="N37" t="str">
        <f>IF(A37="","", "CP-" &amp; IFERROR(VLOOKUP(D37, Catalogos!$Z$4:$AA$20, 2, FALSE), "FOL") &amp; "-" &amp; WEEKNUM(A37,2) &amp; "-" &amp; TEXT(ROW(A33),"000"))</f>
        <v>CP-LT-25-033</v>
      </c>
    </row>
    <row r="38" spans="1:14">
      <c r="A38" s="2">
        <v>46189</v>
      </c>
      <c r="B38" t="s">
        <v>171</v>
      </c>
      <c r="C38" t="s">
        <v>47</v>
      </c>
      <c r="D38" t="s">
        <v>2</v>
      </c>
      <c r="E38" t="s">
        <v>365</v>
      </c>
      <c r="F38" t="e">
        <f>VLOOKUP(#REF!,Catalogos!$V$4:$W$85,2,FALSE)</f>
        <v>#REF!</v>
      </c>
      <c r="G38" s="3"/>
      <c r="H38" s="3">
        <v>165</v>
      </c>
      <c r="I38" s="3">
        <f t="shared" si="0"/>
        <v>-1423</v>
      </c>
      <c r="J38" s="4">
        <v>28.3</v>
      </c>
      <c r="K38" s="4">
        <f t="shared" si="1"/>
        <v>4669.5</v>
      </c>
      <c r="M38">
        <v>25</v>
      </c>
      <c r="N38" t="str">
        <f>IF(A38="","", "CP-" &amp; IFERROR(VLOOKUP(D38, Catalogos!$Z$4:$AA$20, 2, FALSE), "FOL") &amp; "-" &amp; WEEKNUM(A38,2) &amp; "-" &amp; TEXT(ROW(A34),"000"))</f>
        <v>CP-LT-25-034</v>
      </c>
    </row>
    <row r="39" spans="1:14">
      <c r="A39" s="2">
        <v>46190</v>
      </c>
      <c r="B39" t="s">
        <v>171</v>
      </c>
      <c r="C39" t="s">
        <v>47</v>
      </c>
      <c r="D39" t="s">
        <v>2</v>
      </c>
      <c r="E39" t="s">
        <v>231</v>
      </c>
      <c r="F39" t="e">
        <f>VLOOKUP(#REF!,Catalogos!$V$4:$W$85,2,FALSE)</f>
        <v>#REF!</v>
      </c>
      <c r="G39" s="3"/>
      <c r="H39" s="3">
        <v>81</v>
      </c>
      <c r="I39" s="3">
        <f t="shared" si="0"/>
        <v>-1504</v>
      </c>
      <c r="J39" s="4">
        <v>28.3</v>
      </c>
      <c r="K39" s="4">
        <f t="shared" si="1"/>
        <v>2292.3000000000002</v>
      </c>
      <c r="M39">
        <v>25</v>
      </c>
      <c r="N39" t="str">
        <f>IF(A39="","", "CP-" &amp; IFERROR(VLOOKUP(D39, Catalogos!$Z$4:$AA$20, 2, FALSE), "FOL") &amp; "-" &amp; WEEKNUM(A39,2) &amp; "-" &amp; TEXT(ROW(A35),"000"))</f>
        <v>CP-LT-25-035</v>
      </c>
    </row>
    <row r="40" spans="1:14">
      <c r="A40" s="2">
        <v>46192</v>
      </c>
      <c r="B40" t="s">
        <v>171</v>
      </c>
      <c r="C40" t="s">
        <v>47</v>
      </c>
      <c r="D40" t="s">
        <v>2</v>
      </c>
      <c r="E40" t="s">
        <v>383</v>
      </c>
      <c r="F40" t="e">
        <f>VLOOKUP(#REF!,Catalogos!$V$4:$W$85,2,FALSE)</f>
        <v>#REF!</v>
      </c>
      <c r="G40" s="3"/>
      <c r="H40" s="3">
        <v>40</v>
      </c>
      <c r="I40" s="3">
        <f t="shared" si="0"/>
        <v>-1544</v>
      </c>
      <c r="J40" s="4">
        <v>28.3</v>
      </c>
      <c r="K40" s="4">
        <f t="shared" ref="K40:K72" si="2">IFERROR((G40+H40)*J40,0)</f>
        <v>1132</v>
      </c>
      <c r="M40">
        <v>25</v>
      </c>
      <c r="N40" t="str">
        <f>IF(A40="","", "CP-" &amp; IFERROR(VLOOKUP(D40, Catalogos!$Z$4:$AA$20, 2, FALSE), "FOL") &amp; "-" &amp; WEEKNUM(A40,2) &amp; "-" &amp; TEXT(ROW(A36),"000"))</f>
        <v>CP-LT-25-036</v>
      </c>
    </row>
    <row r="41" spans="1:14">
      <c r="A41" s="2">
        <v>46192</v>
      </c>
      <c r="B41" t="s">
        <v>171</v>
      </c>
      <c r="C41" t="s">
        <v>47</v>
      </c>
      <c r="D41" t="s">
        <v>159</v>
      </c>
      <c r="E41" t="s">
        <v>383</v>
      </c>
      <c r="F41" t="e">
        <f>VLOOKUP(#REF!,Catalogos!$V$4:$W$85,2,FALSE)</f>
        <v>#REF!</v>
      </c>
      <c r="G41" s="3"/>
      <c r="H41" s="3">
        <v>40</v>
      </c>
      <c r="I41" s="3">
        <f t="shared" ref="I41" si="3">IF(ROW()=5,G41-H41,I40+G41-H41)</f>
        <v>-1584</v>
      </c>
      <c r="J41" s="4">
        <v>28.3</v>
      </c>
      <c r="K41" s="4">
        <f t="shared" si="2"/>
        <v>1132</v>
      </c>
      <c r="M41">
        <v>25</v>
      </c>
      <c r="N41" t="str">
        <f>IF(A41="","", "CP-" &amp; IFERROR(VLOOKUP(D41, Catalogos!$Z$4:$AA$20, 2, FALSE), "FOL") &amp; "-" &amp; WEEKNUM(A41,2) &amp; "-" &amp; TEXT(ROW(A37),"000"))</f>
        <v>CP-DR-25-037</v>
      </c>
    </row>
    <row r="42" spans="1:14">
      <c r="A42" s="2">
        <v>46192</v>
      </c>
      <c r="B42" t="s">
        <v>171</v>
      </c>
      <c r="C42" t="s">
        <v>47</v>
      </c>
      <c r="D42" t="s">
        <v>2</v>
      </c>
      <c r="E42" t="s">
        <v>217</v>
      </c>
      <c r="F42" t="e">
        <f>VLOOKUP(#REF!,Catalogos!$V$4:$W$85,2,FALSE)</f>
        <v>#REF!</v>
      </c>
      <c r="G42" s="3"/>
      <c r="H42" s="3">
        <v>43</v>
      </c>
      <c r="I42" s="3">
        <f>IF(ROW()=5,G42-H42,I40+G42-H42)</f>
        <v>-1587</v>
      </c>
      <c r="J42" s="4">
        <v>28.3</v>
      </c>
      <c r="K42" s="4">
        <f t="shared" si="2"/>
        <v>1216.9000000000001</v>
      </c>
      <c r="M42">
        <v>25</v>
      </c>
      <c r="N42" t="str">
        <f>IF(A42="","", "CP-" &amp; IFERROR(VLOOKUP(D42, Catalogos!$Z$4:$AA$20, 2, FALSE), "FOL") &amp; "-" &amp; WEEKNUM(A42,2) &amp; "-" &amp; TEXT(ROW(A38),"000"))</f>
        <v>CP-LT-25-038</v>
      </c>
    </row>
    <row r="43" spans="1:14">
      <c r="A43" s="2">
        <v>46192</v>
      </c>
      <c r="B43" t="s">
        <v>171</v>
      </c>
      <c r="C43" t="s">
        <v>47</v>
      </c>
      <c r="D43" t="s">
        <v>2</v>
      </c>
      <c r="E43" t="s">
        <v>221</v>
      </c>
      <c r="F43" t="e">
        <f>VLOOKUP(#REF!,Catalogos!$V$4:$W$85,2,FALSE)</f>
        <v>#REF!</v>
      </c>
      <c r="G43" s="3"/>
      <c r="H43" s="3">
        <v>50</v>
      </c>
      <c r="I43" s="3">
        <f t="shared" si="0"/>
        <v>-1637</v>
      </c>
      <c r="J43" s="4">
        <v>28.3</v>
      </c>
      <c r="K43" s="4">
        <f t="shared" si="2"/>
        <v>1415</v>
      </c>
      <c r="M43">
        <v>25</v>
      </c>
      <c r="N43" t="str">
        <f>IF(A43="","", "CP-" &amp; IFERROR(VLOOKUP(D43, Catalogos!$Z$4:$AA$20, 2, FALSE), "FOL") &amp; "-" &amp; WEEKNUM(A43,2) &amp; "-" &amp; TEXT(ROW(A39),"000"))</f>
        <v>CP-LT-25-039</v>
      </c>
    </row>
    <row r="44" spans="1:14">
      <c r="A44" s="2">
        <v>46192</v>
      </c>
      <c r="B44" t="s">
        <v>171</v>
      </c>
      <c r="C44" t="s">
        <v>47</v>
      </c>
      <c r="D44" t="s">
        <v>2</v>
      </c>
      <c r="E44" t="s">
        <v>228</v>
      </c>
      <c r="F44" t="e">
        <f>VLOOKUP(#REF!,Catalogos!$V$4:$W$85,2,FALSE)</f>
        <v>#REF!</v>
      </c>
      <c r="G44" s="3"/>
      <c r="H44" s="3">
        <v>80</v>
      </c>
      <c r="I44" s="3">
        <f t="shared" si="0"/>
        <v>-1717</v>
      </c>
      <c r="J44" s="4">
        <v>28.3</v>
      </c>
      <c r="K44" s="4">
        <f t="shared" si="2"/>
        <v>2264</v>
      </c>
      <c r="M44">
        <v>25</v>
      </c>
      <c r="N44" t="str">
        <f>IF(A44="","", "CP-" &amp; IFERROR(VLOOKUP(D44, Catalogos!$Z$4:$AA$20, 2, FALSE), "FOL") &amp; "-" &amp; WEEKNUM(A44,2) &amp; "-" &amp; TEXT(ROW(A40),"000"))</f>
        <v>CP-LT-25-040</v>
      </c>
    </row>
    <row r="45" spans="1:14">
      <c r="A45" s="2">
        <v>46192</v>
      </c>
      <c r="B45" t="s">
        <v>171</v>
      </c>
      <c r="C45" t="s">
        <v>47</v>
      </c>
      <c r="D45" t="s">
        <v>2</v>
      </c>
      <c r="E45" t="s">
        <v>223</v>
      </c>
      <c r="F45" t="e">
        <f>VLOOKUP(#REF!,Catalogos!$V$4:$W$85,2,FALSE)</f>
        <v>#REF!</v>
      </c>
      <c r="G45" s="3"/>
      <c r="H45" s="3">
        <v>30</v>
      </c>
      <c r="I45" s="3">
        <f t="shared" si="0"/>
        <v>-1747</v>
      </c>
      <c r="J45" s="4">
        <v>28.3</v>
      </c>
      <c r="K45" s="4">
        <f t="shared" si="2"/>
        <v>849</v>
      </c>
      <c r="M45">
        <v>25</v>
      </c>
      <c r="N45" t="str">
        <f>IF(A45="","", "CP-" &amp; IFERROR(VLOOKUP(D45, Catalogos!$Z$4:$AA$20, 2, FALSE), "FOL") &amp; "-" &amp; WEEKNUM(A45,2) &amp; "-" &amp; TEXT(ROW(A41),"000"))</f>
        <v>CP-LT-25-041</v>
      </c>
    </row>
    <row r="46" spans="1:14">
      <c r="A46" s="2">
        <v>46192</v>
      </c>
      <c r="B46" t="s">
        <v>171</v>
      </c>
      <c r="C46" t="s">
        <v>47</v>
      </c>
      <c r="D46" t="s">
        <v>2</v>
      </c>
      <c r="E46" t="s">
        <v>365</v>
      </c>
      <c r="F46" t="e">
        <f>VLOOKUP(#REF!,Catalogos!$V$4:$W$85,2,FALSE)</f>
        <v>#REF!</v>
      </c>
      <c r="G46" s="3"/>
      <c r="H46" s="3">
        <v>160</v>
      </c>
      <c r="I46" s="3">
        <f t="shared" si="0"/>
        <v>-1907</v>
      </c>
      <c r="J46" s="4">
        <v>28.3</v>
      </c>
      <c r="K46" s="4">
        <f t="shared" si="2"/>
        <v>4528</v>
      </c>
      <c r="M46">
        <v>25</v>
      </c>
      <c r="N46" t="str">
        <f>IF(A46="","", "CP-" &amp; IFERROR(VLOOKUP(D46, Catalogos!$Z$4:$AA$20, 2, FALSE), "FOL") &amp; "-" &amp; WEEKNUM(A46,2) &amp; "-" &amp; TEXT(ROW(A42),"000"))</f>
        <v>CP-LT-25-042</v>
      </c>
    </row>
    <row r="47" spans="1:14">
      <c r="A47" s="2">
        <v>46192</v>
      </c>
      <c r="B47" t="s">
        <v>171</v>
      </c>
      <c r="C47" t="s">
        <v>47</v>
      </c>
      <c r="D47" t="s">
        <v>2</v>
      </c>
      <c r="E47" t="s">
        <v>235</v>
      </c>
      <c r="F47" t="e">
        <f>VLOOKUP(#REF!,Catalogos!$V$4:$W$85,2,FALSE)</f>
        <v>#REF!</v>
      </c>
      <c r="G47" s="3"/>
      <c r="H47" s="3">
        <v>50</v>
      </c>
      <c r="I47" s="3">
        <f t="shared" si="0"/>
        <v>-1957</v>
      </c>
      <c r="J47" s="4">
        <v>28.3</v>
      </c>
      <c r="K47" s="4">
        <f t="shared" si="2"/>
        <v>1415</v>
      </c>
      <c r="M47">
        <v>25</v>
      </c>
      <c r="N47" t="str">
        <f>IF(A47="","", "CP-" &amp; IFERROR(VLOOKUP(D47, Catalogos!$Z$4:$AA$20, 2, FALSE), "FOL") &amp; "-" &amp; WEEKNUM(A47,2) &amp; "-" &amp; TEXT(ROW(A43),"000"))</f>
        <v>CP-LT-25-043</v>
      </c>
    </row>
    <row r="48" spans="1:14">
      <c r="A48" s="2">
        <v>46192</v>
      </c>
      <c r="B48" t="s">
        <v>171</v>
      </c>
      <c r="C48" t="s">
        <v>47</v>
      </c>
      <c r="D48" t="s">
        <v>111</v>
      </c>
      <c r="E48" t="s">
        <v>209</v>
      </c>
      <c r="F48" t="e">
        <f>VLOOKUP(#REF!,Catalogos!$V$4:$W$85,2,FALSE)</f>
        <v>#REF!</v>
      </c>
      <c r="G48" s="3"/>
      <c r="H48" s="3">
        <v>60</v>
      </c>
      <c r="I48" s="3">
        <f t="shared" si="0"/>
        <v>-2017</v>
      </c>
      <c r="J48" s="4">
        <v>28.3</v>
      </c>
      <c r="K48" s="4">
        <f t="shared" si="2"/>
        <v>1698</v>
      </c>
      <c r="M48">
        <v>25</v>
      </c>
      <c r="N48" t="str">
        <f>IF(A48="","", "CP-" &amp; IFERROR(VLOOKUP(D48, Catalogos!$Z$4:$AA$20, 2, FALSE), "FOL") &amp; "-" &amp; WEEKNUM(A48,2) &amp; "-" &amp; TEXT(ROW(A44),"000"))</f>
        <v>CP-BT-25-044</v>
      </c>
    </row>
    <row r="49" spans="1:14">
      <c r="A49" s="2">
        <v>46193</v>
      </c>
      <c r="B49" t="s">
        <v>171</v>
      </c>
      <c r="C49" t="s">
        <v>47</v>
      </c>
      <c r="D49" t="s">
        <v>111</v>
      </c>
      <c r="E49" t="s">
        <v>237</v>
      </c>
      <c r="F49" t="e">
        <f>VLOOKUP(#REF!,Catalogos!$V$4:$W$85,2,FALSE)</f>
        <v>#REF!</v>
      </c>
      <c r="G49" s="3"/>
      <c r="H49" s="3">
        <v>70</v>
      </c>
      <c r="I49" s="3">
        <f t="shared" si="0"/>
        <v>-2087</v>
      </c>
      <c r="J49" s="4">
        <v>28.3</v>
      </c>
      <c r="K49" s="4">
        <f t="shared" si="2"/>
        <v>1981</v>
      </c>
      <c r="M49">
        <v>25</v>
      </c>
      <c r="N49" t="str">
        <f>IF(A49="","", "CP-" &amp; IFERROR(VLOOKUP(D49, Catalogos!$Z$4:$AA$20, 2, FALSE), "FOL") &amp; "-" &amp; WEEKNUM(A49,2) &amp; "-" &amp; TEXT(ROW(A45),"000"))</f>
        <v>CP-BT-25-045</v>
      </c>
    </row>
    <row r="50" spans="1:14">
      <c r="A50" s="2">
        <v>46193</v>
      </c>
      <c r="B50" t="s">
        <v>171</v>
      </c>
      <c r="C50" t="s">
        <v>47</v>
      </c>
      <c r="D50" t="s">
        <v>115</v>
      </c>
      <c r="E50" t="s">
        <v>237</v>
      </c>
      <c r="F50" t="e">
        <f>VLOOKUP(#REF!,Catalogos!$V$4:$W$85,2,FALSE)</f>
        <v>#REF!</v>
      </c>
      <c r="G50" s="3"/>
      <c r="H50" s="3">
        <v>600</v>
      </c>
      <c r="I50" s="3">
        <f t="shared" si="0"/>
        <v>-2687</v>
      </c>
      <c r="J50" s="4">
        <v>28.3</v>
      </c>
      <c r="K50" s="4">
        <f t="shared" si="2"/>
        <v>16980</v>
      </c>
      <c r="M50">
        <v>25</v>
      </c>
      <c r="N50" t="str">
        <f>IF(A50="","", "CP-" &amp; IFERROR(VLOOKUP(D50, Catalogos!$Z$4:$AA$20, 2, FALSE), "FOL") &amp; "-" &amp; WEEKNUM(A50,2) &amp; "-" &amp; TEXT(ROW(A46),"000"))</f>
        <v>CP-PAP-25-046</v>
      </c>
    </row>
    <row r="51" spans="1:14">
      <c r="A51" s="2">
        <v>46188</v>
      </c>
      <c r="B51" t="s">
        <v>171</v>
      </c>
      <c r="C51" t="s">
        <v>47</v>
      </c>
      <c r="D51" t="s">
        <v>111</v>
      </c>
      <c r="E51" t="s">
        <v>215</v>
      </c>
      <c r="F51" t="e">
        <f>VLOOKUP(#REF!,Catalogos!$V$4:$W$85,2,FALSE)</f>
        <v>#REF!</v>
      </c>
      <c r="G51" s="3"/>
      <c r="H51" s="3">
        <v>200</v>
      </c>
      <c r="I51" s="3">
        <f t="shared" si="0"/>
        <v>-2887</v>
      </c>
      <c r="J51" s="4">
        <v>28.3</v>
      </c>
      <c r="K51" s="4">
        <f t="shared" si="2"/>
        <v>5660</v>
      </c>
      <c r="M51">
        <v>25</v>
      </c>
      <c r="N51" t="str">
        <f>IF(A51="","", "CP-" &amp; IFERROR(VLOOKUP(D51, Catalogos!$Z$4:$AA$20, 2, FALSE), "FOL") &amp; "-" &amp; WEEKNUM(A51,2) &amp; "-" &amp; TEXT(ROW(A47),"000"))</f>
        <v>CP-BT-25-047</v>
      </c>
    </row>
    <row r="52" spans="1:14">
      <c r="A52" s="2">
        <v>46195</v>
      </c>
      <c r="B52" t="s">
        <v>125</v>
      </c>
      <c r="C52" t="s">
        <v>47</v>
      </c>
      <c r="F52" t="e">
        <f>VLOOKUP(#REF!,Catalogos!$V$4:$W$85,2,FALSE)</f>
        <v>#REF!</v>
      </c>
      <c r="G52" s="3">
        <v>6036.51</v>
      </c>
      <c r="H52" s="3"/>
      <c r="I52" s="3">
        <f t="shared" si="0"/>
        <v>3149.51</v>
      </c>
      <c r="J52" s="4">
        <v>28.3</v>
      </c>
      <c r="K52" s="4">
        <f t="shared" si="2"/>
        <v>170833.23300000001</v>
      </c>
      <c r="M52">
        <v>26</v>
      </c>
      <c r="N52" t="str">
        <f>IF(A52="","", "CP-" &amp; IFERROR(VLOOKUP(D52, Catalogos!$Z$4:$AA$20, 2, FALSE), "FOL") &amp; "-" &amp; WEEKNUM(A52,2) &amp; "-" &amp; TEXT(ROW(A48),"000"))</f>
        <v>CP-FOL-26-048</v>
      </c>
    </row>
    <row r="53" spans="1:14">
      <c r="A53" s="2"/>
      <c r="C53" t="s">
        <v>47</v>
      </c>
      <c r="F53" t="e">
        <f>VLOOKUP(#REF!,Catalogos!$V$4:$W$85,2,FALSE)</f>
        <v>#REF!</v>
      </c>
      <c r="G53" s="3"/>
      <c r="H53" s="3"/>
      <c r="I53" s="3">
        <f t="shared" si="0"/>
        <v>3149.51</v>
      </c>
      <c r="J53" s="4">
        <v>28.3</v>
      </c>
      <c r="K53" s="4">
        <f t="shared" si="2"/>
        <v>0</v>
      </c>
      <c r="N53" t="str">
        <f>IF(A53="","", "CP-" &amp; IFERROR(VLOOKUP(D53, Catalogos!$Z$4:$AA$20, 2, FALSE), "FOL") &amp; "-" &amp; WEEKNUM(A53,2) &amp; "-" &amp; TEXT(ROW(A49),"000"))</f>
        <v/>
      </c>
    </row>
    <row r="54" spans="1:14">
      <c r="A54" s="2"/>
      <c r="C54" t="s">
        <v>47</v>
      </c>
      <c r="F54" t="e">
        <f>VLOOKUP(#REF!,Catalogos!$V$4:$W$85,2,FALSE)</f>
        <v>#REF!</v>
      </c>
      <c r="G54" s="3"/>
      <c r="H54" s="3"/>
      <c r="I54" s="3">
        <f t="shared" si="0"/>
        <v>3149.51</v>
      </c>
      <c r="J54" s="4">
        <v>28.3</v>
      </c>
      <c r="K54" s="4">
        <f t="shared" si="2"/>
        <v>0</v>
      </c>
      <c r="N54" t="str">
        <f>IF(A54="","", "CP-" &amp; IFERROR(VLOOKUP(D54, Catalogos!$Z$4:$AA$20, 2, FALSE), "FOL") &amp; "-" &amp; WEEKNUM(A54,2) &amp; "-" &amp; TEXT(ROW(A50),"000"))</f>
        <v/>
      </c>
    </row>
    <row r="55" spans="1:14">
      <c r="A55" s="2"/>
      <c r="C55" t="s">
        <v>47</v>
      </c>
      <c r="F55" t="e">
        <f>VLOOKUP(#REF!,Catalogos!$V$4:$W$85,2,FALSE)</f>
        <v>#REF!</v>
      </c>
      <c r="G55" s="3"/>
      <c r="H55" s="3"/>
      <c r="I55" s="3">
        <f t="shared" si="0"/>
        <v>3149.51</v>
      </c>
      <c r="J55" s="4">
        <v>28.3</v>
      </c>
      <c r="K55" s="4">
        <f t="shared" si="2"/>
        <v>0</v>
      </c>
      <c r="N55" t="str">
        <f>IF(A55="","", "CP-" &amp; IFERROR(VLOOKUP(D55, Catalogos!$Z$4:$AA$20, 2, FALSE), "FOL") &amp; "-" &amp; WEEKNUM(A55,2) &amp; "-" &amp; TEXT(ROW(A51),"000"))</f>
        <v/>
      </c>
    </row>
    <row r="56" spans="1:14">
      <c r="A56" s="2"/>
      <c r="C56" t="s">
        <v>47</v>
      </c>
      <c r="F56" t="e">
        <f>VLOOKUP(#REF!,Catalogos!$V$4:$W$85,2,FALSE)</f>
        <v>#REF!</v>
      </c>
      <c r="G56" s="3"/>
      <c r="H56" s="3"/>
      <c r="I56" s="3">
        <f t="shared" si="0"/>
        <v>3149.51</v>
      </c>
      <c r="J56" s="4">
        <v>28.3</v>
      </c>
      <c r="K56" s="4">
        <f t="shared" si="2"/>
        <v>0</v>
      </c>
      <c r="N56" t="str">
        <f>IF(A56="","", "CP-" &amp; IFERROR(VLOOKUP(D56, Catalogos!$Z$4:$AA$20, 2, FALSE), "FOL") &amp; "-" &amp; WEEKNUM(A56,2) &amp; "-" &amp; TEXT(ROW(A52),"000"))</f>
        <v/>
      </c>
    </row>
    <row r="57" spans="1:14">
      <c r="A57" s="2"/>
      <c r="C57" t="s">
        <v>47</v>
      </c>
      <c r="F57" t="e">
        <f>VLOOKUP(#REF!,Catalogos!$V$4:$W$85,2,FALSE)</f>
        <v>#REF!</v>
      </c>
      <c r="G57" s="3"/>
      <c r="H57" s="3"/>
      <c r="I57" s="3">
        <f t="shared" si="0"/>
        <v>3149.51</v>
      </c>
      <c r="J57" s="4">
        <v>28.3</v>
      </c>
      <c r="K57" s="4">
        <f t="shared" si="2"/>
        <v>0</v>
      </c>
      <c r="N57" t="str">
        <f>IF(A57="","", "CP-" &amp; IFERROR(VLOOKUP(D57, Catalogos!$Z$4:$AA$20, 2, FALSE), "FOL") &amp; "-" &amp; WEEKNUM(A57,2) &amp; "-" &amp; TEXT(ROW(A53),"000"))</f>
        <v/>
      </c>
    </row>
    <row r="58" spans="1:14">
      <c r="A58" s="2"/>
      <c r="C58" t="s">
        <v>47</v>
      </c>
      <c r="F58" t="e">
        <f>VLOOKUP(#REF!,Catalogos!$V$4:$W$85,2,FALSE)</f>
        <v>#REF!</v>
      </c>
      <c r="G58" s="3"/>
      <c r="H58" s="3"/>
      <c r="I58" s="3">
        <f t="shared" si="0"/>
        <v>3149.51</v>
      </c>
      <c r="J58" s="4">
        <v>28.3</v>
      </c>
      <c r="K58" s="4">
        <f t="shared" si="2"/>
        <v>0</v>
      </c>
      <c r="N58" t="str">
        <f>IF(A58="","", "CP-" &amp; IFERROR(VLOOKUP(D58, Catalogos!$Z$4:$AA$20, 2, FALSE), "FOL") &amp; "-" &amp; WEEKNUM(A58,2) &amp; "-" &amp; TEXT(ROW(A54),"000"))</f>
        <v/>
      </c>
    </row>
    <row r="59" spans="1:14">
      <c r="A59" s="2"/>
      <c r="C59" t="s">
        <v>47</v>
      </c>
      <c r="F59" t="e">
        <f>VLOOKUP(#REF!,Catalogos!$V$4:$W$85,2,FALSE)</f>
        <v>#REF!</v>
      </c>
      <c r="G59" s="3"/>
      <c r="H59" s="3"/>
      <c r="I59" s="3">
        <f t="shared" si="0"/>
        <v>3149.51</v>
      </c>
      <c r="J59" s="4">
        <v>28.3</v>
      </c>
      <c r="K59" s="4">
        <f t="shared" si="2"/>
        <v>0</v>
      </c>
      <c r="N59" t="str">
        <f>IF(A59="","", "CP-" &amp; IFERROR(VLOOKUP(D59, Catalogos!$Z$4:$AA$20, 2, FALSE), "FOL") &amp; "-" &amp; WEEKNUM(A59,2) &amp; "-" &amp; TEXT(ROW(A55),"000"))</f>
        <v/>
      </c>
    </row>
    <row r="60" spans="1:14">
      <c r="A60" s="2"/>
      <c r="C60" t="s">
        <v>47</v>
      </c>
      <c r="F60" t="e">
        <f>VLOOKUP(#REF!,Catalogos!$V$4:$W$85,2,FALSE)</f>
        <v>#REF!</v>
      </c>
      <c r="G60" s="3"/>
      <c r="H60" s="3"/>
      <c r="I60" s="3">
        <f t="shared" si="0"/>
        <v>3149.51</v>
      </c>
      <c r="J60" s="4">
        <v>28.3</v>
      </c>
      <c r="K60" s="4">
        <f t="shared" si="2"/>
        <v>0</v>
      </c>
      <c r="N60" t="str">
        <f>IF(A60="","", "CP-" &amp; IFERROR(VLOOKUP(D60, Catalogos!$Z$4:$AA$20, 2, FALSE), "FOL") &amp; "-" &amp; WEEKNUM(A60,2) &amp; "-" &amp; TEXT(ROW(A56),"000"))</f>
        <v/>
      </c>
    </row>
    <row r="61" spans="1:14">
      <c r="A61" s="2"/>
      <c r="C61" t="s">
        <v>47</v>
      </c>
      <c r="F61" t="e">
        <f>VLOOKUP(#REF!,Catalogos!$V$4:$W$85,2,FALSE)</f>
        <v>#REF!</v>
      </c>
      <c r="G61" s="3"/>
      <c r="H61" s="3"/>
      <c r="I61" s="3">
        <f t="shared" si="0"/>
        <v>3149.51</v>
      </c>
      <c r="J61" s="4">
        <v>28.3</v>
      </c>
      <c r="K61" s="4">
        <f t="shared" si="2"/>
        <v>0</v>
      </c>
      <c r="N61" t="str">
        <f>IF(A61="","", "CP-" &amp; IFERROR(VLOOKUP(D61, Catalogos!$Z$4:$AA$20, 2, FALSE), "FOL") &amp; "-" &amp; WEEKNUM(A61,2) &amp; "-" &amp; TEXT(ROW(A57),"000"))</f>
        <v/>
      </c>
    </row>
    <row r="62" spans="1:14">
      <c r="A62" s="2"/>
      <c r="C62" t="s">
        <v>47</v>
      </c>
      <c r="F62" t="e">
        <f>VLOOKUP(#REF!,Catalogos!$V$4:$W$85,2,FALSE)</f>
        <v>#REF!</v>
      </c>
      <c r="G62" s="3"/>
      <c r="H62" s="3"/>
      <c r="I62" s="3">
        <f t="shared" si="0"/>
        <v>3149.51</v>
      </c>
      <c r="J62" s="4">
        <v>28.3</v>
      </c>
      <c r="K62" s="4">
        <f t="shared" si="2"/>
        <v>0</v>
      </c>
      <c r="N62" t="str">
        <f>IF(A62="","", "CP-" &amp; IFERROR(VLOOKUP(D62, Catalogos!$Z$4:$AA$20, 2, FALSE), "FOL") &amp; "-" &amp; WEEKNUM(A62,2) &amp; "-" &amp; TEXT(ROW(A58),"000"))</f>
        <v/>
      </c>
    </row>
    <row r="63" spans="1:14">
      <c r="A63" s="2"/>
      <c r="C63" t="s">
        <v>47</v>
      </c>
      <c r="F63" t="e">
        <f>VLOOKUP(#REF!,Catalogos!$V$4:$W$85,2,FALSE)</f>
        <v>#REF!</v>
      </c>
      <c r="G63" s="3"/>
      <c r="H63" s="3"/>
      <c r="I63" s="3">
        <f t="shared" si="0"/>
        <v>3149.51</v>
      </c>
      <c r="J63" s="4">
        <v>28.3</v>
      </c>
      <c r="K63" s="4">
        <f t="shared" si="2"/>
        <v>0</v>
      </c>
      <c r="N63" t="str">
        <f>IF(A63="","", "CP-" &amp; IFERROR(VLOOKUP(D63, Catalogos!$Z$4:$AA$20, 2, FALSE), "FOL") &amp; "-" &amp; WEEKNUM(A63,2) &amp; "-" &amp; TEXT(ROW(A59),"000"))</f>
        <v/>
      </c>
    </row>
    <row r="64" spans="1:14">
      <c r="A64" s="2"/>
      <c r="C64" t="s">
        <v>47</v>
      </c>
      <c r="F64" t="e">
        <f>VLOOKUP(#REF!,Catalogos!$V$4:$W$85,2,FALSE)</f>
        <v>#REF!</v>
      </c>
      <c r="G64" s="3"/>
      <c r="H64" s="3"/>
      <c r="I64" s="3">
        <f t="shared" si="0"/>
        <v>3149.51</v>
      </c>
      <c r="J64" s="4">
        <v>28.3</v>
      </c>
      <c r="K64" s="4">
        <f t="shared" si="2"/>
        <v>0</v>
      </c>
      <c r="N64" t="str">
        <f>IF(A64="","", "CP-" &amp; IFERROR(VLOOKUP(D64, Catalogos!$Z$4:$AA$20, 2, FALSE), "FOL") &amp; "-" &amp; WEEKNUM(A64,2) &amp; "-" &amp; TEXT(ROW(A60),"000"))</f>
        <v/>
      </c>
    </row>
    <row r="65" spans="1:14">
      <c r="A65" s="2"/>
      <c r="C65" t="s">
        <v>47</v>
      </c>
      <c r="F65" t="e">
        <f>VLOOKUP(#REF!,Catalogos!$V$4:$W$85,2,FALSE)</f>
        <v>#REF!</v>
      </c>
      <c r="G65" s="3"/>
      <c r="H65" s="3"/>
      <c r="I65" s="3">
        <f t="shared" si="0"/>
        <v>3149.51</v>
      </c>
      <c r="J65" s="4">
        <v>28.3</v>
      </c>
      <c r="K65" s="4">
        <f t="shared" si="2"/>
        <v>0</v>
      </c>
      <c r="N65" t="str">
        <f>IF(A65="","", "CP-" &amp; IFERROR(VLOOKUP(D65, Catalogos!$Z$4:$AA$20, 2, FALSE), "FOL") &amp; "-" &amp; WEEKNUM(A65,2) &amp; "-" &amp; TEXT(ROW(A61),"000"))</f>
        <v/>
      </c>
    </row>
    <row r="66" spans="1:14">
      <c r="A66" s="2"/>
      <c r="C66" t="s">
        <v>47</v>
      </c>
      <c r="F66" t="e">
        <f>VLOOKUP(#REF!,Catalogos!$V$4:$W$85,2,FALSE)</f>
        <v>#REF!</v>
      </c>
      <c r="G66" s="3"/>
      <c r="H66" s="3"/>
      <c r="I66" s="3">
        <f t="shared" si="0"/>
        <v>3149.51</v>
      </c>
      <c r="J66" s="4">
        <v>28.3</v>
      </c>
      <c r="K66" s="4">
        <f t="shared" si="2"/>
        <v>0</v>
      </c>
      <c r="N66" t="str">
        <f>IF(A66="","", "CP-" &amp; IFERROR(VLOOKUP(D66, Catalogos!$Z$4:$AA$20, 2, FALSE), "FOL") &amp; "-" &amp; WEEKNUM(A66,2) &amp; "-" &amp; TEXT(ROW(A62),"000"))</f>
        <v/>
      </c>
    </row>
    <row r="67" spans="1:14">
      <c r="A67" s="2"/>
      <c r="C67" t="s">
        <v>47</v>
      </c>
      <c r="F67" t="e">
        <f>VLOOKUP(#REF!,Catalogos!$V$4:$W$85,2,FALSE)</f>
        <v>#REF!</v>
      </c>
      <c r="G67" s="3"/>
      <c r="H67" s="3"/>
      <c r="I67" s="3">
        <f t="shared" si="0"/>
        <v>3149.51</v>
      </c>
      <c r="J67" s="4">
        <v>28.3</v>
      </c>
      <c r="K67" s="4">
        <f t="shared" si="2"/>
        <v>0</v>
      </c>
      <c r="N67" t="str">
        <f>IF(A67="","", "CP-" &amp; IFERROR(VLOOKUP(D67, Catalogos!$Z$4:$AA$20, 2, FALSE), "FOL") &amp; "-" &amp; WEEKNUM(A67,2) &amp; "-" &amp; TEXT(ROW(A63),"000"))</f>
        <v/>
      </c>
    </row>
    <row r="68" spans="1:14">
      <c r="A68" s="2"/>
      <c r="C68" t="s">
        <v>47</v>
      </c>
      <c r="F68" t="e">
        <f>VLOOKUP(#REF!,Catalogos!$V$4:$W$85,2,FALSE)</f>
        <v>#REF!</v>
      </c>
      <c r="G68" s="3"/>
      <c r="H68" s="3"/>
      <c r="I68" s="3">
        <f t="shared" si="0"/>
        <v>3149.51</v>
      </c>
      <c r="J68" s="4">
        <v>28.3</v>
      </c>
      <c r="K68" s="4">
        <f t="shared" si="2"/>
        <v>0</v>
      </c>
      <c r="N68" t="str">
        <f>IF(A68="","", "CP-" &amp; IFERROR(VLOOKUP(D68, Catalogos!$Z$4:$AA$20, 2, FALSE), "FOL") &amp; "-" &amp; WEEKNUM(A68,2) &amp; "-" &amp; TEXT(ROW(A64),"000"))</f>
        <v/>
      </c>
    </row>
    <row r="69" spans="1:14">
      <c r="A69" s="2"/>
      <c r="C69" t="s">
        <v>47</v>
      </c>
      <c r="F69" t="e">
        <f>VLOOKUP(#REF!,Catalogos!$V$4:$W$85,2,FALSE)</f>
        <v>#REF!</v>
      </c>
      <c r="G69" s="3"/>
      <c r="H69" s="3"/>
      <c r="I69" s="3">
        <f t="shared" si="0"/>
        <v>3149.51</v>
      </c>
      <c r="J69" s="4">
        <v>28.3</v>
      </c>
      <c r="K69" s="4">
        <f t="shared" si="2"/>
        <v>0</v>
      </c>
      <c r="M69" t="str">
        <f t="shared" ref="M69:M132" si="4">IF(A69="","", WEEKNUM(A69, 2))</f>
        <v/>
      </c>
      <c r="N69" t="str">
        <f>IF(A69="","", "CP-" &amp; IFERROR(VLOOKUP(D69, Catalogos!$Z$4:$AA$20, 2, FALSE), "FOL") &amp; "-" &amp; WEEKNUM(A69,2) &amp; "-" &amp; TEXT(ROW(A65),"000"))</f>
        <v/>
      </c>
    </row>
    <row r="70" spans="1:14">
      <c r="A70" s="2"/>
      <c r="C70" t="s">
        <v>47</v>
      </c>
      <c r="F70" t="e">
        <f>VLOOKUP(#REF!,Catalogos!$V$4:$W$85,2,FALSE)</f>
        <v>#REF!</v>
      </c>
      <c r="G70" s="3"/>
      <c r="H70" s="3"/>
      <c r="I70" s="3">
        <f t="shared" ref="I70:I133" si="5">IF(ROW()=5,G70-H70,I69+G70-H70)</f>
        <v>3149.51</v>
      </c>
      <c r="J70" s="4">
        <v>28.3</v>
      </c>
      <c r="K70" s="4">
        <f t="shared" si="2"/>
        <v>0</v>
      </c>
      <c r="M70" t="str">
        <f t="shared" si="4"/>
        <v/>
      </c>
      <c r="N70" t="str">
        <f>IF(A70="","", "CP-" &amp; IFERROR(VLOOKUP(D70, Catalogos!$Z$4:$AA$20, 2, FALSE), "FOL") &amp; "-" &amp; WEEKNUM(A70,2) &amp; "-" &amp; TEXT(ROW(A66),"000"))</f>
        <v/>
      </c>
    </row>
    <row r="71" spans="1:14">
      <c r="A71" s="2"/>
      <c r="C71" t="s">
        <v>47</v>
      </c>
      <c r="F71" t="e">
        <f>VLOOKUP(#REF!,Catalogos!$V$4:$W$85,2,FALSE)</f>
        <v>#REF!</v>
      </c>
      <c r="G71" s="3"/>
      <c r="H71" s="3"/>
      <c r="I71" s="3">
        <f t="shared" si="5"/>
        <v>3149.51</v>
      </c>
      <c r="J71" s="4">
        <v>28.3</v>
      </c>
      <c r="K71" s="4">
        <f t="shared" si="2"/>
        <v>0</v>
      </c>
      <c r="M71" t="str">
        <f t="shared" si="4"/>
        <v/>
      </c>
      <c r="N71" t="str">
        <f>IF(A71="","", "CP-" &amp; IFERROR(VLOOKUP(D71, Catalogos!$Z$4:$AA$20, 2, FALSE), "FOL") &amp; "-" &amp; WEEKNUM(A71,2) &amp; "-" &amp; TEXT(ROW(A67),"000"))</f>
        <v/>
      </c>
    </row>
    <row r="72" spans="1:14">
      <c r="A72" s="2"/>
      <c r="C72" t="s">
        <v>47</v>
      </c>
      <c r="F72" t="e">
        <f>VLOOKUP(#REF!,Catalogos!$V$4:$W$85,2,FALSE)</f>
        <v>#REF!</v>
      </c>
      <c r="G72" s="3"/>
      <c r="H72" s="3"/>
      <c r="I72" s="3">
        <f t="shared" si="5"/>
        <v>3149.51</v>
      </c>
      <c r="J72" s="4">
        <v>28.3</v>
      </c>
      <c r="K72" s="4">
        <f t="shared" si="2"/>
        <v>0</v>
      </c>
      <c r="M72" t="str">
        <f t="shared" si="4"/>
        <v/>
      </c>
      <c r="N72" t="str">
        <f>IF(A72="","", "CP-" &amp; IFERROR(VLOOKUP(D72, Catalogos!$Z$4:$AA$20, 2, FALSE), "FOL") &amp; "-" &amp; WEEKNUM(A72,2) &amp; "-" &amp; TEXT(ROW(A68),"000"))</f>
        <v/>
      </c>
    </row>
    <row r="73" spans="1:14">
      <c r="A73" s="2"/>
      <c r="C73" t="s">
        <v>47</v>
      </c>
      <c r="F73" t="e">
        <f>VLOOKUP(#REF!,Catalogos!$V$4:$W$85,2,FALSE)</f>
        <v>#REF!</v>
      </c>
      <c r="G73" s="3"/>
      <c r="H73" s="3"/>
      <c r="I73" s="3">
        <f t="shared" si="5"/>
        <v>3149.51</v>
      </c>
      <c r="J73" s="4">
        <v>28.3</v>
      </c>
      <c r="K73" s="4">
        <f t="shared" ref="K73:K104" si="6">IFERROR((G73+H73)*J73,0)</f>
        <v>0</v>
      </c>
      <c r="M73" t="str">
        <f t="shared" si="4"/>
        <v/>
      </c>
      <c r="N73" t="str">
        <f>IF(A73="","", "CP-" &amp; IFERROR(VLOOKUP(D73, Catalogos!$Z$4:$AA$20, 2, FALSE), "FOL") &amp; "-" &amp; WEEKNUM(A73,2) &amp; "-" &amp; TEXT(ROW(A69),"000"))</f>
        <v/>
      </c>
    </row>
    <row r="74" spans="1:14">
      <c r="A74" s="2"/>
      <c r="C74" t="s">
        <v>47</v>
      </c>
      <c r="F74" t="e">
        <f>VLOOKUP(#REF!,Catalogos!$V$4:$W$85,2,FALSE)</f>
        <v>#REF!</v>
      </c>
      <c r="G74" s="3"/>
      <c r="H74" s="3"/>
      <c r="I74" s="3">
        <f t="shared" si="5"/>
        <v>3149.51</v>
      </c>
      <c r="J74" s="4">
        <v>28.3</v>
      </c>
      <c r="K74" s="4">
        <f t="shared" si="6"/>
        <v>0</v>
      </c>
      <c r="M74" t="str">
        <f t="shared" si="4"/>
        <v/>
      </c>
      <c r="N74" t="str">
        <f>IF(A74="","", "CP-" &amp; IFERROR(VLOOKUP(D74, Catalogos!$Z$4:$AA$20, 2, FALSE), "FOL") &amp; "-" &amp; WEEKNUM(A74,2) &amp; "-" &amp; TEXT(ROW(A70),"000"))</f>
        <v/>
      </c>
    </row>
    <row r="75" spans="1:14">
      <c r="A75" s="2"/>
      <c r="C75" t="s">
        <v>47</v>
      </c>
      <c r="F75" t="e">
        <f>VLOOKUP(#REF!,Catalogos!$V$4:$W$85,2,FALSE)</f>
        <v>#REF!</v>
      </c>
      <c r="G75" s="3"/>
      <c r="H75" s="3"/>
      <c r="I75" s="3">
        <f t="shared" si="5"/>
        <v>3149.51</v>
      </c>
      <c r="J75" s="4">
        <v>28.3</v>
      </c>
      <c r="K75" s="4">
        <f t="shared" si="6"/>
        <v>0</v>
      </c>
      <c r="M75" t="str">
        <f t="shared" si="4"/>
        <v/>
      </c>
      <c r="N75" t="str">
        <f>IF(A75="","", "CP-" &amp; IFERROR(VLOOKUP(D75, Catalogos!$Z$4:$AA$20, 2, FALSE), "FOL") &amp; "-" &amp; WEEKNUM(A75,2) &amp; "-" &amp; TEXT(ROW(A71),"000"))</f>
        <v/>
      </c>
    </row>
    <row r="76" spans="1:14">
      <c r="A76" s="2"/>
      <c r="C76" t="s">
        <v>47</v>
      </c>
      <c r="F76" t="e">
        <f>VLOOKUP(#REF!,Catalogos!$V$4:$W$85,2,FALSE)</f>
        <v>#REF!</v>
      </c>
      <c r="G76" s="3"/>
      <c r="H76" s="3"/>
      <c r="I76" s="3">
        <f t="shared" si="5"/>
        <v>3149.51</v>
      </c>
      <c r="J76" s="4">
        <v>28.3</v>
      </c>
      <c r="K76" s="4">
        <f t="shared" si="6"/>
        <v>0</v>
      </c>
      <c r="M76" t="str">
        <f t="shared" si="4"/>
        <v/>
      </c>
      <c r="N76" t="str">
        <f>IF(A76="","", "CP-" &amp; IFERROR(VLOOKUP(D76, Catalogos!$Z$4:$AA$20, 2, FALSE), "FOL") &amp; "-" &amp; WEEKNUM(A76,2) &amp; "-" &amp; TEXT(ROW(A72),"000"))</f>
        <v/>
      </c>
    </row>
    <row r="77" spans="1:14">
      <c r="A77" s="2"/>
      <c r="C77" t="s">
        <v>47</v>
      </c>
      <c r="F77" t="e">
        <f>VLOOKUP(#REF!,Catalogos!$V$4:$W$85,2,FALSE)</f>
        <v>#REF!</v>
      </c>
      <c r="G77" s="3"/>
      <c r="H77" s="3"/>
      <c r="I77" s="3">
        <f t="shared" si="5"/>
        <v>3149.51</v>
      </c>
      <c r="J77" s="4">
        <v>28.3</v>
      </c>
      <c r="K77" s="4">
        <f t="shared" si="6"/>
        <v>0</v>
      </c>
      <c r="M77" t="str">
        <f t="shared" si="4"/>
        <v/>
      </c>
      <c r="N77" t="str">
        <f>IF(A77="","", "CP-" &amp; IFERROR(VLOOKUP(D77, Catalogos!$Z$4:$AA$20, 2, FALSE), "FOL") &amp; "-" &amp; WEEKNUM(A77,2) &amp; "-" &amp; TEXT(ROW(A73),"000"))</f>
        <v/>
      </c>
    </row>
    <row r="78" spans="1:14">
      <c r="A78" s="2"/>
      <c r="C78" t="s">
        <v>47</v>
      </c>
      <c r="F78" t="e">
        <f>VLOOKUP(#REF!,Catalogos!$V$4:$W$85,2,FALSE)</f>
        <v>#REF!</v>
      </c>
      <c r="G78" s="3"/>
      <c r="H78" s="3"/>
      <c r="I78" s="3">
        <f t="shared" si="5"/>
        <v>3149.51</v>
      </c>
      <c r="J78" s="4">
        <v>28.3</v>
      </c>
      <c r="K78" s="4">
        <f t="shared" si="6"/>
        <v>0</v>
      </c>
      <c r="M78" t="str">
        <f t="shared" si="4"/>
        <v/>
      </c>
      <c r="N78" t="str">
        <f>IF(A78="","", "CP-" &amp; IFERROR(VLOOKUP(D78, Catalogos!$Z$4:$AA$20, 2, FALSE), "FOL") &amp; "-" &amp; WEEKNUM(A78,2) &amp; "-" &amp; TEXT(ROW(A74),"000"))</f>
        <v/>
      </c>
    </row>
    <row r="79" spans="1:14">
      <c r="A79" s="2"/>
      <c r="C79" t="s">
        <v>47</v>
      </c>
      <c r="F79" t="e">
        <f>VLOOKUP(#REF!,Catalogos!$V$4:$W$85,2,FALSE)</f>
        <v>#REF!</v>
      </c>
      <c r="G79" s="3"/>
      <c r="H79" s="3"/>
      <c r="I79" s="3">
        <f t="shared" si="5"/>
        <v>3149.51</v>
      </c>
      <c r="J79" s="4">
        <v>28.3</v>
      </c>
      <c r="K79" s="4">
        <f t="shared" si="6"/>
        <v>0</v>
      </c>
      <c r="M79" t="str">
        <f t="shared" si="4"/>
        <v/>
      </c>
      <c r="N79" t="str">
        <f>IF(A79="","", "CP-" &amp; IFERROR(VLOOKUP(D79, Catalogos!$Z$4:$AA$20, 2, FALSE), "FOL") &amp; "-" &amp; WEEKNUM(A79,2) &amp; "-" &amp; TEXT(ROW(A75),"000"))</f>
        <v/>
      </c>
    </row>
    <row r="80" spans="1:14">
      <c r="A80" s="2"/>
      <c r="C80" t="s">
        <v>47</v>
      </c>
      <c r="F80" t="e">
        <f>VLOOKUP(#REF!,Catalogos!$V$4:$W$85,2,FALSE)</f>
        <v>#REF!</v>
      </c>
      <c r="G80" s="3"/>
      <c r="H80" s="3"/>
      <c r="I80" s="3">
        <f t="shared" si="5"/>
        <v>3149.51</v>
      </c>
      <c r="J80" s="4">
        <v>28.3</v>
      </c>
      <c r="K80" s="4">
        <f t="shared" si="6"/>
        <v>0</v>
      </c>
      <c r="M80" t="str">
        <f t="shared" si="4"/>
        <v/>
      </c>
      <c r="N80" t="str">
        <f>IF(A80="","", "CP-" &amp; IFERROR(VLOOKUP(D80, Catalogos!$Z$4:$AA$20, 2, FALSE), "FOL") &amp; "-" &amp; WEEKNUM(A80,2) &amp; "-" &amp; TEXT(ROW(A76),"000"))</f>
        <v/>
      </c>
    </row>
    <row r="81" spans="1:14">
      <c r="A81" s="2"/>
      <c r="C81" t="s">
        <v>47</v>
      </c>
      <c r="F81" t="e">
        <f>VLOOKUP(#REF!,Catalogos!$V$4:$W$85,2,FALSE)</f>
        <v>#REF!</v>
      </c>
      <c r="G81" s="3"/>
      <c r="H81" s="3"/>
      <c r="I81" s="3">
        <f t="shared" si="5"/>
        <v>3149.51</v>
      </c>
      <c r="J81" s="4">
        <v>28.3</v>
      </c>
      <c r="K81" s="4">
        <f t="shared" si="6"/>
        <v>0</v>
      </c>
      <c r="M81" t="str">
        <f t="shared" si="4"/>
        <v/>
      </c>
      <c r="N81" t="str">
        <f>IF(A81="","", "CP-" &amp; IFERROR(VLOOKUP(D81, Catalogos!$Z$4:$AA$20, 2, FALSE), "FOL") &amp; "-" &amp; WEEKNUM(A81,2) &amp; "-" &amp; TEXT(ROW(A77),"000"))</f>
        <v/>
      </c>
    </row>
    <row r="82" spans="1:14">
      <c r="A82" s="2"/>
      <c r="C82" t="s">
        <v>47</v>
      </c>
      <c r="F82" t="e">
        <f>VLOOKUP(#REF!,Catalogos!$V$4:$W$85,2,FALSE)</f>
        <v>#REF!</v>
      </c>
      <c r="G82" s="3"/>
      <c r="H82" s="3"/>
      <c r="I82" s="3">
        <f t="shared" si="5"/>
        <v>3149.51</v>
      </c>
      <c r="J82" s="4">
        <v>28.3</v>
      </c>
      <c r="K82" s="4">
        <f t="shared" si="6"/>
        <v>0</v>
      </c>
      <c r="M82" t="str">
        <f t="shared" si="4"/>
        <v/>
      </c>
      <c r="N82" t="str">
        <f>IF(A82="","", "CP-" &amp; IFERROR(VLOOKUP(D82, Catalogos!$Z$4:$AA$20, 2, FALSE), "FOL") &amp; "-" &amp; WEEKNUM(A82,2) &amp; "-" &amp; TEXT(ROW(A78),"000"))</f>
        <v/>
      </c>
    </row>
    <row r="83" spans="1:14">
      <c r="A83" s="2"/>
      <c r="C83" t="s">
        <v>47</v>
      </c>
      <c r="F83" t="e">
        <f>VLOOKUP(#REF!,Catalogos!$V$4:$W$85,2,FALSE)</f>
        <v>#REF!</v>
      </c>
      <c r="G83" s="3"/>
      <c r="H83" s="3"/>
      <c r="I83" s="3">
        <f t="shared" si="5"/>
        <v>3149.51</v>
      </c>
      <c r="J83" s="4">
        <v>28.3</v>
      </c>
      <c r="K83" s="4">
        <f t="shared" si="6"/>
        <v>0</v>
      </c>
      <c r="M83" t="str">
        <f t="shared" si="4"/>
        <v/>
      </c>
      <c r="N83" t="str">
        <f>IF(A83="","", "CP-" &amp; IFERROR(VLOOKUP(D83, Catalogos!$Z$4:$AA$20, 2, FALSE), "FOL") &amp; "-" &amp; WEEKNUM(A83,2) &amp; "-" &amp; TEXT(ROW(A79),"000"))</f>
        <v/>
      </c>
    </row>
    <row r="84" spans="1:14">
      <c r="A84" s="2"/>
      <c r="C84" t="s">
        <v>47</v>
      </c>
      <c r="F84" t="e">
        <f>VLOOKUP(#REF!,Catalogos!$V$4:$W$85,2,FALSE)</f>
        <v>#REF!</v>
      </c>
      <c r="G84" s="3"/>
      <c r="H84" s="3"/>
      <c r="I84" s="3">
        <f t="shared" si="5"/>
        <v>3149.51</v>
      </c>
      <c r="J84" s="4">
        <v>28.3</v>
      </c>
      <c r="K84" s="4">
        <f t="shared" si="6"/>
        <v>0</v>
      </c>
      <c r="M84" t="str">
        <f t="shared" si="4"/>
        <v/>
      </c>
      <c r="N84" t="str">
        <f>IF(A84="","", "CP-" &amp; IFERROR(VLOOKUP(D84, Catalogos!$Z$4:$AA$20, 2, FALSE), "FOL") &amp; "-" &amp; WEEKNUM(A84,2) &amp; "-" &amp; TEXT(ROW(A80),"000"))</f>
        <v/>
      </c>
    </row>
    <row r="85" spans="1:14">
      <c r="A85" s="2"/>
      <c r="C85" t="s">
        <v>47</v>
      </c>
      <c r="F85" t="e">
        <f>VLOOKUP(#REF!,Catalogos!$V$4:$W$85,2,FALSE)</f>
        <v>#REF!</v>
      </c>
      <c r="G85" s="3"/>
      <c r="H85" s="3"/>
      <c r="I85" s="3">
        <f t="shared" si="5"/>
        <v>3149.51</v>
      </c>
      <c r="J85" s="4">
        <v>28.3</v>
      </c>
      <c r="K85" s="4">
        <f t="shared" si="6"/>
        <v>0</v>
      </c>
      <c r="M85" t="str">
        <f t="shared" si="4"/>
        <v/>
      </c>
      <c r="N85" t="str">
        <f>IF(A85="","", "CP-" &amp; IFERROR(VLOOKUP(D85, Catalogos!$Z$4:$AA$20, 2, FALSE), "FOL") &amp; "-" &amp; WEEKNUM(A85,2) &amp; "-" &amp; TEXT(ROW(A81),"000"))</f>
        <v/>
      </c>
    </row>
    <row r="86" spans="1:14">
      <c r="A86" s="2"/>
      <c r="C86" t="s">
        <v>47</v>
      </c>
      <c r="F86" t="e">
        <f>VLOOKUP(#REF!,Catalogos!$V$4:$W$85,2,FALSE)</f>
        <v>#REF!</v>
      </c>
      <c r="G86" s="3"/>
      <c r="H86" s="3"/>
      <c r="I86" s="3">
        <f t="shared" si="5"/>
        <v>3149.51</v>
      </c>
      <c r="J86" s="4">
        <v>28.3</v>
      </c>
      <c r="K86" s="4">
        <f t="shared" si="6"/>
        <v>0</v>
      </c>
      <c r="M86" t="str">
        <f t="shared" si="4"/>
        <v/>
      </c>
      <c r="N86" t="str">
        <f>IF(A86="","", "CP-" &amp; IFERROR(VLOOKUP(D86, Catalogos!$Z$4:$AA$20, 2, FALSE), "FOL") &amp; "-" &amp; WEEKNUM(A86,2) &amp; "-" &amp; TEXT(ROW(A82),"000"))</f>
        <v/>
      </c>
    </row>
    <row r="87" spans="1:14">
      <c r="A87" s="2"/>
      <c r="C87" t="s">
        <v>47</v>
      </c>
      <c r="F87" t="e">
        <f>VLOOKUP(#REF!,Catalogos!$V$4:$W$85,2,FALSE)</f>
        <v>#REF!</v>
      </c>
      <c r="G87" s="3"/>
      <c r="H87" s="3"/>
      <c r="I87" s="3">
        <f t="shared" si="5"/>
        <v>3149.51</v>
      </c>
      <c r="J87" s="4">
        <v>28.3</v>
      </c>
      <c r="K87" s="4">
        <f t="shared" si="6"/>
        <v>0</v>
      </c>
      <c r="M87" t="str">
        <f t="shared" si="4"/>
        <v/>
      </c>
      <c r="N87" t="str">
        <f>IF(A87="","", "CP-" &amp; IFERROR(VLOOKUP(D87, Catalogos!$Z$4:$AA$20, 2, FALSE), "FOL") &amp; "-" &amp; WEEKNUM(A87,2) &amp; "-" &amp; TEXT(ROW(A83),"000"))</f>
        <v/>
      </c>
    </row>
    <row r="88" spans="1:14">
      <c r="A88" s="2"/>
      <c r="C88" t="s">
        <v>47</v>
      </c>
      <c r="F88" t="e">
        <f>VLOOKUP(#REF!,Catalogos!$V$4:$W$85,2,FALSE)</f>
        <v>#REF!</v>
      </c>
      <c r="G88" s="3"/>
      <c r="H88" s="3"/>
      <c r="I88" s="3">
        <f t="shared" si="5"/>
        <v>3149.51</v>
      </c>
      <c r="J88" s="4">
        <v>28.3</v>
      </c>
      <c r="K88" s="4">
        <f t="shared" si="6"/>
        <v>0</v>
      </c>
      <c r="M88" t="str">
        <f t="shared" si="4"/>
        <v/>
      </c>
      <c r="N88" t="str">
        <f>IF(A88="","", "CP-" &amp; IFERROR(VLOOKUP(D88, Catalogos!$Z$4:$AA$20, 2, FALSE), "FOL") &amp; "-" &amp; WEEKNUM(A88,2) &amp; "-" &amp; TEXT(ROW(A84),"000"))</f>
        <v/>
      </c>
    </row>
    <row r="89" spans="1:14">
      <c r="A89" s="2"/>
      <c r="C89" t="s">
        <v>47</v>
      </c>
      <c r="F89" t="e">
        <f>VLOOKUP(#REF!,Catalogos!$V$4:$W$85,2,FALSE)</f>
        <v>#REF!</v>
      </c>
      <c r="G89" s="3"/>
      <c r="H89" s="3"/>
      <c r="I89" s="3">
        <f t="shared" si="5"/>
        <v>3149.51</v>
      </c>
      <c r="J89" s="4">
        <v>28.3</v>
      </c>
      <c r="K89" s="4">
        <f t="shared" si="6"/>
        <v>0</v>
      </c>
      <c r="M89" t="str">
        <f t="shared" si="4"/>
        <v/>
      </c>
      <c r="N89" t="str">
        <f>IF(A89="","", "CP-" &amp; IFERROR(VLOOKUP(D89, Catalogos!$Z$4:$AA$20, 2, FALSE), "FOL") &amp; "-" &amp; WEEKNUM(A89,2) &amp; "-" &amp; TEXT(ROW(A85),"000"))</f>
        <v/>
      </c>
    </row>
    <row r="90" spans="1:14">
      <c r="A90" s="2"/>
      <c r="C90" t="s">
        <v>47</v>
      </c>
      <c r="F90" t="e">
        <f>VLOOKUP(#REF!,Catalogos!$V$4:$W$85,2,FALSE)</f>
        <v>#REF!</v>
      </c>
      <c r="G90" s="3"/>
      <c r="H90" s="3"/>
      <c r="I90" s="3">
        <f t="shared" si="5"/>
        <v>3149.51</v>
      </c>
      <c r="J90" s="4">
        <v>28.3</v>
      </c>
      <c r="K90" s="4">
        <f t="shared" si="6"/>
        <v>0</v>
      </c>
      <c r="M90" t="str">
        <f t="shared" si="4"/>
        <v/>
      </c>
      <c r="N90" t="str">
        <f>IF(A90="","", "CP-" &amp; IFERROR(VLOOKUP(D90, Catalogos!$Z$4:$AA$20, 2, FALSE), "FOL") &amp; "-" &amp; WEEKNUM(A90,2) &amp; "-" &amp; TEXT(ROW(A86),"000"))</f>
        <v/>
      </c>
    </row>
    <row r="91" spans="1:14">
      <c r="A91" s="2"/>
      <c r="C91" t="s">
        <v>47</v>
      </c>
      <c r="F91" t="e">
        <f>VLOOKUP(#REF!,Catalogos!$V$4:$W$85,2,FALSE)</f>
        <v>#REF!</v>
      </c>
      <c r="G91" s="3"/>
      <c r="H91" s="3"/>
      <c r="I91" s="3">
        <f t="shared" si="5"/>
        <v>3149.51</v>
      </c>
      <c r="J91" s="4">
        <v>28.3</v>
      </c>
      <c r="K91" s="4">
        <f t="shared" si="6"/>
        <v>0</v>
      </c>
      <c r="M91" t="str">
        <f t="shared" si="4"/>
        <v/>
      </c>
      <c r="N91" t="str">
        <f>IF(A91="","", "CP-" &amp; IFERROR(VLOOKUP(D91, Catalogos!$Z$4:$AA$20, 2, FALSE), "FOL") &amp; "-" &amp; WEEKNUM(A91,2) &amp; "-" &amp; TEXT(ROW(A87),"000"))</f>
        <v/>
      </c>
    </row>
    <row r="92" spans="1:14">
      <c r="A92" s="2"/>
      <c r="C92" t="s">
        <v>47</v>
      </c>
      <c r="F92" t="e">
        <f>VLOOKUP(#REF!,Catalogos!$V$4:$W$85,2,FALSE)</f>
        <v>#REF!</v>
      </c>
      <c r="G92" s="3"/>
      <c r="H92" s="3"/>
      <c r="I92" s="3">
        <f t="shared" si="5"/>
        <v>3149.51</v>
      </c>
      <c r="J92" s="4">
        <v>28.3</v>
      </c>
      <c r="K92" s="4">
        <f t="shared" si="6"/>
        <v>0</v>
      </c>
      <c r="M92" t="str">
        <f t="shared" si="4"/>
        <v/>
      </c>
      <c r="N92" t="str">
        <f>IF(A92="","", "CP-" &amp; IFERROR(VLOOKUP(D92, Catalogos!$Z$4:$AA$20, 2, FALSE), "FOL") &amp; "-" &amp; WEEKNUM(A92,2) &amp; "-" &amp; TEXT(ROW(A88),"000"))</f>
        <v/>
      </c>
    </row>
    <row r="93" spans="1:14">
      <c r="A93" s="2"/>
      <c r="C93" t="s">
        <v>47</v>
      </c>
      <c r="F93" t="e">
        <f>VLOOKUP(#REF!,Catalogos!$V$4:$W$85,2,FALSE)</f>
        <v>#REF!</v>
      </c>
      <c r="G93" s="3"/>
      <c r="H93" s="3"/>
      <c r="I93" s="3">
        <f t="shared" si="5"/>
        <v>3149.51</v>
      </c>
      <c r="J93" s="4">
        <v>28.3</v>
      </c>
      <c r="K93" s="4">
        <f t="shared" si="6"/>
        <v>0</v>
      </c>
      <c r="M93" t="str">
        <f t="shared" si="4"/>
        <v/>
      </c>
      <c r="N93" t="str">
        <f>IF(A93="","", "CP-" &amp; IFERROR(VLOOKUP(D93, Catalogos!$Z$4:$AA$20, 2, FALSE), "FOL") &amp; "-" &amp; WEEKNUM(A93,2) &amp; "-" &amp; TEXT(ROW(A89),"000"))</f>
        <v/>
      </c>
    </row>
    <row r="94" spans="1:14">
      <c r="A94" s="2"/>
      <c r="C94" t="s">
        <v>47</v>
      </c>
      <c r="F94" t="e">
        <f>VLOOKUP(#REF!,Catalogos!$V$4:$W$85,2,FALSE)</f>
        <v>#REF!</v>
      </c>
      <c r="G94" s="3"/>
      <c r="H94" s="3"/>
      <c r="I94" s="3">
        <f t="shared" si="5"/>
        <v>3149.51</v>
      </c>
      <c r="J94" s="4">
        <v>28.3</v>
      </c>
      <c r="K94" s="4">
        <f t="shared" si="6"/>
        <v>0</v>
      </c>
      <c r="M94" t="str">
        <f t="shared" si="4"/>
        <v/>
      </c>
      <c r="N94" t="str">
        <f>IF(A94="","", "CP-" &amp; IFERROR(VLOOKUP(D94, Catalogos!$Z$4:$AA$20, 2, FALSE), "FOL") &amp; "-" &amp; WEEKNUM(A94,2) &amp; "-" &amp; TEXT(ROW(A90),"000"))</f>
        <v/>
      </c>
    </row>
    <row r="95" spans="1:14">
      <c r="A95" s="2"/>
      <c r="C95" t="s">
        <v>47</v>
      </c>
      <c r="F95" t="e">
        <f>VLOOKUP(#REF!,Catalogos!$V$4:$W$85,2,FALSE)</f>
        <v>#REF!</v>
      </c>
      <c r="G95" s="3"/>
      <c r="H95" s="3"/>
      <c r="I95" s="3">
        <f t="shared" si="5"/>
        <v>3149.51</v>
      </c>
      <c r="J95" s="4">
        <v>28.3</v>
      </c>
      <c r="K95" s="4">
        <f t="shared" si="6"/>
        <v>0</v>
      </c>
      <c r="M95" t="str">
        <f t="shared" si="4"/>
        <v/>
      </c>
      <c r="N95" t="str">
        <f>IF(A95="","", "CP-" &amp; IFERROR(VLOOKUP(D95, Catalogos!$Z$4:$AA$20, 2, FALSE), "FOL") &amp; "-" &amp; WEEKNUM(A95,2) &amp; "-" &amp; TEXT(ROW(A91),"000"))</f>
        <v/>
      </c>
    </row>
    <row r="96" spans="1:14">
      <c r="A96" s="2"/>
      <c r="C96" t="s">
        <v>47</v>
      </c>
      <c r="F96" t="e">
        <f>VLOOKUP(#REF!,Catalogos!$V$4:$W$85,2,FALSE)</f>
        <v>#REF!</v>
      </c>
      <c r="G96" s="3"/>
      <c r="H96" s="3"/>
      <c r="I96" s="3">
        <f t="shared" si="5"/>
        <v>3149.51</v>
      </c>
      <c r="J96" s="4">
        <v>28.3</v>
      </c>
      <c r="K96" s="4">
        <f t="shared" si="6"/>
        <v>0</v>
      </c>
      <c r="M96" t="str">
        <f t="shared" si="4"/>
        <v/>
      </c>
      <c r="N96" t="str">
        <f>IF(A96="","", "CP-" &amp; IFERROR(VLOOKUP(D96, Catalogos!$Z$4:$AA$20, 2, FALSE), "FOL") &amp; "-" &amp; WEEKNUM(A96,2) &amp; "-" &amp; TEXT(ROW(A92),"000"))</f>
        <v/>
      </c>
    </row>
    <row r="97" spans="1:14">
      <c r="A97" s="2"/>
      <c r="C97" t="s">
        <v>47</v>
      </c>
      <c r="F97" t="e">
        <f>VLOOKUP(#REF!,Catalogos!$V$4:$W$85,2,FALSE)</f>
        <v>#REF!</v>
      </c>
      <c r="G97" s="3"/>
      <c r="H97" s="3"/>
      <c r="I97" s="3">
        <f t="shared" si="5"/>
        <v>3149.51</v>
      </c>
      <c r="J97" s="4">
        <v>28.3</v>
      </c>
      <c r="K97" s="4">
        <f t="shared" si="6"/>
        <v>0</v>
      </c>
      <c r="M97" t="str">
        <f t="shared" si="4"/>
        <v/>
      </c>
      <c r="N97" t="str">
        <f>IF(A97="","", "CP-" &amp; IFERROR(VLOOKUP(D97, Catalogos!$Z$4:$AA$20, 2, FALSE), "FOL") &amp; "-" &amp; WEEKNUM(A97,2) &amp; "-" &amp; TEXT(ROW(A93),"000"))</f>
        <v/>
      </c>
    </row>
    <row r="98" spans="1:14">
      <c r="A98" s="2"/>
      <c r="C98" t="s">
        <v>47</v>
      </c>
      <c r="F98" t="e">
        <f>VLOOKUP(#REF!,Catalogos!$V$4:$W$85,2,FALSE)</f>
        <v>#REF!</v>
      </c>
      <c r="G98" s="3"/>
      <c r="H98" s="3"/>
      <c r="I98" s="3">
        <f t="shared" si="5"/>
        <v>3149.51</v>
      </c>
      <c r="J98" s="4">
        <v>28.3</v>
      </c>
      <c r="K98" s="4">
        <f t="shared" si="6"/>
        <v>0</v>
      </c>
      <c r="M98" t="str">
        <f t="shared" si="4"/>
        <v/>
      </c>
      <c r="N98" t="str">
        <f>IF(A98="","", "CP-" &amp; IFERROR(VLOOKUP(D98, Catalogos!$Z$4:$AA$20, 2, FALSE), "FOL") &amp; "-" &amp; WEEKNUM(A98,2) &amp; "-" &amp; TEXT(ROW(A94),"000"))</f>
        <v/>
      </c>
    </row>
    <row r="99" spans="1:14">
      <c r="A99" s="2"/>
      <c r="C99" t="s">
        <v>47</v>
      </c>
      <c r="F99" t="e">
        <f>VLOOKUP(#REF!,Catalogos!$V$4:$W$85,2,FALSE)</f>
        <v>#REF!</v>
      </c>
      <c r="G99" s="3"/>
      <c r="H99" s="3"/>
      <c r="I99" s="3">
        <f t="shared" si="5"/>
        <v>3149.51</v>
      </c>
      <c r="J99" s="4">
        <v>28.3</v>
      </c>
      <c r="K99" s="4">
        <f t="shared" si="6"/>
        <v>0</v>
      </c>
      <c r="M99" t="str">
        <f t="shared" si="4"/>
        <v/>
      </c>
      <c r="N99" t="str">
        <f>IF(A99="","", "CP-" &amp; IFERROR(VLOOKUP(D99, Catalogos!$Z$4:$AA$20, 2, FALSE), "FOL") &amp; "-" &amp; WEEKNUM(A99,2) &amp; "-" &amp; TEXT(ROW(A95),"000"))</f>
        <v/>
      </c>
    </row>
    <row r="100" spans="1:14">
      <c r="A100" s="2"/>
      <c r="C100" t="s">
        <v>47</v>
      </c>
      <c r="F100" t="e">
        <f>VLOOKUP(#REF!,Catalogos!$V$4:$W$85,2,FALSE)</f>
        <v>#REF!</v>
      </c>
      <c r="G100" s="3"/>
      <c r="H100" s="3"/>
      <c r="I100" s="3">
        <f t="shared" si="5"/>
        <v>3149.51</v>
      </c>
      <c r="J100" s="4">
        <v>28.3</v>
      </c>
      <c r="K100" s="4">
        <f t="shared" si="6"/>
        <v>0</v>
      </c>
      <c r="M100" t="str">
        <f t="shared" si="4"/>
        <v/>
      </c>
      <c r="N100" t="str">
        <f>IF(A100="","", "CP-" &amp; IFERROR(VLOOKUP(D100, Catalogos!$Z$4:$AA$20, 2, FALSE), "FOL") &amp; "-" &amp; WEEKNUM(A100,2) &amp; "-" &amp; TEXT(ROW(A96),"000"))</f>
        <v/>
      </c>
    </row>
    <row r="101" spans="1:14">
      <c r="A101" s="2"/>
      <c r="C101" t="s">
        <v>47</v>
      </c>
      <c r="F101" t="e">
        <f>VLOOKUP(#REF!,Catalogos!$V$4:$W$85,2,FALSE)</f>
        <v>#REF!</v>
      </c>
      <c r="G101" s="3"/>
      <c r="H101" s="3"/>
      <c r="I101" s="3">
        <f t="shared" si="5"/>
        <v>3149.51</v>
      </c>
      <c r="J101" s="4">
        <v>28.3</v>
      </c>
      <c r="K101" s="4">
        <f t="shared" si="6"/>
        <v>0</v>
      </c>
      <c r="M101" t="str">
        <f t="shared" si="4"/>
        <v/>
      </c>
      <c r="N101" t="str">
        <f>IF(A101="","", "CP-" &amp; IFERROR(VLOOKUP(D101, Catalogos!$Z$4:$AA$20, 2, FALSE), "FOL") &amp; "-" &amp; WEEKNUM(A101,2) &amp; "-" &amp; TEXT(ROW(A97),"000"))</f>
        <v/>
      </c>
    </row>
    <row r="102" spans="1:14">
      <c r="A102" s="2"/>
      <c r="C102" t="s">
        <v>47</v>
      </c>
      <c r="F102" t="e">
        <f>VLOOKUP(#REF!,Catalogos!$V$4:$W$85,2,FALSE)</f>
        <v>#REF!</v>
      </c>
      <c r="G102" s="3"/>
      <c r="H102" s="3"/>
      <c r="I102" s="3">
        <f t="shared" si="5"/>
        <v>3149.51</v>
      </c>
      <c r="J102" s="4">
        <v>28.3</v>
      </c>
      <c r="K102" s="4">
        <f t="shared" si="6"/>
        <v>0</v>
      </c>
      <c r="M102" t="str">
        <f t="shared" si="4"/>
        <v/>
      </c>
      <c r="N102" t="str">
        <f>IF(A102="","", "CP-" &amp; IFERROR(VLOOKUP(D102, Catalogos!$Z$4:$AA$20, 2, FALSE), "FOL") &amp; "-" &amp; WEEKNUM(A102,2) &amp; "-" &amp; TEXT(ROW(A98),"000"))</f>
        <v/>
      </c>
    </row>
    <row r="103" spans="1:14">
      <c r="A103" s="2"/>
      <c r="C103" t="s">
        <v>47</v>
      </c>
      <c r="F103" t="e">
        <f>VLOOKUP(#REF!,Catalogos!$V$4:$W$85,2,FALSE)</f>
        <v>#REF!</v>
      </c>
      <c r="G103" s="3"/>
      <c r="H103" s="3"/>
      <c r="I103" s="3">
        <f t="shared" si="5"/>
        <v>3149.51</v>
      </c>
      <c r="J103" s="4">
        <v>28.3</v>
      </c>
      <c r="K103" s="4">
        <f t="shared" si="6"/>
        <v>0</v>
      </c>
      <c r="M103" t="str">
        <f t="shared" si="4"/>
        <v/>
      </c>
      <c r="N103" t="str">
        <f>IF(A103="","", "CP-" &amp; IFERROR(VLOOKUP(D103, Catalogos!$Z$4:$AA$20, 2, FALSE), "FOL") &amp; "-" &amp; WEEKNUM(A103,2) &amp; "-" &amp; TEXT(ROW(A99),"000"))</f>
        <v/>
      </c>
    </row>
    <row r="104" spans="1:14">
      <c r="A104" s="2"/>
      <c r="C104" t="s">
        <v>47</v>
      </c>
      <c r="F104" t="e">
        <f>VLOOKUP(#REF!,Catalogos!$V$4:$W$85,2,FALSE)</f>
        <v>#REF!</v>
      </c>
      <c r="G104" s="3"/>
      <c r="H104" s="3"/>
      <c r="I104" s="3">
        <f t="shared" si="5"/>
        <v>3149.51</v>
      </c>
      <c r="J104" s="4">
        <v>28.3</v>
      </c>
      <c r="K104" s="4">
        <f t="shared" si="6"/>
        <v>0</v>
      </c>
      <c r="M104" t="str">
        <f t="shared" si="4"/>
        <v/>
      </c>
      <c r="N104" t="str">
        <f>IF(A104="","", "CP-" &amp; IFERROR(VLOOKUP(D104, Catalogos!$Z$4:$AA$20, 2, FALSE), "FOL") &amp; "-" &amp; WEEKNUM(A104,2) &amp; "-" &amp; TEXT(ROW(A100),"000"))</f>
        <v/>
      </c>
    </row>
    <row r="105" spans="1:14">
      <c r="A105" s="2"/>
      <c r="C105" t="s">
        <v>47</v>
      </c>
      <c r="F105" t="e">
        <f>VLOOKUP(#REF!,Catalogos!$V$4:$W$85,2,FALSE)</f>
        <v>#REF!</v>
      </c>
      <c r="G105" s="3"/>
      <c r="H105" s="3"/>
      <c r="I105" s="3">
        <f t="shared" si="5"/>
        <v>3149.51</v>
      </c>
      <c r="J105" s="4">
        <v>28.3</v>
      </c>
      <c r="K105" s="4">
        <f t="shared" ref="K105:K136" si="7">IFERROR((G105+H105)*J105,0)</f>
        <v>0</v>
      </c>
      <c r="M105" t="str">
        <f t="shared" si="4"/>
        <v/>
      </c>
      <c r="N105" t="str">
        <f>IF(A105="","", "CP-" &amp; IFERROR(VLOOKUP(D105, Catalogos!$Z$4:$AA$20, 2, FALSE), "FOL") &amp; "-" &amp; WEEKNUM(A105,2) &amp; "-" &amp; TEXT(ROW(A101),"000"))</f>
        <v/>
      </c>
    </row>
    <row r="106" spans="1:14">
      <c r="A106" s="2"/>
      <c r="C106" t="s">
        <v>47</v>
      </c>
      <c r="F106" t="e">
        <f>VLOOKUP(#REF!,Catalogos!$V$4:$W$85,2,FALSE)</f>
        <v>#REF!</v>
      </c>
      <c r="G106" s="3"/>
      <c r="H106" s="3"/>
      <c r="I106" s="3">
        <f t="shared" si="5"/>
        <v>3149.51</v>
      </c>
      <c r="J106" s="4">
        <v>28.3</v>
      </c>
      <c r="K106" s="4">
        <f t="shared" si="7"/>
        <v>0</v>
      </c>
      <c r="M106" t="str">
        <f t="shared" si="4"/>
        <v/>
      </c>
      <c r="N106" t="str">
        <f>IF(A106="","", "CP-" &amp; IFERROR(VLOOKUP(D106, Catalogos!$Z$4:$AA$20, 2, FALSE), "FOL") &amp; "-" &amp; WEEKNUM(A106,2) &amp; "-" &amp; TEXT(ROW(A102),"000"))</f>
        <v/>
      </c>
    </row>
    <row r="107" spans="1:14">
      <c r="A107" s="2"/>
      <c r="C107" t="s">
        <v>47</v>
      </c>
      <c r="F107" t="e">
        <f>VLOOKUP(#REF!,Catalogos!$V$4:$W$85,2,FALSE)</f>
        <v>#REF!</v>
      </c>
      <c r="G107" s="3"/>
      <c r="H107" s="3"/>
      <c r="I107" s="3">
        <f t="shared" si="5"/>
        <v>3149.51</v>
      </c>
      <c r="J107" s="4">
        <v>28.3</v>
      </c>
      <c r="K107" s="4">
        <f t="shared" si="7"/>
        <v>0</v>
      </c>
      <c r="M107" t="str">
        <f t="shared" si="4"/>
        <v/>
      </c>
      <c r="N107" t="str">
        <f>IF(A107="","", "CP-" &amp; IFERROR(VLOOKUP(D107, Catalogos!$Z$4:$AA$20, 2, FALSE), "FOL") &amp; "-" &amp; WEEKNUM(A107,2) &amp; "-" &amp; TEXT(ROW(A103),"000"))</f>
        <v/>
      </c>
    </row>
    <row r="108" spans="1:14">
      <c r="A108" s="2"/>
      <c r="C108" t="s">
        <v>47</v>
      </c>
      <c r="F108" t="e">
        <f>VLOOKUP(#REF!,Catalogos!$V$4:$W$85,2,FALSE)</f>
        <v>#REF!</v>
      </c>
      <c r="G108" s="3"/>
      <c r="H108" s="3"/>
      <c r="I108" s="3">
        <f t="shared" si="5"/>
        <v>3149.51</v>
      </c>
      <c r="J108" s="4">
        <v>28.3</v>
      </c>
      <c r="K108" s="4">
        <f t="shared" si="7"/>
        <v>0</v>
      </c>
      <c r="M108" t="str">
        <f t="shared" si="4"/>
        <v/>
      </c>
      <c r="N108" t="str">
        <f>IF(A108="","", "CP-" &amp; IFERROR(VLOOKUP(D108, Catalogos!$Z$4:$AA$20, 2, FALSE), "FOL") &amp; "-" &amp; WEEKNUM(A108,2) &amp; "-" &amp; TEXT(ROW(A104),"000"))</f>
        <v/>
      </c>
    </row>
    <row r="109" spans="1:14">
      <c r="A109" s="2"/>
      <c r="C109" t="s">
        <v>47</v>
      </c>
      <c r="F109" t="e">
        <f>VLOOKUP(#REF!,Catalogos!$V$4:$W$85,2,FALSE)</f>
        <v>#REF!</v>
      </c>
      <c r="G109" s="3"/>
      <c r="H109" s="3"/>
      <c r="I109" s="3">
        <f t="shared" si="5"/>
        <v>3149.51</v>
      </c>
      <c r="J109" s="4">
        <v>28.3</v>
      </c>
      <c r="K109" s="4">
        <f t="shared" si="7"/>
        <v>0</v>
      </c>
      <c r="M109" t="str">
        <f t="shared" si="4"/>
        <v/>
      </c>
      <c r="N109" t="str">
        <f>IF(A109="","", "CP-" &amp; IFERROR(VLOOKUP(D109, Catalogos!$Z$4:$AA$20, 2, FALSE), "FOL") &amp; "-" &amp; WEEKNUM(A109,2) &amp; "-" &amp; TEXT(ROW(A105),"000"))</f>
        <v/>
      </c>
    </row>
    <row r="110" spans="1:14">
      <c r="A110" s="2"/>
      <c r="C110" t="s">
        <v>47</v>
      </c>
      <c r="F110" t="e">
        <f>VLOOKUP(#REF!,Catalogos!$V$4:$W$85,2,FALSE)</f>
        <v>#REF!</v>
      </c>
      <c r="G110" s="3"/>
      <c r="H110" s="3"/>
      <c r="I110" s="3">
        <f t="shared" si="5"/>
        <v>3149.51</v>
      </c>
      <c r="J110" s="4">
        <v>28.3</v>
      </c>
      <c r="K110" s="4">
        <f t="shared" si="7"/>
        <v>0</v>
      </c>
      <c r="M110" t="str">
        <f t="shared" si="4"/>
        <v/>
      </c>
      <c r="N110" t="str">
        <f>IF(A110="","", "CP-" &amp; IFERROR(VLOOKUP(D110, Catalogos!$Z$4:$AA$20, 2, FALSE), "FOL") &amp; "-" &amp; WEEKNUM(A110,2) &amp; "-" &amp; TEXT(ROW(A106),"000"))</f>
        <v/>
      </c>
    </row>
    <row r="111" spans="1:14">
      <c r="A111" s="2"/>
      <c r="C111" t="s">
        <v>47</v>
      </c>
      <c r="F111" t="e">
        <f>VLOOKUP(#REF!,Catalogos!$V$4:$W$85,2,FALSE)</f>
        <v>#REF!</v>
      </c>
      <c r="G111" s="3"/>
      <c r="H111" s="3"/>
      <c r="I111" s="3">
        <f t="shared" si="5"/>
        <v>3149.51</v>
      </c>
      <c r="J111" s="4">
        <v>28.3</v>
      </c>
      <c r="K111" s="4">
        <f t="shared" si="7"/>
        <v>0</v>
      </c>
      <c r="M111" t="str">
        <f t="shared" si="4"/>
        <v/>
      </c>
      <c r="N111" t="str">
        <f>IF(A111="","", "CP-" &amp; IFERROR(VLOOKUP(D111, Catalogos!$Z$4:$AA$20, 2, FALSE), "FOL") &amp; "-" &amp; WEEKNUM(A111,2) &amp; "-" &amp; TEXT(ROW(A107),"000"))</f>
        <v/>
      </c>
    </row>
    <row r="112" spans="1:14">
      <c r="A112" s="2"/>
      <c r="C112" t="s">
        <v>47</v>
      </c>
      <c r="F112" t="e">
        <f>VLOOKUP(#REF!,Catalogos!$V$4:$W$85,2,FALSE)</f>
        <v>#REF!</v>
      </c>
      <c r="G112" s="3"/>
      <c r="H112" s="3"/>
      <c r="I112" s="3">
        <f t="shared" si="5"/>
        <v>3149.51</v>
      </c>
      <c r="J112" s="4">
        <v>28.3</v>
      </c>
      <c r="K112" s="4">
        <f t="shared" si="7"/>
        <v>0</v>
      </c>
      <c r="M112" t="str">
        <f t="shared" si="4"/>
        <v/>
      </c>
      <c r="N112" t="str">
        <f>IF(A112="","", "CP-" &amp; IFERROR(VLOOKUP(D112, Catalogos!$Z$4:$AA$20, 2, FALSE), "FOL") &amp; "-" &amp; WEEKNUM(A112,2) &amp; "-" &amp; TEXT(ROW(A108),"000"))</f>
        <v/>
      </c>
    </row>
    <row r="113" spans="1:14">
      <c r="A113" s="2"/>
      <c r="C113" t="s">
        <v>47</v>
      </c>
      <c r="F113" t="e">
        <f>VLOOKUP(#REF!,Catalogos!$V$4:$W$85,2,FALSE)</f>
        <v>#REF!</v>
      </c>
      <c r="G113" s="3"/>
      <c r="H113" s="3"/>
      <c r="I113" s="3">
        <f t="shared" si="5"/>
        <v>3149.51</v>
      </c>
      <c r="J113" s="4">
        <v>28.3</v>
      </c>
      <c r="K113" s="4">
        <f t="shared" si="7"/>
        <v>0</v>
      </c>
      <c r="M113" t="str">
        <f t="shared" si="4"/>
        <v/>
      </c>
      <c r="N113" t="str">
        <f>IF(A113="","", "CP-" &amp; IFERROR(VLOOKUP(D113, Catalogos!$Z$4:$AA$20, 2, FALSE), "FOL") &amp; "-" &amp; WEEKNUM(A113,2) &amp; "-" &amp; TEXT(ROW(A109),"000"))</f>
        <v/>
      </c>
    </row>
    <row r="114" spans="1:14">
      <c r="A114" s="2"/>
      <c r="C114" t="s">
        <v>47</v>
      </c>
      <c r="F114" t="e">
        <f>VLOOKUP(#REF!,Catalogos!$V$4:$W$85,2,FALSE)</f>
        <v>#REF!</v>
      </c>
      <c r="G114" s="3"/>
      <c r="H114" s="3"/>
      <c r="I114" s="3">
        <f t="shared" si="5"/>
        <v>3149.51</v>
      </c>
      <c r="J114" s="4">
        <v>28.3</v>
      </c>
      <c r="K114" s="4">
        <f t="shared" si="7"/>
        <v>0</v>
      </c>
      <c r="M114" t="str">
        <f t="shared" si="4"/>
        <v/>
      </c>
      <c r="N114" t="str">
        <f>IF(A114="","", "CP-" &amp; IFERROR(VLOOKUP(D114, Catalogos!$Z$4:$AA$20, 2, FALSE), "FOL") &amp; "-" &amp; WEEKNUM(A114,2) &amp; "-" &amp; TEXT(ROW(A110),"000"))</f>
        <v/>
      </c>
    </row>
    <row r="115" spans="1:14">
      <c r="A115" s="2"/>
      <c r="C115" t="s">
        <v>47</v>
      </c>
      <c r="F115" t="e">
        <f>VLOOKUP(#REF!,Catalogos!$V$4:$W$85,2,FALSE)</f>
        <v>#REF!</v>
      </c>
      <c r="G115" s="3"/>
      <c r="H115" s="3"/>
      <c r="I115" s="3">
        <f t="shared" si="5"/>
        <v>3149.51</v>
      </c>
      <c r="J115" s="4">
        <v>28.3</v>
      </c>
      <c r="K115" s="4">
        <f t="shared" si="7"/>
        <v>0</v>
      </c>
      <c r="M115" t="str">
        <f t="shared" si="4"/>
        <v/>
      </c>
      <c r="N115" t="str">
        <f>IF(A115="","", "CP-" &amp; IFERROR(VLOOKUP(D115, Catalogos!$Z$4:$AA$20, 2, FALSE), "FOL") &amp; "-" &amp; WEEKNUM(A115,2) &amp; "-" &amp; TEXT(ROW(A111),"000"))</f>
        <v/>
      </c>
    </row>
    <row r="116" spans="1:14">
      <c r="A116" s="2"/>
      <c r="C116" t="s">
        <v>47</v>
      </c>
      <c r="F116" t="e">
        <f>VLOOKUP(#REF!,Catalogos!$V$4:$W$85,2,FALSE)</f>
        <v>#REF!</v>
      </c>
      <c r="G116" s="3"/>
      <c r="H116" s="3"/>
      <c r="I116" s="3">
        <f t="shared" si="5"/>
        <v>3149.51</v>
      </c>
      <c r="J116" s="4">
        <v>28.3</v>
      </c>
      <c r="K116" s="4">
        <f t="shared" si="7"/>
        <v>0</v>
      </c>
      <c r="M116" t="str">
        <f t="shared" si="4"/>
        <v/>
      </c>
      <c r="N116" t="str">
        <f>IF(A116="","", "CP-" &amp; IFERROR(VLOOKUP(D116, Catalogos!$Z$4:$AA$20, 2, FALSE), "FOL") &amp; "-" &amp; WEEKNUM(A116,2) &amp; "-" &amp; TEXT(ROW(A112),"000"))</f>
        <v/>
      </c>
    </row>
    <row r="117" spans="1:14">
      <c r="A117" s="2"/>
      <c r="C117" t="s">
        <v>47</v>
      </c>
      <c r="F117" t="e">
        <f>VLOOKUP(#REF!,Catalogos!$V$4:$W$85,2,FALSE)</f>
        <v>#REF!</v>
      </c>
      <c r="G117" s="3"/>
      <c r="H117" s="3"/>
      <c r="I117" s="3">
        <f t="shared" si="5"/>
        <v>3149.51</v>
      </c>
      <c r="J117" s="4">
        <v>28.3</v>
      </c>
      <c r="K117" s="4">
        <f t="shared" si="7"/>
        <v>0</v>
      </c>
      <c r="M117" t="str">
        <f t="shared" si="4"/>
        <v/>
      </c>
      <c r="N117" t="str">
        <f>IF(A117="","", "CP-" &amp; IFERROR(VLOOKUP(D117, Catalogos!$Z$4:$AA$20, 2, FALSE), "FOL") &amp; "-" &amp; WEEKNUM(A117,2) &amp; "-" &amp; TEXT(ROW(A113),"000"))</f>
        <v/>
      </c>
    </row>
    <row r="118" spans="1:14">
      <c r="A118" s="2"/>
      <c r="C118" t="s">
        <v>47</v>
      </c>
      <c r="F118" t="e">
        <f>VLOOKUP(#REF!,Catalogos!$V$4:$W$85,2,FALSE)</f>
        <v>#REF!</v>
      </c>
      <c r="G118" s="3"/>
      <c r="H118" s="3"/>
      <c r="I118" s="3">
        <f t="shared" si="5"/>
        <v>3149.51</v>
      </c>
      <c r="J118" s="4">
        <v>28.3</v>
      </c>
      <c r="K118" s="4">
        <f t="shared" si="7"/>
        <v>0</v>
      </c>
      <c r="M118" t="str">
        <f t="shared" si="4"/>
        <v/>
      </c>
      <c r="N118" t="str">
        <f>IF(A118="","", "CP-" &amp; IFERROR(VLOOKUP(D118, Catalogos!$Z$4:$AA$20, 2, FALSE), "FOL") &amp; "-" &amp; WEEKNUM(A118,2) &amp; "-" &amp; TEXT(ROW(A114),"000"))</f>
        <v/>
      </c>
    </row>
    <row r="119" spans="1:14">
      <c r="A119" s="2"/>
      <c r="C119" t="s">
        <v>47</v>
      </c>
      <c r="F119" t="e">
        <f>VLOOKUP(#REF!,Catalogos!$V$4:$W$85,2,FALSE)</f>
        <v>#REF!</v>
      </c>
      <c r="G119" s="3"/>
      <c r="H119" s="3"/>
      <c r="I119" s="3">
        <f t="shared" si="5"/>
        <v>3149.51</v>
      </c>
      <c r="J119" s="4">
        <v>28.3</v>
      </c>
      <c r="K119" s="4">
        <f t="shared" si="7"/>
        <v>0</v>
      </c>
      <c r="M119" t="str">
        <f t="shared" si="4"/>
        <v/>
      </c>
      <c r="N119" t="str">
        <f>IF(A119="","", "CP-" &amp; IFERROR(VLOOKUP(D119, Catalogos!$Z$4:$AA$20, 2, FALSE), "FOL") &amp; "-" &amp; WEEKNUM(A119,2) &amp; "-" &amp; TEXT(ROW(A115),"000"))</f>
        <v/>
      </c>
    </row>
    <row r="120" spans="1:14">
      <c r="A120" s="2"/>
      <c r="C120" t="s">
        <v>47</v>
      </c>
      <c r="F120" t="e">
        <f>VLOOKUP(#REF!,Catalogos!$V$4:$W$85,2,FALSE)</f>
        <v>#REF!</v>
      </c>
      <c r="G120" s="3"/>
      <c r="H120" s="3"/>
      <c r="I120" s="3">
        <f t="shared" si="5"/>
        <v>3149.51</v>
      </c>
      <c r="J120" s="4">
        <v>28.3</v>
      </c>
      <c r="K120" s="4">
        <f t="shared" si="7"/>
        <v>0</v>
      </c>
      <c r="M120" t="str">
        <f t="shared" si="4"/>
        <v/>
      </c>
      <c r="N120" t="str">
        <f>IF(A120="","", "CP-" &amp; IFERROR(VLOOKUP(D120, Catalogos!$Z$4:$AA$20, 2, FALSE), "FOL") &amp; "-" &amp; WEEKNUM(A120,2) &amp; "-" &amp; TEXT(ROW(A116),"000"))</f>
        <v/>
      </c>
    </row>
    <row r="121" spans="1:14">
      <c r="A121" s="2"/>
      <c r="C121" t="s">
        <v>47</v>
      </c>
      <c r="F121" t="e">
        <f>VLOOKUP(#REF!,Catalogos!$V$4:$W$85,2,FALSE)</f>
        <v>#REF!</v>
      </c>
      <c r="G121" s="3"/>
      <c r="H121" s="3"/>
      <c r="I121" s="3">
        <f t="shared" si="5"/>
        <v>3149.51</v>
      </c>
      <c r="J121" s="4">
        <v>28.3</v>
      </c>
      <c r="K121" s="4">
        <f t="shared" si="7"/>
        <v>0</v>
      </c>
      <c r="M121" t="str">
        <f t="shared" si="4"/>
        <v/>
      </c>
      <c r="N121" t="str">
        <f>IF(A121="","", "CP-" &amp; IFERROR(VLOOKUP(D121, Catalogos!$Z$4:$AA$20, 2, FALSE), "FOL") &amp; "-" &amp; WEEKNUM(A121,2) &amp; "-" &amp; TEXT(ROW(A117),"000"))</f>
        <v/>
      </c>
    </row>
    <row r="122" spans="1:14">
      <c r="A122" s="2"/>
      <c r="C122" t="s">
        <v>47</v>
      </c>
      <c r="F122" t="e">
        <f>VLOOKUP(#REF!,Catalogos!$V$4:$W$85,2,FALSE)</f>
        <v>#REF!</v>
      </c>
      <c r="G122" s="3"/>
      <c r="H122" s="3"/>
      <c r="I122" s="3">
        <f t="shared" si="5"/>
        <v>3149.51</v>
      </c>
      <c r="J122" s="4">
        <v>28.3</v>
      </c>
      <c r="K122" s="4">
        <f t="shared" si="7"/>
        <v>0</v>
      </c>
      <c r="M122" t="str">
        <f t="shared" si="4"/>
        <v/>
      </c>
      <c r="N122" t="str">
        <f>IF(A122="","", "CP-" &amp; IFERROR(VLOOKUP(D122, Catalogos!$Z$4:$AA$20, 2, FALSE), "FOL") &amp; "-" &amp; WEEKNUM(A122,2) &amp; "-" &amp; TEXT(ROW(A118),"000"))</f>
        <v/>
      </c>
    </row>
    <row r="123" spans="1:14">
      <c r="A123" s="2"/>
      <c r="C123" t="s">
        <v>47</v>
      </c>
      <c r="F123" t="e">
        <f>VLOOKUP(#REF!,Catalogos!$V$4:$W$85,2,FALSE)</f>
        <v>#REF!</v>
      </c>
      <c r="G123" s="3"/>
      <c r="H123" s="3"/>
      <c r="I123" s="3">
        <f t="shared" si="5"/>
        <v>3149.51</v>
      </c>
      <c r="J123" s="4">
        <v>28.3</v>
      </c>
      <c r="K123" s="4">
        <f t="shared" si="7"/>
        <v>0</v>
      </c>
      <c r="M123" t="str">
        <f t="shared" si="4"/>
        <v/>
      </c>
      <c r="N123" t="str">
        <f>IF(A123="","", "CP-" &amp; IFERROR(VLOOKUP(D123, Catalogos!$Z$4:$AA$20, 2, FALSE), "FOL") &amp; "-" &amp; WEEKNUM(A123,2) &amp; "-" &amp; TEXT(ROW(A119),"000"))</f>
        <v/>
      </c>
    </row>
    <row r="124" spans="1:14">
      <c r="A124" s="2"/>
      <c r="C124" t="s">
        <v>47</v>
      </c>
      <c r="F124" t="e">
        <f>VLOOKUP(#REF!,Catalogos!$V$4:$W$85,2,FALSE)</f>
        <v>#REF!</v>
      </c>
      <c r="G124" s="3"/>
      <c r="H124" s="3"/>
      <c r="I124" s="3">
        <f t="shared" si="5"/>
        <v>3149.51</v>
      </c>
      <c r="J124" s="4">
        <v>28.3</v>
      </c>
      <c r="K124" s="4">
        <f t="shared" si="7"/>
        <v>0</v>
      </c>
      <c r="M124" t="str">
        <f t="shared" si="4"/>
        <v/>
      </c>
      <c r="N124" t="str">
        <f>IF(A124="","", "CP-" &amp; IFERROR(VLOOKUP(D124, Catalogos!$Z$4:$AA$20, 2, FALSE), "FOL") &amp; "-" &amp; WEEKNUM(A124,2) &amp; "-" &amp; TEXT(ROW(A120),"000"))</f>
        <v/>
      </c>
    </row>
    <row r="125" spans="1:14">
      <c r="A125" s="2"/>
      <c r="C125" t="s">
        <v>47</v>
      </c>
      <c r="F125" t="e">
        <f>VLOOKUP(#REF!,Catalogos!$V$4:$W$85,2,FALSE)</f>
        <v>#REF!</v>
      </c>
      <c r="G125" s="3"/>
      <c r="H125" s="3"/>
      <c r="I125" s="3">
        <f t="shared" si="5"/>
        <v>3149.51</v>
      </c>
      <c r="J125" s="4">
        <v>28.3</v>
      </c>
      <c r="K125" s="4">
        <f t="shared" si="7"/>
        <v>0</v>
      </c>
      <c r="M125" t="str">
        <f t="shared" si="4"/>
        <v/>
      </c>
      <c r="N125" t="str">
        <f>IF(A125="","", "CP-" &amp; IFERROR(VLOOKUP(D125, Catalogos!$Z$4:$AA$20, 2, FALSE), "FOL") &amp; "-" &amp; WEEKNUM(A125,2) &amp; "-" &amp; TEXT(ROW(A121),"000"))</f>
        <v/>
      </c>
    </row>
    <row r="126" spans="1:14">
      <c r="A126" s="2"/>
      <c r="C126" t="s">
        <v>47</v>
      </c>
      <c r="F126" t="e">
        <f>VLOOKUP(#REF!,Catalogos!$V$4:$W$85,2,FALSE)</f>
        <v>#REF!</v>
      </c>
      <c r="G126" s="3"/>
      <c r="H126" s="3"/>
      <c r="I126" s="3">
        <f t="shared" si="5"/>
        <v>3149.51</v>
      </c>
      <c r="J126" s="4">
        <v>28.3</v>
      </c>
      <c r="K126" s="4">
        <f t="shared" si="7"/>
        <v>0</v>
      </c>
      <c r="M126" t="str">
        <f t="shared" si="4"/>
        <v/>
      </c>
      <c r="N126" t="str">
        <f>IF(A126="","", "CP-" &amp; IFERROR(VLOOKUP(D126, Catalogos!$Z$4:$AA$20, 2, FALSE), "FOL") &amp; "-" &amp; WEEKNUM(A126,2) &amp; "-" &amp; TEXT(ROW(A122),"000"))</f>
        <v/>
      </c>
    </row>
    <row r="127" spans="1:14">
      <c r="A127" s="2"/>
      <c r="C127" t="s">
        <v>47</v>
      </c>
      <c r="F127" t="e">
        <f>VLOOKUP(#REF!,Catalogos!$V$4:$W$85,2,FALSE)</f>
        <v>#REF!</v>
      </c>
      <c r="G127" s="3"/>
      <c r="H127" s="3"/>
      <c r="I127" s="3">
        <f t="shared" si="5"/>
        <v>3149.51</v>
      </c>
      <c r="J127" s="4">
        <v>28.3</v>
      </c>
      <c r="K127" s="4">
        <f t="shared" si="7"/>
        <v>0</v>
      </c>
      <c r="M127" t="str">
        <f t="shared" si="4"/>
        <v/>
      </c>
      <c r="N127" t="str">
        <f>IF(A127="","", "CP-" &amp; IFERROR(VLOOKUP(D127, Catalogos!$Z$4:$AA$20, 2, FALSE), "FOL") &amp; "-" &amp; WEEKNUM(A127,2) &amp; "-" &amp; TEXT(ROW(A123),"000"))</f>
        <v/>
      </c>
    </row>
    <row r="128" spans="1:14">
      <c r="A128" s="2"/>
      <c r="C128" t="s">
        <v>47</v>
      </c>
      <c r="F128" t="e">
        <f>VLOOKUP(#REF!,Catalogos!$V$4:$W$85,2,FALSE)</f>
        <v>#REF!</v>
      </c>
      <c r="G128" s="3"/>
      <c r="H128" s="3"/>
      <c r="I128" s="3">
        <f t="shared" si="5"/>
        <v>3149.51</v>
      </c>
      <c r="J128" s="4">
        <v>28.3</v>
      </c>
      <c r="K128" s="4">
        <f t="shared" si="7"/>
        <v>0</v>
      </c>
      <c r="M128" t="str">
        <f t="shared" si="4"/>
        <v/>
      </c>
      <c r="N128" t="str">
        <f>IF(A128="","", "CP-" &amp; IFERROR(VLOOKUP(D128, Catalogos!$Z$4:$AA$20, 2, FALSE), "FOL") &amp; "-" &amp; WEEKNUM(A128,2) &amp; "-" &amp; TEXT(ROW(A124),"000"))</f>
        <v/>
      </c>
    </row>
    <row r="129" spans="1:14">
      <c r="A129" s="2"/>
      <c r="C129" t="s">
        <v>47</v>
      </c>
      <c r="F129" t="e">
        <f>VLOOKUP(#REF!,Catalogos!$V$4:$W$85,2,FALSE)</f>
        <v>#REF!</v>
      </c>
      <c r="G129" s="3"/>
      <c r="H129" s="3"/>
      <c r="I129" s="3">
        <f t="shared" si="5"/>
        <v>3149.51</v>
      </c>
      <c r="J129" s="4">
        <v>28.3</v>
      </c>
      <c r="K129" s="4">
        <f t="shared" si="7"/>
        <v>0</v>
      </c>
      <c r="M129" t="str">
        <f t="shared" si="4"/>
        <v/>
      </c>
      <c r="N129" t="str">
        <f>IF(A129="","", "CP-" &amp; IFERROR(VLOOKUP(D129, Catalogos!$Z$4:$AA$20, 2, FALSE), "FOL") &amp; "-" &amp; WEEKNUM(A129,2) &amp; "-" &amp; TEXT(ROW(A125),"000"))</f>
        <v/>
      </c>
    </row>
    <row r="130" spans="1:14">
      <c r="A130" s="2"/>
      <c r="C130" t="s">
        <v>47</v>
      </c>
      <c r="F130" t="e">
        <f>VLOOKUP(#REF!,Catalogos!$V$4:$W$85,2,FALSE)</f>
        <v>#REF!</v>
      </c>
      <c r="G130" s="3"/>
      <c r="H130" s="3"/>
      <c r="I130" s="3">
        <f t="shared" si="5"/>
        <v>3149.51</v>
      </c>
      <c r="J130" s="4">
        <v>28.3</v>
      </c>
      <c r="K130" s="4">
        <f t="shared" si="7"/>
        <v>0</v>
      </c>
      <c r="M130" t="str">
        <f t="shared" si="4"/>
        <v/>
      </c>
      <c r="N130" t="str">
        <f>IF(A130="","", "CP-" &amp; IFERROR(VLOOKUP(D130, Catalogos!$Z$4:$AA$20, 2, FALSE), "FOL") &amp; "-" &amp; WEEKNUM(A130,2) &amp; "-" &amp; TEXT(ROW(A126),"000"))</f>
        <v/>
      </c>
    </row>
    <row r="131" spans="1:14">
      <c r="A131" s="2"/>
      <c r="C131" t="s">
        <v>47</v>
      </c>
      <c r="F131" t="e">
        <f>VLOOKUP(#REF!,Catalogos!$V$4:$W$85,2,FALSE)</f>
        <v>#REF!</v>
      </c>
      <c r="G131" s="3"/>
      <c r="H131" s="3"/>
      <c r="I131" s="3">
        <f t="shared" si="5"/>
        <v>3149.51</v>
      </c>
      <c r="J131" s="4">
        <v>28.3</v>
      </c>
      <c r="K131" s="4">
        <f t="shared" si="7"/>
        <v>0</v>
      </c>
      <c r="M131" t="str">
        <f t="shared" si="4"/>
        <v/>
      </c>
      <c r="N131" t="str">
        <f>IF(A131="","", "CP-" &amp; IFERROR(VLOOKUP(D131, Catalogos!$Z$4:$AA$20, 2, FALSE), "FOL") &amp; "-" &amp; WEEKNUM(A131,2) &amp; "-" &amp; TEXT(ROW(A127),"000"))</f>
        <v/>
      </c>
    </row>
    <row r="132" spans="1:14">
      <c r="A132" s="2"/>
      <c r="C132" t="s">
        <v>47</v>
      </c>
      <c r="F132" t="e">
        <f>VLOOKUP(#REF!,Catalogos!$V$4:$W$85,2,FALSE)</f>
        <v>#REF!</v>
      </c>
      <c r="G132" s="3"/>
      <c r="H132" s="3"/>
      <c r="I132" s="3">
        <f t="shared" si="5"/>
        <v>3149.51</v>
      </c>
      <c r="J132" s="4">
        <v>28.3</v>
      </c>
      <c r="K132" s="4">
        <f t="shared" si="7"/>
        <v>0</v>
      </c>
      <c r="M132" t="str">
        <f t="shared" si="4"/>
        <v/>
      </c>
      <c r="N132" t="str">
        <f>IF(A132="","", "CP-" &amp; IFERROR(VLOOKUP(D132, Catalogos!$Z$4:$AA$20, 2, FALSE), "FOL") &amp; "-" &amp; WEEKNUM(A132,2) &amp; "-" &amp; TEXT(ROW(A128),"000"))</f>
        <v/>
      </c>
    </row>
    <row r="133" spans="1:14">
      <c r="A133" s="2"/>
      <c r="C133" t="s">
        <v>47</v>
      </c>
      <c r="F133" t="e">
        <f>VLOOKUP(#REF!,Catalogos!$V$4:$W$85,2,FALSE)</f>
        <v>#REF!</v>
      </c>
      <c r="G133" s="3"/>
      <c r="H133" s="3"/>
      <c r="I133" s="3">
        <f t="shared" si="5"/>
        <v>3149.51</v>
      </c>
      <c r="J133" s="4">
        <v>28.3</v>
      </c>
      <c r="K133" s="4">
        <f t="shared" si="7"/>
        <v>0</v>
      </c>
      <c r="M133" t="str">
        <f t="shared" ref="M133:M196" si="8">IF(A133="","", WEEKNUM(A133, 2))</f>
        <v/>
      </c>
      <c r="N133" t="str">
        <f>IF(A133="","", "CP-" &amp; IFERROR(VLOOKUP(D133, Catalogos!$Z$4:$AA$20, 2, FALSE), "FOL") &amp; "-" &amp; WEEKNUM(A133,2) &amp; "-" &amp; TEXT(ROW(A129),"000"))</f>
        <v/>
      </c>
    </row>
    <row r="134" spans="1:14">
      <c r="A134" s="2"/>
      <c r="C134" t="s">
        <v>47</v>
      </c>
      <c r="F134" t="e">
        <f>VLOOKUP(#REF!,Catalogos!$V$4:$W$85,2,FALSE)</f>
        <v>#REF!</v>
      </c>
      <c r="G134" s="3"/>
      <c r="H134" s="3"/>
      <c r="I134" s="3">
        <f t="shared" ref="I134:I197" si="9">IF(ROW()=5,G134-H134,I133+G134-H134)</f>
        <v>3149.51</v>
      </c>
      <c r="J134" s="4">
        <v>28.3</v>
      </c>
      <c r="K134" s="4">
        <f t="shared" si="7"/>
        <v>0</v>
      </c>
      <c r="M134" t="str">
        <f t="shared" si="8"/>
        <v/>
      </c>
      <c r="N134" t="str">
        <f>IF(A134="","", "CP-" &amp; IFERROR(VLOOKUP(D134, Catalogos!$Z$4:$AA$20, 2, FALSE), "FOL") &amp; "-" &amp; WEEKNUM(A134,2) &amp; "-" &amp; TEXT(ROW(A130),"000"))</f>
        <v/>
      </c>
    </row>
    <row r="135" spans="1:14">
      <c r="A135" s="2"/>
      <c r="C135" t="s">
        <v>47</v>
      </c>
      <c r="F135" t="e">
        <f>VLOOKUP(#REF!,Catalogos!$V$4:$W$85,2,FALSE)</f>
        <v>#REF!</v>
      </c>
      <c r="G135" s="3"/>
      <c r="H135" s="3"/>
      <c r="I135" s="3">
        <f t="shared" si="9"/>
        <v>3149.51</v>
      </c>
      <c r="J135" s="4">
        <v>28.3</v>
      </c>
      <c r="K135" s="4">
        <f t="shared" si="7"/>
        <v>0</v>
      </c>
      <c r="M135" t="str">
        <f t="shared" si="8"/>
        <v/>
      </c>
      <c r="N135" t="str">
        <f>IF(A135="","", "CP-" &amp; IFERROR(VLOOKUP(D135, Catalogos!$Z$4:$AA$20, 2, FALSE), "FOL") &amp; "-" &amp; WEEKNUM(A135,2) &amp; "-" &amp; TEXT(ROW(A131),"000"))</f>
        <v/>
      </c>
    </row>
    <row r="136" spans="1:14">
      <c r="A136" s="2"/>
      <c r="C136" t="s">
        <v>47</v>
      </c>
      <c r="F136" t="e">
        <f>VLOOKUP(#REF!,Catalogos!$V$4:$W$85,2,FALSE)</f>
        <v>#REF!</v>
      </c>
      <c r="G136" s="3"/>
      <c r="H136" s="3"/>
      <c r="I136" s="3">
        <f t="shared" si="9"/>
        <v>3149.51</v>
      </c>
      <c r="J136" s="4">
        <v>28.3</v>
      </c>
      <c r="K136" s="4">
        <f t="shared" si="7"/>
        <v>0</v>
      </c>
      <c r="M136" t="str">
        <f t="shared" si="8"/>
        <v/>
      </c>
      <c r="N136" t="str">
        <f>IF(A136="","", "CP-" &amp; IFERROR(VLOOKUP(D136, Catalogos!$Z$4:$AA$20, 2, FALSE), "FOL") &amp; "-" &amp; WEEKNUM(A136,2) &amp; "-" &amp; TEXT(ROW(A132),"000"))</f>
        <v/>
      </c>
    </row>
    <row r="137" spans="1:14">
      <c r="A137" s="2"/>
      <c r="C137" t="s">
        <v>47</v>
      </c>
      <c r="F137" t="e">
        <f>VLOOKUP(#REF!,Catalogos!$V$4:$W$85,2,FALSE)</f>
        <v>#REF!</v>
      </c>
      <c r="G137" s="3"/>
      <c r="H137" s="3"/>
      <c r="I137" s="3">
        <f t="shared" si="9"/>
        <v>3149.51</v>
      </c>
      <c r="J137" s="4">
        <v>28.3</v>
      </c>
      <c r="K137" s="4">
        <f t="shared" ref="K137:K168" si="10">IFERROR((G137+H137)*J137,0)</f>
        <v>0</v>
      </c>
      <c r="M137" t="str">
        <f t="shared" si="8"/>
        <v/>
      </c>
      <c r="N137" t="str">
        <f>IF(A137="","", "CP-" &amp; IFERROR(VLOOKUP(D137, Catalogos!$Z$4:$AA$20, 2, FALSE), "FOL") &amp; "-" &amp; WEEKNUM(A137,2) &amp; "-" &amp; TEXT(ROW(A133),"000"))</f>
        <v/>
      </c>
    </row>
    <row r="138" spans="1:14">
      <c r="A138" s="2"/>
      <c r="C138" t="s">
        <v>47</v>
      </c>
      <c r="F138" t="e">
        <f>VLOOKUP(#REF!,Catalogos!$V$4:$W$85,2,FALSE)</f>
        <v>#REF!</v>
      </c>
      <c r="G138" s="3"/>
      <c r="H138" s="3"/>
      <c r="I138" s="3">
        <f t="shared" si="9"/>
        <v>3149.51</v>
      </c>
      <c r="J138" s="4">
        <v>28.3</v>
      </c>
      <c r="K138" s="4">
        <f t="shared" si="10"/>
        <v>0</v>
      </c>
      <c r="M138" t="str">
        <f t="shared" si="8"/>
        <v/>
      </c>
      <c r="N138" t="str">
        <f>IF(A138="","", "CP-" &amp; IFERROR(VLOOKUP(D138, Catalogos!$Z$4:$AA$20, 2, FALSE), "FOL") &amp; "-" &amp; WEEKNUM(A138,2) &amp; "-" &amp; TEXT(ROW(A134),"000"))</f>
        <v/>
      </c>
    </row>
    <row r="139" spans="1:14">
      <c r="A139" s="2"/>
      <c r="C139" t="s">
        <v>47</v>
      </c>
      <c r="F139" t="e">
        <f>VLOOKUP(#REF!,Catalogos!$V$4:$W$85,2,FALSE)</f>
        <v>#REF!</v>
      </c>
      <c r="G139" s="3"/>
      <c r="H139" s="3"/>
      <c r="I139" s="3">
        <f t="shared" si="9"/>
        <v>3149.51</v>
      </c>
      <c r="J139" s="4">
        <v>28.3</v>
      </c>
      <c r="K139" s="4">
        <f t="shared" si="10"/>
        <v>0</v>
      </c>
      <c r="M139" t="str">
        <f t="shared" si="8"/>
        <v/>
      </c>
      <c r="N139" t="str">
        <f>IF(A139="","", "CP-" &amp; IFERROR(VLOOKUP(D139, Catalogos!$Z$4:$AA$20, 2, FALSE), "FOL") &amp; "-" &amp; WEEKNUM(A139,2) &amp; "-" &amp; TEXT(ROW(A135),"000"))</f>
        <v/>
      </c>
    </row>
    <row r="140" spans="1:14">
      <c r="A140" s="2"/>
      <c r="C140" t="s">
        <v>47</v>
      </c>
      <c r="F140" t="e">
        <f>VLOOKUP(#REF!,Catalogos!$V$4:$W$85,2,FALSE)</f>
        <v>#REF!</v>
      </c>
      <c r="G140" s="3"/>
      <c r="H140" s="3"/>
      <c r="I140" s="3">
        <f t="shared" si="9"/>
        <v>3149.51</v>
      </c>
      <c r="J140" s="4">
        <v>28.3</v>
      </c>
      <c r="K140" s="4">
        <f t="shared" si="10"/>
        <v>0</v>
      </c>
      <c r="M140" t="str">
        <f t="shared" si="8"/>
        <v/>
      </c>
      <c r="N140" t="str">
        <f>IF(A140="","", "CP-" &amp; IFERROR(VLOOKUP(D140, Catalogos!$Z$4:$AA$20, 2, FALSE), "FOL") &amp; "-" &amp; WEEKNUM(A140,2) &amp; "-" &amp; TEXT(ROW(A136),"000"))</f>
        <v/>
      </c>
    </row>
    <row r="141" spans="1:14">
      <c r="A141" s="2"/>
      <c r="C141" t="s">
        <v>47</v>
      </c>
      <c r="F141" t="e">
        <f>VLOOKUP(#REF!,Catalogos!$V$4:$W$85,2,FALSE)</f>
        <v>#REF!</v>
      </c>
      <c r="G141" s="3"/>
      <c r="H141" s="3"/>
      <c r="I141" s="3">
        <f t="shared" si="9"/>
        <v>3149.51</v>
      </c>
      <c r="J141" s="4">
        <v>28.3</v>
      </c>
      <c r="K141" s="4">
        <f t="shared" si="10"/>
        <v>0</v>
      </c>
      <c r="M141" t="str">
        <f t="shared" si="8"/>
        <v/>
      </c>
      <c r="N141" t="str">
        <f>IF(A141="","", "CP-" &amp; IFERROR(VLOOKUP(D141, Catalogos!$Z$4:$AA$20, 2, FALSE), "FOL") &amp; "-" &amp; WEEKNUM(A141,2) &amp; "-" &amp; TEXT(ROW(A137),"000"))</f>
        <v/>
      </c>
    </row>
    <row r="142" spans="1:14">
      <c r="A142" s="2"/>
      <c r="C142" t="s">
        <v>47</v>
      </c>
      <c r="F142" t="e">
        <f>VLOOKUP(#REF!,Catalogos!$V$4:$W$85,2,FALSE)</f>
        <v>#REF!</v>
      </c>
      <c r="G142" s="3"/>
      <c r="H142" s="3"/>
      <c r="I142" s="3">
        <f t="shared" si="9"/>
        <v>3149.51</v>
      </c>
      <c r="J142" s="4">
        <v>28.3</v>
      </c>
      <c r="K142" s="4">
        <f t="shared" si="10"/>
        <v>0</v>
      </c>
      <c r="M142" t="str">
        <f t="shared" si="8"/>
        <v/>
      </c>
      <c r="N142" t="str">
        <f>IF(A142="","", "CP-" &amp; IFERROR(VLOOKUP(D142, Catalogos!$Z$4:$AA$20, 2, FALSE), "FOL") &amp; "-" &amp; WEEKNUM(A142,2) &amp; "-" &amp; TEXT(ROW(A138),"000"))</f>
        <v/>
      </c>
    </row>
    <row r="143" spans="1:14">
      <c r="A143" s="2"/>
      <c r="C143" t="s">
        <v>47</v>
      </c>
      <c r="F143" t="e">
        <f>VLOOKUP(#REF!,Catalogos!$V$4:$W$85,2,FALSE)</f>
        <v>#REF!</v>
      </c>
      <c r="G143" s="3"/>
      <c r="H143" s="3"/>
      <c r="I143" s="3">
        <f t="shared" si="9"/>
        <v>3149.51</v>
      </c>
      <c r="J143" s="4">
        <v>28.3</v>
      </c>
      <c r="K143" s="4">
        <f t="shared" si="10"/>
        <v>0</v>
      </c>
      <c r="M143" t="str">
        <f t="shared" si="8"/>
        <v/>
      </c>
      <c r="N143" t="str">
        <f>IF(A143="","", "CP-" &amp; IFERROR(VLOOKUP(D143, Catalogos!$Z$4:$AA$20, 2, FALSE), "FOL") &amp; "-" &amp; WEEKNUM(A143,2) &amp; "-" &amp; TEXT(ROW(A139),"000"))</f>
        <v/>
      </c>
    </row>
    <row r="144" spans="1:14">
      <c r="A144" s="2"/>
      <c r="C144" t="s">
        <v>47</v>
      </c>
      <c r="F144" t="e">
        <f>VLOOKUP(#REF!,Catalogos!$V$4:$W$85,2,FALSE)</f>
        <v>#REF!</v>
      </c>
      <c r="G144" s="3"/>
      <c r="H144" s="3"/>
      <c r="I144" s="3">
        <f t="shared" si="9"/>
        <v>3149.51</v>
      </c>
      <c r="J144" s="4">
        <v>28.3</v>
      </c>
      <c r="K144" s="4">
        <f t="shared" si="10"/>
        <v>0</v>
      </c>
      <c r="M144" t="str">
        <f t="shared" si="8"/>
        <v/>
      </c>
      <c r="N144" t="str">
        <f>IF(A144="","", "CP-" &amp; IFERROR(VLOOKUP(D144, Catalogos!$Z$4:$AA$20, 2, FALSE), "FOL") &amp; "-" &amp; WEEKNUM(A144,2) &amp; "-" &amp; TEXT(ROW(A140),"000"))</f>
        <v/>
      </c>
    </row>
    <row r="145" spans="1:14">
      <c r="A145" s="2"/>
      <c r="C145" t="s">
        <v>47</v>
      </c>
      <c r="F145" t="e">
        <f>VLOOKUP(#REF!,Catalogos!$V$4:$W$85,2,FALSE)</f>
        <v>#REF!</v>
      </c>
      <c r="G145" s="3"/>
      <c r="H145" s="3"/>
      <c r="I145" s="3">
        <f t="shared" si="9"/>
        <v>3149.51</v>
      </c>
      <c r="J145" s="4">
        <v>28.3</v>
      </c>
      <c r="K145" s="4">
        <f t="shared" si="10"/>
        <v>0</v>
      </c>
      <c r="M145" t="str">
        <f t="shared" si="8"/>
        <v/>
      </c>
      <c r="N145" t="str">
        <f>IF(A145="","", "CP-" &amp; IFERROR(VLOOKUP(D145, Catalogos!$Z$4:$AA$20, 2, FALSE), "FOL") &amp; "-" &amp; WEEKNUM(A145,2) &amp; "-" &amp; TEXT(ROW(A141),"000"))</f>
        <v/>
      </c>
    </row>
    <row r="146" spans="1:14">
      <c r="A146" s="2"/>
      <c r="C146" t="s">
        <v>47</v>
      </c>
      <c r="F146" t="e">
        <f>VLOOKUP(#REF!,Catalogos!$V$4:$W$85,2,FALSE)</f>
        <v>#REF!</v>
      </c>
      <c r="G146" s="3"/>
      <c r="H146" s="3"/>
      <c r="I146" s="3">
        <f t="shared" si="9"/>
        <v>3149.51</v>
      </c>
      <c r="J146" s="4">
        <v>28.3</v>
      </c>
      <c r="K146" s="4">
        <f t="shared" si="10"/>
        <v>0</v>
      </c>
      <c r="M146" t="str">
        <f t="shared" si="8"/>
        <v/>
      </c>
      <c r="N146" t="str">
        <f>IF(A146="","", "CP-" &amp; IFERROR(VLOOKUP(D146, Catalogos!$Z$4:$AA$20, 2, FALSE), "FOL") &amp; "-" &amp; WEEKNUM(A146,2) &amp; "-" &amp; TEXT(ROW(A142),"000"))</f>
        <v/>
      </c>
    </row>
    <row r="147" spans="1:14">
      <c r="A147" s="2"/>
      <c r="C147" t="s">
        <v>47</v>
      </c>
      <c r="F147" t="e">
        <f>VLOOKUP(#REF!,Catalogos!$V$4:$W$85,2,FALSE)</f>
        <v>#REF!</v>
      </c>
      <c r="G147" s="3"/>
      <c r="H147" s="3"/>
      <c r="I147" s="3">
        <f t="shared" si="9"/>
        <v>3149.51</v>
      </c>
      <c r="J147" s="4">
        <v>28.3</v>
      </c>
      <c r="K147" s="4">
        <f t="shared" si="10"/>
        <v>0</v>
      </c>
      <c r="M147" t="str">
        <f t="shared" si="8"/>
        <v/>
      </c>
      <c r="N147" t="str">
        <f>IF(A147="","", "CP-" &amp; IFERROR(VLOOKUP(D147, Catalogos!$Z$4:$AA$20, 2, FALSE), "FOL") &amp; "-" &amp; WEEKNUM(A147,2) &amp; "-" &amp; TEXT(ROW(A143),"000"))</f>
        <v/>
      </c>
    </row>
    <row r="148" spans="1:14">
      <c r="A148" s="2"/>
      <c r="C148" t="s">
        <v>47</v>
      </c>
      <c r="F148" t="e">
        <f>VLOOKUP(#REF!,Catalogos!$V$4:$W$85,2,FALSE)</f>
        <v>#REF!</v>
      </c>
      <c r="G148" s="3"/>
      <c r="H148" s="3"/>
      <c r="I148" s="3">
        <f t="shared" si="9"/>
        <v>3149.51</v>
      </c>
      <c r="J148" s="4">
        <v>28.3</v>
      </c>
      <c r="K148" s="4">
        <f t="shared" si="10"/>
        <v>0</v>
      </c>
      <c r="M148" t="str">
        <f t="shared" si="8"/>
        <v/>
      </c>
      <c r="N148" t="str">
        <f>IF(A148="","", "CP-" &amp; IFERROR(VLOOKUP(D148, Catalogos!$Z$4:$AA$20, 2, FALSE), "FOL") &amp; "-" &amp; WEEKNUM(A148,2) &amp; "-" &amp; TEXT(ROW(A144),"000"))</f>
        <v/>
      </c>
    </row>
    <row r="149" spans="1:14">
      <c r="A149" s="2"/>
      <c r="C149" t="s">
        <v>47</v>
      </c>
      <c r="F149" t="e">
        <f>VLOOKUP(#REF!,Catalogos!$V$4:$W$85,2,FALSE)</f>
        <v>#REF!</v>
      </c>
      <c r="G149" s="3"/>
      <c r="H149" s="3"/>
      <c r="I149" s="3">
        <f t="shared" si="9"/>
        <v>3149.51</v>
      </c>
      <c r="J149" s="4">
        <v>28.3</v>
      </c>
      <c r="K149" s="4">
        <f t="shared" si="10"/>
        <v>0</v>
      </c>
      <c r="M149" t="str">
        <f t="shared" si="8"/>
        <v/>
      </c>
      <c r="N149" t="str">
        <f>IF(A149="","", "CP-" &amp; IFERROR(VLOOKUP(D149, Catalogos!$Z$4:$AA$20, 2, FALSE), "FOL") &amp; "-" &amp; WEEKNUM(A149,2) &amp; "-" &amp; TEXT(ROW(A145),"000"))</f>
        <v/>
      </c>
    </row>
    <row r="150" spans="1:14">
      <c r="A150" s="2"/>
      <c r="C150" t="s">
        <v>47</v>
      </c>
      <c r="F150" t="e">
        <f>VLOOKUP(#REF!,Catalogos!$V$4:$W$85,2,FALSE)</f>
        <v>#REF!</v>
      </c>
      <c r="G150" s="3"/>
      <c r="H150" s="3"/>
      <c r="I150" s="3">
        <f t="shared" si="9"/>
        <v>3149.51</v>
      </c>
      <c r="J150" s="4">
        <v>28.3</v>
      </c>
      <c r="K150" s="4">
        <f t="shared" si="10"/>
        <v>0</v>
      </c>
      <c r="M150" t="str">
        <f t="shared" si="8"/>
        <v/>
      </c>
      <c r="N150" t="str">
        <f>IF(A150="","", "CP-" &amp; IFERROR(VLOOKUP(D150, Catalogos!$Z$4:$AA$20, 2, FALSE), "FOL") &amp; "-" &amp; WEEKNUM(A150,2) &amp; "-" &amp; TEXT(ROW(A146),"000"))</f>
        <v/>
      </c>
    </row>
    <row r="151" spans="1:14">
      <c r="A151" s="2"/>
      <c r="C151" t="s">
        <v>47</v>
      </c>
      <c r="F151" t="e">
        <f>VLOOKUP(#REF!,Catalogos!$V$4:$W$85,2,FALSE)</f>
        <v>#REF!</v>
      </c>
      <c r="G151" s="3"/>
      <c r="H151" s="3"/>
      <c r="I151" s="3">
        <f t="shared" si="9"/>
        <v>3149.51</v>
      </c>
      <c r="J151" s="4">
        <v>28.3</v>
      </c>
      <c r="K151" s="4">
        <f t="shared" si="10"/>
        <v>0</v>
      </c>
      <c r="M151" t="str">
        <f t="shared" si="8"/>
        <v/>
      </c>
      <c r="N151" t="str">
        <f>IF(A151="","", "CP-" &amp; IFERROR(VLOOKUP(D151, Catalogos!$Z$4:$AA$20, 2, FALSE), "FOL") &amp; "-" &amp; WEEKNUM(A151,2) &amp; "-" &amp; TEXT(ROW(A147),"000"))</f>
        <v/>
      </c>
    </row>
    <row r="152" spans="1:14">
      <c r="A152" s="2"/>
      <c r="C152" t="s">
        <v>47</v>
      </c>
      <c r="F152" t="e">
        <f>VLOOKUP(#REF!,Catalogos!$V$4:$W$85,2,FALSE)</f>
        <v>#REF!</v>
      </c>
      <c r="G152" s="3"/>
      <c r="H152" s="3"/>
      <c r="I152" s="3">
        <f t="shared" si="9"/>
        <v>3149.51</v>
      </c>
      <c r="J152" s="4">
        <v>28.3</v>
      </c>
      <c r="K152" s="4">
        <f t="shared" si="10"/>
        <v>0</v>
      </c>
      <c r="M152" t="str">
        <f t="shared" si="8"/>
        <v/>
      </c>
      <c r="N152" t="str">
        <f>IF(A152="","", "CP-" &amp; IFERROR(VLOOKUP(D152, Catalogos!$Z$4:$AA$20, 2, FALSE), "FOL") &amp; "-" &amp; WEEKNUM(A152,2) &amp; "-" &amp; TEXT(ROW(A148),"000"))</f>
        <v/>
      </c>
    </row>
    <row r="153" spans="1:14">
      <c r="A153" s="2"/>
      <c r="C153" t="s">
        <v>47</v>
      </c>
      <c r="F153" t="e">
        <f>VLOOKUP(#REF!,Catalogos!$V$4:$W$85,2,FALSE)</f>
        <v>#REF!</v>
      </c>
      <c r="G153" s="3"/>
      <c r="H153" s="3"/>
      <c r="I153" s="3">
        <f t="shared" si="9"/>
        <v>3149.51</v>
      </c>
      <c r="J153" s="4">
        <v>28.3</v>
      </c>
      <c r="K153" s="4">
        <f t="shared" si="10"/>
        <v>0</v>
      </c>
      <c r="M153" t="str">
        <f t="shared" si="8"/>
        <v/>
      </c>
      <c r="N153" t="str">
        <f>IF(A153="","", "CP-" &amp; IFERROR(VLOOKUP(D153, Catalogos!$Z$4:$AA$20, 2, FALSE), "FOL") &amp; "-" &amp; WEEKNUM(A153,2) &amp; "-" &amp; TEXT(ROW(A149),"000"))</f>
        <v/>
      </c>
    </row>
    <row r="154" spans="1:14">
      <c r="A154" s="2"/>
      <c r="C154" t="s">
        <v>47</v>
      </c>
      <c r="F154" t="e">
        <f>VLOOKUP(#REF!,Catalogos!$V$4:$W$85,2,FALSE)</f>
        <v>#REF!</v>
      </c>
      <c r="G154" s="3"/>
      <c r="H154" s="3"/>
      <c r="I154" s="3">
        <f t="shared" si="9"/>
        <v>3149.51</v>
      </c>
      <c r="J154" s="4">
        <v>28.3</v>
      </c>
      <c r="K154" s="4">
        <f t="shared" si="10"/>
        <v>0</v>
      </c>
      <c r="M154" t="str">
        <f t="shared" si="8"/>
        <v/>
      </c>
      <c r="N154" t="str">
        <f>IF(A154="","", "CP-" &amp; IFERROR(VLOOKUP(D154, Catalogos!$Z$4:$AA$20, 2, FALSE), "FOL") &amp; "-" &amp; WEEKNUM(A154,2) &amp; "-" &amp; TEXT(ROW(A150),"000"))</f>
        <v/>
      </c>
    </row>
    <row r="155" spans="1:14">
      <c r="A155" s="2"/>
      <c r="C155" t="s">
        <v>47</v>
      </c>
      <c r="F155" t="e">
        <f>VLOOKUP(#REF!,Catalogos!$V$4:$W$85,2,FALSE)</f>
        <v>#REF!</v>
      </c>
      <c r="G155" s="3"/>
      <c r="H155" s="3"/>
      <c r="I155" s="3">
        <f t="shared" si="9"/>
        <v>3149.51</v>
      </c>
      <c r="J155" s="4">
        <v>28.3</v>
      </c>
      <c r="K155" s="4">
        <f t="shared" si="10"/>
        <v>0</v>
      </c>
      <c r="M155" t="str">
        <f t="shared" si="8"/>
        <v/>
      </c>
      <c r="N155" t="str">
        <f>IF(A155="","", "CP-" &amp; IFERROR(VLOOKUP(D155, Catalogos!$Z$4:$AA$20, 2, FALSE), "FOL") &amp; "-" &amp; WEEKNUM(A155,2) &amp; "-" &amp; TEXT(ROW(A151),"000"))</f>
        <v/>
      </c>
    </row>
    <row r="156" spans="1:14">
      <c r="A156" s="2"/>
      <c r="C156" t="s">
        <v>47</v>
      </c>
      <c r="F156" t="e">
        <f>VLOOKUP(#REF!,Catalogos!$V$4:$W$85,2,FALSE)</f>
        <v>#REF!</v>
      </c>
      <c r="G156" s="3"/>
      <c r="H156" s="3"/>
      <c r="I156" s="3">
        <f t="shared" si="9"/>
        <v>3149.51</v>
      </c>
      <c r="J156" s="4">
        <v>28.3</v>
      </c>
      <c r="K156" s="4">
        <f t="shared" si="10"/>
        <v>0</v>
      </c>
      <c r="M156" t="str">
        <f t="shared" si="8"/>
        <v/>
      </c>
      <c r="N156" t="str">
        <f>IF(A156="","", "CP-" &amp; IFERROR(VLOOKUP(D156, Catalogos!$Z$4:$AA$20, 2, FALSE), "FOL") &amp; "-" &amp; WEEKNUM(A156,2) &amp; "-" &amp; TEXT(ROW(A152),"000"))</f>
        <v/>
      </c>
    </row>
    <row r="157" spans="1:14">
      <c r="A157" s="2"/>
      <c r="C157" t="s">
        <v>47</v>
      </c>
      <c r="F157" t="e">
        <f>VLOOKUP(#REF!,Catalogos!$V$4:$W$85,2,FALSE)</f>
        <v>#REF!</v>
      </c>
      <c r="G157" s="3"/>
      <c r="H157" s="3"/>
      <c r="I157" s="3">
        <f t="shared" si="9"/>
        <v>3149.51</v>
      </c>
      <c r="J157" s="4">
        <v>28.3</v>
      </c>
      <c r="K157" s="4">
        <f t="shared" si="10"/>
        <v>0</v>
      </c>
      <c r="M157" t="str">
        <f t="shared" si="8"/>
        <v/>
      </c>
      <c r="N157" t="str">
        <f>IF(A157="","", "CP-" &amp; IFERROR(VLOOKUP(D157, Catalogos!$Z$4:$AA$20, 2, FALSE), "FOL") &amp; "-" &amp; WEEKNUM(A157,2) &amp; "-" &amp; TEXT(ROW(A153),"000"))</f>
        <v/>
      </c>
    </row>
    <row r="158" spans="1:14">
      <c r="A158" s="2"/>
      <c r="C158" t="s">
        <v>47</v>
      </c>
      <c r="F158" t="e">
        <f>VLOOKUP(#REF!,Catalogos!$V$4:$W$85,2,FALSE)</f>
        <v>#REF!</v>
      </c>
      <c r="G158" s="3"/>
      <c r="H158" s="3"/>
      <c r="I158" s="3">
        <f t="shared" si="9"/>
        <v>3149.51</v>
      </c>
      <c r="J158" s="4">
        <v>28.3</v>
      </c>
      <c r="K158" s="4">
        <f t="shared" si="10"/>
        <v>0</v>
      </c>
      <c r="M158" t="str">
        <f t="shared" si="8"/>
        <v/>
      </c>
      <c r="N158" t="str">
        <f>IF(A158="","", "CP-" &amp; IFERROR(VLOOKUP(D158, Catalogos!$Z$4:$AA$20, 2, FALSE), "FOL") &amp; "-" &amp; WEEKNUM(A158,2) &amp; "-" &amp; TEXT(ROW(A154),"000"))</f>
        <v/>
      </c>
    </row>
    <row r="159" spans="1:14">
      <c r="A159" s="2"/>
      <c r="C159" t="s">
        <v>47</v>
      </c>
      <c r="F159" t="e">
        <f>VLOOKUP(#REF!,Catalogos!$V$4:$W$85,2,FALSE)</f>
        <v>#REF!</v>
      </c>
      <c r="G159" s="3"/>
      <c r="H159" s="3"/>
      <c r="I159" s="3">
        <f t="shared" si="9"/>
        <v>3149.51</v>
      </c>
      <c r="J159" s="4">
        <v>28.3</v>
      </c>
      <c r="K159" s="4">
        <f t="shared" si="10"/>
        <v>0</v>
      </c>
      <c r="M159" t="str">
        <f t="shared" si="8"/>
        <v/>
      </c>
      <c r="N159" t="str">
        <f>IF(A159="","", "CP-" &amp; IFERROR(VLOOKUP(D159, Catalogos!$Z$4:$AA$20, 2, FALSE), "FOL") &amp; "-" &amp; WEEKNUM(A159,2) &amp; "-" &amp; TEXT(ROW(A155),"000"))</f>
        <v/>
      </c>
    </row>
    <row r="160" spans="1:14">
      <c r="A160" s="2"/>
      <c r="C160" t="s">
        <v>47</v>
      </c>
      <c r="F160" t="e">
        <f>VLOOKUP(#REF!,Catalogos!$V$4:$W$85,2,FALSE)</f>
        <v>#REF!</v>
      </c>
      <c r="G160" s="3"/>
      <c r="H160" s="3"/>
      <c r="I160" s="3">
        <f t="shared" si="9"/>
        <v>3149.51</v>
      </c>
      <c r="J160" s="4">
        <v>28.3</v>
      </c>
      <c r="K160" s="4">
        <f t="shared" si="10"/>
        <v>0</v>
      </c>
      <c r="M160" t="str">
        <f t="shared" si="8"/>
        <v/>
      </c>
      <c r="N160" t="str">
        <f>IF(A160="","", "CP-" &amp; IFERROR(VLOOKUP(D160, Catalogos!$Z$4:$AA$20, 2, FALSE), "FOL") &amp; "-" &amp; WEEKNUM(A160,2) &amp; "-" &amp; TEXT(ROW(A156),"000"))</f>
        <v/>
      </c>
    </row>
    <row r="161" spans="1:14">
      <c r="A161" s="2"/>
      <c r="C161" t="s">
        <v>47</v>
      </c>
      <c r="F161" t="e">
        <f>VLOOKUP(#REF!,Catalogos!$V$4:$W$85,2,FALSE)</f>
        <v>#REF!</v>
      </c>
      <c r="G161" s="3"/>
      <c r="H161" s="3"/>
      <c r="I161" s="3">
        <f t="shared" si="9"/>
        <v>3149.51</v>
      </c>
      <c r="J161" s="4">
        <v>28.3</v>
      </c>
      <c r="K161" s="4">
        <f t="shared" si="10"/>
        <v>0</v>
      </c>
      <c r="M161" t="str">
        <f t="shared" si="8"/>
        <v/>
      </c>
      <c r="N161" t="str">
        <f>IF(A161="","", "CP-" &amp; IFERROR(VLOOKUP(D161, Catalogos!$Z$4:$AA$20, 2, FALSE), "FOL") &amp; "-" &amp; WEEKNUM(A161,2) &amp; "-" &amp; TEXT(ROW(A157),"000"))</f>
        <v/>
      </c>
    </row>
    <row r="162" spans="1:14">
      <c r="A162" s="2"/>
      <c r="C162" t="s">
        <v>47</v>
      </c>
      <c r="F162" t="e">
        <f>VLOOKUP(#REF!,Catalogos!$V$4:$W$85,2,FALSE)</f>
        <v>#REF!</v>
      </c>
      <c r="G162" s="3"/>
      <c r="H162" s="3"/>
      <c r="I162" s="3">
        <f t="shared" si="9"/>
        <v>3149.51</v>
      </c>
      <c r="J162" s="4">
        <v>28.3</v>
      </c>
      <c r="K162" s="4">
        <f t="shared" si="10"/>
        <v>0</v>
      </c>
      <c r="M162" t="str">
        <f t="shared" si="8"/>
        <v/>
      </c>
      <c r="N162" t="str">
        <f>IF(A162="","", "CP-" &amp; IFERROR(VLOOKUP(D162, Catalogos!$Z$4:$AA$20, 2, FALSE), "FOL") &amp; "-" &amp; WEEKNUM(A162,2) &amp; "-" &amp; TEXT(ROW(A158),"000"))</f>
        <v/>
      </c>
    </row>
    <row r="163" spans="1:14">
      <c r="A163" s="2"/>
      <c r="C163" t="s">
        <v>47</v>
      </c>
      <c r="F163" t="e">
        <f>VLOOKUP(#REF!,Catalogos!$V$4:$W$85,2,FALSE)</f>
        <v>#REF!</v>
      </c>
      <c r="G163" s="3"/>
      <c r="H163" s="3"/>
      <c r="I163" s="3">
        <f t="shared" si="9"/>
        <v>3149.51</v>
      </c>
      <c r="J163" s="4">
        <v>28.3</v>
      </c>
      <c r="K163" s="4">
        <f t="shared" si="10"/>
        <v>0</v>
      </c>
      <c r="M163" t="str">
        <f t="shared" si="8"/>
        <v/>
      </c>
      <c r="N163" t="str">
        <f>IF(A163="","", "CP-" &amp; IFERROR(VLOOKUP(D163, Catalogos!$Z$4:$AA$20, 2, FALSE), "FOL") &amp; "-" &amp; WEEKNUM(A163,2) &amp; "-" &amp; TEXT(ROW(A159),"000"))</f>
        <v/>
      </c>
    </row>
    <row r="164" spans="1:14">
      <c r="A164" s="2"/>
      <c r="C164" t="s">
        <v>47</v>
      </c>
      <c r="F164" t="e">
        <f>VLOOKUP(#REF!,Catalogos!$V$4:$W$85,2,FALSE)</f>
        <v>#REF!</v>
      </c>
      <c r="G164" s="3"/>
      <c r="H164" s="3"/>
      <c r="I164" s="3">
        <f t="shared" si="9"/>
        <v>3149.51</v>
      </c>
      <c r="J164" s="4">
        <v>28.3</v>
      </c>
      <c r="K164" s="4">
        <f t="shared" si="10"/>
        <v>0</v>
      </c>
      <c r="M164" t="str">
        <f t="shared" si="8"/>
        <v/>
      </c>
      <c r="N164" t="str">
        <f>IF(A164="","", "CP-" &amp; IFERROR(VLOOKUP(D164, Catalogos!$Z$4:$AA$20, 2, FALSE), "FOL") &amp; "-" &amp; WEEKNUM(A164,2) &amp; "-" &amp; TEXT(ROW(A160),"000"))</f>
        <v/>
      </c>
    </row>
    <row r="165" spans="1:14">
      <c r="A165" s="2"/>
      <c r="C165" t="s">
        <v>47</v>
      </c>
      <c r="F165" t="e">
        <f>VLOOKUP(#REF!,Catalogos!$V$4:$W$85,2,FALSE)</f>
        <v>#REF!</v>
      </c>
      <c r="G165" s="3"/>
      <c r="H165" s="3"/>
      <c r="I165" s="3">
        <f t="shared" si="9"/>
        <v>3149.51</v>
      </c>
      <c r="J165" s="4">
        <v>28.3</v>
      </c>
      <c r="K165" s="4">
        <f t="shared" si="10"/>
        <v>0</v>
      </c>
      <c r="M165" t="str">
        <f t="shared" si="8"/>
        <v/>
      </c>
      <c r="N165" t="str">
        <f>IF(A165="","", "CP-" &amp; IFERROR(VLOOKUP(D165, Catalogos!$Z$4:$AA$20, 2, FALSE), "FOL") &amp; "-" &amp; WEEKNUM(A165,2) &amp; "-" &amp; TEXT(ROW(A161),"000"))</f>
        <v/>
      </c>
    </row>
    <row r="166" spans="1:14">
      <c r="A166" s="2"/>
      <c r="C166" t="s">
        <v>47</v>
      </c>
      <c r="F166" t="e">
        <f>VLOOKUP(#REF!,Catalogos!$V$4:$W$85,2,FALSE)</f>
        <v>#REF!</v>
      </c>
      <c r="G166" s="3"/>
      <c r="H166" s="3"/>
      <c r="I166" s="3">
        <f t="shared" si="9"/>
        <v>3149.51</v>
      </c>
      <c r="J166" s="4">
        <v>28.3</v>
      </c>
      <c r="K166" s="4">
        <f t="shared" si="10"/>
        <v>0</v>
      </c>
      <c r="M166" t="str">
        <f t="shared" si="8"/>
        <v/>
      </c>
      <c r="N166" t="str">
        <f>IF(A166="","", "CP-" &amp; IFERROR(VLOOKUP(D166, Catalogos!$Z$4:$AA$20, 2, FALSE), "FOL") &amp; "-" &amp; WEEKNUM(A166,2) &amp; "-" &amp; TEXT(ROW(A162),"000"))</f>
        <v/>
      </c>
    </row>
    <row r="167" spans="1:14">
      <c r="A167" s="2"/>
      <c r="C167" t="s">
        <v>47</v>
      </c>
      <c r="F167" t="e">
        <f>VLOOKUP(#REF!,Catalogos!$V$4:$W$85,2,FALSE)</f>
        <v>#REF!</v>
      </c>
      <c r="G167" s="3"/>
      <c r="H167" s="3"/>
      <c r="I167" s="3">
        <f t="shared" si="9"/>
        <v>3149.51</v>
      </c>
      <c r="J167" s="4">
        <v>28.3</v>
      </c>
      <c r="K167" s="4">
        <f t="shared" si="10"/>
        <v>0</v>
      </c>
      <c r="M167" t="str">
        <f t="shared" si="8"/>
        <v/>
      </c>
      <c r="N167" t="str">
        <f>IF(A167="","", "CP-" &amp; IFERROR(VLOOKUP(D167, Catalogos!$Z$4:$AA$20, 2, FALSE), "FOL") &amp; "-" &amp; WEEKNUM(A167,2) &amp; "-" &amp; TEXT(ROW(A163),"000"))</f>
        <v/>
      </c>
    </row>
    <row r="168" spans="1:14">
      <c r="A168" s="2"/>
      <c r="C168" t="s">
        <v>47</v>
      </c>
      <c r="F168" t="e">
        <f>VLOOKUP(#REF!,Catalogos!$V$4:$W$85,2,FALSE)</f>
        <v>#REF!</v>
      </c>
      <c r="G168" s="3"/>
      <c r="H168" s="3"/>
      <c r="I168" s="3">
        <f t="shared" si="9"/>
        <v>3149.51</v>
      </c>
      <c r="J168" s="4">
        <v>28.3</v>
      </c>
      <c r="K168" s="4">
        <f t="shared" si="10"/>
        <v>0</v>
      </c>
      <c r="M168" t="str">
        <f t="shared" si="8"/>
        <v/>
      </c>
      <c r="N168" t="str">
        <f>IF(A168="","", "CP-" &amp; IFERROR(VLOOKUP(D168, Catalogos!$Z$4:$AA$20, 2, FALSE), "FOL") &amp; "-" &amp; WEEKNUM(A168,2) &amp; "-" &amp; TEXT(ROW(A164),"000"))</f>
        <v/>
      </c>
    </row>
    <row r="169" spans="1:14">
      <c r="A169" s="2"/>
      <c r="C169" t="s">
        <v>47</v>
      </c>
      <c r="F169" t="e">
        <f>VLOOKUP(#REF!,Catalogos!$V$4:$W$85,2,FALSE)</f>
        <v>#REF!</v>
      </c>
      <c r="G169" s="3"/>
      <c r="H169" s="3"/>
      <c r="I169" s="3">
        <f t="shared" si="9"/>
        <v>3149.51</v>
      </c>
      <c r="J169" s="4">
        <v>28.3</v>
      </c>
      <c r="K169" s="4">
        <f t="shared" ref="K169:K200" si="11">IFERROR((G169+H169)*J169,0)</f>
        <v>0</v>
      </c>
      <c r="M169" t="str">
        <f t="shared" si="8"/>
        <v/>
      </c>
      <c r="N169" t="str">
        <f>IF(A169="","", "CP-" &amp; IFERROR(VLOOKUP(D169, Catalogos!$Z$4:$AA$20, 2, FALSE), "FOL") &amp; "-" &amp; WEEKNUM(A169,2) &amp; "-" &amp; TEXT(ROW(A165),"000"))</f>
        <v/>
      </c>
    </row>
    <row r="170" spans="1:14">
      <c r="A170" s="2"/>
      <c r="C170" t="s">
        <v>47</v>
      </c>
      <c r="F170" t="e">
        <f>VLOOKUP(#REF!,Catalogos!$V$4:$W$85,2,FALSE)</f>
        <v>#REF!</v>
      </c>
      <c r="G170" s="3"/>
      <c r="H170" s="3"/>
      <c r="I170" s="3">
        <f t="shared" si="9"/>
        <v>3149.51</v>
      </c>
      <c r="J170" s="4">
        <v>28.3</v>
      </c>
      <c r="K170" s="4">
        <f t="shared" si="11"/>
        <v>0</v>
      </c>
      <c r="M170" t="str">
        <f t="shared" si="8"/>
        <v/>
      </c>
      <c r="N170" t="str">
        <f>IF(A170="","", "CP-" &amp; IFERROR(VLOOKUP(D170, Catalogos!$Z$4:$AA$20, 2, FALSE), "FOL") &amp; "-" &amp; WEEKNUM(A170,2) &amp; "-" &amp; TEXT(ROW(A166),"000"))</f>
        <v/>
      </c>
    </row>
    <row r="171" spans="1:14">
      <c r="A171" s="2"/>
      <c r="C171" t="s">
        <v>47</v>
      </c>
      <c r="F171" t="e">
        <f>VLOOKUP(#REF!,Catalogos!$V$4:$W$85,2,FALSE)</f>
        <v>#REF!</v>
      </c>
      <c r="G171" s="3"/>
      <c r="H171" s="3"/>
      <c r="I171" s="3">
        <f t="shared" si="9"/>
        <v>3149.51</v>
      </c>
      <c r="J171" s="4">
        <v>28.3</v>
      </c>
      <c r="K171" s="4">
        <f t="shared" si="11"/>
        <v>0</v>
      </c>
      <c r="M171" t="str">
        <f t="shared" si="8"/>
        <v/>
      </c>
      <c r="N171" t="str">
        <f>IF(A171="","", "CP-" &amp; IFERROR(VLOOKUP(D171, Catalogos!$Z$4:$AA$20, 2, FALSE), "FOL") &amp; "-" &amp; WEEKNUM(A171,2) &amp; "-" &amp; TEXT(ROW(A167),"000"))</f>
        <v/>
      </c>
    </row>
    <row r="172" spans="1:14">
      <c r="A172" s="2"/>
      <c r="C172" t="s">
        <v>47</v>
      </c>
      <c r="F172" t="e">
        <f>VLOOKUP(#REF!,Catalogos!$V$4:$W$85,2,FALSE)</f>
        <v>#REF!</v>
      </c>
      <c r="G172" s="3"/>
      <c r="H172" s="3"/>
      <c r="I172" s="3">
        <f t="shared" si="9"/>
        <v>3149.51</v>
      </c>
      <c r="J172" s="4">
        <v>28.3</v>
      </c>
      <c r="K172" s="4">
        <f t="shared" si="11"/>
        <v>0</v>
      </c>
      <c r="M172" t="str">
        <f t="shared" si="8"/>
        <v/>
      </c>
      <c r="N172" t="str">
        <f>IF(A172="","", "CP-" &amp; IFERROR(VLOOKUP(D172, Catalogos!$Z$4:$AA$20, 2, FALSE), "FOL") &amp; "-" &amp; WEEKNUM(A172,2) &amp; "-" &amp; TEXT(ROW(A168),"000"))</f>
        <v/>
      </c>
    </row>
    <row r="173" spans="1:14">
      <c r="A173" s="2"/>
      <c r="C173" t="s">
        <v>47</v>
      </c>
      <c r="F173" t="e">
        <f>VLOOKUP(#REF!,Catalogos!$V$4:$W$85,2,FALSE)</f>
        <v>#REF!</v>
      </c>
      <c r="G173" s="3"/>
      <c r="H173" s="3"/>
      <c r="I173" s="3">
        <f t="shared" si="9"/>
        <v>3149.51</v>
      </c>
      <c r="J173" s="4">
        <v>28.3</v>
      </c>
      <c r="K173" s="4">
        <f t="shared" si="11"/>
        <v>0</v>
      </c>
      <c r="M173" t="str">
        <f t="shared" si="8"/>
        <v/>
      </c>
      <c r="N173" t="str">
        <f>IF(A173="","", "CP-" &amp; IFERROR(VLOOKUP(D173, Catalogos!$Z$4:$AA$20, 2, FALSE), "FOL") &amp; "-" &amp; WEEKNUM(A173,2) &amp; "-" &amp; TEXT(ROW(A169),"000"))</f>
        <v/>
      </c>
    </row>
    <row r="174" spans="1:14">
      <c r="A174" s="2"/>
      <c r="C174" t="s">
        <v>47</v>
      </c>
      <c r="F174" t="e">
        <f>VLOOKUP(#REF!,Catalogos!$V$4:$W$85,2,FALSE)</f>
        <v>#REF!</v>
      </c>
      <c r="G174" s="3"/>
      <c r="H174" s="3"/>
      <c r="I174" s="3">
        <f t="shared" si="9"/>
        <v>3149.51</v>
      </c>
      <c r="J174" s="4">
        <v>28.3</v>
      </c>
      <c r="K174" s="4">
        <f t="shared" si="11"/>
        <v>0</v>
      </c>
      <c r="M174" t="str">
        <f t="shared" si="8"/>
        <v/>
      </c>
      <c r="N174" t="str">
        <f>IF(A174="","", "CP-" &amp; IFERROR(VLOOKUP(D174, Catalogos!$Z$4:$AA$20, 2, FALSE), "FOL") &amp; "-" &amp; WEEKNUM(A174,2) &amp; "-" &amp; TEXT(ROW(A170),"000"))</f>
        <v/>
      </c>
    </row>
    <row r="175" spans="1:14">
      <c r="A175" s="2"/>
      <c r="C175" t="s">
        <v>47</v>
      </c>
      <c r="F175" t="e">
        <f>VLOOKUP(#REF!,Catalogos!$V$4:$W$85,2,FALSE)</f>
        <v>#REF!</v>
      </c>
      <c r="G175" s="3"/>
      <c r="H175" s="3"/>
      <c r="I175" s="3">
        <f t="shared" si="9"/>
        <v>3149.51</v>
      </c>
      <c r="J175" s="4">
        <v>28.3</v>
      </c>
      <c r="K175" s="4">
        <f t="shared" si="11"/>
        <v>0</v>
      </c>
      <c r="M175" t="str">
        <f t="shared" si="8"/>
        <v/>
      </c>
      <c r="N175" t="str">
        <f>IF(A175="","", "CP-" &amp; IFERROR(VLOOKUP(D175, Catalogos!$Z$4:$AA$20, 2, FALSE), "FOL") &amp; "-" &amp; WEEKNUM(A175,2) &amp; "-" &amp; TEXT(ROW(A171),"000"))</f>
        <v/>
      </c>
    </row>
    <row r="176" spans="1:14">
      <c r="A176" s="2"/>
      <c r="C176" t="s">
        <v>47</v>
      </c>
      <c r="F176" t="e">
        <f>VLOOKUP(#REF!,Catalogos!$V$4:$W$85,2,FALSE)</f>
        <v>#REF!</v>
      </c>
      <c r="G176" s="3"/>
      <c r="H176" s="3"/>
      <c r="I176" s="3">
        <f t="shared" si="9"/>
        <v>3149.51</v>
      </c>
      <c r="J176" s="4">
        <v>28.3</v>
      </c>
      <c r="K176" s="4">
        <f t="shared" si="11"/>
        <v>0</v>
      </c>
      <c r="M176" t="str">
        <f t="shared" si="8"/>
        <v/>
      </c>
      <c r="N176" t="str">
        <f>IF(A176="","", "CP-" &amp; IFERROR(VLOOKUP(D176, Catalogos!$Z$4:$AA$20, 2, FALSE), "FOL") &amp; "-" &amp; WEEKNUM(A176,2) &amp; "-" &amp; TEXT(ROW(A172),"000"))</f>
        <v/>
      </c>
    </row>
    <row r="177" spans="1:14">
      <c r="A177" s="2"/>
      <c r="C177" t="s">
        <v>47</v>
      </c>
      <c r="F177" t="e">
        <f>VLOOKUP(#REF!,Catalogos!$V$4:$W$85,2,FALSE)</f>
        <v>#REF!</v>
      </c>
      <c r="G177" s="3"/>
      <c r="H177" s="3"/>
      <c r="I177" s="3">
        <f t="shared" si="9"/>
        <v>3149.51</v>
      </c>
      <c r="J177" s="4">
        <v>28.3</v>
      </c>
      <c r="K177" s="4">
        <f t="shared" si="11"/>
        <v>0</v>
      </c>
      <c r="M177" t="str">
        <f t="shared" si="8"/>
        <v/>
      </c>
      <c r="N177" t="str">
        <f>IF(A177="","", "CP-" &amp; IFERROR(VLOOKUP(D177, Catalogos!$Z$4:$AA$20, 2, FALSE), "FOL") &amp; "-" &amp; WEEKNUM(A177,2) &amp; "-" &amp; TEXT(ROW(A173),"000"))</f>
        <v/>
      </c>
    </row>
    <row r="178" spans="1:14">
      <c r="A178" s="2"/>
      <c r="C178" t="s">
        <v>47</v>
      </c>
      <c r="F178" t="e">
        <f>VLOOKUP(#REF!,Catalogos!$V$4:$W$85,2,FALSE)</f>
        <v>#REF!</v>
      </c>
      <c r="G178" s="3"/>
      <c r="H178" s="3"/>
      <c r="I178" s="3">
        <f t="shared" si="9"/>
        <v>3149.51</v>
      </c>
      <c r="J178" s="4">
        <v>28.3</v>
      </c>
      <c r="K178" s="4">
        <f t="shared" si="11"/>
        <v>0</v>
      </c>
      <c r="M178" t="str">
        <f t="shared" si="8"/>
        <v/>
      </c>
      <c r="N178" t="str">
        <f>IF(A178="","", "CP-" &amp; IFERROR(VLOOKUP(D178, Catalogos!$Z$4:$AA$20, 2, FALSE), "FOL") &amp; "-" &amp; WEEKNUM(A178,2) &amp; "-" &amp; TEXT(ROW(A174),"000"))</f>
        <v/>
      </c>
    </row>
    <row r="179" spans="1:14">
      <c r="A179" s="2"/>
      <c r="C179" t="s">
        <v>47</v>
      </c>
      <c r="F179" t="e">
        <f>VLOOKUP(#REF!,Catalogos!$V$4:$W$85,2,FALSE)</f>
        <v>#REF!</v>
      </c>
      <c r="G179" s="3"/>
      <c r="H179" s="3"/>
      <c r="I179" s="3">
        <f t="shared" si="9"/>
        <v>3149.51</v>
      </c>
      <c r="J179" s="4">
        <v>28.3</v>
      </c>
      <c r="K179" s="4">
        <f t="shared" si="11"/>
        <v>0</v>
      </c>
      <c r="M179" t="str">
        <f t="shared" si="8"/>
        <v/>
      </c>
      <c r="N179" t="str">
        <f>IF(A179="","", "CP-" &amp; IFERROR(VLOOKUP(D179, Catalogos!$Z$4:$AA$20, 2, FALSE), "FOL") &amp; "-" &amp; WEEKNUM(A179,2) &amp; "-" &amp; TEXT(ROW(A175),"000"))</f>
        <v/>
      </c>
    </row>
    <row r="180" spans="1:14">
      <c r="A180" s="2"/>
      <c r="C180" t="s">
        <v>47</v>
      </c>
      <c r="F180" t="e">
        <f>VLOOKUP(#REF!,Catalogos!$V$4:$W$85,2,FALSE)</f>
        <v>#REF!</v>
      </c>
      <c r="G180" s="3"/>
      <c r="H180" s="3"/>
      <c r="I180" s="3">
        <f t="shared" si="9"/>
        <v>3149.51</v>
      </c>
      <c r="J180" s="4">
        <v>28.3</v>
      </c>
      <c r="K180" s="4">
        <f t="shared" si="11"/>
        <v>0</v>
      </c>
      <c r="M180" t="str">
        <f t="shared" si="8"/>
        <v/>
      </c>
      <c r="N180" t="str">
        <f>IF(A180="","", "CP-" &amp; IFERROR(VLOOKUP(D180, Catalogos!$Z$4:$AA$20, 2, FALSE), "FOL") &amp; "-" &amp; WEEKNUM(A180,2) &amp; "-" &amp; TEXT(ROW(A176),"000"))</f>
        <v/>
      </c>
    </row>
    <row r="181" spans="1:14">
      <c r="A181" s="2"/>
      <c r="C181" t="s">
        <v>47</v>
      </c>
      <c r="F181" t="e">
        <f>VLOOKUP(#REF!,Catalogos!$V$4:$W$85,2,FALSE)</f>
        <v>#REF!</v>
      </c>
      <c r="G181" s="3"/>
      <c r="H181" s="3"/>
      <c r="I181" s="3">
        <f t="shared" si="9"/>
        <v>3149.51</v>
      </c>
      <c r="J181" s="4">
        <v>28.3</v>
      </c>
      <c r="K181" s="4">
        <f t="shared" si="11"/>
        <v>0</v>
      </c>
      <c r="M181" t="str">
        <f t="shared" si="8"/>
        <v/>
      </c>
      <c r="N181" t="str">
        <f>IF(A181="","", "CP-" &amp; IFERROR(VLOOKUP(D181, Catalogos!$Z$4:$AA$20, 2, FALSE), "FOL") &amp; "-" &amp; WEEKNUM(A181,2) &amp; "-" &amp; TEXT(ROW(A177),"000"))</f>
        <v/>
      </c>
    </row>
    <row r="182" spans="1:14">
      <c r="A182" s="2"/>
      <c r="C182" t="s">
        <v>47</v>
      </c>
      <c r="F182" t="e">
        <f>VLOOKUP(#REF!,Catalogos!$V$4:$W$85,2,FALSE)</f>
        <v>#REF!</v>
      </c>
      <c r="G182" s="3"/>
      <c r="H182" s="3"/>
      <c r="I182" s="3">
        <f t="shared" si="9"/>
        <v>3149.51</v>
      </c>
      <c r="J182" s="4">
        <v>28.3</v>
      </c>
      <c r="K182" s="4">
        <f t="shared" si="11"/>
        <v>0</v>
      </c>
      <c r="M182" t="str">
        <f t="shared" si="8"/>
        <v/>
      </c>
      <c r="N182" t="str">
        <f>IF(A182="","", "CP-" &amp; IFERROR(VLOOKUP(D182, Catalogos!$Z$4:$AA$20, 2, FALSE), "FOL") &amp; "-" &amp; WEEKNUM(A182,2) &amp; "-" &amp; TEXT(ROW(A178),"000"))</f>
        <v/>
      </c>
    </row>
    <row r="183" spans="1:14">
      <c r="A183" s="2"/>
      <c r="C183" t="s">
        <v>47</v>
      </c>
      <c r="F183" t="e">
        <f>VLOOKUP(#REF!,Catalogos!$V$4:$W$85,2,FALSE)</f>
        <v>#REF!</v>
      </c>
      <c r="G183" s="3"/>
      <c r="H183" s="3"/>
      <c r="I183" s="3">
        <f t="shared" si="9"/>
        <v>3149.51</v>
      </c>
      <c r="J183" s="4">
        <v>28.3</v>
      </c>
      <c r="K183" s="4">
        <f t="shared" si="11"/>
        <v>0</v>
      </c>
      <c r="M183" t="str">
        <f t="shared" si="8"/>
        <v/>
      </c>
      <c r="N183" t="str">
        <f>IF(A183="","", "CP-" &amp; IFERROR(VLOOKUP(D183, Catalogos!$Z$4:$AA$20, 2, FALSE), "FOL") &amp; "-" &amp; WEEKNUM(A183,2) &amp; "-" &amp; TEXT(ROW(A179),"000"))</f>
        <v/>
      </c>
    </row>
    <row r="184" spans="1:14">
      <c r="A184" s="2"/>
      <c r="C184" t="s">
        <v>47</v>
      </c>
      <c r="F184" t="e">
        <f>VLOOKUP(#REF!,Catalogos!$V$4:$W$85,2,FALSE)</f>
        <v>#REF!</v>
      </c>
      <c r="G184" s="3"/>
      <c r="H184" s="3"/>
      <c r="I184" s="3">
        <f t="shared" si="9"/>
        <v>3149.51</v>
      </c>
      <c r="J184" s="4">
        <v>28.3</v>
      </c>
      <c r="K184" s="4">
        <f t="shared" si="11"/>
        <v>0</v>
      </c>
      <c r="M184" t="str">
        <f t="shared" si="8"/>
        <v/>
      </c>
      <c r="N184" t="str">
        <f>IF(A184="","", "CP-" &amp; IFERROR(VLOOKUP(D184, Catalogos!$Z$4:$AA$20, 2, FALSE), "FOL") &amp; "-" &amp; WEEKNUM(A184,2) &amp; "-" &amp; TEXT(ROW(A180),"000"))</f>
        <v/>
      </c>
    </row>
    <row r="185" spans="1:14">
      <c r="A185" s="2"/>
      <c r="C185" t="s">
        <v>47</v>
      </c>
      <c r="F185" t="e">
        <f>VLOOKUP(#REF!,Catalogos!$V$4:$W$85,2,FALSE)</f>
        <v>#REF!</v>
      </c>
      <c r="G185" s="3"/>
      <c r="H185" s="3"/>
      <c r="I185" s="3">
        <f t="shared" si="9"/>
        <v>3149.51</v>
      </c>
      <c r="J185" s="4">
        <v>28.3</v>
      </c>
      <c r="K185" s="4">
        <f t="shared" si="11"/>
        <v>0</v>
      </c>
      <c r="M185" t="str">
        <f t="shared" si="8"/>
        <v/>
      </c>
      <c r="N185" t="str">
        <f>IF(A185="","", "CP-" &amp; IFERROR(VLOOKUP(D185, Catalogos!$Z$4:$AA$20, 2, FALSE), "FOL") &amp; "-" &amp; WEEKNUM(A185,2) &amp; "-" &amp; TEXT(ROW(A181),"000"))</f>
        <v/>
      </c>
    </row>
    <row r="186" spans="1:14">
      <c r="A186" s="2"/>
      <c r="C186" t="s">
        <v>47</v>
      </c>
      <c r="F186" t="e">
        <f>VLOOKUP(#REF!,Catalogos!$V$4:$W$85,2,FALSE)</f>
        <v>#REF!</v>
      </c>
      <c r="G186" s="3"/>
      <c r="H186" s="3"/>
      <c r="I186" s="3">
        <f t="shared" si="9"/>
        <v>3149.51</v>
      </c>
      <c r="J186" s="4">
        <v>28.3</v>
      </c>
      <c r="K186" s="4">
        <f t="shared" si="11"/>
        <v>0</v>
      </c>
      <c r="M186" t="str">
        <f t="shared" si="8"/>
        <v/>
      </c>
      <c r="N186" t="str">
        <f>IF(A186="","", "CP-" &amp; IFERROR(VLOOKUP(D186, Catalogos!$Z$4:$AA$20, 2, FALSE), "FOL") &amp; "-" &amp; WEEKNUM(A186,2) &amp; "-" &amp; TEXT(ROW(A182),"000"))</f>
        <v/>
      </c>
    </row>
    <row r="187" spans="1:14">
      <c r="A187" s="2"/>
      <c r="C187" t="s">
        <v>47</v>
      </c>
      <c r="F187" t="e">
        <f>VLOOKUP(#REF!,Catalogos!$V$4:$W$85,2,FALSE)</f>
        <v>#REF!</v>
      </c>
      <c r="G187" s="3"/>
      <c r="H187" s="3"/>
      <c r="I187" s="3">
        <f t="shared" si="9"/>
        <v>3149.51</v>
      </c>
      <c r="J187" s="4">
        <v>28.3</v>
      </c>
      <c r="K187" s="4">
        <f t="shared" si="11"/>
        <v>0</v>
      </c>
      <c r="M187" t="str">
        <f t="shared" si="8"/>
        <v/>
      </c>
      <c r="N187" t="str">
        <f>IF(A187="","", "CP-" &amp; IFERROR(VLOOKUP(D187, Catalogos!$Z$4:$AA$20, 2, FALSE), "FOL") &amp; "-" &amp; WEEKNUM(A187,2) &amp; "-" &amp; TEXT(ROW(A183),"000"))</f>
        <v/>
      </c>
    </row>
    <row r="188" spans="1:14">
      <c r="A188" s="2"/>
      <c r="C188" t="s">
        <v>47</v>
      </c>
      <c r="F188" t="e">
        <f>VLOOKUP(#REF!,Catalogos!$V$4:$W$85,2,FALSE)</f>
        <v>#REF!</v>
      </c>
      <c r="G188" s="3"/>
      <c r="H188" s="3"/>
      <c r="I188" s="3">
        <f t="shared" si="9"/>
        <v>3149.51</v>
      </c>
      <c r="J188" s="4">
        <v>28.3</v>
      </c>
      <c r="K188" s="4">
        <f t="shared" si="11"/>
        <v>0</v>
      </c>
      <c r="M188" t="str">
        <f t="shared" si="8"/>
        <v/>
      </c>
      <c r="N188" t="str">
        <f>IF(A188="","", "CP-" &amp; IFERROR(VLOOKUP(D188, Catalogos!$Z$4:$AA$20, 2, FALSE), "FOL") &amp; "-" &amp; WEEKNUM(A188,2) &amp; "-" &amp; TEXT(ROW(A184),"000"))</f>
        <v/>
      </c>
    </row>
    <row r="189" spans="1:14">
      <c r="A189" s="2"/>
      <c r="C189" t="s">
        <v>47</v>
      </c>
      <c r="F189" t="e">
        <f>VLOOKUP(#REF!,Catalogos!$V$4:$W$85,2,FALSE)</f>
        <v>#REF!</v>
      </c>
      <c r="G189" s="3"/>
      <c r="H189" s="3"/>
      <c r="I189" s="3">
        <f t="shared" si="9"/>
        <v>3149.51</v>
      </c>
      <c r="J189" s="4">
        <v>28.3</v>
      </c>
      <c r="K189" s="4">
        <f t="shared" si="11"/>
        <v>0</v>
      </c>
      <c r="M189" t="str">
        <f t="shared" si="8"/>
        <v/>
      </c>
      <c r="N189" t="str">
        <f>IF(A189="","", "CP-" &amp; IFERROR(VLOOKUP(D189, Catalogos!$Z$4:$AA$20, 2, FALSE), "FOL") &amp; "-" &amp; WEEKNUM(A189,2) &amp; "-" &amp; TEXT(ROW(A185),"000"))</f>
        <v/>
      </c>
    </row>
    <row r="190" spans="1:14">
      <c r="A190" s="2"/>
      <c r="C190" t="s">
        <v>47</v>
      </c>
      <c r="F190" t="e">
        <f>VLOOKUP(#REF!,Catalogos!$V$4:$W$85,2,FALSE)</f>
        <v>#REF!</v>
      </c>
      <c r="G190" s="3"/>
      <c r="H190" s="3"/>
      <c r="I190" s="3">
        <f t="shared" si="9"/>
        <v>3149.51</v>
      </c>
      <c r="J190" s="4">
        <v>28.3</v>
      </c>
      <c r="K190" s="4">
        <f t="shared" si="11"/>
        <v>0</v>
      </c>
      <c r="M190" t="str">
        <f t="shared" si="8"/>
        <v/>
      </c>
      <c r="N190" t="str">
        <f>IF(A190="","", "CP-" &amp; IFERROR(VLOOKUP(D190, Catalogos!$Z$4:$AA$20, 2, FALSE), "FOL") &amp; "-" &amp; WEEKNUM(A190,2) &amp; "-" &amp; TEXT(ROW(A186),"000"))</f>
        <v/>
      </c>
    </row>
    <row r="191" spans="1:14">
      <c r="A191" s="2"/>
      <c r="C191" t="s">
        <v>47</v>
      </c>
      <c r="F191" t="e">
        <f>VLOOKUP(#REF!,Catalogos!$V$4:$W$85,2,FALSE)</f>
        <v>#REF!</v>
      </c>
      <c r="G191" s="3"/>
      <c r="H191" s="3"/>
      <c r="I191" s="3">
        <f t="shared" si="9"/>
        <v>3149.51</v>
      </c>
      <c r="J191" s="4">
        <v>28.3</v>
      </c>
      <c r="K191" s="4">
        <f t="shared" si="11"/>
        <v>0</v>
      </c>
      <c r="M191" t="str">
        <f t="shared" si="8"/>
        <v/>
      </c>
      <c r="N191" t="str">
        <f>IF(A191="","", "CP-" &amp; IFERROR(VLOOKUP(D191, Catalogos!$Z$4:$AA$20, 2, FALSE), "FOL") &amp; "-" &amp; WEEKNUM(A191,2) &amp; "-" &amp; TEXT(ROW(A187),"000"))</f>
        <v/>
      </c>
    </row>
    <row r="192" spans="1:14">
      <c r="A192" s="2"/>
      <c r="C192" t="s">
        <v>47</v>
      </c>
      <c r="F192" t="e">
        <f>VLOOKUP(#REF!,Catalogos!$V$4:$W$85,2,FALSE)</f>
        <v>#REF!</v>
      </c>
      <c r="G192" s="3"/>
      <c r="H192" s="3"/>
      <c r="I192" s="3">
        <f t="shared" si="9"/>
        <v>3149.51</v>
      </c>
      <c r="J192" s="4">
        <v>28.3</v>
      </c>
      <c r="K192" s="4">
        <f t="shared" si="11"/>
        <v>0</v>
      </c>
      <c r="M192" t="str">
        <f t="shared" si="8"/>
        <v/>
      </c>
      <c r="N192" t="str">
        <f>IF(A192="","", "CP-" &amp; IFERROR(VLOOKUP(D192, Catalogos!$Z$4:$AA$20, 2, FALSE), "FOL") &amp; "-" &amp; WEEKNUM(A192,2) &amp; "-" &amp; TEXT(ROW(A188),"000"))</f>
        <v/>
      </c>
    </row>
    <row r="193" spans="1:14">
      <c r="A193" s="2"/>
      <c r="C193" t="s">
        <v>47</v>
      </c>
      <c r="F193" t="e">
        <f>VLOOKUP(#REF!,Catalogos!$V$4:$W$85,2,FALSE)</f>
        <v>#REF!</v>
      </c>
      <c r="G193" s="3"/>
      <c r="H193" s="3"/>
      <c r="I193" s="3">
        <f t="shared" si="9"/>
        <v>3149.51</v>
      </c>
      <c r="J193" s="4">
        <v>28.3</v>
      </c>
      <c r="K193" s="4">
        <f t="shared" si="11"/>
        <v>0</v>
      </c>
      <c r="M193" t="str">
        <f t="shared" si="8"/>
        <v/>
      </c>
      <c r="N193" t="str">
        <f>IF(A193="","", "CP-" &amp; IFERROR(VLOOKUP(D193, Catalogos!$Z$4:$AA$20, 2, FALSE), "FOL") &amp; "-" &amp; WEEKNUM(A193,2) &amp; "-" &amp; TEXT(ROW(A189),"000"))</f>
        <v/>
      </c>
    </row>
    <row r="194" spans="1:14">
      <c r="A194" s="2"/>
      <c r="C194" t="s">
        <v>47</v>
      </c>
      <c r="F194" t="e">
        <f>VLOOKUP(#REF!,Catalogos!$V$4:$W$85,2,FALSE)</f>
        <v>#REF!</v>
      </c>
      <c r="G194" s="3"/>
      <c r="H194" s="3"/>
      <c r="I194" s="3">
        <f t="shared" si="9"/>
        <v>3149.51</v>
      </c>
      <c r="J194" s="4">
        <v>28.3</v>
      </c>
      <c r="K194" s="4">
        <f t="shared" si="11"/>
        <v>0</v>
      </c>
      <c r="M194" t="str">
        <f t="shared" si="8"/>
        <v/>
      </c>
      <c r="N194" t="str">
        <f>IF(A194="","", "CP-" &amp; IFERROR(VLOOKUP(D194, Catalogos!$Z$4:$AA$20, 2, FALSE), "FOL") &amp; "-" &amp; WEEKNUM(A194,2) &amp; "-" &amp; TEXT(ROW(A190),"000"))</f>
        <v/>
      </c>
    </row>
    <row r="195" spans="1:14">
      <c r="A195" s="2"/>
      <c r="C195" t="s">
        <v>47</v>
      </c>
      <c r="F195" t="e">
        <f>VLOOKUP(#REF!,Catalogos!$V$4:$W$85,2,FALSE)</f>
        <v>#REF!</v>
      </c>
      <c r="G195" s="3"/>
      <c r="H195" s="3"/>
      <c r="I195" s="3">
        <f t="shared" si="9"/>
        <v>3149.51</v>
      </c>
      <c r="J195" s="4">
        <v>28.3</v>
      </c>
      <c r="K195" s="4">
        <f t="shared" si="11"/>
        <v>0</v>
      </c>
      <c r="M195" t="str">
        <f t="shared" si="8"/>
        <v/>
      </c>
      <c r="N195" t="str">
        <f>IF(A195="","", "CP-" &amp; IFERROR(VLOOKUP(D195, Catalogos!$Z$4:$AA$20, 2, FALSE), "FOL") &amp; "-" &amp; WEEKNUM(A195,2) &amp; "-" &amp; TEXT(ROW(A191),"000"))</f>
        <v/>
      </c>
    </row>
    <row r="196" spans="1:14">
      <c r="A196" s="2"/>
      <c r="C196" t="s">
        <v>47</v>
      </c>
      <c r="F196" t="e">
        <f>VLOOKUP(#REF!,Catalogos!$V$4:$W$85,2,FALSE)</f>
        <v>#REF!</v>
      </c>
      <c r="G196" s="3"/>
      <c r="H196" s="3"/>
      <c r="I196" s="3">
        <f t="shared" si="9"/>
        <v>3149.51</v>
      </c>
      <c r="J196" s="4">
        <v>28.3</v>
      </c>
      <c r="K196" s="4">
        <f t="shared" si="11"/>
        <v>0</v>
      </c>
      <c r="M196" t="str">
        <f t="shared" si="8"/>
        <v/>
      </c>
      <c r="N196" t="str">
        <f>IF(A196="","", "CP-" &amp; IFERROR(VLOOKUP(D196, Catalogos!$Z$4:$AA$20, 2, FALSE), "FOL") &amp; "-" &amp; WEEKNUM(A196,2) &amp; "-" &amp; TEXT(ROW(A192),"000"))</f>
        <v/>
      </c>
    </row>
    <row r="197" spans="1:14">
      <c r="A197" s="2"/>
      <c r="C197" t="s">
        <v>47</v>
      </c>
      <c r="F197" t="e">
        <f>VLOOKUP(#REF!,Catalogos!$V$4:$W$85,2,FALSE)</f>
        <v>#REF!</v>
      </c>
      <c r="G197" s="3"/>
      <c r="H197" s="3"/>
      <c r="I197" s="3">
        <f t="shared" si="9"/>
        <v>3149.51</v>
      </c>
      <c r="J197" s="4">
        <v>28.3</v>
      </c>
      <c r="K197" s="4">
        <f t="shared" si="11"/>
        <v>0</v>
      </c>
      <c r="M197" t="str">
        <f t="shared" ref="M197:M260" si="12">IF(A197="","", WEEKNUM(A197, 2))</f>
        <v/>
      </c>
      <c r="N197" t="str">
        <f>IF(A197="","", "CP-" &amp; IFERROR(VLOOKUP(D197, Catalogos!$Z$4:$AA$20, 2, FALSE), "FOL") &amp; "-" &amp; WEEKNUM(A197,2) &amp; "-" &amp; TEXT(ROW(A193),"000"))</f>
        <v/>
      </c>
    </row>
    <row r="198" spans="1:14">
      <c r="A198" s="2"/>
      <c r="C198" t="s">
        <v>47</v>
      </c>
      <c r="F198" t="e">
        <f>VLOOKUP(#REF!,Catalogos!$V$4:$W$85,2,FALSE)</f>
        <v>#REF!</v>
      </c>
      <c r="G198" s="3"/>
      <c r="H198" s="3"/>
      <c r="I198" s="3">
        <f t="shared" ref="I198:I208" si="13">IF(ROW()=5,G198-H198,I197+G198-H198)</f>
        <v>3149.51</v>
      </c>
      <c r="J198" s="4">
        <v>28.3</v>
      </c>
      <c r="K198" s="4">
        <f t="shared" si="11"/>
        <v>0</v>
      </c>
      <c r="M198" t="str">
        <f t="shared" si="12"/>
        <v/>
      </c>
      <c r="N198" t="str">
        <f>IF(A198="","", "CP-" &amp; IFERROR(VLOOKUP(D198, Catalogos!$Z$4:$AA$20, 2, FALSE), "FOL") &amp; "-" &amp; WEEKNUM(A198,2) &amp; "-" &amp; TEXT(ROW(A194),"000"))</f>
        <v/>
      </c>
    </row>
    <row r="199" spans="1:14">
      <c r="A199" s="2"/>
      <c r="C199" t="s">
        <v>47</v>
      </c>
      <c r="F199" t="e">
        <f>VLOOKUP(#REF!,Catalogos!$V$4:$W$85,2,FALSE)</f>
        <v>#REF!</v>
      </c>
      <c r="G199" s="3"/>
      <c r="H199" s="3"/>
      <c r="I199" s="3">
        <f t="shared" si="13"/>
        <v>3149.51</v>
      </c>
      <c r="J199" s="4">
        <v>28.3</v>
      </c>
      <c r="K199" s="4">
        <f t="shared" si="11"/>
        <v>0</v>
      </c>
      <c r="M199" t="str">
        <f t="shared" si="12"/>
        <v/>
      </c>
      <c r="N199" t="str">
        <f>IF(A199="","", "CP-" &amp; IFERROR(VLOOKUP(D199, Catalogos!$Z$4:$AA$20, 2, FALSE), "FOL") &amp; "-" &amp; WEEKNUM(A199,2) &amp; "-" &amp; TEXT(ROW(A195),"000"))</f>
        <v/>
      </c>
    </row>
    <row r="200" spans="1:14">
      <c r="A200" s="2"/>
      <c r="C200" t="s">
        <v>47</v>
      </c>
      <c r="F200" t="e">
        <f>VLOOKUP(#REF!,Catalogos!$V$4:$W$85,2,FALSE)</f>
        <v>#REF!</v>
      </c>
      <c r="G200" s="3"/>
      <c r="H200" s="3"/>
      <c r="I200" s="3">
        <f t="shared" si="13"/>
        <v>3149.51</v>
      </c>
      <c r="J200" s="4">
        <v>28.3</v>
      </c>
      <c r="K200" s="4">
        <f t="shared" si="11"/>
        <v>0</v>
      </c>
      <c r="M200" t="str">
        <f t="shared" si="12"/>
        <v/>
      </c>
      <c r="N200" t="str">
        <f>IF(A200="","", "CP-" &amp; IFERROR(VLOOKUP(D200, Catalogos!$Z$4:$AA$20, 2, FALSE), "FOL") &amp; "-" &amp; WEEKNUM(A200,2) &amp; "-" &amp; TEXT(ROW(A196),"000"))</f>
        <v/>
      </c>
    </row>
    <row r="201" spans="1:14">
      <c r="A201" s="2"/>
      <c r="C201" t="s">
        <v>47</v>
      </c>
      <c r="F201" t="e">
        <f>VLOOKUP(#REF!,Catalogos!$V$4:$W$85,2,FALSE)</f>
        <v>#REF!</v>
      </c>
      <c r="G201" s="3"/>
      <c r="H201" s="3"/>
      <c r="I201" s="3">
        <f t="shared" si="13"/>
        <v>3149.51</v>
      </c>
      <c r="J201" s="4">
        <v>28.3</v>
      </c>
      <c r="K201" s="4">
        <f t="shared" ref="K201:K208" si="14">IFERROR((G201+H201)*J201,0)</f>
        <v>0</v>
      </c>
      <c r="M201" t="str">
        <f t="shared" si="12"/>
        <v/>
      </c>
    </row>
    <row r="202" spans="1:14">
      <c r="A202" s="2"/>
      <c r="C202" t="s">
        <v>47</v>
      </c>
      <c r="F202" t="e">
        <f>VLOOKUP(#REF!,Catalogos!$V$4:$W$85,2,FALSE)</f>
        <v>#REF!</v>
      </c>
      <c r="G202" s="3"/>
      <c r="H202" s="3"/>
      <c r="I202" s="3">
        <f t="shared" si="13"/>
        <v>3149.51</v>
      </c>
      <c r="J202" s="4">
        <v>28.3</v>
      </c>
      <c r="K202" s="4">
        <f t="shared" si="14"/>
        <v>0</v>
      </c>
      <c r="M202" t="str">
        <f t="shared" si="12"/>
        <v/>
      </c>
    </row>
    <row r="203" spans="1:14">
      <c r="A203" s="2"/>
      <c r="C203" t="s">
        <v>47</v>
      </c>
      <c r="F203" t="e">
        <f>VLOOKUP(#REF!,Catalogos!$V$4:$W$85,2,FALSE)</f>
        <v>#REF!</v>
      </c>
      <c r="G203" s="3"/>
      <c r="H203" s="3"/>
      <c r="I203" s="3">
        <f t="shared" si="13"/>
        <v>3149.51</v>
      </c>
      <c r="J203" s="4">
        <v>28.3</v>
      </c>
      <c r="K203" s="4">
        <f t="shared" si="14"/>
        <v>0</v>
      </c>
      <c r="M203" t="str">
        <f t="shared" si="12"/>
        <v/>
      </c>
    </row>
    <row r="204" spans="1:14">
      <c r="A204" s="2"/>
      <c r="C204" t="s">
        <v>47</v>
      </c>
      <c r="F204" t="e">
        <f>VLOOKUP(#REF!,Catalogos!$V$4:$W$85,2,FALSE)</f>
        <v>#REF!</v>
      </c>
      <c r="G204" s="3"/>
      <c r="H204" s="3"/>
      <c r="I204" s="3">
        <f t="shared" si="13"/>
        <v>3149.51</v>
      </c>
      <c r="J204" s="4">
        <v>28.3</v>
      </c>
      <c r="K204" s="4">
        <f t="shared" si="14"/>
        <v>0</v>
      </c>
      <c r="M204" t="str">
        <f t="shared" si="12"/>
        <v/>
      </c>
    </row>
    <row r="205" spans="1:14">
      <c r="A205" s="2"/>
      <c r="C205" t="s">
        <v>47</v>
      </c>
      <c r="F205" t="e">
        <f>VLOOKUP(#REF!,Catalogos!$V$4:$W$85,2,FALSE)</f>
        <v>#REF!</v>
      </c>
      <c r="G205" s="3"/>
      <c r="H205" s="3"/>
      <c r="I205" s="3">
        <f t="shared" si="13"/>
        <v>3149.51</v>
      </c>
      <c r="J205" s="4">
        <v>28.3</v>
      </c>
      <c r="K205" s="4">
        <f t="shared" si="14"/>
        <v>0</v>
      </c>
      <c r="M205" t="str">
        <f t="shared" si="12"/>
        <v/>
      </c>
    </row>
    <row r="206" spans="1:14">
      <c r="A206" s="2"/>
      <c r="C206" t="s">
        <v>47</v>
      </c>
      <c r="F206" t="e">
        <f>VLOOKUP(#REF!,Catalogos!$V$4:$W$85,2,FALSE)</f>
        <v>#REF!</v>
      </c>
      <c r="G206" s="3"/>
      <c r="H206" s="3"/>
      <c r="I206" s="3">
        <f t="shared" si="13"/>
        <v>3149.51</v>
      </c>
      <c r="J206" s="4">
        <v>28.3</v>
      </c>
      <c r="K206" s="4">
        <f t="shared" si="14"/>
        <v>0</v>
      </c>
      <c r="M206" t="str">
        <f t="shared" si="12"/>
        <v/>
      </c>
    </row>
    <row r="207" spans="1:14">
      <c r="A207" s="2"/>
      <c r="C207" t="s">
        <v>47</v>
      </c>
      <c r="F207" t="e">
        <f>VLOOKUP(#REF!,Catalogos!$V$4:$W$85,2,FALSE)</f>
        <v>#REF!</v>
      </c>
      <c r="G207" s="3"/>
      <c r="H207" s="3"/>
      <c r="I207" s="3">
        <f t="shared" si="13"/>
        <v>3149.51</v>
      </c>
      <c r="J207" s="4">
        <v>28.3</v>
      </c>
      <c r="K207" s="4">
        <f t="shared" si="14"/>
        <v>0</v>
      </c>
      <c r="M207" t="str">
        <f t="shared" si="12"/>
        <v/>
      </c>
    </row>
    <row r="208" spans="1:14">
      <c r="A208" s="2"/>
      <c r="C208" t="s">
        <v>47</v>
      </c>
      <c r="F208" t="e">
        <f>VLOOKUP(#REF!,Catalogos!$V$4:$W$85,2,FALSE)</f>
        <v>#REF!</v>
      </c>
      <c r="G208" s="3"/>
      <c r="H208" s="3"/>
      <c r="I208" s="3">
        <f t="shared" si="13"/>
        <v>3149.51</v>
      </c>
      <c r="J208" s="4">
        <v>28.3</v>
      </c>
      <c r="K208" s="4">
        <f t="shared" si="14"/>
        <v>0</v>
      </c>
      <c r="M208" t="str">
        <f t="shared" si="12"/>
        <v/>
      </c>
    </row>
    <row r="209" spans="13:13">
      <c r="M209" t="str">
        <f t="shared" si="12"/>
        <v/>
      </c>
    </row>
    <row r="210" spans="13:13">
      <c r="M210" t="str">
        <f t="shared" si="12"/>
        <v/>
      </c>
    </row>
    <row r="211" spans="13:13">
      <c r="M211" t="str">
        <f t="shared" si="12"/>
        <v/>
      </c>
    </row>
    <row r="212" spans="13:13">
      <c r="M212" t="str">
        <f t="shared" si="12"/>
        <v/>
      </c>
    </row>
    <row r="213" spans="13:13">
      <c r="M213" t="str">
        <f t="shared" si="12"/>
        <v/>
      </c>
    </row>
    <row r="214" spans="13:13">
      <c r="M214" t="str">
        <f t="shared" si="12"/>
        <v/>
      </c>
    </row>
    <row r="215" spans="13:13">
      <c r="M215" t="str">
        <f t="shared" si="12"/>
        <v/>
      </c>
    </row>
    <row r="216" spans="13:13">
      <c r="M216" t="str">
        <f t="shared" si="12"/>
        <v/>
      </c>
    </row>
    <row r="217" spans="13:13">
      <c r="M217" t="str">
        <f t="shared" si="12"/>
        <v/>
      </c>
    </row>
    <row r="218" spans="13:13">
      <c r="M218" t="str">
        <f t="shared" si="12"/>
        <v/>
      </c>
    </row>
    <row r="219" spans="13:13">
      <c r="M219" t="str">
        <f t="shared" si="12"/>
        <v/>
      </c>
    </row>
    <row r="220" spans="13:13">
      <c r="M220" t="str">
        <f t="shared" si="12"/>
        <v/>
      </c>
    </row>
    <row r="221" spans="13:13">
      <c r="M221" t="str">
        <f t="shared" si="12"/>
        <v/>
      </c>
    </row>
    <row r="222" spans="13:13">
      <c r="M222" t="str">
        <f t="shared" si="12"/>
        <v/>
      </c>
    </row>
    <row r="223" spans="13:13">
      <c r="M223" t="str">
        <f t="shared" si="12"/>
        <v/>
      </c>
    </row>
    <row r="224" spans="13:13">
      <c r="M224" t="str">
        <f t="shared" si="12"/>
        <v/>
      </c>
    </row>
    <row r="225" spans="13:13">
      <c r="M225" t="str">
        <f t="shared" si="12"/>
        <v/>
      </c>
    </row>
    <row r="226" spans="13:13">
      <c r="M226" t="str">
        <f t="shared" si="12"/>
        <v/>
      </c>
    </row>
    <row r="227" spans="13:13">
      <c r="M227" t="str">
        <f t="shared" si="12"/>
        <v/>
      </c>
    </row>
    <row r="228" spans="13:13">
      <c r="M228" t="str">
        <f t="shared" si="12"/>
        <v/>
      </c>
    </row>
    <row r="229" spans="13:13">
      <c r="M229" t="str">
        <f t="shared" si="12"/>
        <v/>
      </c>
    </row>
    <row r="230" spans="13:13">
      <c r="M230" t="str">
        <f t="shared" si="12"/>
        <v/>
      </c>
    </row>
    <row r="231" spans="13:13">
      <c r="M231" t="str">
        <f t="shared" si="12"/>
        <v/>
      </c>
    </row>
    <row r="232" spans="13:13">
      <c r="M232" t="str">
        <f t="shared" si="12"/>
        <v/>
      </c>
    </row>
    <row r="233" spans="13:13">
      <c r="M233" t="str">
        <f t="shared" si="12"/>
        <v/>
      </c>
    </row>
    <row r="234" spans="13:13">
      <c r="M234" t="str">
        <f t="shared" si="12"/>
        <v/>
      </c>
    </row>
    <row r="235" spans="13:13">
      <c r="M235" t="str">
        <f t="shared" si="12"/>
        <v/>
      </c>
    </row>
    <row r="236" spans="13:13">
      <c r="M236" t="str">
        <f t="shared" si="12"/>
        <v/>
      </c>
    </row>
    <row r="237" spans="13:13">
      <c r="M237" t="str">
        <f t="shared" si="12"/>
        <v/>
      </c>
    </row>
    <row r="238" spans="13:13">
      <c r="M238" t="str">
        <f t="shared" si="12"/>
        <v/>
      </c>
    </row>
    <row r="239" spans="13:13">
      <c r="M239" t="str">
        <f t="shared" si="12"/>
        <v/>
      </c>
    </row>
    <row r="240" spans="13:13">
      <c r="M240" t="str">
        <f t="shared" si="12"/>
        <v/>
      </c>
    </row>
    <row r="241" spans="13:13">
      <c r="M241" t="str">
        <f t="shared" si="12"/>
        <v/>
      </c>
    </row>
    <row r="242" spans="13:13">
      <c r="M242" t="str">
        <f t="shared" si="12"/>
        <v/>
      </c>
    </row>
    <row r="243" spans="13:13">
      <c r="M243" t="str">
        <f t="shared" si="12"/>
        <v/>
      </c>
    </row>
    <row r="244" spans="13:13">
      <c r="M244" t="str">
        <f t="shared" si="12"/>
        <v/>
      </c>
    </row>
    <row r="245" spans="13:13">
      <c r="M245" t="str">
        <f t="shared" si="12"/>
        <v/>
      </c>
    </row>
    <row r="246" spans="13:13">
      <c r="M246" t="str">
        <f t="shared" si="12"/>
        <v/>
      </c>
    </row>
    <row r="247" spans="13:13">
      <c r="M247" t="str">
        <f t="shared" si="12"/>
        <v/>
      </c>
    </row>
    <row r="248" spans="13:13">
      <c r="M248" t="str">
        <f t="shared" si="12"/>
        <v/>
      </c>
    </row>
    <row r="249" spans="13:13">
      <c r="M249" t="str">
        <f t="shared" si="12"/>
        <v/>
      </c>
    </row>
    <row r="250" spans="13:13">
      <c r="M250" t="str">
        <f t="shared" si="12"/>
        <v/>
      </c>
    </row>
    <row r="251" spans="13:13">
      <c r="M251" t="str">
        <f t="shared" si="12"/>
        <v/>
      </c>
    </row>
    <row r="252" spans="13:13">
      <c r="M252" t="str">
        <f t="shared" si="12"/>
        <v/>
      </c>
    </row>
    <row r="253" spans="13:13">
      <c r="M253" t="str">
        <f t="shared" si="12"/>
        <v/>
      </c>
    </row>
    <row r="254" spans="13:13">
      <c r="M254" t="str">
        <f t="shared" si="12"/>
        <v/>
      </c>
    </row>
    <row r="255" spans="13:13">
      <c r="M255" t="str">
        <f t="shared" si="12"/>
        <v/>
      </c>
    </row>
    <row r="256" spans="13:13">
      <c r="M256" t="str">
        <f t="shared" si="12"/>
        <v/>
      </c>
    </row>
    <row r="257" spans="13:13">
      <c r="M257" t="str">
        <f t="shared" si="12"/>
        <v/>
      </c>
    </row>
    <row r="258" spans="13:13">
      <c r="M258" t="str">
        <f t="shared" si="12"/>
        <v/>
      </c>
    </row>
    <row r="259" spans="13:13">
      <c r="M259" t="str">
        <f t="shared" si="12"/>
        <v/>
      </c>
    </row>
    <row r="260" spans="13:13">
      <c r="M260" t="str">
        <f t="shared" si="12"/>
        <v/>
      </c>
    </row>
    <row r="261" spans="13:13">
      <c r="M261" t="str">
        <f t="shared" ref="M261:M324" si="15">IF(A261="","", WEEKNUM(A261, 2))</f>
        <v/>
      </c>
    </row>
    <row r="262" spans="13:13">
      <c r="M262" t="str">
        <f t="shared" si="15"/>
        <v/>
      </c>
    </row>
    <row r="263" spans="13:13">
      <c r="M263" t="str">
        <f t="shared" si="15"/>
        <v/>
      </c>
    </row>
    <row r="264" spans="13:13">
      <c r="M264" t="str">
        <f t="shared" si="15"/>
        <v/>
      </c>
    </row>
    <row r="265" spans="13:13">
      <c r="M265" t="str">
        <f t="shared" si="15"/>
        <v/>
      </c>
    </row>
    <row r="266" spans="13:13">
      <c r="M266" t="str">
        <f t="shared" si="15"/>
        <v/>
      </c>
    </row>
    <row r="267" spans="13:13">
      <c r="M267" t="str">
        <f t="shared" si="15"/>
        <v/>
      </c>
    </row>
    <row r="268" spans="13:13">
      <c r="M268" t="str">
        <f t="shared" si="15"/>
        <v/>
      </c>
    </row>
    <row r="269" spans="13:13">
      <c r="M269" t="str">
        <f t="shared" si="15"/>
        <v/>
      </c>
    </row>
    <row r="270" spans="13:13">
      <c r="M270" t="str">
        <f t="shared" si="15"/>
        <v/>
      </c>
    </row>
    <row r="271" spans="13:13">
      <c r="M271" t="str">
        <f t="shared" si="15"/>
        <v/>
      </c>
    </row>
    <row r="272" spans="13:13">
      <c r="M272" t="str">
        <f t="shared" si="15"/>
        <v/>
      </c>
    </row>
    <row r="273" spans="13:13">
      <c r="M273" t="str">
        <f t="shared" si="15"/>
        <v/>
      </c>
    </row>
    <row r="274" spans="13:13">
      <c r="M274" t="str">
        <f t="shared" si="15"/>
        <v/>
      </c>
    </row>
    <row r="275" spans="13:13">
      <c r="M275" t="str">
        <f t="shared" si="15"/>
        <v/>
      </c>
    </row>
    <row r="276" spans="13:13">
      <c r="M276" t="str">
        <f t="shared" si="15"/>
        <v/>
      </c>
    </row>
    <row r="277" spans="13:13">
      <c r="M277" t="str">
        <f t="shared" si="15"/>
        <v/>
      </c>
    </row>
    <row r="278" spans="13:13">
      <c r="M278" t="str">
        <f t="shared" si="15"/>
        <v/>
      </c>
    </row>
    <row r="279" spans="13:13">
      <c r="M279" t="str">
        <f t="shared" si="15"/>
        <v/>
      </c>
    </row>
    <row r="280" spans="13:13">
      <c r="M280" t="str">
        <f t="shared" si="15"/>
        <v/>
      </c>
    </row>
    <row r="281" spans="13:13">
      <c r="M281" t="str">
        <f t="shared" si="15"/>
        <v/>
      </c>
    </row>
    <row r="282" spans="13:13">
      <c r="M282" t="str">
        <f t="shared" si="15"/>
        <v/>
      </c>
    </row>
    <row r="283" spans="13:13">
      <c r="M283" t="str">
        <f t="shared" si="15"/>
        <v/>
      </c>
    </row>
    <row r="284" spans="13:13">
      <c r="M284" t="str">
        <f t="shared" si="15"/>
        <v/>
      </c>
    </row>
    <row r="285" spans="13:13">
      <c r="M285" t="str">
        <f t="shared" si="15"/>
        <v/>
      </c>
    </row>
    <row r="286" spans="13:13">
      <c r="M286" t="str">
        <f t="shared" si="15"/>
        <v/>
      </c>
    </row>
    <row r="287" spans="13:13">
      <c r="M287" t="str">
        <f t="shared" si="15"/>
        <v/>
      </c>
    </row>
    <row r="288" spans="13:13">
      <c r="M288" t="str">
        <f t="shared" si="15"/>
        <v/>
      </c>
    </row>
    <row r="289" spans="13:13">
      <c r="M289" t="str">
        <f t="shared" si="15"/>
        <v/>
      </c>
    </row>
    <row r="290" spans="13:13">
      <c r="M290" t="str">
        <f t="shared" si="15"/>
        <v/>
      </c>
    </row>
    <row r="291" spans="13:13">
      <c r="M291" t="str">
        <f t="shared" si="15"/>
        <v/>
      </c>
    </row>
    <row r="292" spans="13:13">
      <c r="M292" t="str">
        <f t="shared" si="15"/>
        <v/>
      </c>
    </row>
    <row r="293" spans="13:13">
      <c r="M293" t="str">
        <f t="shared" si="15"/>
        <v/>
      </c>
    </row>
    <row r="294" spans="13:13">
      <c r="M294" t="str">
        <f t="shared" si="15"/>
        <v/>
      </c>
    </row>
    <row r="295" spans="13:13">
      <c r="M295" t="str">
        <f t="shared" si="15"/>
        <v/>
      </c>
    </row>
    <row r="296" spans="13:13">
      <c r="M296" t="str">
        <f t="shared" si="15"/>
        <v/>
      </c>
    </row>
    <row r="297" spans="13:13">
      <c r="M297" t="str">
        <f t="shared" si="15"/>
        <v/>
      </c>
    </row>
    <row r="298" spans="13:13">
      <c r="M298" t="str">
        <f t="shared" si="15"/>
        <v/>
      </c>
    </row>
    <row r="299" spans="13:13">
      <c r="M299" t="str">
        <f t="shared" si="15"/>
        <v/>
      </c>
    </row>
    <row r="300" spans="13:13">
      <c r="M300" t="str">
        <f t="shared" si="15"/>
        <v/>
      </c>
    </row>
    <row r="301" spans="13:13">
      <c r="M301" t="str">
        <f t="shared" si="15"/>
        <v/>
      </c>
    </row>
    <row r="302" spans="13:13">
      <c r="M302" t="str">
        <f t="shared" si="15"/>
        <v/>
      </c>
    </row>
    <row r="303" spans="13:13">
      <c r="M303" t="str">
        <f t="shared" si="15"/>
        <v/>
      </c>
    </row>
    <row r="304" spans="13:13">
      <c r="M304" t="str">
        <f t="shared" si="15"/>
        <v/>
      </c>
    </row>
    <row r="305" spans="13:13">
      <c r="M305" t="str">
        <f t="shared" si="15"/>
        <v/>
      </c>
    </row>
    <row r="306" spans="13:13">
      <c r="M306" t="str">
        <f t="shared" si="15"/>
        <v/>
      </c>
    </row>
    <row r="307" spans="13:13">
      <c r="M307" t="str">
        <f t="shared" si="15"/>
        <v/>
      </c>
    </row>
    <row r="308" spans="13:13">
      <c r="M308" t="str">
        <f t="shared" si="15"/>
        <v/>
      </c>
    </row>
    <row r="309" spans="13:13">
      <c r="M309" t="str">
        <f t="shared" si="15"/>
        <v/>
      </c>
    </row>
    <row r="310" spans="13:13">
      <c r="M310" t="str">
        <f t="shared" si="15"/>
        <v/>
      </c>
    </row>
    <row r="311" spans="13:13">
      <c r="M311" t="str">
        <f t="shared" si="15"/>
        <v/>
      </c>
    </row>
    <row r="312" spans="13:13">
      <c r="M312" t="str">
        <f t="shared" si="15"/>
        <v/>
      </c>
    </row>
    <row r="313" spans="13:13">
      <c r="M313" t="str">
        <f t="shared" si="15"/>
        <v/>
      </c>
    </row>
    <row r="314" spans="13:13">
      <c r="M314" t="str">
        <f t="shared" si="15"/>
        <v/>
      </c>
    </row>
    <row r="315" spans="13:13">
      <c r="M315" t="str">
        <f t="shared" si="15"/>
        <v/>
      </c>
    </row>
    <row r="316" spans="13:13">
      <c r="M316" t="str">
        <f t="shared" si="15"/>
        <v/>
      </c>
    </row>
    <row r="317" spans="13:13">
      <c r="M317" t="str">
        <f t="shared" si="15"/>
        <v/>
      </c>
    </row>
    <row r="318" spans="13:13">
      <c r="M318" t="str">
        <f t="shared" si="15"/>
        <v/>
      </c>
    </row>
    <row r="319" spans="13:13">
      <c r="M319" t="str">
        <f t="shared" si="15"/>
        <v/>
      </c>
    </row>
    <row r="320" spans="13:13">
      <c r="M320" t="str">
        <f t="shared" si="15"/>
        <v/>
      </c>
    </row>
    <row r="321" spans="13:13">
      <c r="M321" t="str">
        <f t="shared" si="15"/>
        <v/>
      </c>
    </row>
    <row r="322" spans="13:13">
      <c r="M322" t="str">
        <f t="shared" si="15"/>
        <v/>
      </c>
    </row>
    <row r="323" spans="13:13">
      <c r="M323" t="str">
        <f t="shared" si="15"/>
        <v/>
      </c>
    </row>
    <row r="324" spans="13:13">
      <c r="M324" t="str">
        <f t="shared" si="15"/>
        <v/>
      </c>
    </row>
    <row r="325" spans="13:13">
      <c r="M325" t="str">
        <f t="shared" ref="M325:M388" si="16">IF(A325="","", WEEKNUM(A325, 2))</f>
        <v/>
      </c>
    </row>
    <row r="326" spans="13:13">
      <c r="M326" t="str">
        <f t="shared" si="16"/>
        <v/>
      </c>
    </row>
    <row r="327" spans="13:13">
      <c r="M327" t="str">
        <f t="shared" si="16"/>
        <v/>
      </c>
    </row>
    <row r="328" spans="13:13">
      <c r="M328" t="str">
        <f t="shared" si="16"/>
        <v/>
      </c>
    </row>
    <row r="329" spans="13:13">
      <c r="M329" t="str">
        <f t="shared" si="16"/>
        <v/>
      </c>
    </row>
    <row r="330" spans="13:13">
      <c r="M330" t="str">
        <f t="shared" si="16"/>
        <v/>
      </c>
    </row>
    <row r="331" spans="13:13">
      <c r="M331" t="str">
        <f t="shared" si="16"/>
        <v/>
      </c>
    </row>
    <row r="332" spans="13:13">
      <c r="M332" t="str">
        <f t="shared" si="16"/>
        <v/>
      </c>
    </row>
    <row r="333" spans="13:13">
      <c r="M333" t="str">
        <f t="shared" si="16"/>
        <v/>
      </c>
    </row>
    <row r="334" spans="13:13">
      <c r="M334" t="str">
        <f t="shared" si="16"/>
        <v/>
      </c>
    </row>
    <row r="335" spans="13:13">
      <c r="M335" t="str">
        <f t="shared" si="16"/>
        <v/>
      </c>
    </row>
    <row r="336" spans="13:13">
      <c r="M336" t="str">
        <f t="shared" si="16"/>
        <v/>
      </c>
    </row>
    <row r="337" spans="13:13">
      <c r="M337" t="str">
        <f t="shared" si="16"/>
        <v/>
      </c>
    </row>
    <row r="338" spans="13:13">
      <c r="M338" t="str">
        <f t="shared" si="16"/>
        <v/>
      </c>
    </row>
    <row r="339" spans="13:13">
      <c r="M339" t="str">
        <f t="shared" si="16"/>
        <v/>
      </c>
    </row>
    <row r="340" spans="13:13">
      <c r="M340" t="str">
        <f t="shared" si="16"/>
        <v/>
      </c>
    </row>
    <row r="341" spans="13:13">
      <c r="M341" t="str">
        <f t="shared" si="16"/>
        <v/>
      </c>
    </row>
    <row r="342" spans="13:13">
      <c r="M342" t="str">
        <f t="shared" si="16"/>
        <v/>
      </c>
    </row>
    <row r="343" spans="13:13">
      <c r="M343" t="str">
        <f t="shared" si="16"/>
        <v/>
      </c>
    </row>
    <row r="344" spans="13:13">
      <c r="M344" t="str">
        <f t="shared" si="16"/>
        <v/>
      </c>
    </row>
    <row r="345" spans="13:13">
      <c r="M345" t="str">
        <f t="shared" si="16"/>
        <v/>
      </c>
    </row>
    <row r="346" spans="13:13">
      <c r="M346" t="str">
        <f t="shared" si="16"/>
        <v/>
      </c>
    </row>
    <row r="347" spans="13:13">
      <c r="M347" t="str">
        <f t="shared" si="16"/>
        <v/>
      </c>
    </row>
    <row r="348" spans="13:13">
      <c r="M348" t="str">
        <f t="shared" si="16"/>
        <v/>
      </c>
    </row>
    <row r="349" spans="13:13">
      <c r="M349" t="str">
        <f t="shared" si="16"/>
        <v/>
      </c>
    </row>
    <row r="350" spans="13:13">
      <c r="M350" t="str">
        <f t="shared" si="16"/>
        <v/>
      </c>
    </row>
    <row r="351" spans="13:13">
      <c r="M351" t="str">
        <f t="shared" si="16"/>
        <v/>
      </c>
    </row>
    <row r="352" spans="13:13">
      <c r="M352" t="str">
        <f t="shared" si="16"/>
        <v/>
      </c>
    </row>
    <row r="353" spans="13:13">
      <c r="M353" t="str">
        <f t="shared" si="16"/>
        <v/>
      </c>
    </row>
    <row r="354" spans="13:13">
      <c r="M354" t="str">
        <f t="shared" si="16"/>
        <v/>
      </c>
    </row>
    <row r="355" spans="13:13">
      <c r="M355" t="str">
        <f t="shared" si="16"/>
        <v/>
      </c>
    </row>
    <row r="356" spans="13:13">
      <c r="M356" t="str">
        <f t="shared" si="16"/>
        <v/>
      </c>
    </row>
    <row r="357" spans="13:13">
      <c r="M357" t="str">
        <f t="shared" si="16"/>
        <v/>
      </c>
    </row>
    <row r="358" spans="13:13">
      <c r="M358" t="str">
        <f t="shared" si="16"/>
        <v/>
      </c>
    </row>
    <row r="359" spans="13:13">
      <c r="M359" t="str">
        <f t="shared" si="16"/>
        <v/>
      </c>
    </row>
    <row r="360" spans="13:13">
      <c r="M360" t="str">
        <f t="shared" si="16"/>
        <v/>
      </c>
    </row>
    <row r="361" spans="13:13">
      <c r="M361" t="str">
        <f t="shared" si="16"/>
        <v/>
      </c>
    </row>
    <row r="362" spans="13:13">
      <c r="M362" t="str">
        <f t="shared" si="16"/>
        <v/>
      </c>
    </row>
    <row r="363" spans="13:13">
      <c r="M363" t="str">
        <f t="shared" si="16"/>
        <v/>
      </c>
    </row>
    <row r="364" spans="13:13">
      <c r="M364" t="str">
        <f t="shared" si="16"/>
        <v/>
      </c>
    </row>
    <row r="365" spans="13:13">
      <c r="M365" t="str">
        <f t="shared" si="16"/>
        <v/>
      </c>
    </row>
    <row r="366" spans="13:13">
      <c r="M366" t="str">
        <f t="shared" si="16"/>
        <v/>
      </c>
    </row>
    <row r="367" spans="13:13">
      <c r="M367" t="str">
        <f t="shared" si="16"/>
        <v/>
      </c>
    </row>
    <row r="368" spans="13:13">
      <c r="M368" t="str">
        <f t="shared" si="16"/>
        <v/>
      </c>
    </row>
    <row r="369" spans="13:13">
      <c r="M369" t="str">
        <f t="shared" si="16"/>
        <v/>
      </c>
    </row>
    <row r="370" spans="13:13">
      <c r="M370" t="str">
        <f t="shared" si="16"/>
        <v/>
      </c>
    </row>
    <row r="371" spans="13:13">
      <c r="M371" t="str">
        <f t="shared" si="16"/>
        <v/>
      </c>
    </row>
    <row r="372" spans="13:13">
      <c r="M372" t="str">
        <f t="shared" si="16"/>
        <v/>
      </c>
    </row>
    <row r="373" spans="13:13">
      <c r="M373" t="str">
        <f t="shared" si="16"/>
        <v/>
      </c>
    </row>
    <row r="374" spans="13:13">
      <c r="M374" t="str">
        <f t="shared" si="16"/>
        <v/>
      </c>
    </row>
    <row r="375" spans="13:13">
      <c r="M375" t="str">
        <f t="shared" si="16"/>
        <v/>
      </c>
    </row>
    <row r="376" spans="13:13">
      <c r="M376" t="str">
        <f t="shared" si="16"/>
        <v/>
      </c>
    </row>
    <row r="377" spans="13:13">
      <c r="M377" t="str">
        <f t="shared" si="16"/>
        <v/>
      </c>
    </row>
    <row r="378" spans="13:13">
      <c r="M378" t="str">
        <f t="shared" si="16"/>
        <v/>
      </c>
    </row>
    <row r="379" spans="13:13">
      <c r="M379" t="str">
        <f t="shared" si="16"/>
        <v/>
      </c>
    </row>
    <row r="380" spans="13:13">
      <c r="M380" t="str">
        <f t="shared" si="16"/>
        <v/>
      </c>
    </row>
    <row r="381" spans="13:13">
      <c r="M381" t="str">
        <f t="shared" si="16"/>
        <v/>
      </c>
    </row>
    <row r="382" spans="13:13">
      <c r="M382" t="str">
        <f t="shared" si="16"/>
        <v/>
      </c>
    </row>
    <row r="383" spans="13:13">
      <c r="M383" t="str">
        <f t="shared" si="16"/>
        <v/>
      </c>
    </row>
    <row r="384" spans="13:13">
      <c r="M384" t="str">
        <f t="shared" si="16"/>
        <v/>
      </c>
    </row>
    <row r="385" spans="13:13">
      <c r="M385" t="str">
        <f t="shared" si="16"/>
        <v/>
      </c>
    </row>
    <row r="386" spans="13:13">
      <c r="M386" t="str">
        <f t="shared" si="16"/>
        <v/>
      </c>
    </row>
    <row r="387" spans="13:13">
      <c r="M387" t="str">
        <f t="shared" si="16"/>
        <v/>
      </c>
    </row>
    <row r="388" spans="13:13">
      <c r="M388" t="str">
        <f t="shared" si="16"/>
        <v/>
      </c>
    </row>
    <row r="389" spans="13:13">
      <c r="M389" t="str">
        <f t="shared" ref="M389:M452" si="17">IF(A389="","", WEEKNUM(A389, 2))</f>
        <v/>
      </c>
    </row>
    <row r="390" spans="13:13">
      <c r="M390" t="str">
        <f t="shared" si="17"/>
        <v/>
      </c>
    </row>
    <row r="391" spans="13:13">
      <c r="M391" t="str">
        <f t="shared" si="17"/>
        <v/>
      </c>
    </row>
    <row r="392" spans="13:13">
      <c r="M392" t="str">
        <f t="shared" si="17"/>
        <v/>
      </c>
    </row>
    <row r="393" spans="13:13">
      <c r="M393" t="str">
        <f t="shared" si="17"/>
        <v/>
      </c>
    </row>
    <row r="394" spans="13:13">
      <c r="M394" t="str">
        <f t="shared" si="17"/>
        <v/>
      </c>
    </row>
    <row r="395" spans="13:13">
      <c r="M395" t="str">
        <f t="shared" si="17"/>
        <v/>
      </c>
    </row>
    <row r="396" spans="13:13">
      <c r="M396" t="str">
        <f t="shared" si="17"/>
        <v/>
      </c>
    </row>
    <row r="397" spans="13:13">
      <c r="M397" t="str">
        <f t="shared" si="17"/>
        <v/>
      </c>
    </row>
    <row r="398" spans="13:13">
      <c r="M398" t="str">
        <f t="shared" si="17"/>
        <v/>
      </c>
    </row>
    <row r="399" spans="13:13">
      <c r="M399" t="str">
        <f t="shared" si="17"/>
        <v/>
      </c>
    </row>
    <row r="400" spans="13:13">
      <c r="M400" t="str">
        <f t="shared" si="17"/>
        <v/>
      </c>
    </row>
    <row r="401" spans="13:13">
      <c r="M401" t="str">
        <f t="shared" si="17"/>
        <v/>
      </c>
    </row>
    <row r="402" spans="13:13">
      <c r="M402" t="str">
        <f t="shared" si="17"/>
        <v/>
      </c>
    </row>
    <row r="403" spans="13:13">
      <c r="M403" t="str">
        <f t="shared" si="17"/>
        <v/>
      </c>
    </row>
    <row r="404" spans="13:13">
      <c r="M404" t="str">
        <f t="shared" si="17"/>
        <v/>
      </c>
    </row>
    <row r="405" spans="13:13">
      <c r="M405" t="str">
        <f t="shared" si="17"/>
        <v/>
      </c>
    </row>
    <row r="406" spans="13:13">
      <c r="M406" t="str">
        <f t="shared" si="17"/>
        <v/>
      </c>
    </row>
    <row r="407" spans="13:13">
      <c r="M407" t="str">
        <f t="shared" si="17"/>
        <v/>
      </c>
    </row>
    <row r="408" spans="13:13">
      <c r="M408" t="str">
        <f t="shared" si="17"/>
        <v/>
      </c>
    </row>
    <row r="409" spans="13:13">
      <c r="M409" t="str">
        <f t="shared" si="17"/>
        <v/>
      </c>
    </row>
    <row r="410" spans="13:13">
      <c r="M410" t="str">
        <f t="shared" si="17"/>
        <v/>
      </c>
    </row>
    <row r="411" spans="13:13">
      <c r="M411" t="str">
        <f t="shared" si="17"/>
        <v/>
      </c>
    </row>
    <row r="412" spans="13:13">
      <c r="M412" t="str">
        <f t="shared" si="17"/>
        <v/>
      </c>
    </row>
    <row r="413" spans="13:13">
      <c r="M413" t="str">
        <f t="shared" si="17"/>
        <v/>
      </c>
    </row>
    <row r="414" spans="13:13">
      <c r="M414" t="str">
        <f t="shared" si="17"/>
        <v/>
      </c>
    </row>
    <row r="415" spans="13:13">
      <c r="M415" t="str">
        <f t="shared" si="17"/>
        <v/>
      </c>
    </row>
    <row r="416" spans="13:13">
      <c r="M416" t="str">
        <f t="shared" si="17"/>
        <v/>
      </c>
    </row>
    <row r="417" spans="13:13">
      <c r="M417" t="str">
        <f t="shared" si="17"/>
        <v/>
      </c>
    </row>
    <row r="418" spans="13:13">
      <c r="M418" t="str">
        <f t="shared" si="17"/>
        <v/>
      </c>
    </row>
    <row r="419" spans="13:13">
      <c r="M419" t="str">
        <f t="shared" si="17"/>
        <v/>
      </c>
    </row>
    <row r="420" spans="13:13">
      <c r="M420" t="str">
        <f t="shared" si="17"/>
        <v/>
      </c>
    </row>
    <row r="421" spans="13:13">
      <c r="M421" t="str">
        <f t="shared" si="17"/>
        <v/>
      </c>
    </row>
    <row r="422" spans="13:13">
      <c r="M422" t="str">
        <f t="shared" si="17"/>
        <v/>
      </c>
    </row>
    <row r="423" spans="13:13">
      <c r="M423" t="str">
        <f t="shared" si="17"/>
        <v/>
      </c>
    </row>
    <row r="424" spans="13:13">
      <c r="M424" t="str">
        <f t="shared" si="17"/>
        <v/>
      </c>
    </row>
    <row r="425" spans="13:13">
      <c r="M425" t="str">
        <f t="shared" si="17"/>
        <v/>
      </c>
    </row>
    <row r="426" spans="13:13">
      <c r="M426" t="str">
        <f t="shared" si="17"/>
        <v/>
      </c>
    </row>
    <row r="427" spans="13:13">
      <c r="M427" t="str">
        <f t="shared" si="17"/>
        <v/>
      </c>
    </row>
    <row r="428" spans="13:13">
      <c r="M428" t="str">
        <f t="shared" si="17"/>
        <v/>
      </c>
    </row>
    <row r="429" spans="13:13">
      <c r="M429" t="str">
        <f t="shared" si="17"/>
        <v/>
      </c>
    </row>
    <row r="430" spans="13:13">
      <c r="M430" t="str">
        <f t="shared" si="17"/>
        <v/>
      </c>
    </row>
    <row r="431" spans="13:13">
      <c r="M431" t="str">
        <f t="shared" si="17"/>
        <v/>
      </c>
    </row>
    <row r="432" spans="13:13">
      <c r="M432" t="str">
        <f t="shared" si="17"/>
        <v/>
      </c>
    </row>
    <row r="433" spans="13:13">
      <c r="M433" t="str">
        <f t="shared" si="17"/>
        <v/>
      </c>
    </row>
    <row r="434" spans="13:13">
      <c r="M434" t="str">
        <f t="shared" si="17"/>
        <v/>
      </c>
    </row>
    <row r="435" spans="13:13">
      <c r="M435" t="str">
        <f t="shared" si="17"/>
        <v/>
      </c>
    </row>
    <row r="436" spans="13:13">
      <c r="M436" t="str">
        <f t="shared" si="17"/>
        <v/>
      </c>
    </row>
    <row r="437" spans="13:13">
      <c r="M437" t="str">
        <f t="shared" si="17"/>
        <v/>
      </c>
    </row>
    <row r="438" spans="13:13">
      <c r="M438" t="str">
        <f t="shared" si="17"/>
        <v/>
      </c>
    </row>
    <row r="439" spans="13:13">
      <c r="M439" t="str">
        <f t="shared" si="17"/>
        <v/>
      </c>
    </row>
    <row r="440" spans="13:13">
      <c r="M440" t="str">
        <f t="shared" si="17"/>
        <v/>
      </c>
    </row>
    <row r="441" spans="13:13">
      <c r="M441" t="str">
        <f t="shared" si="17"/>
        <v/>
      </c>
    </row>
    <row r="442" spans="13:13">
      <c r="M442" t="str">
        <f t="shared" si="17"/>
        <v/>
      </c>
    </row>
    <row r="443" spans="13:13">
      <c r="M443" t="str">
        <f t="shared" si="17"/>
        <v/>
      </c>
    </row>
    <row r="444" spans="13:13">
      <c r="M444" t="str">
        <f t="shared" si="17"/>
        <v/>
      </c>
    </row>
    <row r="445" spans="13:13">
      <c r="M445" t="str">
        <f t="shared" si="17"/>
        <v/>
      </c>
    </row>
    <row r="446" spans="13:13">
      <c r="M446" t="str">
        <f t="shared" si="17"/>
        <v/>
      </c>
    </row>
    <row r="447" spans="13:13">
      <c r="M447" t="str">
        <f t="shared" si="17"/>
        <v/>
      </c>
    </row>
    <row r="448" spans="13:13">
      <c r="M448" t="str">
        <f t="shared" si="17"/>
        <v/>
      </c>
    </row>
    <row r="449" spans="13:13">
      <c r="M449" t="str">
        <f t="shared" si="17"/>
        <v/>
      </c>
    </row>
    <row r="450" spans="13:13">
      <c r="M450" t="str">
        <f t="shared" si="17"/>
        <v/>
      </c>
    </row>
    <row r="451" spans="13:13">
      <c r="M451" t="str">
        <f t="shared" si="17"/>
        <v/>
      </c>
    </row>
    <row r="452" spans="13:13">
      <c r="M452" t="str">
        <f t="shared" si="17"/>
        <v/>
      </c>
    </row>
    <row r="453" spans="13:13">
      <c r="M453" t="str">
        <f t="shared" ref="M453:M516" si="18">IF(A453="","", WEEKNUM(A453, 2))</f>
        <v/>
      </c>
    </row>
    <row r="454" spans="13:13">
      <c r="M454" t="str">
        <f t="shared" si="18"/>
        <v/>
      </c>
    </row>
    <row r="455" spans="13:13">
      <c r="M455" t="str">
        <f t="shared" si="18"/>
        <v/>
      </c>
    </row>
    <row r="456" spans="13:13">
      <c r="M456" t="str">
        <f t="shared" si="18"/>
        <v/>
      </c>
    </row>
    <row r="457" spans="13:13">
      <c r="M457" t="str">
        <f t="shared" si="18"/>
        <v/>
      </c>
    </row>
    <row r="458" spans="13:13">
      <c r="M458" t="str">
        <f t="shared" si="18"/>
        <v/>
      </c>
    </row>
    <row r="459" spans="13:13">
      <c r="M459" t="str">
        <f t="shared" si="18"/>
        <v/>
      </c>
    </row>
    <row r="460" spans="13:13">
      <c r="M460" t="str">
        <f t="shared" si="18"/>
        <v/>
      </c>
    </row>
    <row r="461" spans="13:13">
      <c r="M461" t="str">
        <f t="shared" si="18"/>
        <v/>
      </c>
    </row>
    <row r="462" spans="13:13">
      <c r="M462" t="str">
        <f t="shared" si="18"/>
        <v/>
      </c>
    </row>
    <row r="463" spans="13:13">
      <c r="M463" t="str">
        <f t="shared" si="18"/>
        <v/>
      </c>
    </row>
    <row r="464" spans="13:13">
      <c r="M464" t="str">
        <f t="shared" si="18"/>
        <v/>
      </c>
    </row>
    <row r="465" spans="13:13">
      <c r="M465" t="str">
        <f t="shared" si="18"/>
        <v/>
      </c>
    </row>
    <row r="466" spans="13:13">
      <c r="M466" t="str">
        <f t="shared" si="18"/>
        <v/>
      </c>
    </row>
    <row r="467" spans="13:13">
      <c r="M467" t="str">
        <f t="shared" si="18"/>
        <v/>
      </c>
    </row>
    <row r="468" spans="13:13">
      <c r="M468" t="str">
        <f t="shared" si="18"/>
        <v/>
      </c>
    </row>
    <row r="469" spans="13:13">
      <c r="M469" t="str">
        <f t="shared" si="18"/>
        <v/>
      </c>
    </row>
    <row r="470" spans="13:13">
      <c r="M470" t="str">
        <f t="shared" si="18"/>
        <v/>
      </c>
    </row>
    <row r="471" spans="13:13">
      <c r="M471" t="str">
        <f t="shared" si="18"/>
        <v/>
      </c>
    </row>
    <row r="472" spans="13:13">
      <c r="M472" t="str">
        <f t="shared" si="18"/>
        <v/>
      </c>
    </row>
    <row r="473" spans="13:13">
      <c r="M473" t="str">
        <f t="shared" si="18"/>
        <v/>
      </c>
    </row>
    <row r="474" spans="13:13">
      <c r="M474" t="str">
        <f t="shared" si="18"/>
        <v/>
      </c>
    </row>
    <row r="475" spans="13:13">
      <c r="M475" t="str">
        <f t="shared" si="18"/>
        <v/>
      </c>
    </row>
    <row r="476" spans="13:13">
      <c r="M476" t="str">
        <f t="shared" si="18"/>
        <v/>
      </c>
    </row>
    <row r="477" spans="13:13">
      <c r="M477" t="str">
        <f t="shared" si="18"/>
        <v/>
      </c>
    </row>
    <row r="478" spans="13:13">
      <c r="M478" t="str">
        <f t="shared" si="18"/>
        <v/>
      </c>
    </row>
    <row r="479" spans="13:13">
      <c r="M479" t="str">
        <f t="shared" si="18"/>
        <v/>
      </c>
    </row>
    <row r="480" spans="13:13">
      <c r="M480" t="str">
        <f t="shared" si="18"/>
        <v/>
      </c>
    </row>
    <row r="481" spans="13:13">
      <c r="M481" t="str">
        <f t="shared" si="18"/>
        <v/>
      </c>
    </row>
    <row r="482" spans="13:13">
      <c r="M482" t="str">
        <f t="shared" si="18"/>
        <v/>
      </c>
    </row>
    <row r="483" spans="13:13">
      <c r="M483" t="str">
        <f t="shared" si="18"/>
        <v/>
      </c>
    </row>
    <row r="484" spans="13:13">
      <c r="M484" t="str">
        <f t="shared" si="18"/>
        <v/>
      </c>
    </row>
    <row r="485" spans="13:13">
      <c r="M485" t="str">
        <f t="shared" si="18"/>
        <v/>
      </c>
    </row>
    <row r="486" spans="13:13">
      <c r="M486" t="str">
        <f t="shared" si="18"/>
        <v/>
      </c>
    </row>
    <row r="487" spans="13:13">
      <c r="M487" t="str">
        <f t="shared" si="18"/>
        <v/>
      </c>
    </row>
    <row r="488" spans="13:13">
      <c r="M488" t="str">
        <f t="shared" si="18"/>
        <v/>
      </c>
    </row>
    <row r="489" spans="13:13">
      <c r="M489" t="str">
        <f t="shared" si="18"/>
        <v/>
      </c>
    </row>
    <row r="490" spans="13:13">
      <c r="M490" t="str">
        <f t="shared" si="18"/>
        <v/>
      </c>
    </row>
    <row r="491" spans="13:13">
      <c r="M491" t="str">
        <f t="shared" si="18"/>
        <v/>
      </c>
    </row>
    <row r="492" spans="13:13">
      <c r="M492" t="str">
        <f t="shared" si="18"/>
        <v/>
      </c>
    </row>
    <row r="493" spans="13:13">
      <c r="M493" t="str">
        <f t="shared" si="18"/>
        <v/>
      </c>
    </row>
    <row r="494" spans="13:13">
      <c r="M494" t="str">
        <f t="shared" si="18"/>
        <v/>
      </c>
    </row>
    <row r="495" spans="13:13">
      <c r="M495" t="str">
        <f t="shared" si="18"/>
        <v/>
      </c>
    </row>
    <row r="496" spans="13:13">
      <c r="M496" t="str">
        <f t="shared" si="18"/>
        <v/>
      </c>
    </row>
    <row r="497" spans="13:13">
      <c r="M497" t="str">
        <f t="shared" si="18"/>
        <v/>
      </c>
    </row>
    <row r="498" spans="13:13">
      <c r="M498" t="str">
        <f t="shared" si="18"/>
        <v/>
      </c>
    </row>
    <row r="499" spans="13:13">
      <c r="M499" t="str">
        <f t="shared" si="18"/>
        <v/>
      </c>
    </row>
    <row r="500" spans="13:13">
      <c r="M500" t="str">
        <f t="shared" si="18"/>
        <v/>
      </c>
    </row>
    <row r="501" spans="13:13">
      <c r="M501" t="str">
        <f t="shared" si="18"/>
        <v/>
      </c>
    </row>
    <row r="502" spans="13:13">
      <c r="M502" t="str">
        <f t="shared" si="18"/>
        <v/>
      </c>
    </row>
    <row r="503" spans="13:13">
      <c r="M503" t="str">
        <f t="shared" si="18"/>
        <v/>
      </c>
    </row>
    <row r="504" spans="13:13">
      <c r="M504" t="str">
        <f t="shared" si="18"/>
        <v/>
      </c>
    </row>
    <row r="505" spans="13:13">
      <c r="M505" t="str">
        <f t="shared" si="18"/>
        <v/>
      </c>
    </row>
    <row r="506" spans="13:13">
      <c r="M506" t="str">
        <f t="shared" si="18"/>
        <v/>
      </c>
    </row>
    <row r="507" spans="13:13">
      <c r="M507" t="str">
        <f t="shared" si="18"/>
        <v/>
      </c>
    </row>
    <row r="508" spans="13:13">
      <c r="M508" t="str">
        <f t="shared" si="18"/>
        <v/>
      </c>
    </row>
    <row r="509" spans="13:13">
      <c r="M509" t="str">
        <f t="shared" si="18"/>
        <v/>
      </c>
    </row>
    <row r="510" spans="13:13">
      <c r="M510" t="str">
        <f t="shared" si="18"/>
        <v/>
      </c>
    </row>
    <row r="511" spans="13:13">
      <c r="M511" t="str">
        <f t="shared" si="18"/>
        <v/>
      </c>
    </row>
    <row r="512" spans="13:13">
      <c r="M512" t="str">
        <f t="shared" si="18"/>
        <v/>
      </c>
    </row>
    <row r="513" spans="13:13">
      <c r="M513" t="str">
        <f t="shared" si="18"/>
        <v/>
      </c>
    </row>
    <row r="514" spans="13:13">
      <c r="M514" t="str">
        <f t="shared" si="18"/>
        <v/>
      </c>
    </row>
    <row r="515" spans="13:13">
      <c r="M515" t="str">
        <f t="shared" si="18"/>
        <v/>
      </c>
    </row>
    <row r="516" spans="13:13">
      <c r="M516" t="str">
        <f t="shared" si="18"/>
        <v/>
      </c>
    </row>
    <row r="517" spans="13:13">
      <c r="M517" t="str">
        <f t="shared" ref="M517:M580" si="19">IF(A517="","", WEEKNUM(A517, 2))</f>
        <v/>
      </c>
    </row>
    <row r="518" spans="13:13">
      <c r="M518" t="str">
        <f t="shared" si="19"/>
        <v/>
      </c>
    </row>
    <row r="519" spans="13:13">
      <c r="M519" t="str">
        <f t="shared" si="19"/>
        <v/>
      </c>
    </row>
    <row r="520" spans="13:13">
      <c r="M520" t="str">
        <f t="shared" si="19"/>
        <v/>
      </c>
    </row>
    <row r="521" spans="13:13">
      <c r="M521" t="str">
        <f t="shared" si="19"/>
        <v/>
      </c>
    </row>
    <row r="522" spans="13:13">
      <c r="M522" t="str">
        <f t="shared" si="19"/>
        <v/>
      </c>
    </row>
    <row r="523" spans="13:13">
      <c r="M523" t="str">
        <f t="shared" si="19"/>
        <v/>
      </c>
    </row>
    <row r="524" spans="13:13">
      <c r="M524" t="str">
        <f t="shared" si="19"/>
        <v/>
      </c>
    </row>
    <row r="525" spans="13:13">
      <c r="M525" t="str">
        <f t="shared" si="19"/>
        <v/>
      </c>
    </row>
    <row r="526" spans="13:13">
      <c r="M526" t="str">
        <f t="shared" si="19"/>
        <v/>
      </c>
    </row>
    <row r="527" spans="13:13">
      <c r="M527" t="str">
        <f t="shared" si="19"/>
        <v/>
      </c>
    </row>
    <row r="528" spans="13:13">
      <c r="M528" t="str">
        <f t="shared" si="19"/>
        <v/>
      </c>
    </row>
    <row r="529" spans="13:13">
      <c r="M529" t="str">
        <f t="shared" si="19"/>
        <v/>
      </c>
    </row>
    <row r="530" spans="13:13">
      <c r="M530" t="str">
        <f t="shared" si="19"/>
        <v/>
      </c>
    </row>
    <row r="531" spans="13:13">
      <c r="M531" t="str">
        <f t="shared" si="19"/>
        <v/>
      </c>
    </row>
    <row r="532" spans="13:13">
      <c r="M532" t="str">
        <f t="shared" si="19"/>
        <v/>
      </c>
    </row>
    <row r="533" spans="13:13">
      <c r="M533" t="str">
        <f t="shared" si="19"/>
        <v/>
      </c>
    </row>
    <row r="534" spans="13:13">
      <c r="M534" t="str">
        <f t="shared" si="19"/>
        <v/>
      </c>
    </row>
    <row r="535" spans="13:13">
      <c r="M535" t="str">
        <f t="shared" si="19"/>
        <v/>
      </c>
    </row>
    <row r="536" spans="13:13">
      <c r="M536" t="str">
        <f t="shared" si="19"/>
        <v/>
      </c>
    </row>
    <row r="537" spans="13:13">
      <c r="M537" t="str">
        <f t="shared" si="19"/>
        <v/>
      </c>
    </row>
    <row r="538" spans="13:13">
      <c r="M538" t="str">
        <f t="shared" si="19"/>
        <v/>
      </c>
    </row>
    <row r="539" spans="13:13">
      <c r="M539" t="str">
        <f t="shared" si="19"/>
        <v/>
      </c>
    </row>
    <row r="540" spans="13:13">
      <c r="M540" t="str">
        <f t="shared" si="19"/>
        <v/>
      </c>
    </row>
    <row r="541" spans="13:13">
      <c r="M541" t="str">
        <f t="shared" si="19"/>
        <v/>
      </c>
    </row>
    <row r="542" spans="13:13">
      <c r="M542" t="str">
        <f t="shared" si="19"/>
        <v/>
      </c>
    </row>
    <row r="543" spans="13:13">
      <c r="M543" t="str">
        <f t="shared" si="19"/>
        <v/>
      </c>
    </row>
    <row r="544" spans="13:13">
      <c r="M544" t="str">
        <f t="shared" si="19"/>
        <v/>
      </c>
    </row>
    <row r="545" spans="13:13">
      <c r="M545" t="str">
        <f t="shared" si="19"/>
        <v/>
      </c>
    </row>
    <row r="546" spans="13:13">
      <c r="M546" t="str">
        <f t="shared" si="19"/>
        <v/>
      </c>
    </row>
    <row r="547" spans="13:13">
      <c r="M547" t="str">
        <f t="shared" si="19"/>
        <v/>
      </c>
    </row>
    <row r="548" spans="13:13">
      <c r="M548" t="str">
        <f t="shared" si="19"/>
        <v/>
      </c>
    </row>
    <row r="549" spans="13:13">
      <c r="M549" t="str">
        <f t="shared" si="19"/>
        <v/>
      </c>
    </row>
    <row r="550" spans="13:13">
      <c r="M550" t="str">
        <f t="shared" si="19"/>
        <v/>
      </c>
    </row>
    <row r="551" spans="13:13">
      <c r="M551" t="str">
        <f t="shared" si="19"/>
        <v/>
      </c>
    </row>
    <row r="552" spans="13:13">
      <c r="M552" t="str">
        <f t="shared" si="19"/>
        <v/>
      </c>
    </row>
    <row r="553" spans="13:13">
      <c r="M553" t="str">
        <f t="shared" si="19"/>
        <v/>
      </c>
    </row>
    <row r="554" spans="13:13">
      <c r="M554" t="str">
        <f t="shared" si="19"/>
        <v/>
      </c>
    </row>
    <row r="555" spans="13:13">
      <c r="M555" t="str">
        <f t="shared" si="19"/>
        <v/>
      </c>
    </row>
    <row r="556" spans="13:13">
      <c r="M556" t="str">
        <f t="shared" si="19"/>
        <v/>
      </c>
    </row>
    <row r="557" spans="13:13">
      <c r="M557" t="str">
        <f t="shared" si="19"/>
        <v/>
      </c>
    </row>
    <row r="558" spans="13:13">
      <c r="M558" t="str">
        <f t="shared" si="19"/>
        <v/>
      </c>
    </row>
    <row r="559" spans="13:13">
      <c r="M559" t="str">
        <f t="shared" si="19"/>
        <v/>
      </c>
    </row>
    <row r="560" spans="13:13">
      <c r="M560" t="str">
        <f t="shared" si="19"/>
        <v/>
      </c>
    </row>
    <row r="561" spans="13:13">
      <c r="M561" t="str">
        <f t="shared" si="19"/>
        <v/>
      </c>
    </row>
    <row r="562" spans="13:13">
      <c r="M562" t="str">
        <f t="shared" si="19"/>
        <v/>
      </c>
    </row>
    <row r="563" spans="13:13">
      <c r="M563" t="str">
        <f t="shared" si="19"/>
        <v/>
      </c>
    </row>
    <row r="564" spans="13:13">
      <c r="M564" t="str">
        <f t="shared" si="19"/>
        <v/>
      </c>
    </row>
    <row r="565" spans="13:13">
      <c r="M565" t="str">
        <f t="shared" si="19"/>
        <v/>
      </c>
    </row>
    <row r="566" spans="13:13">
      <c r="M566" t="str">
        <f t="shared" si="19"/>
        <v/>
      </c>
    </row>
    <row r="567" spans="13:13">
      <c r="M567" t="str">
        <f t="shared" si="19"/>
        <v/>
      </c>
    </row>
    <row r="568" spans="13:13">
      <c r="M568" t="str">
        <f t="shared" si="19"/>
        <v/>
      </c>
    </row>
    <row r="569" spans="13:13">
      <c r="M569" t="str">
        <f t="shared" si="19"/>
        <v/>
      </c>
    </row>
    <row r="570" spans="13:13">
      <c r="M570" t="str">
        <f t="shared" si="19"/>
        <v/>
      </c>
    </row>
    <row r="571" spans="13:13">
      <c r="M571" t="str">
        <f t="shared" si="19"/>
        <v/>
      </c>
    </row>
    <row r="572" spans="13:13">
      <c r="M572" t="str">
        <f t="shared" si="19"/>
        <v/>
      </c>
    </row>
    <row r="573" spans="13:13">
      <c r="M573" t="str">
        <f t="shared" si="19"/>
        <v/>
      </c>
    </row>
    <row r="574" spans="13:13">
      <c r="M574" t="str">
        <f t="shared" si="19"/>
        <v/>
      </c>
    </row>
    <row r="575" spans="13:13">
      <c r="M575" t="str">
        <f t="shared" si="19"/>
        <v/>
      </c>
    </row>
    <row r="576" spans="13:13">
      <c r="M576" t="str">
        <f t="shared" si="19"/>
        <v/>
      </c>
    </row>
    <row r="577" spans="13:13">
      <c r="M577" t="str">
        <f t="shared" si="19"/>
        <v/>
      </c>
    </row>
    <row r="578" spans="13:13">
      <c r="M578" t="str">
        <f t="shared" si="19"/>
        <v/>
      </c>
    </row>
    <row r="579" spans="13:13">
      <c r="M579" t="str">
        <f t="shared" si="19"/>
        <v/>
      </c>
    </row>
    <row r="580" spans="13:13">
      <c r="M580" t="str">
        <f t="shared" si="19"/>
        <v/>
      </c>
    </row>
    <row r="581" spans="13:13">
      <c r="M581" t="str">
        <f t="shared" ref="M581:M644" si="20">IF(A581="","", WEEKNUM(A581, 2))</f>
        <v/>
      </c>
    </row>
    <row r="582" spans="13:13">
      <c r="M582" t="str">
        <f t="shared" si="20"/>
        <v/>
      </c>
    </row>
    <row r="583" spans="13:13">
      <c r="M583" t="str">
        <f t="shared" si="20"/>
        <v/>
      </c>
    </row>
    <row r="584" spans="13:13">
      <c r="M584" t="str">
        <f t="shared" si="20"/>
        <v/>
      </c>
    </row>
    <row r="585" spans="13:13">
      <c r="M585" t="str">
        <f t="shared" si="20"/>
        <v/>
      </c>
    </row>
    <row r="586" spans="13:13">
      <c r="M586" t="str">
        <f t="shared" si="20"/>
        <v/>
      </c>
    </row>
    <row r="587" spans="13:13">
      <c r="M587" t="str">
        <f t="shared" si="20"/>
        <v/>
      </c>
    </row>
    <row r="588" spans="13:13">
      <c r="M588" t="str">
        <f t="shared" si="20"/>
        <v/>
      </c>
    </row>
    <row r="589" spans="13:13">
      <c r="M589" t="str">
        <f t="shared" si="20"/>
        <v/>
      </c>
    </row>
    <row r="590" spans="13:13">
      <c r="M590" t="str">
        <f t="shared" si="20"/>
        <v/>
      </c>
    </row>
    <row r="591" spans="13:13">
      <c r="M591" t="str">
        <f t="shared" si="20"/>
        <v/>
      </c>
    </row>
    <row r="592" spans="13:13">
      <c r="M592" t="str">
        <f t="shared" si="20"/>
        <v/>
      </c>
    </row>
    <row r="593" spans="13:13">
      <c r="M593" t="str">
        <f t="shared" si="20"/>
        <v/>
      </c>
    </row>
    <row r="594" spans="13:13">
      <c r="M594" t="str">
        <f t="shared" si="20"/>
        <v/>
      </c>
    </row>
    <row r="595" spans="13:13">
      <c r="M595" t="str">
        <f t="shared" si="20"/>
        <v/>
      </c>
    </row>
    <row r="596" spans="13:13">
      <c r="M596" t="str">
        <f t="shared" si="20"/>
        <v/>
      </c>
    </row>
    <row r="597" spans="13:13">
      <c r="M597" t="str">
        <f t="shared" si="20"/>
        <v/>
      </c>
    </row>
    <row r="598" spans="13:13">
      <c r="M598" t="str">
        <f t="shared" si="20"/>
        <v/>
      </c>
    </row>
    <row r="599" spans="13:13">
      <c r="M599" t="str">
        <f t="shared" si="20"/>
        <v/>
      </c>
    </row>
    <row r="600" spans="13:13">
      <c r="M600" t="str">
        <f t="shared" si="20"/>
        <v/>
      </c>
    </row>
    <row r="601" spans="13:13">
      <c r="M601" t="str">
        <f t="shared" si="20"/>
        <v/>
      </c>
    </row>
    <row r="602" spans="13:13">
      <c r="M602" t="str">
        <f t="shared" si="20"/>
        <v/>
      </c>
    </row>
    <row r="603" spans="13:13">
      <c r="M603" t="str">
        <f t="shared" si="20"/>
        <v/>
      </c>
    </row>
    <row r="604" spans="13:13">
      <c r="M604" t="str">
        <f t="shared" si="20"/>
        <v/>
      </c>
    </row>
    <row r="605" spans="13:13">
      <c r="M605" t="str">
        <f t="shared" si="20"/>
        <v/>
      </c>
    </row>
    <row r="606" spans="13:13">
      <c r="M606" t="str">
        <f t="shared" si="20"/>
        <v/>
      </c>
    </row>
    <row r="607" spans="13:13">
      <c r="M607" t="str">
        <f t="shared" si="20"/>
        <v/>
      </c>
    </row>
    <row r="608" spans="13:13">
      <c r="M608" t="str">
        <f t="shared" si="20"/>
        <v/>
      </c>
    </row>
    <row r="609" spans="13:13">
      <c r="M609" t="str">
        <f t="shared" si="20"/>
        <v/>
      </c>
    </row>
    <row r="610" spans="13:13">
      <c r="M610" t="str">
        <f t="shared" si="20"/>
        <v/>
      </c>
    </row>
    <row r="611" spans="13:13">
      <c r="M611" t="str">
        <f t="shared" si="20"/>
        <v/>
      </c>
    </row>
    <row r="612" spans="13:13">
      <c r="M612" t="str">
        <f t="shared" si="20"/>
        <v/>
      </c>
    </row>
    <row r="613" spans="13:13">
      <c r="M613" t="str">
        <f t="shared" si="20"/>
        <v/>
      </c>
    </row>
    <row r="614" spans="13:13">
      <c r="M614" t="str">
        <f t="shared" si="20"/>
        <v/>
      </c>
    </row>
    <row r="615" spans="13:13">
      <c r="M615" t="str">
        <f t="shared" si="20"/>
        <v/>
      </c>
    </row>
    <row r="616" spans="13:13">
      <c r="M616" t="str">
        <f t="shared" si="20"/>
        <v/>
      </c>
    </row>
    <row r="617" spans="13:13">
      <c r="M617" t="str">
        <f t="shared" si="20"/>
        <v/>
      </c>
    </row>
    <row r="618" spans="13:13">
      <c r="M618" t="str">
        <f t="shared" si="20"/>
        <v/>
      </c>
    </row>
    <row r="619" spans="13:13">
      <c r="M619" t="str">
        <f t="shared" si="20"/>
        <v/>
      </c>
    </row>
    <row r="620" spans="13:13">
      <c r="M620" t="str">
        <f t="shared" si="20"/>
        <v/>
      </c>
    </row>
    <row r="621" spans="13:13">
      <c r="M621" t="str">
        <f t="shared" si="20"/>
        <v/>
      </c>
    </row>
    <row r="622" spans="13:13">
      <c r="M622" t="str">
        <f t="shared" si="20"/>
        <v/>
      </c>
    </row>
    <row r="623" spans="13:13">
      <c r="M623" t="str">
        <f t="shared" si="20"/>
        <v/>
      </c>
    </row>
    <row r="624" spans="13:13">
      <c r="M624" t="str">
        <f t="shared" si="20"/>
        <v/>
      </c>
    </row>
    <row r="625" spans="13:13">
      <c r="M625" t="str">
        <f t="shared" si="20"/>
        <v/>
      </c>
    </row>
    <row r="626" spans="13:13">
      <c r="M626" t="str">
        <f t="shared" si="20"/>
        <v/>
      </c>
    </row>
    <row r="627" spans="13:13">
      <c r="M627" t="str">
        <f t="shared" si="20"/>
        <v/>
      </c>
    </row>
    <row r="628" spans="13:13">
      <c r="M628" t="str">
        <f t="shared" si="20"/>
        <v/>
      </c>
    </row>
    <row r="629" spans="13:13">
      <c r="M629" t="str">
        <f t="shared" si="20"/>
        <v/>
      </c>
    </row>
    <row r="630" spans="13:13">
      <c r="M630" t="str">
        <f t="shared" si="20"/>
        <v/>
      </c>
    </row>
    <row r="631" spans="13:13">
      <c r="M631" t="str">
        <f t="shared" si="20"/>
        <v/>
      </c>
    </row>
    <row r="632" spans="13:13">
      <c r="M632" t="str">
        <f t="shared" si="20"/>
        <v/>
      </c>
    </row>
    <row r="633" spans="13:13">
      <c r="M633" t="str">
        <f t="shared" si="20"/>
        <v/>
      </c>
    </row>
    <row r="634" spans="13:13">
      <c r="M634" t="str">
        <f t="shared" si="20"/>
        <v/>
      </c>
    </row>
    <row r="635" spans="13:13">
      <c r="M635" t="str">
        <f t="shared" si="20"/>
        <v/>
      </c>
    </row>
    <row r="636" spans="13:13">
      <c r="M636" t="str">
        <f t="shared" si="20"/>
        <v/>
      </c>
    </row>
    <row r="637" spans="13:13">
      <c r="M637" t="str">
        <f t="shared" si="20"/>
        <v/>
      </c>
    </row>
    <row r="638" spans="13:13">
      <c r="M638" t="str">
        <f t="shared" si="20"/>
        <v/>
      </c>
    </row>
    <row r="639" spans="13:13">
      <c r="M639" t="str">
        <f t="shared" si="20"/>
        <v/>
      </c>
    </row>
    <row r="640" spans="13:13">
      <c r="M640" t="str">
        <f t="shared" si="20"/>
        <v/>
      </c>
    </row>
    <row r="641" spans="13:13">
      <c r="M641" t="str">
        <f t="shared" si="20"/>
        <v/>
      </c>
    </row>
    <row r="642" spans="13:13">
      <c r="M642" t="str">
        <f t="shared" si="20"/>
        <v/>
      </c>
    </row>
    <row r="643" spans="13:13">
      <c r="M643" t="str">
        <f t="shared" si="20"/>
        <v/>
      </c>
    </row>
    <row r="644" spans="13:13">
      <c r="M644" t="str">
        <f t="shared" si="20"/>
        <v/>
      </c>
    </row>
    <row r="645" spans="13:13">
      <c r="M645" t="str">
        <f t="shared" ref="M645:M708" si="21">IF(A645="","", WEEKNUM(A645, 2))</f>
        <v/>
      </c>
    </row>
    <row r="646" spans="13:13">
      <c r="M646" t="str">
        <f t="shared" si="21"/>
        <v/>
      </c>
    </row>
    <row r="647" spans="13:13">
      <c r="M647" t="str">
        <f t="shared" si="21"/>
        <v/>
      </c>
    </row>
    <row r="648" spans="13:13">
      <c r="M648" t="str">
        <f t="shared" si="21"/>
        <v/>
      </c>
    </row>
    <row r="649" spans="13:13">
      <c r="M649" t="str">
        <f t="shared" si="21"/>
        <v/>
      </c>
    </row>
    <row r="650" spans="13:13">
      <c r="M650" t="str">
        <f t="shared" si="21"/>
        <v/>
      </c>
    </row>
    <row r="651" spans="13:13">
      <c r="M651" t="str">
        <f t="shared" si="21"/>
        <v/>
      </c>
    </row>
    <row r="652" spans="13:13">
      <c r="M652" t="str">
        <f t="shared" si="21"/>
        <v/>
      </c>
    </row>
    <row r="653" spans="13:13">
      <c r="M653" t="str">
        <f t="shared" si="21"/>
        <v/>
      </c>
    </row>
    <row r="654" spans="13:13">
      <c r="M654" t="str">
        <f t="shared" si="21"/>
        <v/>
      </c>
    </row>
    <row r="655" spans="13:13">
      <c r="M655" t="str">
        <f t="shared" si="21"/>
        <v/>
      </c>
    </row>
    <row r="656" spans="13:13">
      <c r="M656" t="str">
        <f t="shared" si="21"/>
        <v/>
      </c>
    </row>
    <row r="657" spans="13:13">
      <c r="M657" t="str">
        <f t="shared" si="21"/>
        <v/>
      </c>
    </row>
    <row r="658" spans="13:13">
      <c r="M658" t="str">
        <f t="shared" si="21"/>
        <v/>
      </c>
    </row>
    <row r="659" spans="13:13">
      <c r="M659" t="str">
        <f t="shared" si="21"/>
        <v/>
      </c>
    </row>
    <row r="660" spans="13:13">
      <c r="M660" t="str">
        <f t="shared" si="21"/>
        <v/>
      </c>
    </row>
    <row r="661" spans="13:13">
      <c r="M661" t="str">
        <f t="shared" si="21"/>
        <v/>
      </c>
    </row>
    <row r="662" spans="13:13">
      <c r="M662" t="str">
        <f t="shared" si="21"/>
        <v/>
      </c>
    </row>
    <row r="663" spans="13:13">
      <c r="M663" t="str">
        <f t="shared" si="21"/>
        <v/>
      </c>
    </row>
    <row r="664" spans="13:13">
      <c r="M664" t="str">
        <f t="shared" si="21"/>
        <v/>
      </c>
    </row>
    <row r="665" spans="13:13">
      <c r="M665" t="str">
        <f t="shared" si="21"/>
        <v/>
      </c>
    </row>
    <row r="666" spans="13:13">
      <c r="M666" t="str">
        <f t="shared" si="21"/>
        <v/>
      </c>
    </row>
    <row r="667" spans="13:13">
      <c r="M667" t="str">
        <f t="shared" si="21"/>
        <v/>
      </c>
    </row>
    <row r="668" spans="13:13">
      <c r="M668" t="str">
        <f t="shared" si="21"/>
        <v/>
      </c>
    </row>
    <row r="669" spans="13:13">
      <c r="M669" t="str">
        <f t="shared" si="21"/>
        <v/>
      </c>
    </row>
    <row r="670" spans="13:13">
      <c r="M670" t="str">
        <f t="shared" si="21"/>
        <v/>
      </c>
    </row>
    <row r="671" spans="13:13">
      <c r="M671" t="str">
        <f t="shared" si="21"/>
        <v/>
      </c>
    </row>
    <row r="672" spans="13:13">
      <c r="M672" t="str">
        <f t="shared" si="21"/>
        <v/>
      </c>
    </row>
    <row r="673" spans="13:13">
      <c r="M673" t="str">
        <f t="shared" si="21"/>
        <v/>
      </c>
    </row>
    <row r="674" spans="13:13">
      <c r="M674" t="str">
        <f t="shared" si="21"/>
        <v/>
      </c>
    </row>
    <row r="675" spans="13:13">
      <c r="M675" t="str">
        <f t="shared" si="21"/>
        <v/>
      </c>
    </row>
    <row r="676" spans="13:13">
      <c r="M676" t="str">
        <f t="shared" si="21"/>
        <v/>
      </c>
    </row>
    <row r="677" spans="13:13">
      <c r="M677" t="str">
        <f t="shared" si="21"/>
        <v/>
      </c>
    </row>
    <row r="678" spans="13:13">
      <c r="M678" t="str">
        <f t="shared" si="21"/>
        <v/>
      </c>
    </row>
    <row r="679" spans="13:13">
      <c r="M679" t="str">
        <f t="shared" si="21"/>
        <v/>
      </c>
    </row>
    <row r="680" spans="13:13">
      <c r="M680" t="str">
        <f t="shared" si="21"/>
        <v/>
      </c>
    </row>
    <row r="681" spans="13:13">
      <c r="M681" t="str">
        <f t="shared" si="21"/>
        <v/>
      </c>
    </row>
    <row r="682" spans="13:13">
      <c r="M682" t="str">
        <f t="shared" si="21"/>
        <v/>
      </c>
    </row>
    <row r="683" spans="13:13">
      <c r="M683" t="str">
        <f t="shared" si="21"/>
        <v/>
      </c>
    </row>
    <row r="684" spans="13:13">
      <c r="M684" t="str">
        <f t="shared" si="21"/>
        <v/>
      </c>
    </row>
    <row r="685" spans="13:13">
      <c r="M685" t="str">
        <f t="shared" si="21"/>
        <v/>
      </c>
    </row>
    <row r="686" spans="13:13">
      <c r="M686" t="str">
        <f t="shared" si="21"/>
        <v/>
      </c>
    </row>
    <row r="687" spans="13:13">
      <c r="M687" t="str">
        <f t="shared" si="21"/>
        <v/>
      </c>
    </row>
    <row r="688" spans="13:13">
      <c r="M688" t="str">
        <f t="shared" si="21"/>
        <v/>
      </c>
    </row>
    <row r="689" spans="13:13">
      <c r="M689" t="str">
        <f t="shared" si="21"/>
        <v/>
      </c>
    </row>
    <row r="690" spans="13:13">
      <c r="M690" t="str">
        <f t="shared" si="21"/>
        <v/>
      </c>
    </row>
    <row r="691" spans="13:13">
      <c r="M691" t="str">
        <f t="shared" si="21"/>
        <v/>
      </c>
    </row>
    <row r="692" spans="13:13">
      <c r="M692" t="str">
        <f t="shared" si="21"/>
        <v/>
      </c>
    </row>
    <row r="693" spans="13:13">
      <c r="M693" t="str">
        <f t="shared" si="21"/>
        <v/>
      </c>
    </row>
    <row r="694" spans="13:13">
      <c r="M694" t="str">
        <f t="shared" si="21"/>
        <v/>
      </c>
    </row>
    <row r="695" spans="13:13">
      <c r="M695" t="str">
        <f t="shared" si="21"/>
        <v/>
      </c>
    </row>
    <row r="696" spans="13:13">
      <c r="M696" t="str">
        <f t="shared" si="21"/>
        <v/>
      </c>
    </row>
    <row r="697" spans="13:13">
      <c r="M697" t="str">
        <f t="shared" si="21"/>
        <v/>
      </c>
    </row>
    <row r="698" spans="13:13">
      <c r="M698" t="str">
        <f t="shared" si="21"/>
        <v/>
      </c>
    </row>
    <row r="699" spans="13:13">
      <c r="M699" t="str">
        <f t="shared" si="21"/>
        <v/>
      </c>
    </row>
    <row r="700" spans="13:13">
      <c r="M700" t="str">
        <f t="shared" si="21"/>
        <v/>
      </c>
    </row>
    <row r="701" spans="13:13">
      <c r="M701" t="str">
        <f t="shared" si="21"/>
        <v/>
      </c>
    </row>
    <row r="702" spans="13:13">
      <c r="M702" t="str">
        <f t="shared" si="21"/>
        <v/>
      </c>
    </row>
    <row r="703" spans="13:13">
      <c r="M703" t="str">
        <f t="shared" si="21"/>
        <v/>
      </c>
    </row>
    <row r="704" spans="13:13">
      <c r="M704" t="str">
        <f t="shared" si="21"/>
        <v/>
      </c>
    </row>
    <row r="705" spans="13:13">
      <c r="M705" t="str">
        <f t="shared" si="21"/>
        <v/>
      </c>
    </row>
    <row r="706" spans="13:13">
      <c r="M706" t="str">
        <f t="shared" si="21"/>
        <v/>
      </c>
    </row>
    <row r="707" spans="13:13">
      <c r="M707" t="str">
        <f t="shared" si="21"/>
        <v/>
      </c>
    </row>
    <row r="708" spans="13:13">
      <c r="M708" t="str">
        <f t="shared" si="21"/>
        <v/>
      </c>
    </row>
    <row r="709" spans="13:13">
      <c r="M709" t="str">
        <f t="shared" ref="M709:M772" si="22">IF(A709="","", WEEKNUM(A709, 2))</f>
        <v/>
      </c>
    </row>
    <row r="710" spans="13:13">
      <c r="M710" t="str">
        <f t="shared" si="22"/>
        <v/>
      </c>
    </row>
    <row r="711" spans="13:13">
      <c r="M711" t="str">
        <f t="shared" si="22"/>
        <v/>
      </c>
    </row>
    <row r="712" spans="13:13">
      <c r="M712" t="str">
        <f t="shared" si="22"/>
        <v/>
      </c>
    </row>
    <row r="713" spans="13:13">
      <c r="M713" t="str">
        <f t="shared" si="22"/>
        <v/>
      </c>
    </row>
    <row r="714" spans="13:13">
      <c r="M714" t="str">
        <f t="shared" si="22"/>
        <v/>
      </c>
    </row>
    <row r="715" spans="13:13">
      <c r="M715" t="str">
        <f t="shared" si="22"/>
        <v/>
      </c>
    </row>
    <row r="716" spans="13:13">
      <c r="M716" t="str">
        <f t="shared" si="22"/>
        <v/>
      </c>
    </row>
    <row r="717" spans="13:13">
      <c r="M717" t="str">
        <f t="shared" si="22"/>
        <v/>
      </c>
    </row>
    <row r="718" spans="13:13">
      <c r="M718" t="str">
        <f t="shared" si="22"/>
        <v/>
      </c>
    </row>
    <row r="719" spans="13:13">
      <c r="M719" t="str">
        <f t="shared" si="22"/>
        <v/>
      </c>
    </row>
    <row r="720" spans="13:13">
      <c r="M720" t="str">
        <f t="shared" si="22"/>
        <v/>
      </c>
    </row>
    <row r="721" spans="13:13">
      <c r="M721" t="str">
        <f t="shared" si="22"/>
        <v/>
      </c>
    </row>
    <row r="722" spans="13:13">
      <c r="M722" t="str">
        <f t="shared" si="22"/>
        <v/>
      </c>
    </row>
    <row r="723" spans="13:13">
      <c r="M723" t="str">
        <f t="shared" si="22"/>
        <v/>
      </c>
    </row>
    <row r="724" spans="13:13">
      <c r="M724" t="str">
        <f t="shared" si="22"/>
        <v/>
      </c>
    </row>
    <row r="725" spans="13:13">
      <c r="M725" t="str">
        <f t="shared" si="22"/>
        <v/>
      </c>
    </row>
    <row r="726" spans="13:13">
      <c r="M726" t="str">
        <f t="shared" si="22"/>
        <v/>
      </c>
    </row>
    <row r="727" spans="13:13">
      <c r="M727" t="str">
        <f t="shared" si="22"/>
        <v/>
      </c>
    </row>
    <row r="728" spans="13:13">
      <c r="M728" t="str">
        <f t="shared" si="22"/>
        <v/>
      </c>
    </row>
    <row r="729" spans="13:13">
      <c r="M729" t="str">
        <f t="shared" si="22"/>
        <v/>
      </c>
    </row>
    <row r="730" spans="13:13">
      <c r="M730" t="str">
        <f t="shared" si="22"/>
        <v/>
      </c>
    </row>
    <row r="731" spans="13:13">
      <c r="M731" t="str">
        <f t="shared" si="22"/>
        <v/>
      </c>
    </row>
    <row r="732" spans="13:13">
      <c r="M732" t="str">
        <f t="shared" si="22"/>
        <v/>
      </c>
    </row>
    <row r="733" spans="13:13">
      <c r="M733" t="str">
        <f t="shared" si="22"/>
        <v/>
      </c>
    </row>
    <row r="734" spans="13:13">
      <c r="M734" t="str">
        <f t="shared" si="22"/>
        <v/>
      </c>
    </row>
    <row r="735" spans="13:13">
      <c r="M735" t="str">
        <f t="shared" si="22"/>
        <v/>
      </c>
    </row>
    <row r="736" spans="13:13">
      <c r="M736" t="str">
        <f t="shared" si="22"/>
        <v/>
      </c>
    </row>
    <row r="737" spans="13:13">
      <c r="M737" t="str">
        <f t="shared" si="22"/>
        <v/>
      </c>
    </row>
    <row r="738" spans="13:13">
      <c r="M738" t="str">
        <f t="shared" si="22"/>
        <v/>
      </c>
    </row>
    <row r="739" spans="13:13">
      <c r="M739" t="str">
        <f t="shared" si="22"/>
        <v/>
      </c>
    </row>
    <row r="740" spans="13:13">
      <c r="M740" t="str">
        <f t="shared" si="22"/>
        <v/>
      </c>
    </row>
    <row r="741" spans="13:13">
      <c r="M741" t="str">
        <f t="shared" si="22"/>
        <v/>
      </c>
    </row>
    <row r="742" spans="13:13">
      <c r="M742" t="str">
        <f t="shared" si="22"/>
        <v/>
      </c>
    </row>
    <row r="743" spans="13:13">
      <c r="M743" t="str">
        <f t="shared" si="22"/>
        <v/>
      </c>
    </row>
    <row r="744" spans="13:13">
      <c r="M744" t="str">
        <f t="shared" si="22"/>
        <v/>
      </c>
    </row>
    <row r="745" spans="13:13">
      <c r="M745" t="str">
        <f t="shared" si="22"/>
        <v/>
      </c>
    </row>
    <row r="746" spans="13:13">
      <c r="M746" t="str">
        <f t="shared" si="22"/>
        <v/>
      </c>
    </row>
    <row r="747" spans="13:13">
      <c r="M747" t="str">
        <f t="shared" si="22"/>
        <v/>
      </c>
    </row>
    <row r="748" spans="13:13">
      <c r="M748" t="str">
        <f t="shared" si="22"/>
        <v/>
      </c>
    </row>
    <row r="749" spans="13:13">
      <c r="M749" t="str">
        <f t="shared" si="22"/>
        <v/>
      </c>
    </row>
    <row r="750" spans="13:13">
      <c r="M750" t="str">
        <f t="shared" si="22"/>
        <v/>
      </c>
    </row>
    <row r="751" spans="13:13">
      <c r="M751" t="str">
        <f t="shared" si="22"/>
        <v/>
      </c>
    </row>
    <row r="752" spans="13:13">
      <c r="M752" t="str">
        <f t="shared" si="22"/>
        <v/>
      </c>
    </row>
    <row r="753" spans="13:13">
      <c r="M753" t="str">
        <f t="shared" si="22"/>
        <v/>
      </c>
    </row>
    <row r="754" spans="13:13">
      <c r="M754" t="str">
        <f t="shared" si="22"/>
        <v/>
      </c>
    </row>
    <row r="755" spans="13:13">
      <c r="M755" t="str">
        <f t="shared" si="22"/>
        <v/>
      </c>
    </row>
    <row r="756" spans="13:13">
      <c r="M756" t="str">
        <f t="shared" si="22"/>
        <v/>
      </c>
    </row>
    <row r="757" spans="13:13">
      <c r="M757" t="str">
        <f t="shared" si="22"/>
        <v/>
      </c>
    </row>
    <row r="758" spans="13:13">
      <c r="M758" t="str">
        <f t="shared" si="22"/>
        <v/>
      </c>
    </row>
    <row r="759" spans="13:13">
      <c r="M759" t="str">
        <f t="shared" si="22"/>
        <v/>
      </c>
    </row>
    <row r="760" spans="13:13">
      <c r="M760" t="str">
        <f t="shared" si="22"/>
        <v/>
      </c>
    </row>
    <row r="761" spans="13:13">
      <c r="M761" t="str">
        <f t="shared" si="22"/>
        <v/>
      </c>
    </row>
    <row r="762" spans="13:13">
      <c r="M762" t="str">
        <f t="shared" si="22"/>
        <v/>
      </c>
    </row>
    <row r="763" spans="13:13">
      <c r="M763" t="str">
        <f t="shared" si="22"/>
        <v/>
      </c>
    </row>
    <row r="764" spans="13:13">
      <c r="M764" t="str">
        <f t="shared" si="22"/>
        <v/>
      </c>
    </row>
    <row r="765" spans="13:13">
      <c r="M765" t="str">
        <f t="shared" si="22"/>
        <v/>
      </c>
    </row>
    <row r="766" spans="13:13">
      <c r="M766" t="str">
        <f t="shared" si="22"/>
        <v/>
      </c>
    </row>
    <row r="767" spans="13:13">
      <c r="M767" t="str">
        <f t="shared" si="22"/>
        <v/>
      </c>
    </row>
    <row r="768" spans="13:13">
      <c r="M768" t="str">
        <f t="shared" si="22"/>
        <v/>
      </c>
    </row>
    <row r="769" spans="13:13">
      <c r="M769" t="str">
        <f t="shared" si="22"/>
        <v/>
      </c>
    </row>
    <row r="770" spans="13:13">
      <c r="M770" t="str">
        <f t="shared" si="22"/>
        <v/>
      </c>
    </row>
    <row r="771" spans="13:13">
      <c r="M771" t="str">
        <f t="shared" si="22"/>
        <v/>
      </c>
    </row>
    <row r="772" spans="13:13">
      <c r="M772" t="str">
        <f t="shared" si="22"/>
        <v/>
      </c>
    </row>
    <row r="773" spans="13:13">
      <c r="M773" t="str">
        <f t="shared" ref="M773:M836" si="23">IF(A773="","", WEEKNUM(A773, 2))</f>
        <v/>
      </c>
    </row>
    <row r="774" spans="13:13">
      <c r="M774" t="str">
        <f t="shared" si="23"/>
        <v/>
      </c>
    </row>
    <row r="775" spans="13:13">
      <c r="M775" t="str">
        <f t="shared" si="23"/>
        <v/>
      </c>
    </row>
    <row r="776" spans="13:13">
      <c r="M776" t="str">
        <f t="shared" si="23"/>
        <v/>
      </c>
    </row>
    <row r="777" spans="13:13">
      <c r="M777" t="str">
        <f t="shared" si="23"/>
        <v/>
      </c>
    </row>
    <row r="778" spans="13:13">
      <c r="M778" t="str">
        <f t="shared" si="23"/>
        <v/>
      </c>
    </row>
    <row r="779" spans="13:13">
      <c r="M779" t="str">
        <f t="shared" si="23"/>
        <v/>
      </c>
    </row>
    <row r="780" spans="13:13">
      <c r="M780" t="str">
        <f t="shared" si="23"/>
        <v/>
      </c>
    </row>
    <row r="781" spans="13:13">
      <c r="M781" t="str">
        <f t="shared" si="23"/>
        <v/>
      </c>
    </row>
    <row r="782" spans="13:13">
      <c r="M782" t="str">
        <f t="shared" si="23"/>
        <v/>
      </c>
    </row>
    <row r="783" spans="13:13">
      <c r="M783" t="str">
        <f t="shared" si="23"/>
        <v/>
      </c>
    </row>
    <row r="784" spans="13:13">
      <c r="M784" t="str">
        <f t="shared" si="23"/>
        <v/>
      </c>
    </row>
    <row r="785" spans="13:13">
      <c r="M785" t="str">
        <f t="shared" si="23"/>
        <v/>
      </c>
    </row>
    <row r="786" spans="13:13">
      <c r="M786" t="str">
        <f t="shared" si="23"/>
        <v/>
      </c>
    </row>
    <row r="787" spans="13:13">
      <c r="M787" t="str">
        <f t="shared" si="23"/>
        <v/>
      </c>
    </row>
    <row r="788" spans="13:13">
      <c r="M788" t="str">
        <f t="shared" si="23"/>
        <v/>
      </c>
    </row>
    <row r="789" spans="13:13">
      <c r="M789" t="str">
        <f t="shared" si="23"/>
        <v/>
      </c>
    </row>
    <row r="790" spans="13:13">
      <c r="M790" t="str">
        <f t="shared" si="23"/>
        <v/>
      </c>
    </row>
    <row r="791" spans="13:13">
      <c r="M791" t="str">
        <f t="shared" si="23"/>
        <v/>
      </c>
    </row>
    <row r="792" spans="13:13">
      <c r="M792" t="str">
        <f t="shared" si="23"/>
        <v/>
      </c>
    </row>
    <row r="793" spans="13:13">
      <c r="M793" t="str">
        <f t="shared" si="23"/>
        <v/>
      </c>
    </row>
    <row r="794" spans="13:13">
      <c r="M794" t="str">
        <f t="shared" si="23"/>
        <v/>
      </c>
    </row>
    <row r="795" spans="13:13">
      <c r="M795" t="str">
        <f t="shared" si="23"/>
        <v/>
      </c>
    </row>
    <row r="796" spans="13:13">
      <c r="M796" t="str">
        <f t="shared" si="23"/>
        <v/>
      </c>
    </row>
    <row r="797" spans="13:13">
      <c r="M797" t="str">
        <f t="shared" si="23"/>
        <v/>
      </c>
    </row>
    <row r="798" spans="13:13">
      <c r="M798" t="str">
        <f t="shared" si="23"/>
        <v/>
      </c>
    </row>
    <row r="799" spans="13:13">
      <c r="M799" t="str">
        <f t="shared" si="23"/>
        <v/>
      </c>
    </row>
    <row r="800" spans="13:13">
      <c r="M800" t="str">
        <f t="shared" si="23"/>
        <v/>
      </c>
    </row>
    <row r="801" spans="13:13">
      <c r="M801" t="str">
        <f t="shared" si="23"/>
        <v/>
      </c>
    </row>
    <row r="802" spans="13:13">
      <c r="M802" t="str">
        <f t="shared" si="23"/>
        <v/>
      </c>
    </row>
    <row r="803" spans="13:13">
      <c r="M803" t="str">
        <f t="shared" si="23"/>
        <v/>
      </c>
    </row>
    <row r="804" spans="13:13">
      <c r="M804" t="str">
        <f t="shared" si="23"/>
        <v/>
      </c>
    </row>
    <row r="805" spans="13:13">
      <c r="M805" t="str">
        <f t="shared" si="23"/>
        <v/>
      </c>
    </row>
    <row r="806" spans="13:13">
      <c r="M806" t="str">
        <f t="shared" si="23"/>
        <v/>
      </c>
    </row>
    <row r="807" spans="13:13">
      <c r="M807" t="str">
        <f t="shared" si="23"/>
        <v/>
      </c>
    </row>
    <row r="808" spans="13:13">
      <c r="M808" t="str">
        <f t="shared" si="23"/>
        <v/>
      </c>
    </row>
    <row r="809" spans="13:13">
      <c r="M809" t="str">
        <f t="shared" si="23"/>
        <v/>
      </c>
    </row>
    <row r="810" spans="13:13">
      <c r="M810" t="str">
        <f t="shared" si="23"/>
        <v/>
      </c>
    </row>
    <row r="811" spans="13:13">
      <c r="M811" t="str">
        <f t="shared" si="23"/>
        <v/>
      </c>
    </row>
    <row r="812" spans="13:13">
      <c r="M812" t="str">
        <f t="shared" si="23"/>
        <v/>
      </c>
    </row>
    <row r="813" spans="13:13">
      <c r="M813" t="str">
        <f t="shared" si="23"/>
        <v/>
      </c>
    </row>
    <row r="814" spans="13:13">
      <c r="M814" t="str">
        <f t="shared" si="23"/>
        <v/>
      </c>
    </row>
    <row r="815" spans="13:13">
      <c r="M815" t="str">
        <f t="shared" si="23"/>
        <v/>
      </c>
    </row>
    <row r="816" spans="13:13">
      <c r="M816" t="str">
        <f t="shared" si="23"/>
        <v/>
      </c>
    </row>
    <row r="817" spans="13:13">
      <c r="M817" t="str">
        <f t="shared" si="23"/>
        <v/>
      </c>
    </row>
    <row r="818" spans="13:13">
      <c r="M818" t="str">
        <f t="shared" si="23"/>
        <v/>
      </c>
    </row>
    <row r="819" spans="13:13">
      <c r="M819" t="str">
        <f t="shared" si="23"/>
        <v/>
      </c>
    </row>
    <row r="820" spans="13:13">
      <c r="M820" t="str">
        <f t="shared" si="23"/>
        <v/>
      </c>
    </row>
    <row r="821" spans="13:13">
      <c r="M821" t="str">
        <f t="shared" si="23"/>
        <v/>
      </c>
    </row>
    <row r="822" spans="13:13">
      <c r="M822" t="str">
        <f t="shared" si="23"/>
        <v/>
      </c>
    </row>
    <row r="823" spans="13:13">
      <c r="M823" t="str">
        <f t="shared" si="23"/>
        <v/>
      </c>
    </row>
    <row r="824" spans="13:13">
      <c r="M824" t="str">
        <f t="shared" si="23"/>
        <v/>
      </c>
    </row>
    <row r="825" spans="13:13">
      <c r="M825" t="str">
        <f t="shared" si="23"/>
        <v/>
      </c>
    </row>
    <row r="826" spans="13:13">
      <c r="M826" t="str">
        <f t="shared" si="23"/>
        <v/>
      </c>
    </row>
    <row r="827" spans="13:13">
      <c r="M827" t="str">
        <f t="shared" si="23"/>
        <v/>
      </c>
    </row>
    <row r="828" spans="13:13">
      <c r="M828" t="str">
        <f t="shared" si="23"/>
        <v/>
      </c>
    </row>
    <row r="829" spans="13:13">
      <c r="M829" t="str">
        <f t="shared" si="23"/>
        <v/>
      </c>
    </row>
    <row r="830" spans="13:13">
      <c r="M830" t="str">
        <f t="shared" si="23"/>
        <v/>
      </c>
    </row>
    <row r="831" spans="13:13">
      <c r="M831" t="str">
        <f t="shared" si="23"/>
        <v/>
      </c>
    </row>
    <row r="832" spans="13:13">
      <c r="M832" t="str">
        <f t="shared" si="23"/>
        <v/>
      </c>
    </row>
    <row r="833" spans="13:13">
      <c r="M833" t="str">
        <f t="shared" si="23"/>
        <v/>
      </c>
    </row>
    <row r="834" spans="13:13">
      <c r="M834" t="str">
        <f t="shared" si="23"/>
        <v/>
      </c>
    </row>
    <row r="835" spans="13:13">
      <c r="M835" t="str">
        <f t="shared" si="23"/>
        <v/>
      </c>
    </row>
    <row r="836" spans="13:13">
      <c r="M836" t="str">
        <f t="shared" si="23"/>
        <v/>
      </c>
    </row>
    <row r="837" spans="13:13">
      <c r="M837" t="str">
        <f t="shared" ref="M837:M900" si="24">IF(A837="","", WEEKNUM(A837, 2))</f>
        <v/>
      </c>
    </row>
    <row r="838" spans="13:13">
      <c r="M838" t="str">
        <f t="shared" si="24"/>
        <v/>
      </c>
    </row>
    <row r="839" spans="13:13">
      <c r="M839" t="str">
        <f t="shared" si="24"/>
        <v/>
      </c>
    </row>
    <row r="840" spans="13:13">
      <c r="M840" t="str">
        <f t="shared" si="24"/>
        <v/>
      </c>
    </row>
    <row r="841" spans="13:13">
      <c r="M841" t="str">
        <f t="shared" si="24"/>
        <v/>
      </c>
    </row>
    <row r="842" spans="13:13">
      <c r="M842" t="str">
        <f t="shared" si="24"/>
        <v/>
      </c>
    </row>
    <row r="843" spans="13:13">
      <c r="M843" t="str">
        <f t="shared" si="24"/>
        <v/>
      </c>
    </row>
    <row r="844" spans="13:13">
      <c r="M844" t="str">
        <f t="shared" si="24"/>
        <v/>
      </c>
    </row>
    <row r="845" spans="13:13">
      <c r="M845" t="str">
        <f t="shared" si="24"/>
        <v/>
      </c>
    </row>
    <row r="846" spans="13:13">
      <c r="M846" t="str">
        <f t="shared" si="24"/>
        <v/>
      </c>
    </row>
    <row r="847" spans="13:13">
      <c r="M847" t="str">
        <f t="shared" si="24"/>
        <v/>
      </c>
    </row>
    <row r="848" spans="13:13">
      <c r="M848" t="str">
        <f t="shared" si="24"/>
        <v/>
      </c>
    </row>
    <row r="849" spans="13:13">
      <c r="M849" t="str">
        <f t="shared" si="24"/>
        <v/>
      </c>
    </row>
    <row r="850" spans="13:13">
      <c r="M850" t="str">
        <f t="shared" si="24"/>
        <v/>
      </c>
    </row>
    <row r="851" spans="13:13">
      <c r="M851" t="str">
        <f t="shared" si="24"/>
        <v/>
      </c>
    </row>
    <row r="852" spans="13:13">
      <c r="M852" t="str">
        <f t="shared" si="24"/>
        <v/>
      </c>
    </row>
    <row r="853" spans="13:13">
      <c r="M853" t="str">
        <f t="shared" si="24"/>
        <v/>
      </c>
    </row>
    <row r="854" spans="13:13">
      <c r="M854" t="str">
        <f t="shared" si="24"/>
        <v/>
      </c>
    </row>
    <row r="855" spans="13:13">
      <c r="M855" t="str">
        <f t="shared" si="24"/>
        <v/>
      </c>
    </row>
    <row r="856" spans="13:13">
      <c r="M856" t="str">
        <f t="shared" si="24"/>
        <v/>
      </c>
    </row>
    <row r="857" spans="13:13">
      <c r="M857" t="str">
        <f t="shared" si="24"/>
        <v/>
      </c>
    </row>
    <row r="858" spans="13:13">
      <c r="M858" t="str">
        <f t="shared" si="24"/>
        <v/>
      </c>
    </row>
    <row r="859" spans="13:13">
      <c r="M859" t="str">
        <f t="shared" si="24"/>
        <v/>
      </c>
    </row>
    <row r="860" spans="13:13">
      <c r="M860" t="str">
        <f t="shared" si="24"/>
        <v/>
      </c>
    </row>
    <row r="861" spans="13:13">
      <c r="M861" t="str">
        <f t="shared" si="24"/>
        <v/>
      </c>
    </row>
    <row r="862" spans="13:13">
      <c r="M862" t="str">
        <f t="shared" si="24"/>
        <v/>
      </c>
    </row>
    <row r="863" spans="13:13">
      <c r="M863" t="str">
        <f t="shared" si="24"/>
        <v/>
      </c>
    </row>
    <row r="864" spans="13:13">
      <c r="M864" t="str">
        <f t="shared" si="24"/>
        <v/>
      </c>
    </row>
    <row r="865" spans="13:13">
      <c r="M865" t="str">
        <f t="shared" si="24"/>
        <v/>
      </c>
    </row>
    <row r="866" spans="13:13">
      <c r="M866" t="str">
        <f t="shared" si="24"/>
        <v/>
      </c>
    </row>
    <row r="867" spans="13:13">
      <c r="M867" t="str">
        <f t="shared" si="24"/>
        <v/>
      </c>
    </row>
    <row r="868" spans="13:13">
      <c r="M868" t="str">
        <f t="shared" si="24"/>
        <v/>
      </c>
    </row>
    <row r="869" spans="13:13">
      <c r="M869" t="str">
        <f t="shared" si="24"/>
        <v/>
      </c>
    </row>
    <row r="870" spans="13:13">
      <c r="M870" t="str">
        <f t="shared" si="24"/>
        <v/>
      </c>
    </row>
    <row r="871" spans="13:13">
      <c r="M871" t="str">
        <f t="shared" si="24"/>
        <v/>
      </c>
    </row>
    <row r="872" spans="13:13">
      <c r="M872" t="str">
        <f t="shared" si="24"/>
        <v/>
      </c>
    </row>
    <row r="873" spans="13:13">
      <c r="M873" t="str">
        <f t="shared" si="24"/>
        <v/>
      </c>
    </row>
    <row r="874" spans="13:13">
      <c r="M874" t="str">
        <f t="shared" si="24"/>
        <v/>
      </c>
    </row>
    <row r="875" spans="13:13">
      <c r="M875" t="str">
        <f t="shared" si="24"/>
        <v/>
      </c>
    </row>
    <row r="876" spans="13:13">
      <c r="M876" t="str">
        <f t="shared" si="24"/>
        <v/>
      </c>
    </row>
    <row r="877" spans="13:13">
      <c r="M877" t="str">
        <f t="shared" si="24"/>
        <v/>
      </c>
    </row>
    <row r="878" spans="13:13">
      <c r="M878" t="str">
        <f t="shared" si="24"/>
        <v/>
      </c>
    </row>
    <row r="879" spans="13:13">
      <c r="M879" t="str">
        <f t="shared" si="24"/>
        <v/>
      </c>
    </row>
    <row r="880" spans="13:13">
      <c r="M880" t="str">
        <f t="shared" si="24"/>
        <v/>
      </c>
    </row>
    <row r="881" spans="13:13">
      <c r="M881" t="str">
        <f t="shared" si="24"/>
        <v/>
      </c>
    </row>
    <row r="882" spans="13:13">
      <c r="M882" t="str">
        <f t="shared" si="24"/>
        <v/>
      </c>
    </row>
    <row r="883" spans="13:13">
      <c r="M883" t="str">
        <f t="shared" si="24"/>
        <v/>
      </c>
    </row>
    <row r="884" spans="13:13">
      <c r="M884" t="str">
        <f t="shared" si="24"/>
        <v/>
      </c>
    </row>
    <row r="885" spans="13:13">
      <c r="M885" t="str">
        <f t="shared" si="24"/>
        <v/>
      </c>
    </row>
    <row r="886" spans="13:13">
      <c r="M886" t="str">
        <f t="shared" si="24"/>
        <v/>
      </c>
    </row>
    <row r="887" spans="13:13">
      <c r="M887" t="str">
        <f t="shared" si="24"/>
        <v/>
      </c>
    </row>
    <row r="888" spans="13:13">
      <c r="M888" t="str">
        <f t="shared" si="24"/>
        <v/>
      </c>
    </row>
    <row r="889" spans="13:13">
      <c r="M889" t="str">
        <f t="shared" si="24"/>
        <v/>
      </c>
    </row>
    <row r="890" spans="13:13">
      <c r="M890" t="str">
        <f t="shared" si="24"/>
        <v/>
      </c>
    </row>
    <row r="891" spans="13:13">
      <c r="M891" t="str">
        <f t="shared" si="24"/>
        <v/>
      </c>
    </row>
    <row r="892" spans="13:13">
      <c r="M892" t="str">
        <f t="shared" si="24"/>
        <v/>
      </c>
    </row>
    <row r="893" spans="13:13">
      <c r="M893" t="str">
        <f t="shared" si="24"/>
        <v/>
      </c>
    </row>
    <row r="894" spans="13:13">
      <c r="M894" t="str">
        <f t="shared" si="24"/>
        <v/>
      </c>
    </row>
    <row r="895" spans="13:13">
      <c r="M895" t="str">
        <f t="shared" si="24"/>
        <v/>
      </c>
    </row>
    <row r="896" spans="13:13">
      <c r="M896" t="str">
        <f t="shared" si="24"/>
        <v/>
      </c>
    </row>
    <row r="897" spans="13:13">
      <c r="M897" t="str">
        <f t="shared" si="24"/>
        <v/>
      </c>
    </row>
    <row r="898" spans="13:13">
      <c r="M898" t="str">
        <f t="shared" si="24"/>
        <v/>
      </c>
    </row>
    <row r="899" spans="13:13">
      <c r="M899" t="str">
        <f t="shared" si="24"/>
        <v/>
      </c>
    </row>
    <row r="900" spans="13:13">
      <c r="M900" t="str">
        <f t="shared" si="24"/>
        <v/>
      </c>
    </row>
    <row r="901" spans="13:13">
      <c r="M901" t="str">
        <f t="shared" ref="M901:M964" si="25">IF(A901="","", WEEKNUM(A901, 2))</f>
        <v/>
      </c>
    </row>
    <row r="902" spans="13:13">
      <c r="M902" t="str">
        <f t="shared" si="25"/>
        <v/>
      </c>
    </row>
    <row r="903" spans="13:13">
      <c r="M903" t="str">
        <f t="shared" si="25"/>
        <v/>
      </c>
    </row>
    <row r="904" spans="13:13">
      <c r="M904" t="str">
        <f t="shared" si="25"/>
        <v/>
      </c>
    </row>
    <row r="905" spans="13:13">
      <c r="M905" t="str">
        <f t="shared" si="25"/>
        <v/>
      </c>
    </row>
    <row r="906" spans="13:13">
      <c r="M906" t="str">
        <f t="shared" si="25"/>
        <v/>
      </c>
    </row>
    <row r="907" spans="13:13">
      <c r="M907" t="str">
        <f t="shared" si="25"/>
        <v/>
      </c>
    </row>
    <row r="908" spans="13:13">
      <c r="M908" t="str">
        <f t="shared" si="25"/>
        <v/>
      </c>
    </row>
    <row r="909" spans="13:13">
      <c r="M909" t="str">
        <f t="shared" si="25"/>
        <v/>
      </c>
    </row>
    <row r="910" spans="13:13">
      <c r="M910" t="str">
        <f t="shared" si="25"/>
        <v/>
      </c>
    </row>
    <row r="911" spans="13:13">
      <c r="M911" t="str">
        <f t="shared" si="25"/>
        <v/>
      </c>
    </row>
    <row r="912" spans="13:13">
      <c r="M912" t="str">
        <f t="shared" si="25"/>
        <v/>
      </c>
    </row>
    <row r="913" spans="13:13">
      <c r="M913" t="str">
        <f t="shared" si="25"/>
        <v/>
      </c>
    </row>
    <row r="914" spans="13:13">
      <c r="M914" t="str">
        <f t="shared" si="25"/>
        <v/>
      </c>
    </row>
    <row r="915" spans="13:13">
      <c r="M915" t="str">
        <f t="shared" si="25"/>
        <v/>
      </c>
    </row>
    <row r="916" spans="13:13">
      <c r="M916" t="str">
        <f t="shared" si="25"/>
        <v/>
      </c>
    </row>
    <row r="917" spans="13:13">
      <c r="M917" t="str">
        <f t="shared" si="25"/>
        <v/>
      </c>
    </row>
    <row r="918" spans="13:13">
      <c r="M918" t="str">
        <f t="shared" si="25"/>
        <v/>
      </c>
    </row>
    <row r="919" spans="13:13">
      <c r="M919" t="str">
        <f t="shared" si="25"/>
        <v/>
      </c>
    </row>
    <row r="920" spans="13:13">
      <c r="M920" t="str">
        <f t="shared" si="25"/>
        <v/>
      </c>
    </row>
    <row r="921" spans="13:13">
      <c r="M921" t="str">
        <f t="shared" si="25"/>
        <v/>
      </c>
    </row>
    <row r="922" spans="13:13">
      <c r="M922" t="str">
        <f t="shared" si="25"/>
        <v/>
      </c>
    </row>
    <row r="923" spans="13:13">
      <c r="M923" t="str">
        <f t="shared" si="25"/>
        <v/>
      </c>
    </row>
    <row r="924" spans="13:13">
      <c r="M924" t="str">
        <f t="shared" si="25"/>
        <v/>
      </c>
    </row>
    <row r="925" spans="13:13">
      <c r="M925" t="str">
        <f t="shared" si="25"/>
        <v/>
      </c>
    </row>
    <row r="926" spans="13:13">
      <c r="M926" t="str">
        <f t="shared" si="25"/>
        <v/>
      </c>
    </row>
    <row r="927" spans="13:13">
      <c r="M927" t="str">
        <f t="shared" si="25"/>
        <v/>
      </c>
    </row>
    <row r="928" spans="13:13">
      <c r="M928" t="str">
        <f t="shared" si="25"/>
        <v/>
      </c>
    </row>
    <row r="929" spans="13:13">
      <c r="M929" t="str">
        <f t="shared" si="25"/>
        <v/>
      </c>
    </row>
    <row r="930" spans="13:13">
      <c r="M930" t="str">
        <f t="shared" si="25"/>
        <v/>
      </c>
    </row>
    <row r="931" spans="13:13">
      <c r="M931" t="str">
        <f t="shared" si="25"/>
        <v/>
      </c>
    </row>
    <row r="932" spans="13:13">
      <c r="M932" t="str">
        <f t="shared" si="25"/>
        <v/>
      </c>
    </row>
    <row r="933" spans="13:13">
      <c r="M933" t="str">
        <f t="shared" si="25"/>
        <v/>
      </c>
    </row>
    <row r="934" spans="13:13">
      <c r="M934" t="str">
        <f t="shared" si="25"/>
        <v/>
      </c>
    </row>
    <row r="935" spans="13:13">
      <c r="M935" t="str">
        <f t="shared" si="25"/>
        <v/>
      </c>
    </row>
    <row r="936" spans="13:13">
      <c r="M936" t="str">
        <f t="shared" si="25"/>
        <v/>
      </c>
    </row>
    <row r="937" spans="13:13">
      <c r="M937" t="str">
        <f t="shared" si="25"/>
        <v/>
      </c>
    </row>
    <row r="938" spans="13:13">
      <c r="M938" t="str">
        <f t="shared" si="25"/>
        <v/>
      </c>
    </row>
    <row r="939" spans="13:13">
      <c r="M939" t="str">
        <f t="shared" si="25"/>
        <v/>
      </c>
    </row>
    <row r="940" spans="13:13">
      <c r="M940" t="str">
        <f t="shared" si="25"/>
        <v/>
      </c>
    </row>
    <row r="941" spans="13:13">
      <c r="M941" t="str">
        <f t="shared" si="25"/>
        <v/>
      </c>
    </row>
    <row r="942" spans="13:13">
      <c r="M942" t="str">
        <f t="shared" si="25"/>
        <v/>
      </c>
    </row>
    <row r="943" spans="13:13">
      <c r="M943" t="str">
        <f t="shared" si="25"/>
        <v/>
      </c>
    </row>
    <row r="944" spans="13:13">
      <c r="M944" t="str">
        <f t="shared" si="25"/>
        <v/>
      </c>
    </row>
    <row r="945" spans="13:13">
      <c r="M945" t="str">
        <f t="shared" si="25"/>
        <v/>
      </c>
    </row>
    <row r="946" spans="13:13">
      <c r="M946" t="str">
        <f t="shared" si="25"/>
        <v/>
      </c>
    </row>
    <row r="947" spans="13:13">
      <c r="M947" t="str">
        <f t="shared" si="25"/>
        <v/>
      </c>
    </row>
    <row r="948" spans="13:13">
      <c r="M948" t="str">
        <f t="shared" si="25"/>
        <v/>
      </c>
    </row>
    <row r="949" spans="13:13">
      <c r="M949" t="str">
        <f t="shared" si="25"/>
        <v/>
      </c>
    </row>
    <row r="950" spans="13:13">
      <c r="M950" t="str">
        <f t="shared" si="25"/>
        <v/>
      </c>
    </row>
    <row r="951" spans="13:13">
      <c r="M951" t="str">
        <f t="shared" si="25"/>
        <v/>
      </c>
    </row>
    <row r="952" spans="13:13">
      <c r="M952" t="str">
        <f t="shared" si="25"/>
        <v/>
      </c>
    </row>
    <row r="953" spans="13:13">
      <c r="M953" t="str">
        <f t="shared" si="25"/>
        <v/>
      </c>
    </row>
    <row r="954" spans="13:13">
      <c r="M954" t="str">
        <f t="shared" si="25"/>
        <v/>
      </c>
    </row>
    <row r="955" spans="13:13">
      <c r="M955" t="str">
        <f t="shared" si="25"/>
        <v/>
      </c>
    </row>
    <row r="956" spans="13:13">
      <c r="M956" t="str">
        <f t="shared" si="25"/>
        <v/>
      </c>
    </row>
    <row r="957" spans="13:13">
      <c r="M957" t="str">
        <f t="shared" si="25"/>
        <v/>
      </c>
    </row>
    <row r="958" spans="13:13">
      <c r="M958" t="str">
        <f t="shared" si="25"/>
        <v/>
      </c>
    </row>
    <row r="959" spans="13:13">
      <c r="M959" t="str">
        <f t="shared" si="25"/>
        <v/>
      </c>
    </row>
    <row r="960" spans="13:13">
      <c r="M960" t="str">
        <f t="shared" si="25"/>
        <v/>
      </c>
    </row>
    <row r="961" spans="13:13">
      <c r="M961" t="str">
        <f t="shared" si="25"/>
        <v/>
      </c>
    </row>
    <row r="962" spans="13:13">
      <c r="M962" t="str">
        <f t="shared" si="25"/>
        <v/>
      </c>
    </row>
    <row r="963" spans="13:13">
      <c r="M963" t="str">
        <f t="shared" si="25"/>
        <v/>
      </c>
    </row>
    <row r="964" spans="13:13">
      <c r="M964" t="str">
        <f t="shared" si="25"/>
        <v/>
      </c>
    </row>
    <row r="965" spans="13:13">
      <c r="M965" t="str">
        <f t="shared" ref="M965:M1028" si="26">IF(A965="","", WEEKNUM(A965, 2))</f>
        <v/>
      </c>
    </row>
    <row r="966" spans="13:13">
      <c r="M966" t="str">
        <f t="shared" si="26"/>
        <v/>
      </c>
    </row>
    <row r="967" spans="13:13">
      <c r="M967" t="str">
        <f t="shared" si="26"/>
        <v/>
      </c>
    </row>
    <row r="968" spans="13:13">
      <c r="M968" t="str">
        <f t="shared" si="26"/>
        <v/>
      </c>
    </row>
    <row r="969" spans="13:13">
      <c r="M969" t="str">
        <f t="shared" si="26"/>
        <v/>
      </c>
    </row>
    <row r="970" spans="13:13">
      <c r="M970" t="str">
        <f t="shared" si="26"/>
        <v/>
      </c>
    </row>
    <row r="971" spans="13:13">
      <c r="M971" t="str">
        <f t="shared" si="26"/>
        <v/>
      </c>
    </row>
    <row r="972" spans="13:13">
      <c r="M972" t="str">
        <f t="shared" si="26"/>
        <v/>
      </c>
    </row>
    <row r="973" spans="13:13">
      <c r="M973" t="str">
        <f t="shared" si="26"/>
        <v/>
      </c>
    </row>
    <row r="974" spans="13:13">
      <c r="M974" t="str">
        <f t="shared" si="26"/>
        <v/>
      </c>
    </row>
    <row r="975" spans="13:13">
      <c r="M975" t="str">
        <f t="shared" si="26"/>
        <v/>
      </c>
    </row>
    <row r="976" spans="13:13">
      <c r="M976" t="str">
        <f t="shared" si="26"/>
        <v/>
      </c>
    </row>
    <row r="977" spans="13:13">
      <c r="M977" t="str">
        <f t="shared" si="26"/>
        <v/>
      </c>
    </row>
    <row r="978" spans="13:13">
      <c r="M978" t="str">
        <f t="shared" si="26"/>
        <v/>
      </c>
    </row>
    <row r="979" spans="13:13">
      <c r="M979" t="str">
        <f t="shared" si="26"/>
        <v/>
      </c>
    </row>
    <row r="980" spans="13:13">
      <c r="M980" t="str">
        <f t="shared" si="26"/>
        <v/>
      </c>
    </row>
    <row r="981" spans="13:13">
      <c r="M981" t="str">
        <f t="shared" si="26"/>
        <v/>
      </c>
    </row>
    <row r="982" spans="13:13">
      <c r="M982" t="str">
        <f t="shared" si="26"/>
        <v/>
      </c>
    </row>
    <row r="983" spans="13:13">
      <c r="M983" t="str">
        <f t="shared" si="26"/>
        <v/>
      </c>
    </row>
    <row r="984" spans="13:13">
      <c r="M984" t="str">
        <f t="shared" si="26"/>
        <v/>
      </c>
    </row>
    <row r="985" spans="13:13">
      <c r="M985" t="str">
        <f t="shared" si="26"/>
        <v/>
      </c>
    </row>
    <row r="986" spans="13:13">
      <c r="M986" t="str">
        <f t="shared" si="26"/>
        <v/>
      </c>
    </row>
    <row r="987" spans="13:13">
      <c r="M987" t="str">
        <f t="shared" si="26"/>
        <v/>
      </c>
    </row>
    <row r="988" spans="13:13">
      <c r="M988" t="str">
        <f t="shared" si="26"/>
        <v/>
      </c>
    </row>
    <row r="989" spans="13:13">
      <c r="M989" t="str">
        <f t="shared" si="26"/>
        <v/>
      </c>
    </row>
    <row r="990" spans="13:13">
      <c r="M990" t="str">
        <f t="shared" si="26"/>
        <v/>
      </c>
    </row>
    <row r="991" spans="13:13">
      <c r="M991" t="str">
        <f t="shared" si="26"/>
        <v/>
      </c>
    </row>
    <row r="992" spans="13:13">
      <c r="M992" t="str">
        <f t="shared" si="26"/>
        <v/>
      </c>
    </row>
    <row r="993" spans="13:13">
      <c r="M993" t="str">
        <f t="shared" si="26"/>
        <v/>
      </c>
    </row>
    <row r="994" spans="13:13">
      <c r="M994" t="str">
        <f t="shared" si="26"/>
        <v/>
      </c>
    </row>
    <row r="995" spans="13:13">
      <c r="M995" t="str">
        <f t="shared" si="26"/>
        <v/>
      </c>
    </row>
    <row r="996" spans="13:13">
      <c r="M996" t="str">
        <f t="shared" si="26"/>
        <v/>
      </c>
    </row>
    <row r="997" spans="13:13">
      <c r="M997" t="str">
        <f t="shared" si="26"/>
        <v/>
      </c>
    </row>
    <row r="998" spans="13:13">
      <c r="M998" t="str">
        <f t="shared" si="26"/>
        <v/>
      </c>
    </row>
    <row r="999" spans="13:13">
      <c r="M999" t="str">
        <f t="shared" si="26"/>
        <v/>
      </c>
    </row>
    <row r="1000" spans="13:13">
      <c r="M1000" t="str">
        <f t="shared" si="26"/>
        <v/>
      </c>
    </row>
    <row r="1001" spans="13:13">
      <c r="M1001" t="str">
        <f t="shared" si="26"/>
        <v/>
      </c>
    </row>
    <row r="1002" spans="13:13">
      <c r="M1002" t="str">
        <f t="shared" si="26"/>
        <v/>
      </c>
    </row>
    <row r="1003" spans="13:13">
      <c r="M1003" t="str">
        <f t="shared" si="26"/>
        <v/>
      </c>
    </row>
    <row r="1004" spans="13:13">
      <c r="M1004" t="str">
        <f t="shared" si="26"/>
        <v/>
      </c>
    </row>
    <row r="1005" spans="13:13">
      <c r="M1005" t="str">
        <f t="shared" si="26"/>
        <v/>
      </c>
    </row>
    <row r="1006" spans="13:13">
      <c r="M1006" t="str">
        <f t="shared" si="26"/>
        <v/>
      </c>
    </row>
    <row r="1007" spans="13:13">
      <c r="M1007" t="str">
        <f t="shared" si="26"/>
        <v/>
      </c>
    </row>
    <row r="1008" spans="13:13">
      <c r="M1008" t="str">
        <f t="shared" si="26"/>
        <v/>
      </c>
    </row>
    <row r="1009" spans="13:13">
      <c r="M1009" t="str">
        <f t="shared" si="26"/>
        <v/>
      </c>
    </row>
    <row r="1010" spans="13:13">
      <c r="M1010" t="str">
        <f t="shared" si="26"/>
        <v/>
      </c>
    </row>
    <row r="1011" spans="13:13">
      <c r="M1011" t="str">
        <f t="shared" si="26"/>
        <v/>
      </c>
    </row>
    <row r="1012" spans="13:13">
      <c r="M1012" t="str">
        <f t="shared" si="26"/>
        <v/>
      </c>
    </row>
    <row r="1013" spans="13:13">
      <c r="M1013" t="str">
        <f t="shared" si="26"/>
        <v/>
      </c>
    </row>
    <row r="1014" spans="13:13">
      <c r="M1014" t="str">
        <f t="shared" si="26"/>
        <v/>
      </c>
    </row>
    <row r="1015" spans="13:13">
      <c r="M1015" t="str">
        <f t="shared" si="26"/>
        <v/>
      </c>
    </row>
    <row r="1016" spans="13:13">
      <c r="M1016" t="str">
        <f t="shared" si="26"/>
        <v/>
      </c>
    </row>
    <row r="1017" spans="13:13">
      <c r="M1017" t="str">
        <f t="shared" si="26"/>
        <v/>
      </c>
    </row>
    <row r="1018" spans="13:13">
      <c r="M1018" t="str">
        <f t="shared" si="26"/>
        <v/>
      </c>
    </row>
    <row r="1019" spans="13:13">
      <c r="M1019" t="str">
        <f t="shared" si="26"/>
        <v/>
      </c>
    </row>
    <row r="1020" spans="13:13">
      <c r="M1020" t="str">
        <f t="shared" si="26"/>
        <v/>
      </c>
    </row>
    <row r="1021" spans="13:13">
      <c r="M1021" t="str">
        <f t="shared" si="26"/>
        <v/>
      </c>
    </row>
    <row r="1022" spans="13:13">
      <c r="M1022" t="str">
        <f t="shared" si="26"/>
        <v/>
      </c>
    </row>
    <row r="1023" spans="13:13">
      <c r="M1023" t="str">
        <f t="shared" si="26"/>
        <v/>
      </c>
    </row>
    <row r="1024" spans="13:13">
      <c r="M1024" t="str">
        <f t="shared" si="26"/>
        <v/>
      </c>
    </row>
    <row r="1025" spans="13:13">
      <c r="M1025" t="str">
        <f t="shared" si="26"/>
        <v/>
      </c>
    </row>
    <row r="1026" spans="13:13">
      <c r="M1026" t="str">
        <f t="shared" si="26"/>
        <v/>
      </c>
    </row>
    <row r="1027" spans="13:13">
      <c r="M1027" t="str">
        <f t="shared" si="26"/>
        <v/>
      </c>
    </row>
    <row r="1028" spans="13:13">
      <c r="M1028" t="str">
        <f t="shared" si="26"/>
        <v/>
      </c>
    </row>
    <row r="1029" spans="13:13">
      <c r="M1029" t="str">
        <f t="shared" ref="M1029:M1092" si="27">IF(A1029="","", WEEKNUM(A1029, 2))</f>
        <v/>
      </c>
    </row>
    <row r="1030" spans="13:13">
      <c r="M1030" t="str">
        <f t="shared" si="27"/>
        <v/>
      </c>
    </row>
    <row r="1031" spans="13:13">
      <c r="M1031" t="str">
        <f t="shared" si="27"/>
        <v/>
      </c>
    </row>
    <row r="1032" spans="13:13">
      <c r="M1032" t="str">
        <f t="shared" si="27"/>
        <v/>
      </c>
    </row>
    <row r="1033" spans="13:13">
      <c r="M1033" t="str">
        <f t="shared" si="27"/>
        <v/>
      </c>
    </row>
    <row r="1034" spans="13:13">
      <c r="M1034" t="str">
        <f t="shared" si="27"/>
        <v/>
      </c>
    </row>
    <row r="1035" spans="13:13">
      <c r="M1035" t="str">
        <f t="shared" si="27"/>
        <v/>
      </c>
    </row>
    <row r="1036" spans="13:13">
      <c r="M1036" t="str">
        <f t="shared" si="27"/>
        <v/>
      </c>
    </row>
    <row r="1037" spans="13:13">
      <c r="M1037" t="str">
        <f t="shared" si="27"/>
        <v/>
      </c>
    </row>
    <row r="1038" spans="13:13">
      <c r="M1038" t="str">
        <f t="shared" si="27"/>
        <v/>
      </c>
    </row>
    <row r="1039" spans="13:13">
      <c r="M1039" t="str">
        <f t="shared" si="27"/>
        <v/>
      </c>
    </row>
    <row r="1040" spans="13:13">
      <c r="M1040" t="str">
        <f t="shared" si="27"/>
        <v/>
      </c>
    </row>
    <row r="1041" spans="13:13">
      <c r="M1041" t="str">
        <f t="shared" si="27"/>
        <v/>
      </c>
    </row>
    <row r="1042" spans="13:13">
      <c r="M1042" t="str">
        <f t="shared" si="27"/>
        <v/>
      </c>
    </row>
    <row r="1043" spans="13:13">
      <c r="M1043" t="str">
        <f t="shared" si="27"/>
        <v/>
      </c>
    </row>
    <row r="1044" spans="13:13">
      <c r="M1044" t="str">
        <f t="shared" si="27"/>
        <v/>
      </c>
    </row>
    <row r="1045" spans="13:13">
      <c r="M1045" t="str">
        <f t="shared" si="27"/>
        <v/>
      </c>
    </row>
    <row r="1046" spans="13:13">
      <c r="M1046" t="str">
        <f t="shared" si="27"/>
        <v/>
      </c>
    </row>
    <row r="1047" spans="13:13">
      <c r="M1047" t="str">
        <f t="shared" si="27"/>
        <v/>
      </c>
    </row>
    <row r="1048" spans="13:13">
      <c r="M1048" t="str">
        <f t="shared" si="27"/>
        <v/>
      </c>
    </row>
    <row r="1049" spans="13:13">
      <c r="M1049" t="str">
        <f t="shared" si="27"/>
        <v/>
      </c>
    </row>
    <row r="1050" spans="13:13">
      <c r="M1050" t="str">
        <f t="shared" si="27"/>
        <v/>
      </c>
    </row>
    <row r="1051" spans="13:13">
      <c r="M1051" t="str">
        <f t="shared" si="27"/>
        <v/>
      </c>
    </row>
    <row r="1052" spans="13:13">
      <c r="M1052" t="str">
        <f t="shared" si="27"/>
        <v/>
      </c>
    </row>
    <row r="1053" spans="13:13">
      <c r="M1053" t="str">
        <f t="shared" si="27"/>
        <v/>
      </c>
    </row>
    <row r="1054" spans="13:13">
      <c r="M1054" t="str">
        <f t="shared" si="27"/>
        <v/>
      </c>
    </row>
    <row r="1055" spans="13:13">
      <c r="M1055" t="str">
        <f t="shared" si="27"/>
        <v/>
      </c>
    </row>
    <row r="1056" spans="13:13">
      <c r="M1056" t="str">
        <f t="shared" si="27"/>
        <v/>
      </c>
    </row>
    <row r="1057" spans="13:13">
      <c r="M1057" t="str">
        <f t="shared" si="27"/>
        <v/>
      </c>
    </row>
    <row r="1058" spans="13:13">
      <c r="M1058" t="str">
        <f t="shared" si="27"/>
        <v/>
      </c>
    </row>
    <row r="1059" spans="13:13">
      <c r="M1059" t="str">
        <f t="shared" si="27"/>
        <v/>
      </c>
    </row>
    <row r="1060" spans="13:13">
      <c r="M1060" t="str">
        <f t="shared" si="27"/>
        <v/>
      </c>
    </row>
    <row r="1061" spans="13:13">
      <c r="M1061" t="str">
        <f t="shared" si="27"/>
        <v/>
      </c>
    </row>
    <row r="1062" spans="13:13">
      <c r="M1062" t="str">
        <f t="shared" si="27"/>
        <v/>
      </c>
    </row>
    <row r="1063" spans="13:13">
      <c r="M1063" t="str">
        <f t="shared" si="27"/>
        <v/>
      </c>
    </row>
    <row r="1064" spans="13:13">
      <c r="M1064" t="str">
        <f t="shared" si="27"/>
        <v/>
      </c>
    </row>
    <row r="1065" spans="13:13">
      <c r="M1065" t="str">
        <f t="shared" si="27"/>
        <v/>
      </c>
    </row>
    <row r="1066" spans="13:13">
      <c r="M1066" t="str">
        <f t="shared" si="27"/>
        <v/>
      </c>
    </row>
    <row r="1067" spans="13:13">
      <c r="M1067" t="str">
        <f t="shared" si="27"/>
        <v/>
      </c>
    </row>
    <row r="1068" spans="13:13">
      <c r="M1068" t="str">
        <f t="shared" si="27"/>
        <v/>
      </c>
    </row>
    <row r="1069" spans="13:13">
      <c r="M1069" t="str">
        <f t="shared" si="27"/>
        <v/>
      </c>
    </row>
    <row r="1070" spans="13:13">
      <c r="M1070" t="str">
        <f t="shared" si="27"/>
        <v/>
      </c>
    </row>
    <row r="1071" spans="13:13">
      <c r="M1071" t="str">
        <f t="shared" si="27"/>
        <v/>
      </c>
    </row>
    <row r="1072" spans="13:13">
      <c r="M1072" t="str">
        <f t="shared" si="27"/>
        <v/>
      </c>
    </row>
    <row r="1073" spans="13:13">
      <c r="M1073" t="str">
        <f t="shared" si="27"/>
        <v/>
      </c>
    </row>
    <row r="1074" spans="13:13">
      <c r="M1074" t="str">
        <f t="shared" si="27"/>
        <v/>
      </c>
    </row>
    <row r="1075" spans="13:13">
      <c r="M1075" t="str">
        <f t="shared" si="27"/>
        <v/>
      </c>
    </row>
    <row r="1076" spans="13:13">
      <c r="M1076" t="str">
        <f t="shared" si="27"/>
        <v/>
      </c>
    </row>
    <row r="1077" spans="13:13">
      <c r="M1077" t="str">
        <f t="shared" si="27"/>
        <v/>
      </c>
    </row>
    <row r="1078" spans="13:13">
      <c r="M1078" t="str">
        <f t="shared" si="27"/>
        <v/>
      </c>
    </row>
    <row r="1079" spans="13:13">
      <c r="M1079" t="str">
        <f t="shared" si="27"/>
        <v/>
      </c>
    </row>
    <row r="1080" spans="13:13">
      <c r="M1080" t="str">
        <f t="shared" si="27"/>
        <v/>
      </c>
    </row>
    <row r="1081" spans="13:13">
      <c r="M1081" t="str">
        <f t="shared" si="27"/>
        <v/>
      </c>
    </row>
    <row r="1082" spans="13:13">
      <c r="M1082" t="str">
        <f t="shared" si="27"/>
        <v/>
      </c>
    </row>
    <row r="1083" spans="13:13">
      <c r="M1083" t="str">
        <f t="shared" si="27"/>
        <v/>
      </c>
    </row>
    <row r="1084" spans="13:13">
      <c r="M1084" t="str">
        <f t="shared" si="27"/>
        <v/>
      </c>
    </row>
    <row r="1085" spans="13:13">
      <c r="M1085" t="str">
        <f t="shared" si="27"/>
        <v/>
      </c>
    </row>
    <row r="1086" spans="13:13">
      <c r="M1086" t="str">
        <f t="shared" si="27"/>
        <v/>
      </c>
    </row>
    <row r="1087" spans="13:13">
      <c r="M1087" t="str">
        <f t="shared" si="27"/>
        <v/>
      </c>
    </row>
    <row r="1088" spans="13:13">
      <c r="M1088" t="str">
        <f t="shared" si="27"/>
        <v/>
      </c>
    </row>
    <row r="1089" spans="13:13">
      <c r="M1089" t="str">
        <f t="shared" si="27"/>
        <v/>
      </c>
    </row>
    <row r="1090" spans="13:13">
      <c r="M1090" t="str">
        <f t="shared" si="27"/>
        <v/>
      </c>
    </row>
    <row r="1091" spans="13:13">
      <c r="M1091" t="str">
        <f t="shared" si="27"/>
        <v/>
      </c>
    </row>
    <row r="1092" spans="13:13">
      <c r="M1092" t="str">
        <f t="shared" si="27"/>
        <v/>
      </c>
    </row>
    <row r="1093" spans="13:13">
      <c r="M1093" t="str">
        <f t="shared" ref="M1093:M1156" si="28">IF(A1093="","", WEEKNUM(A1093, 2))</f>
        <v/>
      </c>
    </row>
    <row r="1094" spans="13:13">
      <c r="M1094" t="str">
        <f t="shared" si="28"/>
        <v/>
      </c>
    </row>
    <row r="1095" spans="13:13">
      <c r="M1095" t="str">
        <f t="shared" si="28"/>
        <v/>
      </c>
    </row>
    <row r="1096" spans="13:13">
      <c r="M1096" t="str">
        <f t="shared" si="28"/>
        <v/>
      </c>
    </row>
    <row r="1097" spans="13:13">
      <c r="M1097" t="str">
        <f t="shared" si="28"/>
        <v/>
      </c>
    </row>
    <row r="1098" spans="13:13">
      <c r="M1098" t="str">
        <f t="shared" si="28"/>
        <v/>
      </c>
    </row>
    <row r="1099" spans="13:13">
      <c r="M1099" t="str">
        <f t="shared" si="28"/>
        <v/>
      </c>
    </row>
    <row r="1100" spans="13:13">
      <c r="M1100" t="str">
        <f t="shared" si="28"/>
        <v/>
      </c>
    </row>
    <row r="1101" spans="13:13">
      <c r="M1101" t="str">
        <f t="shared" si="28"/>
        <v/>
      </c>
    </row>
    <row r="1102" spans="13:13">
      <c r="M1102" t="str">
        <f t="shared" si="28"/>
        <v/>
      </c>
    </row>
    <row r="1103" spans="13:13">
      <c r="M1103" t="str">
        <f t="shared" si="28"/>
        <v/>
      </c>
    </row>
    <row r="1104" spans="13:13">
      <c r="M1104" t="str">
        <f t="shared" si="28"/>
        <v/>
      </c>
    </row>
    <row r="1105" spans="13:13">
      <c r="M1105" t="str">
        <f t="shared" si="28"/>
        <v/>
      </c>
    </row>
    <row r="1106" spans="13:13">
      <c r="M1106" t="str">
        <f t="shared" si="28"/>
        <v/>
      </c>
    </row>
    <row r="1107" spans="13:13">
      <c r="M1107" t="str">
        <f t="shared" si="28"/>
        <v/>
      </c>
    </row>
    <row r="1108" spans="13:13">
      <c r="M1108" t="str">
        <f t="shared" si="28"/>
        <v/>
      </c>
    </row>
    <row r="1109" spans="13:13">
      <c r="M1109" t="str">
        <f t="shared" si="28"/>
        <v/>
      </c>
    </row>
    <row r="1110" spans="13:13">
      <c r="M1110" t="str">
        <f t="shared" si="28"/>
        <v/>
      </c>
    </row>
    <row r="1111" spans="13:13">
      <c r="M1111" t="str">
        <f t="shared" si="28"/>
        <v/>
      </c>
    </row>
    <row r="1112" spans="13:13">
      <c r="M1112" t="str">
        <f t="shared" si="28"/>
        <v/>
      </c>
    </row>
    <row r="1113" spans="13:13">
      <c r="M1113" t="str">
        <f t="shared" si="28"/>
        <v/>
      </c>
    </row>
    <row r="1114" spans="13:13">
      <c r="M1114" t="str">
        <f t="shared" si="28"/>
        <v/>
      </c>
    </row>
    <row r="1115" spans="13:13">
      <c r="M1115" t="str">
        <f t="shared" si="28"/>
        <v/>
      </c>
    </row>
    <row r="1116" spans="13:13">
      <c r="M1116" t="str">
        <f t="shared" si="28"/>
        <v/>
      </c>
    </row>
    <row r="1117" spans="13:13">
      <c r="M1117" t="str">
        <f t="shared" si="28"/>
        <v/>
      </c>
    </row>
    <row r="1118" spans="13:13">
      <c r="M1118" t="str">
        <f t="shared" si="28"/>
        <v/>
      </c>
    </row>
    <row r="1119" spans="13:13">
      <c r="M1119" t="str">
        <f t="shared" si="28"/>
        <v/>
      </c>
    </row>
    <row r="1120" spans="13:13">
      <c r="M1120" t="str">
        <f t="shared" si="28"/>
        <v/>
      </c>
    </row>
    <row r="1121" spans="13:13">
      <c r="M1121" t="str">
        <f t="shared" si="28"/>
        <v/>
      </c>
    </row>
    <row r="1122" spans="13:13">
      <c r="M1122" t="str">
        <f t="shared" si="28"/>
        <v/>
      </c>
    </row>
    <row r="1123" spans="13:13">
      <c r="M1123" t="str">
        <f t="shared" si="28"/>
        <v/>
      </c>
    </row>
    <row r="1124" spans="13:13">
      <c r="M1124" t="str">
        <f t="shared" si="28"/>
        <v/>
      </c>
    </row>
    <row r="1125" spans="13:13">
      <c r="M1125" t="str">
        <f t="shared" si="28"/>
        <v/>
      </c>
    </row>
    <row r="1126" spans="13:13">
      <c r="M1126" t="str">
        <f t="shared" si="28"/>
        <v/>
      </c>
    </row>
    <row r="1127" spans="13:13">
      <c r="M1127" t="str">
        <f t="shared" si="28"/>
        <v/>
      </c>
    </row>
    <row r="1128" spans="13:13">
      <c r="M1128" t="str">
        <f t="shared" si="28"/>
        <v/>
      </c>
    </row>
    <row r="1129" spans="13:13">
      <c r="M1129" t="str">
        <f t="shared" si="28"/>
        <v/>
      </c>
    </row>
    <row r="1130" spans="13:13">
      <c r="M1130" t="str">
        <f t="shared" si="28"/>
        <v/>
      </c>
    </row>
    <row r="1131" spans="13:13">
      <c r="M1131" t="str">
        <f t="shared" si="28"/>
        <v/>
      </c>
    </row>
    <row r="1132" spans="13:13">
      <c r="M1132" t="str">
        <f t="shared" si="28"/>
        <v/>
      </c>
    </row>
    <row r="1133" spans="13:13">
      <c r="M1133" t="str">
        <f t="shared" si="28"/>
        <v/>
      </c>
    </row>
    <row r="1134" spans="13:13">
      <c r="M1134" t="str">
        <f t="shared" si="28"/>
        <v/>
      </c>
    </row>
    <row r="1135" spans="13:13">
      <c r="M1135" t="str">
        <f t="shared" si="28"/>
        <v/>
      </c>
    </row>
    <row r="1136" spans="13:13">
      <c r="M1136" t="str">
        <f t="shared" si="28"/>
        <v/>
      </c>
    </row>
    <row r="1137" spans="13:13">
      <c r="M1137" t="str">
        <f t="shared" si="28"/>
        <v/>
      </c>
    </row>
    <row r="1138" spans="13:13">
      <c r="M1138" t="str">
        <f t="shared" si="28"/>
        <v/>
      </c>
    </row>
    <row r="1139" spans="13:13">
      <c r="M1139" t="str">
        <f t="shared" si="28"/>
        <v/>
      </c>
    </row>
    <row r="1140" spans="13:13">
      <c r="M1140" t="str">
        <f t="shared" si="28"/>
        <v/>
      </c>
    </row>
    <row r="1141" spans="13:13">
      <c r="M1141" t="str">
        <f t="shared" si="28"/>
        <v/>
      </c>
    </row>
    <row r="1142" spans="13:13">
      <c r="M1142" t="str">
        <f t="shared" si="28"/>
        <v/>
      </c>
    </row>
    <row r="1143" spans="13:13">
      <c r="M1143" t="str">
        <f t="shared" si="28"/>
        <v/>
      </c>
    </row>
    <row r="1144" spans="13:13">
      <c r="M1144" t="str">
        <f t="shared" si="28"/>
        <v/>
      </c>
    </row>
    <row r="1145" spans="13:13">
      <c r="M1145" t="str">
        <f t="shared" si="28"/>
        <v/>
      </c>
    </row>
    <row r="1146" spans="13:13">
      <c r="M1146" t="str">
        <f t="shared" si="28"/>
        <v/>
      </c>
    </row>
    <row r="1147" spans="13:13">
      <c r="M1147" t="str">
        <f t="shared" si="28"/>
        <v/>
      </c>
    </row>
    <row r="1148" spans="13:13">
      <c r="M1148" t="str">
        <f t="shared" si="28"/>
        <v/>
      </c>
    </row>
    <row r="1149" spans="13:13">
      <c r="M1149" t="str">
        <f t="shared" si="28"/>
        <v/>
      </c>
    </row>
    <row r="1150" spans="13:13">
      <c r="M1150" t="str">
        <f t="shared" si="28"/>
        <v/>
      </c>
    </row>
    <row r="1151" spans="13:13">
      <c r="M1151" t="str">
        <f t="shared" si="28"/>
        <v/>
      </c>
    </row>
    <row r="1152" spans="13:13">
      <c r="M1152" t="str">
        <f t="shared" si="28"/>
        <v/>
      </c>
    </row>
    <row r="1153" spans="13:13">
      <c r="M1153" t="str">
        <f t="shared" si="28"/>
        <v/>
      </c>
    </row>
    <row r="1154" spans="13:13">
      <c r="M1154" t="str">
        <f t="shared" si="28"/>
        <v/>
      </c>
    </row>
    <row r="1155" spans="13:13">
      <c r="M1155" t="str">
        <f t="shared" si="28"/>
        <v/>
      </c>
    </row>
    <row r="1156" spans="13:13">
      <c r="M1156" t="str">
        <f t="shared" si="28"/>
        <v/>
      </c>
    </row>
    <row r="1157" spans="13:13">
      <c r="M1157" t="str">
        <f t="shared" ref="M1157:M1220" si="29">IF(A1157="","", WEEKNUM(A1157, 2))</f>
        <v/>
      </c>
    </row>
    <row r="1158" spans="13:13">
      <c r="M1158" t="str">
        <f t="shared" si="29"/>
        <v/>
      </c>
    </row>
    <row r="1159" spans="13:13">
      <c r="M1159" t="str">
        <f t="shared" si="29"/>
        <v/>
      </c>
    </row>
    <row r="1160" spans="13:13">
      <c r="M1160" t="str">
        <f t="shared" si="29"/>
        <v/>
      </c>
    </row>
    <row r="1161" spans="13:13">
      <c r="M1161" t="str">
        <f t="shared" si="29"/>
        <v/>
      </c>
    </row>
    <row r="1162" spans="13:13">
      <c r="M1162" t="str">
        <f t="shared" si="29"/>
        <v/>
      </c>
    </row>
    <row r="1163" spans="13:13">
      <c r="M1163" t="str">
        <f t="shared" si="29"/>
        <v/>
      </c>
    </row>
    <row r="1164" spans="13:13">
      <c r="M1164" t="str">
        <f t="shared" si="29"/>
        <v/>
      </c>
    </row>
    <row r="1165" spans="13:13">
      <c r="M1165" t="str">
        <f t="shared" si="29"/>
        <v/>
      </c>
    </row>
    <row r="1166" spans="13:13">
      <c r="M1166" t="str">
        <f t="shared" si="29"/>
        <v/>
      </c>
    </row>
    <row r="1167" spans="13:13">
      <c r="M1167" t="str">
        <f t="shared" si="29"/>
        <v/>
      </c>
    </row>
    <row r="1168" spans="13:13">
      <c r="M1168" t="str">
        <f t="shared" si="29"/>
        <v/>
      </c>
    </row>
    <row r="1169" spans="13:13">
      <c r="M1169" t="str">
        <f t="shared" si="29"/>
        <v/>
      </c>
    </row>
    <row r="1170" spans="13:13">
      <c r="M1170" t="str">
        <f t="shared" si="29"/>
        <v/>
      </c>
    </row>
    <row r="1171" spans="13:13">
      <c r="M1171" t="str">
        <f t="shared" si="29"/>
        <v/>
      </c>
    </row>
    <row r="1172" spans="13:13">
      <c r="M1172" t="str">
        <f t="shared" si="29"/>
        <v/>
      </c>
    </row>
    <row r="1173" spans="13:13">
      <c r="M1173" t="str">
        <f t="shared" si="29"/>
        <v/>
      </c>
    </row>
    <row r="1174" spans="13:13">
      <c r="M1174" t="str">
        <f t="shared" si="29"/>
        <v/>
      </c>
    </row>
    <row r="1175" spans="13:13">
      <c r="M1175" t="str">
        <f t="shared" si="29"/>
        <v/>
      </c>
    </row>
    <row r="1176" spans="13:13">
      <c r="M1176" t="str">
        <f t="shared" si="29"/>
        <v/>
      </c>
    </row>
    <row r="1177" spans="13:13">
      <c r="M1177" t="str">
        <f t="shared" si="29"/>
        <v/>
      </c>
    </row>
    <row r="1178" spans="13:13">
      <c r="M1178" t="str">
        <f t="shared" si="29"/>
        <v/>
      </c>
    </row>
    <row r="1179" spans="13:13">
      <c r="M1179" t="str">
        <f t="shared" si="29"/>
        <v/>
      </c>
    </row>
    <row r="1180" spans="13:13">
      <c r="M1180" t="str">
        <f t="shared" si="29"/>
        <v/>
      </c>
    </row>
    <row r="1181" spans="13:13">
      <c r="M1181" t="str">
        <f t="shared" si="29"/>
        <v/>
      </c>
    </row>
    <row r="1182" spans="13:13">
      <c r="M1182" t="str">
        <f t="shared" si="29"/>
        <v/>
      </c>
    </row>
    <row r="1183" spans="13:13">
      <c r="M1183" t="str">
        <f t="shared" si="29"/>
        <v/>
      </c>
    </row>
    <row r="1184" spans="13:13">
      <c r="M1184" t="str">
        <f t="shared" si="29"/>
        <v/>
      </c>
    </row>
    <row r="1185" spans="13:13">
      <c r="M1185" t="str">
        <f t="shared" si="29"/>
        <v/>
      </c>
    </row>
    <row r="1186" spans="13:13">
      <c r="M1186" t="str">
        <f t="shared" si="29"/>
        <v/>
      </c>
    </row>
    <row r="1187" spans="13:13">
      <c r="M1187" t="str">
        <f t="shared" si="29"/>
        <v/>
      </c>
    </row>
    <row r="1188" spans="13:13">
      <c r="M1188" t="str">
        <f t="shared" si="29"/>
        <v/>
      </c>
    </row>
    <row r="1189" spans="13:13">
      <c r="M1189" t="str">
        <f t="shared" si="29"/>
        <v/>
      </c>
    </row>
    <row r="1190" spans="13:13">
      <c r="M1190" t="str">
        <f t="shared" si="29"/>
        <v/>
      </c>
    </row>
    <row r="1191" spans="13:13">
      <c r="M1191" t="str">
        <f t="shared" si="29"/>
        <v/>
      </c>
    </row>
    <row r="1192" spans="13:13">
      <c r="M1192" t="str">
        <f t="shared" si="29"/>
        <v/>
      </c>
    </row>
    <row r="1193" spans="13:13">
      <c r="M1193" t="str">
        <f t="shared" si="29"/>
        <v/>
      </c>
    </row>
    <row r="1194" spans="13:13">
      <c r="M1194" t="str">
        <f t="shared" si="29"/>
        <v/>
      </c>
    </row>
    <row r="1195" spans="13:13">
      <c r="M1195" t="str">
        <f t="shared" si="29"/>
        <v/>
      </c>
    </row>
    <row r="1196" spans="13:13">
      <c r="M1196" t="str">
        <f t="shared" si="29"/>
        <v/>
      </c>
    </row>
    <row r="1197" spans="13:13">
      <c r="M1197" t="str">
        <f t="shared" si="29"/>
        <v/>
      </c>
    </row>
    <row r="1198" spans="13:13">
      <c r="M1198" t="str">
        <f t="shared" si="29"/>
        <v/>
      </c>
    </row>
    <row r="1199" spans="13:13">
      <c r="M1199" t="str">
        <f t="shared" si="29"/>
        <v/>
      </c>
    </row>
    <row r="1200" spans="13:13">
      <c r="M1200" t="str">
        <f t="shared" si="29"/>
        <v/>
      </c>
    </row>
    <row r="1201" spans="13:13">
      <c r="M1201" t="str">
        <f t="shared" si="29"/>
        <v/>
      </c>
    </row>
    <row r="1202" spans="13:13">
      <c r="M1202" t="str">
        <f t="shared" si="29"/>
        <v/>
      </c>
    </row>
    <row r="1203" spans="13:13">
      <c r="M1203" t="str">
        <f t="shared" si="29"/>
        <v/>
      </c>
    </row>
    <row r="1204" spans="13:13">
      <c r="M1204" t="str">
        <f t="shared" si="29"/>
        <v/>
      </c>
    </row>
    <row r="1205" spans="13:13">
      <c r="M1205" t="str">
        <f t="shared" si="29"/>
        <v/>
      </c>
    </row>
    <row r="1206" spans="13:13">
      <c r="M1206" t="str">
        <f t="shared" si="29"/>
        <v/>
      </c>
    </row>
    <row r="1207" spans="13:13">
      <c r="M1207" t="str">
        <f t="shared" si="29"/>
        <v/>
      </c>
    </row>
    <row r="1208" spans="13:13">
      <c r="M1208" t="str">
        <f t="shared" si="29"/>
        <v/>
      </c>
    </row>
    <row r="1209" spans="13:13">
      <c r="M1209" t="str">
        <f t="shared" si="29"/>
        <v/>
      </c>
    </row>
    <row r="1210" spans="13:13">
      <c r="M1210" t="str">
        <f t="shared" si="29"/>
        <v/>
      </c>
    </row>
    <row r="1211" spans="13:13">
      <c r="M1211" t="str">
        <f t="shared" si="29"/>
        <v/>
      </c>
    </row>
    <row r="1212" spans="13:13">
      <c r="M1212" t="str">
        <f t="shared" si="29"/>
        <v/>
      </c>
    </row>
    <row r="1213" spans="13:13">
      <c r="M1213" t="str">
        <f t="shared" si="29"/>
        <v/>
      </c>
    </row>
    <row r="1214" spans="13:13">
      <c r="M1214" t="str">
        <f t="shared" si="29"/>
        <v/>
      </c>
    </row>
    <row r="1215" spans="13:13">
      <c r="M1215" t="str">
        <f t="shared" si="29"/>
        <v/>
      </c>
    </row>
    <row r="1216" spans="13:13">
      <c r="M1216" t="str">
        <f t="shared" si="29"/>
        <v/>
      </c>
    </row>
    <row r="1217" spans="13:13">
      <c r="M1217" t="str">
        <f t="shared" si="29"/>
        <v/>
      </c>
    </row>
    <row r="1218" spans="13:13">
      <c r="M1218" t="str">
        <f t="shared" si="29"/>
        <v/>
      </c>
    </row>
    <row r="1219" spans="13:13">
      <c r="M1219" t="str">
        <f t="shared" si="29"/>
        <v/>
      </c>
    </row>
    <row r="1220" spans="13:13">
      <c r="M1220" t="str">
        <f t="shared" si="29"/>
        <v/>
      </c>
    </row>
    <row r="1221" spans="13:13">
      <c r="M1221" t="str">
        <f t="shared" ref="M1221:M1284" si="30">IF(A1221="","", WEEKNUM(A1221, 2))</f>
        <v/>
      </c>
    </row>
    <row r="1222" spans="13:13">
      <c r="M1222" t="str">
        <f t="shared" si="30"/>
        <v/>
      </c>
    </row>
    <row r="1223" spans="13:13">
      <c r="M1223" t="str">
        <f t="shared" si="30"/>
        <v/>
      </c>
    </row>
    <row r="1224" spans="13:13">
      <c r="M1224" t="str">
        <f t="shared" si="30"/>
        <v/>
      </c>
    </row>
    <row r="1225" spans="13:13">
      <c r="M1225" t="str">
        <f t="shared" si="30"/>
        <v/>
      </c>
    </row>
    <row r="1226" spans="13:13">
      <c r="M1226" t="str">
        <f t="shared" si="30"/>
        <v/>
      </c>
    </row>
    <row r="1227" spans="13:13">
      <c r="M1227" t="str">
        <f t="shared" si="30"/>
        <v/>
      </c>
    </row>
    <row r="1228" spans="13:13">
      <c r="M1228" t="str">
        <f t="shared" si="30"/>
        <v/>
      </c>
    </row>
    <row r="1229" spans="13:13">
      <c r="M1229" t="str">
        <f t="shared" si="30"/>
        <v/>
      </c>
    </row>
    <row r="1230" spans="13:13">
      <c r="M1230" t="str">
        <f t="shared" si="30"/>
        <v/>
      </c>
    </row>
    <row r="1231" spans="13:13">
      <c r="M1231" t="str">
        <f t="shared" si="30"/>
        <v/>
      </c>
    </row>
    <row r="1232" spans="13:13">
      <c r="M1232" t="str">
        <f t="shared" si="30"/>
        <v/>
      </c>
    </row>
    <row r="1233" spans="13:13">
      <c r="M1233" t="str">
        <f t="shared" si="30"/>
        <v/>
      </c>
    </row>
    <row r="1234" spans="13:13">
      <c r="M1234" t="str">
        <f t="shared" si="30"/>
        <v/>
      </c>
    </row>
    <row r="1235" spans="13:13">
      <c r="M1235" t="str">
        <f t="shared" si="30"/>
        <v/>
      </c>
    </row>
    <row r="1236" spans="13:13">
      <c r="M1236" t="str">
        <f t="shared" si="30"/>
        <v/>
      </c>
    </row>
    <row r="1237" spans="13:13">
      <c r="M1237" t="str">
        <f t="shared" si="30"/>
        <v/>
      </c>
    </row>
    <row r="1238" spans="13:13">
      <c r="M1238" t="str">
        <f t="shared" si="30"/>
        <v/>
      </c>
    </row>
    <row r="1239" spans="13:13">
      <c r="M1239" t="str">
        <f t="shared" si="30"/>
        <v/>
      </c>
    </row>
    <row r="1240" spans="13:13">
      <c r="M1240" t="str">
        <f t="shared" si="30"/>
        <v/>
      </c>
    </row>
    <row r="1241" spans="13:13">
      <c r="M1241" t="str">
        <f t="shared" si="30"/>
        <v/>
      </c>
    </row>
    <row r="1242" spans="13:13">
      <c r="M1242" t="str">
        <f t="shared" si="30"/>
        <v/>
      </c>
    </row>
    <row r="1243" spans="13:13">
      <c r="M1243" t="str">
        <f t="shared" si="30"/>
        <v/>
      </c>
    </row>
    <row r="1244" spans="13:13">
      <c r="M1244" t="str">
        <f t="shared" si="30"/>
        <v/>
      </c>
    </row>
    <row r="1245" spans="13:13">
      <c r="M1245" t="str">
        <f t="shared" si="30"/>
        <v/>
      </c>
    </row>
    <row r="1246" spans="13:13">
      <c r="M1246" t="str">
        <f t="shared" si="30"/>
        <v/>
      </c>
    </row>
    <row r="1247" spans="13:13">
      <c r="M1247" t="str">
        <f t="shared" si="30"/>
        <v/>
      </c>
    </row>
    <row r="1248" spans="13:13">
      <c r="M1248" t="str">
        <f t="shared" si="30"/>
        <v/>
      </c>
    </row>
    <row r="1249" spans="13:13">
      <c r="M1249" t="str">
        <f t="shared" si="30"/>
        <v/>
      </c>
    </row>
    <row r="1250" spans="13:13">
      <c r="M1250" t="str">
        <f t="shared" si="30"/>
        <v/>
      </c>
    </row>
    <row r="1251" spans="13:13">
      <c r="M1251" t="str">
        <f t="shared" si="30"/>
        <v/>
      </c>
    </row>
    <row r="1252" spans="13:13">
      <c r="M1252" t="str">
        <f t="shared" si="30"/>
        <v/>
      </c>
    </row>
    <row r="1253" spans="13:13">
      <c r="M1253" t="str">
        <f t="shared" si="30"/>
        <v/>
      </c>
    </row>
    <row r="1254" spans="13:13">
      <c r="M1254" t="str">
        <f t="shared" si="30"/>
        <v/>
      </c>
    </row>
    <row r="1255" spans="13:13">
      <c r="M1255" t="str">
        <f t="shared" si="30"/>
        <v/>
      </c>
    </row>
    <row r="1256" spans="13:13">
      <c r="M1256" t="str">
        <f t="shared" si="30"/>
        <v/>
      </c>
    </row>
    <row r="1257" spans="13:13">
      <c r="M1257" t="str">
        <f t="shared" si="30"/>
        <v/>
      </c>
    </row>
    <row r="1258" spans="13:13">
      <c r="M1258" t="str">
        <f t="shared" si="30"/>
        <v/>
      </c>
    </row>
    <row r="1259" spans="13:13">
      <c r="M1259" t="str">
        <f t="shared" si="30"/>
        <v/>
      </c>
    </row>
    <row r="1260" spans="13:13">
      <c r="M1260" t="str">
        <f t="shared" si="30"/>
        <v/>
      </c>
    </row>
    <row r="1261" spans="13:13">
      <c r="M1261" t="str">
        <f t="shared" si="30"/>
        <v/>
      </c>
    </row>
    <row r="1262" spans="13:13">
      <c r="M1262" t="str">
        <f t="shared" si="30"/>
        <v/>
      </c>
    </row>
    <row r="1263" spans="13:13">
      <c r="M1263" t="str">
        <f t="shared" si="30"/>
        <v/>
      </c>
    </row>
    <row r="1264" spans="13:13">
      <c r="M1264" t="str">
        <f t="shared" si="30"/>
        <v/>
      </c>
    </row>
    <row r="1265" spans="13:13">
      <c r="M1265" t="str">
        <f t="shared" si="30"/>
        <v/>
      </c>
    </row>
    <row r="1266" spans="13:13">
      <c r="M1266" t="str">
        <f t="shared" si="30"/>
        <v/>
      </c>
    </row>
    <row r="1267" spans="13:13">
      <c r="M1267" t="str">
        <f t="shared" si="30"/>
        <v/>
      </c>
    </row>
    <row r="1268" spans="13:13">
      <c r="M1268" t="str">
        <f t="shared" si="30"/>
        <v/>
      </c>
    </row>
    <row r="1269" spans="13:13">
      <c r="M1269" t="str">
        <f t="shared" si="30"/>
        <v/>
      </c>
    </row>
    <row r="1270" spans="13:13">
      <c r="M1270" t="str">
        <f t="shared" si="30"/>
        <v/>
      </c>
    </row>
    <row r="1271" spans="13:13">
      <c r="M1271" t="str">
        <f t="shared" si="30"/>
        <v/>
      </c>
    </row>
    <row r="1272" spans="13:13">
      <c r="M1272" t="str">
        <f t="shared" si="30"/>
        <v/>
      </c>
    </row>
    <row r="1273" spans="13:13">
      <c r="M1273" t="str">
        <f t="shared" si="30"/>
        <v/>
      </c>
    </row>
    <row r="1274" spans="13:13">
      <c r="M1274" t="str">
        <f t="shared" si="30"/>
        <v/>
      </c>
    </row>
    <row r="1275" spans="13:13">
      <c r="M1275" t="str">
        <f t="shared" si="30"/>
        <v/>
      </c>
    </row>
    <row r="1276" spans="13:13">
      <c r="M1276" t="str">
        <f t="shared" si="30"/>
        <v/>
      </c>
    </row>
    <row r="1277" spans="13:13">
      <c r="M1277" t="str">
        <f t="shared" si="30"/>
        <v/>
      </c>
    </row>
    <row r="1278" spans="13:13">
      <c r="M1278" t="str">
        <f t="shared" si="30"/>
        <v/>
      </c>
    </row>
    <row r="1279" spans="13:13">
      <c r="M1279" t="str">
        <f t="shared" si="30"/>
        <v/>
      </c>
    </row>
    <row r="1280" spans="13:13">
      <c r="M1280" t="str">
        <f t="shared" si="30"/>
        <v/>
      </c>
    </row>
    <row r="1281" spans="13:13">
      <c r="M1281" t="str">
        <f t="shared" si="30"/>
        <v/>
      </c>
    </row>
    <row r="1282" spans="13:13">
      <c r="M1282" t="str">
        <f t="shared" si="30"/>
        <v/>
      </c>
    </row>
    <row r="1283" spans="13:13">
      <c r="M1283" t="str">
        <f t="shared" si="30"/>
        <v/>
      </c>
    </row>
    <row r="1284" spans="13:13">
      <c r="M1284" t="str">
        <f t="shared" si="30"/>
        <v/>
      </c>
    </row>
    <row r="1285" spans="13:13">
      <c r="M1285" t="str">
        <f t="shared" ref="M1285:M1348" si="31">IF(A1285="","", WEEKNUM(A1285, 2))</f>
        <v/>
      </c>
    </row>
    <row r="1286" spans="13:13">
      <c r="M1286" t="str">
        <f t="shared" si="31"/>
        <v/>
      </c>
    </row>
    <row r="1287" spans="13:13">
      <c r="M1287" t="str">
        <f t="shared" si="31"/>
        <v/>
      </c>
    </row>
    <row r="1288" spans="13:13">
      <c r="M1288" t="str">
        <f t="shared" si="31"/>
        <v/>
      </c>
    </row>
    <row r="1289" spans="13:13">
      <c r="M1289" t="str">
        <f t="shared" si="31"/>
        <v/>
      </c>
    </row>
    <row r="1290" spans="13:13">
      <c r="M1290" t="str">
        <f t="shared" si="31"/>
        <v/>
      </c>
    </row>
    <row r="1291" spans="13:13">
      <c r="M1291" t="str">
        <f t="shared" si="31"/>
        <v/>
      </c>
    </row>
    <row r="1292" spans="13:13">
      <c r="M1292" t="str">
        <f t="shared" si="31"/>
        <v/>
      </c>
    </row>
    <row r="1293" spans="13:13">
      <c r="M1293" t="str">
        <f t="shared" si="31"/>
        <v/>
      </c>
    </row>
    <row r="1294" spans="13:13">
      <c r="M1294" t="str">
        <f t="shared" si="31"/>
        <v/>
      </c>
    </row>
    <row r="1295" spans="13:13">
      <c r="M1295" t="str">
        <f t="shared" si="31"/>
        <v/>
      </c>
    </row>
    <row r="1296" spans="13:13">
      <c r="M1296" t="str">
        <f t="shared" si="31"/>
        <v/>
      </c>
    </row>
    <row r="1297" spans="13:13">
      <c r="M1297" t="str">
        <f t="shared" si="31"/>
        <v/>
      </c>
    </row>
    <row r="1298" spans="13:13">
      <c r="M1298" t="str">
        <f t="shared" si="31"/>
        <v/>
      </c>
    </row>
    <row r="1299" spans="13:13">
      <c r="M1299" t="str">
        <f t="shared" si="31"/>
        <v/>
      </c>
    </row>
    <row r="1300" spans="13:13">
      <c r="M1300" t="str">
        <f t="shared" si="31"/>
        <v/>
      </c>
    </row>
    <row r="1301" spans="13:13">
      <c r="M1301" t="str">
        <f t="shared" si="31"/>
        <v/>
      </c>
    </row>
    <row r="1302" spans="13:13">
      <c r="M1302" t="str">
        <f t="shared" si="31"/>
        <v/>
      </c>
    </row>
    <row r="1303" spans="13:13">
      <c r="M1303" t="str">
        <f t="shared" si="31"/>
        <v/>
      </c>
    </row>
    <row r="1304" spans="13:13">
      <c r="M1304" t="str">
        <f t="shared" si="31"/>
        <v/>
      </c>
    </row>
    <row r="1305" spans="13:13">
      <c r="M1305" t="str">
        <f t="shared" si="31"/>
        <v/>
      </c>
    </row>
    <row r="1306" spans="13:13">
      <c r="M1306" t="str">
        <f t="shared" si="31"/>
        <v/>
      </c>
    </row>
    <row r="1307" spans="13:13">
      <c r="M1307" t="str">
        <f t="shared" si="31"/>
        <v/>
      </c>
    </row>
    <row r="1308" spans="13:13">
      <c r="M1308" t="str">
        <f t="shared" si="31"/>
        <v/>
      </c>
    </row>
    <row r="1309" spans="13:13">
      <c r="M1309" t="str">
        <f t="shared" si="31"/>
        <v/>
      </c>
    </row>
    <row r="1310" spans="13:13">
      <c r="M1310" t="str">
        <f t="shared" si="31"/>
        <v/>
      </c>
    </row>
    <row r="1311" spans="13:13">
      <c r="M1311" t="str">
        <f t="shared" si="31"/>
        <v/>
      </c>
    </row>
    <row r="1312" spans="13:13">
      <c r="M1312" t="str">
        <f t="shared" si="31"/>
        <v/>
      </c>
    </row>
    <row r="1313" spans="13:13">
      <c r="M1313" t="str">
        <f t="shared" si="31"/>
        <v/>
      </c>
    </row>
    <row r="1314" spans="13:13">
      <c r="M1314" t="str">
        <f t="shared" si="31"/>
        <v/>
      </c>
    </row>
    <row r="1315" spans="13:13">
      <c r="M1315" t="str">
        <f t="shared" si="31"/>
        <v/>
      </c>
    </row>
    <row r="1316" spans="13:13">
      <c r="M1316" t="str">
        <f t="shared" si="31"/>
        <v/>
      </c>
    </row>
    <row r="1317" spans="13:13">
      <c r="M1317" t="str">
        <f t="shared" si="31"/>
        <v/>
      </c>
    </row>
    <row r="1318" spans="13:13">
      <c r="M1318" t="str">
        <f t="shared" si="31"/>
        <v/>
      </c>
    </row>
    <row r="1319" spans="13:13">
      <c r="M1319" t="str">
        <f t="shared" si="31"/>
        <v/>
      </c>
    </row>
    <row r="1320" spans="13:13">
      <c r="M1320" t="str">
        <f t="shared" si="31"/>
        <v/>
      </c>
    </row>
    <row r="1321" spans="13:13">
      <c r="M1321" t="str">
        <f t="shared" si="31"/>
        <v/>
      </c>
    </row>
    <row r="1322" spans="13:13">
      <c r="M1322" t="str">
        <f t="shared" si="31"/>
        <v/>
      </c>
    </row>
    <row r="1323" spans="13:13">
      <c r="M1323" t="str">
        <f t="shared" si="31"/>
        <v/>
      </c>
    </row>
    <row r="1324" spans="13:13">
      <c r="M1324" t="str">
        <f t="shared" si="31"/>
        <v/>
      </c>
    </row>
    <row r="1325" spans="13:13">
      <c r="M1325" t="str">
        <f t="shared" si="31"/>
        <v/>
      </c>
    </row>
    <row r="1326" spans="13:13">
      <c r="M1326" t="str">
        <f t="shared" si="31"/>
        <v/>
      </c>
    </row>
    <row r="1327" spans="13:13">
      <c r="M1327" t="str">
        <f t="shared" si="31"/>
        <v/>
      </c>
    </row>
    <row r="1328" spans="13:13">
      <c r="M1328" t="str">
        <f t="shared" si="31"/>
        <v/>
      </c>
    </row>
    <row r="1329" spans="13:13">
      <c r="M1329" t="str">
        <f t="shared" si="31"/>
        <v/>
      </c>
    </row>
    <row r="1330" spans="13:13">
      <c r="M1330" t="str">
        <f t="shared" si="31"/>
        <v/>
      </c>
    </row>
    <row r="1331" spans="13:13">
      <c r="M1331" t="str">
        <f t="shared" si="31"/>
        <v/>
      </c>
    </row>
    <row r="1332" spans="13:13">
      <c r="M1332" t="str">
        <f t="shared" si="31"/>
        <v/>
      </c>
    </row>
    <row r="1333" spans="13:13">
      <c r="M1333" t="str">
        <f t="shared" si="31"/>
        <v/>
      </c>
    </row>
    <row r="1334" spans="13:13">
      <c r="M1334" t="str">
        <f t="shared" si="31"/>
        <v/>
      </c>
    </row>
    <row r="1335" spans="13:13">
      <c r="M1335" t="str">
        <f t="shared" si="31"/>
        <v/>
      </c>
    </row>
    <row r="1336" spans="13:13">
      <c r="M1336" t="str">
        <f t="shared" si="31"/>
        <v/>
      </c>
    </row>
    <row r="1337" spans="13:13">
      <c r="M1337" t="str">
        <f t="shared" si="31"/>
        <v/>
      </c>
    </row>
    <row r="1338" spans="13:13">
      <c r="M1338" t="str">
        <f t="shared" si="31"/>
        <v/>
      </c>
    </row>
    <row r="1339" spans="13:13">
      <c r="M1339" t="str">
        <f t="shared" si="31"/>
        <v/>
      </c>
    </row>
    <row r="1340" spans="13:13">
      <c r="M1340" t="str">
        <f t="shared" si="31"/>
        <v/>
      </c>
    </row>
    <row r="1341" spans="13:13">
      <c r="M1341" t="str">
        <f t="shared" si="31"/>
        <v/>
      </c>
    </row>
    <row r="1342" spans="13:13">
      <c r="M1342" t="str">
        <f t="shared" si="31"/>
        <v/>
      </c>
    </row>
    <row r="1343" spans="13:13">
      <c r="M1343" t="str">
        <f t="shared" si="31"/>
        <v/>
      </c>
    </row>
    <row r="1344" spans="13:13">
      <c r="M1344" t="str">
        <f t="shared" si="31"/>
        <v/>
      </c>
    </row>
    <row r="1345" spans="13:13">
      <c r="M1345" t="str">
        <f t="shared" si="31"/>
        <v/>
      </c>
    </row>
    <row r="1346" spans="13:13">
      <c r="M1346" t="str">
        <f t="shared" si="31"/>
        <v/>
      </c>
    </row>
    <row r="1347" spans="13:13">
      <c r="M1347" t="str">
        <f t="shared" si="31"/>
        <v/>
      </c>
    </row>
    <row r="1348" spans="13:13">
      <c r="M1348" t="str">
        <f t="shared" si="31"/>
        <v/>
      </c>
    </row>
    <row r="1349" spans="13:13">
      <c r="M1349" t="str">
        <f t="shared" ref="M1349:M1412" si="32">IF(A1349="","", WEEKNUM(A1349, 2))</f>
        <v/>
      </c>
    </row>
    <row r="1350" spans="13:13">
      <c r="M1350" t="str">
        <f t="shared" si="32"/>
        <v/>
      </c>
    </row>
    <row r="1351" spans="13:13">
      <c r="M1351" t="str">
        <f t="shared" si="32"/>
        <v/>
      </c>
    </row>
    <row r="1352" spans="13:13">
      <c r="M1352" t="str">
        <f t="shared" si="32"/>
        <v/>
      </c>
    </row>
    <row r="1353" spans="13:13">
      <c r="M1353" t="str">
        <f t="shared" si="32"/>
        <v/>
      </c>
    </row>
    <row r="1354" spans="13:13">
      <c r="M1354" t="str">
        <f t="shared" si="32"/>
        <v/>
      </c>
    </row>
    <row r="1355" spans="13:13">
      <c r="M1355" t="str">
        <f t="shared" si="32"/>
        <v/>
      </c>
    </row>
    <row r="1356" spans="13:13">
      <c r="M1356" t="str">
        <f t="shared" si="32"/>
        <v/>
      </c>
    </row>
    <row r="1357" spans="13:13">
      <c r="M1357" t="str">
        <f t="shared" si="32"/>
        <v/>
      </c>
    </row>
    <row r="1358" spans="13:13">
      <c r="M1358" t="str">
        <f t="shared" si="32"/>
        <v/>
      </c>
    </row>
    <row r="1359" spans="13:13">
      <c r="M1359" t="str">
        <f t="shared" si="32"/>
        <v/>
      </c>
    </row>
    <row r="1360" spans="13:13">
      <c r="M1360" t="str">
        <f t="shared" si="32"/>
        <v/>
      </c>
    </row>
    <row r="1361" spans="13:13">
      <c r="M1361" t="str">
        <f t="shared" si="32"/>
        <v/>
      </c>
    </row>
    <row r="1362" spans="13:13">
      <c r="M1362" t="str">
        <f t="shared" si="32"/>
        <v/>
      </c>
    </row>
    <row r="1363" spans="13:13">
      <c r="M1363" t="str">
        <f t="shared" si="32"/>
        <v/>
      </c>
    </row>
    <row r="1364" spans="13:13">
      <c r="M1364" t="str">
        <f t="shared" si="32"/>
        <v/>
      </c>
    </row>
    <row r="1365" spans="13:13">
      <c r="M1365" t="str">
        <f t="shared" si="32"/>
        <v/>
      </c>
    </row>
    <row r="1366" spans="13:13">
      <c r="M1366" t="str">
        <f t="shared" si="32"/>
        <v/>
      </c>
    </row>
    <row r="1367" spans="13:13">
      <c r="M1367" t="str">
        <f t="shared" si="32"/>
        <v/>
      </c>
    </row>
    <row r="1368" spans="13:13">
      <c r="M1368" t="str">
        <f t="shared" si="32"/>
        <v/>
      </c>
    </row>
    <row r="1369" spans="13:13">
      <c r="M1369" t="str">
        <f t="shared" si="32"/>
        <v/>
      </c>
    </row>
    <row r="1370" spans="13:13">
      <c r="M1370" t="str">
        <f t="shared" si="32"/>
        <v/>
      </c>
    </row>
    <row r="1371" spans="13:13">
      <c r="M1371" t="str">
        <f t="shared" si="32"/>
        <v/>
      </c>
    </row>
    <row r="1372" spans="13:13">
      <c r="M1372" t="str">
        <f t="shared" si="32"/>
        <v/>
      </c>
    </row>
    <row r="1373" spans="13:13">
      <c r="M1373" t="str">
        <f t="shared" si="32"/>
        <v/>
      </c>
    </row>
    <row r="1374" spans="13:13">
      <c r="M1374" t="str">
        <f t="shared" si="32"/>
        <v/>
      </c>
    </row>
    <row r="1375" spans="13:13">
      <c r="M1375" t="str">
        <f t="shared" si="32"/>
        <v/>
      </c>
    </row>
    <row r="1376" spans="13:13">
      <c r="M1376" t="str">
        <f t="shared" si="32"/>
        <v/>
      </c>
    </row>
    <row r="1377" spans="13:13">
      <c r="M1377" t="str">
        <f t="shared" si="32"/>
        <v/>
      </c>
    </row>
    <row r="1378" spans="13:13">
      <c r="M1378" t="str">
        <f t="shared" si="32"/>
        <v/>
      </c>
    </row>
    <row r="1379" spans="13:13">
      <c r="M1379" t="str">
        <f t="shared" si="32"/>
        <v/>
      </c>
    </row>
    <row r="1380" spans="13:13">
      <c r="M1380" t="str">
        <f t="shared" si="32"/>
        <v/>
      </c>
    </row>
    <row r="1381" spans="13:13">
      <c r="M1381" t="str">
        <f t="shared" si="32"/>
        <v/>
      </c>
    </row>
    <row r="1382" spans="13:13">
      <c r="M1382" t="str">
        <f t="shared" si="32"/>
        <v/>
      </c>
    </row>
    <row r="1383" spans="13:13">
      <c r="M1383" t="str">
        <f t="shared" si="32"/>
        <v/>
      </c>
    </row>
    <row r="1384" spans="13:13">
      <c r="M1384" t="str">
        <f t="shared" si="32"/>
        <v/>
      </c>
    </row>
    <row r="1385" spans="13:13">
      <c r="M1385" t="str">
        <f t="shared" si="32"/>
        <v/>
      </c>
    </row>
    <row r="1386" spans="13:13">
      <c r="M1386" t="str">
        <f t="shared" si="32"/>
        <v/>
      </c>
    </row>
    <row r="1387" spans="13:13">
      <c r="M1387" t="str">
        <f t="shared" si="32"/>
        <v/>
      </c>
    </row>
    <row r="1388" spans="13:13">
      <c r="M1388" t="str">
        <f t="shared" si="32"/>
        <v/>
      </c>
    </row>
    <row r="1389" spans="13:13">
      <c r="M1389" t="str">
        <f t="shared" si="32"/>
        <v/>
      </c>
    </row>
    <row r="1390" spans="13:13">
      <c r="M1390" t="str">
        <f t="shared" si="32"/>
        <v/>
      </c>
    </row>
    <row r="1391" spans="13:13">
      <c r="M1391" t="str">
        <f t="shared" si="32"/>
        <v/>
      </c>
    </row>
    <row r="1392" spans="13:13">
      <c r="M1392" t="str">
        <f t="shared" si="32"/>
        <v/>
      </c>
    </row>
    <row r="1393" spans="13:13">
      <c r="M1393" t="str">
        <f t="shared" si="32"/>
        <v/>
      </c>
    </row>
    <row r="1394" spans="13:13">
      <c r="M1394" t="str">
        <f t="shared" si="32"/>
        <v/>
      </c>
    </row>
    <row r="1395" spans="13:13">
      <c r="M1395" t="str">
        <f t="shared" si="32"/>
        <v/>
      </c>
    </row>
    <row r="1396" spans="13:13">
      <c r="M1396" t="str">
        <f t="shared" si="32"/>
        <v/>
      </c>
    </row>
    <row r="1397" spans="13:13">
      <c r="M1397" t="str">
        <f t="shared" si="32"/>
        <v/>
      </c>
    </row>
    <row r="1398" spans="13:13">
      <c r="M1398" t="str">
        <f t="shared" si="32"/>
        <v/>
      </c>
    </row>
    <row r="1399" spans="13:13">
      <c r="M1399" t="str">
        <f t="shared" si="32"/>
        <v/>
      </c>
    </row>
    <row r="1400" spans="13:13">
      <c r="M1400" t="str">
        <f t="shared" si="32"/>
        <v/>
      </c>
    </row>
    <row r="1401" spans="13:13">
      <c r="M1401" t="str">
        <f t="shared" si="32"/>
        <v/>
      </c>
    </row>
    <row r="1402" spans="13:13">
      <c r="M1402" t="str">
        <f t="shared" si="32"/>
        <v/>
      </c>
    </row>
    <row r="1403" spans="13:13">
      <c r="M1403" t="str">
        <f t="shared" si="32"/>
        <v/>
      </c>
    </row>
    <row r="1404" spans="13:13">
      <c r="M1404" t="str">
        <f t="shared" si="32"/>
        <v/>
      </c>
    </row>
    <row r="1405" spans="13:13">
      <c r="M1405" t="str">
        <f t="shared" si="32"/>
        <v/>
      </c>
    </row>
    <row r="1406" spans="13:13">
      <c r="M1406" t="str">
        <f t="shared" si="32"/>
        <v/>
      </c>
    </row>
    <row r="1407" spans="13:13">
      <c r="M1407" t="str">
        <f t="shared" si="32"/>
        <v/>
      </c>
    </row>
    <row r="1408" spans="13:13">
      <c r="M1408" t="str">
        <f t="shared" si="32"/>
        <v/>
      </c>
    </row>
    <row r="1409" spans="13:13">
      <c r="M1409" t="str">
        <f t="shared" si="32"/>
        <v/>
      </c>
    </row>
    <row r="1410" spans="13:13">
      <c r="M1410" t="str">
        <f t="shared" si="32"/>
        <v/>
      </c>
    </row>
    <row r="1411" spans="13:13">
      <c r="M1411" t="str">
        <f t="shared" si="32"/>
        <v/>
      </c>
    </row>
    <row r="1412" spans="13:13">
      <c r="M1412" t="str">
        <f t="shared" si="32"/>
        <v/>
      </c>
    </row>
    <row r="1413" spans="13:13">
      <c r="M1413" t="str">
        <f t="shared" ref="M1413:M1476" si="33">IF(A1413="","", WEEKNUM(A1413, 2))</f>
        <v/>
      </c>
    </row>
    <row r="1414" spans="13:13">
      <c r="M1414" t="str">
        <f t="shared" si="33"/>
        <v/>
      </c>
    </row>
    <row r="1415" spans="13:13">
      <c r="M1415" t="str">
        <f t="shared" si="33"/>
        <v/>
      </c>
    </row>
    <row r="1416" spans="13:13">
      <c r="M1416" t="str">
        <f t="shared" si="33"/>
        <v/>
      </c>
    </row>
    <row r="1417" spans="13:13">
      <c r="M1417" t="str">
        <f t="shared" si="33"/>
        <v/>
      </c>
    </row>
    <row r="1418" spans="13:13">
      <c r="M1418" t="str">
        <f t="shared" si="33"/>
        <v/>
      </c>
    </row>
    <row r="1419" spans="13:13">
      <c r="M1419" t="str">
        <f t="shared" si="33"/>
        <v/>
      </c>
    </row>
    <row r="1420" spans="13:13">
      <c r="M1420" t="str">
        <f t="shared" si="33"/>
        <v/>
      </c>
    </row>
    <row r="1421" spans="13:13">
      <c r="M1421" t="str">
        <f t="shared" si="33"/>
        <v/>
      </c>
    </row>
    <row r="1422" spans="13:13">
      <c r="M1422" t="str">
        <f t="shared" si="33"/>
        <v/>
      </c>
    </row>
    <row r="1423" spans="13:13">
      <c r="M1423" t="str">
        <f t="shared" si="33"/>
        <v/>
      </c>
    </row>
    <row r="1424" spans="13:13">
      <c r="M1424" t="str">
        <f t="shared" si="33"/>
        <v/>
      </c>
    </row>
    <row r="1425" spans="13:13">
      <c r="M1425" t="str">
        <f t="shared" si="33"/>
        <v/>
      </c>
    </row>
    <row r="1426" spans="13:13">
      <c r="M1426" t="str">
        <f t="shared" si="33"/>
        <v/>
      </c>
    </row>
    <row r="1427" spans="13:13">
      <c r="M1427" t="str">
        <f t="shared" si="33"/>
        <v/>
      </c>
    </row>
    <row r="1428" spans="13:13">
      <c r="M1428" t="str">
        <f t="shared" si="33"/>
        <v/>
      </c>
    </row>
    <row r="1429" spans="13:13">
      <c r="M1429" t="str">
        <f t="shared" si="33"/>
        <v/>
      </c>
    </row>
    <row r="1430" spans="13:13">
      <c r="M1430" t="str">
        <f t="shared" si="33"/>
        <v/>
      </c>
    </row>
    <row r="1431" spans="13:13">
      <c r="M1431" t="str">
        <f t="shared" si="33"/>
        <v/>
      </c>
    </row>
    <row r="1432" spans="13:13">
      <c r="M1432" t="str">
        <f t="shared" si="33"/>
        <v/>
      </c>
    </row>
    <row r="1433" spans="13:13">
      <c r="M1433" t="str">
        <f t="shared" si="33"/>
        <v/>
      </c>
    </row>
    <row r="1434" spans="13:13">
      <c r="M1434" t="str">
        <f t="shared" si="33"/>
        <v/>
      </c>
    </row>
    <row r="1435" spans="13:13">
      <c r="M1435" t="str">
        <f t="shared" si="33"/>
        <v/>
      </c>
    </row>
    <row r="1436" spans="13:13">
      <c r="M1436" t="str">
        <f t="shared" si="33"/>
        <v/>
      </c>
    </row>
    <row r="1437" spans="13:13">
      <c r="M1437" t="str">
        <f t="shared" si="33"/>
        <v/>
      </c>
    </row>
    <row r="1438" spans="13:13">
      <c r="M1438" t="str">
        <f t="shared" si="33"/>
        <v/>
      </c>
    </row>
    <row r="1439" spans="13:13">
      <c r="M1439" t="str">
        <f t="shared" si="33"/>
        <v/>
      </c>
    </row>
    <row r="1440" spans="13:13">
      <c r="M1440" t="str">
        <f t="shared" si="33"/>
        <v/>
      </c>
    </row>
    <row r="1441" spans="13:13">
      <c r="M1441" t="str">
        <f t="shared" si="33"/>
        <v/>
      </c>
    </row>
    <row r="1442" spans="13:13">
      <c r="M1442" t="str">
        <f t="shared" si="33"/>
        <v/>
      </c>
    </row>
    <row r="1443" spans="13:13">
      <c r="M1443" t="str">
        <f t="shared" si="33"/>
        <v/>
      </c>
    </row>
    <row r="1444" spans="13:13">
      <c r="M1444" t="str">
        <f t="shared" si="33"/>
        <v/>
      </c>
    </row>
    <row r="1445" spans="13:13">
      <c r="M1445" t="str">
        <f t="shared" si="33"/>
        <v/>
      </c>
    </row>
    <row r="1446" spans="13:13">
      <c r="M1446" t="str">
        <f t="shared" si="33"/>
        <v/>
      </c>
    </row>
    <row r="1447" spans="13:13">
      <c r="M1447" t="str">
        <f t="shared" si="33"/>
        <v/>
      </c>
    </row>
    <row r="1448" spans="13:13">
      <c r="M1448" t="str">
        <f t="shared" si="33"/>
        <v/>
      </c>
    </row>
    <row r="1449" spans="13:13">
      <c r="M1449" t="str">
        <f t="shared" si="33"/>
        <v/>
      </c>
    </row>
    <row r="1450" spans="13:13">
      <c r="M1450" t="str">
        <f t="shared" si="33"/>
        <v/>
      </c>
    </row>
    <row r="1451" spans="13:13">
      <c r="M1451" t="str">
        <f t="shared" si="33"/>
        <v/>
      </c>
    </row>
    <row r="1452" spans="13:13">
      <c r="M1452" t="str">
        <f t="shared" si="33"/>
        <v/>
      </c>
    </row>
    <row r="1453" spans="13:13">
      <c r="M1453" t="str">
        <f t="shared" si="33"/>
        <v/>
      </c>
    </row>
    <row r="1454" spans="13:13">
      <c r="M1454" t="str">
        <f t="shared" si="33"/>
        <v/>
      </c>
    </row>
    <row r="1455" spans="13:13">
      <c r="M1455" t="str">
        <f t="shared" si="33"/>
        <v/>
      </c>
    </row>
    <row r="1456" spans="13:13">
      <c r="M1456" t="str">
        <f t="shared" si="33"/>
        <v/>
      </c>
    </row>
    <row r="1457" spans="13:13">
      <c r="M1457" t="str">
        <f t="shared" si="33"/>
        <v/>
      </c>
    </row>
    <row r="1458" spans="13:13">
      <c r="M1458" t="str">
        <f t="shared" si="33"/>
        <v/>
      </c>
    </row>
    <row r="1459" spans="13:13">
      <c r="M1459" t="str">
        <f t="shared" si="33"/>
        <v/>
      </c>
    </row>
    <row r="1460" spans="13:13">
      <c r="M1460" t="str">
        <f t="shared" si="33"/>
        <v/>
      </c>
    </row>
    <row r="1461" spans="13:13">
      <c r="M1461" t="str">
        <f t="shared" si="33"/>
        <v/>
      </c>
    </row>
    <row r="1462" spans="13:13">
      <c r="M1462" t="str">
        <f t="shared" si="33"/>
        <v/>
      </c>
    </row>
    <row r="1463" spans="13:13">
      <c r="M1463" t="str">
        <f t="shared" si="33"/>
        <v/>
      </c>
    </row>
    <row r="1464" spans="13:13">
      <c r="M1464" t="str">
        <f t="shared" si="33"/>
        <v/>
      </c>
    </row>
    <row r="1465" spans="13:13">
      <c r="M1465" t="str">
        <f t="shared" si="33"/>
        <v/>
      </c>
    </row>
    <row r="1466" spans="13:13">
      <c r="M1466" t="str">
        <f t="shared" si="33"/>
        <v/>
      </c>
    </row>
    <row r="1467" spans="13:13">
      <c r="M1467" t="str">
        <f t="shared" si="33"/>
        <v/>
      </c>
    </row>
    <row r="1468" spans="13:13">
      <c r="M1468" t="str">
        <f t="shared" si="33"/>
        <v/>
      </c>
    </row>
    <row r="1469" spans="13:13">
      <c r="M1469" t="str">
        <f t="shared" si="33"/>
        <v/>
      </c>
    </row>
    <row r="1470" spans="13:13">
      <c r="M1470" t="str">
        <f t="shared" si="33"/>
        <v/>
      </c>
    </row>
    <row r="1471" spans="13:13">
      <c r="M1471" t="str">
        <f t="shared" si="33"/>
        <v/>
      </c>
    </row>
    <row r="1472" spans="13:13">
      <c r="M1472" t="str">
        <f t="shared" si="33"/>
        <v/>
      </c>
    </row>
    <row r="1473" spans="13:13">
      <c r="M1473" t="str">
        <f t="shared" si="33"/>
        <v/>
      </c>
    </row>
    <row r="1474" spans="13:13">
      <c r="M1474" t="str">
        <f t="shared" si="33"/>
        <v/>
      </c>
    </row>
    <row r="1475" spans="13:13">
      <c r="M1475" t="str">
        <f t="shared" si="33"/>
        <v/>
      </c>
    </row>
    <row r="1476" spans="13:13">
      <c r="M1476" t="str">
        <f t="shared" si="33"/>
        <v/>
      </c>
    </row>
    <row r="1477" spans="13:13">
      <c r="M1477" t="str">
        <f t="shared" ref="M1477:M1540" si="34">IF(A1477="","", WEEKNUM(A1477, 2))</f>
        <v/>
      </c>
    </row>
    <row r="1478" spans="13:13">
      <c r="M1478" t="str">
        <f t="shared" si="34"/>
        <v/>
      </c>
    </row>
    <row r="1479" spans="13:13">
      <c r="M1479" t="str">
        <f t="shared" si="34"/>
        <v/>
      </c>
    </row>
    <row r="1480" spans="13:13">
      <c r="M1480" t="str">
        <f t="shared" si="34"/>
        <v/>
      </c>
    </row>
    <row r="1481" spans="13:13">
      <c r="M1481" t="str">
        <f t="shared" si="34"/>
        <v/>
      </c>
    </row>
    <row r="1482" spans="13:13">
      <c r="M1482" t="str">
        <f t="shared" si="34"/>
        <v/>
      </c>
    </row>
    <row r="1483" spans="13:13">
      <c r="M1483" t="str">
        <f t="shared" si="34"/>
        <v/>
      </c>
    </row>
    <row r="1484" spans="13:13">
      <c r="M1484" t="str">
        <f t="shared" si="34"/>
        <v/>
      </c>
    </row>
    <row r="1485" spans="13:13">
      <c r="M1485" t="str">
        <f t="shared" si="34"/>
        <v/>
      </c>
    </row>
    <row r="1486" spans="13:13">
      <c r="M1486" t="str">
        <f t="shared" si="34"/>
        <v/>
      </c>
    </row>
    <row r="1487" spans="13:13">
      <c r="M1487" t="str">
        <f t="shared" si="34"/>
        <v/>
      </c>
    </row>
    <row r="1488" spans="13:13">
      <c r="M1488" t="str">
        <f t="shared" si="34"/>
        <v/>
      </c>
    </row>
    <row r="1489" spans="13:13">
      <c r="M1489" t="str">
        <f t="shared" si="34"/>
        <v/>
      </c>
    </row>
    <row r="1490" spans="13:13">
      <c r="M1490" t="str">
        <f t="shared" si="34"/>
        <v/>
      </c>
    </row>
    <row r="1491" spans="13:13">
      <c r="M1491" t="str">
        <f t="shared" si="34"/>
        <v/>
      </c>
    </row>
    <row r="1492" spans="13:13">
      <c r="M1492" t="str">
        <f t="shared" si="34"/>
        <v/>
      </c>
    </row>
    <row r="1493" spans="13:13">
      <c r="M1493" t="str">
        <f t="shared" si="34"/>
        <v/>
      </c>
    </row>
    <row r="1494" spans="13:13">
      <c r="M1494" t="str">
        <f t="shared" si="34"/>
        <v/>
      </c>
    </row>
    <row r="1495" spans="13:13">
      <c r="M1495" t="str">
        <f t="shared" si="34"/>
        <v/>
      </c>
    </row>
    <row r="1496" spans="13:13">
      <c r="M1496" t="str">
        <f t="shared" si="34"/>
        <v/>
      </c>
    </row>
    <row r="1497" spans="13:13">
      <c r="M1497" t="str">
        <f t="shared" si="34"/>
        <v/>
      </c>
    </row>
    <row r="1498" spans="13:13">
      <c r="M1498" t="str">
        <f t="shared" si="34"/>
        <v/>
      </c>
    </row>
    <row r="1499" spans="13:13">
      <c r="M1499" t="str">
        <f t="shared" si="34"/>
        <v/>
      </c>
    </row>
    <row r="1500" spans="13:13">
      <c r="M1500" t="str">
        <f t="shared" si="34"/>
        <v/>
      </c>
    </row>
    <row r="1501" spans="13:13">
      <c r="M1501" t="str">
        <f t="shared" si="34"/>
        <v/>
      </c>
    </row>
    <row r="1502" spans="13:13">
      <c r="M1502" t="str">
        <f t="shared" si="34"/>
        <v/>
      </c>
    </row>
    <row r="1503" spans="13:13">
      <c r="M1503" t="str">
        <f t="shared" si="34"/>
        <v/>
      </c>
    </row>
    <row r="1504" spans="13:13">
      <c r="M1504" t="str">
        <f t="shared" si="34"/>
        <v/>
      </c>
    </row>
    <row r="1505" spans="13:13">
      <c r="M1505" t="str">
        <f t="shared" si="34"/>
        <v/>
      </c>
    </row>
    <row r="1506" spans="13:13">
      <c r="M1506" t="str">
        <f t="shared" si="34"/>
        <v/>
      </c>
    </row>
    <row r="1507" spans="13:13">
      <c r="M1507" t="str">
        <f t="shared" si="34"/>
        <v/>
      </c>
    </row>
    <row r="1508" spans="13:13">
      <c r="M1508" t="str">
        <f t="shared" si="34"/>
        <v/>
      </c>
    </row>
    <row r="1509" spans="13:13">
      <c r="M1509" t="str">
        <f t="shared" si="34"/>
        <v/>
      </c>
    </row>
    <row r="1510" spans="13:13">
      <c r="M1510" t="str">
        <f t="shared" si="34"/>
        <v/>
      </c>
    </row>
    <row r="1511" spans="13:13">
      <c r="M1511" t="str">
        <f t="shared" si="34"/>
        <v/>
      </c>
    </row>
    <row r="1512" spans="13:13">
      <c r="M1512" t="str">
        <f t="shared" si="34"/>
        <v/>
      </c>
    </row>
    <row r="1513" spans="13:13">
      <c r="M1513" t="str">
        <f t="shared" si="34"/>
        <v/>
      </c>
    </row>
    <row r="1514" spans="13:13">
      <c r="M1514" t="str">
        <f t="shared" si="34"/>
        <v/>
      </c>
    </row>
    <row r="1515" spans="13:13">
      <c r="M1515" t="str">
        <f t="shared" si="34"/>
        <v/>
      </c>
    </row>
    <row r="1516" spans="13:13">
      <c r="M1516" t="str">
        <f t="shared" si="34"/>
        <v/>
      </c>
    </row>
    <row r="1517" spans="13:13">
      <c r="M1517" t="str">
        <f t="shared" si="34"/>
        <v/>
      </c>
    </row>
    <row r="1518" spans="13:13">
      <c r="M1518" t="str">
        <f t="shared" si="34"/>
        <v/>
      </c>
    </row>
    <row r="1519" spans="13:13">
      <c r="M1519" t="str">
        <f t="shared" si="34"/>
        <v/>
      </c>
    </row>
    <row r="1520" spans="13:13">
      <c r="M1520" t="str">
        <f t="shared" si="34"/>
        <v/>
      </c>
    </row>
    <row r="1521" spans="13:13">
      <c r="M1521" t="str">
        <f t="shared" si="34"/>
        <v/>
      </c>
    </row>
    <row r="1522" spans="13:13">
      <c r="M1522" t="str">
        <f t="shared" si="34"/>
        <v/>
      </c>
    </row>
    <row r="1523" spans="13:13">
      <c r="M1523" t="str">
        <f t="shared" si="34"/>
        <v/>
      </c>
    </row>
    <row r="1524" spans="13:13">
      <c r="M1524" t="str">
        <f t="shared" si="34"/>
        <v/>
      </c>
    </row>
    <row r="1525" spans="13:13">
      <c r="M1525" t="str">
        <f t="shared" si="34"/>
        <v/>
      </c>
    </row>
    <row r="1526" spans="13:13">
      <c r="M1526" t="str">
        <f t="shared" si="34"/>
        <v/>
      </c>
    </row>
    <row r="1527" spans="13:13">
      <c r="M1527" t="str">
        <f t="shared" si="34"/>
        <v/>
      </c>
    </row>
    <row r="1528" spans="13:13">
      <c r="M1528" t="str">
        <f t="shared" si="34"/>
        <v/>
      </c>
    </row>
    <row r="1529" spans="13:13">
      <c r="M1529" t="str">
        <f t="shared" si="34"/>
        <v/>
      </c>
    </row>
    <row r="1530" spans="13:13">
      <c r="M1530" t="str">
        <f t="shared" si="34"/>
        <v/>
      </c>
    </row>
    <row r="1531" spans="13:13">
      <c r="M1531" t="str">
        <f t="shared" si="34"/>
        <v/>
      </c>
    </row>
    <row r="1532" spans="13:13">
      <c r="M1532" t="str">
        <f t="shared" si="34"/>
        <v/>
      </c>
    </row>
    <row r="1533" spans="13:13">
      <c r="M1533" t="str">
        <f t="shared" si="34"/>
        <v/>
      </c>
    </row>
    <row r="1534" spans="13:13">
      <c r="M1534" t="str">
        <f t="shared" si="34"/>
        <v/>
      </c>
    </row>
    <row r="1535" spans="13:13">
      <c r="M1535" t="str">
        <f t="shared" si="34"/>
        <v/>
      </c>
    </row>
    <row r="1536" spans="13:13">
      <c r="M1536" t="str">
        <f t="shared" si="34"/>
        <v/>
      </c>
    </row>
    <row r="1537" spans="13:13">
      <c r="M1537" t="str">
        <f t="shared" si="34"/>
        <v/>
      </c>
    </row>
    <row r="1538" spans="13:13">
      <c r="M1538" t="str">
        <f t="shared" si="34"/>
        <v/>
      </c>
    </row>
    <row r="1539" spans="13:13">
      <c r="M1539" t="str">
        <f t="shared" si="34"/>
        <v/>
      </c>
    </row>
    <row r="1540" spans="13:13">
      <c r="M1540" t="str">
        <f t="shared" si="34"/>
        <v/>
      </c>
    </row>
    <row r="1541" spans="13:13">
      <c r="M1541" t="str">
        <f t="shared" ref="M1541:M1604" si="35">IF(A1541="","", WEEKNUM(A1541, 2))</f>
        <v/>
      </c>
    </row>
    <row r="1542" spans="13:13">
      <c r="M1542" t="str">
        <f t="shared" si="35"/>
        <v/>
      </c>
    </row>
    <row r="1543" spans="13:13">
      <c r="M1543" t="str">
        <f t="shared" si="35"/>
        <v/>
      </c>
    </row>
    <row r="1544" spans="13:13">
      <c r="M1544" t="str">
        <f t="shared" si="35"/>
        <v/>
      </c>
    </row>
    <row r="1545" spans="13:13">
      <c r="M1545" t="str">
        <f t="shared" si="35"/>
        <v/>
      </c>
    </row>
    <row r="1546" spans="13:13">
      <c r="M1546" t="str">
        <f t="shared" si="35"/>
        <v/>
      </c>
    </row>
    <row r="1547" spans="13:13">
      <c r="M1547" t="str">
        <f t="shared" si="35"/>
        <v/>
      </c>
    </row>
    <row r="1548" spans="13:13">
      <c r="M1548" t="str">
        <f t="shared" si="35"/>
        <v/>
      </c>
    </row>
    <row r="1549" spans="13:13">
      <c r="M1549" t="str">
        <f t="shared" si="35"/>
        <v/>
      </c>
    </row>
    <row r="1550" spans="13:13">
      <c r="M1550" t="str">
        <f t="shared" si="35"/>
        <v/>
      </c>
    </row>
    <row r="1551" spans="13:13">
      <c r="M1551" t="str">
        <f t="shared" si="35"/>
        <v/>
      </c>
    </row>
    <row r="1552" spans="13:13">
      <c r="M1552" t="str">
        <f t="shared" si="35"/>
        <v/>
      </c>
    </row>
    <row r="1553" spans="13:13">
      <c r="M1553" t="str">
        <f t="shared" si="35"/>
        <v/>
      </c>
    </row>
    <row r="1554" spans="13:13">
      <c r="M1554" t="str">
        <f t="shared" si="35"/>
        <v/>
      </c>
    </row>
    <row r="1555" spans="13:13">
      <c r="M1555" t="str">
        <f t="shared" si="35"/>
        <v/>
      </c>
    </row>
    <row r="1556" spans="13:13">
      <c r="M1556" t="str">
        <f t="shared" si="35"/>
        <v/>
      </c>
    </row>
    <row r="1557" spans="13:13">
      <c r="M1557" t="str">
        <f t="shared" si="35"/>
        <v/>
      </c>
    </row>
    <row r="1558" spans="13:13">
      <c r="M1558" t="str">
        <f t="shared" si="35"/>
        <v/>
      </c>
    </row>
    <row r="1559" spans="13:13">
      <c r="M1559" t="str">
        <f t="shared" si="35"/>
        <v/>
      </c>
    </row>
    <row r="1560" spans="13:13">
      <c r="M1560" t="str">
        <f t="shared" si="35"/>
        <v/>
      </c>
    </row>
    <row r="1561" spans="13:13">
      <c r="M1561" t="str">
        <f t="shared" si="35"/>
        <v/>
      </c>
    </row>
    <row r="1562" spans="13:13">
      <c r="M1562" t="str">
        <f t="shared" si="35"/>
        <v/>
      </c>
    </row>
    <row r="1563" spans="13:13">
      <c r="M1563" t="str">
        <f t="shared" si="35"/>
        <v/>
      </c>
    </row>
    <row r="1564" spans="13:13">
      <c r="M1564" t="str">
        <f t="shared" si="35"/>
        <v/>
      </c>
    </row>
    <row r="1565" spans="13:13">
      <c r="M1565" t="str">
        <f t="shared" si="35"/>
        <v/>
      </c>
    </row>
    <row r="1566" spans="13:13">
      <c r="M1566" t="str">
        <f t="shared" si="35"/>
        <v/>
      </c>
    </row>
    <row r="1567" spans="13:13">
      <c r="M1567" t="str">
        <f t="shared" si="35"/>
        <v/>
      </c>
    </row>
    <row r="1568" spans="13:13">
      <c r="M1568" t="str">
        <f t="shared" si="35"/>
        <v/>
      </c>
    </row>
    <row r="1569" spans="13:13">
      <c r="M1569" t="str">
        <f t="shared" si="35"/>
        <v/>
      </c>
    </row>
    <row r="1570" spans="13:13">
      <c r="M1570" t="str">
        <f t="shared" si="35"/>
        <v/>
      </c>
    </row>
    <row r="1571" spans="13:13">
      <c r="M1571" t="str">
        <f t="shared" si="35"/>
        <v/>
      </c>
    </row>
    <row r="1572" spans="13:13">
      <c r="M1572" t="str">
        <f t="shared" si="35"/>
        <v/>
      </c>
    </row>
    <row r="1573" spans="13:13">
      <c r="M1573" t="str">
        <f t="shared" si="35"/>
        <v/>
      </c>
    </row>
    <row r="1574" spans="13:13">
      <c r="M1574" t="str">
        <f t="shared" si="35"/>
        <v/>
      </c>
    </row>
    <row r="1575" spans="13:13">
      <c r="M1575" t="str">
        <f t="shared" si="35"/>
        <v/>
      </c>
    </row>
    <row r="1576" spans="13:13">
      <c r="M1576" t="str">
        <f t="shared" si="35"/>
        <v/>
      </c>
    </row>
    <row r="1577" spans="13:13">
      <c r="M1577" t="str">
        <f t="shared" si="35"/>
        <v/>
      </c>
    </row>
    <row r="1578" spans="13:13">
      <c r="M1578" t="str">
        <f t="shared" si="35"/>
        <v/>
      </c>
    </row>
    <row r="1579" spans="13:13">
      <c r="M1579" t="str">
        <f t="shared" si="35"/>
        <v/>
      </c>
    </row>
    <row r="1580" spans="13:13">
      <c r="M1580" t="str">
        <f t="shared" si="35"/>
        <v/>
      </c>
    </row>
    <row r="1581" spans="13:13">
      <c r="M1581" t="str">
        <f t="shared" si="35"/>
        <v/>
      </c>
    </row>
    <row r="1582" spans="13:13">
      <c r="M1582" t="str">
        <f t="shared" si="35"/>
        <v/>
      </c>
    </row>
    <row r="1583" spans="13:13">
      <c r="M1583" t="str">
        <f t="shared" si="35"/>
        <v/>
      </c>
    </row>
    <row r="1584" spans="13:13">
      <c r="M1584" t="str">
        <f t="shared" si="35"/>
        <v/>
      </c>
    </row>
    <row r="1585" spans="13:13">
      <c r="M1585" t="str">
        <f t="shared" si="35"/>
        <v/>
      </c>
    </row>
    <row r="1586" spans="13:13">
      <c r="M1586" t="str">
        <f t="shared" si="35"/>
        <v/>
      </c>
    </row>
    <row r="1587" spans="13:13">
      <c r="M1587" t="str">
        <f t="shared" si="35"/>
        <v/>
      </c>
    </row>
    <row r="1588" spans="13:13">
      <c r="M1588" t="str">
        <f t="shared" si="35"/>
        <v/>
      </c>
    </row>
    <row r="1589" spans="13:13">
      <c r="M1589" t="str">
        <f t="shared" si="35"/>
        <v/>
      </c>
    </row>
    <row r="1590" spans="13:13">
      <c r="M1590" t="str">
        <f t="shared" si="35"/>
        <v/>
      </c>
    </row>
    <row r="1591" spans="13:13">
      <c r="M1591" t="str">
        <f t="shared" si="35"/>
        <v/>
      </c>
    </row>
    <row r="1592" spans="13:13">
      <c r="M1592" t="str">
        <f t="shared" si="35"/>
        <v/>
      </c>
    </row>
    <row r="1593" spans="13:13">
      <c r="M1593" t="str">
        <f t="shared" si="35"/>
        <v/>
      </c>
    </row>
    <row r="1594" spans="13:13">
      <c r="M1594" t="str">
        <f t="shared" si="35"/>
        <v/>
      </c>
    </row>
    <row r="1595" spans="13:13">
      <c r="M1595" t="str">
        <f t="shared" si="35"/>
        <v/>
      </c>
    </row>
    <row r="1596" spans="13:13">
      <c r="M1596" t="str">
        <f t="shared" si="35"/>
        <v/>
      </c>
    </row>
    <row r="1597" spans="13:13">
      <c r="M1597" t="str">
        <f t="shared" si="35"/>
        <v/>
      </c>
    </row>
    <row r="1598" spans="13:13">
      <c r="M1598" t="str">
        <f t="shared" si="35"/>
        <v/>
      </c>
    </row>
    <row r="1599" spans="13:13">
      <c r="M1599" t="str">
        <f t="shared" si="35"/>
        <v/>
      </c>
    </row>
    <row r="1600" spans="13:13">
      <c r="M1600" t="str">
        <f t="shared" si="35"/>
        <v/>
      </c>
    </row>
    <row r="1601" spans="13:13">
      <c r="M1601" t="str">
        <f t="shared" si="35"/>
        <v/>
      </c>
    </row>
    <row r="1602" spans="13:13">
      <c r="M1602" t="str">
        <f t="shared" si="35"/>
        <v/>
      </c>
    </row>
    <row r="1603" spans="13:13">
      <c r="M1603" t="str">
        <f t="shared" si="35"/>
        <v/>
      </c>
    </row>
    <row r="1604" spans="13:13">
      <c r="M1604" t="str">
        <f t="shared" si="35"/>
        <v/>
      </c>
    </row>
    <row r="1605" spans="13:13">
      <c r="M1605" t="str">
        <f t="shared" ref="M1605:M1668" si="36">IF(A1605="","", WEEKNUM(A1605, 2))</f>
        <v/>
      </c>
    </row>
    <row r="1606" spans="13:13">
      <c r="M1606" t="str">
        <f t="shared" si="36"/>
        <v/>
      </c>
    </row>
    <row r="1607" spans="13:13">
      <c r="M1607" t="str">
        <f t="shared" si="36"/>
        <v/>
      </c>
    </row>
    <row r="1608" spans="13:13">
      <c r="M1608" t="str">
        <f t="shared" si="36"/>
        <v/>
      </c>
    </row>
    <row r="1609" spans="13:13">
      <c r="M1609" t="str">
        <f t="shared" si="36"/>
        <v/>
      </c>
    </row>
    <row r="1610" spans="13:13">
      <c r="M1610" t="str">
        <f t="shared" si="36"/>
        <v/>
      </c>
    </row>
    <row r="1611" spans="13:13">
      <c r="M1611" t="str">
        <f t="shared" si="36"/>
        <v/>
      </c>
    </row>
    <row r="1612" spans="13:13">
      <c r="M1612" t="str">
        <f t="shared" si="36"/>
        <v/>
      </c>
    </row>
    <row r="1613" spans="13:13">
      <c r="M1613" t="str">
        <f t="shared" si="36"/>
        <v/>
      </c>
    </row>
    <row r="1614" spans="13:13">
      <c r="M1614" t="str">
        <f t="shared" si="36"/>
        <v/>
      </c>
    </row>
    <row r="1615" spans="13:13">
      <c r="M1615" t="str">
        <f t="shared" si="36"/>
        <v/>
      </c>
    </row>
    <row r="1616" spans="13:13">
      <c r="M1616" t="str">
        <f t="shared" si="36"/>
        <v/>
      </c>
    </row>
    <row r="1617" spans="13:13">
      <c r="M1617" t="str">
        <f t="shared" si="36"/>
        <v/>
      </c>
    </row>
    <row r="1618" spans="13:13">
      <c r="M1618" t="str">
        <f t="shared" si="36"/>
        <v/>
      </c>
    </row>
    <row r="1619" spans="13:13">
      <c r="M1619" t="str">
        <f t="shared" si="36"/>
        <v/>
      </c>
    </row>
    <row r="1620" spans="13:13">
      <c r="M1620" t="str">
        <f t="shared" si="36"/>
        <v/>
      </c>
    </row>
    <row r="1621" spans="13:13">
      <c r="M1621" t="str">
        <f t="shared" si="36"/>
        <v/>
      </c>
    </row>
    <row r="1622" spans="13:13">
      <c r="M1622" t="str">
        <f t="shared" si="36"/>
        <v/>
      </c>
    </row>
    <row r="1623" spans="13:13">
      <c r="M1623" t="str">
        <f t="shared" si="36"/>
        <v/>
      </c>
    </row>
    <row r="1624" spans="13:13">
      <c r="M1624" t="str">
        <f t="shared" si="36"/>
        <v/>
      </c>
    </row>
    <row r="1625" spans="13:13">
      <c r="M1625" t="str">
        <f t="shared" si="36"/>
        <v/>
      </c>
    </row>
    <row r="1626" spans="13:13">
      <c r="M1626" t="str">
        <f t="shared" si="36"/>
        <v/>
      </c>
    </row>
    <row r="1627" spans="13:13">
      <c r="M1627" t="str">
        <f t="shared" si="36"/>
        <v/>
      </c>
    </row>
    <row r="1628" spans="13:13">
      <c r="M1628" t="str">
        <f t="shared" si="36"/>
        <v/>
      </c>
    </row>
    <row r="1629" spans="13:13">
      <c r="M1629" t="str">
        <f t="shared" si="36"/>
        <v/>
      </c>
    </row>
    <row r="1630" spans="13:13">
      <c r="M1630" t="str">
        <f t="shared" si="36"/>
        <v/>
      </c>
    </row>
    <row r="1631" spans="13:13">
      <c r="M1631" t="str">
        <f t="shared" si="36"/>
        <v/>
      </c>
    </row>
    <row r="1632" spans="13:13">
      <c r="M1632" t="str">
        <f t="shared" si="36"/>
        <v/>
      </c>
    </row>
    <row r="1633" spans="13:13">
      <c r="M1633" t="str">
        <f t="shared" si="36"/>
        <v/>
      </c>
    </row>
    <row r="1634" spans="13:13">
      <c r="M1634" t="str">
        <f t="shared" si="36"/>
        <v/>
      </c>
    </row>
    <row r="1635" spans="13:13">
      <c r="M1635" t="str">
        <f t="shared" si="36"/>
        <v/>
      </c>
    </row>
    <row r="1636" spans="13:13">
      <c r="M1636" t="str">
        <f t="shared" si="36"/>
        <v/>
      </c>
    </row>
    <row r="1637" spans="13:13">
      <c r="M1637" t="str">
        <f t="shared" si="36"/>
        <v/>
      </c>
    </row>
    <row r="1638" spans="13:13">
      <c r="M1638" t="str">
        <f t="shared" si="36"/>
        <v/>
      </c>
    </row>
    <row r="1639" spans="13:13">
      <c r="M1639" t="str">
        <f t="shared" si="36"/>
        <v/>
      </c>
    </row>
    <row r="1640" spans="13:13">
      <c r="M1640" t="str">
        <f t="shared" si="36"/>
        <v/>
      </c>
    </row>
    <row r="1641" spans="13:13">
      <c r="M1641" t="str">
        <f t="shared" si="36"/>
        <v/>
      </c>
    </row>
    <row r="1642" spans="13:13">
      <c r="M1642" t="str">
        <f t="shared" si="36"/>
        <v/>
      </c>
    </row>
    <row r="1643" spans="13:13">
      <c r="M1643" t="str">
        <f t="shared" si="36"/>
        <v/>
      </c>
    </row>
    <row r="1644" spans="13:13">
      <c r="M1644" t="str">
        <f t="shared" si="36"/>
        <v/>
      </c>
    </row>
    <row r="1645" spans="13:13">
      <c r="M1645" t="str">
        <f t="shared" si="36"/>
        <v/>
      </c>
    </row>
    <row r="1646" spans="13:13">
      <c r="M1646" t="str">
        <f t="shared" si="36"/>
        <v/>
      </c>
    </row>
    <row r="1647" spans="13:13">
      <c r="M1647" t="str">
        <f t="shared" si="36"/>
        <v/>
      </c>
    </row>
    <row r="1648" spans="13:13">
      <c r="M1648" t="str">
        <f t="shared" si="36"/>
        <v/>
      </c>
    </row>
    <row r="1649" spans="13:13">
      <c r="M1649" t="str">
        <f t="shared" si="36"/>
        <v/>
      </c>
    </row>
    <row r="1650" spans="13:13">
      <c r="M1650" t="str">
        <f t="shared" si="36"/>
        <v/>
      </c>
    </row>
    <row r="1651" spans="13:13">
      <c r="M1651" t="str">
        <f t="shared" si="36"/>
        <v/>
      </c>
    </row>
    <row r="1652" spans="13:13">
      <c r="M1652" t="str">
        <f t="shared" si="36"/>
        <v/>
      </c>
    </row>
    <row r="1653" spans="13:13">
      <c r="M1653" t="str">
        <f t="shared" si="36"/>
        <v/>
      </c>
    </row>
    <row r="1654" spans="13:13">
      <c r="M1654" t="str">
        <f t="shared" si="36"/>
        <v/>
      </c>
    </row>
    <row r="1655" spans="13:13">
      <c r="M1655" t="str">
        <f t="shared" si="36"/>
        <v/>
      </c>
    </row>
    <row r="1656" spans="13:13">
      <c r="M1656" t="str">
        <f t="shared" si="36"/>
        <v/>
      </c>
    </row>
    <row r="1657" spans="13:13">
      <c r="M1657" t="str">
        <f t="shared" si="36"/>
        <v/>
      </c>
    </row>
    <row r="1658" spans="13:13">
      <c r="M1658" t="str">
        <f t="shared" si="36"/>
        <v/>
      </c>
    </row>
    <row r="1659" spans="13:13">
      <c r="M1659" t="str">
        <f t="shared" si="36"/>
        <v/>
      </c>
    </row>
    <row r="1660" spans="13:13">
      <c r="M1660" t="str">
        <f t="shared" si="36"/>
        <v/>
      </c>
    </row>
    <row r="1661" spans="13:13">
      <c r="M1661" t="str">
        <f t="shared" si="36"/>
        <v/>
      </c>
    </row>
    <row r="1662" spans="13:13">
      <c r="M1662" t="str">
        <f t="shared" si="36"/>
        <v/>
      </c>
    </row>
    <row r="1663" spans="13:13">
      <c r="M1663" t="str">
        <f t="shared" si="36"/>
        <v/>
      </c>
    </row>
    <row r="1664" spans="13:13">
      <c r="M1664" t="str">
        <f t="shared" si="36"/>
        <v/>
      </c>
    </row>
    <row r="1665" spans="13:13">
      <c r="M1665" t="str">
        <f t="shared" si="36"/>
        <v/>
      </c>
    </row>
    <row r="1666" spans="13:13">
      <c r="M1666" t="str">
        <f t="shared" si="36"/>
        <v/>
      </c>
    </row>
    <row r="1667" spans="13:13">
      <c r="M1667" t="str">
        <f t="shared" si="36"/>
        <v/>
      </c>
    </row>
    <row r="1668" spans="13:13">
      <c r="M1668" t="str">
        <f t="shared" si="36"/>
        <v/>
      </c>
    </row>
    <row r="1669" spans="13:13">
      <c r="M1669" t="str">
        <f t="shared" ref="M1669:M1732" si="37">IF(A1669="","", WEEKNUM(A1669, 2))</f>
        <v/>
      </c>
    </row>
    <row r="1670" spans="13:13">
      <c r="M1670" t="str">
        <f t="shared" si="37"/>
        <v/>
      </c>
    </row>
    <row r="1671" spans="13:13">
      <c r="M1671" t="str">
        <f t="shared" si="37"/>
        <v/>
      </c>
    </row>
    <row r="1672" spans="13:13">
      <c r="M1672" t="str">
        <f t="shared" si="37"/>
        <v/>
      </c>
    </row>
    <row r="1673" spans="13:13">
      <c r="M1673" t="str">
        <f t="shared" si="37"/>
        <v/>
      </c>
    </row>
    <row r="1674" spans="13:13">
      <c r="M1674" t="str">
        <f t="shared" si="37"/>
        <v/>
      </c>
    </row>
    <row r="1675" spans="13:13">
      <c r="M1675" t="str">
        <f t="shared" si="37"/>
        <v/>
      </c>
    </row>
    <row r="1676" spans="13:13">
      <c r="M1676" t="str">
        <f t="shared" si="37"/>
        <v/>
      </c>
    </row>
    <row r="1677" spans="13:13">
      <c r="M1677" t="str">
        <f t="shared" si="37"/>
        <v/>
      </c>
    </row>
    <row r="1678" spans="13:13">
      <c r="M1678" t="str">
        <f t="shared" si="37"/>
        <v/>
      </c>
    </row>
    <row r="1679" spans="13:13">
      <c r="M1679" t="str">
        <f t="shared" si="37"/>
        <v/>
      </c>
    </row>
    <row r="1680" spans="13:13">
      <c r="M1680" t="str">
        <f t="shared" si="37"/>
        <v/>
      </c>
    </row>
    <row r="1681" spans="13:13">
      <c r="M1681" t="str">
        <f t="shared" si="37"/>
        <v/>
      </c>
    </row>
    <row r="1682" spans="13:13">
      <c r="M1682" t="str">
        <f t="shared" si="37"/>
        <v/>
      </c>
    </row>
    <row r="1683" spans="13:13">
      <c r="M1683" t="str">
        <f t="shared" si="37"/>
        <v/>
      </c>
    </row>
    <row r="1684" spans="13:13">
      <c r="M1684" t="str">
        <f t="shared" si="37"/>
        <v/>
      </c>
    </row>
    <row r="1685" spans="13:13">
      <c r="M1685" t="str">
        <f t="shared" si="37"/>
        <v/>
      </c>
    </row>
    <row r="1686" spans="13:13">
      <c r="M1686" t="str">
        <f t="shared" si="37"/>
        <v/>
      </c>
    </row>
    <row r="1687" spans="13:13">
      <c r="M1687" t="str">
        <f t="shared" si="37"/>
        <v/>
      </c>
    </row>
    <row r="1688" spans="13:13">
      <c r="M1688" t="str">
        <f t="shared" si="37"/>
        <v/>
      </c>
    </row>
    <row r="1689" spans="13:13">
      <c r="M1689" t="str">
        <f t="shared" si="37"/>
        <v/>
      </c>
    </row>
    <row r="1690" spans="13:13">
      <c r="M1690" t="str">
        <f t="shared" si="37"/>
        <v/>
      </c>
    </row>
    <row r="1691" spans="13:13">
      <c r="M1691" t="str">
        <f t="shared" si="37"/>
        <v/>
      </c>
    </row>
    <row r="1692" spans="13:13">
      <c r="M1692" t="str">
        <f t="shared" si="37"/>
        <v/>
      </c>
    </row>
    <row r="1693" spans="13:13">
      <c r="M1693" t="str">
        <f t="shared" si="37"/>
        <v/>
      </c>
    </row>
    <row r="1694" spans="13:13">
      <c r="M1694" t="str">
        <f t="shared" si="37"/>
        <v/>
      </c>
    </row>
    <row r="1695" spans="13:13">
      <c r="M1695" t="str">
        <f t="shared" si="37"/>
        <v/>
      </c>
    </row>
    <row r="1696" spans="13:13">
      <c r="M1696" t="str">
        <f t="shared" si="37"/>
        <v/>
      </c>
    </row>
    <row r="1697" spans="13:13">
      <c r="M1697" t="str">
        <f t="shared" si="37"/>
        <v/>
      </c>
    </row>
    <row r="1698" spans="13:13">
      <c r="M1698" t="str">
        <f t="shared" si="37"/>
        <v/>
      </c>
    </row>
    <row r="1699" spans="13:13">
      <c r="M1699" t="str">
        <f t="shared" si="37"/>
        <v/>
      </c>
    </row>
    <row r="1700" spans="13:13">
      <c r="M1700" t="str">
        <f t="shared" si="37"/>
        <v/>
      </c>
    </row>
    <row r="1701" spans="13:13">
      <c r="M1701" t="str">
        <f t="shared" si="37"/>
        <v/>
      </c>
    </row>
    <row r="1702" spans="13:13">
      <c r="M1702" t="str">
        <f t="shared" si="37"/>
        <v/>
      </c>
    </row>
    <row r="1703" spans="13:13">
      <c r="M1703" t="str">
        <f t="shared" si="37"/>
        <v/>
      </c>
    </row>
    <row r="1704" spans="13:13">
      <c r="M1704" t="str">
        <f t="shared" si="37"/>
        <v/>
      </c>
    </row>
    <row r="1705" spans="13:13">
      <c r="M1705" t="str">
        <f t="shared" si="37"/>
        <v/>
      </c>
    </row>
    <row r="1706" spans="13:13">
      <c r="M1706" t="str">
        <f t="shared" si="37"/>
        <v/>
      </c>
    </row>
    <row r="1707" spans="13:13">
      <c r="M1707" t="str">
        <f t="shared" si="37"/>
        <v/>
      </c>
    </row>
    <row r="1708" spans="13:13">
      <c r="M1708" t="str">
        <f t="shared" si="37"/>
        <v/>
      </c>
    </row>
    <row r="1709" spans="13:13">
      <c r="M1709" t="str">
        <f t="shared" si="37"/>
        <v/>
      </c>
    </row>
    <row r="1710" spans="13:13">
      <c r="M1710" t="str">
        <f t="shared" si="37"/>
        <v/>
      </c>
    </row>
    <row r="1711" spans="13:13">
      <c r="M1711" t="str">
        <f t="shared" si="37"/>
        <v/>
      </c>
    </row>
    <row r="1712" spans="13:13">
      <c r="M1712" t="str">
        <f t="shared" si="37"/>
        <v/>
      </c>
    </row>
    <row r="1713" spans="13:13">
      <c r="M1713" t="str">
        <f t="shared" si="37"/>
        <v/>
      </c>
    </row>
    <row r="1714" spans="13:13">
      <c r="M1714" t="str">
        <f t="shared" si="37"/>
        <v/>
      </c>
    </row>
    <row r="1715" spans="13:13">
      <c r="M1715" t="str">
        <f t="shared" si="37"/>
        <v/>
      </c>
    </row>
    <row r="1716" spans="13:13">
      <c r="M1716" t="str">
        <f t="shared" si="37"/>
        <v/>
      </c>
    </row>
    <row r="1717" spans="13:13">
      <c r="M1717" t="str">
        <f t="shared" si="37"/>
        <v/>
      </c>
    </row>
    <row r="1718" spans="13:13">
      <c r="M1718" t="str">
        <f t="shared" si="37"/>
        <v/>
      </c>
    </row>
    <row r="1719" spans="13:13">
      <c r="M1719" t="str">
        <f t="shared" si="37"/>
        <v/>
      </c>
    </row>
    <row r="1720" spans="13:13">
      <c r="M1720" t="str">
        <f t="shared" si="37"/>
        <v/>
      </c>
    </row>
    <row r="1721" spans="13:13">
      <c r="M1721" t="str">
        <f t="shared" si="37"/>
        <v/>
      </c>
    </row>
    <row r="1722" spans="13:13">
      <c r="M1722" t="str">
        <f t="shared" si="37"/>
        <v/>
      </c>
    </row>
    <row r="1723" spans="13:13">
      <c r="M1723" t="str">
        <f t="shared" si="37"/>
        <v/>
      </c>
    </row>
    <row r="1724" spans="13:13">
      <c r="M1724" t="str">
        <f t="shared" si="37"/>
        <v/>
      </c>
    </row>
    <row r="1725" spans="13:13">
      <c r="M1725" t="str">
        <f t="shared" si="37"/>
        <v/>
      </c>
    </row>
    <row r="1726" spans="13:13">
      <c r="M1726" t="str">
        <f t="shared" si="37"/>
        <v/>
      </c>
    </row>
    <row r="1727" spans="13:13">
      <c r="M1727" t="str">
        <f t="shared" si="37"/>
        <v/>
      </c>
    </row>
    <row r="1728" spans="13:13">
      <c r="M1728" t="str">
        <f t="shared" si="37"/>
        <v/>
      </c>
    </row>
    <row r="1729" spans="13:13">
      <c r="M1729" t="str">
        <f t="shared" si="37"/>
        <v/>
      </c>
    </row>
    <row r="1730" spans="13:13">
      <c r="M1730" t="str">
        <f t="shared" si="37"/>
        <v/>
      </c>
    </row>
    <row r="1731" spans="13:13">
      <c r="M1731" t="str">
        <f t="shared" si="37"/>
        <v/>
      </c>
    </row>
    <row r="1732" spans="13:13">
      <c r="M1732" t="str">
        <f t="shared" si="37"/>
        <v/>
      </c>
    </row>
    <row r="1733" spans="13:13">
      <c r="M1733" t="str">
        <f t="shared" ref="M1733:M1796" si="38">IF(A1733="","", WEEKNUM(A1733, 2))</f>
        <v/>
      </c>
    </row>
    <row r="1734" spans="13:13">
      <c r="M1734" t="str">
        <f t="shared" si="38"/>
        <v/>
      </c>
    </row>
    <row r="1735" spans="13:13">
      <c r="M1735" t="str">
        <f t="shared" si="38"/>
        <v/>
      </c>
    </row>
    <row r="1736" spans="13:13">
      <c r="M1736" t="str">
        <f t="shared" si="38"/>
        <v/>
      </c>
    </row>
    <row r="1737" spans="13:13">
      <c r="M1737" t="str">
        <f t="shared" si="38"/>
        <v/>
      </c>
    </row>
    <row r="1738" spans="13:13">
      <c r="M1738" t="str">
        <f t="shared" si="38"/>
        <v/>
      </c>
    </row>
    <row r="1739" spans="13:13">
      <c r="M1739" t="str">
        <f t="shared" si="38"/>
        <v/>
      </c>
    </row>
    <row r="1740" spans="13:13">
      <c r="M1740" t="str">
        <f t="shared" si="38"/>
        <v/>
      </c>
    </row>
    <row r="1741" spans="13:13">
      <c r="M1741" t="str">
        <f t="shared" si="38"/>
        <v/>
      </c>
    </row>
    <row r="1742" spans="13:13">
      <c r="M1742" t="str">
        <f t="shared" si="38"/>
        <v/>
      </c>
    </row>
    <row r="1743" spans="13:13">
      <c r="M1743" t="str">
        <f t="shared" si="38"/>
        <v/>
      </c>
    </row>
    <row r="1744" spans="13:13">
      <c r="M1744" t="str">
        <f t="shared" si="38"/>
        <v/>
      </c>
    </row>
    <row r="1745" spans="13:13">
      <c r="M1745" t="str">
        <f t="shared" si="38"/>
        <v/>
      </c>
    </row>
    <row r="1746" spans="13:13">
      <c r="M1746" t="str">
        <f t="shared" si="38"/>
        <v/>
      </c>
    </row>
    <row r="1747" spans="13:13">
      <c r="M1747" t="str">
        <f t="shared" si="38"/>
        <v/>
      </c>
    </row>
    <row r="1748" spans="13:13">
      <c r="M1748" t="str">
        <f t="shared" si="38"/>
        <v/>
      </c>
    </row>
    <row r="1749" spans="13:13">
      <c r="M1749" t="str">
        <f t="shared" si="38"/>
        <v/>
      </c>
    </row>
    <row r="1750" spans="13:13">
      <c r="M1750" t="str">
        <f t="shared" si="38"/>
        <v/>
      </c>
    </row>
    <row r="1751" spans="13:13">
      <c r="M1751" t="str">
        <f t="shared" si="38"/>
        <v/>
      </c>
    </row>
    <row r="1752" spans="13:13">
      <c r="M1752" t="str">
        <f t="shared" si="38"/>
        <v/>
      </c>
    </row>
    <row r="1753" spans="13:13">
      <c r="M1753" t="str">
        <f t="shared" si="38"/>
        <v/>
      </c>
    </row>
    <row r="1754" spans="13:13">
      <c r="M1754" t="str">
        <f t="shared" si="38"/>
        <v/>
      </c>
    </row>
    <row r="1755" spans="13:13">
      <c r="M1755" t="str">
        <f t="shared" si="38"/>
        <v/>
      </c>
    </row>
    <row r="1756" spans="13:13">
      <c r="M1756" t="str">
        <f t="shared" si="38"/>
        <v/>
      </c>
    </row>
    <row r="1757" spans="13:13">
      <c r="M1757" t="str">
        <f t="shared" si="38"/>
        <v/>
      </c>
    </row>
    <row r="1758" spans="13:13">
      <c r="M1758" t="str">
        <f t="shared" si="38"/>
        <v/>
      </c>
    </row>
    <row r="1759" spans="13:13">
      <c r="M1759" t="str">
        <f t="shared" si="38"/>
        <v/>
      </c>
    </row>
    <row r="1760" spans="13:13">
      <c r="M1760" t="str">
        <f t="shared" si="38"/>
        <v/>
      </c>
    </row>
    <row r="1761" spans="13:13">
      <c r="M1761" t="str">
        <f t="shared" si="38"/>
        <v/>
      </c>
    </row>
    <row r="1762" spans="13:13">
      <c r="M1762" t="str">
        <f t="shared" si="38"/>
        <v/>
      </c>
    </row>
    <row r="1763" spans="13:13">
      <c r="M1763" t="str">
        <f t="shared" si="38"/>
        <v/>
      </c>
    </row>
    <row r="1764" spans="13:13">
      <c r="M1764" t="str">
        <f t="shared" si="38"/>
        <v/>
      </c>
    </row>
    <row r="1765" spans="13:13">
      <c r="M1765" t="str">
        <f t="shared" si="38"/>
        <v/>
      </c>
    </row>
    <row r="1766" spans="13:13">
      <c r="M1766" t="str">
        <f t="shared" si="38"/>
        <v/>
      </c>
    </row>
    <row r="1767" spans="13:13">
      <c r="M1767" t="str">
        <f t="shared" si="38"/>
        <v/>
      </c>
    </row>
    <row r="1768" spans="13:13">
      <c r="M1768" t="str">
        <f t="shared" si="38"/>
        <v/>
      </c>
    </row>
    <row r="1769" spans="13:13">
      <c r="M1769" t="str">
        <f t="shared" si="38"/>
        <v/>
      </c>
    </row>
    <row r="1770" spans="13:13">
      <c r="M1770" t="str">
        <f t="shared" si="38"/>
        <v/>
      </c>
    </row>
    <row r="1771" spans="13:13">
      <c r="M1771" t="str">
        <f t="shared" si="38"/>
        <v/>
      </c>
    </row>
    <row r="1772" spans="13:13">
      <c r="M1772" t="str">
        <f t="shared" si="38"/>
        <v/>
      </c>
    </row>
    <row r="1773" spans="13:13">
      <c r="M1773" t="str">
        <f t="shared" si="38"/>
        <v/>
      </c>
    </row>
    <row r="1774" spans="13:13">
      <c r="M1774" t="str">
        <f t="shared" si="38"/>
        <v/>
      </c>
    </row>
    <row r="1775" spans="13:13">
      <c r="M1775" t="str">
        <f t="shared" si="38"/>
        <v/>
      </c>
    </row>
    <row r="1776" spans="13:13">
      <c r="M1776" t="str">
        <f t="shared" si="38"/>
        <v/>
      </c>
    </row>
    <row r="1777" spans="13:13">
      <c r="M1777" t="str">
        <f t="shared" si="38"/>
        <v/>
      </c>
    </row>
    <row r="1778" spans="13:13">
      <c r="M1778" t="str">
        <f t="shared" si="38"/>
        <v/>
      </c>
    </row>
    <row r="1779" spans="13:13">
      <c r="M1779" t="str">
        <f t="shared" si="38"/>
        <v/>
      </c>
    </row>
    <row r="1780" spans="13:13">
      <c r="M1780" t="str">
        <f t="shared" si="38"/>
        <v/>
      </c>
    </row>
    <row r="1781" spans="13:13">
      <c r="M1781" t="str">
        <f t="shared" si="38"/>
        <v/>
      </c>
    </row>
    <row r="1782" spans="13:13">
      <c r="M1782" t="str">
        <f t="shared" si="38"/>
        <v/>
      </c>
    </row>
    <row r="1783" spans="13:13">
      <c r="M1783" t="str">
        <f t="shared" si="38"/>
        <v/>
      </c>
    </row>
    <row r="1784" spans="13:13">
      <c r="M1784" t="str">
        <f t="shared" si="38"/>
        <v/>
      </c>
    </row>
    <row r="1785" spans="13:13">
      <c r="M1785" t="str">
        <f t="shared" si="38"/>
        <v/>
      </c>
    </row>
    <row r="1786" spans="13:13">
      <c r="M1786" t="str">
        <f t="shared" si="38"/>
        <v/>
      </c>
    </row>
    <row r="1787" spans="13:13">
      <c r="M1787" t="str">
        <f t="shared" si="38"/>
        <v/>
      </c>
    </row>
    <row r="1788" spans="13:13">
      <c r="M1788" t="str">
        <f t="shared" si="38"/>
        <v/>
      </c>
    </row>
    <row r="1789" spans="13:13">
      <c r="M1789" t="str">
        <f t="shared" si="38"/>
        <v/>
      </c>
    </row>
    <row r="1790" spans="13:13">
      <c r="M1790" t="str">
        <f t="shared" si="38"/>
        <v/>
      </c>
    </row>
    <row r="1791" spans="13:13">
      <c r="M1791" t="str">
        <f t="shared" si="38"/>
        <v/>
      </c>
    </row>
    <row r="1792" spans="13:13">
      <c r="M1792" t="str">
        <f t="shared" si="38"/>
        <v/>
      </c>
    </row>
    <row r="1793" spans="13:13">
      <c r="M1793" t="str">
        <f t="shared" si="38"/>
        <v/>
      </c>
    </row>
    <row r="1794" spans="13:13">
      <c r="M1794" t="str">
        <f t="shared" si="38"/>
        <v/>
      </c>
    </row>
    <row r="1795" spans="13:13">
      <c r="M1795" t="str">
        <f t="shared" si="38"/>
        <v/>
      </c>
    </row>
    <row r="1796" spans="13:13">
      <c r="M1796" t="str">
        <f t="shared" si="38"/>
        <v/>
      </c>
    </row>
    <row r="1797" spans="13:13">
      <c r="M1797" t="str">
        <f t="shared" ref="M1797:M1860" si="39">IF(A1797="","", WEEKNUM(A1797, 2))</f>
        <v/>
      </c>
    </row>
    <row r="1798" spans="13:13">
      <c r="M1798" t="str">
        <f t="shared" si="39"/>
        <v/>
      </c>
    </row>
    <row r="1799" spans="13:13">
      <c r="M1799" t="str">
        <f t="shared" si="39"/>
        <v/>
      </c>
    </row>
    <row r="1800" spans="13:13">
      <c r="M1800" t="str">
        <f t="shared" si="39"/>
        <v/>
      </c>
    </row>
    <row r="1801" spans="13:13">
      <c r="M1801" t="str">
        <f t="shared" si="39"/>
        <v/>
      </c>
    </row>
    <row r="1802" spans="13:13">
      <c r="M1802" t="str">
        <f t="shared" si="39"/>
        <v/>
      </c>
    </row>
    <row r="1803" spans="13:13">
      <c r="M1803" t="str">
        <f t="shared" si="39"/>
        <v/>
      </c>
    </row>
    <row r="1804" spans="13:13">
      <c r="M1804" t="str">
        <f t="shared" si="39"/>
        <v/>
      </c>
    </row>
    <row r="1805" spans="13:13">
      <c r="M1805" t="str">
        <f t="shared" si="39"/>
        <v/>
      </c>
    </row>
    <row r="1806" spans="13:13">
      <c r="M1806" t="str">
        <f t="shared" si="39"/>
        <v/>
      </c>
    </row>
    <row r="1807" spans="13:13">
      <c r="M1807" t="str">
        <f t="shared" si="39"/>
        <v/>
      </c>
    </row>
    <row r="1808" spans="13:13">
      <c r="M1808" t="str">
        <f t="shared" si="39"/>
        <v/>
      </c>
    </row>
    <row r="1809" spans="13:13">
      <c r="M1809" t="str">
        <f t="shared" si="39"/>
        <v/>
      </c>
    </row>
    <row r="1810" spans="13:13">
      <c r="M1810" t="str">
        <f t="shared" si="39"/>
        <v/>
      </c>
    </row>
    <row r="1811" spans="13:13">
      <c r="M1811" t="str">
        <f t="shared" si="39"/>
        <v/>
      </c>
    </row>
    <row r="1812" spans="13:13">
      <c r="M1812" t="str">
        <f t="shared" si="39"/>
        <v/>
      </c>
    </row>
    <row r="1813" spans="13:13">
      <c r="M1813" t="str">
        <f t="shared" si="39"/>
        <v/>
      </c>
    </row>
    <row r="1814" spans="13:13">
      <c r="M1814" t="str">
        <f t="shared" si="39"/>
        <v/>
      </c>
    </row>
    <row r="1815" spans="13:13">
      <c r="M1815" t="str">
        <f t="shared" si="39"/>
        <v/>
      </c>
    </row>
    <row r="1816" spans="13:13">
      <c r="M1816" t="str">
        <f t="shared" si="39"/>
        <v/>
      </c>
    </row>
    <row r="1817" spans="13:13">
      <c r="M1817" t="str">
        <f t="shared" si="39"/>
        <v/>
      </c>
    </row>
    <row r="1818" spans="13:13">
      <c r="M1818" t="str">
        <f t="shared" si="39"/>
        <v/>
      </c>
    </row>
    <row r="1819" spans="13:13">
      <c r="M1819" t="str">
        <f t="shared" si="39"/>
        <v/>
      </c>
    </row>
    <row r="1820" spans="13:13">
      <c r="M1820" t="str">
        <f t="shared" si="39"/>
        <v/>
      </c>
    </row>
    <row r="1821" spans="13:13">
      <c r="M1821" t="str">
        <f t="shared" si="39"/>
        <v/>
      </c>
    </row>
    <row r="1822" spans="13:13">
      <c r="M1822" t="str">
        <f t="shared" si="39"/>
        <v/>
      </c>
    </row>
    <row r="1823" spans="13:13">
      <c r="M1823" t="str">
        <f t="shared" si="39"/>
        <v/>
      </c>
    </row>
    <row r="1824" spans="13:13">
      <c r="M1824" t="str">
        <f t="shared" si="39"/>
        <v/>
      </c>
    </row>
    <row r="1825" spans="13:13">
      <c r="M1825" t="str">
        <f t="shared" si="39"/>
        <v/>
      </c>
    </row>
    <row r="1826" spans="13:13">
      <c r="M1826" t="str">
        <f t="shared" si="39"/>
        <v/>
      </c>
    </row>
    <row r="1827" spans="13:13">
      <c r="M1827" t="str">
        <f t="shared" si="39"/>
        <v/>
      </c>
    </row>
    <row r="1828" spans="13:13">
      <c r="M1828" t="str">
        <f t="shared" si="39"/>
        <v/>
      </c>
    </row>
    <row r="1829" spans="13:13">
      <c r="M1829" t="str">
        <f t="shared" si="39"/>
        <v/>
      </c>
    </row>
    <row r="1830" spans="13:13">
      <c r="M1830" t="str">
        <f t="shared" si="39"/>
        <v/>
      </c>
    </row>
    <row r="1831" spans="13:13">
      <c r="M1831" t="str">
        <f t="shared" si="39"/>
        <v/>
      </c>
    </row>
    <row r="1832" spans="13:13">
      <c r="M1832" t="str">
        <f t="shared" si="39"/>
        <v/>
      </c>
    </row>
    <row r="1833" spans="13:13">
      <c r="M1833" t="str">
        <f t="shared" si="39"/>
        <v/>
      </c>
    </row>
    <row r="1834" spans="13:13">
      <c r="M1834" t="str">
        <f t="shared" si="39"/>
        <v/>
      </c>
    </row>
    <row r="1835" spans="13:13">
      <c r="M1835" t="str">
        <f t="shared" si="39"/>
        <v/>
      </c>
    </row>
    <row r="1836" spans="13:13">
      <c r="M1836" t="str">
        <f t="shared" si="39"/>
        <v/>
      </c>
    </row>
    <row r="1837" spans="13:13">
      <c r="M1837" t="str">
        <f t="shared" si="39"/>
        <v/>
      </c>
    </row>
    <row r="1838" spans="13:13">
      <c r="M1838" t="str">
        <f t="shared" si="39"/>
        <v/>
      </c>
    </row>
    <row r="1839" spans="13:13">
      <c r="M1839" t="str">
        <f t="shared" si="39"/>
        <v/>
      </c>
    </row>
    <row r="1840" spans="13:13">
      <c r="M1840" t="str">
        <f t="shared" si="39"/>
        <v/>
      </c>
    </row>
    <row r="1841" spans="13:13">
      <c r="M1841" t="str">
        <f t="shared" si="39"/>
        <v/>
      </c>
    </row>
    <row r="1842" spans="13:13">
      <c r="M1842" t="str">
        <f t="shared" si="39"/>
        <v/>
      </c>
    </row>
    <row r="1843" spans="13:13">
      <c r="M1843" t="str">
        <f t="shared" si="39"/>
        <v/>
      </c>
    </row>
    <row r="1844" spans="13:13">
      <c r="M1844" t="str">
        <f t="shared" si="39"/>
        <v/>
      </c>
    </row>
    <row r="1845" spans="13:13">
      <c r="M1845" t="str">
        <f t="shared" si="39"/>
        <v/>
      </c>
    </row>
    <row r="1846" spans="13:13">
      <c r="M1846" t="str">
        <f t="shared" si="39"/>
        <v/>
      </c>
    </row>
    <row r="1847" spans="13:13">
      <c r="M1847" t="str">
        <f t="shared" si="39"/>
        <v/>
      </c>
    </row>
    <row r="1848" spans="13:13">
      <c r="M1848" t="str">
        <f t="shared" si="39"/>
        <v/>
      </c>
    </row>
    <row r="1849" spans="13:13">
      <c r="M1849" t="str">
        <f t="shared" si="39"/>
        <v/>
      </c>
    </row>
    <row r="1850" spans="13:13">
      <c r="M1850" t="str">
        <f t="shared" si="39"/>
        <v/>
      </c>
    </row>
    <row r="1851" spans="13:13">
      <c r="M1851" t="str">
        <f t="shared" si="39"/>
        <v/>
      </c>
    </row>
    <row r="1852" spans="13:13">
      <c r="M1852" t="str">
        <f t="shared" si="39"/>
        <v/>
      </c>
    </row>
    <row r="1853" spans="13:13">
      <c r="M1853" t="str">
        <f t="shared" si="39"/>
        <v/>
      </c>
    </row>
    <row r="1854" spans="13:13">
      <c r="M1854" t="str">
        <f t="shared" si="39"/>
        <v/>
      </c>
    </row>
    <row r="1855" spans="13:13">
      <c r="M1855" t="str">
        <f t="shared" si="39"/>
        <v/>
      </c>
    </row>
    <row r="1856" spans="13:13">
      <c r="M1856" t="str">
        <f t="shared" si="39"/>
        <v/>
      </c>
    </row>
    <row r="1857" spans="13:13">
      <c r="M1857" t="str">
        <f t="shared" si="39"/>
        <v/>
      </c>
    </row>
    <row r="1858" spans="13:13">
      <c r="M1858" t="str">
        <f t="shared" si="39"/>
        <v/>
      </c>
    </row>
    <row r="1859" spans="13:13">
      <c r="M1859" t="str">
        <f t="shared" si="39"/>
        <v/>
      </c>
    </row>
    <row r="1860" spans="13:13">
      <c r="M1860" t="str">
        <f t="shared" si="39"/>
        <v/>
      </c>
    </row>
    <row r="1861" spans="13:13">
      <c r="M1861" t="str">
        <f t="shared" ref="M1861:M1924" si="40">IF(A1861="","", WEEKNUM(A1861, 2))</f>
        <v/>
      </c>
    </row>
    <row r="1862" spans="13:13">
      <c r="M1862" t="str">
        <f t="shared" si="40"/>
        <v/>
      </c>
    </row>
    <row r="1863" spans="13:13">
      <c r="M1863" t="str">
        <f t="shared" si="40"/>
        <v/>
      </c>
    </row>
    <row r="1864" spans="13:13">
      <c r="M1864" t="str">
        <f t="shared" si="40"/>
        <v/>
      </c>
    </row>
    <row r="1865" spans="13:13">
      <c r="M1865" t="str">
        <f t="shared" si="40"/>
        <v/>
      </c>
    </row>
    <row r="1866" spans="13:13">
      <c r="M1866" t="str">
        <f t="shared" si="40"/>
        <v/>
      </c>
    </row>
    <row r="1867" spans="13:13">
      <c r="M1867" t="str">
        <f t="shared" si="40"/>
        <v/>
      </c>
    </row>
    <row r="1868" spans="13:13">
      <c r="M1868" t="str">
        <f t="shared" si="40"/>
        <v/>
      </c>
    </row>
    <row r="1869" spans="13:13">
      <c r="M1869" t="str">
        <f t="shared" si="40"/>
        <v/>
      </c>
    </row>
    <row r="1870" spans="13:13">
      <c r="M1870" t="str">
        <f t="shared" si="40"/>
        <v/>
      </c>
    </row>
    <row r="1871" spans="13:13">
      <c r="M1871" t="str">
        <f t="shared" si="40"/>
        <v/>
      </c>
    </row>
    <row r="1872" spans="13:13">
      <c r="M1872" t="str">
        <f t="shared" si="40"/>
        <v/>
      </c>
    </row>
    <row r="1873" spans="13:13">
      <c r="M1873" t="str">
        <f t="shared" si="40"/>
        <v/>
      </c>
    </row>
    <row r="1874" spans="13:13">
      <c r="M1874" t="str">
        <f t="shared" si="40"/>
        <v/>
      </c>
    </row>
    <row r="1875" spans="13:13">
      <c r="M1875" t="str">
        <f t="shared" si="40"/>
        <v/>
      </c>
    </row>
    <row r="1876" spans="13:13">
      <c r="M1876" t="str">
        <f t="shared" si="40"/>
        <v/>
      </c>
    </row>
    <row r="1877" spans="13:13">
      <c r="M1877" t="str">
        <f t="shared" si="40"/>
        <v/>
      </c>
    </row>
    <row r="1878" spans="13:13">
      <c r="M1878" t="str">
        <f t="shared" si="40"/>
        <v/>
      </c>
    </row>
    <row r="1879" spans="13:13">
      <c r="M1879" t="str">
        <f t="shared" si="40"/>
        <v/>
      </c>
    </row>
    <row r="1880" spans="13:13">
      <c r="M1880" t="str">
        <f t="shared" si="40"/>
        <v/>
      </c>
    </row>
    <row r="1881" spans="13:13">
      <c r="M1881" t="str">
        <f t="shared" si="40"/>
        <v/>
      </c>
    </row>
    <row r="1882" spans="13:13">
      <c r="M1882" t="str">
        <f t="shared" si="40"/>
        <v/>
      </c>
    </row>
    <row r="1883" spans="13:13">
      <c r="M1883" t="str">
        <f t="shared" si="40"/>
        <v/>
      </c>
    </row>
    <row r="1884" spans="13:13">
      <c r="M1884" t="str">
        <f t="shared" si="40"/>
        <v/>
      </c>
    </row>
    <row r="1885" spans="13:13">
      <c r="M1885" t="str">
        <f t="shared" si="40"/>
        <v/>
      </c>
    </row>
    <row r="1886" spans="13:13">
      <c r="M1886" t="str">
        <f t="shared" si="40"/>
        <v/>
      </c>
    </row>
    <row r="1887" spans="13:13">
      <c r="M1887" t="str">
        <f t="shared" si="40"/>
        <v/>
      </c>
    </row>
    <row r="1888" spans="13:13">
      <c r="M1888" t="str">
        <f t="shared" si="40"/>
        <v/>
      </c>
    </row>
    <row r="1889" spans="13:13">
      <c r="M1889" t="str">
        <f t="shared" si="40"/>
        <v/>
      </c>
    </row>
    <row r="1890" spans="13:13">
      <c r="M1890" t="str">
        <f t="shared" si="40"/>
        <v/>
      </c>
    </row>
    <row r="1891" spans="13:13">
      <c r="M1891" t="str">
        <f t="shared" si="40"/>
        <v/>
      </c>
    </row>
    <row r="1892" spans="13:13">
      <c r="M1892" t="str">
        <f t="shared" si="40"/>
        <v/>
      </c>
    </row>
    <row r="1893" spans="13:13">
      <c r="M1893" t="str">
        <f t="shared" si="40"/>
        <v/>
      </c>
    </row>
    <row r="1894" spans="13:13">
      <c r="M1894" t="str">
        <f t="shared" si="40"/>
        <v/>
      </c>
    </row>
    <row r="1895" spans="13:13">
      <c r="M1895" t="str">
        <f t="shared" si="40"/>
        <v/>
      </c>
    </row>
    <row r="1896" spans="13:13">
      <c r="M1896" t="str">
        <f t="shared" si="40"/>
        <v/>
      </c>
    </row>
    <row r="1897" spans="13:13">
      <c r="M1897" t="str">
        <f t="shared" si="40"/>
        <v/>
      </c>
    </row>
    <row r="1898" spans="13:13">
      <c r="M1898" t="str">
        <f t="shared" si="40"/>
        <v/>
      </c>
    </row>
    <row r="1899" spans="13:13">
      <c r="M1899" t="str">
        <f t="shared" si="40"/>
        <v/>
      </c>
    </row>
    <row r="1900" spans="13:13">
      <c r="M1900" t="str">
        <f t="shared" si="40"/>
        <v/>
      </c>
    </row>
    <row r="1901" spans="13:13">
      <c r="M1901" t="str">
        <f t="shared" si="40"/>
        <v/>
      </c>
    </row>
    <row r="1902" spans="13:13">
      <c r="M1902" t="str">
        <f t="shared" si="40"/>
        <v/>
      </c>
    </row>
    <row r="1903" spans="13:13">
      <c r="M1903" t="str">
        <f t="shared" si="40"/>
        <v/>
      </c>
    </row>
    <row r="1904" spans="13:13">
      <c r="M1904" t="str">
        <f t="shared" si="40"/>
        <v/>
      </c>
    </row>
    <row r="1905" spans="13:13">
      <c r="M1905" t="str">
        <f t="shared" si="40"/>
        <v/>
      </c>
    </row>
    <row r="1906" spans="13:13">
      <c r="M1906" t="str">
        <f t="shared" si="40"/>
        <v/>
      </c>
    </row>
    <row r="1907" spans="13:13">
      <c r="M1907" t="str">
        <f t="shared" si="40"/>
        <v/>
      </c>
    </row>
    <row r="1908" spans="13:13">
      <c r="M1908" t="str">
        <f t="shared" si="40"/>
        <v/>
      </c>
    </row>
    <row r="1909" spans="13:13">
      <c r="M1909" t="str">
        <f t="shared" si="40"/>
        <v/>
      </c>
    </row>
    <row r="1910" spans="13:13">
      <c r="M1910" t="str">
        <f t="shared" si="40"/>
        <v/>
      </c>
    </row>
    <row r="1911" spans="13:13">
      <c r="M1911" t="str">
        <f t="shared" si="40"/>
        <v/>
      </c>
    </row>
    <row r="1912" spans="13:13">
      <c r="M1912" t="str">
        <f t="shared" si="40"/>
        <v/>
      </c>
    </row>
    <row r="1913" spans="13:13">
      <c r="M1913" t="str">
        <f t="shared" si="40"/>
        <v/>
      </c>
    </row>
    <row r="1914" spans="13:13">
      <c r="M1914" t="str">
        <f t="shared" si="40"/>
        <v/>
      </c>
    </row>
    <row r="1915" spans="13:13">
      <c r="M1915" t="str">
        <f t="shared" si="40"/>
        <v/>
      </c>
    </row>
    <row r="1916" spans="13:13">
      <c r="M1916" t="str">
        <f t="shared" si="40"/>
        <v/>
      </c>
    </row>
    <row r="1917" spans="13:13">
      <c r="M1917" t="str">
        <f t="shared" si="40"/>
        <v/>
      </c>
    </row>
    <row r="1918" spans="13:13">
      <c r="M1918" t="str">
        <f t="shared" si="40"/>
        <v/>
      </c>
    </row>
    <row r="1919" spans="13:13">
      <c r="M1919" t="str">
        <f t="shared" si="40"/>
        <v/>
      </c>
    </row>
    <row r="1920" spans="13:13">
      <c r="M1920" t="str">
        <f t="shared" si="40"/>
        <v/>
      </c>
    </row>
    <row r="1921" spans="13:13">
      <c r="M1921" t="str">
        <f t="shared" si="40"/>
        <v/>
      </c>
    </row>
    <row r="1922" spans="13:13">
      <c r="M1922" t="str">
        <f t="shared" si="40"/>
        <v/>
      </c>
    </row>
    <row r="1923" spans="13:13">
      <c r="M1923" t="str">
        <f t="shared" si="40"/>
        <v/>
      </c>
    </row>
    <row r="1924" spans="13:13">
      <c r="M1924" t="str">
        <f t="shared" si="40"/>
        <v/>
      </c>
    </row>
    <row r="1925" spans="13:13">
      <c r="M1925" t="str">
        <f t="shared" ref="M1925:M1988" si="41">IF(A1925="","", WEEKNUM(A1925, 2))</f>
        <v/>
      </c>
    </row>
    <row r="1926" spans="13:13">
      <c r="M1926" t="str">
        <f t="shared" si="41"/>
        <v/>
      </c>
    </row>
    <row r="1927" spans="13:13">
      <c r="M1927" t="str">
        <f t="shared" si="41"/>
        <v/>
      </c>
    </row>
    <row r="1928" spans="13:13">
      <c r="M1928" t="str">
        <f t="shared" si="41"/>
        <v/>
      </c>
    </row>
    <row r="1929" spans="13:13">
      <c r="M1929" t="str">
        <f t="shared" si="41"/>
        <v/>
      </c>
    </row>
    <row r="1930" spans="13:13">
      <c r="M1930" t="str">
        <f t="shared" si="41"/>
        <v/>
      </c>
    </row>
    <row r="1931" spans="13:13">
      <c r="M1931" t="str">
        <f t="shared" si="41"/>
        <v/>
      </c>
    </row>
    <row r="1932" spans="13:13">
      <c r="M1932" t="str">
        <f t="shared" si="41"/>
        <v/>
      </c>
    </row>
    <row r="1933" spans="13:13">
      <c r="M1933" t="str">
        <f t="shared" si="41"/>
        <v/>
      </c>
    </row>
    <row r="1934" spans="13:13">
      <c r="M1934" t="str">
        <f t="shared" si="41"/>
        <v/>
      </c>
    </row>
    <row r="1935" spans="13:13">
      <c r="M1935" t="str">
        <f t="shared" si="41"/>
        <v/>
      </c>
    </row>
    <row r="1936" spans="13:13">
      <c r="M1936" t="str">
        <f t="shared" si="41"/>
        <v/>
      </c>
    </row>
    <row r="1937" spans="13:13">
      <c r="M1937" t="str">
        <f t="shared" si="41"/>
        <v/>
      </c>
    </row>
    <row r="1938" spans="13:13">
      <c r="M1938" t="str">
        <f t="shared" si="41"/>
        <v/>
      </c>
    </row>
    <row r="1939" spans="13:13">
      <c r="M1939" t="str">
        <f t="shared" si="41"/>
        <v/>
      </c>
    </row>
    <row r="1940" spans="13:13">
      <c r="M1940" t="str">
        <f t="shared" si="41"/>
        <v/>
      </c>
    </row>
    <row r="1941" spans="13:13">
      <c r="M1941" t="str">
        <f t="shared" si="41"/>
        <v/>
      </c>
    </row>
    <row r="1942" spans="13:13">
      <c r="M1942" t="str">
        <f t="shared" si="41"/>
        <v/>
      </c>
    </row>
    <row r="1943" spans="13:13">
      <c r="M1943" t="str">
        <f t="shared" si="41"/>
        <v/>
      </c>
    </row>
    <row r="1944" spans="13:13">
      <c r="M1944" t="str">
        <f t="shared" si="41"/>
        <v/>
      </c>
    </row>
    <row r="1945" spans="13:13">
      <c r="M1945" t="str">
        <f t="shared" si="41"/>
        <v/>
      </c>
    </row>
    <row r="1946" spans="13:13">
      <c r="M1946" t="str">
        <f t="shared" si="41"/>
        <v/>
      </c>
    </row>
    <row r="1947" spans="13:13">
      <c r="M1947" t="str">
        <f t="shared" si="41"/>
        <v/>
      </c>
    </row>
    <row r="1948" spans="13:13">
      <c r="M1948" t="str">
        <f t="shared" si="41"/>
        <v/>
      </c>
    </row>
    <row r="1949" spans="13:13">
      <c r="M1949" t="str">
        <f t="shared" si="41"/>
        <v/>
      </c>
    </row>
    <row r="1950" spans="13:13">
      <c r="M1950" t="str">
        <f t="shared" si="41"/>
        <v/>
      </c>
    </row>
    <row r="1951" spans="13:13">
      <c r="M1951" t="str">
        <f t="shared" si="41"/>
        <v/>
      </c>
    </row>
    <row r="1952" spans="13:13">
      <c r="M1952" t="str">
        <f t="shared" si="41"/>
        <v/>
      </c>
    </row>
    <row r="1953" spans="13:13">
      <c r="M1953" t="str">
        <f t="shared" si="41"/>
        <v/>
      </c>
    </row>
    <row r="1954" spans="13:13">
      <c r="M1954" t="str">
        <f t="shared" si="41"/>
        <v/>
      </c>
    </row>
    <row r="1955" spans="13:13">
      <c r="M1955" t="str">
        <f t="shared" si="41"/>
        <v/>
      </c>
    </row>
    <row r="1956" spans="13:13">
      <c r="M1956" t="str">
        <f t="shared" si="41"/>
        <v/>
      </c>
    </row>
    <row r="1957" spans="13:13">
      <c r="M1957" t="str">
        <f t="shared" si="41"/>
        <v/>
      </c>
    </row>
    <row r="1958" spans="13:13">
      <c r="M1958" t="str">
        <f t="shared" si="41"/>
        <v/>
      </c>
    </row>
    <row r="1959" spans="13:13">
      <c r="M1959" t="str">
        <f t="shared" si="41"/>
        <v/>
      </c>
    </row>
    <row r="1960" spans="13:13">
      <c r="M1960" t="str">
        <f t="shared" si="41"/>
        <v/>
      </c>
    </row>
    <row r="1961" spans="13:13">
      <c r="M1961" t="str">
        <f t="shared" si="41"/>
        <v/>
      </c>
    </row>
    <row r="1962" spans="13:13">
      <c r="M1962" t="str">
        <f t="shared" si="41"/>
        <v/>
      </c>
    </row>
    <row r="1963" spans="13:13">
      <c r="M1963" t="str">
        <f t="shared" si="41"/>
        <v/>
      </c>
    </row>
    <row r="1964" spans="13:13">
      <c r="M1964" t="str">
        <f t="shared" si="41"/>
        <v/>
      </c>
    </row>
    <row r="1965" spans="13:13">
      <c r="M1965" t="str">
        <f t="shared" si="41"/>
        <v/>
      </c>
    </row>
    <row r="1966" spans="13:13">
      <c r="M1966" t="str">
        <f t="shared" si="41"/>
        <v/>
      </c>
    </row>
    <row r="1967" spans="13:13">
      <c r="M1967" t="str">
        <f t="shared" si="41"/>
        <v/>
      </c>
    </row>
    <row r="1968" spans="13:13">
      <c r="M1968" t="str">
        <f t="shared" si="41"/>
        <v/>
      </c>
    </row>
    <row r="1969" spans="13:13">
      <c r="M1969" t="str">
        <f t="shared" si="41"/>
        <v/>
      </c>
    </row>
    <row r="1970" spans="13:13">
      <c r="M1970" t="str">
        <f t="shared" si="41"/>
        <v/>
      </c>
    </row>
    <row r="1971" spans="13:13">
      <c r="M1971" t="str">
        <f t="shared" si="41"/>
        <v/>
      </c>
    </row>
    <row r="1972" spans="13:13">
      <c r="M1972" t="str">
        <f t="shared" si="41"/>
        <v/>
      </c>
    </row>
    <row r="1973" spans="13:13">
      <c r="M1973" t="str">
        <f t="shared" si="41"/>
        <v/>
      </c>
    </row>
    <row r="1974" spans="13:13">
      <c r="M1974" t="str">
        <f t="shared" si="41"/>
        <v/>
      </c>
    </row>
    <row r="1975" spans="13:13">
      <c r="M1975" t="str">
        <f t="shared" si="41"/>
        <v/>
      </c>
    </row>
    <row r="1976" spans="13:13">
      <c r="M1976" t="str">
        <f t="shared" si="41"/>
        <v/>
      </c>
    </row>
    <row r="1977" spans="13:13">
      <c r="M1977" t="str">
        <f t="shared" si="41"/>
        <v/>
      </c>
    </row>
    <row r="1978" spans="13:13">
      <c r="M1978" t="str">
        <f t="shared" si="41"/>
        <v/>
      </c>
    </row>
    <row r="1979" spans="13:13">
      <c r="M1979" t="str">
        <f t="shared" si="41"/>
        <v/>
      </c>
    </row>
    <row r="1980" spans="13:13">
      <c r="M1980" t="str">
        <f t="shared" si="41"/>
        <v/>
      </c>
    </row>
    <row r="1981" spans="13:13">
      <c r="M1981" t="str">
        <f t="shared" si="41"/>
        <v/>
      </c>
    </row>
    <row r="1982" spans="13:13">
      <c r="M1982" t="str">
        <f t="shared" si="41"/>
        <v/>
      </c>
    </row>
    <row r="1983" spans="13:13">
      <c r="M1983" t="str">
        <f t="shared" si="41"/>
        <v/>
      </c>
    </row>
    <row r="1984" spans="13:13">
      <c r="M1984" t="str">
        <f t="shared" si="41"/>
        <v/>
      </c>
    </row>
    <row r="1985" spans="13:13">
      <c r="M1985" t="str">
        <f t="shared" si="41"/>
        <v/>
      </c>
    </row>
    <row r="1986" spans="13:13">
      <c r="M1986" t="str">
        <f t="shared" si="41"/>
        <v/>
      </c>
    </row>
    <row r="1987" spans="13:13">
      <c r="M1987" t="str">
        <f t="shared" si="41"/>
        <v/>
      </c>
    </row>
    <row r="1988" spans="13:13">
      <c r="M1988" t="str">
        <f t="shared" si="41"/>
        <v/>
      </c>
    </row>
    <row r="1989" spans="13:13">
      <c r="M1989" t="str">
        <f t="shared" ref="M1989:M2000" si="42">IF(A1989="","", WEEKNUM(A1989, 2))</f>
        <v/>
      </c>
    </row>
    <row r="1990" spans="13:13">
      <c r="M1990" t="str">
        <f t="shared" si="42"/>
        <v/>
      </c>
    </row>
    <row r="1991" spans="13:13">
      <c r="M1991" t="str">
        <f t="shared" si="42"/>
        <v/>
      </c>
    </row>
    <row r="1992" spans="13:13">
      <c r="M1992" t="str">
        <f t="shared" si="42"/>
        <v/>
      </c>
    </row>
    <row r="1993" spans="13:13">
      <c r="M1993" t="str">
        <f t="shared" si="42"/>
        <v/>
      </c>
    </row>
    <row r="1994" spans="13:13">
      <c r="M1994" t="str">
        <f t="shared" si="42"/>
        <v/>
      </c>
    </row>
    <row r="1995" spans="13:13">
      <c r="M1995" t="str">
        <f t="shared" si="42"/>
        <v/>
      </c>
    </row>
    <row r="1996" spans="13:13">
      <c r="M1996" t="str">
        <f t="shared" si="42"/>
        <v/>
      </c>
    </row>
    <row r="1997" spans="13:13">
      <c r="M1997" t="str">
        <f t="shared" si="42"/>
        <v/>
      </c>
    </row>
    <row r="1998" spans="13:13">
      <c r="M1998" t="str">
        <f t="shared" si="42"/>
        <v/>
      </c>
    </row>
    <row r="1999" spans="13:13">
      <c r="M1999" t="str">
        <f t="shared" si="42"/>
        <v/>
      </c>
    </row>
    <row r="2000" spans="13:13">
      <c r="M2000" t="str">
        <f t="shared" si="42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0"/>
  <sheetViews>
    <sheetView tabSelected="1" topLeftCell="A114" workbookViewId="0">
      <selection activeCell="B186" sqref="B186"/>
    </sheetView>
  </sheetViews>
  <sheetFormatPr baseColWidth="10" defaultRowHeight="13.8"/>
  <cols>
    <col min="2" max="2" width="22.796875" bestFit="1" customWidth="1"/>
    <col min="3" max="3" width="13.69921875" bestFit="1" customWidth="1"/>
    <col min="4" max="4" width="63.5" bestFit="1" customWidth="1"/>
    <col min="5" max="5" width="14.69921875" bestFit="1" customWidth="1"/>
    <col min="8" max="8" width="9.8984375" bestFit="1" customWidth="1"/>
  </cols>
  <sheetData>
    <row r="1" spans="1:14" ht="17.399999999999999">
      <c r="A1" s="18052" t="s">
        <v>30</v>
      </c>
      <c r="B1" s="18052"/>
      <c r="C1" s="18052"/>
      <c r="D1" s="18052"/>
      <c r="E1" s="18052"/>
      <c r="F1" s="18052"/>
      <c r="G1" s="18052"/>
      <c r="H1" s="18052"/>
      <c r="I1" s="18052"/>
      <c r="J1" s="18052"/>
      <c r="K1" s="18052"/>
      <c r="L1" s="18052"/>
    </row>
    <row r="2" spans="1:14">
      <c r="A2" t="s">
        <v>31</v>
      </c>
      <c r="C2" t="s">
        <v>6</v>
      </c>
      <c r="E2" t="s">
        <v>7</v>
      </c>
      <c r="G2" t="s">
        <v>32</v>
      </c>
      <c r="I2" t="s">
        <v>24</v>
      </c>
    </row>
    <row r="4" spans="1:14" ht="27.6">
      <c r="A4" s="1" t="s">
        <v>11</v>
      </c>
      <c r="B4" s="1" t="s">
        <v>0</v>
      </c>
      <c r="C4" s="1" t="s">
        <v>33</v>
      </c>
      <c r="D4" s="1" t="s">
        <v>27</v>
      </c>
      <c r="E4" s="1" t="s">
        <v>28</v>
      </c>
      <c r="F4" s="1" t="s">
        <v>34</v>
      </c>
      <c r="G4" s="1" t="s">
        <v>17</v>
      </c>
      <c r="H4" s="1" t="s">
        <v>18</v>
      </c>
      <c r="I4" s="1" t="s">
        <v>35</v>
      </c>
      <c r="J4" s="1" t="s">
        <v>36</v>
      </c>
      <c r="K4" s="1" t="s">
        <v>19</v>
      </c>
      <c r="M4" t="s">
        <v>408</v>
      </c>
      <c r="N4" t="s">
        <v>410</v>
      </c>
    </row>
    <row r="5" spans="1:14" hidden="1">
      <c r="A5" s="2">
        <v>46181</v>
      </c>
      <c r="B5" t="s">
        <v>1</v>
      </c>
      <c r="C5" t="s">
        <v>51</v>
      </c>
      <c r="D5" t="s">
        <v>85</v>
      </c>
      <c r="E5" t="e">
        <f>VLOOKUP(#REF!,Catalogos!$V$4:$W$64,2,FALSE)</f>
        <v>#REF!</v>
      </c>
      <c r="F5" s="3">
        <v>30</v>
      </c>
      <c r="G5" s="4">
        <v>27</v>
      </c>
      <c r="H5" s="4">
        <f t="shared" ref="H5:H36" si="0">IFERROR(F5*G5,0)</f>
        <v>810</v>
      </c>
      <c r="M5">
        <v>24</v>
      </c>
      <c r="N5" t="str">
        <f>IF(A5="","", "CO-" &amp; IFERROR(VLOOKUP(B5, Catalogos!$Z$4:$AA$20, 2, FALSE), "FOL") &amp; "-" &amp; WEEKNUM(A5,2) &amp; "-" &amp; TEXT(ROW(A1),"000"))</f>
        <v>CO-MT-24-001</v>
      </c>
    </row>
    <row r="6" spans="1:14" hidden="1">
      <c r="A6" s="2">
        <v>46181</v>
      </c>
      <c r="B6" t="s">
        <v>1</v>
      </c>
      <c r="C6" t="s">
        <v>51</v>
      </c>
      <c r="D6" t="s">
        <v>48</v>
      </c>
      <c r="E6" t="e">
        <f>VLOOKUP(#REF!,Catalogos!$V$4:$W$64,2,FALSE)</f>
        <v>#REF!</v>
      </c>
      <c r="F6" s="3">
        <v>32</v>
      </c>
      <c r="G6" s="4">
        <v>27</v>
      </c>
      <c r="H6" s="4">
        <f t="shared" si="0"/>
        <v>864</v>
      </c>
      <c r="M6">
        <v>24</v>
      </c>
      <c r="N6" t="str">
        <f>IF(A6="","", "CO-" &amp; IFERROR(VLOOKUP(B6, Catalogos!$Z$4:$AA$20, 2, FALSE), "FOL") &amp; "-" &amp; WEEKNUM(A6,2) &amp; "-" &amp; TEXT(ROW(A2),"000"))</f>
        <v>CO-MT-24-002</v>
      </c>
    </row>
    <row r="7" spans="1:14" hidden="1">
      <c r="A7" s="2">
        <v>46181</v>
      </c>
      <c r="B7" t="s">
        <v>1</v>
      </c>
      <c r="C7" t="s">
        <v>51</v>
      </c>
      <c r="D7" t="s">
        <v>69</v>
      </c>
      <c r="E7" t="e">
        <f>VLOOKUP(#REF!,Catalogos!$V$4:$W$64,2,FALSE)</f>
        <v>#REF!</v>
      </c>
      <c r="F7" s="3">
        <v>277</v>
      </c>
      <c r="G7" s="4">
        <v>27</v>
      </c>
      <c r="H7" s="4">
        <f t="shared" si="0"/>
        <v>7479</v>
      </c>
      <c r="M7">
        <v>24</v>
      </c>
      <c r="N7" t="str">
        <f>IF(A7="","", "CO-" &amp; IFERROR(VLOOKUP(B7, Catalogos!$Z$4:$AA$20, 2, FALSE), "FOL") &amp; "-" &amp; WEEKNUM(A7,2) &amp; "-" &amp; TEXT(ROW(A3),"000"))</f>
        <v>CO-MT-24-003</v>
      </c>
    </row>
    <row r="8" spans="1:14" hidden="1">
      <c r="A8" s="2">
        <v>46181</v>
      </c>
      <c r="B8" t="s">
        <v>1</v>
      </c>
      <c r="C8" t="s">
        <v>51</v>
      </c>
      <c r="D8" t="s">
        <v>56</v>
      </c>
      <c r="E8" t="e">
        <f>VLOOKUP(#REF!,Catalogos!$V$4:$W$64,2,FALSE)</f>
        <v>#REF!</v>
      </c>
      <c r="F8" s="3">
        <v>30</v>
      </c>
      <c r="G8" s="4">
        <v>27</v>
      </c>
      <c r="H8" s="4">
        <f t="shared" si="0"/>
        <v>810</v>
      </c>
      <c r="M8">
        <v>24</v>
      </c>
      <c r="N8" t="str">
        <f>IF(A8="","", "CO-" &amp; IFERROR(VLOOKUP(B8, Catalogos!$Z$4:$AA$20, 2, FALSE), "FOL") &amp; "-" &amp; WEEKNUM(A8,2) &amp; "-" &amp; TEXT(ROW(A4),"000"))</f>
        <v>CO-MT-24-004</v>
      </c>
    </row>
    <row r="9" spans="1:14" hidden="1">
      <c r="A9" s="2">
        <v>46181</v>
      </c>
      <c r="B9" t="s">
        <v>2</v>
      </c>
      <c r="C9" t="s">
        <v>51</v>
      </c>
      <c r="D9" t="s">
        <v>65</v>
      </c>
      <c r="E9" t="e">
        <f>VLOOKUP(#REF!,Catalogos!$V$4:$W$64,2,FALSE)</f>
        <v>#REF!</v>
      </c>
      <c r="F9" s="3">
        <v>97</v>
      </c>
      <c r="G9" s="4">
        <v>27</v>
      </c>
      <c r="H9" s="4">
        <f t="shared" si="0"/>
        <v>2619</v>
      </c>
      <c r="M9">
        <v>24</v>
      </c>
      <c r="N9" t="str">
        <f>IF(A9="","", "CO-" &amp; IFERROR(VLOOKUP(B9, Catalogos!$Z$4:$AA$20, 2, FALSE), "FOL") &amp; "-" &amp; WEEKNUM(A9,2) &amp; "-" &amp; TEXT(ROW(A5),"000"))</f>
        <v>CO-LT-24-005</v>
      </c>
    </row>
    <row r="10" spans="1:14" hidden="1">
      <c r="A10" s="2">
        <v>46181</v>
      </c>
      <c r="B10" t="s">
        <v>3</v>
      </c>
      <c r="C10" t="s">
        <v>51</v>
      </c>
      <c r="D10" t="s">
        <v>76</v>
      </c>
      <c r="E10" t="e">
        <f>VLOOKUP(#REF!,Catalogos!$V$4:$W$64,2,FALSE)</f>
        <v>#REF!</v>
      </c>
      <c r="F10" s="3">
        <v>198</v>
      </c>
      <c r="G10" s="4">
        <v>27</v>
      </c>
      <c r="H10" s="4">
        <f t="shared" si="0"/>
        <v>5346</v>
      </c>
      <c r="M10">
        <v>24</v>
      </c>
      <c r="N10" t="str">
        <f>IF(A10="","", "CO-" &amp; IFERROR(VLOOKUP(B10, Catalogos!$Z$4:$AA$20, 2, FALSE), "FOL") &amp; "-" &amp; WEEKNUM(A10,2) &amp; "-" &amp; TEXT(ROW(A6),"000"))</f>
        <v>CO-CL-24-006</v>
      </c>
    </row>
    <row r="11" spans="1:14" hidden="1">
      <c r="A11" s="2">
        <v>46181</v>
      </c>
      <c r="B11" t="s">
        <v>3</v>
      </c>
      <c r="C11" t="s">
        <v>51</v>
      </c>
      <c r="D11" t="s">
        <v>96</v>
      </c>
      <c r="E11" t="e">
        <f>VLOOKUP(#REF!,Catalogos!$V$4:$W$64,2,FALSE)</f>
        <v>#REF!</v>
      </c>
      <c r="F11" s="3">
        <v>10</v>
      </c>
      <c r="G11" s="4">
        <v>27</v>
      </c>
      <c r="H11" s="4">
        <f t="shared" si="0"/>
        <v>270</v>
      </c>
      <c r="M11">
        <v>24</v>
      </c>
      <c r="N11" t="str">
        <f>IF(A11="","", "CO-" &amp; IFERROR(VLOOKUP(B11, Catalogos!$Z$4:$AA$20, 2, FALSE), "FOL") &amp; "-" &amp; WEEKNUM(A11,2) &amp; "-" &amp; TEXT(ROW(A7),"000"))</f>
        <v>CO-CL-24-007</v>
      </c>
    </row>
    <row r="12" spans="1:14" hidden="1">
      <c r="A12" s="2">
        <v>46181</v>
      </c>
      <c r="B12" t="s">
        <v>3</v>
      </c>
      <c r="C12" t="s">
        <v>51</v>
      </c>
      <c r="D12" t="s">
        <v>90</v>
      </c>
      <c r="E12" t="e">
        <f>VLOOKUP(#REF!,Catalogos!$V$4:$W$64,2,FALSE)</f>
        <v>#REF!</v>
      </c>
      <c r="F12" s="3">
        <v>27</v>
      </c>
      <c r="G12" s="4">
        <v>27</v>
      </c>
      <c r="H12" s="4">
        <f t="shared" si="0"/>
        <v>729</v>
      </c>
      <c r="M12">
        <v>24</v>
      </c>
      <c r="N12" t="str">
        <f>IF(A12="","", "CO-" &amp; IFERROR(VLOOKUP(B12, Catalogos!$Z$4:$AA$20, 2, FALSE), "FOL") &amp; "-" &amp; WEEKNUM(A12,2) &amp; "-" &amp; TEXT(ROW(A8),"000"))</f>
        <v>CO-CL-24-008</v>
      </c>
    </row>
    <row r="13" spans="1:14" hidden="1">
      <c r="A13" s="2">
        <v>46181</v>
      </c>
      <c r="B13" t="s">
        <v>3</v>
      </c>
      <c r="C13" t="s">
        <v>51</v>
      </c>
      <c r="D13" t="s">
        <v>98</v>
      </c>
      <c r="E13" t="e">
        <f>VLOOKUP(#REF!,Catalogos!$V$4:$W$64,2,FALSE)</f>
        <v>#REF!</v>
      </c>
      <c r="F13" s="3">
        <v>30</v>
      </c>
      <c r="G13" s="4">
        <v>27</v>
      </c>
      <c r="H13" s="4">
        <f t="shared" si="0"/>
        <v>810</v>
      </c>
      <c r="M13">
        <v>24</v>
      </c>
      <c r="N13" t="str">
        <f>IF(A13="","", "CO-" &amp; IFERROR(VLOOKUP(B13, Catalogos!$Z$4:$AA$20, 2, FALSE), "FOL") &amp; "-" &amp; WEEKNUM(A13,2) &amp; "-" &amp; TEXT(ROW(A9),"000"))</f>
        <v>CO-CL-24-009</v>
      </c>
    </row>
    <row r="14" spans="1:14" hidden="1">
      <c r="A14" s="2">
        <v>46181</v>
      </c>
      <c r="B14" t="s">
        <v>3</v>
      </c>
      <c r="C14" t="s">
        <v>51</v>
      </c>
      <c r="D14" t="s">
        <v>81</v>
      </c>
      <c r="E14" t="e">
        <f>VLOOKUP(#REF!,Catalogos!$V$4:$W$64,2,FALSE)</f>
        <v>#REF!</v>
      </c>
      <c r="F14" s="3">
        <v>40</v>
      </c>
      <c r="G14" s="4">
        <v>27</v>
      </c>
      <c r="H14" s="4">
        <f t="shared" si="0"/>
        <v>1080</v>
      </c>
      <c r="M14" s="3">
        <v>24</v>
      </c>
      <c r="N14" t="str">
        <f>IF(A14="","", "CO-" &amp; IFERROR(VLOOKUP(B14, Catalogos!$Z$4:$AA$20, 2, FALSE), "FOL") &amp; "-" &amp; WEEKNUM(A14,2) &amp; "-" &amp; TEXT(ROW(A10),"000"))</f>
        <v>CO-CL-24-010</v>
      </c>
    </row>
    <row r="15" spans="1:14" hidden="1">
      <c r="A15" s="2">
        <v>46181</v>
      </c>
      <c r="B15" t="s">
        <v>3</v>
      </c>
      <c r="C15" t="s">
        <v>51</v>
      </c>
      <c r="D15" t="s">
        <v>86</v>
      </c>
      <c r="E15" t="e">
        <f>VLOOKUP(#REF!,Catalogos!$V$4:$W$64,2,FALSE)</f>
        <v>#REF!</v>
      </c>
      <c r="F15" s="3">
        <v>120</v>
      </c>
      <c r="G15" s="4">
        <v>27</v>
      </c>
      <c r="H15" s="4">
        <f t="shared" si="0"/>
        <v>3240</v>
      </c>
      <c r="M15">
        <v>24</v>
      </c>
      <c r="N15" t="str">
        <f>IF(A15="","", "CO-" &amp; IFERROR(VLOOKUP(B15, Catalogos!$Z$4:$AA$20, 2, FALSE), "FOL") &amp; "-" &amp; WEEKNUM(A15,2) &amp; "-" &amp; TEXT(ROW(A11),"000"))</f>
        <v>CO-CL-24-011</v>
      </c>
    </row>
    <row r="16" spans="1:14" hidden="1">
      <c r="A16" s="2">
        <v>46181</v>
      </c>
      <c r="B16" t="s">
        <v>3</v>
      </c>
      <c r="C16" t="s">
        <v>51</v>
      </c>
      <c r="D16" t="s">
        <v>92</v>
      </c>
      <c r="E16" t="e">
        <f>VLOOKUP(#REF!,Catalogos!$V$4:$W$64,2,FALSE)</f>
        <v>#REF!</v>
      </c>
      <c r="F16" s="3">
        <v>30</v>
      </c>
      <c r="G16" s="4">
        <v>27</v>
      </c>
      <c r="H16" s="4">
        <f t="shared" si="0"/>
        <v>810</v>
      </c>
      <c r="M16">
        <v>24</v>
      </c>
      <c r="N16" t="str">
        <f>IF(A16="","", "CO-" &amp; IFERROR(VLOOKUP(B16, Catalogos!$Z$4:$AA$20, 2, FALSE), "FOL") &amp; "-" &amp; WEEKNUM(A16,2) &amp; "-" &amp; TEXT(ROW(A12),"000"))</f>
        <v>CO-CL-24-012</v>
      </c>
    </row>
    <row r="17" spans="1:14" hidden="1">
      <c r="A17" s="2">
        <v>46181</v>
      </c>
      <c r="B17" t="s">
        <v>111</v>
      </c>
      <c r="C17" t="s">
        <v>47</v>
      </c>
      <c r="D17" t="s">
        <v>112</v>
      </c>
      <c r="E17" t="e">
        <f>VLOOKUP(#REF!,Catalogos!$V$4:$W$64,2,FALSE)</f>
        <v>#REF!</v>
      </c>
      <c r="F17" s="3">
        <v>100</v>
      </c>
      <c r="G17" s="4">
        <v>27</v>
      </c>
      <c r="H17" s="4">
        <f t="shared" si="0"/>
        <v>2700</v>
      </c>
      <c r="M17">
        <v>24</v>
      </c>
      <c r="N17" t="str">
        <f>IF(A17="","", "CO-" &amp; IFERROR(VLOOKUP(B17, Catalogos!$Z$4:$AA$20, 2, FALSE), "FOL") &amp; "-" &amp; WEEKNUM(A17,2) &amp; "-" &amp; TEXT(ROW(A13),"000"))</f>
        <v>CO-BT-24-013</v>
      </c>
    </row>
    <row r="18" spans="1:14">
      <c r="A18" s="2">
        <v>46181</v>
      </c>
      <c r="B18" t="s">
        <v>400</v>
      </c>
      <c r="C18" t="s">
        <v>47</v>
      </c>
      <c r="D18" t="s">
        <v>112</v>
      </c>
      <c r="E18" t="e">
        <f>VLOOKUP(#REF!,Catalogos!$V$4:$W$64,2,FALSE)</f>
        <v>#REF!</v>
      </c>
      <c r="F18" s="3">
        <v>200</v>
      </c>
      <c r="G18" s="4">
        <v>27</v>
      </c>
      <c r="H18" s="4">
        <f t="shared" si="0"/>
        <v>5400</v>
      </c>
      <c r="M18">
        <v>24</v>
      </c>
      <c r="N18" t="str">
        <f>IF(A18="","", "CO-" &amp; IFERROR(VLOOKUP(B18, Catalogos!$Z$4:$AA$20, 2, FALSE), "FOL") &amp; "-" &amp; WEEKNUM(A18,2) &amp; "-" &amp; TEXT(ROW(A14),"000"))</f>
        <v>CO-MP-24-014</v>
      </c>
    </row>
    <row r="19" spans="1:14">
      <c r="A19" s="2">
        <v>46181</v>
      </c>
      <c r="B19" t="s">
        <v>400</v>
      </c>
      <c r="C19" t="s">
        <v>47</v>
      </c>
      <c r="D19" t="s">
        <v>112</v>
      </c>
      <c r="E19" t="e">
        <f>VLOOKUP(#REF!,Catalogos!$V$4:$W$64,2,FALSE)</f>
        <v>#REF!</v>
      </c>
      <c r="F19" s="3">
        <v>209</v>
      </c>
      <c r="G19" s="4">
        <v>27</v>
      </c>
      <c r="H19" s="4">
        <f t="shared" si="0"/>
        <v>5643</v>
      </c>
      <c r="M19">
        <v>24</v>
      </c>
      <c r="N19" t="str">
        <f>IF(A19="","", "CO-" &amp; IFERROR(VLOOKUP(B19, Catalogos!$Z$4:$AA$20, 2, FALSE), "FOL") &amp; "-" &amp; WEEKNUM(A19,2) &amp; "-" &amp; TEXT(ROW(A15),"000"))</f>
        <v>CO-MP-24-015</v>
      </c>
    </row>
    <row r="20" spans="1:14" hidden="1">
      <c r="A20" s="2">
        <v>46182</v>
      </c>
      <c r="B20" t="s">
        <v>3</v>
      </c>
      <c r="C20" t="s">
        <v>51</v>
      </c>
      <c r="D20" t="s">
        <v>79</v>
      </c>
      <c r="E20" t="e">
        <f>VLOOKUP(#REF!,Catalogos!$V$4:$W$64,2,FALSE)</f>
        <v>#REF!</v>
      </c>
      <c r="F20" s="3">
        <v>30</v>
      </c>
      <c r="G20" s="4">
        <v>27</v>
      </c>
      <c r="H20" s="4">
        <f t="shared" si="0"/>
        <v>810</v>
      </c>
      <c r="M20">
        <v>24</v>
      </c>
      <c r="N20" t="str">
        <f>IF(A20="","", "CO-" &amp; IFERROR(VLOOKUP(B20, Catalogos!$Z$4:$AA$20, 2, FALSE), "FOL") &amp; "-" &amp; WEEKNUM(A20,2) &amp; "-" &amp; TEXT(ROW(A16),"000"))</f>
        <v>CO-CL-24-016</v>
      </c>
    </row>
    <row r="21" spans="1:14" hidden="1">
      <c r="A21" s="2">
        <v>46182</v>
      </c>
      <c r="B21" t="s">
        <v>3</v>
      </c>
      <c r="C21" t="s">
        <v>51</v>
      </c>
      <c r="D21" t="s">
        <v>83</v>
      </c>
      <c r="E21" t="e">
        <f>VLOOKUP(#REF!,Catalogos!$V$4:$W$64,2,FALSE)</f>
        <v>#REF!</v>
      </c>
      <c r="F21" s="3">
        <v>100</v>
      </c>
      <c r="G21" s="4">
        <v>27</v>
      </c>
      <c r="H21" s="4">
        <f t="shared" si="0"/>
        <v>2700</v>
      </c>
      <c r="M21">
        <v>24</v>
      </c>
      <c r="N21" t="str">
        <f>IF(A21="","", "CO-" &amp; IFERROR(VLOOKUP(B21, Catalogos!$Z$4:$AA$20, 2, FALSE), "FOL") &amp; "-" &amp; WEEKNUM(A21,2) &amp; "-" &amp; TEXT(ROW(A17),"000"))</f>
        <v>CO-CL-24-017</v>
      </c>
    </row>
    <row r="22" spans="1:14" hidden="1">
      <c r="A22" s="2">
        <v>46182</v>
      </c>
      <c r="B22" t="s">
        <v>3</v>
      </c>
      <c r="C22" t="s">
        <v>51</v>
      </c>
      <c r="D22" t="s">
        <v>88</v>
      </c>
      <c r="E22" t="e">
        <f>VLOOKUP(#REF!,Catalogos!$V$4:$W$64,2,FALSE)</f>
        <v>#REF!</v>
      </c>
      <c r="F22" s="3">
        <v>30</v>
      </c>
      <c r="G22" s="4">
        <v>27</v>
      </c>
      <c r="H22" s="4">
        <f t="shared" si="0"/>
        <v>810</v>
      </c>
      <c r="M22">
        <v>24</v>
      </c>
      <c r="N22" t="str">
        <f>IF(A22="","", "CO-" &amp; IFERROR(VLOOKUP(B22, Catalogos!$Z$4:$AA$20, 2, FALSE), "FOL") &amp; "-" &amp; WEEKNUM(A22,2) &amp; "-" &amp; TEXT(ROW(A18),"000"))</f>
        <v>CO-CL-24-018</v>
      </c>
    </row>
    <row r="23" spans="1:14" hidden="1">
      <c r="A23" s="2">
        <v>46182</v>
      </c>
      <c r="B23" t="s">
        <v>3</v>
      </c>
      <c r="C23" t="s">
        <v>51</v>
      </c>
      <c r="D23" t="s">
        <v>76</v>
      </c>
      <c r="E23" t="e">
        <f>VLOOKUP(#REF!,Catalogos!$V$4:$W$64,2,FALSE)</f>
        <v>#REF!</v>
      </c>
      <c r="F23" s="3">
        <v>150</v>
      </c>
      <c r="G23" s="4">
        <v>27</v>
      </c>
      <c r="H23" s="4">
        <f t="shared" si="0"/>
        <v>4050</v>
      </c>
      <c r="M23">
        <v>24</v>
      </c>
      <c r="N23" t="str">
        <f>IF(A23="","", "CO-" &amp; IFERROR(VLOOKUP(B23, Catalogos!$Z$4:$AA$20, 2, FALSE), "FOL") &amp; "-" &amp; WEEKNUM(A23,2) &amp; "-" &amp; TEXT(ROW(A19),"000"))</f>
        <v>CO-CL-24-019</v>
      </c>
    </row>
    <row r="24" spans="1:14" hidden="1">
      <c r="A24" s="2">
        <v>46182</v>
      </c>
      <c r="B24" t="s">
        <v>3</v>
      </c>
      <c r="C24" t="s">
        <v>51</v>
      </c>
      <c r="D24" t="s">
        <v>92</v>
      </c>
      <c r="E24" t="e">
        <f>VLOOKUP(#REF!,Catalogos!$V$4:$W$64,2,FALSE)</f>
        <v>#REF!</v>
      </c>
      <c r="F24" s="3">
        <v>50</v>
      </c>
      <c r="G24" s="4">
        <v>27</v>
      </c>
      <c r="H24" s="4">
        <f t="shared" si="0"/>
        <v>1350</v>
      </c>
      <c r="M24">
        <v>24</v>
      </c>
      <c r="N24" t="str">
        <f>IF(A24="","", "CO-" &amp; IFERROR(VLOOKUP(B24, Catalogos!$Z$4:$AA$20, 2, FALSE), "FOL") &amp; "-" &amp; WEEKNUM(A24,2) &amp; "-" &amp; TEXT(ROW(A20),"000"))</f>
        <v>CO-CL-24-020</v>
      </c>
    </row>
    <row r="25" spans="1:14" hidden="1">
      <c r="A25" s="2">
        <v>46182</v>
      </c>
      <c r="B25" t="s">
        <v>3</v>
      </c>
      <c r="C25" t="s">
        <v>51</v>
      </c>
      <c r="D25" t="s">
        <v>86</v>
      </c>
      <c r="E25" t="e">
        <f>VLOOKUP(#REF!,Catalogos!$V$4:$W$64,2,FALSE)</f>
        <v>#REF!</v>
      </c>
      <c r="F25" s="3">
        <v>136</v>
      </c>
      <c r="G25" s="4">
        <v>27</v>
      </c>
      <c r="H25" s="4">
        <f t="shared" si="0"/>
        <v>3672</v>
      </c>
      <c r="M25">
        <v>24</v>
      </c>
      <c r="N25" t="str">
        <f>IF(A25="","", "CO-" &amp; IFERROR(VLOOKUP(B25, Catalogos!$Z$4:$AA$20, 2, FALSE), "FOL") &amp; "-" &amp; WEEKNUM(A25,2) &amp; "-" &amp; TEXT(ROW(A21),"000"))</f>
        <v>CO-CL-24-021</v>
      </c>
    </row>
    <row r="26" spans="1:14" hidden="1">
      <c r="A26" s="2">
        <v>46182</v>
      </c>
      <c r="B26" t="s">
        <v>3</v>
      </c>
      <c r="C26" t="s">
        <v>51</v>
      </c>
      <c r="D26" t="s">
        <v>88</v>
      </c>
      <c r="E26" t="e">
        <f>VLOOKUP(#REF!,Catalogos!$V$4:$W$64,2,FALSE)</f>
        <v>#REF!</v>
      </c>
      <c r="F26" s="3">
        <v>30</v>
      </c>
      <c r="G26" s="4">
        <v>27</v>
      </c>
      <c r="H26" s="4">
        <f t="shared" si="0"/>
        <v>810</v>
      </c>
      <c r="M26">
        <v>24</v>
      </c>
      <c r="N26" t="str">
        <f>IF(A26="","", "CO-" &amp; IFERROR(VLOOKUP(B26, Catalogos!$Z$4:$AA$20, 2, FALSE), "FOL") &amp; "-" &amp; WEEKNUM(A26,2) &amp; "-" &amp; TEXT(ROW(A22),"000"))</f>
        <v>CO-CL-24-022</v>
      </c>
    </row>
    <row r="27" spans="1:14" hidden="1">
      <c r="A27" s="2">
        <v>46182</v>
      </c>
      <c r="B27" t="s">
        <v>3</v>
      </c>
      <c r="C27" t="s">
        <v>51</v>
      </c>
      <c r="D27" t="s">
        <v>85</v>
      </c>
      <c r="E27" t="e">
        <f>VLOOKUP(#REF!,Catalogos!$V$4:$W$64,2,FALSE)</f>
        <v>#REF!</v>
      </c>
      <c r="F27" s="3">
        <v>30</v>
      </c>
      <c r="G27" s="4">
        <v>27</v>
      </c>
      <c r="H27" s="4">
        <f t="shared" si="0"/>
        <v>810</v>
      </c>
      <c r="M27">
        <v>24</v>
      </c>
      <c r="N27" t="str">
        <f>IF(A27="","", "CO-" &amp; IFERROR(VLOOKUP(B27, Catalogos!$Z$4:$AA$20, 2, FALSE), "FOL") &amp; "-" &amp; WEEKNUM(A27,2) &amp; "-" &amp; TEXT(ROW(A23),"000"))</f>
        <v>CO-CL-24-023</v>
      </c>
    </row>
    <row r="28" spans="1:14" hidden="1">
      <c r="A28" s="2">
        <v>46182</v>
      </c>
      <c r="B28" t="s">
        <v>3</v>
      </c>
      <c r="C28" t="s">
        <v>51</v>
      </c>
      <c r="D28" t="s">
        <v>83</v>
      </c>
      <c r="E28" t="e">
        <f>VLOOKUP(#REF!,Catalogos!$V$4:$W$64,2,FALSE)</f>
        <v>#REF!</v>
      </c>
      <c r="F28" s="3">
        <v>100</v>
      </c>
      <c r="G28" s="4">
        <v>27</v>
      </c>
      <c r="H28" s="4">
        <f t="shared" si="0"/>
        <v>2700</v>
      </c>
      <c r="M28">
        <v>24</v>
      </c>
      <c r="N28" t="str">
        <f>IF(A28="","", "CO-" &amp; IFERROR(VLOOKUP(B28, Catalogos!$Z$4:$AA$20, 2, FALSE), "FOL") &amp; "-" &amp; WEEKNUM(A28,2) &amp; "-" &amp; TEXT(ROW(A24),"000"))</f>
        <v>CO-CL-24-024</v>
      </c>
    </row>
    <row r="29" spans="1:14" hidden="1">
      <c r="A29" s="2">
        <v>46182</v>
      </c>
      <c r="B29" t="s">
        <v>3</v>
      </c>
      <c r="C29" t="s">
        <v>51</v>
      </c>
      <c r="D29" t="s">
        <v>81</v>
      </c>
      <c r="E29" t="e">
        <f>VLOOKUP(#REF!,Catalogos!$V$4:$W$64,2,FALSE)</f>
        <v>#REF!</v>
      </c>
      <c r="F29" s="3">
        <v>60</v>
      </c>
      <c r="G29" s="4">
        <v>27</v>
      </c>
      <c r="H29" s="4">
        <f t="shared" si="0"/>
        <v>1620</v>
      </c>
      <c r="M29">
        <v>24</v>
      </c>
      <c r="N29" t="str">
        <f>IF(A29="","", "CO-" &amp; IFERROR(VLOOKUP(B29, Catalogos!$Z$4:$AA$20, 2, FALSE), "FOL") &amp; "-" &amp; WEEKNUM(A29,2) &amp; "-" &amp; TEXT(ROW(A25),"000"))</f>
        <v>CO-CL-24-025</v>
      </c>
    </row>
    <row r="30" spans="1:14" hidden="1">
      <c r="A30" s="2">
        <v>46182</v>
      </c>
      <c r="B30" t="s">
        <v>3</v>
      </c>
      <c r="C30" t="s">
        <v>51</v>
      </c>
      <c r="D30" t="s">
        <v>98</v>
      </c>
      <c r="E30" t="e">
        <f>VLOOKUP(#REF!,Catalogos!$V$4:$W$64,2,FALSE)</f>
        <v>#REF!</v>
      </c>
      <c r="F30" s="3">
        <v>20</v>
      </c>
      <c r="G30" s="4">
        <v>27</v>
      </c>
      <c r="H30" s="4">
        <f t="shared" si="0"/>
        <v>540</v>
      </c>
      <c r="M30">
        <v>24</v>
      </c>
      <c r="N30" t="str">
        <f>IF(A30="","", "CO-" &amp; IFERROR(VLOOKUP(B30, Catalogos!$Z$4:$AA$20, 2, FALSE), "FOL") &amp; "-" &amp; WEEKNUM(A30,2) &amp; "-" &amp; TEXT(ROW(A26),"000"))</f>
        <v>CO-CL-24-026</v>
      </c>
    </row>
    <row r="31" spans="1:14" hidden="1">
      <c r="A31" s="2">
        <v>46182</v>
      </c>
      <c r="B31" t="s">
        <v>2</v>
      </c>
      <c r="C31" t="s">
        <v>47</v>
      </c>
      <c r="D31" t="s">
        <v>56</v>
      </c>
      <c r="E31" t="e">
        <f>VLOOKUP(#REF!,Catalogos!$V$4:$W$64,2,FALSE)</f>
        <v>#REF!</v>
      </c>
      <c r="F31" s="3">
        <v>70</v>
      </c>
      <c r="G31" s="4">
        <v>27</v>
      </c>
      <c r="H31" s="4">
        <f t="shared" si="0"/>
        <v>1890</v>
      </c>
      <c r="M31">
        <v>24</v>
      </c>
      <c r="N31" t="str">
        <f>IF(A31="","", "CO-" &amp; IFERROR(VLOOKUP(B31, Catalogos!$Z$4:$AA$20, 2, FALSE), "FOL") &amp; "-" &amp; WEEKNUM(A31,2) &amp; "-" &amp; TEXT(ROW(A27),"000"))</f>
        <v>CO-LT-24-027</v>
      </c>
    </row>
    <row r="32" spans="1:14" hidden="1">
      <c r="A32" s="2">
        <v>46182</v>
      </c>
      <c r="B32" t="s">
        <v>2</v>
      </c>
      <c r="C32" t="s">
        <v>47</v>
      </c>
      <c r="D32" t="s">
        <v>104</v>
      </c>
      <c r="E32" t="e">
        <f>VLOOKUP(#REF!,Catalogos!$V$4:$W$64,2,FALSE)</f>
        <v>#REF!</v>
      </c>
      <c r="F32" s="3">
        <v>50</v>
      </c>
      <c r="G32" s="4">
        <v>27</v>
      </c>
      <c r="H32" s="4">
        <f t="shared" si="0"/>
        <v>1350</v>
      </c>
      <c r="M32">
        <v>24</v>
      </c>
      <c r="N32" t="str">
        <f>IF(A32="","", "CO-" &amp; IFERROR(VLOOKUP(B32, Catalogos!$Z$4:$AA$20, 2, FALSE), "FOL") &amp; "-" &amp; WEEKNUM(A32,2) &amp; "-" &amp; TEXT(ROW(A28),"000"))</f>
        <v>CO-LT-24-028</v>
      </c>
    </row>
    <row r="33" spans="1:14" hidden="1">
      <c r="A33" s="2">
        <v>46182</v>
      </c>
      <c r="B33" t="s">
        <v>2</v>
      </c>
      <c r="C33" t="s">
        <v>47</v>
      </c>
      <c r="D33" t="s">
        <v>60</v>
      </c>
      <c r="E33" t="e">
        <f>VLOOKUP(#REF!,Catalogos!$V$4:$W$64,2,FALSE)</f>
        <v>#REF!</v>
      </c>
      <c r="F33" s="3">
        <v>60</v>
      </c>
      <c r="G33" s="4">
        <v>27</v>
      </c>
      <c r="H33" s="4">
        <f t="shared" si="0"/>
        <v>1620</v>
      </c>
      <c r="M33">
        <v>24</v>
      </c>
      <c r="N33" t="str">
        <f>IF(A33="","", "CO-" &amp; IFERROR(VLOOKUP(B33, Catalogos!$Z$4:$AA$20, 2, FALSE), "FOL") &amp; "-" &amp; WEEKNUM(A33,2) &amp; "-" &amp; TEXT(ROW(A29),"000"))</f>
        <v>CO-LT-24-029</v>
      </c>
    </row>
    <row r="34" spans="1:14" hidden="1">
      <c r="A34" s="2">
        <v>46183</v>
      </c>
      <c r="B34" t="s">
        <v>1</v>
      </c>
      <c r="C34" t="s">
        <v>51</v>
      </c>
      <c r="D34" t="s">
        <v>70</v>
      </c>
      <c r="E34" t="e">
        <f>VLOOKUP(#REF!,Catalogos!$V$4:$W$64,2,FALSE)</f>
        <v>#REF!</v>
      </c>
      <c r="F34" s="3">
        <v>20</v>
      </c>
      <c r="G34" s="4">
        <v>27</v>
      </c>
      <c r="H34" s="4">
        <f t="shared" si="0"/>
        <v>540</v>
      </c>
      <c r="M34">
        <v>24</v>
      </c>
      <c r="N34" t="str">
        <f>IF(A34="","", "CO-" &amp; IFERROR(VLOOKUP(B34, Catalogos!$Z$4:$AA$20, 2, FALSE), "FOL") &amp; "-" &amp; WEEKNUM(A34,2) &amp; "-" &amp; TEXT(ROW(A30),"000"))</f>
        <v>CO-MT-24-030</v>
      </c>
    </row>
    <row r="35" spans="1:14" hidden="1">
      <c r="A35" s="2">
        <v>46183</v>
      </c>
      <c r="B35" t="s">
        <v>1</v>
      </c>
      <c r="C35" t="s">
        <v>51</v>
      </c>
      <c r="D35" t="s">
        <v>69</v>
      </c>
      <c r="E35" t="e">
        <f>VLOOKUP(#REF!,Catalogos!$V$4:$W$64,2,FALSE)</f>
        <v>#REF!</v>
      </c>
      <c r="F35" s="3">
        <v>250</v>
      </c>
      <c r="G35" s="4">
        <v>27</v>
      </c>
      <c r="H35" s="4">
        <f t="shared" si="0"/>
        <v>6750</v>
      </c>
      <c r="M35">
        <v>24</v>
      </c>
      <c r="N35" t="str">
        <f>IF(A35="","", "CO-" &amp; IFERROR(VLOOKUP(B35, Catalogos!$Z$4:$AA$20, 2, FALSE), "FOL") &amp; "-" &amp; WEEKNUM(A35,2) &amp; "-" &amp; TEXT(ROW(A31),"000"))</f>
        <v>CO-MT-24-031</v>
      </c>
    </row>
    <row r="36" spans="1:14" hidden="1">
      <c r="A36" s="2">
        <v>46183</v>
      </c>
      <c r="B36" t="s">
        <v>1</v>
      </c>
      <c r="C36" t="s">
        <v>51</v>
      </c>
      <c r="D36" t="s">
        <v>56</v>
      </c>
      <c r="E36" t="e">
        <f>VLOOKUP(#REF!,Catalogos!$V$4:$W$64,2,FALSE)</f>
        <v>#REF!</v>
      </c>
      <c r="F36" s="3">
        <v>30</v>
      </c>
      <c r="G36" s="4">
        <v>27</v>
      </c>
      <c r="H36" s="4">
        <f t="shared" si="0"/>
        <v>810</v>
      </c>
      <c r="M36">
        <v>24</v>
      </c>
      <c r="N36" t="str">
        <f>IF(A36="","", "CO-" &amp; IFERROR(VLOOKUP(B36, Catalogos!$Z$4:$AA$20, 2, FALSE), "FOL") &amp; "-" &amp; WEEKNUM(A36,2) &amp; "-" &amp; TEXT(ROW(A32),"000"))</f>
        <v>CO-MT-24-032</v>
      </c>
    </row>
    <row r="37" spans="1:14" hidden="1">
      <c r="A37" s="2">
        <v>46183</v>
      </c>
      <c r="B37" t="s">
        <v>111</v>
      </c>
      <c r="C37" t="s">
        <v>47</v>
      </c>
      <c r="D37" t="s">
        <v>112</v>
      </c>
      <c r="E37" t="e">
        <f>VLOOKUP(#REF!,Catalogos!$V$4:$W$64,2,FALSE)</f>
        <v>#REF!</v>
      </c>
      <c r="F37" s="3">
        <v>100</v>
      </c>
      <c r="G37" s="4">
        <v>27</v>
      </c>
      <c r="H37" s="4">
        <f t="shared" ref="H37:H68" si="1">IFERROR(F37*G37,0)</f>
        <v>2700</v>
      </c>
      <c r="M37">
        <v>24</v>
      </c>
      <c r="N37" t="str">
        <f>IF(A37="","", "CO-" &amp; IFERROR(VLOOKUP(B37, Catalogos!$Z$4:$AA$20, 2, FALSE), "FOL") &amp; "-" &amp; WEEKNUM(A37,2) &amp; "-" &amp; TEXT(ROW(A33),"000"))</f>
        <v>CO-BT-24-033</v>
      </c>
    </row>
    <row r="38" spans="1:14" hidden="1">
      <c r="A38" s="2">
        <v>46184</v>
      </c>
      <c r="B38" t="s">
        <v>1</v>
      </c>
      <c r="C38" t="s">
        <v>51</v>
      </c>
      <c r="D38" t="s">
        <v>48</v>
      </c>
      <c r="E38" t="e">
        <f>VLOOKUP(#REF!,Catalogos!$V$4:$W$64,2,FALSE)</f>
        <v>#REF!</v>
      </c>
      <c r="F38" s="3">
        <v>30</v>
      </c>
      <c r="G38" s="4">
        <v>27</v>
      </c>
      <c r="H38" s="4">
        <f t="shared" si="1"/>
        <v>810</v>
      </c>
      <c r="K38" t="s">
        <v>126</v>
      </c>
      <c r="M38">
        <v>24</v>
      </c>
      <c r="N38" t="str">
        <f>IF(A38="","", "CO-" &amp; IFERROR(VLOOKUP(B38, Catalogos!$Z$4:$AA$20, 2, FALSE), "FOL") &amp; "-" &amp; WEEKNUM(A38,2) &amp; "-" &amp; TEXT(ROW(A34),"000"))</f>
        <v>CO-MT-24-034</v>
      </c>
    </row>
    <row r="39" spans="1:14" hidden="1">
      <c r="A39" s="2">
        <v>46184</v>
      </c>
      <c r="B39" t="s">
        <v>1</v>
      </c>
      <c r="C39" t="s">
        <v>51</v>
      </c>
      <c r="D39" t="s">
        <v>85</v>
      </c>
      <c r="E39" t="e">
        <f>VLOOKUP(#REF!,Catalogos!$V$4:$W$64,2,FALSE)</f>
        <v>#REF!</v>
      </c>
      <c r="F39" s="3">
        <v>30</v>
      </c>
      <c r="G39" s="4">
        <v>27</v>
      </c>
      <c r="H39" s="4">
        <f t="shared" si="1"/>
        <v>810</v>
      </c>
      <c r="K39" t="s">
        <v>126</v>
      </c>
      <c r="M39">
        <v>24</v>
      </c>
      <c r="N39" t="str">
        <f>IF(A39="","", "CO-" &amp; IFERROR(VLOOKUP(B39, Catalogos!$Z$4:$AA$20, 2, FALSE), "FOL") &amp; "-" &amp; WEEKNUM(A39,2) &amp; "-" &amp; TEXT(ROW(A35),"000"))</f>
        <v>CO-MT-24-035</v>
      </c>
    </row>
    <row r="40" spans="1:14" hidden="1">
      <c r="A40" s="2">
        <v>46184</v>
      </c>
      <c r="B40" t="s">
        <v>1</v>
      </c>
      <c r="C40" t="s">
        <v>51</v>
      </c>
      <c r="D40" t="s">
        <v>65</v>
      </c>
      <c r="E40" t="e">
        <f>VLOOKUP(#REF!,Catalogos!$V$4:$W$64,2,FALSE)</f>
        <v>#REF!</v>
      </c>
      <c r="F40" s="3">
        <v>136</v>
      </c>
      <c r="G40" s="4">
        <v>27</v>
      </c>
      <c r="H40" s="4">
        <f t="shared" si="1"/>
        <v>3672</v>
      </c>
      <c r="K40" t="s">
        <v>126</v>
      </c>
      <c r="M40">
        <v>24</v>
      </c>
      <c r="N40" t="str">
        <f>IF(A40="","", "CO-" &amp; IFERROR(VLOOKUP(B40, Catalogos!$Z$4:$AA$20, 2, FALSE), "FOL") &amp; "-" &amp; WEEKNUM(A40,2) &amp; "-" &amp; TEXT(ROW(A36),"000"))</f>
        <v>CO-MT-24-036</v>
      </c>
    </row>
    <row r="41" spans="1:14" hidden="1">
      <c r="A41" s="2">
        <v>46184</v>
      </c>
      <c r="B41" t="s">
        <v>1</v>
      </c>
      <c r="C41" t="s">
        <v>51</v>
      </c>
      <c r="D41" t="s">
        <v>70</v>
      </c>
      <c r="E41" t="e">
        <f>VLOOKUP(#REF!,Catalogos!$V$4:$W$64,2,FALSE)</f>
        <v>#REF!</v>
      </c>
      <c r="F41" s="3">
        <v>20</v>
      </c>
      <c r="G41" s="4">
        <v>27</v>
      </c>
      <c r="H41" s="4">
        <f t="shared" si="1"/>
        <v>540</v>
      </c>
      <c r="K41" t="s">
        <v>126</v>
      </c>
      <c r="M41">
        <v>24</v>
      </c>
      <c r="N41" t="str">
        <f>IF(A41="","", "CO-" &amp; IFERROR(VLOOKUP(B41, Catalogos!$Z$4:$AA$20, 2, FALSE), "FOL") &amp; "-" &amp; WEEKNUM(A41,2) &amp; "-" &amp; TEXT(ROW(A37),"000"))</f>
        <v>CO-MT-24-037</v>
      </c>
    </row>
    <row r="42" spans="1:14" hidden="1">
      <c r="A42" s="2">
        <v>46184</v>
      </c>
      <c r="B42" t="s">
        <v>1</v>
      </c>
      <c r="C42" t="s">
        <v>51</v>
      </c>
      <c r="D42" t="s">
        <v>56</v>
      </c>
      <c r="E42" t="e">
        <f>VLOOKUP(#REF!,Catalogos!$V$4:$W$64,2,FALSE)</f>
        <v>#REF!</v>
      </c>
      <c r="F42" s="3">
        <v>20</v>
      </c>
      <c r="G42" s="4">
        <v>27</v>
      </c>
      <c r="H42" s="4">
        <f t="shared" si="1"/>
        <v>540</v>
      </c>
      <c r="K42" t="s">
        <v>126</v>
      </c>
      <c r="M42">
        <v>24</v>
      </c>
      <c r="N42" t="str">
        <f>IF(A42="","", "CO-" &amp; IFERROR(VLOOKUP(B42, Catalogos!$Z$4:$AA$20, 2, FALSE), "FOL") &amp; "-" &amp; WEEKNUM(A42,2) &amp; "-" &amp; TEXT(ROW(A38),"000"))</f>
        <v>CO-MT-24-038</v>
      </c>
    </row>
    <row r="43" spans="1:14" hidden="1">
      <c r="A43" s="2">
        <v>46184</v>
      </c>
      <c r="B43" t="s">
        <v>1</v>
      </c>
      <c r="C43" t="s">
        <v>51</v>
      </c>
      <c r="D43" t="s">
        <v>96</v>
      </c>
      <c r="E43" t="e">
        <f>VLOOKUP(#REF!,Catalogos!$V$4:$W$64,2,FALSE)</f>
        <v>#REF!</v>
      </c>
      <c r="F43" s="3">
        <v>20</v>
      </c>
      <c r="G43" s="4">
        <v>27</v>
      </c>
      <c r="H43" s="4">
        <f t="shared" si="1"/>
        <v>540</v>
      </c>
      <c r="K43" t="s">
        <v>126</v>
      </c>
      <c r="M43">
        <v>24</v>
      </c>
      <c r="N43" t="str">
        <f>IF(A43="","", "CO-" &amp; IFERROR(VLOOKUP(B43, Catalogos!$Z$4:$AA$20, 2, FALSE), "FOL") &amp; "-" &amp; WEEKNUM(A43,2) &amp; "-" &amp; TEXT(ROW(A39),"000"))</f>
        <v>CO-MT-24-039</v>
      </c>
    </row>
    <row r="44" spans="1:14">
      <c r="A44" s="2">
        <v>46184</v>
      </c>
      <c r="B44" t="s">
        <v>400</v>
      </c>
      <c r="C44" t="s">
        <v>47</v>
      </c>
      <c r="D44" t="s">
        <v>117</v>
      </c>
      <c r="E44" t="e">
        <f>VLOOKUP(#REF!,Catalogos!$V$4:$W$64,2,FALSE)</f>
        <v>#REF!</v>
      </c>
      <c r="F44" s="3">
        <v>238</v>
      </c>
      <c r="G44" s="4">
        <v>27</v>
      </c>
      <c r="H44" s="4">
        <f t="shared" si="1"/>
        <v>6426</v>
      </c>
      <c r="M44">
        <v>24</v>
      </c>
      <c r="N44" t="str">
        <f>IF(A44="","", "CO-" &amp; IFERROR(VLOOKUP(B44, Catalogos!$Z$4:$AA$20, 2, FALSE), "FOL") &amp; "-" &amp; WEEKNUM(A44,2) &amp; "-" &amp; TEXT(ROW(A40),"000"))</f>
        <v>CO-MP-24-040</v>
      </c>
    </row>
    <row r="45" spans="1:14" hidden="1">
      <c r="A45" s="2">
        <v>46184</v>
      </c>
      <c r="B45" t="s">
        <v>2</v>
      </c>
      <c r="C45" t="s">
        <v>47</v>
      </c>
      <c r="D45" t="s">
        <v>60</v>
      </c>
      <c r="E45" t="e">
        <f>VLOOKUP(#REF!,Catalogos!$V$4:$W$64,2,FALSE)</f>
        <v>#REF!</v>
      </c>
      <c r="F45" s="3">
        <v>80</v>
      </c>
      <c r="G45" s="4">
        <v>27</v>
      </c>
      <c r="H45" s="4">
        <f t="shared" si="1"/>
        <v>2160</v>
      </c>
      <c r="M45">
        <v>24</v>
      </c>
      <c r="N45" t="str">
        <f>IF(A45="","", "CO-" &amp; IFERROR(VLOOKUP(B45, Catalogos!$Z$4:$AA$20, 2, FALSE), "FOL") &amp; "-" &amp; WEEKNUM(A45,2) &amp; "-" &amp; TEXT(ROW(A41),"000"))</f>
        <v>CO-LT-24-041</v>
      </c>
    </row>
    <row r="46" spans="1:14" hidden="1">
      <c r="A46" s="2">
        <v>46184</v>
      </c>
      <c r="B46" t="s">
        <v>2</v>
      </c>
      <c r="C46" t="s">
        <v>47</v>
      </c>
      <c r="D46" t="s">
        <v>98</v>
      </c>
      <c r="E46" t="e">
        <f>VLOOKUP(#REF!,Catalogos!$V$4:$W$64,2,FALSE)</f>
        <v>#REF!</v>
      </c>
      <c r="F46" s="3">
        <v>50</v>
      </c>
      <c r="G46" s="4">
        <v>27</v>
      </c>
      <c r="H46" s="4">
        <f t="shared" si="1"/>
        <v>1350</v>
      </c>
      <c r="M46">
        <v>24</v>
      </c>
      <c r="N46" t="str">
        <f>IF(A46="","", "CO-" &amp; IFERROR(VLOOKUP(B46, Catalogos!$Z$4:$AA$20, 2, FALSE), "FOL") &amp; "-" &amp; WEEKNUM(A46,2) &amp; "-" &amp; TEXT(ROW(A42),"000"))</f>
        <v>CO-LT-24-042</v>
      </c>
    </row>
    <row r="47" spans="1:14" hidden="1">
      <c r="A47" s="2">
        <v>46184</v>
      </c>
      <c r="B47" t="s">
        <v>2</v>
      </c>
      <c r="C47" t="s">
        <v>47</v>
      </c>
      <c r="D47" t="s">
        <v>56</v>
      </c>
      <c r="E47" t="e">
        <f>VLOOKUP(#REF!,Catalogos!$V$4:$W$64,2,FALSE)</f>
        <v>#REF!</v>
      </c>
      <c r="F47" s="3">
        <v>70</v>
      </c>
      <c r="G47" s="4">
        <v>27</v>
      </c>
      <c r="H47" s="4">
        <f t="shared" si="1"/>
        <v>1890</v>
      </c>
      <c r="M47">
        <v>24</v>
      </c>
      <c r="N47" t="str">
        <f>IF(A47="","", "CO-" &amp; IFERROR(VLOOKUP(B47, Catalogos!$Z$4:$AA$20, 2, FALSE), "FOL") &amp; "-" &amp; WEEKNUM(A47,2) &amp; "-" &amp; TEXT(ROW(A43),"000"))</f>
        <v>CO-LT-24-043</v>
      </c>
    </row>
    <row r="48" spans="1:14" hidden="1">
      <c r="A48" s="2">
        <v>46184</v>
      </c>
      <c r="B48" t="s">
        <v>2</v>
      </c>
      <c r="C48" t="s">
        <v>47</v>
      </c>
      <c r="D48" t="s">
        <v>94</v>
      </c>
      <c r="E48" t="e">
        <f>VLOOKUP(#REF!,Catalogos!$V$4:$W$64,2,FALSE)</f>
        <v>#REF!</v>
      </c>
      <c r="F48" s="3">
        <v>80</v>
      </c>
      <c r="G48" s="4">
        <v>27</v>
      </c>
      <c r="H48" s="4">
        <f t="shared" si="1"/>
        <v>2160</v>
      </c>
      <c r="M48">
        <v>24</v>
      </c>
      <c r="N48" t="str">
        <f>IF(A48="","", "CO-" &amp; IFERROR(VLOOKUP(B48, Catalogos!$Z$4:$AA$20, 2, FALSE), "FOL") &amp; "-" &amp; WEEKNUM(A48,2) &amp; "-" &amp; TEXT(ROW(A44),"000"))</f>
        <v>CO-LT-24-044</v>
      </c>
    </row>
    <row r="49" spans="1:14" hidden="1">
      <c r="A49" s="2">
        <v>46184</v>
      </c>
      <c r="B49" t="s">
        <v>2</v>
      </c>
      <c r="C49" t="s">
        <v>47</v>
      </c>
      <c r="D49" t="s">
        <v>65</v>
      </c>
      <c r="E49" t="e">
        <f>VLOOKUP(#REF!,Catalogos!$V$4:$W$64,2,FALSE)</f>
        <v>#REF!</v>
      </c>
      <c r="F49" s="3">
        <v>185</v>
      </c>
      <c r="G49" s="4">
        <v>27</v>
      </c>
      <c r="H49" s="4">
        <f t="shared" si="1"/>
        <v>4995</v>
      </c>
      <c r="M49">
        <v>24</v>
      </c>
      <c r="N49" t="str">
        <f>IF(A49="","", "CO-" &amp; IFERROR(VLOOKUP(B49, Catalogos!$Z$4:$AA$20, 2, FALSE), "FOL") &amp; "-" &amp; WEEKNUM(A49,2) &amp; "-" &amp; TEXT(ROW(A45),"000"))</f>
        <v>CO-LT-24-045</v>
      </c>
    </row>
    <row r="50" spans="1:14" hidden="1">
      <c r="A50" s="2">
        <v>46184</v>
      </c>
      <c r="B50" t="s">
        <v>2</v>
      </c>
      <c r="C50" t="s">
        <v>47</v>
      </c>
      <c r="D50" t="s">
        <v>104</v>
      </c>
      <c r="E50" t="e">
        <f>VLOOKUP(#REF!,Catalogos!$V$4:$W$64,2,FALSE)</f>
        <v>#REF!</v>
      </c>
      <c r="F50" s="3">
        <v>50</v>
      </c>
      <c r="G50" s="4">
        <v>27</v>
      </c>
      <c r="H50" s="4">
        <f t="shared" si="1"/>
        <v>1350</v>
      </c>
      <c r="M50">
        <v>24</v>
      </c>
      <c r="N50" t="str">
        <f>IF(A50="","", "CO-" &amp; IFERROR(VLOOKUP(B50, Catalogos!$Z$4:$AA$20, 2, FALSE), "FOL") &amp; "-" &amp; WEEKNUM(A50,2) &amp; "-" &amp; TEXT(ROW(A46),"000"))</f>
        <v>CO-LT-24-046</v>
      </c>
    </row>
    <row r="51" spans="1:14" hidden="1">
      <c r="A51" s="2">
        <v>46184</v>
      </c>
      <c r="B51" t="s">
        <v>2</v>
      </c>
      <c r="C51" t="s">
        <v>47</v>
      </c>
      <c r="D51" t="s">
        <v>104</v>
      </c>
      <c r="E51" t="e">
        <f>VLOOKUP(#REF!,Catalogos!$V$4:$W$64,2,FALSE)</f>
        <v>#REF!</v>
      </c>
      <c r="F51" s="3">
        <v>40</v>
      </c>
      <c r="G51" s="4">
        <v>27</v>
      </c>
      <c r="H51" s="4">
        <f t="shared" si="1"/>
        <v>1080</v>
      </c>
      <c r="M51">
        <v>24</v>
      </c>
      <c r="N51" t="str">
        <f>IF(A51="","", "CO-" &amp; IFERROR(VLOOKUP(B51, Catalogos!$Z$4:$AA$20, 2, FALSE), "FOL") &amp; "-" &amp; WEEKNUM(A51,2) &amp; "-" &amp; TEXT(ROW(A47),"000"))</f>
        <v>CO-LT-24-047</v>
      </c>
    </row>
    <row r="52" spans="1:14" hidden="1">
      <c r="A52" s="2">
        <v>46184</v>
      </c>
      <c r="B52" t="s">
        <v>2</v>
      </c>
      <c r="C52" t="s">
        <v>47</v>
      </c>
      <c r="D52" t="s">
        <v>85</v>
      </c>
      <c r="E52" t="e">
        <f>VLOOKUP(#REF!,Catalogos!$V$4:$W$64,2,FALSE)</f>
        <v>#REF!</v>
      </c>
      <c r="F52" s="3">
        <v>40</v>
      </c>
      <c r="G52" s="4">
        <v>27</v>
      </c>
      <c r="H52" s="4">
        <f t="shared" si="1"/>
        <v>1080</v>
      </c>
      <c r="M52">
        <v>24</v>
      </c>
      <c r="N52" t="str">
        <f>IF(A52="","", "CO-" &amp; IFERROR(VLOOKUP(B52, Catalogos!$Z$4:$AA$20, 2, FALSE), "FOL") &amp; "-" &amp; WEEKNUM(A52,2) &amp; "-" &amp; TEXT(ROW(A48),"000"))</f>
        <v>CO-LT-24-048</v>
      </c>
    </row>
    <row r="53" spans="1:14" hidden="1">
      <c r="A53" s="2">
        <v>46185</v>
      </c>
      <c r="B53" t="s">
        <v>3</v>
      </c>
      <c r="C53" t="s">
        <v>51</v>
      </c>
      <c r="D53" t="s">
        <v>88</v>
      </c>
      <c r="E53" t="e">
        <f>VLOOKUP(#REF!,Catalogos!$V$4:$W$64,2,FALSE)</f>
        <v>#REF!</v>
      </c>
      <c r="F53" s="3">
        <v>32</v>
      </c>
      <c r="G53" s="4">
        <v>27</v>
      </c>
      <c r="H53" s="4">
        <f t="shared" si="1"/>
        <v>864</v>
      </c>
      <c r="M53">
        <v>24</v>
      </c>
      <c r="N53" t="str">
        <f>IF(A53="","", "CO-" &amp; IFERROR(VLOOKUP(B53, Catalogos!$Z$4:$AA$20, 2, FALSE), "FOL") &amp; "-" &amp; WEEKNUM(A53,2) &amp; "-" &amp; TEXT(ROW(A49),"000"))</f>
        <v>CO-CL-24-049</v>
      </c>
    </row>
    <row r="54" spans="1:14" hidden="1">
      <c r="A54" s="2">
        <v>46185</v>
      </c>
      <c r="B54" t="s">
        <v>3</v>
      </c>
      <c r="C54" t="s">
        <v>51</v>
      </c>
      <c r="D54" t="s">
        <v>90</v>
      </c>
      <c r="E54" t="e">
        <f>VLOOKUP(#REF!,Catalogos!$V$4:$W$64,2,FALSE)</f>
        <v>#REF!</v>
      </c>
      <c r="F54" s="3">
        <v>30</v>
      </c>
      <c r="G54" s="4">
        <v>27</v>
      </c>
      <c r="H54" s="4">
        <f t="shared" si="1"/>
        <v>810</v>
      </c>
      <c r="M54">
        <v>24</v>
      </c>
      <c r="N54" t="str">
        <f>IF(A54="","", "CO-" &amp; IFERROR(VLOOKUP(B54, Catalogos!$Z$4:$AA$20, 2, FALSE), "FOL") &amp; "-" &amp; WEEKNUM(A54,2) &amp; "-" &amp; TEXT(ROW(A50),"000"))</f>
        <v>CO-CL-24-050</v>
      </c>
    </row>
    <row r="55" spans="1:14" hidden="1">
      <c r="A55" s="2">
        <v>46185</v>
      </c>
      <c r="B55" t="s">
        <v>3</v>
      </c>
      <c r="C55" t="s">
        <v>51</v>
      </c>
      <c r="D55" t="s">
        <v>79</v>
      </c>
      <c r="E55" t="e">
        <f>VLOOKUP(#REF!,Catalogos!$V$4:$W$64,2,FALSE)</f>
        <v>#REF!</v>
      </c>
      <c r="F55" s="3">
        <v>30</v>
      </c>
      <c r="G55" s="4">
        <v>27</v>
      </c>
      <c r="H55" s="4">
        <f t="shared" si="1"/>
        <v>810</v>
      </c>
      <c r="M55">
        <v>24</v>
      </c>
      <c r="N55" t="str">
        <f>IF(A55="","", "CO-" &amp; IFERROR(VLOOKUP(B55, Catalogos!$Z$4:$AA$20, 2, FALSE), "FOL") &amp; "-" &amp; WEEKNUM(A55,2) &amp; "-" &amp; TEXT(ROW(A51),"000"))</f>
        <v>CO-CL-24-051</v>
      </c>
    </row>
    <row r="56" spans="1:14" hidden="1">
      <c r="A56" s="2">
        <v>46185</v>
      </c>
      <c r="B56" t="s">
        <v>3</v>
      </c>
      <c r="C56" t="s">
        <v>51</v>
      </c>
      <c r="D56" t="s">
        <v>81</v>
      </c>
      <c r="E56" t="e">
        <f>VLOOKUP(#REF!,Catalogos!$V$4:$W$64,2,FALSE)</f>
        <v>#REF!</v>
      </c>
      <c r="F56" s="3">
        <v>50</v>
      </c>
      <c r="G56" s="4">
        <v>27</v>
      </c>
      <c r="H56" s="4">
        <f t="shared" si="1"/>
        <v>1350</v>
      </c>
      <c r="M56">
        <v>24</v>
      </c>
      <c r="N56" t="str">
        <f>IF(A56="","", "CO-" &amp; IFERROR(VLOOKUP(B56, Catalogos!$Z$4:$AA$20, 2, FALSE), "FOL") &amp; "-" &amp; WEEKNUM(A56,2) &amp; "-" &amp; TEXT(ROW(A52),"000"))</f>
        <v>CO-CL-24-052</v>
      </c>
    </row>
    <row r="57" spans="1:14" hidden="1">
      <c r="A57" s="2">
        <v>46185</v>
      </c>
      <c r="B57" t="s">
        <v>3</v>
      </c>
      <c r="C57" t="s">
        <v>51</v>
      </c>
      <c r="D57" t="s">
        <v>86</v>
      </c>
      <c r="E57" t="e">
        <f>VLOOKUP(#REF!,Catalogos!$V$4:$W$64,2,FALSE)</f>
        <v>#REF!</v>
      </c>
      <c r="F57" s="3">
        <v>120</v>
      </c>
      <c r="G57" s="4">
        <v>27</v>
      </c>
      <c r="H57" s="4">
        <f t="shared" si="1"/>
        <v>3240</v>
      </c>
      <c r="M57">
        <v>24</v>
      </c>
      <c r="N57" t="str">
        <f>IF(A57="","", "CO-" &amp; IFERROR(VLOOKUP(B57, Catalogos!$Z$4:$AA$20, 2, FALSE), "FOL") &amp; "-" &amp; WEEKNUM(A57,2) &amp; "-" &amp; TEXT(ROW(A53),"000"))</f>
        <v>CO-CL-24-053</v>
      </c>
    </row>
    <row r="58" spans="1:14" hidden="1">
      <c r="A58" s="2">
        <v>46185</v>
      </c>
      <c r="B58" t="s">
        <v>3</v>
      </c>
      <c r="C58" t="s">
        <v>51</v>
      </c>
      <c r="D58" t="s">
        <v>92</v>
      </c>
      <c r="E58" t="e">
        <f>VLOOKUP(#REF!,Catalogos!$V$4:$W$64,2,FALSE)</f>
        <v>#REF!</v>
      </c>
      <c r="F58" s="3">
        <v>40</v>
      </c>
      <c r="G58" s="4">
        <v>27</v>
      </c>
      <c r="H58" s="4">
        <f t="shared" si="1"/>
        <v>1080</v>
      </c>
      <c r="M58">
        <v>24</v>
      </c>
      <c r="N58" t="str">
        <f>IF(A58="","", "CO-" &amp; IFERROR(VLOOKUP(B58, Catalogos!$Z$4:$AA$20, 2, FALSE), "FOL") &amp; "-" &amp; WEEKNUM(A58,2) &amp; "-" &amp; TEXT(ROW(A54),"000"))</f>
        <v>CO-CL-24-054</v>
      </c>
    </row>
    <row r="59" spans="1:14" hidden="1">
      <c r="A59" s="2">
        <v>46185</v>
      </c>
      <c r="B59" t="s">
        <v>3</v>
      </c>
      <c r="C59" t="s">
        <v>51</v>
      </c>
      <c r="D59" t="s">
        <v>76</v>
      </c>
      <c r="E59" t="e">
        <f>VLOOKUP(#REF!,Catalogos!$V$4:$W$64,2,FALSE)</f>
        <v>#REF!</v>
      </c>
      <c r="F59" s="3">
        <v>200</v>
      </c>
      <c r="G59" s="4">
        <v>27</v>
      </c>
      <c r="H59" s="4">
        <f t="shared" si="1"/>
        <v>5400</v>
      </c>
      <c r="M59">
        <v>24</v>
      </c>
      <c r="N59" t="str">
        <f>IF(A59="","", "CO-" &amp; IFERROR(VLOOKUP(B59, Catalogos!$Z$4:$AA$20, 2, FALSE), "FOL") &amp; "-" &amp; WEEKNUM(A59,2) &amp; "-" &amp; TEXT(ROW(A55),"000"))</f>
        <v>CO-CL-24-055</v>
      </c>
    </row>
    <row r="60" spans="1:14" hidden="1">
      <c r="A60" s="2">
        <v>46185</v>
      </c>
      <c r="B60" t="s">
        <v>1</v>
      </c>
      <c r="C60" t="s">
        <v>51</v>
      </c>
      <c r="D60" t="s">
        <v>70</v>
      </c>
      <c r="E60" t="e">
        <f>VLOOKUP(#REF!,Catalogos!$V$4:$W$64,2,FALSE)</f>
        <v>#REF!</v>
      </c>
      <c r="F60" s="3">
        <v>20</v>
      </c>
      <c r="G60" s="4">
        <v>27</v>
      </c>
      <c r="H60" s="4">
        <f t="shared" si="1"/>
        <v>540</v>
      </c>
      <c r="M60">
        <v>24</v>
      </c>
      <c r="N60" t="str">
        <f>IF(A60="","", "CO-" &amp; IFERROR(VLOOKUP(B60, Catalogos!$Z$4:$AA$20, 2, FALSE), "FOL") &amp; "-" &amp; WEEKNUM(A60,2) &amp; "-" &amp; TEXT(ROW(A56),"000"))</f>
        <v>CO-MT-24-056</v>
      </c>
    </row>
    <row r="61" spans="1:14" hidden="1">
      <c r="A61" s="2">
        <v>46185</v>
      </c>
      <c r="B61" t="s">
        <v>1</v>
      </c>
      <c r="C61" t="s">
        <v>51</v>
      </c>
      <c r="D61" t="s">
        <v>85</v>
      </c>
      <c r="E61" t="e">
        <f>VLOOKUP(#REF!,Catalogos!$V$4:$W$64,2,FALSE)</f>
        <v>#REF!</v>
      </c>
      <c r="F61" s="3">
        <v>30</v>
      </c>
      <c r="G61" s="4">
        <v>27</v>
      </c>
      <c r="H61" s="4">
        <f t="shared" si="1"/>
        <v>810</v>
      </c>
      <c r="M61">
        <v>24</v>
      </c>
      <c r="N61" t="str">
        <f>IF(A61="","", "CO-" &amp; IFERROR(VLOOKUP(B61, Catalogos!$Z$4:$AA$20, 2, FALSE), "FOL") &amp; "-" &amp; WEEKNUM(A61,2) &amp; "-" &amp; TEXT(ROW(A57),"000"))</f>
        <v>CO-MT-24-057</v>
      </c>
    </row>
    <row r="62" spans="1:14" hidden="1">
      <c r="A62" s="2">
        <v>46185</v>
      </c>
      <c r="B62" t="s">
        <v>1</v>
      </c>
      <c r="C62" t="s">
        <v>51</v>
      </c>
      <c r="D62" t="s">
        <v>96</v>
      </c>
      <c r="E62" t="e">
        <f>VLOOKUP(#REF!,Catalogos!$V$4:$W$64,2,FALSE)</f>
        <v>#REF!</v>
      </c>
      <c r="F62" s="3">
        <v>20</v>
      </c>
      <c r="G62" s="4">
        <v>27</v>
      </c>
      <c r="H62" s="4">
        <f t="shared" si="1"/>
        <v>540</v>
      </c>
      <c r="M62">
        <v>24</v>
      </c>
      <c r="N62" t="str">
        <f>IF(A62="","", "CO-" &amp; IFERROR(VLOOKUP(B62, Catalogos!$Z$4:$AA$20, 2, FALSE), "FOL") &amp; "-" &amp; WEEKNUM(A62,2) &amp; "-" &amp; TEXT(ROW(A58),"000"))</f>
        <v>CO-MT-24-058</v>
      </c>
    </row>
    <row r="63" spans="1:14" hidden="1">
      <c r="A63" s="2">
        <v>46185</v>
      </c>
      <c r="B63" t="s">
        <v>1</v>
      </c>
      <c r="C63" t="s">
        <v>51</v>
      </c>
      <c r="D63" t="s">
        <v>48</v>
      </c>
      <c r="E63" t="e">
        <f>VLOOKUP(#REF!,Catalogos!$V$4:$W$64,2,FALSE)</f>
        <v>#REF!</v>
      </c>
      <c r="F63" s="3">
        <v>40</v>
      </c>
      <c r="G63" s="4">
        <v>27</v>
      </c>
      <c r="H63" s="4">
        <f t="shared" si="1"/>
        <v>1080</v>
      </c>
      <c r="M63">
        <v>24</v>
      </c>
      <c r="N63" t="str">
        <f>IF(A63="","", "CO-" &amp; IFERROR(VLOOKUP(B63, Catalogos!$Z$4:$AA$20, 2, FALSE), "FOL") &amp; "-" &amp; WEEKNUM(A63,2) &amp; "-" &amp; TEXT(ROW(A59),"000"))</f>
        <v>CO-MT-24-059</v>
      </c>
    </row>
    <row r="64" spans="1:14" hidden="1">
      <c r="A64" s="2">
        <v>46185</v>
      </c>
      <c r="B64" t="s">
        <v>1</v>
      </c>
      <c r="C64" t="s">
        <v>51</v>
      </c>
      <c r="D64" t="s">
        <v>69</v>
      </c>
      <c r="E64" t="e">
        <f>VLOOKUP(#REF!,Catalogos!$V$4:$W$64,2,FALSE)</f>
        <v>#REF!</v>
      </c>
      <c r="F64" s="3">
        <v>250</v>
      </c>
      <c r="G64" s="4">
        <v>27</v>
      </c>
      <c r="H64" s="4">
        <f t="shared" si="1"/>
        <v>6750</v>
      </c>
      <c r="M64">
        <v>24</v>
      </c>
      <c r="N64" t="str">
        <f>IF(A64="","", "CO-" &amp; IFERROR(VLOOKUP(B64, Catalogos!$Z$4:$AA$20, 2, FALSE), "FOL") &amp; "-" &amp; WEEKNUM(A64,2) &amp; "-" &amp; TEXT(ROW(A60),"000"))</f>
        <v>CO-MT-24-060</v>
      </c>
    </row>
    <row r="65" spans="1:15" hidden="1">
      <c r="A65" s="2">
        <v>46188</v>
      </c>
      <c r="B65" t="s">
        <v>1</v>
      </c>
      <c r="C65" t="s">
        <v>51</v>
      </c>
      <c r="D65" t="s">
        <v>386</v>
      </c>
      <c r="E65" t="e">
        <f>VLOOKUP(#REF!,Catalogos!$V$4:$W$64,2,FALSE)</f>
        <v>#REF!</v>
      </c>
      <c r="F65" s="3">
        <v>200</v>
      </c>
      <c r="G65" s="4">
        <v>27</v>
      </c>
      <c r="H65" s="4">
        <f t="shared" si="1"/>
        <v>5400</v>
      </c>
      <c r="M65">
        <v>25</v>
      </c>
      <c r="N65" t="str">
        <f>IF(A65="","", "CO-" &amp; IFERROR(VLOOKUP(B65, Catalogos!$Z$4:$AA$20, 2, FALSE), "FOL") &amp; "-" &amp; WEEKNUM(A65,2) &amp; "-" &amp; TEXT(ROW(A61),"000"))</f>
        <v>CO-MT-25-061</v>
      </c>
    </row>
    <row r="66" spans="1:15" hidden="1">
      <c r="A66" s="2">
        <v>46188</v>
      </c>
      <c r="B66" t="s">
        <v>1</v>
      </c>
      <c r="C66" t="s">
        <v>51</v>
      </c>
      <c r="D66" t="s">
        <v>228</v>
      </c>
      <c r="E66" t="e">
        <f>VLOOKUP(#REF!,Catalogos!$V$4:$W$64,2,FALSE)</f>
        <v>#REF!</v>
      </c>
      <c r="F66" s="3">
        <v>40</v>
      </c>
      <c r="G66" s="4">
        <v>27</v>
      </c>
      <c r="H66" s="4">
        <f t="shared" si="1"/>
        <v>1080</v>
      </c>
      <c r="M66">
        <v>25</v>
      </c>
      <c r="N66" t="str">
        <f>IF(A66="","", "CO-" &amp; IFERROR(VLOOKUP(B66, Catalogos!$Z$4:$AA$20, 2, FALSE), "FOL") &amp; "-" &amp; WEEKNUM(A66,2) &amp; "-" &amp; TEXT(ROW(A62),"000"))</f>
        <v>CO-MT-25-062</v>
      </c>
    </row>
    <row r="67" spans="1:15" hidden="1">
      <c r="A67" s="2">
        <v>46188</v>
      </c>
      <c r="B67" t="s">
        <v>1</v>
      </c>
      <c r="C67" t="s">
        <v>51</v>
      </c>
      <c r="D67" t="s">
        <v>221</v>
      </c>
      <c r="E67" t="e">
        <f>VLOOKUP(#REF!,Catalogos!$V$4:$W$64,2,FALSE)</f>
        <v>#REF!</v>
      </c>
      <c r="F67" s="3">
        <v>30</v>
      </c>
      <c r="G67" s="4">
        <v>27</v>
      </c>
      <c r="H67" s="4">
        <f t="shared" si="1"/>
        <v>810</v>
      </c>
      <c r="M67">
        <v>25</v>
      </c>
      <c r="N67" t="str">
        <f>IF(A67="","", "CO-" &amp; IFERROR(VLOOKUP(B67, Catalogos!$Z$4:$AA$20, 2, FALSE), "FOL") &amp; "-" &amp; WEEKNUM(A67,2) &amp; "-" &amp; TEXT(ROW(A63),"000"))</f>
        <v>CO-MT-25-063</v>
      </c>
    </row>
    <row r="68" spans="1:15" hidden="1">
      <c r="A68" s="2">
        <v>46188</v>
      </c>
      <c r="B68" t="s">
        <v>1</v>
      </c>
      <c r="C68" t="s">
        <v>51</v>
      </c>
      <c r="D68" t="s">
        <v>224</v>
      </c>
      <c r="E68" t="e">
        <f>VLOOKUP(#REF!,Catalogos!$V$4:$W$64,2,FALSE)</f>
        <v>#REF!</v>
      </c>
      <c r="F68" s="3">
        <v>50</v>
      </c>
      <c r="G68" s="4">
        <v>27</v>
      </c>
      <c r="H68" s="4">
        <f t="shared" si="1"/>
        <v>1350</v>
      </c>
      <c r="M68">
        <v>25</v>
      </c>
      <c r="N68" t="str">
        <f>IF(A68="","", "CO-" &amp; IFERROR(VLOOKUP(B68, Catalogos!$Z$4:$AA$20, 2, FALSE), "FOL") &amp; "-" &amp; WEEKNUM(A68,2) &amp; "-" &amp; TEXT(ROW(A64),"000"))</f>
        <v>CO-MT-25-064</v>
      </c>
    </row>
    <row r="69" spans="1:15" hidden="1">
      <c r="A69" s="3807">
        <v>46188</v>
      </c>
      <c r="B69" s="3808" t="s">
        <v>2</v>
      </c>
      <c r="C69" s="3808" t="s">
        <v>51</v>
      </c>
      <c r="D69" s="3808" t="s">
        <v>365</v>
      </c>
      <c r="E69" s="3808" t="e">
        <f>VLOOKUP(#REF!,Catalogos!$V$4:$W$64,2,FALSE)</f>
        <v>#REF!</v>
      </c>
      <c r="F69" s="3809">
        <v>73</v>
      </c>
      <c r="G69" s="4">
        <v>27</v>
      </c>
      <c r="H69" s="3811">
        <f t="shared" ref="H69:H100" si="2">IFERROR(F69*G69,0)</f>
        <v>1971</v>
      </c>
      <c r="I69" s="3808"/>
      <c r="J69" s="3808"/>
      <c r="K69" s="3808" t="s">
        <v>399</v>
      </c>
      <c r="L69" s="3808"/>
      <c r="M69" s="3808">
        <v>25</v>
      </c>
      <c r="N69" s="3808" t="str">
        <f>IF(A69="","", "CO-" &amp; IFERROR(VLOOKUP(B69, Catalogos!$Z$4:$AA$20, 2, FALSE), "FOL") &amp; "-" &amp; WEEKNUM(A69,2) &amp; "-" &amp; TEXT(ROW(A65),"000"))</f>
        <v>CO-LT-25-065</v>
      </c>
      <c r="O69" s="3808"/>
    </row>
    <row r="70" spans="1:15" hidden="1">
      <c r="A70" s="2">
        <v>46188</v>
      </c>
      <c r="B70" t="s">
        <v>1</v>
      </c>
      <c r="C70" t="s">
        <v>51</v>
      </c>
      <c r="D70" t="s">
        <v>368</v>
      </c>
      <c r="E70" t="e">
        <f>VLOOKUP(#REF!,Catalogos!$V$4:$W$64,2,FALSE)</f>
        <v>#REF!</v>
      </c>
      <c r="F70" s="3">
        <v>99</v>
      </c>
      <c r="G70" s="4">
        <v>27</v>
      </c>
      <c r="H70" s="4">
        <f t="shared" si="2"/>
        <v>2673</v>
      </c>
      <c r="M70">
        <v>25</v>
      </c>
      <c r="N70" t="str">
        <f>IF(A70="","", "CO-" &amp; IFERROR(VLOOKUP(B70, Catalogos!$Z$4:$AA$20, 2, FALSE), "FOL") &amp; "-" &amp; WEEKNUM(A70,2) &amp; "-" &amp; TEXT(ROW(A66),"000"))</f>
        <v>CO-MT-25-066</v>
      </c>
    </row>
    <row r="71" spans="1:15" hidden="1">
      <c r="A71" s="2">
        <v>46188</v>
      </c>
      <c r="B71" t="s">
        <v>1</v>
      </c>
      <c r="C71" t="s">
        <v>51</v>
      </c>
      <c r="D71" t="s">
        <v>383</v>
      </c>
      <c r="E71" t="e">
        <f>VLOOKUP(#REF!,Catalogos!$V$4:$W$64,2,FALSE)</f>
        <v>#REF!</v>
      </c>
      <c r="F71" s="3">
        <v>50</v>
      </c>
      <c r="G71" s="4">
        <v>27</v>
      </c>
      <c r="H71" s="4">
        <f t="shared" si="2"/>
        <v>1350</v>
      </c>
      <c r="M71">
        <v>25</v>
      </c>
      <c r="N71" t="str">
        <f>IF(A71="","", "CO-" &amp; IFERROR(VLOOKUP(B71, Catalogos!$Z$4:$AA$20, 2, FALSE), "FOL") &amp; "-" &amp; WEEKNUM(A71,2) &amp; "-" &amp; TEXT(ROW(A67),"000"))</f>
        <v>CO-MT-25-067</v>
      </c>
    </row>
    <row r="72" spans="1:15" hidden="1">
      <c r="A72" s="2">
        <v>46188</v>
      </c>
      <c r="B72" t="s">
        <v>111</v>
      </c>
      <c r="C72" t="s">
        <v>47</v>
      </c>
      <c r="D72" t="s">
        <v>112</v>
      </c>
      <c r="E72" t="e">
        <f>VLOOKUP(#REF!,Catalogos!$V$4:$W$64,2,FALSE)</f>
        <v>#REF!</v>
      </c>
      <c r="F72" s="3">
        <v>70</v>
      </c>
      <c r="G72" s="4">
        <v>27</v>
      </c>
      <c r="H72" s="4">
        <f t="shared" si="2"/>
        <v>1890</v>
      </c>
      <c r="M72">
        <v>25</v>
      </c>
      <c r="N72" t="str">
        <f>IF(A72="","", "CO-" &amp; IFERROR(VLOOKUP(B72, Catalogos!$Z$4:$AA$20, 2, FALSE), "FOL") &amp; "-" &amp; WEEKNUM(A72,2) &amp; "-" &amp; TEXT(ROW(A68),"000"))</f>
        <v>CO-BT-25-068</v>
      </c>
    </row>
    <row r="73" spans="1:15" hidden="1">
      <c r="A73" s="2">
        <v>46188</v>
      </c>
      <c r="B73" t="s">
        <v>2</v>
      </c>
      <c r="C73" t="s">
        <v>47</v>
      </c>
      <c r="D73" t="s">
        <v>221</v>
      </c>
      <c r="E73" t="e">
        <f>VLOOKUP(#REF!,Catalogos!$V$4:$W$64,2,FALSE)</f>
        <v>#REF!</v>
      </c>
      <c r="F73" s="3">
        <v>24</v>
      </c>
      <c r="G73" s="4">
        <v>27</v>
      </c>
      <c r="H73" s="4">
        <f t="shared" si="2"/>
        <v>648</v>
      </c>
      <c r="M73">
        <v>25</v>
      </c>
      <c r="N73" t="str">
        <f>IF(A73="","", "CO-" &amp; IFERROR(VLOOKUP(B73, Catalogos!$Z$4:$AA$20, 2, FALSE), "FOL") &amp; "-" &amp; WEEKNUM(A73,2) &amp; "-" &amp; TEXT(ROW(A69),"000"))</f>
        <v>CO-LT-25-069</v>
      </c>
    </row>
    <row r="74" spans="1:15">
      <c r="A74" s="2">
        <v>46188</v>
      </c>
      <c r="B74" t="s">
        <v>400</v>
      </c>
      <c r="C74" t="s">
        <v>47</v>
      </c>
      <c r="D74" t="s">
        <v>117</v>
      </c>
      <c r="E74" t="e">
        <f>VLOOKUP(#REF!,Catalogos!$V$4:$W$64,2,FALSE)</f>
        <v>#REF!</v>
      </c>
      <c r="F74" s="3">
        <v>265</v>
      </c>
      <c r="G74" s="4">
        <v>27</v>
      </c>
      <c r="H74" s="4">
        <f t="shared" si="2"/>
        <v>7155</v>
      </c>
      <c r="M74">
        <v>25</v>
      </c>
      <c r="N74" t="str">
        <f>IF(A74="","", "CO-" &amp; IFERROR(VLOOKUP(B74, Catalogos!$Z$4:$AA$20, 2, FALSE), "FOL") &amp; "-" &amp; WEEKNUM(A74,2) &amp; "-" &amp; TEXT(ROW(A70),"000"))</f>
        <v>CO-MP-25-070</v>
      </c>
    </row>
    <row r="75" spans="1:15" hidden="1">
      <c r="A75" s="2">
        <v>46188</v>
      </c>
      <c r="B75" t="s">
        <v>111</v>
      </c>
      <c r="C75" t="s">
        <v>47</v>
      </c>
      <c r="D75" t="s">
        <v>220</v>
      </c>
      <c r="E75" t="e">
        <f>VLOOKUP(#REF!,Catalogos!$V$4:$W$64,2,FALSE)</f>
        <v>#REF!</v>
      </c>
      <c r="F75" s="3">
        <v>33</v>
      </c>
      <c r="G75" s="4">
        <v>27</v>
      </c>
      <c r="H75" s="4">
        <f t="shared" si="2"/>
        <v>891</v>
      </c>
      <c r="M75">
        <v>25</v>
      </c>
      <c r="N75" t="str">
        <f>IF(A75="","", "CO-" &amp; IFERROR(VLOOKUP(B75, Catalogos!$Z$4:$AA$20, 2, FALSE), "FOL") &amp; "-" &amp; WEEKNUM(A75,2) &amp; "-" &amp; TEXT(ROW(A71),"000"))</f>
        <v>CO-BT-25-071</v>
      </c>
    </row>
    <row r="76" spans="1:15" hidden="1">
      <c r="A76" s="2">
        <v>46188</v>
      </c>
      <c r="B76" t="s">
        <v>2</v>
      </c>
      <c r="C76" t="s">
        <v>47</v>
      </c>
      <c r="D76" t="s">
        <v>383</v>
      </c>
      <c r="E76" t="e">
        <f>VLOOKUP(#REF!,Catalogos!$V$4:$W$64,2,FALSE)</f>
        <v>#REF!</v>
      </c>
      <c r="F76" s="3">
        <v>60</v>
      </c>
      <c r="G76" s="4">
        <v>27</v>
      </c>
      <c r="H76" s="4">
        <f t="shared" si="2"/>
        <v>1620</v>
      </c>
      <c r="M76">
        <v>25</v>
      </c>
      <c r="N76" t="str">
        <f>IF(A76="","", "CO-" &amp; IFERROR(VLOOKUP(B76, Catalogos!$Z$4:$AA$20, 2, FALSE), "FOL") &amp; "-" &amp; WEEKNUM(A76,2) &amp; "-" &amp; TEXT(ROW(A72),"000"))</f>
        <v>CO-LT-25-072</v>
      </c>
    </row>
    <row r="77" spans="1:15" hidden="1">
      <c r="A77" s="2">
        <v>46188</v>
      </c>
      <c r="B77" t="s">
        <v>2</v>
      </c>
      <c r="C77" t="s">
        <v>47</v>
      </c>
      <c r="D77" t="s">
        <v>217</v>
      </c>
      <c r="E77" t="e">
        <f>VLOOKUP(#REF!,Catalogos!$V$4:$W$64,2,FALSE)</f>
        <v>#REF!</v>
      </c>
      <c r="F77" s="3">
        <v>52</v>
      </c>
      <c r="G77" s="4">
        <v>27</v>
      </c>
      <c r="H77" s="4">
        <f t="shared" si="2"/>
        <v>1404</v>
      </c>
      <c r="M77">
        <v>25</v>
      </c>
      <c r="N77" t="str">
        <f>IF(A77="","", "CO-" &amp; IFERROR(VLOOKUP(B77, Catalogos!$Z$4:$AA$20, 2, FALSE), "FOL") &amp; "-" &amp; WEEKNUM(A77,2) &amp; "-" &amp; TEXT(ROW(A73),"000"))</f>
        <v>CO-LT-25-073</v>
      </c>
    </row>
    <row r="78" spans="1:15" hidden="1">
      <c r="A78" s="2">
        <v>46188</v>
      </c>
      <c r="B78" t="s">
        <v>2</v>
      </c>
      <c r="C78" t="s">
        <v>47</v>
      </c>
      <c r="D78" t="s">
        <v>102</v>
      </c>
      <c r="E78" t="e">
        <f>VLOOKUP(#REF!,Catalogos!$V$4:$W$64,2,FALSE)</f>
        <v>#REF!</v>
      </c>
      <c r="F78" s="3">
        <v>25</v>
      </c>
      <c r="G78" s="4">
        <v>27</v>
      </c>
      <c r="H78" s="4">
        <f t="shared" si="2"/>
        <v>675</v>
      </c>
      <c r="M78">
        <v>25</v>
      </c>
      <c r="N78" t="str">
        <f>IF(A78="","", "CO-" &amp; IFERROR(VLOOKUP(B78, Catalogos!$Z$4:$AA$20, 2, FALSE), "FOL") &amp; "-" &amp; WEEKNUM(A78,2) &amp; "-" &amp; TEXT(ROW(A74),"000"))</f>
        <v>CO-LT-25-074</v>
      </c>
    </row>
    <row r="79" spans="1:15" hidden="1">
      <c r="A79" s="2">
        <v>46188</v>
      </c>
      <c r="B79" t="s">
        <v>2</v>
      </c>
      <c r="C79" t="s">
        <v>47</v>
      </c>
      <c r="D79" t="s">
        <v>228</v>
      </c>
      <c r="E79" t="e">
        <f>VLOOKUP(#REF!,Catalogos!$V$4:$W$64,2,FALSE)</f>
        <v>#REF!</v>
      </c>
      <c r="F79" s="3">
        <v>55</v>
      </c>
      <c r="G79" s="4">
        <v>27</v>
      </c>
      <c r="H79" s="4">
        <f t="shared" si="2"/>
        <v>1485</v>
      </c>
      <c r="M79">
        <v>25</v>
      </c>
      <c r="N79" t="str">
        <f>IF(A79="","", "CO-" &amp; IFERROR(VLOOKUP(B79, Catalogos!$Z$4:$AA$20, 2, FALSE), "FOL") &amp; "-" &amp; WEEKNUM(A79,2) &amp; "-" &amp; TEXT(ROW(A75),"000"))</f>
        <v>CO-LT-25-075</v>
      </c>
    </row>
    <row r="80" spans="1:15" hidden="1">
      <c r="A80" s="2">
        <v>46188</v>
      </c>
      <c r="B80" t="s">
        <v>111</v>
      </c>
      <c r="C80" t="s">
        <v>47</v>
      </c>
      <c r="D80" t="s">
        <v>215</v>
      </c>
      <c r="E80" t="e">
        <f>VLOOKUP(#REF!,Catalogos!$V$4:$W$64,2,FALSE)</f>
        <v>#REF!</v>
      </c>
      <c r="F80" s="3">
        <v>200</v>
      </c>
      <c r="G80" s="4">
        <v>27</v>
      </c>
      <c r="H80" s="4">
        <f t="shared" si="2"/>
        <v>5400</v>
      </c>
      <c r="M80">
        <v>25</v>
      </c>
      <c r="N80" t="str">
        <f>IF(A80="","", "CO-" &amp; IFERROR(VLOOKUP(B80, Catalogos!$Z$4:$AA$20, 2, FALSE), "FOL") &amp; "-" &amp; WEEKNUM(A80,2) &amp; "-" &amp; TEXT(ROW(A76),"000"))</f>
        <v>CO-BT-25-076</v>
      </c>
    </row>
    <row r="81" spans="1:14">
      <c r="A81" s="2">
        <v>46188</v>
      </c>
      <c r="B81" t="s">
        <v>124</v>
      </c>
      <c r="C81" t="s">
        <v>237</v>
      </c>
      <c r="D81" t="s">
        <v>240</v>
      </c>
      <c r="E81" t="e">
        <f>VLOOKUP(#REF!,Catalogos!$V$4:$W$64,2,FALSE)</f>
        <v>#REF!</v>
      </c>
      <c r="F81" s="3">
        <v>300</v>
      </c>
      <c r="G81" s="4">
        <v>27</v>
      </c>
      <c r="H81" s="4">
        <f t="shared" si="2"/>
        <v>8100</v>
      </c>
      <c r="M81">
        <v>25</v>
      </c>
      <c r="N81" t="str">
        <f>IF(A81="","", "CO-" &amp; IFERROR(VLOOKUP(B81, Catalogos!$Z$4:$AA$20, 2, FALSE), "FOL") &amp; "-" &amp; WEEKNUM(A81,2) &amp; "-" &amp; TEXT(ROW(A77),"000"))</f>
        <v>CO-PAH-25-077</v>
      </c>
    </row>
    <row r="82" spans="1:14">
      <c r="A82" s="2">
        <v>46188</v>
      </c>
      <c r="B82" t="s">
        <v>124</v>
      </c>
      <c r="C82" t="s">
        <v>237</v>
      </c>
      <c r="D82" t="s">
        <v>245</v>
      </c>
      <c r="E82" t="e">
        <f>VLOOKUP(#REF!,Catalogos!$V$4:$W$64,2,FALSE)</f>
        <v>#REF!</v>
      </c>
      <c r="F82" s="3">
        <v>100</v>
      </c>
      <c r="G82" s="4">
        <v>27</v>
      </c>
      <c r="H82" s="4">
        <f t="shared" si="2"/>
        <v>2700</v>
      </c>
      <c r="M82">
        <v>25</v>
      </c>
      <c r="N82" t="str">
        <f>IF(A82="","", "CO-" &amp; IFERROR(VLOOKUP(B82, Catalogos!$Z$4:$AA$20, 2, FALSE), "FOL") &amp; "-" &amp; WEEKNUM(A82,2) &amp; "-" &amp; TEXT(ROW(A78),"000"))</f>
        <v>CO-PAH-25-078</v>
      </c>
    </row>
    <row r="83" spans="1:14">
      <c r="A83" s="2">
        <v>46188</v>
      </c>
      <c r="B83" t="s">
        <v>124</v>
      </c>
      <c r="C83" t="s">
        <v>237</v>
      </c>
      <c r="D83" t="s">
        <v>798</v>
      </c>
      <c r="E83" t="e">
        <f>VLOOKUP(#REF!,Catalogos!$V$4:$W$64,2,FALSE)</f>
        <v>#REF!</v>
      </c>
      <c r="F83" s="3">
        <v>400</v>
      </c>
      <c r="G83" s="4">
        <v>27</v>
      </c>
      <c r="H83" s="4">
        <f t="shared" si="2"/>
        <v>10800</v>
      </c>
      <c r="M83">
        <v>25</v>
      </c>
      <c r="N83" t="str">
        <f>IF(A83="","", "CO-" &amp; IFERROR(VLOOKUP(B83, Catalogos!$Z$4:$AA$20, 2, FALSE), "FOL") &amp; "-" &amp; WEEKNUM(A83,2) &amp; "-" &amp; TEXT(ROW(A79),"000"))</f>
        <v>CO-PAH-25-079</v>
      </c>
    </row>
    <row r="84" spans="1:14" hidden="1">
      <c r="A84" s="2">
        <v>46189</v>
      </c>
      <c r="B84" t="s">
        <v>1</v>
      </c>
      <c r="C84" t="s">
        <v>51</v>
      </c>
      <c r="D84" t="s">
        <v>386</v>
      </c>
      <c r="E84" t="e">
        <f>VLOOKUP(#REF!,Catalogos!$V$4:$W$64,2,FALSE)</f>
        <v>#REF!</v>
      </c>
      <c r="F84" s="3">
        <v>200</v>
      </c>
      <c r="G84" s="4">
        <v>27</v>
      </c>
      <c r="H84" s="4">
        <f t="shared" si="2"/>
        <v>5400</v>
      </c>
      <c r="M84">
        <v>25</v>
      </c>
      <c r="N84" t="str">
        <f>IF(A84="","", "CO-" &amp; IFERROR(VLOOKUP(B84, Catalogos!$Z$4:$AA$20, 2, FALSE), "FOL") &amp; "-" &amp; WEEKNUM(A84,2) &amp; "-" &amp; TEXT(ROW(A80),"000"))</f>
        <v>CO-MT-25-080</v>
      </c>
    </row>
    <row r="85" spans="1:14" hidden="1">
      <c r="A85" s="2">
        <v>46189</v>
      </c>
      <c r="B85" t="s">
        <v>1</v>
      </c>
      <c r="C85" t="s">
        <v>51</v>
      </c>
      <c r="D85" t="s">
        <v>221</v>
      </c>
      <c r="E85" t="e">
        <f>VLOOKUP(#REF!,Catalogos!$V$4:$W$64,2,FALSE)</f>
        <v>#REF!</v>
      </c>
      <c r="F85" s="3">
        <v>32</v>
      </c>
      <c r="G85" s="4">
        <v>27</v>
      </c>
      <c r="H85" s="4">
        <f t="shared" si="2"/>
        <v>864</v>
      </c>
      <c r="M85">
        <v>25</v>
      </c>
      <c r="N85" t="str">
        <f>IF(A85="","", "CO-" &amp; IFERROR(VLOOKUP(B85, Catalogos!$Z$4:$AA$20, 2, FALSE), "FOL") &amp; "-" &amp; WEEKNUM(A85,2) &amp; "-" &amp; TEXT(ROW(A81),"000"))</f>
        <v>CO-MT-25-081</v>
      </c>
    </row>
    <row r="86" spans="1:14" hidden="1">
      <c r="A86" s="2">
        <v>46189</v>
      </c>
      <c r="B86" t="s">
        <v>1</v>
      </c>
      <c r="C86" t="s">
        <v>51</v>
      </c>
      <c r="D86" t="s">
        <v>224</v>
      </c>
      <c r="E86" t="e">
        <f>VLOOKUP(#REF!,Catalogos!$V$4:$W$64,2,FALSE)</f>
        <v>#REF!</v>
      </c>
      <c r="F86" s="3">
        <v>30</v>
      </c>
      <c r="G86" s="4">
        <v>27</v>
      </c>
      <c r="H86" s="4">
        <f t="shared" si="2"/>
        <v>810</v>
      </c>
      <c r="M86">
        <v>25</v>
      </c>
      <c r="N86" t="str">
        <f>IF(A86="","", "CO-" &amp; IFERROR(VLOOKUP(B86, Catalogos!$Z$4:$AA$20, 2, FALSE), "FOL") &amp; "-" &amp; WEEKNUM(A86,2) &amp; "-" &amp; TEXT(ROW(A82),"000"))</f>
        <v>CO-MT-25-082</v>
      </c>
    </row>
    <row r="87" spans="1:14" hidden="1">
      <c r="A87" s="2">
        <v>46189</v>
      </c>
      <c r="B87" t="s">
        <v>1</v>
      </c>
      <c r="C87" t="s">
        <v>51</v>
      </c>
      <c r="D87" t="s">
        <v>216</v>
      </c>
      <c r="E87" t="e">
        <f>VLOOKUP(#REF!,Catalogos!$V$4:$W$64,2,FALSE)</f>
        <v>#REF!</v>
      </c>
      <c r="F87" s="3">
        <v>30</v>
      </c>
      <c r="G87" s="4">
        <v>27</v>
      </c>
      <c r="H87" s="4">
        <f t="shared" si="2"/>
        <v>810</v>
      </c>
      <c r="M87">
        <v>25</v>
      </c>
      <c r="N87" t="str">
        <f>IF(A87="","", "CO-" &amp; IFERROR(VLOOKUP(B87, Catalogos!$Z$4:$AA$20, 2, FALSE), "FOL") &amp; "-" &amp; WEEKNUM(A87,2) &amp; "-" &amp; TEXT(ROW(A83),"000"))</f>
        <v>CO-MT-25-083</v>
      </c>
    </row>
    <row r="88" spans="1:14" hidden="1">
      <c r="A88" s="2">
        <v>46189</v>
      </c>
      <c r="B88" t="s">
        <v>1</v>
      </c>
      <c r="C88" t="s">
        <v>51</v>
      </c>
      <c r="D88" t="s">
        <v>368</v>
      </c>
      <c r="E88" t="e">
        <f>VLOOKUP(#REF!,Catalogos!$V$4:$W$64,2,FALSE)</f>
        <v>#REF!</v>
      </c>
      <c r="F88" s="3">
        <v>107</v>
      </c>
      <c r="G88" s="4">
        <v>27</v>
      </c>
      <c r="H88" s="4">
        <f t="shared" si="2"/>
        <v>2889</v>
      </c>
      <c r="M88">
        <v>25</v>
      </c>
      <c r="N88" t="str">
        <f>IF(A88="","", "CO-" &amp; IFERROR(VLOOKUP(B88, Catalogos!$Z$4:$AA$20, 2, FALSE), "FOL") &amp; "-" &amp; WEEKNUM(A88,2) &amp; "-" &amp; TEXT(ROW(A84),"000"))</f>
        <v>CO-MT-25-084</v>
      </c>
    </row>
    <row r="89" spans="1:14" hidden="1">
      <c r="A89" s="2">
        <v>46189</v>
      </c>
      <c r="B89" t="s">
        <v>1</v>
      </c>
      <c r="C89" t="s">
        <v>51</v>
      </c>
      <c r="D89" t="s">
        <v>228</v>
      </c>
      <c r="E89" t="e">
        <f>VLOOKUP(#REF!,Catalogos!$V$4:$W$64,2,FALSE)</f>
        <v>#REF!</v>
      </c>
      <c r="F89" s="3">
        <v>40</v>
      </c>
      <c r="G89" s="4">
        <v>27</v>
      </c>
      <c r="H89" s="4">
        <f t="shared" si="2"/>
        <v>1080</v>
      </c>
      <c r="M89">
        <v>25</v>
      </c>
      <c r="N89" t="str">
        <f>IF(A89="","", "CO-" &amp; IFERROR(VLOOKUP(B89, Catalogos!$Z$4:$AA$20, 2, FALSE), "FOL") &amp; "-" &amp; WEEKNUM(A89,2) &amp; "-" &amp; TEXT(ROW(A85),"000"))</f>
        <v>CO-MT-25-085</v>
      </c>
    </row>
    <row r="90" spans="1:14" hidden="1">
      <c r="A90" s="2">
        <v>46189</v>
      </c>
      <c r="B90" t="s">
        <v>1</v>
      </c>
      <c r="C90" t="s">
        <v>51</v>
      </c>
      <c r="D90" t="s">
        <v>383</v>
      </c>
      <c r="E90" t="e">
        <f>VLOOKUP(#REF!,Catalogos!$V$4:$W$64,2,FALSE)</f>
        <v>#REF!</v>
      </c>
      <c r="F90" s="3">
        <v>50</v>
      </c>
      <c r="G90" s="4">
        <v>27</v>
      </c>
      <c r="H90" s="4">
        <f t="shared" si="2"/>
        <v>1350</v>
      </c>
      <c r="M90">
        <v>25</v>
      </c>
      <c r="N90" t="str">
        <f>IF(A90="","", "CO-" &amp; IFERROR(VLOOKUP(B90, Catalogos!$Z$4:$AA$20, 2, FALSE), "FOL") &amp; "-" &amp; WEEKNUM(A90,2) &amp; "-" &amp; TEXT(ROW(A86),"000"))</f>
        <v>CO-MT-25-086</v>
      </c>
    </row>
    <row r="91" spans="1:14" hidden="1">
      <c r="A91" s="2">
        <v>46189</v>
      </c>
      <c r="B91" t="s">
        <v>2</v>
      </c>
      <c r="C91" t="s">
        <v>47</v>
      </c>
      <c r="D91" t="s">
        <v>235</v>
      </c>
      <c r="E91" t="e">
        <f>VLOOKUP(#REF!,Catalogos!$V$4:$W$64,2,FALSE)</f>
        <v>#REF!</v>
      </c>
      <c r="F91" s="3">
        <v>50</v>
      </c>
      <c r="G91" s="4">
        <v>27</v>
      </c>
      <c r="H91" s="4">
        <f t="shared" si="2"/>
        <v>1350</v>
      </c>
      <c r="M91">
        <v>25</v>
      </c>
      <c r="N91" t="str">
        <f>IF(A91="","", "CO-" &amp; IFERROR(VLOOKUP(B91, Catalogos!$Z$4:$AA$20, 2, FALSE), "FOL") &amp; "-" &amp; WEEKNUM(A91,2) &amp; "-" &amp; TEXT(ROW(A87),"000"))</f>
        <v>CO-LT-25-087</v>
      </c>
    </row>
    <row r="92" spans="1:14">
      <c r="A92" s="2">
        <v>46189</v>
      </c>
      <c r="B92" t="s">
        <v>400</v>
      </c>
      <c r="C92" t="s">
        <v>47</v>
      </c>
      <c r="D92" t="s">
        <v>383</v>
      </c>
      <c r="E92" t="e">
        <f>VLOOKUP(#REF!,Catalogos!$V$4:$W$64,2,FALSE)</f>
        <v>#REF!</v>
      </c>
      <c r="F92" s="3">
        <v>50</v>
      </c>
      <c r="G92" s="4">
        <v>27</v>
      </c>
      <c r="H92" s="4">
        <f t="shared" si="2"/>
        <v>1350</v>
      </c>
      <c r="M92">
        <v>25</v>
      </c>
      <c r="N92" t="str">
        <f>IF(A92="","", "CO-" &amp; IFERROR(VLOOKUP(B92, Catalogos!$Z$4:$AA$20, 2, FALSE), "FOL") &amp; "-" &amp; WEEKNUM(A92,2) &amp; "-" &amp; TEXT(ROW(A88),"000"))</f>
        <v>CO-MP-25-088</v>
      </c>
    </row>
    <row r="93" spans="1:14">
      <c r="A93" s="2">
        <v>46189</v>
      </c>
      <c r="B93" t="s">
        <v>400</v>
      </c>
      <c r="C93" t="s">
        <v>47</v>
      </c>
      <c r="D93" t="s">
        <v>112</v>
      </c>
      <c r="E93" t="e">
        <f>VLOOKUP(#REF!,Catalogos!$V$4:$W$64,2,FALSE)</f>
        <v>#REF!</v>
      </c>
      <c r="F93" s="3">
        <v>1001</v>
      </c>
      <c r="G93" s="4">
        <v>27</v>
      </c>
      <c r="H93" s="4">
        <f t="shared" si="2"/>
        <v>27027</v>
      </c>
      <c r="M93">
        <v>25</v>
      </c>
      <c r="N93" t="str">
        <f>IF(A93="","", "CO-" &amp; IFERROR(VLOOKUP(B93, Catalogos!$Z$4:$AA$20, 2, FALSE), "FOL") &amp; "-" &amp; WEEKNUM(A93,2) &amp; "-" &amp; TEXT(ROW(A89),"000"))</f>
        <v>CO-MP-25-089</v>
      </c>
    </row>
    <row r="94" spans="1:14" hidden="1">
      <c r="A94" s="2">
        <v>46189</v>
      </c>
      <c r="B94" t="s">
        <v>2</v>
      </c>
      <c r="C94" t="s">
        <v>47</v>
      </c>
      <c r="D94" t="s">
        <v>214</v>
      </c>
      <c r="E94" t="e">
        <f>VLOOKUP(#REF!,Catalogos!$V$4:$W$64,2,FALSE)</f>
        <v>#REF!</v>
      </c>
      <c r="F94" s="3">
        <v>350</v>
      </c>
      <c r="G94" s="4">
        <v>27</v>
      </c>
      <c r="H94" s="4">
        <f t="shared" si="2"/>
        <v>9450</v>
      </c>
      <c r="M94">
        <v>25</v>
      </c>
      <c r="N94" t="str">
        <f>IF(A94="","", "CO-" &amp; IFERROR(VLOOKUP(B94, Catalogos!$Z$4:$AA$20, 2, FALSE), "FOL") &amp; "-" &amp; WEEKNUM(A94,2) &amp; "-" &amp; TEXT(ROW(A90),"000"))</f>
        <v>CO-LT-25-090</v>
      </c>
    </row>
    <row r="95" spans="1:14" hidden="1">
      <c r="A95" s="2">
        <v>46189</v>
      </c>
      <c r="B95" t="s">
        <v>111</v>
      </c>
      <c r="C95" t="s">
        <v>47</v>
      </c>
      <c r="D95" t="s">
        <v>214</v>
      </c>
      <c r="E95" t="e">
        <f>VLOOKUP(#REF!,Catalogos!$V$4:$W$64,2,FALSE)</f>
        <v>#REF!</v>
      </c>
      <c r="F95" s="3">
        <v>200</v>
      </c>
      <c r="G95" s="4">
        <v>27</v>
      </c>
      <c r="H95" s="4">
        <f t="shared" si="2"/>
        <v>5400</v>
      </c>
      <c r="M95">
        <v>25</v>
      </c>
      <c r="N95" t="str">
        <f>IF(A95="","", "CO-" &amp; IFERROR(VLOOKUP(B95, Catalogos!$Z$4:$AA$20, 2, FALSE), "FOL") &amp; "-" &amp; WEEKNUM(A95,2) &amp; "-" &amp; TEXT(ROW(A91),"000"))</f>
        <v>CO-BT-25-091</v>
      </c>
    </row>
    <row r="96" spans="1:14" hidden="1">
      <c r="A96" s="2">
        <v>46189</v>
      </c>
      <c r="B96" t="s">
        <v>2</v>
      </c>
      <c r="C96" t="s">
        <v>47</v>
      </c>
      <c r="D96" t="s">
        <v>235</v>
      </c>
      <c r="E96" t="e">
        <f>VLOOKUP(#REF!,Catalogos!$V$4:$W$64,2,FALSE)</f>
        <v>#REF!</v>
      </c>
      <c r="F96" s="3">
        <v>50</v>
      </c>
      <c r="G96" s="4">
        <v>27</v>
      </c>
      <c r="H96" s="4">
        <f t="shared" si="2"/>
        <v>1350</v>
      </c>
      <c r="M96">
        <v>25</v>
      </c>
      <c r="N96" t="str">
        <f>IF(A96="","", "CO-" &amp; IFERROR(VLOOKUP(B96, Catalogos!$Z$4:$AA$20, 2, FALSE), "FOL") &amp; "-" &amp; WEEKNUM(A96,2) &amp; "-" &amp; TEXT(ROW(A92),"000"))</f>
        <v>CO-LT-25-092</v>
      </c>
    </row>
    <row r="97" spans="1:14" hidden="1">
      <c r="A97" s="2">
        <v>46189</v>
      </c>
      <c r="B97" t="s">
        <v>2</v>
      </c>
      <c r="C97" t="s">
        <v>47</v>
      </c>
      <c r="D97" t="s">
        <v>365</v>
      </c>
      <c r="E97" t="e">
        <f>VLOOKUP(#REF!,Catalogos!$V$4:$W$64,2,FALSE)</f>
        <v>#REF!</v>
      </c>
      <c r="F97" s="3">
        <v>165</v>
      </c>
      <c r="G97" s="4">
        <v>27</v>
      </c>
      <c r="H97" s="4">
        <f t="shared" si="2"/>
        <v>4455</v>
      </c>
      <c r="M97">
        <v>25</v>
      </c>
      <c r="N97" t="str">
        <f>IF(A97="","", "CO-" &amp; IFERROR(VLOOKUP(B97, Catalogos!$Z$4:$AA$20, 2, FALSE), "FOL") &amp; "-" &amp; WEEKNUM(A97,2) &amp; "-" &amp; TEXT(ROW(A93),"000"))</f>
        <v>CO-LT-25-093</v>
      </c>
    </row>
    <row r="98" spans="1:14" hidden="1">
      <c r="A98" s="2">
        <v>46190</v>
      </c>
      <c r="B98" t="s">
        <v>1</v>
      </c>
      <c r="C98" t="s">
        <v>51</v>
      </c>
      <c r="D98" t="s">
        <v>386</v>
      </c>
      <c r="E98" t="e">
        <f>VLOOKUP(#REF!,Catalogos!$V$4:$W$64,2,FALSE)</f>
        <v>#REF!</v>
      </c>
      <c r="F98" s="3">
        <v>200</v>
      </c>
      <c r="G98" s="4">
        <v>27</v>
      </c>
      <c r="H98" s="4">
        <f t="shared" si="2"/>
        <v>5400</v>
      </c>
      <c r="M98">
        <v>25</v>
      </c>
      <c r="N98" t="str">
        <f>IF(A98="","", "CO-" &amp; IFERROR(VLOOKUP(B98, Catalogos!$Z$4:$AA$20, 2, FALSE), "FOL") &amp; "-" &amp; WEEKNUM(A98,2) &amp; "-" &amp; TEXT(ROW(A94),"000"))</f>
        <v>CO-MT-25-094</v>
      </c>
    </row>
    <row r="99" spans="1:14" hidden="1">
      <c r="A99" s="2">
        <v>46190</v>
      </c>
      <c r="B99" t="s">
        <v>1</v>
      </c>
      <c r="C99" t="s">
        <v>51</v>
      </c>
      <c r="D99" t="s">
        <v>368</v>
      </c>
      <c r="E99" t="e">
        <f>VLOOKUP(#REF!,Catalogos!$V$4:$W$64,2,FALSE)</f>
        <v>#REF!</v>
      </c>
      <c r="F99" s="3">
        <v>120</v>
      </c>
      <c r="G99" s="4">
        <v>27</v>
      </c>
      <c r="H99" s="4">
        <f t="shared" si="2"/>
        <v>3240</v>
      </c>
      <c r="M99">
        <v>25</v>
      </c>
      <c r="N99" t="str">
        <f>IF(A99="","", "CO-" &amp; IFERROR(VLOOKUP(B99, Catalogos!$Z$4:$AA$20, 2, FALSE), "FOL") &amp; "-" &amp; WEEKNUM(A99,2) &amp; "-" &amp; TEXT(ROW(A95),"000"))</f>
        <v>CO-MT-25-095</v>
      </c>
    </row>
    <row r="100" spans="1:14" hidden="1">
      <c r="A100" s="2">
        <v>46190</v>
      </c>
      <c r="B100" t="s">
        <v>1</v>
      </c>
      <c r="C100" t="s">
        <v>51</v>
      </c>
      <c r="D100" t="s">
        <v>221</v>
      </c>
      <c r="E100" t="e">
        <f>VLOOKUP(#REF!,Catalogos!$V$4:$W$64,2,FALSE)</f>
        <v>#REF!</v>
      </c>
      <c r="F100" s="3">
        <v>30</v>
      </c>
      <c r="G100" s="4">
        <v>27</v>
      </c>
      <c r="H100" s="4">
        <f t="shared" si="2"/>
        <v>810</v>
      </c>
      <c r="M100">
        <v>25</v>
      </c>
      <c r="N100" t="str">
        <f>IF(A100="","", "CO-" &amp; IFERROR(VLOOKUP(B100, Catalogos!$Z$4:$AA$20, 2, FALSE), "FOL") &amp; "-" &amp; WEEKNUM(A100,2) &amp; "-" &amp; TEXT(ROW(A96),"000"))</f>
        <v>CO-MT-25-096</v>
      </c>
    </row>
    <row r="101" spans="1:14" hidden="1">
      <c r="A101" s="2">
        <v>46190</v>
      </c>
      <c r="B101" t="s">
        <v>1</v>
      </c>
      <c r="C101" t="s">
        <v>51</v>
      </c>
      <c r="D101" t="s">
        <v>224</v>
      </c>
      <c r="E101" t="e">
        <f>VLOOKUP(#REF!,Catalogos!$V$4:$W$64,2,FALSE)</f>
        <v>#REF!</v>
      </c>
      <c r="F101" s="3">
        <v>30</v>
      </c>
      <c r="G101" s="4">
        <v>27</v>
      </c>
      <c r="H101" s="4">
        <f t="shared" ref="H101:H132" si="3">IFERROR(F101*G101,0)</f>
        <v>810</v>
      </c>
      <c r="M101">
        <v>25</v>
      </c>
      <c r="N101" t="str">
        <f>IF(A101="","", "CO-" &amp; IFERROR(VLOOKUP(B101, Catalogos!$Z$4:$AA$20, 2, FALSE), "FOL") &amp; "-" &amp; WEEKNUM(A101,2) &amp; "-" &amp; TEXT(ROW(A97),"000"))</f>
        <v>CO-MT-25-097</v>
      </c>
    </row>
    <row r="102" spans="1:14" hidden="1">
      <c r="A102" s="2">
        <v>46190</v>
      </c>
      <c r="B102" t="s">
        <v>1</v>
      </c>
      <c r="C102" t="s">
        <v>51</v>
      </c>
      <c r="D102" t="s">
        <v>216</v>
      </c>
      <c r="E102" t="e">
        <f>VLOOKUP(#REF!,Catalogos!$V$4:$W$64,2,FALSE)</f>
        <v>#REF!</v>
      </c>
      <c r="F102" s="3">
        <v>28</v>
      </c>
      <c r="G102" s="4">
        <v>27</v>
      </c>
      <c r="H102" s="4">
        <f t="shared" si="3"/>
        <v>756</v>
      </c>
      <c r="M102">
        <v>25</v>
      </c>
      <c r="N102" t="str">
        <f>IF(A102="","", "CO-" &amp; IFERROR(VLOOKUP(B102, Catalogos!$Z$4:$AA$20, 2, FALSE), "FOL") &amp; "-" &amp; WEEKNUM(A102,2) &amp; "-" &amp; TEXT(ROW(A98),"000"))</f>
        <v>CO-MT-25-098</v>
      </c>
    </row>
    <row r="103" spans="1:14" hidden="1">
      <c r="A103" s="2">
        <v>46190</v>
      </c>
      <c r="B103" t="s">
        <v>1</v>
      </c>
      <c r="C103" t="s">
        <v>51</v>
      </c>
      <c r="D103" t="s">
        <v>228</v>
      </c>
      <c r="E103" t="e">
        <f>VLOOKUP(#REF!,Catalogos!$V$4:$W$64,2,FALSE)</f>
        <v>#REF!</v>
      </c>
      <c r="F103" s="3">
        <v>60</v>
      </c>
      <c r="G103" s="4">
        <v>27</v>
      </c>
      <c r="H103" s="4">
        <f t="shared" si="3"/>
        <v>1620</v>
      </c>
      <c r="M103">
        <v>25</v>
      </c>
      <c r="N103" t="str">
        <f>IF(A103="","", "CO-" &amp; IFERROR(VLOOKUP(B103, Catalogos!$Z$4:$AA$20, 2, FALSE), "FOL") &amp; "-" &amp; WEEKNUM(A103,2) &amp; "-" &amp; TEXT(ROW(A99),"000"))</f>
        <v>CO-MT-25-099</v>
      </c>
    </row>
    <row r="104" spans="1:14" hidden="1">
      <c r="A104" s="2">
        <v>46190</v>
      </c>
      <c r="B104" t="s">
        <v>2</v>
      </c>
      <c r="C104" t="s">
        <v>47</v>
      </c>
      <c r="D104" t="s">
        <v>231</v>
      </c>
      <c r="E104" t="e">
        <f>VLOOKUP(#REF!,Catalogos!$V$4:$W$64,2,FALSE)</f>
        <v>#REF!</v>
      </c>
      <c r="F104" s="3">
        <v>80</v>
      </c>
      <c r="G104" s="4">
        <v>27</v>
      </c>
      <c r="H104" s="4">
        <f t="shared" si="3"/>
        <v>2160</v>
      </c>
      <c r="M104">
        <v>25</v>
      </c>
      <c r="N104" t="str">
        <f>IF(A104="","", "CO-" &amp; IFERROR(VLOOKUP(B104, Catalogos!$Z$4:$AA$20, 2, FALSE), "FOL") &amp; "-" &amp; WEEKNUM(A104,2) &amp; "-" &amp; TEXT(ROW(A100),"000"))</f>
        <v>CO-LT-25-100</v>
      </c>
    </row>
    <row r="105" spans="1:14" hidden="1">
      <c r="A105" s="2">
        <v>46190</v>
      </c>
      <c r="B105" t="s">
        <v>111</v>
      </c>
      <c r="C105" t="s">
        <v>47</v>
      </c>
      <c r="D105" t="s">
        <v>221</v>
      </c>
      <c r="E105" t="e">
        <f>VLOOKUP(#REF!,Catalogos!$V$4:$W$64,2,FALSE)</f>
        <v>#REF!</v>
      </c>
      <c r="F105" s="3">
        <v>20</v>
      </c>
      <c r="G105" s="4">
        <v>27</v>
      </c>
      <c r="H105" s="4">
        <f t="shared" si="3"/>
        <v>540</v>
      </c>
      <c r="M105">
        <v>25</v>
      </c>
      <c r="N105" t="str">
        <f>IF(A105="","", "CO-" &amp; IFERROR(VLOOKUP(B105, Catalogos!$Z$4:$AA$20, 2, FALSE), "FOL") &amp; "-" &amp; WEEKNUM(A105,2) &amp; "-" &amp; TEXT(ROW(A101),"000"))</f>
        <v>CO-BT-25-101</v>
      </c>
    </row>
    <row r="106" spans="1:14">
      <c r="A106" s="2">
        <v>46190</v>
      </c>
      <c r="B106" t="s">
        <v>124</v>
      </c>
      <c r="C106" t="s">
        <v>237</v>
      </c>
      <c r="D106" t="s">
        <v>240</v>
      </c>
      <c r="E106" t="e">
        <f>VLOOKUP(#REF!,Catalogos!$V$4:$W$64,2,FALSE)</f>
        <v>#REF!</v>
      </c>
      <c r="F106" s="3">
        <v>100</v>
      </c>
      <c r="G106" s="4">
        <v>27</v>
      </c>
      <c r="H106" s="4">
        <f t="shared" si="3"/>
        <v>2700</v>
      </c>
      <c r="M106">
        <v>25</v>
      </c>
      <c r="N106" t="str">
        <f>IF(A106="","", "CO-" &amp; IFERROR(VLOOKUP(B106, Catalogos!$Z$4:$AA$20, 2, FALSE), "FOL") &amp; "-" &amp; WEEKNUM(A106,2) &amp; "-" &amp; TEXT(ROW(A102),"000"))</f>
        <v>CO-PAH-25-102</v>
      </c>
    </row>
    <row r="107" spans="1:14">
      <c r="A107" s="2">
        <v>46190</v>
      </c>
      <c r="B107" t="s">
        <v>124</v>
      </c>
      <c r="C107" t="s">
        <v>237</v>
      </c>
      <c r="D107" t="s">
        <v>798</v>
      </c>
      <c r="E107" t="e">
        <f>VLOOKUP(#REF!,Catalogos!$V$4:$W$64,2,FALSE)</f>
        <v>#REF!</v>
      </c>
      <c r="F107" s="3">
        <v>200</v>
      </c>
      <c r="G107" s="4">
        <v>27</v>
      </c>
      <c r="H107" s="4">
        <f t="shared" si="3"/>
        <v>5400</v>
      </c>
      <c r="M107">
        <v>25</v>
      </c>
      <c r="N107" t="str">
        <f>IF(A107="","", "CO-" &amp; IFERROR(VLOOKUP(B107, Catalogos!$Z$4:$AA$20, 2, FALSE), "FOL") &amp; "-" &amp; WEEKNUM(A107,2) &amp; "-" &amp; TEXT(ROW(A103),"000"))</f>
        <v>CO-PAH-25-103</v>
      </c>
    </row>
    <row r="108" spans="1:14" hidden="1">
      <c r="A108" s="2">
        <v>46191</v>
      </c>
      <c r="B108" t="s">
        <v>1</v>
      </c>
      <c r="C108" t="s">
        <v>51</v>
      </c>
      <c r="D108" t="s">
        <v>386</v>
      </c>
      <c r="E108" t="e">
        <f>VLOOKUP(#REF!,Catalogos!$V$4:$W$64,2,FALSE)</f>
        <v>#REF!</v>
      </c>
      <c r="F108" s="3">
        <v>200</v>
      </c>
      <c r="G108" s="4">
        <v>27</v>
      </c>
      <c r="H108" s="4">
        <f t="shared" si="3"/>
        <v>5400</v>
      </c>
      <c r="M108">
        <v>25</v>
      </c>
      <c r="N108" t="str">
        <f>IF(A108="","", "CO-" &amp; IFERROR(VLOOKUP(B108, Catalogos!$Z$4:$AA$20, 2, FALSE), "FOL") &amp; "-" &amp; WEEKNUM(A108,2) &amp; "-" &amp; TEXT(ROW(A104),"000"))</f>
        <v>CO-MT-25-104</v>
      </c>
    </row>
    <row r="109" spans="1:14" hidden="1">
      <c r="A109" s="2">
        <v>46191</v>
      </c>
      <c r="B109" t="s">
        <v>1</v>
      </c>
      <c r="C109" t="s">
        <v>51</v>
      </c>
      <c r="D109" t="s">
        <v>368</v>
      </c>
      <c r="E109" t="e">
        <f>VLOOKUP(#REF!,Catalogos!$V$4:$W$64,2,FALSE)</f>
        <v>#REF!</v>
      </c>
      <c r="F109" s="3">
        <v>115</v>
      </c>
      <c r="G109" s="4">
        <v>27</v>
      </c>
      <c r="H109" s="4">
        <f t="shared" si="3"/>
        <v>3105</v>
      </c>
      <c r="M109">
        <v>25</v>
      </c>
      <c r="N109" t="str">
        <f>IF(A109="","", "CO-" &amp; IFERROR(VLOOKUP(B109, Catalogos!$Z$4:$AA$20, 2, FALSE), "FOL") &amp; "-" &amp; WEEKNUM(A109,2) &amp; "-" &amp; TEXT(ROW(A105),"000"))</f>
        <v>CO-MT-25-105</v>
      </c>
    </row>
    <row r="110" spans="1:14" hidden="1">
      <c r="A110" s="2">
        <v>46191</v>
      </c>
      <c r="B110" t="s">
        <v>1</v>
      </c>
      <c r="C110" t="s">
        <v>51</v>
      </c>
      <c r="D110" t="s">
        <v>224</v>
      </c>
      <c r="E110" t="e">
        <f>VLOOKUP(#REF!,Catalogos!$V$4:$W$64,2,FALSE)</f>
        <v>#REF!</v>
      </c>
      <c r="F110" s="3">
        <v>30</v>
      </c>
      <c r="G110" s="4">
        <v>27</v>
      </c>
      <c r="H110" s="4">
        <f t="shared" si="3"/>
        <v>810</v>
      </c>
      <c r="M110">
        <v>25</v>
      </c>
      <c r="N110" t="str">
        <f>IF(A110="","", "CO-" &amp; IFERROR(VLOOKUP(B110, Catalogos!$Z$4:$AA$20, 2, FALSE), "FOL") &amp; "-" &amp; WEEKNUM(A110,2) &amp; "-" &amp; TEXT(ROW(A106),"000"))</f>
        <v>CO-MT-25-106</v>
      </c>
    </row>
    <row r="111" spans="1:14" hidden="1">
      <c r="A111" s="2">
        <v>46191</v>
      </c>
      <c r="B111" t="s">
        <v>1</v>
      </c>
      <c r="C111" t="s">
        <v>51</v>
      </c>
      <c r="D111" t="s">
        <v>221</v>
      </c>
      <c r="E111" t="e">
        <f>VLOOKUP(#REF!,Catalogos!$V$4:$W$64,2,FALSE)</f>
        <v>#REF!</v>
      </c>
      <c r="F111" s="3">
        <v>30</v>
      </c>
      <c r="G111" s="4">
        <v>27</v>
      </c>
      <c r="H111" s="4">
        <f t="shared" si="3"/>
        <v>810</v>
      </c>
      <c r="M111">
        <v>25</v>
      </c>
      <c r="N111" t="str">
        <f>IF(A111="","", "CO-" &amp; IFERROR(VLOOKUP(B111, Catalogos!$Z$4:$AA$20, 2, FALSE), "FOL") &amp; "-" &amp; WEEKNUM(A111,2) &amp; "-" &amp; TEXT(ROW(A107),"000"))</f>
        <v>CO-MT-25-107</v>
      </c>
    </row>
    <row r="112" spans="1:14" hidden="1">
      <c r="A112" s="2">
        <v>46191</v>
      </c>
      <c r="B112" t="s">
        <v>1</v>
      </c>
      <c r="C112" t="s">
        <v>51</v>
      </c>
      <c r="D112" t="s">
        <v>228</v>
      </c>
      <c r="E112" t="e">
        <f>VLOOKUP(#REF!,Catalogos!$V$4:$W$64,2,FALSE)</f>
        <v>#REF!</v>
      </c>
      <c r="F112" s="3">
        <v>30</v>
      </c>
      <c r="G112" s="4">
        <v>27</v>
      </c>
      <c r="H112" s="4">
        <f t="shared" si="3"/>
        <v>810</v>
      </c>
      <c r="M112">
        <v>25</v>
      </c>
      <c r="N112" t="str">
        <f>IF(A112="","", "CO-" &amp; IFERROR(VLOOKUP(B112, Catalogos!$Z$4:$AA$20, 2, FALSE), "FOL") &amp; "-" &amp; WEEKNUM(A112,2) &amp; "-" &amp; TEXT(ROW(A108),"000"))</f>
        <v>CO-MT-25-108</v>
      </c>
    </row>
    <row r="113" spans="1:14" hidden="1">
      <c r="A113" s="2">
        <v>46191</v>
      </c>
      <c r="B113" t="s">
        <v>1</v>
      </c>
      <c r="C113" t="s">
        <v>51</v>
      </c>
      <c r="D113" t="s">
        <v>383</v>
      </c>
      <c r="E113" t="e">
        <f>VLOOKUP(#REF!,Catalogos!$V$4:$W$64,2,FALSE)</f>
        <v>#REF!</v>
      </c>
      <c r="F113" s="3">
        <v>50</v>
      </c>
      <c r="G113" s="4">
        <v>27</v>
      </c>
      <c r="H113" s="4">
        <f t="shared" si="3"/>
        <v>1350</v>
      </c>
      <c r="M113">
        <v>25</v>
      </c>
      <c r="N113" t="str">
        <f>IF(A113="","", "CO-" &amp; IFERROR(VLOOKUP(B113, Catalogos!$Z$4:$AA$20, 2, FALSE), "FOL") &amp; "-" &amp; WEEKNUM(A113,2) &amp; "-" &amp; TEXT(ROW(A109),"000"))</f>
        <v>CO-MT-25-109</v>
      </c>
    </row>
    <row r="114" spans="1:14">
      <c r="A114" s="2">
        <v>46191</v>
      </c>
      <c r="B114" t="s">
        <v>124</v>
      </c>
      <c r="C114" t="s">
        <v>237</v>
      </c>
      <c r="D114" t="s">
        <v>240</v>
      </c>
      <c r="E114" t="e">
        <f>VLOOKUP(#REF!,Catalogos!$V$4:$W$64,2,FALSE)</f>
        <v>#REF!</v>
      </c>
      <c r="F114" s="3">
        <v>200</v>
      </c>
      <c r="G114" s="4">
        <v>27</v>
      </c>
      <c r="H114" s="4">
        <f t="shared" si="3"/>
        <v>5400</v>
      </c>
      <c r="M114">
        <v>25</v>
      </c>
      <c r="N114" t="str">
        <f>IF(A114="","", "CO-" &amp; IFERROR(VLOOKUP(B114, Catalogos!$Z$4:$AA$20, 2, FALSE), "FOL") &amp; "-" &amp; WEEKNUM(A114,2) &amp; "-" &amp; TEXT(ROW(A110),"000"))</f>
        <v>CO-PAH-25-110</v>
      </c>
    </row>
    <row r="115" spans="1:14">
      <c r="A115" s="2">
        <v>46191</v>
      </c>
      <c r="B115" t="s">
        <v>124</v>
      </c>
      <c r="C115" t="s">
        <v>237</v>
      </c>
      <c r="D115" t="s">
        <v>248</v>
      </c>
      <c r="E115" t="e">
        <f>VLOOKUP(#REF!,Catalogos!$V$4:$W$64,2,FALSE)</f>
        <v>#REF!</v>
      </c>
      <c r="F115" s="3">
        <v>100</v>
      </c>
      <c r="G115" s="4">
        <v>27</v>
      </c>
      <c r="H115" s="4">
        <f t="shared" si="3"/>
        <v>2700</v>
      </c>
      <c r="M115">
        <v>25</v>
      </c>
      <c r="N115" t="str">
        <f>IF(A115="","", "CO-" &amp; IFERROR(VLOOKUP(B115, Catalogos!$Z$4:$AA$20, 2, FALSE), "FOL") &amp; "-" &amp; WEEKNUM(A115,2) &amp; "-" &amp; TEXT(ROW(A111),"000"))</f>
        <v>CO-PAH-25-111</v>
      </c>
    </row>
    <row r="116" spans="1:14">
      <c r="A116" s="2">
        <v>46191</v>
      </c>
      <c r="B116" t="s">
        <v>124</v>
      </c>
      <c r="C116" t="s">
        <v>237</v>
      </c>
      <c r="D116" t="s">
        <v>241</v>
      </c>
      <c r="E116" t="e">
        <f>VLOOKUP(#REF!,Catalogos!$V$4:$W$64,2,FALSE)</f>
        <v>#REF!</v>
      </c>
      <c r="F116" s="3">
        <v>100</v>
      </c>
      <c r="G116" s="4">
        <v>27</v>
      </c>
      <c r="H116" s="4">
        <f t="shared" si="3"/>
        <v>2700</v>
      </c>
      <c r="M116">
        <v>25</v>
      </c>
      <c r="N116" t="str">
        <f>IF(A116="","", "CO-" &amp; IFERROR(VLOOKUP(B116, Catalogos!$Z$4:$AA$20, 2, FALSE), "FOL") &amp; "-" &amp; WEEKNUM(A116,2) &amp; "-" &amp; TEXT(ROW(A112),"000"))</f>
        <v>CO-PAH-25-112</v>
      </c>
    </row>
    <row r="117" spans="1:14">
      <c r="A117" s="2">
        <v>46191</v>
      </c>
      <c r="B117" t="s">
        <v>124</v>
      </c>
      <c r="C117" t="s">
        <v>237</v>
      </c>
      <c r="D117" t="s">
        <v>245</v>
      </c>
      <c r="E117" t="e">
        <f>VLOOKUP(#REF!,Catalogos!$V$4:$W$64,2,FALSE)</f>
        <v>#REF!</v>
      </c>
      <c r="F117" s="3">
        <v>100</v>
      </c>
      <c r="G117" s="4">
        <v>27</v>
      </c>
      <c r="H117" s="4">
        <f t="shared" si="3"/>
        <v>2700</v>
      </c>
      <c r="M117">
        <v>25</v>
      </c>
      <c r="N117" t="str">
        <f>IF(A117="","", "CO-" &amp; IFERROR(VLOOKUP(B117, Catalogos!$Z$4:$AA$20, 2, FALSE), "FOL") &amp; "-" &amp; WEEKNUM(A117,2) &amp; "-" &amp; TEXT(ROW(A113),"000"))</f>
        <v>CO-PAH-25-113</v>
      </c>
    </row>
    <row r="118" spans="1:14" hidden="1">
      <c r="A118" s="2">
        <v>46192</v>
      </c>
      <c r="B118" t="s">
        <v>2</v>
      </c>
      <c r="C118" t="s">
        <v>47</v>
      </c>
      <c r="D118" t="s">
        <v>383</v>
      </c>
      <c r="E118" t="e">
        <f>VLOOKUP(#REF!,Catalogos!$V$4:$W$64,2,FALSE)</f>
        <v>#REF!</v>
      </c>
      <c r="F118" s="3">
        <v>40</v>
      </c>
      <c r="G118" s="4">
        <v>27</v>
      </c>
      <c r="H118" s="4">
        <f t="shared" si="3"/>
        <v>1080</v>
      </c>
      <c r="M118">
        <v>25</v>
      </c>
      <c r="N118" t="str">
        <f>IF(A118="","", "CO-" &amp; IFERROR(VLOOKUP(B118, Catalogos!$Z$4:$AA$20, 2, FALSE), "FOL") &amp; "-" &amp; WEEKNUM(A118,2) &amp; "-" &amp; TEXT(ROW(A114),"000"))</f>
        <v>CO-LT-25-114</v>
      </c>
    </row>
    <row r="119" spans="1:14" hidden="1">
      <c r="A119" s="2">
        <v>46192</v>
      </c>
      <c r="B119" t="s">
        <v>159</v>
      </c>
      <c r="C119" t="s">
        <v>47</v>
      </c>
      <c r="D119" t="s">
        <v>383</v>
      </c>
      <c r="E119" t="e">
        <f>VLOOKUP(#REF!,Catalogos!$V$4:$W$64,2,FALSE)</f>
        <v>#REF!</v>
      </c>
      <c r="F119" s="3">
        <v>40</v>
      </c>
      <c r="G119" s="4">
        <v>27</v>
      </c>
      <c r="H119" s="4">
        <f t="shared" si="3"/>
        <v>1080</v>
      </c>
      <c r="M119">
        <v>25</v>
      </c>
      <c r="N119" t="str">
        <f>IF(A119="","", "CO-" &amp; IFERROR(VLOOKUP(B119, Catalogos!$Z$4:$AA$20, 2, FALSE), "FOL") &amp; "-" &amp; WEEKNUM(A119,2) &amp; "-" &amp; TEXT(ROW(A115),"000"))</f>
        <v>CO-DR-25-115</v>
      </c>
    </row>
    <row r="120" spans="1:14" hidden="1">
      <c r="A120" s="2">
        <v>46192</v>
      </c>
      <c r="B120" t="s">
        <v>2</v>
      </c>
      <c r="C120" t="s">
        <v>47</v>
      </c>
      <c r="D120" t="s">
        <v>217</v>
      </c>
      <c r="E120" t="e">
        <f>VLOOKUP(#REF!,Catalogos!$V$4:$W$64,2,FALSE)</f>
        <v>#REF!</v>
      </c>
      <c r="F120" s="3">
        <v>43</v>
      </c>
      <c r="G120" s="4">
        <v>27</v>
      </c>
      <c r="H120" s="4">
        <f t="shared" si="3"/>
        <v>1161</v>
      </c>
      <c r="M120">
        <v>25</v>
      </c>
      <c r="N120" t="str">
        <f>IF(A120="","", "CO-" &amp; IFERROR(VLOOKUP(B120, Catalogos!$Z$4:$AA$20, 2, FALSE), "FOL") &amp; "-" &amp; WEEKNUM(A120,2) &amp; "-" &amp; TEXT(ROW(A116),"000"))</f>
        <v>CO-LT-25-116</v>
      </c>
    </row>
    <row r="121" spans="1:14" hidden="1">
      <c r="A121" s="2">
        <v>46192</v>
      </c>
      <c r="B121" t="s">
        <v>2</v>
      </c>
      <c r="C121" t="s">
        <v>47</v>
      </c>
      <c r="D121" t="s">
        <v>221</v>
      </c>
      <c r="E121" t="e">
        <f>VLOOKUP(#REF!,Catalogos!$V$4:$W$64,2,FALSE)</f>
        <v>#REF!</v>
      </c>
      <c r="F121" s="3">
        <v>50</v>
      </c>
      <c r="G121" s="4">
        <v>27</v>
      </c>
      <c r="H121" s="4">
        <f t="shared" si="3"/>
        <v>1350</v>
      </c>
      <c r="M121">
        <v>25</v>
      </c>
      <c r="N121" t="str">
        <f>IF(A121="","", "CO-" &amp; IFERROR(VLOOKUP(B121, Catalogos!$Z$4:$AA$20, 2, FALSE), "FOL") &amp; "-" &amp; WEEKNUM(A121,2) &amp; "-" &amp; TEXT(ROW(A117),"000"))</f>
        <v>CO-LT-25-117</v>
      </c>
    </row>
    <row r="122" spans="1:14" hidden="1">
      <c r="A122" s="2">
        <v>46192</v>
      </c>
      <c r="B122" t="s">
        <v>2</v>
      </c>
      <c r="C122" t="s">
        <v>47</v>
      </c>
      <c r="D122" t="s">
        <v>228</v>
      </c>
      <c r="E122" t="e">
        <f>VLOOKUP(#REF!,Catalogos!$V$4:$W$64,2,FALSE)</f>
        <v>#REF!</v>
      </c>
      <c r="F122" s="3">
        <v>80</v>
      </c>
      <c r="G122" s="4">
        <v>27</v>
      </c>
      <c r="H122" s="4">
        <f t="shared" si="3"/>
        <v>2160</v>
      </c>
      <c r="M122">
        <v>25</v>
      </c>
      <c r="N122" t="str">
        <f>IF(A122="","", "CO-" &amp; IFERROR(VLOOKUP(B122, Catalogos!$Z$4:$AA$20, 2, FALSE), "FOL") &amp; "-" &amp; WEEKNUM(A122,2) &amp; "-" &amp; TEXT(ROW(A118),"000"))</f>
        <v>CO-LT-25-118</v>
      </c>
    </row>
    <row r="123" spans="1:14" hidden="1">
      <c r="A123" s="2">
        <v>46192</v>
      </c>
      <c r="B123" t="s">
        <v>2</v>
      </c>
      <c r="C123" t="s">
        <v>47</v>
      </c>
      <c r="D123" t="s">
        <v>223</v>
      </c>
      <c r="E123" t="e">
        <f>VLOOKUP(#REF!,Catalogos!$V$4:$W$64,2,FALSE)</f>
        <v>#REF!</v>
      </c>
      <c r="F123" s="3">
        <v>30</v>
      </c>
      <c r="G123" s="4">
        <v>27</v>
      </c>
      <c r="H123" s="4">
        <f t="shared" si="3"/>
        <v>810</v>
      </c>
      <c r="M123">
        <v>25</v>
      </c>
      <c r="N123" t="str">
        <f>IF(A123="","", "CO-" &amp; IFERROR(VLOOKUP(B123, Catalogos!$Z$4:$AA$20, 2, FALSE), "FOL") &amp; "-" &amp; WEEKNUM(A123,2) &amp; "-" &amp; TEXT(ROW(A119),"000"))</f>
        <v>CO-LT-25-119</v>
      </c>
    </row>
    <row r="124" spans="1:14" hidden="1">
      <c r="A124" s="2">
        <v>46192</v>
      </c>
      <c r="B124" t="s">
        <v>2</v>
      </c>
      <c r="C124" t="s">
        <v>47</v>
      </c>
      <c r="D124" t="s">
        <v>365</v>
      </c>
      <c r="E124" t="e">
        <f>VLOOKUP(#REF!,Catalogos!$V$4:$W$64,2,FALSE)</f>
        <v>#REF!</v>
      </c>
      <c r="F124" s="3">
        <v>160</v>
      </c>
      <c r="G124" s="4">
        <v>27</v>
      </c>
      <c r="H124" s="4">
        <f t="shared" si="3"/>
        <v>4320</v>
      </c>
      <c r="M124">
        <v>25</v>
      </c>
      <c r="N124" t="str">
        <f>IF(A124="","", "CO-" &amp; IFERROR(VLOOKUP(B124, Catalogos!$Z$4:$AA$20, 2, FALSE), "FOL") &amp; "-" &amp; WEEKNUM(A124,2) &amp; "-" &amp; TEXT(ROW(A120),"000"))</f>
        <v>CO-LT-25-120</v>
      </c>
    </row>
    <row r="125" spans="1:14" hidden="1">
      <c r="A125" s="2">
        <v>46192</v>
      </c>
      <c r="B125" t="s">
        <v>2</v>
      </c>
      <c r="C125" t="s">
        <v>47</v>
      </c>
      <c r="D125" t="s">
        <v>235</v>
      </c>
      <c r="E125" t="e">
        <f>VLOOKUP(#REF!,Catalogos!$V$4:$W$64,2,FALSE)</f>
        <v>#REF!</v>
      </c>
      <c r="F125" s="3">
        <v>50</v>
      </c>
      <c r="G125" s="4">
        <v>27</v>
      </c>
      <c r="H125" s="4">
        <f t="shared" si="3"/>
        <v>1350</v>
      </c>
      <c r="M125">
        <v>25</v>
      </c>
      <c r="N125" t="str">
        <f>IF(A125="","", "CO-" &amp; IFERROR(VLOOKUP(B125, Catalogos!$Z$4:$AA$20, 2, FALSE), "FOL") &amp; "-" &amp; WEEKNUM(A125,2) &amp; "-" &amp; TEXT(ROW(A121),"000"))</f>
        <v>CO-LT-25-121</v>
      </c>
    </row>
    <row r="126" spans="1:14" hidden="1">
      <c r="A126" s="2">
        <v>46192</v>
      </c>
      <c r="B126" t="s">
        <v>111</v>
      </c>
      <c r="C126" t="s">
        <v>47</v>
      </c>
      <c r="D126" t="s">
        <v>209</v>
      </c>
      <c r="E126" t="e">
        <f>VLOOKUP(#REF!,Catalogos!$V$4:$W$64,2,FALSE)</f>
        <v>#REF!</v>
      </c>
      <c r="F126" s="3">
        <v>60</v>
      </c>
      <c r="G126" s="4">
        <v>27</v>
      </c>
      <c r="H126" s="4">
        <f t="shared" si="3"/>
        <v>1620</v>
      </c>
      <c r="M126">
        <v>25</v>
      </c>
      <c r="N126" t="str">
        <f>IF(A126="","", "CO-" &amp; IFERROR(VLOOKUP(B126, Catalogos!$Z$4:$AA$20, 2, FALSE), "FOL") &amp; "-" &amp; WEEKNUM(A126,2) &amp; "-" &amp; TEXT(ROW(A122),"000"))</f>
        <v>CO-BT-25-122</v>
      </c>
    </row>
    <row r="127" spans="1:14" hidden="1">
      <c r="A127" s="2">
        <v>46192</v>
      </c>
      <c r="B127" t="s">
        <v>1</v>
      </c>
      <c r="C127" t="s">
        <v>51</v>
      </c>
      <c r="D127" t="s">
        <v>368</v>
      </c>
      <c r="E127" t="e">
        <f>VLOOKUP(#REF!,Catalogos!$V$4:$W$64,2,FALSE)</f>
        <v>#REF!</v>
      </c>
      <c r="F127" s="3">
        <v>120</v>
      </c>
      <c r="G127" s="4">
        <v>27</v>
      </c>
      <c r="H127" s="4">
        <f t="shared" si="3"/>
        <v>3240</v>
      </c>
      <c r="M127">
        <v>25</v>
      </c>
      <c r="N127" t="str">
        <f>IF(A127="","", "CO-" &amp; IFERROR(VLOOKUP(B127, Catalogos!$Z$4:$AA$20, 2, FALSE), "FOL") &amp; "-" &amp; WEEKNUM(A127,2) &amp; "-" &amp; TEXT(ROW(A123),"000"))</f>
        <v>CO-MT-25-123</v>
      </c>
    </row>
    <row r="128" spans="1:14" hidden="1">
      <c r="A128" s="2">
        <v>46192</v>
      </c>
      <c r="B128" t="s">
        <v>1</v>
      </c>
      <c r="C128" t="s">
        <v>51</v>
      </c>
      <c r="D128" t="s">
        <v>221</v>
      </c>
      <c r="E128" t="e">
        <f>VLOOKUP(#REF!,Catalogos!$V$4:$W$64,2,FALSE)</f>
        <v>#REF!</v>
      </c>
      <c r="F128" s="3">
        <v>30</v>
      </c>
      <c r="G128" s="4">
        <v>27</v>
      </c>
      <c r="H128" s="4">
        <f t="shared" si="3"/>
        <v>810</v>
      </c>
      <c r="M128">
        <v>25</v>
      </c>
      <c r="N128" t="str">
        <f>IF(A128="","", "CO-" &amp; IFERROR(VLOOKUP(B128, Catalogos!$Z$4:$AA$20, 2, FALSE), "FOL") &amp; "-" &amp; WEEKNUM(A128,2) &amp; "-" &amp; TEXT(ROW(A124),"000"))</f>
        <v>CO-MT-25-124</v>
      </c>
    </row>
    <row r="129" spans="1:14" hidden="1">
      <c r="A129" s="2">
        <v>46192</v>
      </c>
      <c r="B129" t="s">
        <v>1</v>
      </c>
      <c r="C129" t="s">
        <v>51</v>
      </c>
      <c r="D129" t="s">
        <v>224</v>
      </c>
      <c r="E129" t="e">
        <f>VLOOKUP(#REF!,Catalogos!$V$4:$W$64,2,FALSE)</f>
        <v>#REF!</v>
      </c>
      <c r="F129" s="3">
        <v>84</v>
      </c>
      <c r="G129" s="4">
        <v>27</v>
      </c>
      <c r="H129" s="4">
        <f t="shared" si="3"/>
        <v>2268</v>
      </c>
      <c r="M129">
        <v>25</v>
      </c>
      <c r="N129" t="str">
        <f>IF(A129="","", "CO-" &amp; IFERROR(VLOOKUP(B129, Catalogos!$Z$4:$AA$20, 2, FALSE), "FOL") &amp; "-" &amp; WEEKNUM(A129,2) &amp; "-" &amp; TEXT(ROW(A125),"000"))</f>
        <v>CO-MT-25-125</v>
      </c>
    </row>
    <row r="130" spans="1:14" hidden="1">
      <c r="A130" s="2">
        <v>46192</v>
      </c>
      <c r="B130" t="s">
        <v>1</v>
      </c>
      <c r="C130" t="s">
        <v>51</v>
      </c>
      <c r="D130" t="s">
        <v>228</v>
      </c>
      <c r="E130" t="e">
        <f>VLOOKUP(#REF!,Catalogos!$V$4:$W$64,2,FALSE)</f>
        <v>#REF!</v>
      </c>
      <c r="F130" s="3">
        <v>40</v>
      </c>
      <c r="G130" s="4">
        <v>27</v>
      </c>
      <c r="H130" s="4">
        <f t="shared" si="3"/>
        <v>1080</v>
      </c>
      <c r="M130">
        <v>25</v>
      </c>
      <c r="N130" t="str">
        <f>IF(A130="","", "CO-" &amp; IFERROR(VLOOKUP(B130, Catalogos!$Z$4:$AA$20, 2, FALSE), "FOL") &amp; "-" &amp; WEEKNUM(A130,2) &amp; "-" &amp; TEXT(ROW(A126),"000"))</f>
        <v>CO-MT-25-126</v>
      </c>
    </row>
    <row r="131" spans="1:14" hidden="1">
      <c r="A131" s="2">
        <v>46192</v>
      </c>
      <c r="B131" t="s">
        <v>1</v>
      </c>
      <c r="C131" t="s">
        <v>51</v>
      </c>
      <c r="D131" t="s">
        <v>216</v>
      </c>
      <c r="E131" t="e">
        <f>VLOOKUP(#REF!,Catalogos!$V$4:$W$64,2,FALSE)</f>
        <v>#REF!</v>
      </c>
      <c r="F131" s="3">
        <v>30</v>
      </c>
      <c r="G131" s="4">
        <v>27</v>
      </c>
      <c r="H131" s="4">
        <f t="shared" si="3"/>
        <v>810</v>
      </c>
      <c r="M131">
        <v>25</v>
      </c>
      <c r="N131" t="str">
        <f>IF(A131="","", "CO-" &amp; IFERROR(VLOOKUP(B131, Catalogos!$Z$4:$AA$20, 2, FALSE), "FOL") &amp; "-" &amp; WEEKNUM(A131,2) &amp; "-" &amp; TEXT(ROW(A127),"000"))</f>
        <v>CO-MT-25-127</v>
      </c>
    </row>
    <row r="132" spans="1:14" hidden="1">
      <c r="A132" s="2">
        <v>46192</v>
      </c>
      <c r="B132" t="s">
        <v>111</v>
      </c>
      <c r="C132" t="s">
        <v>47</v>
      </c>
      <c r="D132" t="s">
        <v>209</v>
      </c>
      <c r="E132" t="e">
        <f>VLOOKUP(#REF!,Catalogos!$V$4:$W$64,2,FALSE)</f>
        <v>#REF!</v>
      </c>
      <c r="F132" s="3">
        <v>50</v>
      </c>
      <c r="G132" s="4">
        <v>27</v>
      </c>
      <c r="H132" s="4">
        <f t="shared" si="3"/>
        <v>1350</v>
      </c>
      <c r="M132">
        <v>25</v>
      </c>
      <c r="N132" t="str">
        <f>IF(A132="","", "CO-" &amp; IFERROR(VLOOKUP(B132, Catalogos!$Z$4:$AA$20, 2, FALSE), "FOL") &amp; "-" &amp; WEEKNUM(A132,2) &amp; "-" &amp; TEXT(ROW(A128),"000"))</f>
        <v>CO-BT-25-128</v>
      </c>
    </row>
    <row r="133" spans="1:14" hidden="1">
      <c r="A133" s="2">
        <v>46192</v>
      </c>
      <c r="B133" t="s">
        <v>111</v>
      </c>
      <c r="C133" t="s">
        <v>47</v>
      </c>
      <c r="D133" t="s">
        <v>250</v>
      </c>
      <c r="E133" t="e">
        <f>VLOOKUP(#REF!,Catalogos!$V$4:$W$64,2,FALSE)</f>
        <v>#REF!</v>
      </c>
      <c r="F133" s="3">
        <v>10</v>
      </c>
      <c r="G133" s="4">
        <v>27</v>
      </c>
      <c r="H133" s="4">
        <f t="shared" ref="H133:H153" si="4">IFERROR(F133*G133,0)</f>
        <v>270</v>
      </c>
      <c r="M133">
        <v>25</v>
      </c>
      <c r="N133" t="str">
        <f>IF(A133="","", "CO-" &amp; IFERROR(VLOOKUP(B133, Catalogos!$Z$4:$AA$20, 2, FALSE), "FOL") &amp; "-" &amp; WEEKNUM(A133,2) &amp; "-" &amp; TEXT(ROW(A129),"000"))</f>
        <v>CO-BT-25-129</v>
      </c>
    </row>
    <row r="134" spans="1:14" hidden="1">
      <c r="A134" s="2">
        <v>46195</v>
      </c>
      <c r="B134" t="s">
        <v>1</v>
      </c>
      <c r="C134" t="s">
        <v>51</v>
      </c>
      <c r="D134" t="s">
        <v>211</v>
      </c>
      <c r="E134" t="e">
        <f>VLOOKUP(#REF!,Catalogos!$V$4:$W$64,2,FALSE)</f>
        <v>#REF!</v>
      </c>
      <c r="F134" s="3">
        <v>106</v>
      </c>
      <c r="G134" s="4">
        <v>27</v>
      </c>
      <c r="H134" s="4">
        <f t="shared" si="4"/>
        <v>2862</v>
      </c>
      <c r="M134">
        <v>26</v>
      </c>
      <c r="N134" t="str">
        <f>IF(A134="","", "CO-" &amp; IFERROR(VLOOKUP(B134, Catalogos!$Z$4:$AA$20, 2, FALSE), "FOL") &amp; "-" &amp; WEEKNUM(A134,2) &amp; "-" &amp; TEXT(ROW(A130),"000"))</f>
        <v>CO-MT-26-130</v>
      </c>
    </row>
    <row r="135" spans="1:14" hidden="1">
      <c r="A135" s="2">
        <v>46195</v>
      </c>
      <c r="B135" t="s">
        <v>1</v>
      </c>
      <c r="C135" t="s">
        <v>51</v>
      </c>
      <c r="D135" t="s">
        <v>224</v>
      </c>
      <c r="E135" t="e">
        <f>VLOOKUP(#REF!,Catalogos!$V$4:$W$64,2,FALSE)</f>
        <v>#REF!</v>
      </c>
      <c r="F135" s="3">
        <v>50</v>
      </c>
      <c r="G135" s="4">
        <v>27</v>
      </c>
      <c r="H135" s="4">
        <f t="shared" si="4"/>
        <v>1350</v>
      </c>
      <c r="M135">
        <v>26</v>
      </c>
      <c r="N135" t="str">
        <f>IF(A135="","", "CO-" &amp; IFERROR(VLOOKUP(B135, Catalogos!$Z$4:$AA$20, 2, FALSE), "FOL") &amp; "-" &amp; WEEKNUM(A135,2) &amp; "-" &amp; TEXT(ROW(A131),"000"))</f>
        <v>CO-MT-26-131</v>
      </c>
    </row>
    <row r="136" spans="1:14" hidden="1">
      <c r="A136" s="2">
        <v>46195</v>
      </c>
      <c r="B136" t="s">
        <v>1</v>
      </c>
      <c r="C136" t="s">
        <v>51</v>
      </c>
      <c r="D136" t="s">
        <v>219</v>
      </c>
      <c r="E136" t="e">
        <f>VLOOKUP(#REF!,Catalogos!$V$4:$W$64,2,FALSE)</f>
        <v>#REF!</v>
      </c>
      <c r="F136" s="3">
        <v>50</v>
      </c>
      <c r="G136" s="4">
        <v>27</v>
      </c>
      <c r="H136" s="4">
        <f t="shared" si="4"/>
        <v>1350</v>
      </c>
      <c r="M136">
        <v>26</v>
      </c>
      <c r="N136" t="str">
        <f>IF(A136="","", "CO-" &amp; IFERROR(VLOOKUP(B136, Catalogos!$Z$4:$AA$20, 2, FALSE), "FOL") &amp; "-" &amp; WEEKNUM(A136,2) &amp; "-" &amp; TEXT(ROW(A132),"000"))</f>
        <v>CO-MT-26-132</v>
      </c>
    </row>
    <row r="137" spans="1:14" hidden="1">
      <c r="A137" s="2">
        <v>46195</v>
      </c>
      <c r="B137" t="s">
        <v>1</v>
      </c>
      <c r="C137" t="s">
        <v>51</v>
      </c>
      <c r="D137" t="s">
        <v>210</v>
      </c>
      <c r="E137" t="e">
        <f>VLOOKUP(#REF!,Catalogos!$V$4:$W$64,2,FALSE)</f>
        <v>#REF!</v>
      </c>
      <c r="F137" s="3">
        <v>60</v>
      </c>
      <c r="G137" s="4">
        <v>27</v>
      </c>
      <c r="H137" s="4">
        <f t="shared" si="4"/>
        <v>1620</v>
      </c>
      <c r="M137">
        <v>26</v>
      </c>
      <c r="N137" t="str">
        <f>IF(A137="","", "CO-" &amp; IFERROR(VLOOKUP(B137, Catalogos!$Z$4:$AA$20, 2, FALSE), "FOL") &amp; "-" &amp; WEEKNUM(A137,2) &amp; "-" &amp; TEXT(ROW(A133),"000"))</f>
        <v>CO-MT-26-133</v>
      </c>
    </row>
    <row r="138" spans="1:14" hidden="1">
      <c r="A138" s="2">
        <v>46195</v>
      </c>
      <c r="B138" t="s">
        <v>1</v>
      </c>
      <c r="C138" t="s">
        <v>51</v>
      </c>
      <c r="D138" t="s">
        <v>214</v>
      </c>
      <c r="E138" t="e">
        <f>VLOOKUP(#REF!,Catalogos!$V$4:$W$64,2,FALSE)</f>
        <v>#REF!</v>
      </c>
      <c r="F138" s="3">
        <v>250</v>
      </c>
      <c r="G138" s="4">
        <v>27</v>
      </c>
      <c r="H138" s="4">
        <f t="shared" si="4"/>
        <v>6750</v>
      </c>
      <c r="M138">
        <v>26</v>
      </c>
      <c r="N138" t="str">
        <f>IF(A138="","", "CO-" &amp; IFERROR(VLOOKUP(B138, Catalogos!$Z$4:$AA$20, 2, FALSE), "FOL") &amp; "-" &amp; WEEKNUM(A138,2) &amp; "-" &amp; TEXT(ROW(A134),"000"))</f>
        <v>CO-MT-26-134</v>
      </c>
    </row>
    <row r="139" spans="1:14" hidden="1">
      <c r="A139" s="2">
        <v>46195</v>
      </c>
      <c r="B139" t="s">
        <v>2</v>
      </c>
      <c r="C139" t="s">
        <v>47</v>
      </c>
      <c r="D139" t="s">
        <v>234</v>
      </c>
      <c r="E139" t="e">
        <f>VLOOKUP(#REF!,Catalogos!$V$4:$W$64,2,FALSE)</f>
        <v>#REF!</v>
      </c>
      <c r="F139" s="3">
        <v>40</v>
      </c>
      <c r="G139" s="4">
        <v>27</v>
      </c>
      <c r="H139" s="4">
        <f t="shared" si="4"/>
        <v>1080</v>
      </c>
      <c r="M139">
        <v>26</v>
      </c>
      <c r="N139" t="str">
        <f>IF(A139="","", "CO-" &amp; IFERROR(VLOOKUP(B139, Catalogos!$Z$4:$AA$20, 2, FALSE), "FOL") &amp; "-" &amp; WEEKNUM(A139,2) &amp; "-" &amp; TEXT(ROW(A135),"000"))</f>
        <v>CO-LT-26-135</v>
      </c>
    </row>
    <row r="140" spans="1:14" hidden="1">
      <c r="A140" s="2">
        <v>46195</v>
      </c>
      <c r="B140" t="s">
        <v>159</v>
      </c>
      <c r="C140" t="s">
        <v>47</v>
      </c>
      <c r="D140" t="s">
        <v>234</v>
      </c>
      <c r="E140" t="e">
        <f>VLOOKUP(#REF!,Catalogos!$V$4:$W$64,2,FALSE)</f>
        <v>#REF!</v>
      </c>
      <c r="F140" s="3">
        <v>40</v>
      </c>
      <c r="G140" s="4">
        <v>27</v>
      </c>
      <c r="H140" s="4">
        <f t="shared" si="4"/>
        <v>1080</v>
      </c>
      <c r="M140">
        <v>26</v>
      </c>
      <c r="N140" t="str">
        <f>IF(A140="","", "CO-" &amp; IFERROR(VLOOKUP(B140, Catalogos!$Z$4:$AA$20, 2, FALSE), "FOL") &amp; "-" &amp; WEEKNUM(A140,2) &amp; "-" &amp; TEXT(ROW(A136),"000"))</f>
        <v>CO-DR-26-136</v>
      </c>
    </row>
    <row r="141" spans="1:14" hidden="1">
      <c r="A141" s="2">
        <v>46195</v>
      </c>
      <c r="B141" t="s">
        <v>111</v>
      </c>
      <c r="C141" t="s">
        <v>47</v>
      </c>
      <c r="D141" t="s">
        <v>237</v>
      </c>
      <c r="E141" t="e">
        <f>VLOOKUP(#REF!,Catalogos!$V$4:$W$64,2,FALSE)</f>
        <v>#REF!</v>
      </c>
      <c r="F141" s="3">
        <v>110</v>
      </c>
      <c r="G141" s="4">
        <v>27</v>
      </c>
      <c r="H141" s="4">
        <f t="shared" si="4"/>
        <v>2970</v>
      </c>
      <c r="M141">
        <v>26</v>
      </c>
      <c r="N141" t="str">
        <f>IF(A141="","", "CO-" &amp; IFERROR(VLOOKUP(B141, Catalogos!$Z$4:$AA$20, 2, FALSE), "FOL") &amp; "-" &amp; WEEKNUM(A141,2) &amp; "-" &amp; TEXT(ROW(A137),"000"))</f>
        <v>CO-BT-26-137</v>
      </c>
    </row>
    <row r="142" spans="1:14" hidden="1">
      <c r="A142" s="2">
        <v>46195</v>
      </c>
      <c r="B142" t="s">
        <v>2</v>
      </c>
      <c r="C142" t="s">
        <v>47</v>
      </c>
      <c r="D142" t="s">
        <v>222</v>
      </c>
      <c r="E142" t="e">
        <f>VLOOKUP(#REF!,Catalogos!$V$4:$W$64,2,FALSE)</f>
        <v>#REF!</v>
      </c>
      <c r="F142" s="3">
        <v>50</v>
      </c>
      <c r="G142" s="4">
        <v>27</v>
      </c>
      <c r="H142" s="4">
        <f t="shared" si="4"/>
        <v>1350</v>
      </c>
      <c r="M142">
        <v>26</v>
      </c>
      <c r="N142" t="str">
        <f>IF(A142="","", "CO-" &amp; IFERROR(VLOOKUP(B142, Catalogos!$Z$4:$AA$20, 2, FALSE), "FOL") &amp; "-" &amp; WEEKNUM(A142,2) &amp; "-" &amp; TEXT(ROW(A138),"000"))</f>
        <v>CO-LT-26-138</v>
      </c>
    </row>
    <row r="143" spans="1:14" hidden="1">
      <c r="A143" s="2">
        <v>46195</v>
      </c>
      <c r="B143" t="s">
        <v>1</v>
      </c>
      <c r="C143" t="s">
        <v>51</v>
      </c>
      <c r="D143" t="s">
        <v>215</v>
      </c>
      <c r="E143" t="e">
        <f>VLOOKUP(#REF!,Catalogos!$V$4:$W$64,2,FALSE)</f>
        <v>#REF!</v>
      </c>
      <c r="F143" s="3">
        <v>250</v>
      </c>
      <c r="G143" s="4">
        <v>27</v>
      </c>
      <c r="H143" s="4">
        <f t="shared" si="4"/>
        <v>6750</v>
      </c>
      <c r="M143">
        <v>26</v>
      </c>
      <c r="N143" t="str">
        <f>IF(A143="","", "CO-" &amp; IFERROR(VLOOKUP(B143, Catalogos!$Z$4:$AA$20, 2, FALSE), "FOL") &amp; "-" &amp; WEEKNUM(A143,2) &amp; "-" &amp; TEXT(ROW(A139),"000"))</f>
        <v>CO-MT-26-139</v>
      </c>
    </row>
    <row r="144" spans="1:14" hidden="1">
      <c r="A144" s="2">
        <v>46195</v>
      </c>
      <c r="B144" t="s">
        <v>2</v>
      </c>
      <c r="C144" t="s">
        <v>47</v>
      </c>
      <c r="D144" t="s">
        <v>223</v>
      </c>
      <c r="E144" t="e">
        <f>VLOOKUP(#REF!,Catalogos!$V$4:$W$64,2,FALSE)</f>
        <v>#REF!</v>
      </c>
      <c r="F144" s="3">
        <v>50</v>
      </c>
      <c r="G144" s="4">
        <v>27</v>
      </c>
      <c r="H144" s="4">
        <f t="shared" si="4"/>
        <v>1350</v>
      </c>
      <c r="M144">
        <v>26</v>
      </c>
      <c r="N144" t="str">
        <f>IF(A144="","", "CO-" &amp; IFERROR(VLOOKUP(B144, Catalogos!$Z$4:$AA$20, 2, FALSE), "FOL") &amp; "-" &amp; WEEKNUM(A144,2) &amp; "-" &amp; TEXT(ROW(A140),"000"))</f>
        <v>CO-LT-26-140</v>
      </c>
    </row>
    <row r="145" spans="1:14" hidden="1">
      <c r="A145" s="2">
        <v>46195</v>
      </c>
      <c r="B145" t="s">
        <v>2</v>
      </c>
      <c r="C145" t="s">
        <v>47</v>
      </c>
      <c r="D145" t="s">
        <v>213</v>
      </c>
      <c r="E145" t="e">
        <f>VLOOKUP(#REF!,Catalogos!$V$4:$W$64,2,FALSE)</f>
        <v>#REF!</v>
      </c>
      <c r="F145" s="3">
        <v>162</v>
      </c>
      <c r="G145" s="4">
        <v>27</v>
      </c>
      <c r="H145" s="4">
        <f t="shared" si="4"/>
        <v>4374</v>
      </c>
      <c r="M145">
        <v>26</v>
      </c>
      <c r="N145" t="str">
        <f>IF(A145="","", "CO-" &amp; IFERROR(VLOOKUP(B145, Catalogos!$Z$4:$AA$20, 2, FALSE), "FOL") &amp; "-" &amp; WEEKNUM(A145,2) &amp; "-" &amp; TEXT(ROW(A141),"000"))</f>
        <v>CO-LT-26-141</v>
      </c>
    </row>
    <row r="146" spans="1:14" hidden="1">
      <c r="A146" s="2">
        <v>46195</v>
      </c>
      <c r="B146" t="s">
        <v>2</v>
      </c>
      <c r="C146" t="s">
        <v>47</v>
      </c>
      <c r="D146" t="s">
        <v>235</v>
      </c>
      <c r="E146" t="e">
        <f>VLOOKUP(#REF!,Catalogos!$V$4:$W$64,2,FALSE)</f>
        <v>#REF!</v>
      </c>
      <c r="F146" s="3">
        <v>50</v>
      </c>
      <c r="G146" s="4">
        <v>27</v>
      </c>
      <c r="H146" s="4">
        <f t="shared" si="4"/>
        <v>1350</v>
      </c>
      <c r="M146">
        <v>26</v>
      </c>
      <c r="N146" t="str">
        <f>IF(A146="","", "CO-" &amp; IFERROR(VLOOKUP(B146, Catalogos!$Z$4:$AA$20, 2, FALSE), "FOL") &amp; "-" &amp; WEEKNUM(A146,2) &amp; "-" &amp; TEXT(ROW(A142),"000"))</f>
        <v>CO-LT-26-142</v>
      </c>
    </row>
    <row r="147" spans="1:14" hidden="1">
      <c r="A147" s="2">
        <v>46195</v>
      </c>
      <c r="B147" t="s">
        <v>2</v>
      </c>
      <c r="C147" t="s">
        <v>47</v>
      </c>
      <c r="D147" t="s">
        <v>223</v>
      </c>
      <c r="E147" t="e">
        <f>VLOOKUP(#REF!,Catalogos!$V$4:$W$64,2,FALSE)</f>
        <v>#REF!</v>
      </c>
      <c r="F147" s="3">
        <v>50</v>
      </c>
      <c r="G147" s="4">
        <v>27</v>
      </c>
      <c r="H147" s="4">
        <f t="shared" si="4"/>
        <v>1350</v>
      </c>
      <c r="M147">
        <v>26</v>
      </c>
      <c r="N147" t="str">
        <f>IF(A147="","", "CO-" &amp; IFERROR(VLOOKUP(B147, Catalogos!$Z$4:$AA$20, 2, FALSE), "FOL") &amp; "-" &amp; WEEKNUM(A147,2) &amp; "-" &amp; TEXT(ROW(A143),"000"))</f>
        <v>CO-LT-26-143</v>
      </c>
    </row>
    <row r="148" spans="1:14">
      <c r="A148" s="2">
        <v>46196</v>
      </c>
      <c r="B148" t="s">
        <v>400</v>
      </c>
      <c r="C148" t="s">
        <v>47</v>
      </c>
      <c r="D148" t="s">
        <v>245</v>
      </c>
      <c r="E148" t="e">
        <f>VLOOKUP(#REF!,Catalogos!$V$4:$W$64,2,FALSE)</f>
        <v>#REF!</v>
      </c>
      <c r="F148" s="3">
        <v>275</v>
      </c>
      <c r="G148" s="4">
        <v>27</v>
      </c>
      <c r="H148" s="4">
        <f t="shared" si="4"/>
        <v>7425</v>
      </c>
      <c r="M148">
        <v>26</v>
      </c>
      <c r="N148" t="str">
        <f>IF(A148="","", "CO-" &amp; IFERROR(VLOOKUP(B148, Catalogos!$Z$4:$AA$20, 2, FALSE), "FOL") &amp; "-" &amp; WEEKNUM(A148,2) &amp; "-" &amp; TEXT(ROW(A144),"000"))</f>
        <v>CO-MP-26-144</v>
      </c>
    </row>
    <row r="149" spans="1:14">
      <c r="A149" s="2">
        <v>46196</v>
      </c>
      <c r="B149" t="s">
        <v>400</v>
      </c>
      <c r="C149" t="s">
        <v>47</v>
      </c>
      <c r="D149" t="s">
        <v>246</v>
      </c>
      <c r="E149" t="e">
        <f>VLOOKUP(#REF!,Catalogos!$V$4:$W$64,2,FALSE)</f>
        <v>#REF!</v>
      </c>
      <c r="F149" s="3">
        <v>20</v>
      </c>
      <c r="G149" s="4">
        <v>27</v>
      </c>
      <c r="H149" s="4">
        <f t="shared" si="4"/>
        <v>540</v>
      </c>
      <c r="M149">
        <v>26</v>
      </c>
      <c r="N149" t="str">
        <f>IF(A149="","", "CO-" &amp; IFERROR(VLOOKUP(B149, Catalogos!$Z$4:$AA$20, 2, FALSE), "FOL") &amp; "-" &amp; WEEKNUM(A149,2) &amp; "-" &amp; TEXT(ROW(A145),"000"))</f>
        <v>CO-MP-26-145</v>
      </c>
    </row>
    <row r="150" spans="1:14" hidden="1">
      <c r="A150" s="2">
        <v>46196</v>
      </c>
      <c r="B150" t="s">
        <v>111</v>
      </c>
      <c r="C150" t="s">
        <v>47</v>
      </c>
      <c r="D150" t="s">
        <v>237</v>
      </c>
      <c r="E150" t="e">
        <f>VLOOKUP(#REF!,Catalogos!$V$4:$W$64,2,FALSE)</f>
        <v>#REF!</v>
      </c>
      <c r="F150" s="3">
        <v>110</v>
      </c>
      <c r="G150" s="4">
        <v>27</v>
      </c>
      <c r="H150" s="4">
        <f t="shared" si="4"/>
        <v>2970</v>
      </c>
      <c r="M150">
        <v>26</v>
      </c>
      <c r="N150" t="str">
        <f>IF(A150="","", "CO-" &amp; IFERROR(VLOOKUP(B150, Catalogos!$Z$4:$AA$20, 2, FALSE), "FOL") &amp; "-" &amp; WEEKNUM(A150,2) &amp; "-" &amp; TEXT(ROW(A146),"000"))</f>
        <v>CO-BT-26-146</v>
      </c>
    </row>
    <row r="151" spans="1:14">
      <c r="A151" s="2">
        <v>46196</v>
      </c>
      <c r="B151" t="s">
        <v>400</v>
      </c>
      <c r="C151" t="s">
        <v>47</v>
      </c>
      <c r="D151" t="s">
        <v>212</v>
      </c>
      <c r="E151" t="e">
        <f>VLOOKUP(#REF!,Catalogos!$V$4:$W$64,2,FALSE)</f>
        <v>#REF!</v>
      </c>
      <c r="F151" s="3">
        <v>100</v>
      </c>
      <c r="G151" s="4">
        <v>27</v>
      </c>
      <c r="H151" s="4">
        <f t="shared" si="4"/>
        <v>2700</v>
      </c>
      <c r="M151">
        <v>26</v>
      </c>
      <c r="N151" t="str">
        <f>IF(A151="","", "CO-" &amp; IFERROR(VLOOKUP(B151, Catalogos!$Z$4:$AA$20, 2, FALSE), "FOL") &amp; "-" &amp; WEEKNUM(A151,2) &amp; "-" &amp; TEXT(ROW(A147),"000"))</f>
        <v>CO-MP-26-147</v>
      </c>
    </row>
    <row r="152" spans="1:14" hidden="1">
      <c r="A152" s="2">
        <v>46196</v>
      </c>
      <c r="B152" t="s">
        <v>2</v>
      </c>
      <c r="C152" t="s">
        <v>47</v>
      </c>
      <c r="D152" t="s">
        <v>210</v>
      </c>
      <c r="E152" t="e">
        <f>VLOOKUP(#REF!,Catalogos!$V$4:$W$64,2,FALSE)</f>
        <v>#REF!</v>
      </c>
      <c r="F152" s="3">
        <v>50</v>
      </c>
      <c r="G152" s="4">
        <v>27</v>
      </c>
      <c r="H152" s="4">
        <f t="shared" si="4"/>
        <v>1350</v>
      </c>
      <c r="M152">
        <v>26</v>
      </c>
      <c r="N152" t="str">
        <f>IF(A152="","", "CO-" &amp; IFERROR(VLOOKUP(B152, Catalogos!$Z$4:$AA$20, 2, FALSE), "FOL") &amp; "-" &amp; WEEKNUM(A152,2) &amp; "-" &amp; TEXT(ROW(A148),"000"))</f>
        <v>CO-LT-26-148</v>
      </c>
    </row>
    <row r="153" spans="1:14" hidden="1">
      <c r="A153" s="2">
        <v>46196</v>
      </c>
      <c r="B153" t="s">
        <v>111</v>
      </c>
      <c r="C153" t="s">
        <v>47</v>
      </c>
      <c r="D153" t="s">
        <v>215</v>
      </c>
      <c r="E153" t="e">
        <f>VLOOKUP(#REF!,Catalogos!$V$4:$W$64,2,FALSE)</f>
        <v>#REF!</v>
      </c>
      <c r="F153" s="3">
        <v>96</v>
      </c>
      <c r="G153" s="4">
        <v>27</v>
      </c>
      <c r="H153" s="4">
        <f t="shared" si="4"/>
        <v>2592</v>
      </c>
      <c r="M153">
        <v>26</v>
      </c>
      <c r="N153" t="str">
        <f>IF(A153="","", "CO-" &amp; IFERROR(VLOOKUP(B153, Catalogos!$Z$4:$AA$20, 2, FALSE), "FOL") &amp; "-" &amp; WEEKNUM(A153,2) &amp; "-" &amp; TEXT(ROW(A149),"000"))</f>
        <v>CO-BT-26-149</v>
      </c>
    </row>
    <row r="154" spans="1:14" hidden="1">
      <c r="A154" s="2">
        <v>46196</v>
      </c>
      <c r="B154" t="s">
        <v>1</v>
      </c>
      <c r="C154" t="s">
        <v>51</v>
      </c>
      <c r="D154" t="s">
        <v>368</v>
      </c>
      <c r="E154" t="e">
        <f>VLOOKUP(#REF!,Catalogos!$V$4:$W$64,2,FALSE)</f>
        <v>#REF!</v>
      </c>
      <c r="F154" s="3">
        <v>21</v>
      </c>
      <c r="G154" s="4">
        <v>27</v>
      </c>
      <c r="H154" s="4">
        <f>IFERROR(#REF!*G154,0)</f>
        <v>0</v>
      </c>
      <c r="M154">
        <v>26</v>
      </c>
      <c r="N154" t="str">
        <f>IF(A154="","", "CO-" &amp; IFERROR(VLOOKUP(B154, Catalogos!$Z$4:$AA$20, 2, FALSE), "FOL") &amp; "-" &amp; WEEKNUM(A154,2) &amp; "-" &amp; TEXT(ROW(A150),"000"))</f>
        <v>CO-MT-26-150</v>
      </c>
    </row>
    <row r="155" spans="1:14" hidden="1">
      <c r="A155" s="2">
        <v>46196</v>
      </c>
      <c r="B155" t="s">
        <v>1</v>
      </c>
      <c r="C155" t="s">
        <v>51</v>
      </c>
      <c r="D155" t="s">
        <v>228</v>
      </c>
      <c r="E155" t="e">
        <f>VLOOKUP(#REF!,Catalogos!$V$4:$W$64,2,FALSE)</f>
        <v>#REF!</v>
      </c>
      <c r="F155" s="3">
        <v>50</v>
      </c>
      <c r="G155" s="4">
        <v>27</v>
      </c>
      <c r="H155" s="4">
        <f>IFERROR(#REF!*G155,0)</f>
        <v>0</v>
      </c>
      <c r="M155">
        <v>26</v>
      </c>
      <c r="N155" t="str">
        <f>IF(A155="","", "CO-" &amp; IFERROR(VLOOKUP(B155, Catalogos!$Z$4:$AA$20, 2, FALSE), "FOL") &amp; "-" &amp; WEEKNUM(A155,2) &amp; "-" &amp; TEXT(ROW(A151),"000"))</f>
        <v>CO-MT-26-151</v>
      </c>
    </row>
    <row r="156" spans="1:14" hidden="1">
      <c r="A156" s="2">
        <v>46196</v>
      </c>
      <c r="B156" t="s">
        <v>1</v>
      </c>
      <c r="C156" t="s">
        <v>51</v>
      </c>
      <c r="D156" t="s">
        <v>216</v>
      </c>
      <c r="E156" t="e">
        <f>VLOOKUP(#REF!,Catalogos!$V$4:$W$64,2,FALSE)</f>
        <v>#REF!</v>
      </c>
      <c r="F156" s="3">
        <v>31</v>
      </c>
      <c r="G156" s="4">
        <v>27</v>
      </c>
      <c r="H156" s="4">
        <f t="shared" ref="H156:H187" si="5">IFERROR(F156*G156,0)</f>
        <v>837</v>
      </c>
      <c r="M156">
        <v>26</v>
      </c>
      <c r="N156" t="str">
        <f>IF(A156="","", "CO-" &amp; IFERROR(VLOOKUP(B156, Catalogos!$Z$4:$AA$20, 2, FALSE), "FOL") &amp; "-" &amp; WEEKNUM(A156,2) &amp; "-" &amp; TEXT(ROW(A152),"000"))</f>
        <v>CO-MT-26-152</v>
      </c>
    </row>
    <row r="157" spans="1:14">
      <c r="A157" s="2">
        <v>46196</v>
      </c>
      <c r="B157" t="s">
        <v>124</v>
      </c>
      <c r="C157" t="s">
        <v>237</v>
      </c>
      <c r="D157" t="s">
        <v>798</v>
      </c>
      <c r="E157" t="e">
        <f>VLOOKUP(#REF!,Catalogos!$V$4:$W$64,2,FALSE)</f>
        <v>#REF!</v>
      </c>
      <c r="F157" s="3">
        <v>100</v>
      </c>
      <c r="G157" s="4">
        <v>27</v>
      </c>
      <c r="H157" s="4">
        <f t="shared" si="5"/>
        <v>2700</v>
      </c>
      <c r="M157">
        <v>26</v>
      </c>
      <c r="N157" t="str">
        <f>IF(A157="","", "CO-" &amp; IFERROR(VLOOKUP(B157, Catalogos!$Z$4:$AA$20, 2, FALSE), "FOL") &amp; "-" &amp; WEEKNUM(A157,2) &amp; "-" &amp; TEXT(ROW(A153),"000"))</f>
        <v>CO-PAH-26-153</v>
      </c>
    </row>
    <row r="158" spans="1:14">
      <c r="A158" s="2">
        <v>46196</v>
      </c>
      <c r="B158" t="s">
        <v>124</v>
      </c>
      <c r="C158" t="s">
        <v>237</v>
      </c>
      <c r="D158" t="s">
        <v>248</v>
      </c>
      <c r="E158" t="e">
        <f>VLOOKUP(#REF!,Catalogos!$V$4:$W$64,2,FALSE)</f>
        <v>#REF!</v>
      </c>
      <c r="F158" s="3">
        <v>50</v>
      </c>
      <c r="G158" s="4">
        <v>27</v>
      </c>
      <c r="H158" s="4">
        <f t="shared" si="5"/>
        <v>1350</v>
      </c>
      <c r="M158">
        <v>26</v>
      </c>
      <c r="N158" t="str">
        <f>IF(A158="","", "CO-" &amp; IFERROR(VLOOKUP(B158, Catalogos!$Z$4:$AA$20, 2, FALSE), "FOL") &amp; "-" &amp; WEEKNUM(A158,2) &amp; "-" &amp; TEXT(ROW(A154),"000"))</f>
        <v>CO-PAH-26-154</v>
      </c>
    </row>
    <row r="159" spans="1:14" hidden="1">
      <c r="A159" s="2">
        <v>46197</v>
      </c>
      <c r="B159" t="s">
        <v>1</v>
      </c>
      <c r="C159" t="s">
        <v>51</v>
      </c>
      <c r="D159" t="s">
        <v>221</v>
      </c>
      <c r="E159" t="e">
        <f>VLOOKUP(#REF!,Catalogos!$V$4:$W$64,2,FALSE)</f>
        <v>#REF!</v>
      </c>
      <c r="F159" s="3">
        <v>35</v>
      </c>
      <c r="G159" s="4">
        <v>27</v>
      </c>
      <c r="H159" s="4">
        <f t="shared" si="5"/>
        <v>945</v>
      </c>
      <c r="M159">
        <v>26</v>
      </c>
      <c r="N159" t="str">
        <f>IF(A159="","", "CO-" &amp; IFERROR(VLOOKUP(B159, Catalogos!$Z$4:$AA$20, 2, FALSE), "FOL") &amp; "-" &amp; WEEKNUM(A159,2) &amp; "-" &amp; TEXT(ROW(A155),"000"))</f>
        <v>CO-MT-26-155</v>
      </c>
    </row>
    <row r="160" spans="1:14" hidden="1">
      <c r="A160" s="2">
        <v>46197</v>
      </c>
      <c r="B160" t="s">
        <v>1</v>
      </c>
      <c r="C160" t="s">
        <v>51</v>
      </c>
      <c r="D160" t="s">
        <v>213</v>
      </c>
      <c r="E160" t="e">
        <f>VLOOKUP(#REF!,Catalogos!$V$4:$W$64,2,FALSE)</f>
        <v>#REF!</v>
      </c>
      <c r="F160" s="3">
        <v>76</v>
      </c>
      <c r="G160" s="4">
        <v>27</v>
      </c>
      <c r="H160" s="4">
        <f t="shared" si="5"/>
        <v>2052</v>
      </c>
      <c r="M160">
        <v>26</v>
      </c>
      <c r="N160" t="str">
        <f>IF(A160="","", "CO-" &amp; IFERROR(VLOOKUP(B160, Catalogos!$Z$4:$AA$20, 2, FALSE), "FOL") &amp; "-" &amp; WEEKNUM(A160,2) &amp; "-" &amp; TEXT(ROW(A156),"000"))</f>
        <v>CO-MT-26-156</v>
      </c>
    </row>
    <row r="161" spans="1:14" hidden="1">
      <c r="A161" s="2">
        <v>46197</v>
      </c>
      <c r="B161" t="s">
        <v>1</v>
      </c>
      <c r="C161" t="s">
        <v>51</v>
      </c>
      <c r="D161" t="s">
        <v>221</v>
      </c>
      <c r="E161" t="e">
        <f>VLOOKUP(#REF!,Catalogos!$V$4:$W$64,2,FALSE)</f>
        <v>#REF!</v>
      </c>
      <c r="F161" s="3">
        <v>40</v>
      </c>
      <c r="G161" s="4">
        <v>27</v>
      </c>
      <c r="H161" s="4">
        <f t="shared" si="5"/>
        <v>1080</v>
      </c>
      <c r="M161">
        <v>26</v>
      </c>
      <c r="N161" t="str">
        <f>IF(A161="","", "CO-" &amp; IFERROR(VLOOKUP(B161, Catalogos!$Z$4:$AA$20, 2, FALSE), "FOL") &amp; "-" &amp; WEEKNUM(A161,2) &amp; "-" &amp; TEXT(ROW(A157),"000"))</f>
        <v>CO-MT-26-157</v>
      </c>
    </row>
    <row r="162" spans="1:14" hidden="1">
      <c r="A162" s="2">
        <v>46197</v>
      </c>
      <c r="B162" t="s">
        <v>1</v>
      </c>
      <c r="C162" t="s">
        <v>51</v>
      </c>
      <c r="D162" t="s">
        <v>228</v>
      </c>
      <c r="E162" t="e">
        <f>VLOOKUP(#REF!,Catalogos!$V$4:$W$64,2,FALSE)</f>
        <v>#REF!</v>
      </c>
      <c r="F162" s="3">
        <v>40</v>
      </c>
      <c r="G162" s="4">
        <v>27</v>
      </c>
      <c r="H162" s="4">
        <f t="shared" si="5"/>
        <v>1080</v>
      </c>
      <c r="M162">
        <v>26</v>
      </c>
      <c r="N162" t="str">
        <f>IF(A162="","", "CO-" &amp; IFERROR(VLOOKUP(B162, Catalogos!$Z$4:$AA$20, 2, FALSE), "FOL") &amp; "-" &amp; WEEKNUM(A162,2) &amp; "-" &amp; TEXT(ROW(A158),"000"))</f>
        <v>CO-MT-26-158</v>
      </c>
    </row>
    <row r="163" spans="1:14" hidden="1">
      <c r="A163" s="2">
        <v>46197</v>
      </c>
      <c r="B163" t="s">
        <v>1</v>
      </c>
      <c r="C163" t="s">
        <v>51</v>
      </c>
      <c r="D163" t="s">
        <v>214</v>
      </c>
      <c r="E163" t="e">
        <f>VLOOKUP(#REF!,Catalogos!$V$4:$W$64,2,FALSE)</f>
        <v>#REF!</v>
      </c>
      <c r="F163" s="3">
        <v>200</v>
      </c>
      <c r="G163" s="4">
        <v>27</v>
      </c>
      <c r="H163" s="4">
        <f t="shared" si="5"/>
        <v>5400</v>
      </c>
      <c r="M163">
        <v>26</v>
      </c>
      <c r="N163" t="str">
        <f>IF(A163="","", "CO-" &amp; IFERROR(VLOOKUP(B163, Catalogos!$Z$4:$AA$20, 2, FALSE), "FOL") &amp; "-" &amp; WEEKNUM(A163,2) &amp; "-" &amp; TEXT(ROW(A159),"000"))</f>
        <v>CO-MT-26-159</v>
      </c>
    </row>
    <row r="164" spans="1:14" hidden="1">
      <c r="A164" s="2">
        <v>46197</v>
      </c>
      <c r="B164" t="s">
        <v>111</v>
      </c>
      <c r="C164" t="s">
        <v>47</v>
      </c>
      <c r="D164" t="s">
        <v>237</v>
      </c>
      <c r="E164" t="e">
        <f>VLOOKUP(#REF!,Catalogos!$V$4:$W$64,2,FALSE)</f>
        <v>#REF!</v>
      </c>
      <c r="F164" s="3">
        <v>120</v>
      </c>
      <c r="G164" s="4">
        <v>27</v>
      </c>
      <c r="H164" s="4">
        <f t="shared" si="5"/>
        <v>3240</v>
      </c>
      <c r="M164">
        <v>26</v>
      </c>
      <c r="N164" t="str">
        <f>IF(A164="","", "CO-" &amp; IFERROR(VLOOKUP(B164, Catalogos!$Z$4:$AA$20, 2, FALSE), "FOL") &amp; "-" &amp; WEEKNUM(A164,2) &amp; "-" &amp; TEXT(ROW(A160),"000"))</f>
        <v>CO-BT-26-160</v>
      </c>
    </row>
    <row r="165" spans="1:14" hidden="1">
      <c r="A165" s="2">
        <v>46197</v>
      </c>
      <c r="B165" t="s">
        <v>1</v>
      </c>
      <c r="C165" t="s">
        <v>51</v>
      </c>
      <c r="D165" t="s">
        <v>224</v>
      </c>
      <c r="E165" t="e">
        <f>VLOOKUP(#REF!,Catalogos!$V$4:$W$64,2,FALSE)</f>
        <v>#REF!</v>
      </c>
      <c r="F165" s="3">
        <v>50</v>
      </c>
      <c r="G165" s="4">
        <v>27</v>
      </c>
      <c r="H165" s="4">
        <f t="shared" si="5"/>
        <v>1350</v>
      </c>
      <c r="M165">
        <v>26</v>
      </c>
      <c r="N165" t="str">
        <f>IF(A165="","", "CO-" &amp; IFERROR(VLOOKUP(B165, Catalogos!$Z$4:$AA$20, 2, FALSE), "FOL") &amp; "-" &amp; WEEKNUM(A165,2) &amp; "-" &amp; TEXT(ROW(A161),"000"))</f>
        <v>CO-MT-26-161</v>
      </c>
    </row>
    <row r="166" spans="1:14" hidden="1">
      <c r="A166" s="2">
        <v>46197</v>
      </c>
      <c r="B166" t="s">
        <v>1</v>
      </c>
      <c r="C166" t="s">
        <v>51</v>
      </c>
      <c r="D166" t="s">
        <v>223</v>
      </c>
      <c r="E166" t="e">
        <f>VLOOKUP(#REF!,Catalogos!$V$4:$W$64,2,FALSE)</f>
        <v>#REF!</v>
      </c>
      <c r="F166" s="3">
        <v>30</v>
      </c>
      <c r="G166" s="4">
        <v>27</v>
      </c>
      <c r="H166" s="4">
        <f t="shared" si="5"/>
        <v>810</v>
      </c>
      <c r="M166">
        <v>26</v>
      </c>
      <c r="N166" t="str">
        <f>IF(A166="","", "CO-" &amp; IFERROR(VLOOKUP(B166, Catalogos!$Z$4:$AA$20, 2, FALSE), "FOL") &amp; "-" &amp; WEEKNUM(A166,2) &amp; "-" &amp; TEXT(ROW(A162),"000"))</f>
        <v>CO-MT-26-162</v>
      </c>
    </row>
    <row r="167" spans="1:14" hidden="1">
      <c r="A167" s="2">
        <v>46197</v>
      </c>
      <c r="B167" t="s">
        <v>2</v>
      </c>
      <c r="C167" t="s">
        <v>47</v>
      </c>
      <c r="D167" t="s">
        <v>231</v>
      </c>
      <c r="E167" t="e">
        <f>VLOOKUP(#REF!,Catalogos!$V$4:$W$64,2,FALSE)</f>
        <v>#REF!</v>
      </c>
      <c r="F167" s="3">
        <v>129</v>
      </c>
      <c r="G167" s="4">
        <v>27</v>
      </c>
      <c r="H167" s="4">
        <f t="shared" si="5"/>
        <v>3483</v>
      </c>
      <c r="M167">
        <v>26</v>
      </c>
      <c r="N167" t="str">
        <f>IF(A167="","", "CO-" &amp; IFERROR(VLOOKUP(B167, Catalogos!$Z$4:$AA$20, 2, FALSE), "FOL") &amp; "-" &amp; WEEKNUM(A167,2) &amp; "-" &amp; TEXT(ROW(A163),"000"))</f>
        <v>CO-LT-26-163</v>
      </c>
    </row>
    <row r="168" spans="1:14" hidden="1">
      <c r="A168" s="2">
        <v>46197</v>
      </c>
      <c r="B168" t="s">
        <v>2</v>
      </c>
      <c r="C168" t="s">
        <v>47</v>
      </c>
      <c r="D168" t="s">
        <v>378</v>
      </c>
      <c r="E168" t="e">
        <f>VLOOKUP(#REF!,Catalogos!$V$4:$W$64,2,FALSE)</f>
        <v>#REF!</v>
      </c>
      <c r="F168" s="3">
        <v>88</v>
      </c>
      <c r="G168" s="4">
        <v>27</v>
      </c>
      <c r="H168" s="4">
        <f t="shared" si="5"/>
        <v>2376</v>
      </c>
      <c r="M168">
        <v>26</v>
      </c>
      <c r="N168" t="str">
        <f>IF(A168="","", "CO-" &amp; IFERROR(VLOOKUP(B168, Catalogos!$Z$4:$AA$20, 2, FALSE), "FOL") &amp; "-" &amp; WEEKNUM(A168,2) &amp; "-" &amp; TEXT(ROW(A164),"000"))</f>
        <v>CO-LT-26-164</v>
      </c>
    </row>
    <row r="169" spans="1:14" hidden="1">
      <c r="A169" s="2">
        <v>46197</v>
      </c>
      <c r="B169" t="s">
        <v>2</v>
      </c>
      <c r="C169" t="s">
        <v>47</v>
      </c>
      <c r="D169" t="s">
        <v>235</v>
      </c>
      <c r="E169" t="e">
        <f>VLOOKUP(#REF!,Catalogos!$V$4:$W$64,2,FALSE)</f>
        <v>#REF!</v>
      </c>
      <c r="F169" s="3">
        <v>90</v>
      </c>
      <c r="G169" s="4">
        <v>27</v>
      </c>
      <c r="H169" s="4">
        <f t="shared" si="5"/>
        <v>2430</v>
      </c>
      <c r="M169">
        <v>26</v>
      </c>
      <c r="N169" t="str">
        <f>IF(A169="","", "CO-" &amp; IFERROR(VLOOKUP(B169, Catalogos!$Z$4:$AA$20, 2, FALSE), "FOL") &amp; "-" &amp; WEEKNUM(A169,2) &amp; "-" &amp; TEXT(ROW(A165),"000"))</f>
        <v>CO-LT-26-165</v>
      </c>
    </row>
    <row r="170" spans="1:14" hidden="1">
      <c r="A170" s="2">
        <v>46197</v>
      </c>
      <c r="B170" t="s">
        <v>2</v>
      </c>
      <c r="C170" t="s">
        <v>47</v>
      </c>
      <c r="D170" t="s">
        <v>383</v>
      </c>
      <c r="E170" t="e">
        <f>VLOOKUP(#REF!,Catalogos!$V$4:$W$64,2,FALSE)</f>
        <v>#REF!</v>
      </c>
      <c r="F170" s="3">
        <v>62</v>
      </c>
      <c r="G170" s="4">
        <v>27</v>
      </c>
      <c r="H170" s="4">
        <f t="shared" si="5"/>
        <v>1674</v>
      </c>
      <c r="M170">
        <v>26</v>
      </c>
      <c r="N170" t="str">
        <f>IF(A170="","", "CO-" &amp; IFERROR(VLOOKUP(B170, Catalogos!$Z$4:$AA$20, 2, FALSE), "FOL") &amp; "-" &amp; WEEKNUM(A170,2) &amp; "-" &amp; TEXT(ROW(A166),"000"))</f>
        <v>CO-LT-26-166</v>
      </c>
    </row>
    <row r="171" spans="1:14" hidden="1">
      <c r="A171" s="2">
        <v>46197</v>
      </c>
      <c r="B171" t="s">
        <v>159</v>
      </c>
      <c r="C171" t="s">
        <v>47</v>
      </c>
      <c r="D171" t="s">
        <v>383</v>
      </c>
      <c r="E171" t="e">
        <f>VLOOKUP(#REF!,Catalogos!$V$4:$W$64,2,FALSE)</f>
        <v>#REF!</v>
      </c>
      <c r="F171" s="3">
        <v>62</v>
      </c>
      <c r="G171" s="4">
        <v>27</v>
      </c>
      <c r="H171" s="4">
        <f t="shared" si="5"/>
        <v>1674</v>
      </c>
      <c r="M171">
        <v>26</v>
      </c>
      <c r="N171" t="str">
        <f>IF(A171="","", "CO-" &amp; IFERROR(VLOOKUP(B171, Catalogos!$Z$4:$AA$20, 2, FALSE), "FOL") &amp; "-" &amp; WEEKNUM(A171,2) &amp; "-" &amp; TEXT(ROW(A167),"000"))</f>
        <v>CO-DR-26-167</v>
      </c>
    </row>
    <row r="172" spans="1:14" hidden="1">
      <c r="A172" s="2">
        <v>46198</v>
      </c>
      <c r="B172" t="s">
        <v>1</v>
      </c>
      <c r="C172" t="s">
        <v>51</v>
      </c>
      <c r="D172" t="s">
        <v>216</v>
      </c>
      <c r="E172" t="e">
        <f>VLOOKUP(#REF!,Catalogos!$V$4:$W$64,2,FALSE)</f>
        <v>#REF!</v>
      </c>
      <c r="F172" s="3">
        <v>26</v>
      </c>
      <c r="G172" s="4">
        <v>27</v>
      </c>
      <c r="H172" s="4">
        <f t="shared" si="5"/>
        <v>702</v>
      </c>
      <c r="M172">
        <v>26</v>
      </c>
      <c r="N172" t="str">
        <f>IF(A172="","", "CO-" &amp; IFERROR(VLOOKUP(B172, Catalogos!$Z$4:$AA$20, 2, FALSE), "FOL") &amp; "-" &amp; WEEKNUM(A172,2) &amp; "-" &amp; TEXT(ROW(A168),"000"))</f>
        <v>CO-MT-26-168</v>
      </c>
    </row>
    <row r="173" spans="1:14" hidden="1">
      <c r="A173" s="2">
        <v>46198</v>
      </c>
      <c r="B173" t="s">
        <v>1</v>
      </c>
      <c r="C173" t="s">
        <v>51</v>
      </c>
      <c r="D173" t="s">
        <v>383</v>
      </c>
      <c r="E173" t="e">
        <f>VLOOKUP(#REF!,Catalogos!$V$4:$W$64,2,FALSE)</f>
        <v>#REF!</v>
      </c>
      <c r="F173" s="3">
        <v>50</v>
      </c>
      <c r="G173" s="4">
        <v>27</v>
      </c>
      <c r="H173" s="4">
        <f t="shared" si="5"/>
        <v>1350</v>
      </c>
      <c r="M173">
        <v>26</v>
      </c>
      <c r="N173" t="str">
        <f>IF(A173="","", "CO-" &amp; IFERROR(VLOOKUP(B173, Catalogos!$Z$4:$AA$20, 2, FALSE), "FOL") &amp; "-" &amp; WEEKNUM(A173,2) &amp; "-" &amp; TEXT(ROW(A169),"000"))</f>
        <v>CO-MT-26-169</v>
      </c>
    </row>
    <row r="174" spans="1:14" hidden="1">
      <c r="A174" s="2">
        <v>46198</v>
      </c>
      <c r="B174" t="s">
        <v>1</v>
      </c>
      <c r="C174" t="s">
        <v>51</v>
      </c>
      <c r="D174" t="s">
        <v>221</v>
      </c>
      <c r="E174" t="e">
        <f>VLOOKUP(#REF!,Catalogos!$V$4:$W$64,2,FALSE)</f>
        <v>#REF!</v>
      </c>
      <c r="F174" s="3">
        <v>30</v>
      </c>
      <c r="G174" s="4">
        <v>27</v>
      </c>
      <c r="H174" s="4">
        <f t="shared" si="5"/>
        <v>810</v>
      </c>
      <c r="M174">
        <v>26</v>
      </c>
      <c r="N174" t="str">
        <f>IF(A174="","", "CO-" &amp; IFERROR(VLOOKUP(B174, Catalogos!$Z$4:$AA$20, 2, FALSE), "FOL") &amp; "-" &amp; WEEKNUM(A174,2) &amp; "-" &amp; TEXT(ROW(A170),"000"))</f>
        <v>CO-MT-26-170</v>
      </c>
    </row>
    <row r="175" spans="1:14" hidden="1">
      <c r="A175" s="2">
        <v>46198</v>
      </c>
      <c r="B175" t="s">
        <v>1</v>
      </c>
      <c r="C175" t="s">
        <v>51</v>
      </c>
      <c r="D175" t="s">
        <v>223</v>
      </c>
      <c r="E175" t="e">
        <f>VLOOKUP(#REF!,Catalogos!$V$4:$W$64,2,FALSE)</f>
        <v>#REF!</v>
      </c>
      <c r="F175" s="3">
        <v>14</v>
      </c>
      <c r="G175" s="4">
        <v>27</v>
      </c>
      <c r="H175" s="4">
        <f t="shared" si="5"/>
        <v>378</v>
      </c>
      <c r="M175">
        <v>26</v>
      </c>
      <c r="N175" t="str">
        <f>IF(A175="","", "CO-" &amp; IFERROR(VLOOKUP(B175, Catalogos!$Z$4:$AA$20, 2, FALSE), "FOL") &amp; "-" &amp; WEEKNUM(A175,2) &amp; "-" &amp; TEXT(ROW(A171),"000"))</f>
        <v>CO-MT-26-171</v>
      </c>
    </row>
    <row r="176" spans="1:14" hidden="1">
      <c r="A176" s="2">
        <v>46198</v>
      </c>
      <c r="B176" t="s">
        <v>1</v>
      </c>
      <c r="C176" t="s">
        <v>51</v>
      </c>
      <c r="D176" t="s">
        <v>224</v>
      </c>
      <c r="E176" t="e">
        <f>VLOOKUP(#REF!,Catalogos!$V$4:$W$64,2,FALSE)</f>
        <v>#REF!</v>
      </c>
      <c r="F176" s="3">
        <v>30</v>
      </c>
      <c r="G176" s="4">
        <v>27</v>
      </c>
      <c r="H176" s="4">
        <f t="shared" si="5"/>
        <v>810</v>
      </c>
      <c r="M176">
        <v>26</v>
      </c>
      <c r="N176" t="str">
        <f>IF(A176="","", "CO-" &amp; IFERROR(VLOOKUP(B176, Catalogos!$Z$4:$AA$20, 2, FALSE), "FOL") &amp; "-" &amp; WEEKNUM(A176,2) &amp; "-" &amp; TEXT(ROW(A172),"000"))</f>
        <v>CO-MT-26-172</v>
      </c>
    </row>
    <row r="177" spans="1:14" hidden="1">
      <c r="A177" s="2">
        <v>46198</v>
      </c>
      <c r="B177" t="s">
        <v>111</v>
      </c>
      <c r="C177" t="s">
        <v>47</v>
      </c>
      <c r="D177" t="s">
        <v>237</v>
      </c>
      <c r="E177" t="e">
        <f>VLOOKUP(#REF!,Catalogos!$V$4:$W$64,2,FALSE)</f>
        <v>#REF!</v>
      </c>
      <c r="F177" s="3">
        <v>120</v>
      </c>
      <c r="G177" s="4">
        <v>27</v>
      </c>
      <c r="H177" s="4">
        <f t="shared" si="5"/>
        <v>3240</v>
      </c>
      <c r="M177">
        <v>26</v>
      </c>
      <c r="N177" t="str">
        <f>IF(A177="","", "CO-" &amp; IFERROR(VLOOKUP(B177, Catalogos!$Z$4:$AA$20, 2, FALSE), "FOL") &amp; "-" &amp; WEEKNUM(A177,2) &amp; "-" &amp; TEXT(ROW(A173),"000"))</f>
        <v>CO-BT-26-173</v>
      </c>
    </row>
    <row r="178" spans="1:14">
      <c r="A178" s="2">
        <v>46198</v>
      </c>
      <c r="B178" t="s">
        <v>400</v>
      </c>
      <c r="C178" t="s">
        <v>47</v>
      </c>
      <c r="D178" t="s">
        <v>383</v>
      </c>
      <c r="E178" t="e">
        <f>VLOOKUP(#REF!,Catalogos!$V$4:$W$64,2,FALSE)</f>
        <v>#REF!</v>
      </c>
      <c r="F178" s="3">
        <v>160</v>
      </c>
      <c r="G178" s="4">
        <v>27</v>
      </c>
      <c r="H178" s="4">
        <f t="shared" si="5"/>
        <v>4320</v>
      </c>
      <c r="M178">
        <v>26</v>
      </c>
      <c r="N178" t="str">
        <f>IF(A178="","", "CO-" &amp; IFERROR(VLOOKUP(B178, Catalogos!$Z$4:$AA$20, 2, FALSE), "FOL") &amp; "-" &amp; WEEKNUM(A178,2) &amp; "-" &amp; TEXT(ROW(A174),"000"))</f>
        <v>CO-MP-26-174</v>
      </c>
    </row>
    <row r="179" spans="1:14" hidden="1">
      <c r="A179" s="2">
        <v>46198</v>
      </c>
      <c r="B179" t="s">
        <v>2</v>
      </c>
      <c r="C179" t="s">
        <v>47</v>
      </c>
      <c r="D179" t="s">
        <v>214</v>
      </c>
      <c r="E179" t="e">
        <f>VLOOKUP(#REF!,Catalogos!$V$4:$W$64,2,FALSE)</f>
        <v>#REF!</v>
      </c>
      <c r="F179" s="3">
        <v>140</v>
      </c>
      <c r="G179" s="4">
        <v>27</v>
      </c>
      <c r="H179" s="4">
        <f t="shared" si="5"/>
        <v>3780</v>
      </c>
      <c r="M179">
        <v>26</v>
      </c>
      <c r="N179" t="str">
        <f>IF(A179="","", "CO-" &amp; IFERROR(VLOOKUP(B179, Catalogos!$Z$4:$AA$20, 2, FALSE), "FOL") &amp; "-" &amp; WEEKNUM(A179,2) &amp; "-" &amp; TEXT(ROW(A175),"000"))</f>
        <v>CO-LT-26-175</v>
      </c>
    </row>
    <row r="180" spans="1:14">
      <c r="A180" s="2">
        <v>46198</v>
      </c>
      <c r="B180" t="s">
        <v>400</v>
      </c>
      <c r="C180" t="s">
        <v>47</v>
      </c>
      <c r="D180" t="s">
        <v>367</v>
      </c>
      <c r="E180" t="e">
        <f>VLOOKUP(#REF!,Catalogos!$V$4:$W$64,2,FALSE)</f>
        <v>#REF!</v>
      </c>
      <c r="F180" s="3">
        <v>222</v>
      </c>
      <c r="G180" s="4">
        <v>27</v>
      </c>
      <c r="H180" s="4">
        <f t="shared" si="5"/>
        <v>5994</v>
      </c>
      <c r="M180">
        <v>26</v>
      </c>
      <c r="N180" t="str">
        <f>IF(A180="","", "CO-" &amp; IFERROR(VLOOKUP(B180, Catalogos!$Z$4:$AA$20, 2, FALSE), "FOL") &amp; "-" &amp; WEEKNUM(A180,2) &amp; "-" &amp; TEXT(ROW(A176),"000"))</f>
        <v>CO-MP-26-176</v>
      </c>
    </row>
    <row r="181" spans="1:14">
      <c r="A181" s="2">
        <v>46198</v>
      </c>
      <c r="B181" t="s">
        <v>400</v>
      </c>
      <c r="C181" t="s">
        <v>47</v>
      </c>
      <c r="D181" t="s">
        <v>245</v>
      </c>
      <c r="E181" t="e">
        <f>VLOOKUP(#REF!,Catalogos!$V$4:$W$64,2,FALSE)</f>
        <v>#REF!</v>
      </c>
      <c r="F181" s="3">
        <v>217</v>
      </c>
      <c r="G181" s="4">
        <v>27</v>
      </c>
      <c r="H181" s="4">
        <f t="shared" si="5"/>
        <v>5859</v>
      </c>
      <c r="M181">
        <v>26</v>
      </c>
      <c r="N181" t="str">
        <f>IF(A181="","", "CO-" &amp; IFERROR(VLOOKUP(B181, Catalogos!$Z$4:$AA$20, 2, FALSE), "FOL") &amp; "-" &amp; WEEKNUM(A181,2) &amp; "-" &amp; TEXT(ROW(A177),"000"))</f>
        <v>CO-MP-26-177</v>
      </c>
    </row>
    <row r="182" spans="1:14">
      <c r="A182" s="2">
        <v>46198</v>
      </c>
      <c r="B182" t="s">
        <v>400</v>
      </c>
      <c r="C182" t="s">
        <v>47</v>
      </c>
      <c r="D182" t="s">
        <v>237</v>
      </c>
      <c r="E182" t="e">
        <f>VLOOKUP(#REF!,Catalogos!$V$4:$W$64,2,FALSE)</f>
        <v>#REF!</v>
      </c>
      <c r="F182" s="3">
        <v>850</v>
      </c>
      <c r="G182" s="4">
        <v>27</v>
      </c>
      <c r="H182" s="4">
        <f t="shared" si="5"/>
        <v>22950</v>
      </c>
      <c r="M182">
        <v>26</v>
      </c>
      <c r="N182" t="str">
        <f>IF(A182="","", "CO-" &amp; IFERROR(VLOOKUP(B182, Catalogos!$Z$4:$AA$20, 2, FALSE), "FOL") &amp; "-" &amp; WEEKNUM(A182,2) &amp; "-" &amp; TEXT(ROW(A178),"000"))</f>
        <v>CO-MP-26-178</v>
      </c>
    </row>
    <row r="183" spans="1:14" hidden="1">
      <c r="A183" s="2">
        <v>46198</v>
      </c>
      <c r="B183" t="s">
        <v>2</v>
      </c>
      <c r="C183" t="s">
        <v>47</v>
      </c>
      <c r="D183" t="s">
        <v>228</v>
      </c>
      <c r="E183" t="e">
        <f>VLOOKUP(#REF!,Catalogos!$V$4:$W$64,2,FALSE)</f>
        <v>#REF!</v>
      </c>
      <c r="F183" s="3">
        <v>50</v>
      </c>
      <c r="G183" s="4">
        <v>27</v>
      </c>
      <c r="H183" s="4">
        <f t="shared" si="5"/>
        <v>1350</v>
      </c>
      <c r="M183">
        <v>26</v>
      </c>
      <c r="N183" t="str">
        <f>IF(A183="","", "CO-" &amp; IFERROR(VLOOKUP(B183, Catalogos!$Z$4:$AA$20, 2, FALSE), "FOL") &amp; "-" &amp; WEEKNUM(A183,2) &amp; "-" &amp; TEXT(ROW(A179),"000"))</f>
        <v>CO-LT-26-179</v>
      </c>
    </row>
    <row r="184" spans="1:14" hidden="1">
      <c r="A184" s="2">
        <v>46198</v>
      </c>
      <c r="B184" t="s">
        <v>2</v>
      </c>
      <c r="C184" t="s">
        <v>47</v>
      </c>
      <c r="D184" t="s">
        <v>217</v>
      </c>
      <c r="E184" t="e">
        <f>VLOOKUP(#REF!,Catalogos!$V$4:$W$64,2,FALSE)</f>
        <v>#REF!</v>
      </c>
      <c r="F184" s="3">
        <v>50</v>
      </c>
      <c r="G184" s="4">
        <v>27</v>
      </c>
      <c r="H184" s="4">
        <f t="shared" si="5"/>
        <v>1350</v>
      </c>
      <c r="M184">
        <v>26</v>
      </c>
      <c r="N184" t="str">
        <f>IF(A184="","", "CO-" &amp; IFERROR(VLOOKUP(B184, Catalogos!$Z$4:$AA$20, 2, FALSE), "FOL") &amp; "-" &amp; WEEKNUM(A184,2) &amp; "-" &amp; TEXT(ROW(A180),"000"))</f>
        <v>CO-LT-26-180</v>
      </c>
    </row>
    <row r="185" spans="1:14" hidden="1">
      <c r="A185" s="2">
        <v>46198</v>
      </c>
      <c r="B185" t="s">
        <v>2</v>
      </c>
      <c r="C185" t="s">
        <v>47</v>
      </c>
      <c r="D185" t="s">
        <v>365</v>
      </c>
      <c r="E185" t="e">
        <f>VLOOKUP(#REF!,Catalogos!$V$4:$W$64,2,FALSE)</f>
        <v>#REF!</v>
      </c>
      <c r="F185" s="3">
        <v>177</v>
      </c>
      <c r="G185" s="4">
        <v>27</v>
      </c>
      <c r="H185" s="4">
        <f t="shared" si="5"/>
        <v>4779</v>
      </c>
      <c r="M185">
        <v>26</v>
      </c>
      <c r="N185" t="str">
        <f>IF(A185="","", "CO-" &amp; IFERROR(VLOOKUP(B185, Catalogos!$Z$4:$AA$20, 2, FALSE), "FOL") &amp; "-" &amp; WEEKNUM(A185,2) &amp; "-" &amp; TEXT(ROW(A181),"000"))</f>
        <v>CO-LT-26-181</v>
      </c>
    </row>
    <row r="186" spans="1:14">
      <c r="A186" s="2">
        <v>46198</v>
      </c>
      <c r="B186" t="s">
        <v>124</v>
      </c>
      <c r="C186" t="s">
        <v>237</v>
      </c>
      <c r="D186" t="s">
        <v>798</v>
      </c>
      <c r="E186" t="e">
        <f>VLOOKUP(#REF!,Catalogos!$V$4:$W$64,2,FALSE)</f>
        <v>#REF!</v>
      </c>
      <c r="F186" s="3">
        <v>100</v>
      </c>
      <c r="G186" s="4">
        <v>27</v>
      </c>
      <c r="H186" s="4">
        <f t="shared" si="5"/>
        <v>2700</v>
      </c>
      <c r="M186">
        <v>26</v>
      </c>
      <c r="N186" t="str">
        <f>IF(A186="","", "CO-" &amp; IFERROR(VLOOKUP(B186, Catalogos!$Z$4:$AA$20, 2, FALSE), "FOL") &amp; "-" &amp; WEEKNUM(A186,2) &amp; "-" &amp; TEXT(ROW(A182),"000"))</f>
        <v>CO-PAH-26-182</v>
      </c>
    </row>
    <row r="187" spans="1:14" hidden="1">
      <c r="A187" s="2">
        <v>46199</v>
      </c>
      <c r="B187" t="s">
        <v>111</v>
      </c>
      <c r="C187" t="s">
        <v>47</v>
      </c>
      <c r="D187" t="s">
        <v>243</v>
      </c>
      <c r="E187" t="e">
        <f>VLOOKUP(#REF!,Catalogos!$V$4:$W$64,2,FALSE)</f>
        <v>#REF!</v>
      </c>
      <c r="F187" s="3">
        <v>90</v>
      </c>
      <c r="G187" s="4">
        <v>27</v>
      </c>
      <c r="H187" s="4">
        <f t="shared" si="5"/>
        <v>2430</v>
      </c>
      <c r="M187">
        <v>26</v>
      </c>
      <c r="N187" t="e">
        <f>IF(#REF!="","", "CO-" &amp; IFERROR(VLOOKUP(#REF!, Catalogos!$Z$4:$AA$20, 2, FALSE), "FOL") &amp; "-" &amp; WEEKNUM(#REF!,2) &amp; "-" &amp; TEXT(ROW(A183),"000"))</f>
        <v>#REF!</v>
      </c>
    </row>
    <row r="188" spans="1:14" hidden="1">
      <c r="A188" s="2">
        <v>46199</v>
      </c>
      <c r="B188" t="s">
        <v>111</v>
      </c>
      <c r="C188" t="s">
        <v>47</v>
      </c>
      <c r="D188" t="s">
        <v>209</v>
      </c>
      <c r="E188" t="e">
        <f>VLOOKUP(#REF!,Catalogos!$V$4:$W$64,2,FALSE)</f>
        <v>#REF!</v>
      </c>
      <c r="F188" s="3">
        <v>48</v>
      </c>
      <c r="G188" s="4">
        <v>27</v>
      </c>
      <c r="H188" s="4">
        <f t="shared" ref="H188:H219" si="6">IFERROR(F188*G188,0)</f>
        <v>1296</v>
      </c>
      <c r="M188">
        <v>26</v>
      </c>
      <c r="N188" t="e">
        <f>IF(#REF!="","", "CO-" &amp; IFERROR(VLOOKUP(#REF!, Catalogos!$Z$4:$AA$20, 2, FALSE), "FOL") &amp; "-" &amp; WEEKNUM(#REF!,2) &amp; "-" &amp; TEXT(ROW(A184),"000"))</f>
        <v>#REF!</v>
      </c>
    </row>
    <row r="189" spans="1:14" hidden="1">
      <c r="A189" s="2">
        <v>46199</v>
      </c>
      <c r="B189" t="s">
        <v>1</v>
      </c>
      <c r="C189" t="s">
        <v>51</v>
      </c>
      <c r="D189" t="s">
        <v>221</v>
      </c>
      <c r="E189" t="e">
        <f>VLOOKUP(#REF!,Catalogos!$V$4:$W$64,2,FALSE)</f>
        <v>#REF!</v>
      </c>
      <c r="F189" s="3">
        <v>40</v>
      </c>
      <c r="G189" s="4">
        <v>27</v>
      </c>
      <c r="H189" s="4">
        <f t="shared" si="6"/>
        <v>1080</v>
      </c>
      <c r="M189">
        <v>26</v>
      </c>
      <c r="N189" t="str">
        <f>IF(A189="","", "CO-" &amp; IFERROR(VLOOKUP(B189, Catalogos!$Z$4:$AA$20, 2, FALSE), "FOL") &amp; "-" &amp; WEEKNUM(A189,2) &amp; "-" &amp; TEXT(ROW(A185),"000"))</f>
        <v>CO-MT-26-185</v>
      </c>
    </row>
    <row r="190" spans="1:14" hidden="1">
      <c r="A190" s="2">
        <v>46199</v>
      </c>
      <c r="B190" t="s">
        <v>1</v>
      </c>
      <c r="C190" t="s">
        <v>51</v>
      </c>
      <c r="D190" t="s">
        <v>224</v>
      </c>
      <c r="E190" t="e">
        <f>VLOOKUP(#REF!,Catalogos!$V$4:$W$64,2,FALSE)</f>
        <v>#REF!</v>
      </c>
      <c r="F190" s="3">
        <v>30</v>
      </c>
      <c r="G190" s="4">
        <v>27</v>
      </c>
      <c r="H190" s="4">
        <f t="shared" si="6"/>
        <v>810</v>
      </c>
      <c r="M190">
        <v>26</v>
      </c>
      <c r="N190" t="str">
        <f>IF(A190="","", "CO-" &amp; IFERROR(VLOOKUP(B190, Catalogos!$Z$4:$AA$20, 2, FALSE), "FOL") &amp; "-" &amp; WEEKNUM(A190,2) &amp; "-" &amp; TEXT(ROW(A186),"000"))</f>
        <v>CO-MT-26-186</v>
      </c>
    </row>
    <row r="191" spans="1:14" hidden="1">
      <c r="A191" s="2">
        <v>46199</v>
      </c>
      <c r="B191" t="s">
        <v>1</v>
      </c>
      <c r="C191" t="s">
        <v>51</v>
      </c>
      <c r="D191" t="s">
        <v>223</v>
      </c>
      <c r="E191" t="e">
        <f>VLOOKUP(#REF!,Catalogos!$V$4:$W$64,2,FALSE)</f>
        <v>#REF!</v>
      </c>
      <c r="F191" s="3">
        <v>16</v>
      </c>
      <c r="G191" s="4">
        <v>27</v>
      </c>
      <c r="H191" s="4">
        <f t="shared" si="6"/>
        <v>432</v>
      </c>
      <c r="M191">
        <v>26</v>
      </c>
      <c r="N191" t="e">
        <f>IF(A191="","", "CO-" &amp; IFERROR(VLOOKUP(B191, Catalogos!$Z$4:$AA$20, 2, FALSE), "FOL") &amp; "-" &amp; WEEKNUM(A191,2) &amp; "-" &amp; TEXT(ROW(#REF!),"000"))</f>
        <v>#REF!</v>
      </c>
    </row>
    <row r="192" spans="1:14" hidden="1">
      <c r="A192" s="2">
        <v>46199</v>
      </c>
      <c r="B192" t="s">
        <v>1</v>
      </c>
      <c r="C192" t="s">
        <v>51</v>
      </c>
      <c r="D192" t="s">
        <v>368</v>
      </c>
      <c r="E192" t="e">
        <f>VLOOKUP(#REF!,Catalogos!$V$4:$W$64,2,FALSE)</f>
        <v>#REF!</v>
      </c>
      <c r="F192" s="3">
        <v>120</v>
      </c>
      <c r="G192" s="4">
        <v>27</v>
      </c>
      <c r="H192" s="4">
        <f t="shared" si="6"/>
        <v>3240</v>
      </c>
      <c r="M192">
        <v>26</v>
      </c>
      <c r="N192" t="e">
        <f>IF(A192="","", "CO-" &amp; IFERROR(VLOOKUP(B192, Catalogos!$Z$4:$AA$20, 2, FALSE), "FOL") &amp; "-" &amp; WEEKNUM(A192,2) &amp; "-" &amp; TEXT(ROW(#REF!),"000"))</f>
        <v>#REF!</v>
      </c>
    </row>
    <row r="193" spans="1:14" hidden="1">
      <c r="A193" s="2">
        <v>46199</v>
      </c>
      <c r="B193" t="s">
        <v>1</v>
      </c>
      <c r="C193" t="s">
        <v>51</v>
      </c>
      <c r="D193" t="s">
        <v>221</v>
      </c>
      <c r="E193" t="e">
        <f>VLOOKUP(#REF!,Catalogos!$V$4:$W$64,2,FALSE)</f>
        <v>#REF!</v>
      </c>
      <c r="F193" s="3">
        <v>32</v>
      </c>
      <c r="G193" s="4">
        <v>27</v>
      </c>
      <c r="H193" s="4">
        <f t="shared" si="6"/>
        <v>864</v>
      </c>
      <c r="M193">
        <v>26</v>
      </c>
      <c r="N193" t="str">
        <f>IF(A193="","", "CO-" &amp; IFERROR(VLOOKUP(B193, Catalogos!$Z$4:$AA$20, 2, FALSE), "FOL") &amp; "-" &amp; WEEKNUM(A193,2) &amp; "-" &amp; TEXT(ROW(A189),"000"))</f>
        <v>CO-MT-26-189</v>
      </c>
    </row>
    <row r="194" spans="1:14" hidden="1">
      <c r="A194" s="2">
        <v>46199</v>
      </c>
      <c r="B194" t="s">
        <v>1</v>
      </c>
      <c r="C194" t="s">
        <v>51</v>
      </c>
      <c r="D194" t="s">
        <v>228</v>
      </c>
      <c r="E194" t="e">
        <f>VLOOKUP(#REF!,Catalogos!$V$4:$W$64,2,FALSE)</f>
        <v>#REF!</v>
      </c>
      <c r="F194" s="3">
        <v>40</v>
      </c>
      <c r="G194" s="4">
        <v>27</v>
      </c>
      <c r="H194" s="4">
        <f t="shared" si="6"/>
        <v>1080</v>
      </c>
      <c r="M194">
        <v>26</v>
      </c>
      <c r="N194" t="str">
        <f>IF(A194="","", "CO-" &amp; IFERROR(VLOOKUP(B194, Catalogos!$Z$4:$AA$20, 2, FALSE), "FOL") &amp; "-" &amp; WEEKNUM(A194,2) &amp; "-" &amp; TEXT(ROW(A190),"000"))</f>
        <v>CO-MT-26-190</v>
      </c>
    </row>
    <row r="195" spans="1:14" hidden="1">
      <c r="A195" s="2">
        <v>46199</v>
      </c>
      <c r="B195" t="s">
        <v>2</v>
      </c>
      <c r="C195" t="s">
        <v>47</v>
      </c>
      <c r="D195" t="s">
        <v>383</v>
      </c>
      <c r="E195" t="e">
        <f>VLOOKUP(#REF!,Catalogos!$V$4:$W$64,2,FALSE)</f>
        <v>#REF!</v>
      </c>
      <c r="F195" s="3">
        <v>41</v>
      </c>
      <c r="G195" s="4">
        <v>27</v>
      </c>
      <c r="H195" s="4">
        <f t="shared" si="6"/>
        <v>1107</v>
      </c>
      <c r="M195">
        <v>26</v>
      </c>
      <c r="N195" t="str">
        <f>IF(A195="","", "CO-" &amp; IFERROR(VLOOKUP(B195, Catalogos!$Z$4:$AA$20, 2, FALSE), "FOL") &amp; "-" &amp; WEEKNUM(A195,2) &amp; "-" &amp; TEXT(ROW(A191),"000"))</f>
        <v>CO-LT-26-191</v>
      </c>
    </row>
    <row r="196" spans="1:14" hidden="1">
      <c r="A196" s="2">
        <v>46199</v>
      </c>
      <c r="B196" t="s">
        <v>1</v>
      </c>
      <c r="C196" t="s">
        <v>47</v>
      </c>
      <c r="D196" t="s">
        <v>215</v>
      </c>
      <c r="E196" t="e">
        <f>VLOOKUP(#REF!,Catalogos!$V$4:$W$64,2,FALSE)</f>
        <v>#REF!</v>
      </c>
      <c r="F196" s="3">
        <v>329</v>
      </c>
      <c r="G196" s="4">
        <v>27</v>
      </c>
      <c r="H196" s="4">
        <f t="shared" si="6"/>
        <v>8883</v>
      </c>
      <c r="M196">
        <v>26</v>
      </c>
      <c r="N196" t="str">
        <f>IF(A196="","", "CO-" &amp; IFERROR(VLOOKUP(B196, Catalogos!$Z$4:$AA$20, 2, FALSE), "FOL") &amp; "-" &amp; WEEKNUM(A196,2) &amp; "-" &amp; TEXT(ROW(A192),"000"))</f>
        <v>CO-MT-26-192</v>
      </c>
    </row>
    <row r="197" spans="1:14" hidden="1">
      <c r="A197" s="2">
        <v>46199</v>
      </c>
      <c r="B197" t="s">
        <v>111</v>
      </c>
      <c r="C197" t="s">
        <v>47</v>
      </c>
      <c r="D197" t="s">
        <v>237</v>
      </c>
      <c r="E197" t="e">
        <f>VLOOKUP(#REF!,Catalogos!$V$4:$W$64,2,FALSE)</f>
        <v>#REF!</v>
      </c>
      <c r="F197" s="3">
        <v>480</v>
      </c>
      <c r="G197" s="4">
        <v>27</v>
      </c>
      <c r="H197" s="4">
        <f t="shared" si="6"/>
        <v>12960</v>
      </c>
      <c r="M197">
        <v>26</v>
      </c>
      <c r="N197" t="str">
        <f>IF(A197="","", "CO-" &amp; IFERROR(VLOOKUP(B197, Catalogos!$Z$4:$AA$20, 2, FALSE), "FOL") &amp; "-" &amp; WEEKNUM(A197,2) &amp; "-" &amp; TEXT(ROW(A193),"000"))</f>
        <v>CO-BT-26-193</v>
      </c>
    </row>
    <row r="198" spans="1:14" hidden="1">
      <c r="A198" s="2">
        <v>46199</v>
      </c>
      <c r="B198" t="s">
        <v>111</v>
      </c>
      <c r="C198" t="s">
        <v>47</v>
      </c>
      <c r="D198" t="s">
        <v>243</v>
      </c>
      <c r="E198" t="e">
        <f>VLOOKUP(#REF!,Catalogos!$V$4:$W$64,2,FALSE)</f>
        <v>#REF!</v>
      </c>
      <c r="F198" s="3">
        <v>220</v>
      </c>
      <c r="G198" s="4">
        <v>27</v>
      </c>
      <c r="H198" s="4">
        <f t="shared" si="6"/>
        <v>5940</v>
      </c>
      <c r="M198">
        <v>26</v>
      </c>
      <c r="N198" t="str">
        <f>IF(A198="","", "CO-" &amp; IFERROR(VLOOKUP(B198, Catalogos!$Z$4:$AA$20, 2, FALSE), "FOL") &amp; "-" &amp; WEEKNUM(A198,2) &amp; "-" &amp; TEXT(ROW(A194),"000"))</f>
        <v>CO-BT-26-194</v>
      </c>
    </row>
    <row r="199" spans="1:14" hidden="1">
      <c r="A199" s="2">
        <v>46199</v>
      </c>
      <c r="B199" t="s">
        <v>111</v>
      </c>
      <c r="C199" t="s">
        <v>47</v>
      </c>
      <c r="D199" t="s">
        <v>220</v>
      </c>
      <c r="E199" t="e">
        <f>VLOOKUP(#REF!,Catalogos!$V$4:$W$64,2,FALSE)</f>
        <v>#REF!</v>
      </c>
      <c r="F199" s="3">
        <v>80</v>
      </c>
      <c r="G199" s="4">
        <v>27</v>
      </c>
      <c r="H199" s="4">
        <f t="shared" si="6"/>
        <v>2160</v>
      </c>
      <c r="M199">
        <v>26</v>
      </c>
      <c r="N199" t="str">
        <f>IF(A199="","", "CO-" &amp; IFERROR(VLOOKUP(B199, Catalogos!$Z$4:$AA$20, 2, FALSE), "FOL") &amp; "-" &amp; WEEKNUM(A199,2) &amp; "-" &amp; TEXT(ROW(A195),"000"))</f>
        <v>CO-BT-26-195</v>
      </c>
    </row>
    <row r="200" spans="1:14" hidden="1">
      <c r="A200" s="2">
        <v>46199</v>
      </c>
      <c r="B200" t="s">
        <v>111</v>
      </c>
      <c r="C200" t="s">
        <v>47</v>
      </c>
      <c r="D200" t="s">
        <v>209</v>
      </c>
      <c r="E200" t="e">
        <f>VLOOKUP(#REF!,Catalogos!$V$4:$W$64,2,FALSE)</f>
        <v>#REF!</v>
      </c>
      <c r="F200" s="3">
        <v>80</v>
      </c>
      <c r="G200" s="4">
        <v>27</v>
      </c>
      <c r="H200" s="4">
        <f t="shared" si="6"/>
        <v>2160</v>
      </c>
      <c r="M200">
        <v>26</v>
      </c>
      <c r="N200" t="str">
        <f>IF(A200="","", "CO-" &amp; IFERROR(VLOOKUP(B200, Catalogos!$Z$4:$AA$20, 2, FALSE), "FOL") &amp; "-" &amp; WEEKNUM(A200,2) &amp; "-" &amp; TEXT(ROW(A196),"000"))</f>
        <v>CO-BT-26-196</v>
      </c>
    </row>
    <row r="201" spans="1:14" hidden="1">
      <c r="A201" s="2">
        <v>46199</v>
      </c>
      <c r="B201" t="s">
        <v>1</v>
      </c>
      <c r="C201" t="s">
        <v>51</v>
      </c>
      <c r="D201" t="s">
        <v>215</v>
      </c>
      <c r="E201" t="e">
        <f>VLOOKUP(#REF!,Catalogos!$V$4:$W$64,2,FALSE)</f>
        <v>#REF!</v>
      </c>
      <c r="F201" s="3">
        <v>200</v>
      </c>
      <c r="G201" s="4">
        <v>27</v>
      </c>
      <c r="H201" s="4">
        <f t="shared" si="6"/>
        <v>5400</v>
      </c>
      <c r="M201">
        <v>26</v>
      </c>
      <c r="N201" t="str">
        <f>IF(A201="","", "CO-" &amp; IFERROR(VLOOKUP(B201, Catalogos!$Z$4:$AA$20, 2, FALSE), "FOL") &amp; "-" &amp; WEEKNUM(A201,2) &amp; "-" &amp; TEXT(ROW(A197),"000"))</f>
        <v>CO-MT-26-197</v>
      </c>
    </row>
    <row r="202" spans="1:14">
      <c r="A202" s="2">
        <v>46199</v>
      </c>
      <c r="B202" t="s">
        <v>124</v>
      </c>
      <c r="C202" t="s">
        <v>237</v>
      </c>
      <c r="D202" t="s">
        <v>798</v>
      </c>
      <c r="E202" t="e">
        <f>VLOOKUP(#REF!,Catalogos!$V$4:$W$64,2,FALSE)</f>
        <v>#REF!</v>
      </c>
      <c r="F202" s="3">
        <v>200</v>
      </c>
      <c r="G202" s="4">
        <v>27</v>
      </c>
      <c r="H202" s="4">
        <f t="shared" si="6"/>
        <v>5400</v>
      </c>
      <c r="M202">
        <v>26</v>
      </c>
      <c r="N202" t="str">
        <f>IF(A202="","", "CO-" &amp; IFERROR(VLOOKUP(B202, Catalogos!$Z$4:$AA$20, 2, FALSE), "FOL") &amp; "-" &amp; WEEKNUM(A202,2) &amp; "-" &amp; TEXT(ROW(A198),"000"))</f>
        <v>CO-PAH-26-198</v>
      </c>
    </row>
    <row r="203" spans="1:14" hidden="1">
      <c r="A203" s="2">
        <v>46200</v>
      </c>
      <c r="B203" t="s">
        <v>1</v>
      </c>
      <c r="C203" t="s">
        <v>51</v>
      </c>
      <c r="D203" t="s">
        <v>216</v>
      </c>
      <c r="E203" t="e">
        <f>VLOOKUP(#REF!,Catalogos!$V$4:$W$64,2,FALSE)</f>
        <v>#REF!</v>
      </c>
      <c r="F203" s="3">
        <v>24</v>
      </c>
      <c r="G203" s="4">
        <v>27</v>
      </c>
      <c r="H203" s="4">
        <f t="shared" si="6"/>
        <v>648</v>
      </c>
      <c r="M203">
        <v>26</v>
      </c>
      <c r="N203" t="str">
        <f>IF(A203="","", "CO-" &amp; IFERROR(VLOOKUP(B203, Catalogos!$Z$4:$AA$20, 2, FALSE), "FOL") &amp; "-" &amp; WEEKNUM(A203,2) &amp; "-" &amp; TEXT(ROW(A199),"000"))</f>
        <v>CO-MT-26-199</v>
      </c>
    </row>
    <row r="204" spans="1:14" hidden="1">
      <c r="A204" s="2">
        <v>46200</v>
      </c>
      <c r="B204" t="s">
        <v>1</v>
      </c>
      <c r="C204" t="s">
        <v>51</v>
      </c>
      <c r="D204" t="s">
        <v>235</v>
      </c>
      <c r="E204" t="e">
        <f>VLOOKUP(#REF!,Catalogos!$V$4:$W$64,2,FALSE)</f>
        <v>#REF!</v>
      </c>
      <c r="F204" s="3">
        <v>50</v>
      </c>
      <c r="G204" s="4">
        <v>27</v>
      </c>
      <c r="H204" s="4">
        <f t="shared" si="6"/>
        <v>1350</v>
      </c>
      <c r="M204">
        <v>26</v>
      </c>
      <c r="N204" t="str">
        <f>IF(A204="","", "CO-" &amp; IFERROR(VLOOKUP(B204, Catalogos!$Z$4:$AA$20, 2, FALSE), "FOL") &amp; "-" &amp; WEEKNUM(A204,2) &amp; "-" &amp; TEXT(ROW(A200),"000"))</f>
        <v>CO-MT-26-200</v>
      </c>
    </row>
    <row r="205" spans="1:14" hidden="1">
      <c r="A205" s="2">
        <v>46200</v>
      </c>
      <c r="B205" t="s">
        <v>1</v>
      </c>
      <c r="C205" t="s">
        <v>51</v>
      </c>
      <c r="D205" t="s">
        <v>215</v>
      </c>
      <c r="E205" t="e">
        <f>VLOOKUP(#REF!,Catalogos!$V$4:$W$64,2,FALSE)</f>
        <v>#REF!</v>
      </c>
      <c r="F205" s="3">
        <v>118</v>
      </c>
      <c r="G205" s="4">
        <v>27</v>
      </c>
      <c r="H205" s="4">
        <f t="shared" si="6"/>
        <v>3186</v>
      </c>
      <c r="M205">
        <v>26</v>
      </c>
      <c r="N205" t="str">
        <f>IF(A205="","", "CO-" &amp; IFERROR(VLOOKUP(B205, Catalogos!$Z$4:$AA$20, 2, FALSE), "FOL") &amp; "-" &amp; WEEKNUM(A205,2) &amp; "-" &amp; TEXT(ROW(A201),"000"))</f>
        <v>CO-MT-26-201</v>
      </c>
    </row>
    <row r="206" spans="1:14">
      <c r="A206" s="2">
        <v>46200</v>
      </c>
      <c r="B206" t="s">
        <v>124</v>
      </c>
      <c r="C206" t="s">
        <v>237</v>
      </c>
      <c r="D206" t="s">
        <v>798</v>
      </c>
      <c r="E206" t="e">
        <f>VLOOKUP(#REF!,Catalogos!$V$4:$W$64,2,FALSE)</f>
        <v>#REF!</v>
      </c>
      <c r="F206" s="3">
        <v>100</v>
      </c>
      <c r="G206" s="4">
        <v>27</v>
      </c>
      <c r="H206" s="4">
        <f t="shared" si="6"/>
        <v>2700</v>
      </c>
      <c r="M206">
        <v>26</v>
      </c>
      <c r="N206" t="str">
        <f>IF(A206="","", "CO-" &amp; IFERROR(VLOOKUP(B206, Catalogos!$Z$4:$AA$20, 2, FALSE), "FOL") &amp; "-" &amp; WEEKNUM(A206,2) &amp; "-" &amp; TEXT(ROW(A202),"000"))</f>
        <v>CO-PAH-26-202</v>
      </c>
    </row>
    <row r="207" spans="1:14">
      <c r="A207" s="2">
        <v>46200</v>
      </c>
      <c r="B207" t="s">
        <v>124</v>
      </c>
      <c r="C207" t="s">
        <v>237</v>
      </c>
      <c r="D207" t="s">
        <v>241</v>
      </c>
      <c r="E207" t="e">
        <f>VLOOKUP(#REF!,Catalogos!$V$4:$W$64,2,FALSE)</f>
        <v>#REF!</v>
      </c>
      <c r="F207" s="3">
        <v>60</v>
      </c>
      <c r="G207" s="4">
        <v>27</v>
      </c>
      <c r="H207" s="4">
        <f t="shared" si="6"/>
        <v>1620</v>
      </c>
      <c r="M207">
        <v>26</v>
      </c>
      <c r="N207" t="str">
        <f>IF(A207="","", "CO-" &amp; IFERROR(VLOOKUP(B207, Catalogos!$Z$4:$AA$20, 2, FALSE), "FOL") &amp; "-" &amp; WEEKNUM(A207,2) &amp; "-" &amp; TEXT(ROW(A203),"000"))</f>
        <v>CO-PAH-26-203</v>
      </c>
    </row>
    <row r="208" spans="1:14">
      <c r="A208" s="2">
        <v>46200</v>
      </c>
      <c r="B208" t="s">
        <v>124</v>
      </c>
      <c r="C208" t="s">
        <v>237</v>
      </c>
      <c r="D208" t="s">
        <v>248</v>
      </c>
      <c r="E208" t="e">
        <f>VLOOKUP(#REF!,Catalogos!$V$4:$W$64,2,FALSE)</f>
        <v>#REF!</v>
      </c>
      <c r="F208" s="3">
        <v>40</v>
      </c>
      <c r="G208" s="4">
        <v>27</v>
      </c>
      <c r="H208" s="4">
        <f t="shared" si="6"/>
        <v>1080</v>
      </c>
      <c r="M208">
        <v>26</v>
      </c>
      <c r="N208" t="str">
        <f>IF(A208="","", "CO-" &amp; IFERROR(VLOOKUP(B208, Catalogos!$Z$4:$AA$20, 2, FALSE), "FOL") &amp; "-" &amp; WEEKNUM(A208,2) &amp; "-" &amp; TEXT(ROW(A204),"000"))</f>
        <v>CO-PAH-26-204</v>
      </c>
    </row>
    <row r="209" spans="1:14">
      <c r="A209" s="2">
        <v>46200</v>
      </c>
      <c r="B209" t="s">
        <v>124</v>
      </c>
      <c r="C209" t="s">
        <v>237</v>
      </c>
      <c r="D209" t="s">
        <v>245</v>
      </c>
      <c r="E209" t="e">
        <f>VLOOKUP(#REF!,Catalogos!$V$4:$W$64,2,FALSE)</f>
        <v>#REF!</v>
      </c>
      <c r="F209" s="3">
        <v>200</v>
      </c>
      <c r="G209" s="4">
        <v>27</v>
      </c>
      <c r="H209" s="4">
        <f t="shared" si="6"/>
        <v>5400</v>
      </c>
      <c r="M209">
        <v>26</v>
      </c>
      <c r="N209" t="str">
        <f>IF(A209="","", "CO-" &amp; IFERROR(VLOOKUP(B209, Catalogos!$Z$4:$AA$20, 2, FALSE), "FOL") &amp; "-" &amp; WEEKNUM(A209,2) &amp; "-" &amp; TEXT(ROW(A205),"000"))</f>
        <v>CO-PAH-26-205</v>
      </c>
    </row>
    <row r="210" spans="1:14">
      <c r="A210" s="2">
        <v>46200</v>
      </c>
      <c r="B210" t="s">
        <v>124</v>
      </c>
      <c r="C210" t="s">
        <v>237</v>
      </c>
      <c r="D210" t="s">
        <v>800</v>
      </c>
      <c r="E210" t="e">
        <f>VLOOKUP(#REF!,Catalogos!$V$4:$W$64,2,FALSE)</f>
        <v>#REF!</v>
      </c>
      <c r="F210" s="3">
        <v>200</v>
      </c>
      <c r="G210" s="4">
        <v>27</v>
      </c>
      <c r="H210" s="4">
        <f t="shared" si="6"/>
        <v>5400</v>
      </c>
      <c r="M210">
        <v>26</v>
      </c>
      <c r="N210" t="str">
        <f>IF(A210="","", "CO-" &amp; IFERROR(VLOOKUP(B210, Catalogos!$Z$4:$AA$20, 2, FALSE), "FOL") &amp; "-" &amp; WEEKNUM(A210,2) &amp; "-" &amp; TEXT(ROW(A206),"000"))</f>
        <v>CO-PAH-26-206</v>
      </c>
    </row>
    <row r="211" spans="1:14" hidden="1">
      <c r="A211" s="2">
        <v>46202</v>
      </c>
      <c r="B211" t="s">
        <v>1</v>
      </c>
      <c r="C211" t="s">
        <v>51</v>
      </c>
      <c r="D211" t="s">
        <v>368</v>
      </c>
      <c r="E211" t="e">
        <f>VLOOKUP(#REF!,Catalogos!$V$4:$W$64,2,FALSE)</f>
        <v>#REF!</v>
      </c>
      <c r="F211" s="3">
        <v>102</v>
      </c>
      <c r="G211" s="4">
        <v>27</v>
      </c>
      <c r="H211" s="4">
        <f t="shared" si="6"/>
        <v>2754</v>
      </c>
      <c r="M211">
        <v>27</v>
      </c>
      <c r="N211" t="str">
        <f>IF(A211="","", "CO-" &amp; IFERROR(VLOOKUP(B211, Catalogos!$Z$4:$AA$20, 2, FALSE), "FOL") &amp; "-" &amp; WEEKNUM(A211,2) &amp; "-" &amp; TEXT(ROW(A207),"000"))</f>
        <v>CO-MT-27-207</v>
      </c>
    </row>
    <row r="212" spans="1:14" hidden="1">
      <c r="A212" s="2">
        <v>46202</v>
      </c>
      <c r="B212" t="s">
        <v>1</v>
      </c>
      <c r="C212" t="s">
        <v>51</v>
      </c>
      <c r="D212" t="s">
        <v>219</v>
      </c>
      <c r="E212" t="e">
        <f>VLOOKUP(#REF!,Catalogos!$V$4:$W$64,2,FALSE)</f>
        <v>#REF!</v>
      </c>
      <c r="F212" s="3">
        <v>41</v>
      </c>
      <c r="G212" s="4">
        <v>27</v>
      </c>
      <c r="H212" s="4">
        <f t="shared" si="6"/>
        <v>1107</v>
      </c>
      <c r="M212">
        <v>27</v>
      </c>
      <c r="N212" t="str">
        <f>IF(A212="","", "CO-" &amp; IFERROR(VLOOKUP(B212, Catalogos!$Z$4:$AA$20, 2, FALSE), "FOL") &amp; "-" &amp; WEEKNUM(A212,2) &amp; "-" &amp; TEXT(ROW(A208),"000"))</f>
        <v>CO-MT-27-208</v>
      </c>
    </row>
    <row r="213" spans="1:14" hidden="1">
      <c r="A213" s="2">
        <v>46202</v>
      </c>
      <c r="B213" t="s">
        <v>1</v>
      </c>
      <c r="C213" t="s">
        <v>51</v>
      </c>
      <c r="D213" t="s">
        <v>220</v>
      </c>
      <c r="E213" t="e">
        <f>VLOOKUP(#REF!,Catalogos!$V$4:$W$64,2,FALSE)</f>
        <v>#REF!</v>
      </c>
      <c r="F213" s="3">
        <v>23</v>
      </c>
      <c r="G213" s="4">
        <v>27</v>
      </c>
      <c r="H213" s="4">
        <f t="shared" si="6"/>
        <v>621</v>
      </c>
      <c r="M213">
        <v>27</v>
      </c>
      <c r="N213" t="str">
        <f>IF(A213="","", "CO-" &amp; IFERROR(VLOOKUP(B213, Catalogos!$Z$4:$AA$20, 2, FALSE), "FOL") &amp; "-" &amp; WEEKNUM(A213,2) &amp; "-" &amp; TEXT(ROW(A209),"000"))</f>
        <v>CO-MT-27-209</v>
      </c>
    </row>
    <row r="214" spans="1:14" hidden="1">
      <c r="A214" s="2">
        <v>46202</v>
      </c>
      <c r="B214" t="s">
        <v>1</v>
      </c>
      <c r="C214" t="s">
        <v>51</v>
      </c>
      <c r="D214" t="s">
        <v>228</v>
      </c>
      <c r="E214" t="e">
        <f>VLOOKUP(#REF!,Catalogos!$V$4:$W$64,2,FALSE)</f>
        <v>#REF!</v>
      </c>
      <c r="F214" s="3">
        <v>60</v>
      </c>
      <c r="G214" s="4">
        <v>27</v>
      </c>
      <c r="H214" s="4">
        <f t="shared" si="6"/>
        <v>1620</v>
      </c>
      <c r="M214">
        <v>27</v>
      </c>
      <c r="N214" t="str">
        <f>IF(A214="","", "CO-" &amp; IFERROR(VLOOKUP(B214, Catalogos!$Z$4:$AA$20, 2, FALSE), "FOL") &amp; "-" &amp; WEEKNUM(A214,2) &amp; "-" &amp; TEXT(ROW(A210),"000"))</f>
        <v>CO-MT-27-210</v>
      </c>
    </row>
    <row r="215" spans="1:14" hidden="1">
      <c r="A215" s="2">
        <v>46202</v>
      </c>
      <c r="B215" t="s">
        <v>1</v>
      </c>
      <c r="C215" t="s">
        <v>51</v>
      </c>
      <c r="D215" t="s">
        <v>215</v>
      </c>
      <c r="E215" t="e">
        <f>VLOOKUP(#REF!,Catalogos!$V$4:$W$64,2,FALSE)</f>
        <v>#REF!</v>
      </c>
      <c r="F215" s="3">
        <v>97</v>
      </c>
      <c r="G215" s="4">
        <v>27</v>
      </c>
      <c r="H215" s="4">
        <f t="shared" si="6"/>
        <v>2619</v>
      </c>
      <c r="M215">
        <v>27</v>
      </c>
      <c r="N215" t="str">
        <f>IF(A215="","", "CO-" &amp; IFERROR(VLOOKUP(B215, Catalogos!$Z$4:$AA$20, 2, FALSE), "FOL") &amp; "-" &amp; WEEKNUM(A215,2) &amp; "-" &amp; TEXT(ROW(A211),"000"))</f>
        <v>CO-MT-27-211</v>
      </c>
    </row>
    <row r="216" spans="1:14" hidden="1">
      <c r="A216" s="2">
        <v>46202</v>
      </c>
      <c r="B216" t="s">
        <v>2</v>
      </c>
      <c r="C216" t="s">
        <v>47</v>
      </c>
      <c r="D216" t="s">
        <v>365</v>
      </c>
      <c r="E216" t="e">
        <f>VLOOKUP(#REF!,Catalogos!$V$4:$W$64,2,FALSE)</f>
        <v>#REF!</v>
      </c>
      <c r="F216" s="3">
        <v>178</v>
      </c>
      <c r="G216" s="4">
        <v>27</v>
      </c>
      <c r="H216" s="4">
        <f t="shared" si="6"/>
        <v>4806</v>
      </c>
      <c r="M216">
        <v>27</v>
      </c>
      <c r="N216" t="str">
        <f>IF(A216="","", "CO-" &amp; IFERROR(VLOOKUP(B216, Catalogos!$Z$4:$AA$20, 2, FALSE), "FOL") &amp; "-" &amp; WEEKNUM(A216,2) &amp; "-" &amp; TEXT(ROW(A212),"000"))</f>
        <v>CO-LT-27-212</v>
      </c>
    </row>
    <row r="217" spans="1:14" hidden="1">
      <c r="A217" s="2">
        <v>46202</v>
      </c>
      <c r="B217" t="s">
        <v>2</v>
      </c>
      <c r="C217" t="s">
        <v>47</v>
      </c>
      <c r="D217" t="s">
        <v>221</v>
      </c>
      <c r="E217" t="e">
        <f>VLOOKUP(#REF!,Catalogos!$V$4:$W$64,2,FALSE)</f>
        <v>#REF!</v>
      </c>
      <c r="F217" s="3">
        <v>38</v>
      </c>
      <c r="G217" s="4">
        <v>27</v>
      </c>
      <c r="H217" s="4">
        <f t="shared" si="6"/>
        <v>1026</v>
      </c>
      <c r="M217">
        <v>27</v>
      </c>
      <c r="N217" t="str">
        <f>IF(A217="","", "CO-" &amp; IFERROR(VLOOKUP(B217, Catalogos!$Z$4:$AA$20, 2, FALSE), "FOL") &amp; "-" &amp; WEEKNUM(A217,2) &amp; "-" &amp; TEXT(ROW(A213),"000"))</f>
        <v>CO-LT-27-213</v>
      </c>
    </row>
    <row r="218" spans="1:14" hidden="1">
      <c r="A218" s="2">
        <v>46202</v>
      </c>
      <c r="B218" t="s">
        <v>1</v>
      </c>
      <c r="C218" t="s">
        <v>51</v>
      </c>
      <c r="D218" t="s">
        <v>383</v>
      </c>
      <c r="E218" t="e">
        <f>VLOOKUP(#REF!,Catalogos!$V$4:$W$64,2,FALSE)</f>
        <v>#REF!</v>
      </c>
      <c r="F218" s="3">
        <v>50</v>
      </c>
      <c r="G218" s="4">
        <v>27</v>
      </c>
      <c r="H218" s="4">
        <f t="shared" si="6"/>
        <v>1350</v>
      </c>
      <c r="M218">
        <v>27</v>
      </c>
      <c r="N218" t="str">
        <f>IF(A218="","", "CO-" &amp; IFERROR(VLOOKUP(B218, Catalogos!$Z$4:$AA$20, 2, FALSE), "FOL") &amp; "-" &amp; WEEKNUM(A218,2) &amp; "-" &amp; TEXT(ROW(A214),"000"))</f>
        <v>CO-MT-27-214</v>
      </c>
    </row>
    <row r="219" spans="1:14">
      <c r="A219" s="2">
        <v>46202</v>
      </c>
      <c r="B219" t="s">
        <v>124</v>
      </c>
      <c r="C219" t="s">
        <v>237</v>
      </c>
      <c r="D219" t="s">
        <v>798</v>
      </c>
      <c r="E219" t="e">
        <f>VLOOKUP(#REF!,Catalogos!$V$4:$W$64,2,FALSE)</f>
        <v>#REF!</v>
      </c>
      <c r="F219" s="3">
        <v>200</v>
      </c>
      <c r="G219" s="4">
        <v>27</v>
      </c>
      <c r="H219" s="4">
        <f t="shared" si="6"/>
        <v>5400</v>
      </c>
      <c r="M219">
        <v>27</v>
      </c>
      <c r="N219" t="str">
        <f>IF(A219="","", "CO-" &amp; IFERROR(VLOOKUP(B219, Catalogos!$Z$4:$AA$20, 2, FALSE), "FOL") &amp; "-" &amp; WEEKNUM(A219,2) &amp; "-" &amp; TEXT(ROW(A215),"000"))</f>
        <v>CO-PAH-27-215</v>
      </c>
    </row>
    <row r="220" spans="1:14">
      <c r="A220" s="2">
        <v>46202</v>
      </c>
      <c r="B220" t="s">
        <v>124</v>
      </c>
      <c r="C220" t="s">
        <v>237</v>
      </c>
      <c r="D220" t="s">
        <v>798</v>
      </c>
      <c r="E220" t="e">
        <f>VLOOKUP(#REF!,Catalogos!$V$4:$W$64,2,FALSE)</f>
        <v>#REF!</v>
      </c>
      <c r="F220" s="3">
        <v>80</v>
      </c>
      <c r="G220" s="4">
        <v>27</v>
      </c>
      <c r="H220" s="4">
        <f t="shared" ref="H220:H251" si="7">IFERROR(F220*G220,0)</f>
        <v>2160</v>
      </c>
      <c r="M220">
        <v>27</v>
      </c>
      <c r="N220" t="str">
        <f>IF(A220="","", "CO-" &amp; IFERROR(VLOOKUP(B220, Catalogos!$Z$4:$AA$20, 2, FALSE), "FOL") &amp; "-" &amp; WEEKNUM(A220,2) &amp; "-" &amp; TEXT(ROW(A216),"000"))</f>
        <v>CO-PAH-27-216</v>
      </c>
    </row>
    <row r="221" spans="1:14">
      <c r="A221" s="2">
        <v>46202</v>
      </c>
      <c r="B221" t="s">
        <v>124</v>
      </c>
      <c r="C221" t="s">
        <v>237</v>
      </c>
      <c r="D221" t="s">
        <v>240</v>
      </c>
      <c r="E221" t="e">
        <f>VLOOKUP(#REF!,Catalogos!$V$4:$W$64,2,FALSE)</f>
        <v>#REF!</v>
      </c>
      <c r="F221" s="3">
        <v>300</v>
      </c>
      <c r="G221" s="4">
        <v>27</v>
      </c>
      <c r="H221" s="4">
        <f t="shared" si="7"/>
        <v>8100</v>
      </c>
      <c r="M221">
        <v>27</v>
      </c>
      <c r="N221" t="str">
        <f>IF(A221="","", "CO-" &amp; IFERROR(VLOOKUP(B221, Catalogos!$Z$4:$AA$20, 2, FALSE), "FOL") &amp; "-" &amp; WEEKNUM(A221,2) &amp; "-" &amp; TEXT(ROW(A217),"000"))</f>
        <v>CO-PAH-27-217</v>
      </c>
    </row>
    <row r="222" spans="1:14" hidden="1">
      <c r="A222" s="2">
        <v>46202</v>
      </c>
      <c r="B222" t="s">
        <v>2</v>
      </c>
      <c r="C222" t="s">
        <v>47</v>
      </c>
      <c r="D222" t="s">
        <v>221</v>
      </c>
      <c r="E222" t="e">
        <f>VLOOKUP(#REF!,Catalogos!$V$4:$W$64,2,FALSE)</f>
        <v>#REF!</v>
      </c>
      <c r="F222" s="3">
        <v>38</v>
      </c>
      <c r="G222" s="4">
        <v>27</v>
      </c>
      <c r="H222" s="4">
        <f t="shared" si="7"/>
        <v>1026</v>
      </c>
      <c r="M222">
        <v>27</v>
      </c>
      <c r="N222" t="str">
        <f>IF(A222="","", "CO-" &amp; IFERROR(VLOOKUP(B222, Catalogos!$Z$4:$AA$20, 2, FALSE), "FOL") &amp; "-" &amp; WEEKNUM(A222,2) &amp; "-" &amp; TEXT(ROW(A218),"000"))</f>
        <v>CO-LT-27-218</v>
      </c>
    </row>
    <row r="223" spans="1:14">
      <c r="A223" s="2">
        <v>46202</v>
      </c>
      <c r="B223" t="s">
        <v>400</v>
      </c>
      <c r="C223" t="s">
        <v>237</v>
      </c>
      <c r="D223" t="s">
        <v>245</v>
      </c>
      <c r="E223" t="e">
        <f>VLOOKUP(#REF!,Catalogos!$V$4:$W$64,2,FALSE)</f>
        <v>#REF!</v>
      </c>
      <c r="F223" s="3">
        <v>210</v>
      </c>
      <c r="G223" s="4">
        <v>27</v>
      </c>
      <c r="H223" s="4">
        <f t="shared" si="7"/>
        <v>5670</v>
      </c>
      <c r="M223">
        <v>27</v>
      </c>
      <c r="N223" t="str">
        <f>IF(A223="","", "CO-" &amp; IFERROR(VLOOKUP(B223, Catalogos!$Z$4:$AA$20, 2, FALSE), "FOL") &amp; "-" &amp; WEEKNUM(A223,2) &amp; "-" &amp; TEXT(ROW(A219),"000"))</f>
        <v>CO-MP-27-219</v>
      </c>
    </row>
    <row r="224" spans="1:14">
      <c r="A224" s="2">
        <v>46202</v>
      </c>
      <c r="B224" t="s">
        <v>400</v>
      </c>
      <c r="C224" t="s">
        <v>237</v>
      </c>
      <c r="D224" t="s">
        <v>349</v>
      </c>
      <c r="E224" t="e">
        <f>VLOOKUP(#REF!,Catalogos!$V$4:$W$64,2,FALSE)</f>
        <v>#REF!</v>
      </c>
      <c r="F224" s="3">
        <v>300</v>
      </c>
      <c r="G224" s="4">
        <v>27</v>
      </c>
      <c r="H224" s="4">
        <f t="shared" si="7"/>
        <v>8100</v>
      </c>
      <c r="M224">
        <v>27</v>
      </c>
      <c r="N224" t="str">
        <f>IF(A224="","", "CO-" &amp; IFERROR(VLOOKUP(B224, Catalogos!$Z$4:$AA$20, 2, FALSE), "FOL") &amp; "-" &amp; WEEKNUM(A224,2) &amp; "-" &amp; TEXT(ROW(A220),"000"))</f>
        <v>CO-MP-27-220</v>
      </c>
    </row>
    <row r="225" spans="1:14" hidden="1">
      <c r="A225" s="2">
        <v>46202</v>
      </c>
      <c r="B225" t="s">
        <v>159</v>
      </c>
      <c r="C225" t="s">
        <v>47</v>
      </c>
      <c r="D225" t="s">
        <v>383</v>
      </c>
      <c r="E225" t="e">
        <f>VLOOKUP(#REF!,Catalogos!$V$4:$W$64,2,FALSE)</f>
        <v>#REF!</v>
      </c>
      <c r="F225" s="3">
        <v>60</v>
      </c>
      <c r="G225" s="4">
        <v>27</v>
      </c>
      <c r="H225" s="4">
        <f t="shared" si="7"/>
        <v>1620</v>
      </c>
      <c r="M225">
        <v>27</v>
      </c>
      <c r="N225" t="str">
        <f>IF(A225="","", "CO-" &amp; IFERROR(VLOOKUP(B225, Catalogos!$Z$4:$AA$20, 2, FALSE), "FOL") &amp; "-" &amp; WEEKNUM(A225,2) &amp; "-" &amp; TEXT(ROW(A221),"000"))</f>
        <v>CO-DR-27-221</v>
      </c>
    </row>
    <row r="226" spans="1:14" hidden="1">
      <c r="A226" s="2">
        <v>46202</v>
      </c>
      <c r="B226" t="s">
        <v>2</v>
      </c>
      <c r="C226" t="s">
        <v>47</v>
      </c>
      <c r="D226" t="s">
        <v>383</v>
      </c>
      <c r="E226" t="e">
        <f>VLOOKUP(#REF!,Catalogos!$V$4:$W$64,2,FALSE)</f>
        <v>#REF!</v>
      </c>
      <c r="F226" s="3">
        <v>59</v>
      </c>
      <c r="G226" s="4">
        <v>27</v>
      </c>
      <c r="H226" s="4">
        <f t="shared" si="7"/>
        <v>1593</v>
      </c>
      <c r="M226">
        <v>27</v>
      </c>
      <c r="N226" t="str">
        <f>IF(A226="","", "CO-" &amp; IFERROR(VLOOKUP(B226, Catalogos!$Z$4:$AA$20, 2, FALSE), "FOL") &amp; "-" &amp; WEEKNUM(A226,2) &amp; "-" &amp; TEXT(ROW(A222),"000"))</f>
        <v>CO-LT-27-222</v>
      </c>
    </row>
    <row r="227" spans="1:14" hidden="1">
      <c r="A227" s="2">
        <v>46202</v>
      </c>
      <c r="B227" t="s">
        <v>2</v>
      </c>
      <c r="C227" t="s">
        <v>47</v>
      </c>
      <c r="D227" t="s">
        <v>235</v>
      </c>
      <c r="E227" t="e">
        <f>VLOOKUP(#REF!,Catalogos!$V$4:$W$64,2,FALSE)</f>
        <v>#REF!</v>
      </c>
      <c r="F227" s="3">
        <v>94</v>
      </c>
      <c r="G227" s="4">
        <v>27</v>
      </c>
      <c r="H227" s="4">
        <f t="shared" si="7"/>
        <v>2538</v>
      </c>
      <c r="M227">
        <v>27</v>
      </c>
      <c r="N227" t="str">
        <f>IF(A227="","", "CO-" &amp; IFERROR(VLOOKUP(B227, Catalogos!$Z$4:$AA$20, 2, FALSE), "FOL") &amp; "-" &amp; WEEKNUM(A227,2) &amp; "-" &amp; TEXT(ROW(A223),"000"))</f>
        <v>CO-LT-27-223</v>
      </c>
    </row>
    <row r="228" spans="1:14" hidden="1">
      <c r="A228" s="2">
        <v>46202</v>
      </c>
      <c r="B228" t="s">
        <v>111</v>
      </c>
      <c r="C228" t="s">
        <v>47</v>
      </c>
      <c r="D228" t="s">
        <v>228</v>
      </c>
      <c r="E228" t="e">
        <f>VLOOKUP(#REF!,Catalogos!$V$4:$W$64,2,FALSE)</f>
        <v>#REF!</v>
      </c>
      <c r="F228" s="3">
        <v>45</v>
      </c>
      <c r="G228" s="4">
        <v>27</v>
      </c>
      <c r="H228" s="4">
        <f t="shared" si="7"/>
        <v>1215</v>
      </c>
      <c r="M228">
        <v>27</v>
      </c>
      <c r="N228" t="str">
        <f>IF(A228="","", "CO-" &amp; IFERROR(VLOOKUP(B228, Catalogos!$Z$4:$AA$20, 2, FALSE), "FOL") &amp; "-" &amp; WEEKNUM(A228,2) &amp; "-" &amp; TEXT(ROW(A224),"000"))</f>
        <v>CO-BT-27-224</v>
      </c>
    </row>
    <row r="229" spans="1:14" hidden="1">
      <c r="A229" s="2">
        <v>46203</v>
      </c>
      <c r="B229" t="s">
        <v>2</v>
      </c>
      <c r="C229" t="s">
        <v>51</v>
      </c>
      <c r="D229" t="s">
        <v>214</v>
      </c>
      <c r="E229" t="e">
        <f>VLOOKUP(#REF!,Catalogos!$V$4:$W$64,2,FALSE)</f>
        <v>#REF!</v>
      </c>
      <c r="F229" s="3">
        <v>400</v>
      </c>
      <c r="G229" s="4">
        <v>27</v>
      </c>
      <c r="H229" s="4">
        <f t="shared" si="7"/>
        <v>10800</v>
      </c>
      <c r="M229">
        <v>27</v>
      </c>
      <c r="N229" t="str">
        <f>IF(A229="","", "CO-" &amp; IFERROR(VLOOKUP(B229, Catalogos!$Z$4:$AA$20, 2, FALSE), "FOL") &amp; "-" &amp; WEEKNUM(A229,2) &amp; "-" &amp; TEXT(ROW(A225),"000"))</f>
        <v>CO-LT-27-225</v>
      </c>
    </row>
    <row r="230" spans="1:14" hidden="1">
      <c r="A230" s="2">
        <v>46203</v>
      </c>
      <c r="B230" t="s">
        <v>2</v>
      </c>
      <c r="C230" t="s">
        <v>51</v>
      </c>
      <c r="D230" t="s">
        <v>217</v>
      </c>
      <c r="E230" t="e">
        <f>VLOOKUP(#REF!,Catalogos!$V$4:$W$64,2,FALSE)</f>
        <v>#REF!</v>
      </c>
      <c r="F230" s="3">
        <v>30</v>
      </c>
      <c r="G230" s="4">
        <v>27</v>
      </c>
      <c r="H230" s="4">
        <f t="shared" si="7"/>
        <v>810</v>
      </c>
      <c r="M230">
        <v>27</v>
      </c>
      <c r="N230" t="str">
        <f>IF(A230="","", "CO-" &amp; IFERROR(VLOOKUP(B230, Catalogos!$Z$4:$AA$20, 2, FALSE), "FOL") &amp; "-" &amp; WEEKNUM(A230,2) &amp; "-" &amp; TEXT(ROW(A226),"000"))</f>
        <v>CO-LT-27-226</v>
      </c>
    </row>
    <row r="231" spans="1:14">
      <c r="A231" s="2">
        <v>46203</v>
      </c>
      <c r="B231" t="s">
        <v>124</v>
      </c>
      <c r="C231" t="s">
        <v>237</v>
      </c>
      <c r="D231" t="s">
        <v>798</v>
      </c>
      <c r="E231" t="e">
        <f>VLOOKUP(#REF!,Catalogos!$V$4:$W$64,2,FALSE)</f>
        <v>#REF!</v>
      </c>
      <c r="F231" s="3">
        <v>100</v>
      </c>
      <c r="G231" s="4">
        <v>27</v>
      </c>
      <c r="H231" s="4">
        <f t="shared" si="7"/>
        <v>2700</v>
      </c>
      <c r="M231">
        <v>27</v>
      </c>
      <c r="N231" t="str">
        <f>IF(A231="","", "CO-" &amp; IFERROR(VLOOKUP(B231, Catalogos!$Z$4:$AA$20, 2, FALSE), "FOL") &amp; "-" &amp; WEEKNUM(A231,2) &amp; "-" &amp; TEXT(ROW(A227),"000"))</f>
        <v>CO-PAH-27-227</v>
      </c>
    </row>
    <row r="232" spans="1:14" hidden="1">
      <c r="A232" s="2">
        <v>46203</v>
      </c>
      <c r="B232" t="s">
        <v>833</v>
      </c>
      <c r="C232" t="s">
        <v>47</v>
      </c>
      <c r="D232" t="s">
        <v>835</v>
      </c>
      <c r="E232" t="e">
        <f>VLOOKUP(#REF!,Catalogos!$V$4:$W$64,2,FALSE)</f>
        <v>#REF!</v>
      </c>
      <c r="F232" s="3">
        <v>50</v>
      </c>
      <c r="G232" s="4">
        <v>27</v>
      </c>
      <c r="H232" s="4">
        <f t="shared" si="7"/>
        <v>1350</v>
      </c>
      <c r="N232" t="str">
        <f>IF(A232="","", "CO-" &amp; IFERROR(VLOOKUP(B232, Catalogos!$Z$4:$AA$20, 2, FALSE), "FOL") &amp; "-" &amp; WEEKNUM(A232,2) &amp; "-" &amp; TEXT(ROW(A228),"000"))</f>
        <v>CO-FOL-27-228</v>
      </c>
    </row>
    <row r="233" spans="1:14" hidden="1">
      <c r="A233" s="2">
        <v>46203</v>
      </c>
      <c r="B233" t="s">
        <v>833</v>
      </c>
      <c r="C233" t="s">
        <v>47</v>
      </c>
      <c r="D233" t="s">
        <v>223</v>
      </c>
      <c r="E233" t="e">
        <f>VLOOKUP(#REF!,Catalogos!$V$4:$W$64,2,FALSE)</f>
        <v>#REF!</v>
      </c>
      <c r="F233" s="3">
        <v>50</v>
      </c>
      <c r="G233" s="4">
        <v>27</v>
      </c>
      <c r="H233" s="4">
        <f t="shared" si="7"/>
        <v>1350</v>
      </c>
      <c r="N233" t="str">
        <f>IF(A233="","", "CO-" &amp; IFERROR(VLOOKUP(B233, Catalogos!$Z$4:$AA$20, 2, FALSE), "FOL") &amp; "-" &amp; WEEKNUM(A233,2) &amp; "-" &amp; TEXT(ROW(A229),"000"))</f>
        <v>CO-FOL-27-229</v>
      </c>
    </row>
    <row r="234" spans="1:14" hidden="1">
      <c r="A234" s="2">
        <v>46203</v>
      </c>
      <c r="B234" t="s">
        <v>833</v>
      </c>
      <c r="C234" t="s">
        <v>47</v>
      </c>
      <c r="D234" t="s">
        <v>837</v>
      </c>
      <c r="E234" t="e">
        <f>VLOOKUP(#REF!,Catalogos!$V$4:$W$64,2,FALSE)</f>
        <v>#REF!</v>
      </c>
      <c r="F234" s="3">
        <v>100</v>
      </c>
      <c r="G234" s="4">
        <v>27</v>
      </c>
      <c r="H234" s="4">
        <f t="shared" si="7"/>
        <v>2700</v>
      </c>
      <c r="N234" t="str">
        <f>IF(A234="","", "CO-" &amp; IFERROR(VLOOKUP(B234, Catalogos!$Z$4:$AA$20, 2, FALSE), "FOL") &amp; "-" &amp; WEEKNUM(A234,2) &amp; "-" &amp; TEXT(ROW(A230),"000"))</f>
        <v>CO-FOL-27-230</v>
      </c>
    </row>
    <row r="235" spans="1:14" hidden="1">
      <c r="A235" s="2">
        <v>46203</v>
      </c>
      <c r="B235" t="s">
        <v>2</v>
      </c>
      <c r="C235" t="s">
        <v>47</v>
      </c>
      <c r="D235" t="s">
        <v>246</v>
      </c>
      <c r="E235" t="e">
        <f>VLOOKUP(#REF!,Catalogos!$V$4:$W$64,2,FALSE)</f>
        <v>#REF!</v>
      </c>
      <c r="F235" s="3">
        <v>29</v>
      </c>
      <c r="G235" s="4">
        <v>27</v>
      </c>
      <c r="H235" s="4">
        <f t="shared" si="7"/>
        <v>783</v>
      </c>
      <c r="N235" t="str">
        <f>IF(A235="","", "CO-" &amp; IFERROR(VLOOKUP(B235, Catalogos!$Z$4:$AA$20, 2, FALSE), "FOL") &amp; "-" &amp; WEEKNUM(A235,2) &amp; "-" &amp; TEXT(ROW(A231),"000"))</f>
        <v>CO-LT-27-231</v>
      </c>
    </row>
    <row r="236" spans="1:14" hidden="1">
      <c r="A236" s="2">
        <v>46204</v>
      </c>
      <c r="B236" t="s">
        <v>1</v>
      </c>
      <c r="C236" t="s">
        <v>51</v>
      </c>
      <c r="D236" t="s">
        <v>219</v>
      </c>
      <c r="E236" t="e">
        <f>VLOOKUP(#REF!,Catalogos!$V$4:$W$64,2,FALSE)</f>
        <v>#REF!</v>
      </c>
      <c r="F236" s="3">
        <v>33</v>
      </c>
      <c r="G236" s="4">
        <v>27</v>
      </c>
      <c r="H236" s="4">
        <f t="shared" si="7"/>
        <v>891</v>
      </c>
      <c r="N236" t="str">
        <f>IF(A236="","", "CO-" &amp; IFERROR(VLOOKUP(B236, Catalogos!$Z$4:$AA$20, 2, FALSE), "FOL") &amp; "-" &amp; WEEKNUM(A236,2) &amp; "-" &amp; TEXT(ROW(A232),"000"))</f>
        <v>CO-MT-27-232</v>
      </c>
    </row>
    <row r="237" spans="1:14" hidden="1">
      <c r="A237" s="2">
        <v>46204</v>
      </c>
      <c r="B237" t="s">
        <v>1</v>
      </c>
      <c r="C237" t="s">
        <v>51</v>
      </c>
      <c r="D237" t="s">
        <v>223</v>
      </c>
      <c r="E237" t="e">
        <f>VLOOKUP(#REF!,Catalogos!$V$4:$W$64,2,FALSE)</f>
        <v>#REF!</v>
      </c>
      <c r="F237" s="3">
        <v>40</v>
      </c>
      <c r="G237" s="4">
        <v>27</v>
      </c>
      <c r="H237" s="4">
        <f t="shared" si="7"/>
        <v>1080</v>
      </c>
      <c r="N237" t="str">
        <f>IF(A237="","", "CO-" &amp; IFERROR(VLOOKUP(B237, Catalogos!$Z$4:$AA$20, 2, FALSE), "FOL") &amp; "-" &amp; WEEKNUM(A237,2) &amp; "-" &amp; TEXT(ROW(A233),"000"))</f>
        <v>CO-MT-27-233</v>
      </c>
    </row>
    <row r="238" spans="1:14" hidden="1">
      <c r="A238" s="2">
        <v>46204</v>
      </c>
      <c r="B238" t="s">
        <v>1</v>
      </c>
      <c r="C238" t="s">
        <v>51</v>
      </c>
      <c r="D238" t="s">
        <v>220</v>
      </c>
      <c r="E238" t="e">
        <f>VLOOKUP(#REF!,Catalogos!$V$4:$W$64,2,FALSE)</f>
        <v>#REF!</v>
      </c>
      <c r="F238" s="3">
        <v>40</v>
      </c>
      <c r="G238" s="4">
        <v>27</v>
      </c>
      <c r="H238" s="4">
        <f t="shared" si="7"/>
        <v>1080</v>
      </c>
      <c r="N238" t="str">
        <f>IF(A238="","", "CO-" &amp; IFERROR(VLOOKUP(B238, Catalogos!$Z$4:$AA$20, 2, FALSE), "FOL") &amp; "-" &amp; WEEKNUM(A238,2) &amp; "-" &amp; TEXT(ROW(A234),"000"))</f>
        <v>CO-MT-27-234</v>
      </c>
    </row>
    <row r="239" spans="1:14" hidden="1">
      <c r="A239" s="2">
        <v>46204</v>
      </c>
      <c r="B239" t="s">
        <v>1</v>
      </c>
      <c r="C239" t="s">
        <v>51</v>
      </c>
      <c r="D239" t="s">
        <v>224</v>
      </c>
      <c r="E239" t="e">
        <f>VLOOKUP(#REF!,Catalogos!$V$4:$W$64,2,FALSE)</f>
        <v>#REF!</v>
      </c>
      <c r="F239" s="3">
        <v>40</v>
      </c>
      <c r="G239" s="4">
        <v>27</v>
      </c>
      <c r="H239" s="4">
        <f t="shared" si="7"/>
        <v>1080</v>
      </c>
      <c r="N239" t="str">
        <f>IF(A239="","", "CO-" &amp; IFERROR(VLOOKUP(B239, Catalogos!$Z$4:$AA$20, 2, FALSE), "FOL") &amp; "-" &amp; WEEKNUM(A239,2) &amp; "-" &amp; TEXT(ROW(A235),"000"))</f>
        <v>CO-MT-27-235</v>
      </c>
    </row>
    <row r="240" spans="1:14" hidden="1">
      <c r="A240" s="2">
        <v>46204</v>
      </c>
      <c r="B240" t="s">
        <v>1</v>
      </c>
      <c r="C240" t="s">
        <v>51</v>
      </c>
      <c r="D240" t="s">
        <v>367</v>
      </c>
      <c r="E240" t="e">
        <f>VLOOKUP(#REF!,Catalogos!$V$4:$W$64,2,FALSE)</f>
        <v>#REF!</v>
      </c>
      <c r="F240" s="3">
        <v>120</v>
      </c>
      <c r="G240" s="4">
        <v>27</v>
      </c>
      <c r="H240" s="4">
        <f t="shared" si="7"/>
        <v>3240</v>
      </c>
      <c r="N240" t="str">
        <f>IF(A240="","", "CO-" &amp; IFERROR(VLOOKUP(B240, Catalogos!$Z$4:$AA$20, 2, FALSE), "FOL") &amp; "-" &amp; WEEKNUM(A240,2) &amp; "-" &amp; TEXT(ROW(A236),"000"))</f>
        <v>CO-MT-27-236</v>
      </c>
    </row>
    <row r="241" spans="1:14" hidden="1">
      <c r="A241" s="2"/>
      <c r="E241" t="e">
        <f>VLOOKUP(#REF!,Catalogos!$V$4:$W$64,2,FALSE)</f>
        <v>#REF!</v>
      </c>
      <c r="F241" s="3"/>
      <c r="G241" s="4">
        <v>27</v>
      </c>
      <c r="H241" s="4">
        <f t="shared" si="7"/>
        <v>0</v>
      </c>
      <c r="N241" t="str">
        <f>IF(A241="","", "CO-" &amp; IFERROR(VLOOKUP(B241, Catalogos!$Z$4:$AA$20, 2, FALSE), "FOL") &amp; "-" &amp; WEEKNUM(A241,2) &amp; "-" &amp; TEXT(ROW(A237),"000"))</f>
        <v/>
      </c>
    </row>
    <row r="242" spans="1:14" hidden="1">
      <c r="A242" s="2"/>
      <c r="E242" t="e">
        <f>VLOOKUP(#REF!,Catalogos!$V$4:$W$64,2,FALSE)</f>
        <v>#REF!</v>
      </c>
      <c r="F242" s="3"/>
      <c r="G242" s="4">
        <v>27</v>
      </c>
      <c r="H242" s="4">
        <f t="shared" si="7"/>
        <v>0</v>
      </c>
      <c r="N242" t="str">
        <f>IF(A242="","", "CO-" &amp; IFERROR(VLOOKUP(B242, Catalogos!$Z$4:$AA$20, 2, FALSE), "FOL") &amp; "-" &amp; WEEKNUM(A242,2) &amp; "-" &amp; TEXT(ROW(A238),"000"))</f>
        <v/>
      </c>
    </row>
    <row r="243" spans="1:14" hidden="1">
      <c r="A243" s="2"/>
      <c r="E243" t="e">
        <f>VLOOKUP(#REF!,Catalogos!$V$4:$W$64,2,FALSE)</f>
        <v>#REF!</v>
      </c>
      <c r="F243" s="3"/>
      <c r="G243" s="4">
        <v>27</v>
      </c>
      <c r="H243" s="4">
        <f t="shared" si="7"/>
        <v>0</v>
      </c>
      <c r="N243" t="str">
        <f>IF(A243="","", "CO-" &amp; IFERROR(VLOOKUP(B243, Catalogos!$Z$4:$AA$20, 2, FALSE), "FOL") &amp; "-" &amp; WEEKNUM(A243,2) &amp; "-" &amp; TEXT(ROW(A239),"000"))</f>
        <v/>
      </c>
    </row>
    <row r="244" spans="1:14" hidden="1">
      <c r="A244" s="2"/>
      <c r="E244" t="e">
        <f>VLOOKUP(#REF!,Catalogos!$V$4:$W$64,2,FALSE)</f>
        <v>#REF!</v>
      </c>
      <c r="F244" s="3"/>
      <c r="G244" s="4">
        <v>27</v>
      </c>
      <c r="H244" s="4">
        <f t="shared" si="7"/>
        <v>0</v>
      </c>
    </row>
    <row r="245" spans="1:14" hidden="1">
      <c r="A245" s="2"/>
      <c r="E245" t="e">
        <f>VLOOKUP(#REF!,Catalogos!$V$4:$W$64,2,FALSE)</f>
        <v>#REF!</v>
      </c>
      <c r="F245" s="3"/>
      <c r="G245" s="4">
        <v>27</v>
      </c>
      <c r="H245" s="4">
        <f t="shared" si="7"/>
        <v>0</v>
      </c>
    </row>
    <row r="246" spans="1:14" hidden="1">
      <c r="A246" s="2"/>
      <c r="E246" t="e">
        <f>VLOOKUP(#REF!,Catalogos!$V$4:$W$64,2,FALSE)</f>
        <v>#REF!</v>
      </c>
      <c r="F246" s="3"/>
      <c r="G246" s="4">
        <v>27</v>
      </c>
      <c r="H246" s="4">
        <f t="shared" si="7"/>
        <v>0</v>
      </c>
    </row>
    <row r="247" spans="1:14" hidden="1">
      <c r="A247" s="2"/>
      <c r="E247" t="e">
        <f>VLOOKUP(#REF!,Catalogos!$V$4:$W$64,2,FALSE)</f>
        <v>#REF!</v>
      </c>
      <c r="F247" s="3"/>
      <c r="G247" s="4">
        <v>27</v>
      </c>
      <c r="H247" s="4">
        <f t="shared" si="7"/>
        <v>0</v>
      </c>
    </row>
    <row r="248" spans="1:14" hidden="1">
      <c r="A248" s="2"/>
      <c r="E248" t="e">
        <f>VLOOKUP(#REF!,Catalogos!$V$4:$W$64,2,FALSE)</f>
        <v>#REF!</v>
      </c>
      <c r="F248" s="3"/>
      <c r="G248" s="4">
        <v>27</v>
      </c>
      <c r="H248" s="4">
        <f t="shared" si="7"/>
        <v>0</v>
      </c>
    </row>
    <row r="249" spans="1:14" hidden="1">
      <c r="A249" s="2"/>
      <c r="E249" t="e">
        <f>VLOOKUP(#REF!,Catalogos!$V$4:$W$64,2,FALSE)</f>
        <v>#REF!</v>
      </c>
      <c r="F249" s="3"/>
      <c r="G249" s="4">
        <v>27</v>
      </c>
      <c r="H249" s="4">
        <f t="shared" si="7"/>
        <v>0</v>
      </c>
    </row>
    <row r="250" spans="1:14" hidden="1">
      <c r="A250" s="2"/>
      <c r="E250" t="e">
        <f>VLOOKUP(#REF!,Catalogos!$V$4:$W$64,2,FALSE)</f>
        <v>#REF!</v>
      </c>
      <c r="F250" s="3"/>
      <c r="G250" s="4">
        <v>27</v>
      </c>
      <c r="H250" s="4">
        <f t="shared" si="7"/>
        <v>0</v>
      </c>
    </row>
    <row r="251" spans="1:14" hidden="1">
      <c r="A251" s="2"/>
      <c r="E251" t="e">
        <f>VLOOKUP(#REF!,Catalogos!$V$4:$W$64,2,FALSE)</f>
        <v>#REF!</v>
      </c>
      <c r="F251" s="3"/>
      <c r="G251" s="4">
        <v>27</v>
      </c>
      <c r="H251" s="4">
        <f t="shared" si="7"/>
        <v>0</v>
      </c>
    </row>
    <row r="252" spans="1:14" hidden="1">
      <c r="A252" s="2"/>
      <c r="E252" t="e">
        <f>VLOOKUP(#REF!,Catalogos!$V$4:$W$64,2,FALSE)</f>
        <v>#REF!</v>
      </c>
      <c r="F252" s="3"/>
      <c r="G252" s="4">
        <v>27</v>
      </c>
      <c r="H252" s="4">
        <f t="shared" ref="H252:H283" si="8">IFERROR(F252*G252,0)</f>
        <v>0</v>
      </c>
    </row>
    <row r="253" spans="1:14" hidden="1">
      <c r="A253" s="2"/>
      <c r="E253" t="e">
        <f>VLOOKUP(#REF!,Catalogos!$V$4:$W$64,2,FALSE)</f>
        <v>#REF!</v>
      </c>
      <c r="F253" s="3"/>
      <c r="G253" s="4">
        <v>27</v>
      </c>
      <c r="H253" s="4">
        <f t="shared" si="8"/>
        <v>0</v>
      </c>
    </row>
    <row r="254" spans="1:14" hidden="1">
      <c r="A254" s="2"/>
      <c r="E254" t="e">
        <f>VLOOKUP(#REF!,Catalogos!$V$4:$W$64,2,FALSE)</f>
        <v>#REF!</v>
      </c>
      <c r="F254" s="3"/>
      <c r="G254" s="4">
        <v>27</v>
      </c>
      <c r="H254" s="4">
        <f t="shared" si="8"/>
        <v>0</v>
      </c>
    </row>
    <row r="255" spans="1:14" hidden="1">
      <c r="A255" s="2"/>
      <c r="E255" t="e">
        <f>VLOOKUP(#REF!,Catalogos!$V$4:$W$64,2,FALSE)</f>
        <v>#REF!</v>
      </c>
      <c r="F255" s="3"/>
      <c r="G255" s="4">
        <v>27</v>
      </c>
      <c r="H255" s="4">
        <f t="shared" si="8"/>
        <v>0</v>
      </c>
    </row>
    <row r="256" spans="1:14" hidden="1">
      <c r="A256" s="2"/>
      <c r="E256" t="e">
        <f>VLOOKUP(#REF!,Catalogos!$V$4:$W$64,2,FALSE)</f>
        <v>#REF!</v>
      </c>
      <c r="F256" s="3"/>
      <c r="G256" s="4">
        <v>27</v>
      </c>
      <c r="H256" s="4">
        <f t="shared" si="8"/>
        <v>0</v>
      </c>
    </row>
    <row r="257" spans="1:8" hidden="1">
      <c r="A257" s="2"/>
      <c r="E257" t="e">
        <f>VLOOKUP(#REF!,Catalogos!$V$4:$W$64,2,FALSE)</f>
        <v>#REF!</v>
      </c>
      <c r="F257" s="3"/>
      <c r="G257" s="4">
        <v>27</v>
      </c>
      <c r="H257" s="4">
        <f t="shared" si="8"/>
        <v>0</v>
      </c>
    </row>
    <row r="258" spans="1:8" hidden="1">
      <c r="A258" s="2"/>
      <c r="E258" t="e">
        <f>VLOOKUP(#REF!,Catalogos!$V$4:$W$64,2,FALSE)</f>
        <v>#REF!</v>
      </c>
      <c r="F258" s="3"/>
      <c r="G258" s="4">
        <v>27</v>
      </c>
      <c r="H258" s="4">
        <f t="shared" si="8"/>
        <v>0</v>
      </c>
    </row>
    <row r="259" spans="1:8" hidden="1">
      <c r="A259" s="2"/>
      <c r="E259" t="e">
        <f>VLOOKUP(#REF!,Catalogos!$V$4:$W$64,2,FALSE)</f>
        <v>#REF!</v>
      </c>
      <c r="F259" s="3"/>
      <c r="G259" s="4">
        <v>27</v>
      </c>
      <c r="H259" s="4">
        <f t="shared" si="8"/>
        <v>0</v>
      </c>
    </row>
    <row r="260" spans="1:8" hidden="1">
      <c r="A260" s="2"/>
      <c r="E260" t="e">
        <f>VLOOKUP(#REF!,Catalogos!$V$4:$W$64,2,FALSE)</f>
        <v>#REF!</v>
      </c>
      <c r="F260" s="3"/>
      <c r="G260" s="4">
        <v>27</v>
      </c>
      <c r="H260" s="4">
        <f t="shared" si="8"/>
        <v>0</v>
      </c>
    </row>
    <row r="261" spans="1:8" hidden="1">
      <c r="A261" s="2"/>
      <c r="E261" t="e">
        <f>VLOOKUP(#REF!,Catalogos!$V$4:$W$64,2,FALSE)</f>
        <v>#REF!</v>
      </c>
      <c r="F261" s="3"/>
      <c r="G261" s="4">
        <v>27</v>
      </c>
      <c r="H261" s="4">
        <f t="shared" si="8"/>
        <v>0</v>
      </c>
    </row>
    <row r="262" spans="1:8" hidden="1">
      <c r="A262" s="2"/>
      <c r="E262" t="e">
        <f>VLOOKUP(#REF!,Catalogos!$V$4:$W$64,2,FALSE)</f>
        <v>#REF!</v>
      </c>
      <c r="F262" s="3"/>
      <c r="G262" s="4">
        <v>27</v>
      </c>
      <c r="H262" s="4">
        <f t="shared" si="8"/>
        <v>0</v>
      </c>
    </row>
    <row r="263" spans="1:8" hidden="1">
      <c r="A263" s="2"/>
      <c r="E263" t="e">
        <f>VLOOKUP(#REF!,Catalogos!$V$4:$W$64,2,FALSE)</f>
        <v>#REF!</v>
      </c>
      <c r="F263" s="3"/>
      <c r="G263" s="4">
        <v>27</v>
      </c>
      <c r="H263" s="4">
        <f t="shared" si="8"/>
        <v>0</v>
      </c>
    </row>
    <row r="264" spans="1:8" hidden="1">
      <c r="A264" s="2"/>
      <c r="E264" t="e">
        <f>VLOOKUP(#REF!,Catalogos!$V$4:$W$64,2,FALSE)</f>
        <v>#REF!</v>
      </c>
      <c r="F264" s="3"/>
      <c r="G264" s="4">
        <v>27</v>
      </c>
      <c r="H264" s="4">
        <f t="shared" si="8"/>
        <v>0</v>
      </c>
    </row>
    <row r="265" spans="1:8" hidden="1">
      <c r="A265" s="2"/>
      <c r="E265" t="e">
        <f>VLOOKUP(#REF!,Catalogos!$V$4:$W$64,2,FALSE)</f>
        <v>#REF!</v>
      </c>
      <c r="F265" s="3"/>
      <c r="G265" s="4">
        <v>27</v>
      </c>
      <c r="H265" s="4">
        <f t="shared" si="8"/>
        <v>0</v>
      </c>
    </row>
    <row r="266" spans="1:8" hidden="1">
      <c r="A266" s="2"/>
      <c r="E266" t="e">
        <f>VLOOKUP(#REF!,Catalogos!$V$4:$W$64,2,FALSE)</f>
        <v>#REF!</v>
      </c>
      <c r="F266" s="3"/>
      <c r="G266" s="4">
        <v>27</v>
      </c>
      <c r="H266" s="4">
        <f t="shared" si="8"/>
        <v>0</v>
      </c>
    </row>
    <row r="267" spans="1:8" hidden="1">
      <c r="A267" s="2"/>
      <c r="E267" t="e">
        <f>VLOOKUP(#REF!,Catalogos!$V$4:$W$64,2,FALSE)</f>
        <v>#REF!</v>
      </c>
      <c r="F267" s="3"/>
      <c r="G267" s="4">
        <v>27</v>
      </c>
      <c r="H267" s="4">
        <f t="shared" si="8"/>
        <v>0</v>
      </c>
    </row>
    <row r="268" spans="1:8" hidden="1">
      <c r="A268" s="2"/>
      <c r="E268" t="e">
        <f>VLOOKUP(#REF!,Catalogos!$V$4:$W$64,2,FALSE)</f>
        <v>#REF!</v>
      </c>
      <c r="F268" s="3"/>
      <c r="G268" s="4">
        <v>27</v>
      </c>
      <c r="H268" s="4">
        <f t="shared" si="8"/>
        <v>0</v>
      </c>
    </row>
    <row r="269" spans="1:8" hidden="1">
      <c r="A269" s="2"/>
      <c r="E269" t="e">
        <f>VLOOKUP(#REF!,Catalogos!$V$4:$W$64,2,FALSE)</f>
        <v>#REF!</v>
      </c>
      <c r="F269" s="3"/>
      <c r="G269" s="4">
        <v>27</v>
      </c>
      <c r="H269" s="4">
        <f t="shared" si="8"/>
        <v>0</v>
      </c>
    </row>
    <row r="270" spans="1:8" hidden="1">
      <c r="A270" s="2"/>
      <c r="E270" t="e">
        <f>VLOOKUP(#REF!,Catalogos!$V$4:$W$64,2,FALSE)</f>
        <v>#REF!</v>
      </c>
      <c r="F270" s="3"/>
      <c r="G270" s="4">
        <v>27</v>
      </c>
      <c r="H270" s="4">
        <f t="shared" si="8"/>
        <v>0</v>
      </c>
    </row>
    <row r="271" spans="1:8" hidden="1">
      <c r="A271" s="2"/>
      <c r="E271" t="e">
        <f>VLOOKUP(#REF!,Catalogos!$V$4:$W$64,2,FALSE)</f>
        <v>#REF!</v>
      </c>
      <c r="F271" s="3"/>
      <c r="G271" s="4">
        <v>27</v>
      </c>
      <c r="H271" s="4">
        <f t="shared" si="8"/>
        <v>0</v>
      </c>
    </row>
    <row r="272" spans="1:8" hidden="1">
      <c r="A272" s="2"/>
      <c r="E272" t="e">
        <f>VLOOKUP(#REF!,Catalogos!$V$4:$W$64,2,FALSE)</f>
        <v>#REF!</v>
      </c>
      <c r="F272" s="3"/>
      <c r="G272" s="4">
        <v>27</v>
      </c>
      <c r="H272" s="4">
        <f t="shared" si="8"/>
        <v>0</v>
      </c>
    </row>
    <row r="273" spans="1:8" hidden="1">
      <c r="A273" s="2"/>
      <c r="E273" t="e">
        <f>VLOOKUP(#REF!,Catalogos!$V$4:$W$64,2,FALSE)</f>
        <v>#REF!</v>
      </c>
      <c r="F273" s="3"/>
      <c r="G273" s="4">
        <v>27</v>
      </c>
      <c r="H273" s="4">
        <f t="shared" si="8"/>
        <v>0</v>
      </c>
    </row>
    <row r="274" spans="1:8" hidden="1">
      <c r="A274" s="2"/>
      <c r="E274" t="e">
        <f>VLOOKUP(#REF!,Catalogos!$V$4:$W$64,2,FALSE)</f>
        <v>#REF!</v>
      </c>
      <c r="F274" s="3"/>
      <c r="G274" s="4">
        <v>27</v>
      </c>
      <c r="H274" s="4">
        <f t="shared" si="8"/>
        <v>0</v>
      </c>
    </row>
    <row r="275" spans="1:8" hidden="1">
      <c r="A275" s="2"/>
      <c r="E275" t="e">
        <f>VLOOKUP(#REF!,Catalogos!$V$4:$W$64,2,FALSE)</f>
        <v>#REF!</v>
      </c>
      <c r="F275" s="3"/>
      <c r="G275" s="4">
        <v>27</v>
      </c>
      <c r="H275" s="4">
        <f t="shared" si="8"/>
        <v>0</v>
      </c>
    </row>
    <row r="276" spans="1:8" hidden="1">
      <c r="A276" s="2"/>
      <c r="E276" t="e">
        <f>VLOOKUP(#REF!,Catalogos!$V$4:$W$64,2,FALSE)</f>
        <v>#REF!</v>
      </c>
      <c r="F276" s="3"/>
      <c r="G276" s="4">
        <v>27</v>
      </c>
      <c r="H276" s="4">
        <f t="shared" si="8"/>
        <v>0</v>
      </c>
    </row>
    <row r="277" spans="1:8" hidden="1">
      <c r="A277" s="2"/>
      <c r="E277" t="e">
        <f>VLOOKUP(#REF!,Catalogos!$V$4:$W$64,2,FALSE)</f>
        <v>#REF!</v>
      </c>
      <c r="F277" s="3"/>
      <c r="G277" s="4">
        <v>27</v>
      </c>
      <c r="H277" s="4">
        <f t="shared" si="8"/>
        <v>0</v>
      </c>
    </row>
    <row r="278" spans="1:8" hidden="1">
      <c r="A278" s="2"/>
      <c r="E278" t="e">
        <f>VLOOKUP(#REF!,Catalogos!$V$4:$W$64,2,FALSE)</f>
        <v>#REF!</v>
      </c>
      <c r="F278" s="3"/>
      <c r="G278" s="4">
        <v>27</v>
      </c>
      <c r="H278" s="4">
        <f t="shared" si="8"/>
        <v>0</v>
      </c>
    </row>
    <row r="279" spans="1:8" hidden="1">
      <c r="A279" s="2"/>
      <c r="E279" t="e">
        <f>VLOOKUP(#REF!,Catalogos!$V$4:$W$64,2,FALSE)</f>
        <v>#REF!</v>
      </c>
      <c r="F279" s="3"/>
      <c r="G279" s="4">
        <v>27</v>
      </c>
      <c r="H279" s="4">
        <f t="shared" si="8"/>
        <v>0</v>
      </c>
    </row>
    <row r="280" spans="1:8" hidden="1">
      <c r="A280" s="2"/>
      <c r="E280" t="e">
        <f>VLOOKUP(#REF!,Catalogos!$V$4:$W$64,2,FALSE)</f>
        <v>#REF!</v>
      </c>
      <c r="F280" s="3"/>
      <c r="G280" s="4">
        <v>27</v>
      </c>
      <c r="H280" s="4">
        <f t="shared" si="8"/>
        <v>0</v>
      </c>
    </row>
    <row r="281" spans="1:8" hidden="1">
      <c r="A281" s="2"/>
      <c r="E281" t="e">
        <f>VLOOKUP(#REF!,Catalogos!$V$4:$W$64,2,FALSE)</f>
        <v>#REF!</v>
      </c>
      <c r="F281" s="3"/>
      <c r="G281" s="4">
        <v>27</v>
      </c>
      <c r="H281" s="4">
        <f t="shared" si="8"/>
        <v>0</v>
      </c>
    </row>
    <row r="282" spans="1:8" hidden="1">
      <c r="A282" s="2"/>
      <c r="E282" t="e">
        <f>VLOOKUP(#REF!,Catalogos!$V$4:$W$64,2,FALSE)</f>
        <v>#REF!</v>
      </c>
      <c r="F282" s="3"/>
      <c r="G282" s="4">
        <v>27</v>
      </c>
      <c r="H282" s="4">
        <f t="shared" si="8"/>
        <v>0</v>
      </c>
    </row>
    <row r="283" spans="1:8" hidden="1">
      <c r="A283" s="2"/>
      <c r="E283" t="e">
        <f>VLOOKUP(#REF!,Catalogos!$V$4:$W$64,2,FALSE)</f>
        <v>#REF!</v>
      </c>
      <c r="F283" s="3"/>
      <c r="G283" s="4">
        <v>27</v>
      </c>
      <c r="H283" s="4">
        <f t="shared" si="8"/>
        <v>0</v>
      </c>
    </row>
    <row r="284" spans="1:8" hidden="1">
      <c r="A284" s="2"/>
      <c r="E284" t="e">
        <f>VLOOKUP(#REF!,Catalogos!$V$4:$W$64,2,FALSE)</f>
        <v>#REF!</v>
      </c>
      <c r="F284" s="3"/>
      <c r="G284" s="4">
        <v>27</v>
      </c>
      <c r="H284" s="4">
        <f t="shared" ref="H284:H305" si="9">IFERROR(F284*G284,0)</f>
        <v>0</v>
      </c>
    </row>
    <row r="285" spans="1:8" hidden="1">
      <c r="A285" s="2"/>
      <c r="E285" t="e">
        <f>VLOOKUP(#REF!,Catalogos!$V$4:$W$64,2,FALSE)</f>
        <v>#REF!</v>
      </c>
      <c r="F285" s="3"/>
      <c r="G285" s="4">
        <v>27</v>
      </c>
      <c r="H285" s="4">
        <f t="shared" si="9"/>
        <v>0</v>
      </c>
    </row>
    <row r="286" spans="1:8" hidden="1">
      <c r="A286" s="2"/>
      <c r="E286" t="e">
        <f>VLOOKUP(#REF!,Catalogos!$V$4:$W$64,2,FALSE)</f>
        <v>#REF!</v>
      </c>
      <c r="F286" s="3"/>
      <c r="G286" s="4">
        <v>27</v>
      </c>
      <c r="H286" s="4">
        <f t="shared" si="9"/>
        <v>0</v>
      </c>
    </row>
    <row r="287" spans="1:8" hidden="1">
      <c r="A287" s="2"/>
      <c r="E287" t="e">
        <f>VLOOKUP(#REF!,Catalogos!$V$4:$W$64,2,FALSE)</f>
        <v>#REF!</v>
      </c>
      <c r="F287" s="3"/>
      <c r="G287" s="4">
        <v>27</v>
      </c>
      <c r="H287" s="4">
        <f t="shared" si="9"/>
        <v>0</v>
      </c>
    </row>
    <row r="288" spans="1:8" hidden="1">
      <c r="A288" s="2"/>
      <c r="E288" t="e">
        <f>VLOOKUP(#REF!,Catalogos!$V$4:$W$64,2,FALSE)</f>
        <v>#REF!</v>
      </c>
      <c r="F288" s="3"/>
      <c r="G288" s="4">
        <v>27</v>
      </c>
      <c r="H288" s="4">
        <f t="shared" si="9"/>
        <v>0</v>
      </c>
    </row>
    <row r="289" spans="1:8" hidden="1">
      <c r="A289" s="2"/>
      <c r="E289" t="e">
        <f>VLOOKUP(#REF!,Catalogos!$V$4:$W$64,2,FALSE)</f>
        <v>#REF!</v>
      </c>
      <c r="F289" s="3"/>
      <c r="G289" s="4">
        <v>27</v>
      </c>
      <c r="H289" s="4">
        <f t="shared" si="9"/>
        <v>0</v>
      </c>
    </row>
    <row r="290" spans="1:8" hidden="1">
      <c r="A290" s="2"/>
      <c r="E290" t="e">
        <f>VLOOKUP(#REF!,Catalogos!$V$4:$W$64,2,FALSE)</f>
        <v>#REF!</v>
      </c>
      <c r="F290" s="3"/>
      <c r="G290" s="4">
        <v>27</v>
      </c>
      <c r="H290" s="4">
        <f t="shared" si="9"/>
        <v>0</v>
      </c>
    </row>
    <row r="291" spans="1:8" hidden="1">
      <c r="A291" s="2"/>
      <c r="E291" t="e">
        <f>VLOOKUP(#REF!,Catalogos!$V$4:$W$64,2,FALSE)</f>
        <v>#REF!</v>
      </c>
      <c r="F291" s="3"/>
      <c r="G291" s="4">
        <v>27</v>
      </c>
      <c r="H291" s="4">
        <f t="shared" si="9"/>
        <v>0</v>
      </c>
    </row>
    <row r="292" spans="1:8" hidden="1">
      <c r="A292" s="2"/>
      <c r="E292" t="e">
        <f>VLOOKUP(#REF!,Catalogos!$V$4:$W$64,2,FALSE)</f>
        <v>#REF!</v>
      </c>
      <c r="F292" s="3"/>
      <c r="G292" s="4">
        <v>27</v>
      </c>
      <c r="H292" s="4">
        <f t="shared" si="9"/>
        <v>0</v>
      </c>
    </row>
    <row r="293" spans="1:8" hidden="1">
      <c r="A293" s="2"/>
      <c r="E293" t="e">
        <f>VLOOKUP(#REF!,Catalogos!$V$4:$W$64,2,FALSE)</f>
        <v>#REF!</v>
      </c>
      <c r="F293" s="3"/>
      <c r="G293" s="4">
        <v>27</v>
      </c>
      <c r="H293" s="4">
        <f t="shared" si="9"/>
        <v>0</v>
      </c>
    </row>
    <row r="294" spans="1:8" hidden="1">
      <c r="A294" s="2"/>
      <c r="E294" t="e">
        <f>VLOOKUP(#REF!,Catalogos!$V$4:$W$64,2,FALSE)</f>
        <v>#REF!</v>
      </c>
      <c r="F294" s="3"/>
      <c r="G294" s="4">
        <v>27</v>
      </c>
      <c r="H294" s="4">
        <f t="shared" si="9"/>
        <v>0</v>
      </c>
    </row>
    <row r="295" spans="1:8" hidden="1">
      <c r="A295" s="2"/>
      <c r="E295" t="e">
        <f>VLOOKUP(#REF!,Catalogos!$V$4:$W$64,2,FALSE)</f>
        <v>#REF!</v>
      </c>
      <c r="F295" s="3"/>
      <c r="G295" s="4">
        <v>27</v>
      </c>
      <c r="H295" s="4">
        <f t="shared" si="9"/>
        <v>0</v>
      </c>
    </row>
    <row r="296" spans="1:8" hidden="1">
      <c r="A296" s="2"/>
      <c r="E296" t="e">
        <f>VLOOKUP(#REF!,Catalogos!$V$4:$W$64,2,FALSE)</f>
        <v>#REF!</v>
      </c>
      <c r="F296" s="3"/>
      <c r="G296" s="4">
        <v>27</v>
      </c>
      <c r="H296" s="4">
        <f t="shared" si="9"/>
        <v>0</v>
      </c>
    </row>
    <row r="297" spans="1:8" hidden="1">
      <c r="A297" s="2"/>
      <c r="E297" t="e">
        <f>VLOOKUP(#REF!,Catalogos!$V$4:$W$64,2,FALSE)</f>
        <v>#REF!</v>
      </c>
      <c r="F297" s="3"/>
      <c r="G297" s="4">
        <v>27</v>
      </c>
      <c r="H297" s="4">
        <f t="shared" si="9"/>
        <v>0</v>
      </c>
    </row>
    <row r="298" spans="1:8" hidden="1">
      <c r="A298" s="2"/>
      <c r="E298" t="e">
        <f>VLOOKUP(#REF!,Catalogos!$V$4:$W$64,2,FALSE)</f>
        <v>#REF!</v>
      </c>
      <c r="F298" s="3"/>
      <c r="G298" s="4">
        <v>27</v>
      </c>
      <c r="H298" s="4">
        <f t="shared" si="9"/>
        <v>0</v>
      </c>
    </row>
    <row r="299" spans="1:8" hidden="1">
      <c r="A299" s="2"/>
      <c r="E299" t="e">
        <f>VLOOKUP(#REF!,Catalogos!$V$4:$W$64,2,FALSE)</f>
        <v>#REF!</v>
      </c>
      <c r="F299" s="3"/>
      <c r="G299" s="4">
        <v>27</v>
      </c>
      <c r="H299" s="4">
        <f t="shared" si="9"/>
        <v>0</v>
      </c>
    </row>
    <row r="300" spans="1:8" hidden="1">
      <c r="A300" s="2"/>
      <c r="E300" t="e">
        <f>VLOOKUP(#REF!,Catalogos!$V$4:$W$64,2,FALSE)</f>
        <v>#REF!</v>
      </c>
      <c r="F300" s="3"/>
      <c r="G300" s="4">
        <v>27</v>
      </c>
      <c r="H300" s="4">
        <f t="shared" si="9"/>
        <v>0</v>
      </c>
    </row>
    <row r="301" spans="1:8" hidden="1">
      <c r="A301" s="2"/>
      <c r="E301" t="e">
        <f>VLOOKUP(#REF!,Catalogos!$V$4:$W$64,2,FALSE)</f>
        <v>#REF!</v>
      </c>
      <c r="F301" s="3"/>
      <c r="G301" s="4">
        <v>27</v>
      </c>
      <c r="H301" s="4">
        <f t="shared" si="9"/>
        <v>0</v>
      </c>
    </row>
    <row r="302" spans="1:8" hidden="1">
      <c r="A302" s="2"/>
      <c r="E302" t="e">
        <f>VLOOKUP(#REF!,Catalogos!$V$4:$W$64,2,FALSE)</f>
        <v>#REF!</v>
      </c>
      <c r="F302" s="3"/>
      <c r="G302" s="4">
        <v>27</v>
      </c>
      <c r="H302" s="4">
        <f t="shared" si="9"/>
        <v>0</v>
      </c>
    </row>
    <row r="303" spans="1:8" hidden="1">
      <c r="A303" s="2"/>
      <c r="E303" t="e">
        <f>VLOOKUP(#REF!,Catalogos!$V$4:$W$64,2,FALSE)</f>
        <v>#REF!</v>
      </c>
      <c r="F303" s="3"/>
      <c r="G303" s="4">
        <v>27</v>
      </c>
      <c r="H303" s="4">
        <f t="shared" si="9"/>
        <v>0</v>
      </c>
    </row>
    <row r="304" spans="1:8" hidden="1">
      <c r="A304" s="2"/>
      <c r="E304" t="e">
        <f>VLOOKUP(#REF!,Catalogos!$V$4:$W$64,2,FALSE)</f>
        <v>#REF!</v>
      </c>
      <c r="F304" s="3"/>
      <c r="G304" s="4">
        <v>27</v>
      </c>
      <c r="H304" s="4">
        <f t="shared" si="9"/>
        <v>0</v>
      </c>
    </row>
    <row r="305" spans="1:8" hidden="1">
      <c r="A305" s="2"/>
      <c r="E305" t="e">
        <f>VLOOKUP(#REF!,Catalogos!$V$4:$W$64,2,FALSE)</f>
        <v>#REF!</v>
      </c>
      <c r="F305" s="3"/>
      <c r="G305" s="4">
        <v>27</v>
      </c>
      <c r="H305" s="4">
        <f t="shared" si="9"/>
        <v>0</v>
      </c>
    </row>
    <row r="306" spans="1:8" hidden="1">
      <c r="G306" s="4">
        <v>27</v>
      </c>
    </row>
    <row r="307" spans="1:8" hidden="1">
      <c r="G307" s="4">
        <v>27</v>
      </c>
    </row>
    <row r="310" spans="1:8">
      <c r="F310" s="3"/>
    </row>
  </sheetData>
  <autoFilter ref="A4:O307" xr:uid="{00000000-0001-0000-0300-000000000000}">
    <filterColumn colId="1">
      <filters>
        <filter val="Maquinaria Pegaso"/>
        <filter val="Planta Asfalto Pegaso"/>
        <filter val="Planta Asflato Huixquilucan"/>
      </filters>
    </filterColumn>
    <filterColumn colId="2">
      <filters>
        <filter val="BIDONES"/>
        <filter val="Tanque Pegaso"/>
      </filters>
    </filterColumn>
  </autoFilter>
  <mergeCells count="1"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0"/>
  <sheetViews>
    <sheetView workbookViewId="0"/>
  </sheetViews>
  <sheetFormatPr baseColWidth="10" defaultRowHeight="13.8"/>
  <sheetData>
    <row r="1" spans="1:14" ht="17.399999999999999">
      <c r="A1" s="17844" t="s">
        <v>20</v>
      </c>
    </row>
    <row r="2" spans="1:14">
      <c r="A2" t="s">
        <v>21</v>
      </c>
      <c r="C2" t="s">
        <v>6</v>
      </c>
      <c r="E2" t="s">
        <v>7</v>
      </c>
      <c r="G2" t="s">
        <v>22</v>
      </c>
      <c r="H2" t="s">
        <v>23</v>
      </c>
      <c r="I2" t="s">
        <v>24</v>
      </c>
    </row>
    <row r="4" spans="1:14" ht="27.6">
      <c r="A4" s="1" t="s">
        <v>11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29</v>
      </c>
      <c r="L4" s="1" t="s">
        <v>19</v>
      </c>
      <c r="M4" t="s">
        <v>408</v>
      </c>
      <c r="N4" t="s">
        <v>410</v>
      </c>
    </row>
    <row r="5" spans="1:14">
      <c r="A5" s="2">
        <v>46181</v>
      </c>
      <c r="B5" t="s">
        <v>171</v>
      </c>
      <c r="C5" t="s">
        <v>1</v>
      </c>
      <c r="D5" t="s">
        <v>85</v>
      </c>
      <c r="E5" t="e">
        <f>VLOOKUP(#REF!,Catalogos!$V$4:$W$64,2,FALSE)</f>
        <v>#REF!</v>
      </c>
      <c r="F5" s="3">
        <v>0</v>
      </c>
      <c r="G5" s="6">
        <v>30</v>
      </c>
      <c r="H5" s="3">
        <f t="shared" ref="H5:H36" si="0">IF(ROW()=5,F5-G5,H4+F5-G5)</f>
        <v>-30</v>
      </c>
      <c r="I5" s="4">
        <v>28.3</v>
      </c>
      <c r="J5" s="4">
        <f t="shared" ref="J5:J36" si="1">IFERROR((F5+G5)*I5,0)</f>
        <v>849</v>
      </c>
      <c r="M5">
        <f t="shared" ref="M5:M68" si="2">IF(A5="","", WEEKNUM(A5, 2))</f>
        <v>24</v>
      </c>
      <c r="N5" t="str">
        <f>IF(A5="","", "CM-" &amp; IFERROR(VLOOKUP(C5, Catalogos!$Z$4:$AA$20, 2, FALSE), "FOL") &amp; "-" &amp; WEEKNUM(A5,2) &amp; "-" &amp; TEXT(ROW(A1),"000"))</f>
        <v>CM-MT-24-001</v>
      </c>
    </row>
    <row r="6" spans="1:14">
      <c r="A6" s="2">
        <v>46181</v>
      </c>
      <c r="B6" t="s">
        <v>171</v>
      </c>
      <c r="C6" t="s">
        <v>1</v>
      </c>
      <c r="D6" t="s">
        <v>48</v>
      </c>
      <c r="E6" t="e">
        <f>VLOOKUP(#REF!,Catalogos!$V$4:$W$64,2,FALSE)</f>
        <v>#REF!</v>
      </c>
      <c r="F6" s="3"/>
      <c r="G6" s="6">
        <v>32</v>
      </c>
      <c r="H6" s="3">
        <f t="shared" si="0"/>
        <v>-62</v>
      </c>
      <c r="I6" s="4">
        <v>28.3</v>
      </c>
      <c r="J6" s="4">
        <f t="shared" si="1"/>
        <v>905.6</v>
      </c>
      <c r="M6">
        <f t="shared" si="2"/>
        <v>24</v>
      </c>
      <c r="N6" t="str">
        <f>IF(A6="","", "CM-" &amp; IFERROR(VLOOKUP(C6, Catalogos!$Z$4:$AA$20, 2, FALSE), "FOL") &amp; "-" &amp; WEEKNUM(A6,2) &amp; "-" &amp; TEXT(ROW(A2),"000"))</f>
        <v>CM-MT-24-002</v>
      </c>
    </row>
    <row r="7" spans="1:14">
      <c r="A7" s="2">
        <v>46181</v>
      </c>
      <c r="B7" t="s">
        <v>171</v>
      </c>
      <c r="C7" t="s">
        <v>1</v>
      </c>
      <c r="D7" t="s">
        <v>69</v>
      </c>
      <c r="E7" t="e">
        <f>VLOOKUP(#REF!,Catalogos!$V$4:$W$64,2,FALSE)</f>
        <v>#REF!</v>
      </c>
      <c r="F7" s="3"/>
      <c r="G7" s="6">
        <v>277</v>
      </c>
      <c r="H7" s="3">
        <f t="shared" si="0"/>
        <v>-339</v>
      </c>
      <c r="I7" s="4">
        <v>28.3</v>
      </c>
      <c r="J7" s="4">
        <f t="shared" si="1"/>
        <v>7839.1</v>
      </c>
      <c r="M7">
        <f t="shared" si="2"/>
        <v>24</v>
      </c>
      <c r="N7" t="str">
        <f>IF(A7="","", "CM-" &amp; IFERROR(VLOOKUP(C7, Catalogos!$Z$4:$AA$20, 2, FALSE), "FOL") &amp; "-" &amp; WEEKNUM(A7,2) &amp; "-" &amp; TEXT(ROW(A3),"000"))</f>
        <v>CM-MT-24-003</v>
      </c>
    </row>
    <row r="8" spans="1:14">
      <c r="A8" s="2">
        <v>46181</v>
      </c>
      <c r="B8" t="s">
        <v>171</v>
      </c>
      <c r="C8" t="s">
        <v>1</v>
      </c>
      <c r="D8" t="s">
        <v>56</v>
      </c>
      <c r="E8" t="e">
        <f>VLOOKUP(#REF!,Catalogos!$V$4:$W$64,2,FALSE)</f>
        <v>#REF!</v>
      </c>
      <c r="F8" s="3"/>
      <c r="G8" s="6">
        <v>30</v>
      </c>
      <c r="H8" s="3">
        <f t="shared" si="0"/>
        <v>-369</v>
      </c>
      <c r="I8" s="4">
        <v>28.3</v>
      </c>
      <c r="J8" s="4">
        <f t="shared" si="1"/>
        <v>849</v>
      </c>
      <c r="M8">
        <f t="shared" si="2"/>
        <v>24</v>
      </c>
      <c r="N8" t="str">
        <f>IF(A8="","", "CM-" &amp; IFERROR(VLOOKUP(C8, Catalogos!$Z$4:$AA$20, 2, FALSE), "FOL") &amp; "-" &amp; WEEKNUM(A8,2) &amp; "-" &amp; TEXT(ROW(A4),"000"))</f>
        <v>CM-MT-24-004</v>
      </c>
    </row>
    <row r="9" spans="1:14">
      <c r="A9" s="2">
        <v>46181</v>
      </c>
      <c r="B9" t="s">
        <v>171</v>
      </c>
      <c r="C9" t="s">
        <v>2</v>
      </c>
      <c r="D9" t="s">
        <v>65</v>
      </c>
      <c r="E9" t="e">
        <f>VLOOKUP(#REF!,Catalogos!$V$4:$W$64,2,FALSE)</f>
        <v>#REF!</v>
      </c>
      <c r="F9" s="3"/>
      <c r="G9" s="6">
        <v>97</v>
      </c>
      <c r="H9" s="3">
        <f t="shared" si="0"/>
        <v>-466</v>
      </c>
      <c r="I9" s="4">
        <v>28.3</v>
      </c>
      <c r="J9" s="4">
        <f t="shared" si="1"/>
        <v>2745.1</v>
      </c>
      <c r="M9">
        <f t="shared" si="2"/>
        <v>24</v>
      </c>
      <c r="N9" t="str">
        <f>IF(A9="","", "CM-" &amp; IFERROR(VLOOKUP(C9, Catalogos!$Z$4:$AA$20, 2, FALSE), "FOL") &amp; "-" &amp; WEEKNUM(A9,2) &amp; "-" &amp; TEXT(ROW(A5),"000"))</f>
        <v>CM-LT-24-005</v>
      </c>
    </row>
    <row r="10" spans="1:14">
      <c r="A10" s="2">
        <v>46181</v>
      </c>
      <c r="B10" t="s">
        <v>171</v>
      </c>
      <c r="C10" t="s">
        <v>3</v>
      </c>
      <c r="D10" t="s">
        <v>76</v>
      </c>
      <c r="E10" t="e">
        <f>VLOOKUP(#REF!,Catalogos!$V$4:$W$64,2,FALSE)</f>
        <v>#REF!</v>
      </c>
      <c r="F10" s="3"/>
      <c r="G10" s="6">
        <v>198</v>
      </c>
      <c r="H10" s="3">
        <f t="shared" si="0"/>
        <v>-664</v>
      </c>
      <c r="I10" s="4">
        <v>28.3</v>
      </c>
      <c r="J10" s="4">
        <f t="shared" si="1"/>
        <v>5603.4000000000005</v>
      </c>
      <c r="M10">
        <f t="shared" si="2"/>
        <v>24</v>
      </c>
      <c r="N10" t="str">
        <f>IF(A10="","", "CM-" &amp; IFERROR(VLOOKUP(C10, Catalogos!$Z$4:$AA$20, 2, FALSE), "FOL") &amp; "-" &amp; WEEKNUM(A10,2) &amp; "-" &amp; TEXT(ROW(A6),"000"))</f>
        <v>CM-CL-24-006</v>
      </c>
    </row>
    <row r="11" spans="1:14">
      <c r="A11" s="2">
        <v>46181</v>
      </c>
      <c r="B11" t="s">
        <v>171</v>
      </c>
      <c r="C11" t="s">
        <v>3</v>
      </c>
      <c r="D11" t="s">
        <v>96</v>
      </c>
      <c r="E11" t="e">
        <f>VLOOKUP(#REF!,Catalogos!$V$4:$W$64,2,FALSE)</f>
        <v>#REF!</v>
      </c>
      <c r="F11" s="3"/>
      <c r="G11" s="6">
        <v>10</v>
      </c>
      <c r="H11" s="3">
        <f t="shared" si="0"/>
        <v>-674</v>
      </c>
      <c r="I11" s="4">
        <v>28.3</v>
      </c>
      <c r="J11" s="4">
        <f t="shared" si="1"/>
        <v>283</v>
      </c>
      <c r="M11">
        <f t="shared" si="2"/>
        <v>24</v>
      </c>
      <c r="N11" t="str">
        <f>IF(A11="","", "CM-" &amp; IFERROR(VLOOKUP(C11, Catalogos!$Z$4:$AA$20, 2, FALSE), "FOL") &amp; "-" &amp; WEEKNUM(A11,2) &amp; "-" &amp; TEXT(ROW(A7),"000"))</f>
        <v>CM-CL-24-007</v>
      </c>
    </row>
    <row r="12" spans="1:14">
      <c r="A12" s="2">
        <v>46181</v>
      </c>
      <c r="B12" t="s">
        <v>171</v>
      </c>
      <c r="C12" t="s">
        <v>3</v>
      </c>
      <c r="D12" t="s">
        <v>90</v>
      </c>
      <c r="E12" t="e">
        <f>VLOOKUP(#REF!,Catalogos!$V$4:$W$64,2,FALSE)</f>
        <v>#REF!</v>
      </c>
      <c r="F12" s="3"/>
      <c r="G12" s="6">
        <v>27</v>
      </c>
      <c r="H12" s="3">
        <f t="shared" si="0"/>
        <v>-701</v>
      </c>
      <c r="I12" s="4">
        <v>28.3</v>
      </c>
      <c r="J12" s="4">
        <f t="shared" si="1"/>
        <v>764.1</v>
      </c>
      <c r="M12">
        <f t="shared" si="2"/>
        <v>24</v>
      </c>
      <c r="N12" t="str">
        <f>IF(A12="","", "CM-" &amp; IFERROR(VLOOKUP(C12, Catalogos!$Z$4:$AA$20, 2, FALSE), "FOL") &amp; "-" &amp; WEEKNUM(A12,2) &amp; "-" &amp; TEXT(ROW(A8),"000"))</f>
        <v>CM-CL-24-008</v>
      </c>
    </row>
    <row r="13" spans="1:14">
      <c r="A13" s="2">
        <v>46181</v>
      </c>
      <c r="B13" t="s">
        <v>171</v>
      </c>
      <c r="C13" t="s">
        <v>3</v>
      </c>
      <c r="D13" t="s">
        <v>98</v>
      </c>
      <c r="E13" t="e">
        <f>VLOOKUP(#REF!,Catalogos!$V$4:$W$64,2,FALSE)</f>
        <v>#REF!</v>
      </c>
      <c r="F13" s="3"/>
      <c r="G13" s="6">
        <v>30</v>
      </c>
      <c r="H13" s="3">
        <f t="shared" si="0"/>
        <v>-731</v>
      </c>
      <c r="I13" s="4">
        <v>28.3</v>
      </c>
      <c r="J13" s="4">
        <f t="shared" si="1"/>
        <v>849</v>
      </c>
      <c r="M13">
        <f t="shared" si="2"/>
        <v>24</v>
      </c>
      <c r="N13" t="str">
        <f>IF(A13="","", "CM-" &amp; IFERROR(VLOOKUP(C13, Catalogos!$Z$4:$AA$20, 2, FALSE), "FOL") &amp; "-" &amp; WEEKNUM(A13,2) &amp; "-" &amp; TEXT(ROW(A9),"000"))</f>
        <v>CM-CL-24-009</v>
      </c>
    </row>
    <row r="14" spans="1:14">
      <c r="A14" s="2">
        <v>46181</v>
      </c>
      <c r="B14" t="s">
        <v>171</v>
      </c>
      <c r="C14" t="s">
        <v>3</v>
      </c>
      <c r="D14" t="s">
        <v>81</v>
      </c>
      <c r="E14" t="e">
        <f>VLOOKUP(#REF!,Catalogos!$V$4:$W$64,2,FALSE)</f>
        <v>#REF!</v>
      </c>
      <c r="F14" s="3"/>
      <c r="G14" s="6">
        <v>40</v>
      </c>
      <c r="H14" s="3">
        <f t="shared" si="0"/>
        <v>-771</v>
      </c>
      <c r="I14" s="4">
        <v>28.3</v>
      </c>
      <c r="J14" s="4">
        <f t="shared" si="1"/>
        <v>1132</v>
      </c>
      <c r="M14">
        <f t="shared" si="2"/>
        <v>24</v>
      </c>
      <c r="N14" t="str">
        <f>IF(A14="","", "CM-" &amp; IFERROR(VLOOKUP(C14, Catalogos!$Z$4:$AA$20, 2, FALSE), "FOL") &amp; "-" &amp; WEEKNUM(A14,2) &amp; "-" &amp; TEXT(ROW(A10),"000"))</f>
        <v>CM-CL-24-010</v>
      </c>
    </row>
    <row r="15" spans="1:14">
      <c r="A15" s="2">
        <v>46181</v>
      </c>
      <c r="B15" t="s">
        <v>171</v>
      </c>
      <c r="C15" t="s">
        <v>3</v>
      </c>
      <c r="D15" t="s">
        <v>86</v>
      </c>
      <c r="E15" t="e">
        <f>VLOOKUP(#REF!,Catalogos!$V$4:$W$64,2,FALSE)</f>
        <v>#REF!</v>
      </c>
      <c r="F15" s="3"/>
      <c r="G15" s="6">
        <v>120</v>
      </c>
      <c r="H15" s="3">
        <f t="shared" si="0"/>
        <v>-891</v>
      </c>
      <c r="I15" s="4">
        <v>28.3</v>
      </c>
      <c r="J15" s="4">
        <f t="shared" si="1"/>
        <v>3396</v>
      </c>
      <c r="M15">
        <f t="shared" si="2"/>
        <v>24</v>
      </c>
      <c r="N15" t="str">
        <f>IF(A15="","", "CM-" &amp; IFERROR(VLOOKUP(C15, Catalogos!$Z$4:$AA$20, 2, FALSE), "FOL") &amp; "-" &amp; WEEKNUM(A15,2) &amp; "-" &amp; TEXT(ROW(A11),"000"))</f>
        <v>CM-CL-24-011</v>
      </c>
    </row>
    <row r="16" spans="1:14">
      <c r="A16" s="2">
        <v>46181</v>
      </c>
      <c r="B16" t="s">
        <v>171</v>
      </c>
      <c r="C16" t="s">
        <v>3</v>
      </c>
      <c r="D16" t="s">
        <v>92</v>
      </c>
      <c r="E16" t="e">
        <f>VLOOKUP(#REF!,Catalogos!$V$4:$W$64,2,FALSE)</f>
        <v>#REF!</v>
      </c>
      <c r="F16" s="3"/>
      <c r="G16" s="6">
        <v>30</v>
      </c>
      <c r="H16" s="3">
        <f t="shared" si="0"/>
        <v>-921</v>
      </c>
      <c r="I16" s="4">
        <v>28.3</v>
      </c>
      <c r="J16" s="4">
        <f t="shared" si="1"/>
        <v>849</v>
      </c>
      <c r="M16">
        <f t="shared" si="2"/>
        <v>24</v>
      </c>
      <c r="N16" t="str">
        <f>IF(A16="","", "CM-" &amp; IFERROR(VLOOKUP(C16, Catalogos!$Z$4:$AA$20, 2, FALSE), "FOL") &amp; "-" &amp; WEEKNUM(A16,2) &amp; "-" &amp; TEXT(ROW(A12),"000"))</f>
        <v>CM-CL-24-012</v>
      </c>
    </row>
    <row r="17" spans="1:14">
      <c r="A17" s="2">
        <v>46182</v>
      </c>
      <c r="B17" t="s">
        <v>171</v>
      </c>
      <c r="C17" t="s">
        <v>3</v>
      </c>
      <c r="D17" t="s">
        <v>79</v>
      </c>
      <c r="E17" t="e">
        <f>VLOOKUP(#REF!,Catalogos!$V$4:$W$64,2,FALSE)</f>
        <v>#REF!</v>
      </c>
      <c r="F17" s="3"/>
      <c r="G17" s="6">
        <v>30</v>
      </c>
      <c r="H17" s="3">
        <f t="shared" si="0"/>
        <v>-951</v>
      </c>
      <c r="I17" s="4">
        <v>28.3</v>
      </c>
      <c r="J17" s="4">
        <f t="shared" si="1"/>
        <v>849</v>
      </c>
      <c r="M17">
        <f t="shared" si="2"/>
        <v>24</v>
      </c>
      <c r="N17" t="str">
        <f>IF(A17="","", "CM-" &amp; IFERROR(VLOOKUP(C17, Catalogos!$Z$4:$AA$20, 2, FALSE), "FOL") &amp; "-" &amp; WEEKNUM(A17,2) &amp; "-" &amp; TEXT(ROW(A13),"000"))</f>
        <v>CM-CL-24-013</v>
      </c>
    </row>
    <row r="18" spans="1:14">
      <c r="A18" s="2">
        <v>46182</v>
      </c>
      <c r="B18" t="s">
        <v>171</v>
      </c>
      <c r="C18" t="s">
        <v>3</v>
      </c>
      <c r="D18" t="s">
        <v>83</v>
      </c>
      <c r="E18" t="e">
        <f>VLOOKUP(#REF!,Catalogos!$V$4:$W$64,2,FALSE)</f>
        <v>#REF!</v>
      </c>
      <c r="F18" s="3"/>
      <c r="G18" s="6">
        <v>100</v>
      </c>
      <c r="H18" s="3">
        <f t="shared" si="0"/>
        <v>-1051</v>
      </c>
      <c r="I18" s="4">
        <v>28.3</v>
      </c>
      <c r="J18" s="4">
        <f t="shared" si="1"/>
        <v>2830</v>
      </c>
      <c r="M18">
        <f t="shared" si="2"/>
        <v>24</v>
      </c>
      <c r="N18" t="str">
        <f>IF(A18="","", "CM-" &amp; IFERROR(VLOOKUP(C18, Catalogos!$Z$4:$AA$20, 2, FALSE), "FOL") &amp; "-" &amp; WEEKNUM(A18,2) &amp; "-" &amp; TEXT(ROW(A14),"000"))</f>
        <v>CM-CL-24-014</v>
      </c>
    </row>
    <row r="19" spans="1:14">
      <c r="A19" s="2">
        <v>46182</v>
      </c>
      <c r="B19" t="s">
        <v>171</v>
      </c>
      <c r="C19" t="s">
        <v>3</v>
      </c>
      <c r="D19" t="s">
        <v>88</v>
      </c>
      <c r="E19" t="e">
        <f>VLOOKUP(#REF!,Catalogos!$V$4:$W$64,2,FALSE)</f>
        <v>#REF!</v>
      </c>
      <c r="F19" s="3"/>
      <c r="G19" s="6">
        <v>30</v>
      </c>
      <c r="H19" s="3">
        <f t="shared" si="0"/>
        <v>-1081</v>
      </c>
      <c r="I19" s="4">
        <v>28.3</v>
      </c>
      <c r="J19" s="4">
        <f t="shared" si="1"/>
        <v>849</v>
      </c>
      <c r="M19">
        <f t="shared" si="2"/>
        <v>24</v>
      </c>
      <c r="N19" t="str">
        <f>IF(A19="","", "CM-" &amp; IFERROR(VLOOKUP(C19, Catalogos!$Z$4:$AA$20, 2, FALSE), "FOL") &amp; "-" &amp; WEEKNUM(A19,2) &amp; "-" &amp; TEXT(ROW(A15),"000"))</f>
        <v>CM-CL-24-015</v>
      </c>
    </row>
    <row r="20" spans="1:14">
      <c r="A20" s="2">
        <v>46182</v>
      </c>
      <c r="B20" t="s">
        <v>171</v>
      </c>
      <c r="C20" t="s">
        <v>3</v>
      </c>
      <c r="D20" t="s">
        <v>76</v>
      </c>
      <c r="E20" t="e">
        <f>VLOOKUP(#REF!,Catalogos!$V$4:$W$64,2,FALSE)</f>
        <v>#REF!</v>
      </c>
      <c r="F20" s="3"/>
      <c r="G20" s="6">
        <v>150</v>
      </c>
      <c r="H20" s="3">
        <f t="shared" si="0"/>
        <v>-1231</v>
      </c>
      <c r="I20" s="4">
        <v>28.3</v>
      </c>
      <c r="J20" s="4">
        <f t="shared" si="1"/>
        <v>4245</v>
      </c>
      <c r="M20">
        <f t="shared" si="2"/>
        <v>24</v>
      </c>
      <c r="N20" t="str">
        <f>IF(A20="","", "CM-" &amp; IFERROR(VLOOKUP(C20, Catalogos!$Z$4:$AA$20, 2, FALSE), "FOL") &amp; "-" &amp; WEEKNUM(A20,2) &amp; "-" &amp; TEXT(ROW(A16),"000"))</f>
        <v>CM-CL-24-016</v>
      </c>
    </row>
    <row r="21" spans="1:14">
      <c r="A21" s="2">
        <v>46182</v>
      </c>
      <c r="B21" t="s">
        <v>171</v>
      </c>
      <c r="C21" t="s">
        <v>3</v>
      </c>
      <c r="D21" t="s">
        <v>92</v>
      </c>
      <c r="E21" t="e">
        <f>VLOOKUP(#REF!,Catalogos!$V$4:$W$64,2,FALSE)</f>
        <v>#REF!</v>
      </c>
      <c r="F21" s="3"/>
      <c r="G21" s="6">
        <v>50</v>
      </c>
      <c r="H21" s="3">
        <f t="shared" si="0"/>
        <v>-1281</v>
      </c>
      <c r="I21" s="4">
        <v>28.3</v>
      </c>
      <c r="J21" s="4">
        <f t="shared" si="1"/>
        <v>1415</v>
      </c>
      <c r="M21">
        <f t="shared" si="2"/>
        <v>24</v>
      </c>
      <c r="N21" t="str">
        <f>IF(A21="","", "CM-" &amp; IFERROR(VLOOKUP(C21, Catalogos!$Z$4:$AA$20, 2, FALSE), "FOL") &amp; "-" &amp; WEEKNUM(A21,2) &amp; "-" &amp; TEXT(ROW(A17),"000"))</f>
        <v>CM-CL-24-017</v>
      </c>
    </row>
    <row r="22" spans="1:14">
      <c r="A22" s="2">
        <v>46182</v>
      </c>
      <c r="B22" t="s">
        <v>171</v>
      </c>
      <c r="C22" t="s">
        <v>3</v>
      </c>
      <c r="D22" t="s">
        <v>86</v>
      </c>
      <c r="E22" t="e">
        <f>VLOOKUP(#REF!,Catalogos!$V$4:$W$64,2,FALSE)</f>
        <v>#REF!</v>
      </c>
      <c r="F22" s="3"/>
      <c r="G22" s="6">
        <v>136</v>
      </c>
      <c r="H22" s="3">
        <f t="shared" si="0"/>
        <v>-1417</v>
      </c>
      <c r="I22" s="4">
        <v>28.3</v>
      </c>
      <c r="J22" s="4">
        <f t="shared" si="1"/>
        <v>3848.8</v>
      </c>
      <c r="M22">
        <f t="shared" si="2"/>
        <v>24</v>
      </c>
      <c r="N22" t="str">
        <f>IF(A22="","", "CM-" &amp; IFERROR(VLOOKUP(C22, Catalogos!$Z$4:$AA$20, 2, FALSE), "FOL") &amp; "-" &amp; WEEKNUM(A22,2) &amp; "-" &amp; TEXT(ROW(A18),"000"))</f>
        <v>CM-CL-24-018</v>
      </c>
    </row>
    <row r="23" spans="1:14">
      <c r="A23" s="2">
        <v>46182</v>
      </c>
      <c r="B23" t="s">
        <v>171</v>
      </c>
      <c r="C23" t="s">
        <v>3</v>
      </c>
      <c r="D23" t="s">
        <v>88</v>
      </c>
      <c r="E23" t="e">
        <f>VLOOKUP(#REF!,Catalogos!$V$4:$W$64,2,FALSE)</f>
        <v>#REF!</v>
      </c>
      <c r="F23" s="3"/>
      <c r="G23" s="6">
        <v>30</v>
      </c>
      <c r="H23" s="3">
        <f t="shared" si="0"/>
        <v>-1447</v>
      </c>
      <c r="I23" s="4">
        <v>28.3</v>
      </c>
      <c r="J23" s="4">
        <f t="shared" si="1"/>
        <v>849</v>
      </c>
      <c r="M23">
        <f t="shared" si="2"/>
        <v>24</v>
      </c>
      <c r="N23" t="str">
        <f>IF(A23="","", "CM-" &amp; IFERROR(VLOOKUP(C23, Catalogos!$Z$4:$AA$20, 2, FALSE), "FOL") &amp; "-" &amp; WEEKNUM(A23,2) &amp; "-" &amp; TEXT(ROW(A19),"000"))</f>
        <v>CM-CL-24-019</v>
      </c>
    </row>
    <row r="24" spans="1:14">
      <c r="A24" s="2">
        <v>46182</v>
      </c>
      <c r="B24" t="s">
        <v>171</v>
      </c>
      <c r="C24" t="s">
        <v>3</v>
      </c>
      <c r="D24" t="s">
        <v>85</v>
      </c>
      <c r="E24" t="e">
        <f>VLOOKUP(#REF!,Catalogos!$V$4:$W$64,2,FALSE)</f>
        <v>#REF!</v>
      </c>
      <c r="F24" s="3"/>
      <c r="G24" s="6">
        <v>30</v>
      </c>
      <c r="H24" s="3">
        <f t="shared" si="0"/>
        <v>-1477</v>
      </c>
      <c r="I24" s="4">
        <v>28.3</v>
      </c>
      <c r="J24" s="4">
        <f t="shared" si="1"/>
        <v>849</v>
      </c>
      <c r="M24">
        <f t="shared" si="2"/>
        <v>24</v>
      </c>
      <c r="N24" t="str">
        <f>IF(A24="","", "CM-" &amp; IFERROR(VLOOKUP(C24, Catalogos!$Z$4:$AA$20, 2, FALSE), "FOL") &amp; "-" &amp; WEEKNUM(A24,2) &amp; "-" &amp; TEXT(ROW(A20),"000"))</f>
        <v>CM-CL-24-020</v>
      </c>
    </row>
    <row r="25" spans="1:14">
      <c r="A25" s="2">
        <v>46182</v>
      </c>
      <c r="B25" t="s">
        <v>171</v>
      </c>
      <c r="C25" t="s">
        <v>3</v>
      </c>
      <c r="D25" t="s">
        <v>83</v>
      </c>
      <c r="E25" t="e">
        <f>VLOOKUP(#REF!,Catalogos!$V$4:$W$64,2,FALSE)</f>
        <v>#REF!</v>
      </c>
      <c r="F25" s="3"/>
      <c r="G25" s="6">
        <v>100</v>
      </c>
      <c r="H25" s="3">
        <f t="shared" si="0"/>
        <v>-1577</v>
      </c>
      <c r="I25" s="4">
        <v>28.3</v>
      </c>
      <c r="J25" s="4">
        <f t="shared" si="1"/>
        <v>2830</v>
      </c>
      <c r="M25">
        <f t="shared" si="2"/>
        <v>24</v>
      </c>
      <c r="N25" t="str">
        <f>IF(A25="","", "CM-" &amp; IFERROR(VLOOKUP(C25, Catalogos!$Z$4:$AA$20, 2, FALSE), "FOL") &amp; "-" &amp; WEEKNUM(A25,2) &amp; "-" &amp; TEXT(ROW(A21),"000"))</f>
        <v>CM-CL-24-021</v>
      </c>
    </row>
    <row r="26" spans="1:14">
      <c r="A26" s="2">
        <v>46182</v>
      </c>
      <c r="B26" t="s">
        <v>171</v>
      </c>
      <c r="C26" t="s">
        <v>3</v>
      </c>
      <c r="D26" t="s">
        <v>81</v>
      </c>
      <c r="E26" t="e">
        <f>VLOOKUP(#REF!,Catalogos!$V$4:$W$64,2,FALSE)</f>
        <v>#REF!</v>
      </c>
      <c r="F26" s="3"/>
      <c r="G26" s="6">
        <v>60</v>
      </c>
      <c r="H26" s="3">
        <f t="shared" si="0"/>
        <v>-1637</v>
      </c>
      <c r="I26" s="4">
        <v>28.3</v>
      </c>
      <c r="J26" s="4">
        <f t="shared" si="1"/>
        <v>1698</v>
      </c>
      <c r="M26">
        <f t="shared" si="2"/>
        <v>24</v>
      </c>
      <c r="N26" t="str">
        <f>IF(A26="","", "CM-" &amp; IFERROR(VLOOKUP(C26, Catalogos!$Z$4:$AA$20, 2, FALSE), "FOL") &amp; "-" &amp; WEEKNUM(A26,2) &amp; "-" &amp; TEXT(ROW(A22),"000"))</f>
        <v>CM-CL-24-022</v>
      </c>
    </row>
    <row r="27" spans="1:14">
      <c r="A27" s="2">
        <v>46182</v>
      </c>
      <c r="B27" t="s">
        <v>171</v>
      </c>
      <c r="C27" t="s">
        <v>3</v>
      </c>
      <c r="D27" t="s">
        <v>98</v>
      </c>
      <c r="E27" t="e">
        <f>VLOOKUP(#REF!,Catalogos!$V$4:$W$64,2,FALSE)</f>
        <v>#REF!</v>
      </c>
      <c r="F27" s="3"/>
      <c r="G27" s="6">
        <v>20</v>
      </c>
      <c r="H27" s="3">
        <f t="shared" si="0"/>
        <v>-1657</v>
      </c>
      <c r="I27" s="4">
        <v>28.3</v>
      </c>
      <c r="J27" s="4">
        <f t="shared" si="1"/>
        <v>566</v>
      </c>
      <c r="M27">
        <f t="shared" si="2"/>
        <v>24</v>
      </c>
      <c r="N27" t="str">
        <f>IF(A27="","", "CM-" &amp; IFERROR(VLOOKUP(C27, Catalogos!$Z$4:$AA$20, 2, FALSE), "FOL") &amp; "-" &amp; WEEKNUM(A27,2) &amp; "-" &amp; TEXT(ROW(A23),"000"))</f>
        <v>CM-CL-24-023</v>
      </c>
    </row>
    <row r="28" spans="1:14">
      <c r="A28" s="2">
        <v>46183</v>
      </c>
      <c r="B28" t="s">
        <v>171</v>
      </c>
      <c r="C28" t="s">
        <v>1</v>
      </c>
      <c r="D28" t="s">
        <v>70</v>
      </c>
      <c r="E28" t="e">
        <f>VLOOKUP(#REF!,Catalogos!$V$4:$W$64,2,FALSE)</f>
        <v>#REF!</v>
      </c>
      <c r="F28" s="3"/>
      <c r="G28" s="6">
        <v>20</v>
      </c>
      <c r="H28" s="3">
        <f t="shared" si="0"/>
        <v>-1677</v>
      </c>
      <c r="I28" s="4">
        <v>28.3</v>
      </c>
      <c r="J28" s="4">
        <f t="shared" si="1"/>
        <v>566</v>
      </c>
      <c r="M28">
        <f t="shared" si="2"/>
        <v>24</v>
      </c>
      <c r="N28" t="str">
        <f>IF(A28="","", "CM-" &amp; IFERROR(VLOOKUP(C28, Catalogos!$Z$4:$AA$20, 2, FALSE), "FOL") &amp; "-" &amp; WEEKNUM(A28,2) &amp; "-" &amp; TEXT(ROW(A24),"000"))</f>
        <v>CM-MT-24-024</v>
      </c>
    </row>
    <row r="29" spans="1:14">
      <c r="A29" s="2">
        <v>46183</v>
      </c>
      <c r="B29" t="s">
        <v>171</v>
      </c>
      <c r="C29" t="s">
        <v>1</v>
      </c>
      <c r="D29" t="s">
        <v>69</v>
      </c>
      <c r="E29" t="e">
        <f>VLOOKUP(#REF!,Catalogos!$V$4:$W$64,2,FALSE)</f>
        <v>#REF!</v>
      </c>
      <c r="F29" s="3"/>
      <c r="G29" s="6">
        <v>250</v>
      </c>
      <c r="H29" s="3">
        <f t="shared" si="0"/>
        <v>-1927</v>
      </c>
      <c r="I29" s="4">
        <v>28.3</v>
      </c>
      <c r="J29" s="4">
        <f t="shared" si="1"/>
        <v>7075</v>
      </c>
      <c r="M29">
        <f t="shared" si="2"/>
        <v>24</v>
      </c>
      <c r="N29" t="str">
        <f>IF(A29="","", "CM-" &amp; IFERROR(VLOOKUP(C29, Catalogos!$Z$4:$AA$20, 2, FALSE), "FOL") &amp; "-" &amp; WEEKNUM(A29,2) &amp; "-" &amp; TEXT(ROW(A25),"000"))</f>
        <v>CM-MT-24-025</v>
      </c>
    </row>
    <row r="30" spans="1:14">
      <c r="A30" s="2">
        <v>46183</v>
      </c>
      <c r="B30" t="s">
        <v>171</v>
      </c>
      <c r="C30" t="s">
        <v>1</v>
      </c>
      <c r="D30" t="s">
        <v>56</v>
      </c>
      <c r="E30" t="e">
        <f>VLOOKUP(#REF!,Catalogos!$V$4:$W$64,2,FALSE)</f>
        <v>#REF!</v>
      </c>
      <c r="F30" s="3"/>
      <c r="G30" s="6">
        <v>30</v>
      </c>
      <c r="H30" s="3">
        <f t="shared" si="0"/>
        <v>-1957</v>
      </c>
      <c r="I30" s="4">
        <v>28.3</v>
      </c>
      <c r="J30" s="4">
        <f t="shared" si="1"/>
        <v>849</v>
      </c>
      <c r="M30">
        <f t="shared" si="2"/>
        <v>24</v>
      </c>
      <c r="N30" t="str">
        <f>IF(A30="","", "CM-" &amp; IFERROR(VLOOKUP(C30, Catalogos!$Z$4:$AA$20, 2, FALSE), "FOL") &amp; "-" &amp; WEEKNUM(A30,2) &amp; "-" &amp; TEXT(ROW(A26),"000"))</f>
        <v>CM-MT-24-026</v>
      </c>
    </row>
    <row r="31" spans="1:14">
      <c r="A31" s="2">
        <v>46184</v>
      </c>
      <c r="B31" t="s">
        <v>171</v>
      </c>
      <c r="C31" t="s">
        <v>1</v>
      </c>
      <c r="D31" t="s">
        <v>48</v>
      </c>
      <c r="E31" t="e">
        <f>VLOOKUP(#REF!,Catalogos!$V$4:$W$64,2,FALSE)</f>
        <v>#REF!</v>
      </c>
      <c r="F31" s="3"/>
      <c r="G31" s="6">
        <v>30</v>
      </c>
      <c r="H31" s="3">
        <f t="shared" si="0"/>
        <v>-1987</v>
      </c>
      <c r="I31" s="4">
        <v>28.3</v>
      </c>
      <c r="J31" s="4">
        <f t="shared" si="1"/>
        <v>849</v>
      </c>
      <c r="M31">
        <f t="shared" si="2"/>
        <v>24</v>
      </c>
      <c r="N31" t="str">
        <f>IF(A31="","", "CM-" &amp; IFERROR(VLOOKUP(C31, Catalogos!$Z$4:$AA$20, 2, FALSE), "FOL") &amp; "-" &amp; WEEKNUM(A31,2) &amp; "-" &amp; TEXT(ROW(A27),"000"))</f>
        <v>CM-MT-24-027</v>
      </c>
    </row>
    <row r="32" spans="1:14">
      <c r="A32" s="2">
        <v>46184</v>
      </c>
      <c r="B32" t="s">
        <v>171</v>
      </c>
      <c r="C32" t="s">
        <v>1</v>
      </c>
      <c r="D32" t="s">
        <v>85</v>
      </c>
      <c r="E32" t="e">
        <f>VLOOKUP(#REF!,Catalogos!$V$4:$W$64,2,FALSE)</f>
        <v>#REF!</v>
      </c>
      <c r="F32" s="3"/>
      <c r="G32" s="6">
        <v>30</v>
      </c>
      <c r="H32" s="3">
        <f t="shared" si="0"/>
        <v>-2017</v>
      </c>
      <c r="I32" s="4">
        <v>28.3</v>
      </c>
      <c r="J32" s="4">
        <f t="shared" si="1"/>
        <v>849</v>
      </c>
      <c r="M32">
        <f t="shared" si="2"/>
        <v>24</v>
      </c>
      <c r="N32" t="str">
        <f>IF(A32="","", "CM-" &amp; IFERROR(VLOOKUP(C32, Catalogos!$Z$4:$AA$20, 2, FALSE), "FOL") &amp; "-" &amp; WEEKNUM(A32,2) &amp; "-" &amp; TEXT(ROW(A28),"000"))</f>
        <v>CM-MT-24-028</v>
      </c>
    </row>
    <row r="33" spans="1:14">
      <c r="A33" s="2">
        <v>46184</v>
      </c>
      <c r="B33" t="s">
        <v>171</v>
      </c>
      <c r="C33" t="s">
        <v>1</v>
      </c>
      <c r="D33" t="s">
        <v>65</v>
      </c>
      <c r="E33" t="e">
        <f>VLOOKUP(#REF!,Catalogos!$V$4:$W$64,2,FALSE)</f>
        <v>#REF!</v>
      </c>
      <c r="F33" s="3"/>
      <c r="G33" s="6">
        <v>136</v>
      </c>
      <c r="H33" s="3">
        <f t="shared" si="0"/>
        <v>-2153</v>
      </c>
      <c r="I33" s="4">
        <v>28.3</v>
      </c>
      <c r="J33" s="4">
        <f t="shared" si="1"/>
        <v>3848.8</v>
      </c>
      <c r="M33">
        <f t="shared" si="2"/>
        <v>24</v>
      </c>
      <c r="N33" t="str">
        <f>IF(A33="","", "CM-" &amp; IFERROR(VLOOKUP(C33, Catalogos!$Z$4:$AA$20, 2, FALSE), "FOL") &amp; "-" &amp; WEEKNUM(A33,2) &amp; "-" &amp; TEXT(ROW(A29),"000"))</f>
        <v>CM-MT-24-029</v>
      </c>
    </row>
    <row r="34" spans="1:14">
      <c r="A34" s="2">
        <v>46184</v>
      </c>
      <c r="B34" t="s">
        <v>171</v>
      </c>
      <c r="C34" t="s">
        <v>1</v>
      </c>
      <c r="D34" t="s">
        <v>70</v>
      </c>
      <c r="E34" t="e">
        <f>VLOOKUP(#REF!,Catalogos!$V$4:$W$64,2,FALSE)</f>
        <v>#REF!</v>
      </c>
      <c r="F34" s="3"/>
      <c r="G34" s="6">
        <v>20</v>
      </c>
      <c r="H34" s="3">
        <f t="shared" si="0"/>
        <v>-2173</v>
      </c>
      <c r="I34" s="4">
        <v>28.3</v>
      </c>
      <c r="J34" s="4">
        <f t="shared" si="1"/>
        <v>566</v>
      </c>
      <c r="M34">
        <f t="shared" si="2"/>
        <v>24</v>
      </c>
      <c r="N34" t="str">
        <f>IF(A34="","", "CM-" &amp; IFERROR(VLOOKUP(C34, Catalogos!$Z$4:$AA$20, 2, FALSE), "FOL") &amp; "-" &amp; WEEKNUM(A34,2) &amp; "-" &amp; TEXT(ROW(A30),"000"))</f>
        <v>CM-MT-24-030</v>
      </c>
    </row>
    <row r="35" spans="1:14">
      <c r="A35" s="2">
        <v>46184</v>
      </c>
      <c r="B35" t="s">
        <v>171</v>
      </c>
      <c r="C35" t="s">
        <v>1</v>
      </c>
      <c r="D35" t="s">
        <v>56</v>
      </c>
      <c r="E35" t="e">
        <f>VLOOKUP(#REF!,Catalogos!$V$4:$W$64,2,FALSE)</f>
        <v>#REF!</v>
      </c>
      <c r="F35" s="3"/>
      <c r="G35" s="6">
        <v>20</v>
      </c>
      <c r="H35" s="3">
        <f t="shared" si="0"/>
        <v>-2193</v>
      </c>
      <c r="I35" s="4">
        <v>28.3</v>
      </c>
      <c r="J35" s="4">
        <f t="shared" si="1"/>
        <v>566</v>
      </c>
      <c r="M35">
        <f t="shared" si="2"/>
        <v>24</v>
      </c>
      <c r="N35" t="str">
        <f>IF(A35="","", "CM-" &amp; IFERROR(VLOOKUP(C35, Catalogos!$Z$4:$AA$20, 2, FALSE), "FOL") &amp; "-" &amp; WEEKNUM(A35,2) &amp; "-" &amp; TEXT(ROW(A31),"000"))</f>
        <v>CM-MT-24-031</v>
      </c>
    </row>
    <row r="36" spans="1:14">
      <c r="A36" s="2">
        <v>46184</v>
      </c>
      <c r="B36" t="s">
        <v>171</v>
      </c>
      <c r="C36" t="s">
        <v>1</v>
      </c>
      <c r="D36" t="s">
        <v>96</v>
      </c>
      <c r="E36" t="e">
        <f>VLOOKUP(#REF!,Catalogos!$V$4:$W$64,2,FALSE)</f>
        <v>#REF!</v>
      </c>
      <c r="F36" s="3"/>
      <c r="G36" s="6">
        <v>20</v>
      </c>
      <c r="H36" s="3">
        <f t="shared" si="0"/>
        <v>-2213</v>
      </c>
      <c r="I36" s="4">
        <v>28.3</v>
      </c>
      <c r="J36" s="4">
        <f t="shared" si="1"/>
        <v>566</v>
      </c>
      <c r="M36">
        <f t="shared" si="2"/>
        <v>24</v>
      </c>
      <c r="N36" t="str">
        <f>IF(A36="","", "CM-" &amp; IFERROR(VLOOKUP(C36, Catalogos!$Z$4:$AA$20, 2, FALSE), "FOL") &amp; "-" &amp; WEEKNUM(A36,2) &amp; "-" &amp; TEXT(ROW(A32),"000"))</f>
        <v>CM-MT-24-032</v>
      </c>
    </row>
    <row r="37" spans="1:14">
      <c r="A37" s="2">
        <v>46185</v>
      </c>
      <c r="B37" t="s">
        <v>171</v>
      </c>
      <c r="C37" t="s">
        <v>3</v>
      </c>
      <c r="D37" t="s">
        <v>88</v>
      </c>
      <c r="E37" t="e">
        <f>VLOOKUP(#REF!,Catalogos!$V$4:$W$64,2,FALSE)</f>
        <v>#REF!</v>
      </c>
      <c r="F37" s="3"/>
      <c r="G37" s="6">
        <v>32</v>
      </c>
      <c r="H37" s="3">
        <f t="shared" ref="H37:H63" si="3">IF(ROW()=5,F37-G37,H36+F37-G37)</f>
        <v>-2245</v>
      </c>
      <c r="I37" s="4">
        <v>28.3</v>
      </c>
      <c r="J37" s="4">
        <f t="shared" ref="J37:J70" si="4">IFERROR((F37+G37)*I37,0)</f>
        <v>905.6</v>
      </c>
      <c r="M37">
        <f t="shared" si="2"/>
        <v>24</v>
      </c>
      <c r="N37" t="str">
        <f>IF(A37="","", "CM-" &amp; IFERROR(VLOOKUP(C37, Catalogos!$Z$4:$AA$20, 2, FALSE), "FOL") &amp; "-" &amp; WEEKNUM(A37,2) &amp; "-" &amp; TEXT(ROW(A33),"000"))</f>
        <v>CM-CL-24-033</v>
      </c>
    </row>
    <row r="38" spans="1:14">
      <c r="A38" s="2">
        <v>46185</v>
      </c>
      <c r="B38" t="s">
        <v>171</v>
      </c>
      <c r="C38" t="s">
        <v>3</v>
      </c>
      <c r="D38" t="s">
        <v>90</v>
      </c>
      <c r="E38" t="e">
        <f>VLOOKUP(#REF!,Catalogos!$V$4:$W$64,2,FALSE)</f>
        <v>#REF!</v>
      </c>
      <c r="F38" s="3"/>
      <c r="G38" s="6">
        <v>30</v>
      </c>
      <c r="H38" s="3">
        <f t="shared" si="3"/>
        <v>-2275</v>
      </c>
      <c r="I38" s="4">
        <v>28.3</v>
      </c>
      <c r="J38" s="4">
        <f t="shared" si="4"/>
        <v>849</v>
      </c>
      <c r="M38">
        <f t="shared" si="2"/>
        <v>24</v>
      </c>
      <c r="N38" t="str">
        <f>IF(A38="","", "CM-" &amp; IFERROR(VLOOKUP(C38, Catalogos!$Z$4:$AA$20, 2, FALSE), "FOL") &amp; "-" &amp; WEEKNUM(A38,2) &amp; "-" &amp; TEXT(ROW(A34),"000"))</f>
        <v>CM-CL-24-034</v>
      </c>
    </row>
    <row r="39" spans="1:14">
      <c r="A39" s="2">
        <v>46185</v>
      </c>
      <c r="B39" t="s">
        <v>171</v>
      </c>
      <c r="C39" t="s">
        <v>3</v>
      </c>
      <c r="D39" t="s">
        <v>79</v>
      </c>
      <c r="E39" t="e">
        <f>VLOOKUP(#REF!,Catalogos!$V$4:$W$64,2,FALSE)</f>
        <v>#REF!</v>
      </c>
      <c r="F39" s="3"/>
      <c r="G39" s="6">
        <v>30</v>
      </c>
      <c r="H39" s="3">
        <f t="shared" si="3"/>
        <v>-2305</v>
      </c>
      <c r="I39" s="4">
        <v>28.3</v>
      </c>
      <c r="J39" s="4">
        <f t="shared" si="4"/>
        <v>849</v>
      </c>
      <c r="M39">
        <f t="shared" si="2"/>
        <v>24</v>
      </c>
      <c r="N39" t="str">
        <f>IF(A39="","", "CM-" &amp; IFERROR(VLOOKUP(C39, Catalogos!$Z$4:$AA$20, 2, FALSE), "FOL") &amp; "-" &amp; WEEKNUM(A39,2) &amp; "-" &amp; TEXT(ROW(A35),"000"))</f>
        <v>CM-CL-24-035</v>
      </c>
    </row>
    <row r="40" spans="1:14">
      <c r="A40" s="2">
        <v>46185</v>
      </c>
      <c r="B40" t="s">
        <v>171</v>
      </c>
      <c r="C40" t="s">
        <v>3</v>
      </c>
      <c r="D40" t="s">
        <v>81</v>
      </c>
      <c r="E40" t="e">
        <f>VLOOKUP(#REF!,Catalogos!$V$4:$W$64,2,FALSE)</f>
        <v>#REF!</v>
      </c>
      <c r="F40" s="3"/>
      <c r="G40" s="6">
        <v>50</v>
      </c>
      <c r="H40" s="3">
        <f t="shared" si="3"/>
        <v>-2355</v>
      </c>
      <c r="I40" s="4">
        <v>28.3</v>
      </c>
      <c r="J40" s="4">
        <f t="shared" si="4"/>
        <v>1415</v>
      </c>
      <c r="M40">
        <f t="shared" si="2"/>
        <v>24</v>
      </c>
      <c r="N40" t="str">
        <f>IF(A40="","", "CM-" &amp; IFERROR(VLOOKUP(C40, Catalogos!$Z$4:$AA$20, 2, FALSE), "FOL") &amp; "-" &amp; WEEKNUM(A40,2) &amp; "-" &amp; TEXT(ROW(A36),"000"))</f>
        <v>CM-CL-24-036</v>
      </c>
    </row>
    <row r="41" spans="1:14">
      <c r="A41" s="2">
        <v>46185</v>
      </c>
      <c r="B41" t="s">
        <v>171</v>
      </c>
      <c r="C41" t="s">
        <v>3</v>
      </c>
      <c r="D41" t="s">
        <v>86</v>
      </c>
      <c r="E41" t="e">
        <f>VLOOKUP(#REF!,Catalogos!$V$4:$W$64,2,FALSE)</f>
        <v>#REF!</v>
      </c>
      <c r="F41" s="3"/>
      <c r="G41" s="6">
        <v>120</v>
      </c>
      <c r="H41" s="3">
        <f t="shared" si="3"/>
        <v>-2475</v>
      </c>
      <c r="I41" s="4">
        <v>28.3</v>
      </c>
      <c r="J41" s="4">
        <f t="shared" si="4"/>
        <v>3396</v>
      </c>
      <c r="M41">
        <f t="shared" si="2"/>
        <v>24</v>
      </c>
      <c r="N41" t="str">
        <f>IF(A41="","", "CM-" &amp; IFERROR(VLOOKUP(C41, Catalogos!$Z$4:$AA$20, 2, FALSE), "FOL") &amp; "-" &amp; WEEKNUM(A41,2) &amp; "-" &amp; TEXT(ROW(A37),"000"))</f>
        <v>CM-CL-24-037</v>
      </c>
    </row>
    <row r="42" spans="1:14">
      <c r="A42" s="2">
        <v>46185</v>
      </c>
      <c r="B42" t="s">
        <v>171</v>
      </c>
      <c r="C42" t="s">
        <v>3</v>
      </c>
      <c r="D42" t="s">
        <v>92</v>
      </c>
      <c r="E42" t="e">
        <f>VLOOKUP(#REF!,Catalogos!$V$4:$W$64,2,FALSE)</f>
        <v>#REF!</v>
      </c>
      <c r="F42" s="3"/>
      <c r="G42" s="6">
        <v>40</v>
      </c>
      <c r="H42" s="3">
        <f t="shared" si="3"/>
        <v>-2515</v>
      </c>
      <c r="I42" s="4">
        <v>28.3</v>
      </c>
      <c r="J42" s="4">
        <f t="shared" si="4"/>
        <v>1132</v>
      </c>
      <c r="M42">
        <f t="shared" si="2"/>
        <v>24</v>
      </c>
      <c r="N42" t="str">
        <f>IF(A42="","", "CM-" &amp; IFERROR(VLOOKUP(C42, Catalogos!$Z$4:$AA$20, 2, FALSE), "FOL") &amp; "-" &amp; WEEKNUM(A42,2) &amp; "-" &amp; TEXT(ROW(A38),"000"))</f>
        <v>CM-CL-24-038</v>
      </c>
    </row>
    <row r="43" spans="1:14">
      <c r="A43" s="2">
        <v>46185</v>
      </c>
      <c r="B43" t="s">
        <v>171</v>
      </c>
      <c r="C43" t="s">
        <v>3</v>
      </c>
      <c r="D43" t="s">
        <v>76</v>
      </c>
      <c r="E43" t="e">
        <f>VLOOKUP(#REF!,Catalogos!$V$4:$W$64,2,FALSE)</f>
        <v>#REF!</v>
      </c>
      <c r="F43" s="3"/>
      <c r="G43" s="6">
        <v>200</v>
      </c>
      <c r="H43" s="3">
        <f t="shared" si="3"/>
        <v>-2715</v>
      </c>
      <c r="I43" s="4">
        <v>28.3</v>
      </c>
      <c r="J43" s="4">
        <f t="shared" si="4"/>
        <v>5660</v>
      </c>
      <c r="M43">
        <f t="shared" si="2"/>
        <v>24</v>
      </c>
      <c r="N43" s="3" t="str">
        <f>IF(A43="","", "CM-" &amp; IFERROR(VLOOKUP(C43, Catalogos!$Z$4:$AA$20, 2, FALSE), "FOL") &amp; "-" &amp; WEEKNUM(A43,2) &amp; "-" &amp; TEXT(ROW(A39),"000"))</f>
        <v>CM-CL-24-039</v>
      </c>
    </row>
    <row r="44" spans="1:14">
      <c r="A44" s="2">
        <v>46185</v>
      </c>
      <c r="B44" t="s">
        <v>171</v>
      </c>
      <c r="C44" t="s">
        <v>1</v>
      </c>
      <c r="D44" t="s">
        <v>70</v>
      </c>
      <c r="E44" t="e">
        <f>VLOOKUP(#REF!,Catalogos!$V$4:$W$64,2,FALSE)</f>
        <v>#REF!</v>
      </c>
      <c r="F44" s="3"/>
      <c r="G44" s="6">
        <v>20</v>
      </c>
      <c r="H44" s="3">
        <f t="shared" si="3"/>
        <v>-2735</v>
      </c>
      <c r="I44" s="4">
        <v>28.3</v>
      </c>
      <c r="J44" s="4">
        <f t="shared" si="4"/>
        <v>566</v>
      </c>
      <c r="M44">
        <f t="shared" si="2"/>
        <v>24</v>
      </c>
      <c r="N44" t="str">
        <f>IF(A44="","", "CM-" &amp; IFERROR(VLOOKUP(C44, Catalogos!$Z$4:$AA$20, 2, FALSE), "FOL") &amp; "-" &amp; WEEKNUM(A44,2) &amp; "-" &amp; TEXT(ROW(A40),"000"))</f>
        <v>CM-MT-24-040</v>
      </c>
    </row>
    <row r="45" spans="1:14">
      <c r="A45" s="2">
        <v>46185</v>
      </c>
      <c r="B45" t="s">
        <v>171</v>
      </c>
      <c r="C45" t="s">
        <v>1</v>
      </c>
      <c r="D45" t="s">
        <v>85</v>
      </c>
      <c r="E45" t="e">
        <f>VLOOKUP(#REF!,Catalogos!$V$4:$W$64,2,FALSE)</f>
        <v>#REF!</v>
      </c>
      <c r="F45" s="3"/>
      <c r="G45" s="6">
        <v>30</v>
      </c>
      <c r="H45" s="3">
        <f t="shared" si="3"/>
        <v>-2765</v>
      </c>
      <c r="I45" s="4">
        <v>28.3</v>
      </c>
      <c r="J45" s="4">
        <f t="shared" si="4"/>
        <v>849</v>
      </c>
      <c r="M45">
        <f t="shared" si="2"/>
        <v>24</v>
      </c>
      <c r="N45" t="str">
        <f>IF(A45="","", "CM-" &amp; IFERROR(VLOOKUP(C45, Catalogos!$Z$4:$AA$20, 2, FALSE), "FOL") &amp; "-" &amp; WEEKNUM(A45,2) &amp; "-" &amp; TEXT(ROW(A41),"000"))</f>
        <v>CM-MT-24-041</v>
      </c>
    </row>
    <row r="46" spans="1:14">
      <c r="A46" s="2">
        <v>46185</v>
      </c>
      <c r="B46" t="s">
        <v>171</v>
      </c>
      <c r="C46" t="s">
        <v>1</v>
      </c>
      <c r="D46" t="s">
        <v>96</v>
      </c>
      <c r="E46" t="e">
        <f>VLOOKUP(#REF!,Catalogos!$V$4:$W$64,2,FALSE)</f>
        <v>#REF!</v>
      </c>
      <c r="F46" s="3"/>
      <c r="G46" s="6">
        <v>20</v>
      </c>
      <c r="H46" s="3">
        <f t="shared" si="3"/>
        <v>-2785</v>
      </c>
      <c r="I46" s="4">
        <v>28.3</v>
      </c>
      <c r="J46" s="4">
        <f t="shared" si="4"/>
        <v>566</v>
      </c>
      <c r="M46">
        <f t="shared" si="2"/>
        <v>24</v>
      </c>
      <c r="N46" t="str">
        <f>IF(A46="","", "CM-" &amp; IFERROR(VLOOKUP(C46, Catalogos!$Z$4:$AA$20, 2, FALSE), "FOL") &amp; "-" &amp; WEEKNUM(A46,2) &amp; "-" &amp; TEXT(ROW(A42),"000"))</f>
        <v>CM-MT-24-042</v>
      </c>
    </row>
    <row r="47" spans="1:14">
      <c r="A47" s="2">
        <v>46185</v>
      </c>
      <c r="B47" t="s">
        <v>171</v>
      </c>
      <c r="C47" t="s">
        <v>1</v>
      </c>
      <c r="D47" t="s">
        <v>48</v>
      </c>
      <c r="E47" t="e">
        <f>VLOOKUP(#REF!,Catalogos!$V$4:$W$64,2,FALSE)</f>
        <v>#REF!</v>
      </c>
      <c r="F47" s="3"/>
      <c r="G47" s="6">
        <v>40</v>
      </c>
      <c r="H47" s="3">
        <f t="shared" si="3"/>
        <v>-2825</v>
      </c>
      <c r="I47" s="4">
        <v>28.3</v>
      </c>
      <c r="J47" s="4">
        <f t="shared" si="4"/>
        <v>1132</v>
      </c>
      <c r="M47">
        <f t="shared" si="2"/>
        <v>24</v>
      </c>
      <c r="N47" t="str">
        <f>IF(A47="","", "CM-" &amp; IFERROR(VLOOKUP(C47, Catalogos!$Z$4:$AA$20, 2, FALSE), "FOL") &amp; "-" &amp; WEEKNUM(A47,2) &amp; "-" &amp; TEXT(ROW(A43),"000"))</f>
        <v>CM-MT-24-043</v>
      </c>
    </row>
    <row r="48" spans="1:14">
      <c r="A48" s="2">
        <v>46185</v>
      </c>
      <c r="B48" t="s">
        <v>171</v>
      </c>
      <c r="C48" t="s">
        <v>1</v>
      </c>
      <c r="D48" t="s">
        <v>69</v>
      </c>
      <c r="E48" t="e">
        <f>VLOOKUP(#REF!,Catalogos!$V$4:$W$64,2,FALSE)</f>
        <v>#REF!</v>
      </c>
      <c r="F48" s="3"/>
      <c r="G48" s="6">
        <v>250</v>
      </c>
      <c r="H48" s="3">
        <v>0</v>
      </c>
      <c r="I48" s="4">
        <v>28.3</v>
      </c>
      <c r="J48" s="4">
        <f t="shared" si="4"/>
        <v>7075</v>
      </c>
      <c r="M48">
        <f t="shared" si="2"/>
        <v>24</v>
      </c>
      <c r="N48" t="str">
        <f>IF(A48="","", "CM-" &amp; IFERROR(VLOOKUP(C48, Catalogos!$Z$4:$AA$20, 2, FALSE), "FOL") &amp; "-" &amp; WEEKNUM(A48,2) &amp; "-" &amp; TEXT(ROW(A44),"000"))</f>
        <v>CM-MT-24-044</v>
      </c>
    </row>
    <row r="49" spans="1:14">
      <c r="A49" s="2">
        <v>46188</v>
      </c>
      <c r="B49" t="s">
        <v>125</v>
      </c>
      <c r="C49" t="s">
        <v>114</v>
      </c>
      <c r="D49" t="s">
        <v>239</v>
      </c>
      <c r="E49" t="e">
        <f>VLOOKUP(#REF!,Catalogos!$V$4:$W$64,2,FALSE)</f>
        <v>#REF!</v>
      </c>
      <c r="F49" s="3">
        <v>500</v>
      </c>
      <c r="G49" s="6"/>
      <c r="H49" s="3">
        <f t="shared" si="3"/>
        <v>500</v>
      </c>
      <c r="I49" s="4"/>
      <c r="J49" s="4"/>
      <c r="M49">
        <f t="shared" si="2"/>
        <v>25</v>
      </c>
      <c r="N49" t="str">
        <f>IF(A49="","", "CM-" &amp; IFERROR(VLOOKUP(C49, Catalogos!$Z$4:$AA$20, 2, FALSE), "FOL") &amp; "-" &amp; WEEKNUM(A49,2) &amp; "-" &amp; TEXT(ROW(A45),"000"))</f>
        <v>CM-NA-25-045</v>
      </c>
    </row>
    <row r="50" spans="1:14">
      <c r="A50" s="2">
        <v>46188</v>
      </c>
      <c r="B50" t="s">
        <v>171</v>
      </c>
      <c r="C50" t="s">
        <v>1</v>
      </c>
      <c r="D50" t="s">
        <v>386</v>
      </c>
      <c r="E50" t="e">
        <f>VLOOKUP(#REF!,Catalogos!$V$4:$W$64,2,FALSE)</f>
        <v>#REF!</v>
      </c>
      <c r="F50" s="3"/>
      <c r="G50" s="6">
        <v>200</v>
      </c>
      <c r="H50" s="3">
        <f t="shared" si="3"/>
        <v>300</v>
      </c>
      <c r="I50" s="4">
        <v>28.3</v>
      </c>
      <c r="J50" s="4">
        <f t="shared" si="4"/>
        <v>5660</v>
      </c>
      <c r="M50">
        <f t="shared" si="2"/>
        <v>25</v>
      </c>
      <c r="N50" t="str">
        <f>IF(A50="","", "CM-" &amp; IFERROR(VLOOKUP(C50, Catalogos!$Z$4:$AA$20, 2, FALSE), "FOL") &amp; "-" &amp; WEEKNUM(A50,2) &amp; "-" &amp; TEXT(ROW(A46),"000"))</f>
        <v>CM-MT-25-046</v>
      </c>
    </row>
    <row r="51" spans="1:14">
      <c r="A51" s="2">
        <v>46188</v>
      </c>
      <c r="B51" t="s">
        <v>171</v>
      </c>
      <c r="C51" t="s">
        <v>1</v>
      </c>
      <c r="D51" t="s">
        <v>228</v>
      </c>
      <c r="E51" t="e">
        <f>VLOOKUP(#REF!,Catalogos!$V$4:$W$64,2,FALSE)</f>
        <v>#REF!</v>
      </c>
      <c r="F51" s="3"/>
      <c r="G51" s="6">
        <v>40</v>
      </c>
      <c r="H51" s="3">
        <f t="shared" si="3"/>
        <v>260</v>
      </c>
      <c r="I51" s="4">
        <v>28.3</v>
      </c>
      <c r="J51" s="4">
        <f t="shared" si="4"/>
        <v>1132</v>
      </c>
      <c r="M51">
        <f t="shared" si="2"/>
        <v>25</v>
      </c>
      <c r="N51" t="str">
        <f>IF(A51="","", "CM-" &amp; IFERROR(VLOOKUP(C51, Catalogos!$Z$4:$AA$20, 2, FALSE), "FOL") &amp; "-" &amp; WEEKNUM(A51,2) &amp; "-" &amp; TEXT(ROW(A47),"000"))</f>
        <v>CM-MT-25-047</v>
      </c>
    </row>
    <row r="52" spans="1:14">
      <c r="A52" s="2">
        <v>46188</v>
      </c>
      <c r="B52" t="s">
        <v>171</v>
      </c>
      <c r="C52" t="s">
        <v>1</v>
      </c>
      <c r="D52" t="s">
        <v>221</v>
      </c>
      <c r="E52" t="e">
        <f>VLOOKUP(#REF!,Catalogos!$V$4:$W$64,2,FALSE)</f>
        <v>#REF!</v>
      </c>
      <c r="F52" s="3"/>
      <c r="G52" s="6">
        <v>30</v>
      </c>
      <c r="H52" s="3">
        <f t="shared" si="3"/>
        <v>230</v>
      </c>
      <c r="I52" s="4">
        <v>28.3</v>
      </c>
      <c r="J52" s="4">
        <f t="shared" si="4"/>
        <v>849</v>
      </c>
      <c r="M52">
        <f t="shared" si="2"/>
        <v>25</v>
      </c>
      <c r="N52" t="str">
        <f>IF(A52="","", "CM-" &amp; IFERROR(VLOOKUP(C52, Catalogos!$Z$4:$AA$20, 2, FALSE), "FOL") &amp; "-" &amp; WEEKNUM(A52,2) &amp; "-" &amp; TEXT(ROW(A48),"000"))</f>
        <v>CM-MT-25-048</v>
      </c>
    </row>
    <row r="53" spans="1:14">
      <c r="A53" s="2">
        <v>46188</v>
      </c>
      <c r="B53" t="s">
        <v>171</v>
      </c>
      <c r="C53" t="s">
        <v>1</v>
      </c>
      <c r="D53" t="s">
        <v>224</v>
      </c>
      <c r="E53" t="e">
        <f>VLOOKUP(#REF!,Catalogos!$V$4:$W$64,2,FALSE)</f>
        <v>#REF!</v>
      </c>
      <c r="F53" s="3"/>
      <c r="G53" s="6">
        <v>50</v>
      </c>
      <c r="H53" s="3">
        <f t="shared" si="3"/>
        <v>180</v>
      </c>
      <c r="I53" s="4">
        <v>28.3</v>
      </c>
      <c r="J53" s="4">
        <f t="shared" si="4"/>
        <v>1415</v>
      </c>
      <c r="M53">
        <f t="shared" si="2"/>
        <v>25</v>
      </c>
      <c r="N53" t="str">
        <f>IF(A53="","", "CM-" &amp; IFERROR(VLOOKUP(C53, Catalogos!$Z$4:$AA$20, 2, FALSE), "FOL") &amp; "-" &amp; WEEKNUM(A53,2) &amp; "-" &amp; TEXT(ROW(A49),"000"))</f>
        <v>CM-MT-25-049</v>
      </c>
    </row>
    <row r="54" spans="1:14">
      <c r="A54" s="3807">
        <v>46188</v>
      </c>
      <c r="B54" s="3808" t="s">
        <v>171</v>
      </c>
      <c r="C54" s="3808" t="s">
        <v>1</v>
      </c>
      <c r="D54" s="3808" t="s">
        <v>368</v>
      </c>
      <c r="E54" s="3808" t="e">
        <f>VLOOKUP(#REF!,Catalogos!$V$4:$W$64,2,FALSE)</f>
        <v>#REF!</v>
      </c>
      <c r="F54" s="3809"/>
      <c r="G54" s="3810">
        <v>99</v>
      </c>
      <c r="H54" s="3809">
        <f t="shared" si="3"/>
        <v>81</v>
      </c>
      <c r="I54" s="3811">
        <v>28.3</v>
      </c>
      <c r="J54" s="3811">
        <f t="shared" si="4"/>
        <v>2801.7000000000003</v>
      </c>
      <c r="K54" s="3808"/>
      <c r="L54" s="3808"/>
      <c r="M54">
        <f t="shared" si="2"/>
        <v>25</v>
      </c>
      <c r="N54" t="str">
        <f>IF(A54="","", "CM-" &amp; IFERROR(VLOOKUP(C54, Catalogos!$Z$4:$AA$20, 2, FALSE), "FOL") &amp; "-" &amp; WEEKNUM(A54,2) &amp; "-" &amp; TEXT(ROW(A50),"000"))</f>
        <v>CM-MT-25-050</v>
      </c>
    </row>
    <row r="55" spans="1:14">
      <c r="A55" s="2">
        <v>46188</v>
      </c>
      <c r="B55" t="s">
        <v>171</v>
      </c>
      <c r="C55" t="s">
        <v>1</v>
      </c>
      <c r="D55" t="s">
        <v>383</v>
      </c>
      <c r="E55" t="e">
        <f>VLOOKUP(#REF!,Catalogos!$V$4:$W$64,2,FALSE)</f>
        <v>#REF!</v>
      </c>
      <c r="F55" s="3"/>
      <c r="G55" s="6">
        <v>50</v>
      </c>
      <c r="H55" s="3">
        <f t="shared" si="3"/>
        <v>31</v>
      </c>
      <c r="I55" s="4">
        <v>28.3</v>
      </c>
      <c r="J55" s="4">
        <f t="shared" si="4"/>
        <v>1415</v>
      </c>
      <c r="M55">
        <f t="shared" si="2"/>
        <v>25</v>
      </c>
      <c r="N55" t="str">
        <f>IF(A55="","", "CM-" &amp; IFERROR(VLOOKUP(C55, Catalogos!$Z$4:$AA$20, 2, FALSE), "FOL") &amp; "-" &amp; WEEKNUM(A55,2) &amp; "-" &amp; TEXT(ROW(A51),"000"))</f>
        <v>CM-MT-25-051</v>
      </c>
    </row>
    <row r="56" spans="1:14">
      <c r="A56" s="2">
        <v>46189</v>
      </c>
      <c r="B56" t="s">
        <v>125</v>
      </c>
      <c r="C56" t="s">
        <v>114</v>
      </c>
      <c r="D56" t="s">
        <v>239</v>
      </c>
      <c r="E56" t="e">
        <f>VLOOKUP(#REF!,Catalogos!$V$4:$W$64,2,FALSE)</f>
        <v>#REF!</v>
      </c>
      <c r="F56" s="3" t="e">
        <f>#REF!-H55</f>
        <v>#REF!</v>
      </c>
      <c r="G56" s="6"/>
      <c r="H56" s="3">
        <v>500</v>
      </c>
      <c r="I56" s="4"/>
      <c r="J56" s="4"/>
      <c r="M56">
        <f t="shared" si="2"/>
        <v>25</v>
      </c>
      <c r="N56" t="str">
        <f>IF(A56="","", "CM-" &amp; IFERROR(VLOOKUP(C56, Catalogos!$Z$4:$AA$20, 2, FALSE), "FOL") &amp; "-" &amp; WEEKNUM(A56,2) &amp; "-" &amp; TEXT(ROW(A52),"000"))</f>
        <v>CM-NA-25-052</v>
      </c>
    </row>
    <row r="57" spans="1:14">
      <c r="A57" s="2">
        <v>46189</v>
      </c>
      <c r="B57" t="s">
        <v>171</v>
      </c>
      <c r="C57" t="s">
        <v>1</v>
      </c>
      <c r="D57" t="s">
        <v>386</v>
      </c>
      <c r="E57" t="e">
        <f>VLOOKUP(#REF!,Catalogos!$V$4:$W$64,2,FALSE)</f>
        <v>#REF!</v>
      </c>
      <c r="F57" s="3"/>
      <c r="G57" s="6">
        <v>200</v>
      </c>
      <c r="H57" s="3">
        <f t="shared" si="3"/>
        <v>300</v>
      </c>
      <c r="I57" s="4">
        <v>28.3</v>
      </c>
      <c r="J57" s="4">
        <f t="shared" si="4"/>
        <v>5660</v>
      </c>
      <c r="M57">
        <f t="shared" si="2"/>
        <v>25</v>
      </c>
      <c r="N57" t="str">
        <f>IF(A57="","", "CM-" &amp; IFERROR(VLOOKUP(C57, Catalogos!$Z$4:$AA$20, 2, FALSE), "FOL") &amp; "-" &amp; WEEKNUM(A57,2) &amp; "-" &amp; TEXT(ROW(A53),"000"))</f>
        <v>CM-MT-25-053</v>
      </c>
    </row>
    <row r="58" spans="1:14">
      <c r="A58" s="2">
        <v>46189</v>
      </c>
      <c r="B58" t="s">
        <v>171</v>
      </c>
      <c r="C58" t="s">
        <v>1</v>
      </c>
      <c r="D58" t="s">
        <v>221</v>
      </c>
      <c r="E58" t="e">
        <f>VLOOKUP(#REF!,Catalogos!$V$4:$W$64,2,FALSE)</f>
        <v>#REF!</v>
      </c>
      <c r="F58" s="3"/>
      <c r="G58" s="6">
        <v>32</v>
      </c>
      <c r="H58" s="3">
        <f t="shared" si="3"/>
        <v>268</v>
      </c>
      <c r="I58" s="4">
        <v>28.3</v>
      </c>
      <c r="J58" s="4">
        <f t="shared" si="4"/>
        <v>905.6</v>
      </c>
      <c r="M58">
        <f t="shared" si="2"/>
        <v>25</v>
      </c>
      <c r="N58" t="str">
        <f>IF(A58="","", "CM-" &amp; IFERROR(VLOOKUP(C58, Catalogos!$Z$4:$AA$20, 2, FALSE), "FOL") &amp; "-" &amp; WEEKNUM(A58,2) &amp; "-" &amp; TEXT(ROW(A54),"000"))</f>
        <v>CM-MT-25-054</v>
      </c>
    </row>
    <row r="59" spans="1:14">
      <c r="A59" s="2">
        <v>46189</v>
      </c>
      <c r="B59" t="s">
        <v>171</v>
      </c>
      <c r="C59" t="s">
        <v>1</v>
      </c>
      <c r="D59" t="s">
        <v>224</v>
      </c>
      <c r="E59" t="e">
        <f>VLOOKUP(#REF!,Catalogos!$V$4:$W$64,2,FALSE)</f>
        <v>#REF!</v>
      </c>
      <c r="F59" s="3"/>
      <c r="G59" s="6">
        <v>30</v>
      </c>
      <c r="H59" s="3">
        <f t="shared" si="3"/>
        <v>238</v>
      </c>
      <c r="I59" s="4">
        <v>28.3</v>
      </c>
      <c r="J59" s="4">
        <f t="shared" si="4"/>
        <v>849</v>
      </c>
      <c r="M59">
        <f t="shared" si="2"/>
        <v>25</v>
      </c>
      <c r="N59" t="str">
        <f>IF(A59="","", "CM-" &amp; IFERROR(VLOOKUP(C59, Catalogos!$Z$4:$AA$20, 2, FALSE), "FOL") &amp; "-" &amp; WEEKNUM(A59,2) &amp; "-" &amp; TEXT(ROW(A55),"000"))</f>
        <v>CM-MT-25-055</v>
      </c>
    </row>
    <row r="60" spans="1:14">
      <c r="A60" s="2">
        <v>46189</v>
      </c>
      <c r="B60" t="s">
        <v>171</v>
      </c>
      <c r="C60" t="s">
        <v>1</v>
      </c>
      <c r="D60" t="s">
        <v>216</v>
      </c>
      <c r="E60" t="e">
        <f>VLOOKUP(#REF!,Catalogos!$V$4:$W$64,2,FALSE)</f>
        <v>#REF!</v>
      </c>
      <c r="F60" s="3"/>
      <c r="G60" s="6">
        <v>30</v>
      </c>
      <c r="H60" s="3">
        <f t="shared" si="3"/>
        <v>208</v>
      </c>
      <c r="I60" s="4">
        <v>28.3</v>
      </c>
      <c r="J60" s="4">
        <f t="shared" si="4"/>
        <v>849</v>
      </c>
      <c r="M60">
        <f t="shared" si="2"/>
        <v>25</v>
      </c>
      <c r="N60" t="str">
        <f>IF(A60="","", "CM-" &amp; IFERROR(VLOOKUP(C60, Catalogos!$Z$4:$AA$20, 2, FALSE), "FOL") &amp; "-" &amp; WEEKNUM(A60,2) &amp; "-" &amp; TEXT(ROW(A56),"000"))</f>
        <v>CM-MT-25-056</v>
      </c>
    </row>
    <row r="61" spans="1:14">
      <c r="A61" s="3807">
        <v>46189</v>
      </c>
      <c r="B61" s="3808" t="s">
        <v>171</v>
      </c>
      <c r="C61" s="3808" t="s">
        <v>1</v>
      </c>
      <c r="D61" s="3808" t="s">
        <v>368</v>
      </c>
      <c r="E61" s="3808" t="e">
        <f>VLOOKUP(#REF!,Catalogos!$V$4:$W$64,2,FALSE)</f>
        <v>#REF!</v>
      </c>
      <c r="F61" s="3809"/>
      <c r="G61" s="3810">
        <v>107</v>
      </c>
      <c r="H61" s="3809">
        <f t="shared" si="3"/>
        <v>101</v>
      </c>
      <c r="I61" s="3811">
        <v>28.3</v>
      </c>
      <c r="J61" s="3811">
        <f t="shared" si="4"/>
        <v>3028.1</v>
      </c>
      <c r="M61" s="3808">
        <f t="shared" si="2"/>
        <v>25</v>
      </c>
      <c r="N61" s="3808" t="str">
        <f>IF(A61="","", "CM-" &amp; IFERROR(VLOOKUP(C61, Catalogos!$Z$4:$AA$20, 2, FALSE), "FOL") &amp; "-" &amp; WEEKNUM(A61,2) &amp; "-" &amp; TEXT(ROW(A57),"000"))</f>
        <v>CM-MT-25-057</v>
      </c>
    </row>
    <row r="62" spans="1:14">
      <c r="A62" s="2">
        <v>46189</v>
      </c>
      <c r="B62" t="s">
        <v>171</v>
      </c>
      <c r="C62" t="s">
        <v>1</v>
      </c>
      <c r="D62" t="s">
        <v>228</v>
      </c>
      <c r="E62" t="e">
        <f>VLOOKUP(#REF!,Catalogos!$V$4:$W$64,2,FALSE)</f>
        <v>#REF!</v>
      </c>
      <c r="F62" s="3"/>
      <c r="G62" s="6">
        <v>40</v>
      </c>
      <c r="H62" s="3">
        <f t="shared" si="3"/>
        <v>61</v>
      </c>
      <c r="I62" s="4">
        <v>28.3</v>
      </c>
      <c r="J62" s="4">
        <f t="shared" si="4"/>
        <v>1132</v>
      </c>
      <c r="M62">
        <f t="shared" si="2"/>
        <v>25</v>
      </c>
      <c r="N62" t="str">
        <f>IF(A62="","", "CM-" &amp; IFERROR(VLOOKUP(C62, Catalogos!$Z$4:$AA$20, 2, FALSE), "FOL") &amp; "-" &amp; WEEKNUM(A62,2) &amp; "-" &amp; TEXT(ROW(A58),"000"))</f>
        <v>CM-MT-25-058</v>
      </c>
    </row>
    <row r="63" spans="1:14">
      <c r="A63" s="2">
        <v>46189</v>
      </c>
      <c r="B63" t="s">
        <v>171</v>
      </c>
      <c r="C63" t="s">
        <v>1</v>
      </c>
      <c r="D63" t="s">
        <v>383</v>
      </c>
      <c r="E63" t="e">
        <f>VLOOKUP(#REF!,Catalogos!$V$4:$W$64,2,FALSE)</f>
        <v>#REF!</v>
      </c>
      <c r="F63" s="3"/>
      <c r="G63" s="6">
        <v>50</v>
      </c>
      <c r="H63" s="3">
        <f t="shared" si="3"/>
        <v>11</v>
      </c>
      <c r="I63" s="4">
        <v>28.3</v>
      </c>
      <c r="J63" s="4">
        <f t="shared" si="4"/>
        <v>1415</v>
      </c>
      <c r="M63">
        <f t="shared" si="2"/>
        <v>25</v>
      </c>
      <c r="N63" t="str">
        <f>IF(A63="","", "CM-" &amp; IFERROR(VLOOKUP(C63, Catalogos!$Z$4:$AA$20, 2, FALSE), "FOL") &amp; "-" &amp; WEEKNUM(A63,2) &amp; "-" &amp; TEXT(ROW(A59),"000"))</f>
        <v>CM-MT-25-059</v>
      </c>
    </row>
    <row r="64" spans="1:14">
      <c r="A64" s="2">
        <v>46190</v>
      </c>
      <c r="B64" t="s">
        <v>125</v>
      </c>
      <c r="C64" t="s">
        <v>114</v>
      </c>
      <c r="D64" t="s">
        <v>239</v>
      </c>
      <c r="E64" t="e">
        <f>VLOOKUP(#REF!,Catalogos!$V$4:$W$64,2,FALSE)</f>
        <v>#REF!</v>
      </c>
      <c r="F64" s="3" t="e">
        <f>#REF!-H63</f>
        <v>#REF!</v>
      </c>
      <c r="G64" s="6"/>
      <c r="H64" s="3">
        <v>520</v>
      </c>
      <c r="I64" s="4"/>
      <c r="J64" s="4"/>
      <c r="M64">
        <f t="shared" si="2"/>
        <v>25</v>
      </c>
      <c r="N64" t="str">
        <f>IF(A64="","", "CM-" &amp; IFERROR(VLOOKUP(C64, Catalogos!$Z$4:$AA$20, 2, FALSE), "FOL") &amp; "-" &amp; WEEKNUM(A64,2) &amp; "-" &amp; TEXT(ROW(A60),"000"))</f>
        <v>CM-NA-25-060</v>
      </c>
    </row>
    <row r="65" spans="1:14">
      <c r="A65" s="2">
        <v>46190</v>
      </c>
      <c r="B65" t="s">
        <v>171</v>
      </c>
      <c r="C65" t="s">
        <v>1</v>
      </c>
      <c r="D65" t="s">
        <v>386</v>
      </c>
      <c r="E65" t="e">
        <f>VLOOKUP(#REF!,Catalogos!$V$4:$W$64,2,FALSE)</f>
        <v>#REF!</v>
      </c>
      <c r="F65" s="3"/>
      <c r="G65" s="6">
        <v>200</v>
      </c>
      <c r="H65" s="3">
        <f>IF(ROW()=5,F65-G65,H64+F65-G65)</f>
        <v>320</v>
      </c>
      <c r="I65" s="4">
        <v>28.3</v>
      </c>
      <c r="J65" s="4">
        <f t="shared" si="4"/>
        <v>5660</v>
      </c>
      <c r="M65">
        <f t="shared" si="2"/>
        <v>25</v>
      </c>
      <c r="N65" t="str">
        <f>IF(A65="","", "CM-" &amp; IFERROR(VLOOKUP(C65, Catalogos!$Z$4:$AA$20, 2, FALSE), "FOL") &amp; "-" &amp; WEEKNUM(A65,2) &amp; "-" &amp; TEXT(ROW(A61),"000"))</f>
        <v>CM-MT-25-061</v>
      </c>
    </row>
    <row r="66" spans="1:14">
      <c r="A66" s="3807">
        <v>46190</v>
      </c>
      <c r="B66" s="3808" t="s">
        <v>171</v>
      </c>
      <c r="C66" s="3808" t="s">
        <v>1</v>
      </c>
      <c r="D66" s="3808" t="s">
        <v>368</v>
      </c>
      <c r="E66" s="3808" t="e">
        <f>VLOOKUP(#REF!,Catalogos!$V$4:$W$64,2,FALSE)</f>
        <v>#REF!</v>
      </c>
      <c r="F66" s="3809"/>
      <c r="G66" s="3810">
        <v>120</v>
      </c>
      <c r="H66" s="3809">
        <f t="shared" ref="H66:H129" si="5">IF(ROW()=5,F66-G66,H65+F66-G66)</f>
        <v>200</v>
      </c>
      <c r="I66" s="3811">
        <v>28.3</v>
      </c>
      <c r="J66" s="3811">
        <f t="shared" si="4"/>
        <v>3396</v>
      </c>
      <c r="K66" s="3808"/>
      <c r="L66" s="3808"/>
      <c r="M66" s="3808">
        <f t="shared" si="2"/>
        <v>25</v>
      </c>
      <c r="N66" s="3808" t="str">
        <f>IF(A66="","", "CM-" &amp; IFERROR(VLOOKUP(C66, Catalogos!$Z$4:$AA$20, 2, FALSE), "FOL") &amp; "-" &amp; WEEKNUM(A66,2) &amp; "-" &amp; TEXT(ROW(A62),"000"))</f>
        <v>CM-MT-25-062</v>
      </c>
    </row>
    <row r="67" spans="1:14">
      <c r="A67" s="2">
        <v>46190</v>
      </c>
      <c r="B67" t="s">
        <v>171</v>
      </c>
      <c r="C67" t="s">
        <v>1</v>
      </c>
      <c r="D67" t="s">
        <v>221</v>
      </c>
      <c r="E67" t="e">
        <f>VLOOKUP(#REF!,Catalogos!$V$4:$W$64,2,FALSE)</f>
        <v>#REF!</v>
      </c>
      <c r="F67" s="3"/>
      <c r="G67" s="6">
        <v>32</v>
      </c>
      <c r="H67" s="3">
        <f t="shared" si="5"/>
        <v>168</v>
      </c>
      <c r="I67" s="4">
        <v>28.3</v>
      </c>
      <c r="J67" s="4">
        <f t="shared" si="4"/>
        <v>905.6</v>
      </c>
      <c r="M67">
        <f t="shared" si="2"/>
        <v>25</v>
      </c>
      <c r="N67" t="str">
        <f>IF(A67="","", "CM-" &amp; IFERROR(VLOOKUP(C67, Catalogos!$Z$4:$AA$20, 2, FALSE), "FOL") &amp; "-" &amp; WEEKNUM(A67,2) &amp; "-" &amp; TEXT(ROW(A63),"000"))</f>
        <v>CM-MT-25-063</v>
      </c>
    </row>
    <row r="68" spans="1:14">
      <c r="A68" s="2">
        <v>46190</v>
      </c>
      <c r="B68" t="s">
        <v>171</v>
      </c>
      <c r="C68" t="s">
        <v>1</v>
      </c>
      <c r="D68" t="s">
        <v>224</v>
      </c>
      <c r="E68" t="e">
        <f>VLOOKUP(#REF!,Catalogos!$V$4:$W$64,2,FALSE)</f>
        <v>#REF!</v>
      </c>
      <c r="F68" s="3"/>
      <c r="G68" s="6">
        <v>30</v>
      </c>
      <c r="H68" s="3">
        <f t="shared" si="5"/>
        <v>138</v>
      </c>
      <c r="I68" s="4">
        <v>28.3</v>
      </c>
      <c r="J68" s="4">
        <f t="shared" si="4"/>
        <v>849</v>
      </c>
      <c r="M68">
        <f t="shared" si="2"/>
        <v>25</v>
      </c>
      <c r="N68" t="str">
        <f>IF(A68="","", "CM-" &amp; IFERROR(VLOOKUP(C68, Catalogos!$Z$4:$AA$20, 2, FALSE), "FOL") &amp; "-" &amp; WEEKNUM(A68,2) &amp; "-" &amp; TEXT(ROW(A64),"000"))</f>
        <v>CM-MT-25-064</v>
      </c>
    </row>
    <row r="69" spans="1:14">
      <c r="A69" s="2">
        <v>46190</v>
      </c>
      <c r="B69" t="s">
        <v>171</v>
      </c>
      <c r="C69" t="s">
        <v>1</v>
      </c>
      <c r="D69" t="s">
        <v>216</v>
      </c>
      <c r="E69" t="e">
        <f>VLOOKUP(#REF!,Catalogos!$V$4:$W$64,2,FALSE)</f>
        <v>#REF!</v>
      </c>
      <c r="F69" s="3"/>
      <c r="G69" s="6">
        <v>28</v>
      </c>
      <c r="H69" s="3">
        <f t="shared" si="5"/>
        <v>110</v>
      </c>
      <c r="I69" s="4">
        <v>28.3</v>
      </c>
      <c r="J69" s="4">
        <f t="shared" si="4"/>
        <v>792.4</v>
      </c>
      <c r="M69">
        <f t="shared" ref="M69:M132" si="6">IF(A69="","", WEEKNUM(A69, 2))</f>
        <v>25</v>
      </c>
      <c r="N69" t="str">
        <f>IF(A69="","", "CM-" &amp; IFERROR(VLOOKUP(C69, Catalogos!$Z$4:$AA$20, 2, FALSE), "FOL") &amp; "-" &amp; WEEKNUM(A69,2) &amp; "-" &amp; TEXT(ROW(A65),"000"))</f>
        <v>CM-MT-25-065</v>
      </c>
    </row>
    <row r="70" spans="1:14">
      <c r="A70" s="2">
        <v>46190</v>
      </c>
      <c r="B70" t="s">
        <v>171</v>
      </c>
      <c r="C70" t="s">
        <v>1</v>
      </c>
      <c r="D70" t="s">
        <v>228</v>
      </c>
      <c r="E70" t="e">
        <f>VLOOKUP(#REF!,Catalogos!$V$4:$W$64,2,FALSE)</f>
        <v>#REF!</v>
      </c>
      <c r="F70" s="3"/>
      <c r="G70" s="6">
        <v>60</v>
      </c>
      <c r="H70" s="3">
        <f t="shared" si="5"/>
        <v>50</v>
      </c>
      <c r="I70" s="4">
        <v>28.3</v>
      </c>
      <c r="J70" s="4">
        <f t="shared" si="4"/>
        <v>1698</v>
      </c>
      <c r="M70">
        <f t="shared" si="6"/>
        <v>25</v>
      </c>
      <c r="N70" t="str">
        <f>IF(A70="","", "CM-" &amp; IFERROR(VLOOKUP(C70, Catalogos!$Z$4:$AA$20, 2, FALSE), "FOL") &amp; "-" &amp; WEEKNUM(A70,2) &amp; "-" &amp; TEXT(ROW(A66),"000"))</f>
        <v>CM-MT-25-066</v>
      </c>
    </row>
    <row r="71" spans="1:14">
      <c r="A71" s="2">
        <v>46191</v>
      </c>
      <c r="B71" t="s">
        <v>171</v>
      </c>
      <c r="C71" t="s">
        <v>1</v>
      </c>
      <c r="D71" t="s">
        <v>383</v>
      </c>
      <c r="E71" t="e">
        <f>VLOOKUP(#REF!,Catalogos!$V$4:$W$64,2,FALSE)</f>
        <v>#REF!</v>
      </c>
      <c r="G71" s="6">
        <v>50</v>
      </c>
      <c r="H71" s="3">
        <f t="shared" si="5"/>
        <v>0</v>
      </c>
      <c r="I71" s="4">
        <v>28.3</v>
      </c>
      <c r="J71" s="4">
        <f>IFERROR((F72+G72)*I71,0)</f>
        <v>5660</v>
      </c>
      <c r="M71">
        <f t="shared" si="6"/>
        <v>25</v>
      </c>
      <c r="N71" t="str">
        <f>IF(A71="","", "CM-" &amp; IFERROR(VLOOKUP(C71, Catalogos!$Z$4:$AA$20, 2, FALSE), "FOL") &amp; "-" &amp; WEEKNUM(A71,2) &amp; "-" &amp; TEXT(ROW(A67),"000"))</f>
        <v>CM-MT-25-067</v>
      </c>
    </row>
    <row r="72" spans="1:14">
      <c r="A72" s="2">
        <v>46191</v>
      </c>
      <c r="B72" t="s">
        <v>171</v>
      </c>
      <c r="C72" t="s">
        <v>1</v>
      </c>
      <c r="D72" t="s">
        <v>386</v>
      </c>
      <c r="E72" t="e">
        <f>VLOOKUP(#REF!,Catalogos!$V$4:$W$64,2,FALSE)</f>
        <v>#REF!</v>
      </c>
      <c r="F72" s="3"/>
      <c r="G72" s="6">
        <v>200</v>
      </c>
      <c r="H72" s="3">
        <f t="shared" si="5"/>
        <v>-200</v>
      </c>
      <c r="I72" s="4">
        <v>28.3</v>
      </c>
      <c r="J72" s="4">
        <f>IFERROR((F73+G73)*I72,0)</f>
        <v>3254.5</v>
      </c>
      <c r="M72">
        <f t="shared" si="6"/>
        <v>25</v>
      </c>
      <c r="N72" t="str">
        <f>IF(A72="","", "CM-" &amp; IFERROR(VLOOKUP(C72, Catalogos!$Z$4:$AA$20, 2, FALSE), "FOL") &amp; "-" &amp; WEEKNUM(A72,2) &amp; "-" &amp; TEXT(ROW(A68),"000"))</f>
        <v>CM-MT-25-068</v>
      </c>
    </row>
    <row r="73" spans="1:14">
      <c r="A73" s="2">
        <v>46191</v>
      </c>
      <c r="B73" t="s">
        <v>171</v>
      </c>
      <c r="C73" t="s">
        <v>1</v>
      </c>
      <c r="D73" t="s">
        <v>368</v>
      </c>
      <c r="E73" t="e">
        <f>VLOOKUP(#REF!,Catalogos!$V$4:$W$64,2,FALSE)</f>
        <v>#REF!</v>
      </c>
      <c r="F73" s="3"/>
      <c r="G73" s="6">
        <v>115</v>
      </c>
      <c r="H73" s="3">
        <f t="shared" si="5"/>
        <v>-315</v>
      </c>
      <c r="I73" s="4">
        <v>28.3</v>
      </c>
      <c r="J73" s="4">
        <f>IFERROR((F74+G74)*I73,0)</f>
        <v>849</v>
      </c>
      <c r="M73">
        <f t="shared" si="6"/>
        <v>25</v>
      </c>
      <c r="N73" t="str">
        <f>IF(A73="","", "CM-" &amp; IFERROR(VLOOKUP(C73, Catalogos!$Z$4:$AA$20, 2, FALSE), "FOL") &amp; "-" &amp; WEEKNUM(A73,2) &amp; "-" &amp; TEXT(ROW(A69),"000"))</f>
        <v>CM-MT-25-069</v>
      </c>
    </row>
    <row r="74" spans="1:14">
      <c r="A74" s="2">
        <v>46191</v>
      </c>
      <c r="B74" t="s">
        <v>171</v>
      </c>
      <c r="C74" t="s">
        <v>1</v>
      </c>
      <c r="D74" t="s">
        <v>224</v>
      </c>
      <c r="E74" t="e">
        <f>VLOOKUP(#REF!,Catalogos!$V$4:$W$64,2,FALSE)</f>
        <v>#REF!</v>
      </c>
      <c r="F74" s="3"/>
      <c r="G74" s="6">
        <v>30</v>
      </c>
      <c r="H74" s="3">
        <f t="shared" si="5"/>
        <v>-345</v>
      </c>
      <c r="I74" s="4">
        <v>28.3</v>
      </c>
      <c r="J74" s="4">
        <f>IFERROR((F75+G75)*I74,0)</f>
        <v>849</v>
      </c>
      <c r="M74">
        <f t="shared" si="6"/>
        <v>25</v>
      </c>
      <c r="N74" t="str">
        <f>IF(A74="","", "CM-" &amp; IFERROR(VLOOKUP(C74, Catalogos!$Z$4:$AA$20, 2, FALSE), "FOL") &amp; "-" &amp; WEEKNUM(A74,2) &amp; "-" &amp; TEXT(ROW(A70),"000"))</f>
        <v>CM-MT-25-070</v>
      </c>
    </row>
    <row r="75" spans="1:14">
      <c r="A75" s="2">
        <v>46191</v>
      </c>
      <c r="B75" t="s">
        <v>171</v>
      </c>
      <c r="C75" t="s">
        <v>1</v>
      </c>
      <c r="D75" t="s">
        <v>221</v>
      </c>
      <c r="E75" t="e">
        <f>VLOOKUP(#REF!,Catalogos!$V$4:$W$64,2,FALSE)</f>
        <v>#REF!</v>
      </c>
      <c r="F75" s="3"/>
      <c r="G75" s="6">
        <v>30</v>
      </c>
      <c r="H75" s="3">
        <f t="shared" si="5"/>
        <v>-375</v>
      </c>
      <c r="I75" s="4">
        <v>28.3</v>
      </c>
      <c r="J75" s="4">
        <f>IFERROR((#REF!+#REF!)*I75,0)</f>
        <v>0</v>
      </c>
      <c r="M75">
        <f t="shared" si="6"/>
        <v>25</v>
      </c>
      <c r="N75" t="str">
        <f>IF(A75="","", "CM-" &amp; IFERROR(VLOOKUP(C75, Catalogos!$Z$4:$AA$20, 2, FALSE), "FOL") &amp; "-" &amp; WEEKNUM(A75,2) &amp; "-" &amp; TEXT(ROW(A71),"000"))</f>
        <v>CM-MT-25-071</v>
      </c>
    </row>
    <row r="76" spans="1:14">
      <c r="A76" s="2">
        <v>46192</v>
      </c>
      <c r="B76" t="s">
        <v>171</v>
      </c>
      <c r="C76" t="s">
        <v>1</v>
      </c>
      <c r="D76" t="s">
        <v>368</v>
      </c>
      <c r="E76" t="e">
        <f>VLOOKUP(#REF!,Catalogos!$V$4:$W$64,2,FALSE)</f>
        <v>#REF!</v>
      </c>
      <c r="F76" s="3"/>
      <c r="G76" s="6">
        <v>120</v>
      </c>
      <c r="H76" s="3">
        <f t="shared" si="5"/>
        <v>-495</v>
      </c>
      <c r="I76" s="4">
        <v>28.3</v>
      </c>
      <c r="J76" s="4">
        <f t="shared" ref="J76:J102" si="7">IFERROR((F76+G76)*I76,0)</f>
        <v>3396</v>
      </c>
      <c r="M76">
        <f t="shared" si="6"/>
        <v>25</v>
      </c>
      <c r="N76" t="str">
        <f>IF(A76="","", "CM-" &amp; IFERROR(VLOOKUP(C76, Catalogos!$Z$4:$AA$20, 2, FALSE), "FOL") &amp; "-" &amp; WEEKNUM(A76,2) &amp; "-" &amp; TEXT(ROW(A72),"000"))</f>
        <v>CM-MT-25-072</v>
      </c>
    </row>
    <row r="77" spans="1:14">
      <c r="A77" s="2">
        <v>46192</v>
      </c>
      <c r="B77" t="s">
        <v>171</v>
      </c>
      <c r="C77" t="s">
        <v>1</v>
      </c>
      <c r="D77" t="s">
        <v>221</v>
      </c>
      <c r="E77" t="e">
        <f>VLOOKUP(#REF!,Catalogos!$V$4:$W$64,2,FALSE)</f>
        <v>#REF!</v>
      </c>
      <c r="F77" s="3"/>
      <c r="G77" s="6">
        <v>30</v>
      </c>
      <c r="H77" s="3">
        <f t="shared" si="5"/>
        <v>-525</v>
      </c>
      <c r="I77" s="4">
        <v>28.3</v>
      </c>
      <c r="J77" s="4">
        <f t="shared" si="7"/>
        <v>849</v>
      </c>
      <c r="M77">
        <f t="shared" si="6"/>
        <v>25</v>
      </c>
      <c r="N77" t="str">
        <f>IF(A77="","", "CM-" &amp; IFERROR(VLOOKUP(C77, Catalogos!$Z$4:$AA$20, 2, FALSE), "FOL") &amp; "-" &amp; WEEKNUM(A77,2) &amp; "-" &amp; TEXT(ROW(A73),"000"))</f>
        <v>CM-MT-25-073</v>
      </c>
    </row>
    <row r="78" spans="1:14">
      <c r="A78" s="2">
        <v>46192</v>
      </c>
      <c r="B78" t="s">
        <v>171</v>
      </c>
      <c r="C78" t="s">
        <v>1</v>
      </c>
      <c r="D78" t="s">
        <v>224</v>
      </c>
      <c r="E78" t="e">
        <f>VLOOKUP(#REF!,Catalogos!$V$4:$W$64,2,FALSE)</f>
        <v>#REF!</v>
      </c>
      <c r="F78" s="3"/>
      <c r="G78" s="6">
        <v>84</v>
      </c>
      <c r="H78" s="3">
        <f t="shared" si="5"/>
        <v>-609</v>
      </c>
      <c r="I78" s="4">
        <v>28.3</v>
      </c>
      <c r="J78" s="4">
        <f t="shared" si="7"/>
        <v>2377.2000000000003</v>
      </c>
      <c r="M78">
        <f t="shared" si="6"/>
        <v>25</v>
      </c>
      <c r="N78" t="str">
        <f>IF(A78="","", "CM-" &amp; IFERROR(VLOOKUP(C78, Catalogos!$Z$4:$AA$20, 2, FALSE), "FOL") &amp; "-" &amp; WEEKNUM(A78,2) &amp; "-" &amp; TEXT(ROW(A74),"000"))</f>
        <v>CM-MT-25-074</v>
      </c>
    </row>
    <row r="79" spans="1:14">
      <c r="A79" s="2">
        <v>46192</v>
      </c>
      <c r="B79" t="s">
        <v>171</v>
      </c>
      <c r="C79" t="s">
        <v>1</v>
      </c>
      <c r="D79" t="s">
        <v>228</v>
      </c>
      <c r="E79" t="e">
        <f>VLOOKUP(#REF!,Catalogos!$V$4:$W$64,2,FALSE)</f>
        <v>#REF!</v>
      </c>
      <c r="F79" s="3"/>
      <c r="G79" s="6">
        <v>40</v>
      </c>
      <c r="H79" s="3">
        <f t="shared" si="5"/>
        <v>-649</v>
      </c>
      <c r="I79" s="4">
        <v>28.3</v>
      </c>
      <c r="J79" s="4">
        <f t="shared" si="7"/>
        <v>1132</v>
      </c>
      <c r="M79">
        <f t="shared" si="6"/>
        <v>25</v>
      </c>
      <c r="N79" t="str">
        <f>IF(A79="","", "CM-" &amp; IFERROR(VLOOKUP(C79, Catalogos!$Z$4:$AA$20, 2, FALSE), "FOL") &amp; "-" &amp; WEEKNUM(A79,2) &amp; "-" &amp; TEXT(ROW(A75),"000"))</f>
        <v>CM-MT-25-075</v>
      </c>
    </row>
    <row r="80" spans="1:14">
      <c r="A80" s="2">
        <v>46192</v>
      </c>
      <c r="B80" t="s">
        <v>171</v>
      </c>
      <c r="C80" t="s">
        <v>1</v>
      </c>
      <c r="D80" t="s">
        <v>216</v>
      </c>
      <c r="E80" t="e">
        <f>VLOOKUP(#REF!,Catalogos!$V$4:$W$64,2,FALSE)</f>
        <v>#REF!</v>
      </c>
      <c r="F80" s="3"/>
      <c r="G80" s="6">
        <v>30</v>
      </c>
      <c r="H80" s="3">
        <f t="shared" si="5"/>
        <v>-679</v>
      </c>
      <c r="I80" s="4">
        <v>28.3</v>
      </c>
      <c r="J80" s="4">
        <f t="shared" si="7"/>
        <v>849</v>
      </c>
      <c r="M80">
        <f t="shared" si="6"/>
        <v>25</v>
      </c>
      <c r="N80" t="str">
        <f>IF(A80="","", "CM-" &amp; IFERROR(VLOOKUP(C80, Catalogos!$Z$4:$AA$20, 2, FALSE), "FOL") &amp; "-" &amp; WEEKNUM(A80,2) &amp; "-" &amp; TEXT(ROW(A76),"000"))</f>
        <v>CM-MT-25-076</v>
      </c>
    </row>
    <row r="81" spans="1:14">
      <c r="A81" s="2">
        <v>46191</v>
      </c>
      <c r="B81" t="s">
        <v>171</v>
      </c>
      <c r="C81" t="s">
        <v>1</v>
      </c>
      <c r="D81" t="s">
        <v>228</v>
      </c>
      <c r="E81" t="e">
        <f>VLOOKUP(#REF!,Catalogos!$V$4:$W$64,2,FALSE)</f>
        <v>#REF!</v>
      </c>
      <c r="F81" s="3"/>
      <c r="G81" s="6">
        <v>32</v>
      </c>
      <c r="H81" s="3">
        <f t="shared" si="5"/>
        <v>-711</v>
      </c>
      <c r="I81" s="4">
        <v>28.3</v>
      </c>
      <c r="J81" s="4">
        <f t="shared" si="7"/>
        <v>905.6</v>
      </c>
      <c r="M81">
        <f t="shared" si="6"/>
        <v>25</v>
      </c>
      <c r="N81" t="str">
        <f>IF(A81="","", "CM-" &amp; IFERROR(VLOOKUP(C81, Catalogos!$Z$4:$AA$20, 2, FALSE), "FOL") &amp; "-" &amp; WEEKNUM(A81,2) &amp; "-" &amp; TEXT(ROW(A77),"000"))</f>
        <v>CM-MT-25-077</v>
      </c>
    </row>
    <row r="82" spans="1:14">
      <c r="A82" s="2"/>
      <c r="E82" t="e">
        <f>VLOOKUP(#REF!,Catalogos!$V$4:$W$64,2,FALSE)</f>
        <v>#REF!</v>
      </c>
      <c r="F82" s="3"/>
      <c r="G82" s="6"/>
      <c r="H82" s="3">
        <f t="shared" si="5"/>
        <v>-711</v>
      </c>
      <c r="I82" s="4">
        <v>28.3</v>
      </c>
      <c r="J82" s="4">
        <f t="shared" si="7"/>
        <v>0</v>
      </c>
      <c r="M82" t="str">
        <f t="shared" si="6"/>
        <v/>
      </c>
      <c r="N82" t="str">
        <f>IF(A82="","", "CM-" &amp; IFERROR(VLOOKUP(C82, Catalogos!$Z$4:$AA$20, 2, FALSE), "FOL") &amp; "-" &amp; WEEKNUM(A82,2) &amp; "-" &amp; TEXT(ROW(A78),"000"))</f>
        <v/>
      </c>
    </row>
    <row r="83" spans="1:14">
      <c r="A83" s="2"/>
      <c r="E83" t="e">
        <f>VLOOKUP(#REF!,Catalogos!$V$4:$W$64,2,FALSE)</f>
        <v>#REF!</v>
      </c>
      <c r="F83" s="3"/>
      <c r="G83" s="6"/>
      <c r="H83" s="3">
        <f t="shared" si="5"/>
        <v>-711</v>
      </c>
      <c r="I83" s="4">
        <v>28.3</v>
      </c>
      <c r="J83" s="4">
        <f t="shared" si="7"/>
        <v>0</v>
      </c>
      <c r="M83" t="str">
        <f t="shared" si="6"/>
        <v/>
      </c>
      <c r="N83" t="str">
        <f>IF(A83="","", "CM-" &amp; IFERROR(VLOOKUP(C83, Catalogos!$Z$4:$AA$20, 2, FALSE), "FOL") &amp; "-" &amp; WEEKNUM(A83,2) &amp; "-" &amp; TEXT(ROW(A79),"000"))</f>
        <v/>
      </c>
    </row>
    <row r="84" spans="1:14">
      <c r="A84" s="2"/>
      <c r="E84" t="e">
        <f>VLOOKUP(#REF!,Catalogos!$V$4:$W$64,2,FALSE)</f>
        <v>#REF!</v>
      </c>
      <c r="F84" s="3"/>
      <c r="G84" s="6"/>
      <c r="H84" s="3">
        <f t="shared" si="5"/>
        <v>-711</v>
      </c>
      <c r="I84" s="4">
        <v>28.3</v>
      </c>
      <c r="J84" s="4">
        <f t="shared" si="7"/>
        <v>0</v>
      </c>
      <c r="M84" t="str">
        <f t="shared" si="6"/>
        <v/>
      </c>
      <c r="N84" t="str">
        <f>IF(A84="","", "CM-" &amp; IFERROR(VLOOKUP(C84, Catalogos!$Z$4:$AA$20, 2, FALSE), "FOL") &amp; "-" &amp; WEEKNUM(A84,2) &amp; "-" &amp; TEXT(ROW(A80),"000"))</f>
        <v/>
      </c>
    </row>
    <row r="85" spans="1:14">
      <c r="A85" s="2"/>
      <c r="E85" t="e">
        <f>VLOOKUP(#REF!,Catalogos!$V$4:$W$64,2,FALSE)</f>
        <v>#REF!</v>
      </c>
      <c r="F85" s="3"/>
      <c r="G85" s="6"/>
      <c r="H85" s="3">
        <f t="shared" si="5"/>
        <v>-711</v>
      </c>
      <c r="I85" s="4">
        <v>28.3</v>
      </c>
      <c r="J85" s="4">
        <f t="shared" si="7"/>
        <v>0</v>
      </c>
      <c r="M85" t="str">
        <f t="shared" si="6"/>
        <v/>
      </c>
      <c r="N85" t="str">
        <f>IF(A85="","", "CM-" &amp; IFERROR(VLOOKUP(C85, Catalogos!$Z$4:$AA$20, 2, FALSE), "FOL") &amp; "-" &amp; WEEKNUM(A85,2) &amp; "-" &amp; TEXT(ROW(A81),"000"))</f>
        <v/>
      </c>
    </row>
    <row r="86" spans="1:14">
      <c r="A86" s="2"/>
      <c r="E86" t="e">
        <f>VLOOKUP(#REF!,Catalogos!$V$4:$W$64,2,FALSE)</f>
        <v>#REF!</v>
      </c>
      <c r="F86" s="3"/>
      <c r="G86" s="6"/>
      <c r="H86" s="3">
        <f t="shared" si="5"/>
        <v>-711</v>
      </c>
      <c r="I86" s="4">
        <v>28.3</v>
      </c>
      <c r="J86" s="4">
        <f t="shared" si="7"/>
        <v>0</v>
      </c>
      <c r="M86" t="str">
        <f t="shared" si="6"/>
        <v/>
      </c>
      <c r="N86" t="str">
        <f>IF(A86="","", "CM-" &amp; IFERROR(VLOOKUP(C86, Catalogos!$Z$4:$AA$20, 2, FALSE), "FOL") &amp; "-" &amp; WEEKNUM(A86,2) &amp; "-" &amp; TEXT(ROW(A82),"000"))</f>
        <v/>
      </c>
    </row>
    <row r="87" spans="1:14">
      <c r="A87" s="2"/>
      <c r="E87" t="e">
        <f>VLOOKUP(#REF!,Catalogos!$V$4:$W$64,2,FALSE)</f>
        <v>#REF!</v>
      </c>
      <c r="F87" s="3"/>
      <c r="G87" s="6"/>
      <c r="H87" s="3">
        <f t="shared" si="5"/>
        <v>-711</v>
      </c>
      <c r="I87" s="4">
        <v>28.3</v>
      </c>
      <c r="J87" s="4">
        <f t="shared" si="7"/>
        <v>0</v>
      </c>
      <c r="M87" t="str">
        <f t="shared" si="6"/>
        <v/>
      </c>
      <c r="N87" t="str">
        <f>IF(A87="","", "CM-" &amp; IFERROR(VLOOKUP(C87, Catalogos!$Z$4:$AA$20, 2, FALSE), "FOL") &amp; "-" &amp; WEEKNUM(A87,2) &amp; "-" &amp; TEXT(ROW(A83),"000"))</f>
        <v/>
      </c>
    </row>
    <row r="88" spans="1:14">
      <c r="A88" s="2"/>
      <c r="E88" t="e">
        <f>VLOOKUP(#REF!,Catalogos!$V$4:$W$64,2,FALSE)</f>
        <v>#REF!</v>
      </c>
      <c r="F88" s="3"/>
      <c r="G88" s="6"/>
      <c r="H88" s="3">
        <f t="shared" si="5"/>
        <v>-711</v>
      </c>
      <c r="I88" s="4">
        <v>28.3</v>
      </c>
      <c r="J88" s="4">
        <f t="shared" si="7"/>
        <v>0</v>
      </c>
      <c r="M88" t="str">
        <f t="shared" si="6"/>
        <v/>
      </c>
      <c r="N88" t="str">
        <f>IF(A88="","", "CM-" &amp; IFERROR(VLOOKUP(C88, Catalogos!$Z$4:$AA$20, 2, FALSE), "FOL") &amp; "-" &amp; WEEKNUM(A88,2) &amp; "-" &amp; TEXT(ROW(A84),"000"))</f>
        <v/>
      </c>
    </row>
    <row r="89" spans="1:14">
      <c r="A89" s="2"/>
      <c r="E89" t="e">
        <f>VLOOKUP(#REF!,Catalogos!$V$4:$W$64,2,FALSE)</f>
        <v>#REF!</v>
      </c>
      <c r="F89" s="3"/>
      <c r="G89" s="6"/>
      <c r="H89" s="3">
        <f t="shared" si="5"/>
        <v>-711</v>
      </c>
      <c r="I89" s="4">
        <v>28.3</v>
      </c>
      <c r="J89" s="4">
        <f t="shared" si="7"/>
        <v>0</v>
      </c>
      <c r="M89" t="str">
        <f t="shared" si="6"/>
        <v/>
      </c>
      <c r="N89" t="str">
        <f>IF(A89="","", "CM-" &amp; IFERROR(VLOOKUP(C89, Catalogos!$Z$4:$AA$20, 2, FALSE), "FOL") &amp; "-" &amp; WEEKNUM(A89,2) &amp; "-" &amp; TEXT(ROW(A85),"000"))</f>
        <v/>
      </c>
    </row>
    <row r="90" spans="1:14">
      <c r="A90" s="2"/>
      <c r="E90" t="e">
        <f>VLOOKUP(#REF!,Catalogos!$V$4:$W$64,2,FALSE)</f>
        <v>#REF!</v>
      </c>
      <c r="F90" s="3"/>
      <c r="G90" s="6"/>
      <c r="H90" s="3">
        <f t="shared" si="5"/>
        <v>-711</v>
      </c>
      <c r="I90" s="4">
        <v>28.3</v>
      </c>
      <c r="J90" s="4">
        <f t="shared" si="7"/>
        <v>0</v>
      </c>
      <c r="M90" t="str">
        <f t="shared" si="6"/>
        <v/>
      </c>
      <c r="N90" t="str">
        <f>IF(A90="","", "CM-" &amp; IFERROR(VLOOKUP(C90, Catalogos!$Z$4:$AA$20, 2, FALSE), "FOL") &amp; "-" &amp; WEEKNUM(A90,2) &amp; "-" &amp; TEXT(ROW(A86),"000"))</f>
        <v/>
      </c>
    </row>
    <row r="91" spans="1:14">
      <c r="A91" s="2"/>
      <c r="E91" t="e">
        <f>VLOOKUP(#REF!,Catalogos!$V$4:$W$64,2,FALSE)</f>
        <v>#REF!</v>
      </c>
      <c r="F91" s="3"/>
      <c r="G91" s="6"/>
      <c r="H91" s="3">
        <f t="shared" si="5"/>
        <v>-711</v>
      </c>
      <c r="I91" s="4">
        <v>28.3</v>
      </c>
      <c r="J91" s="4">
        <f t="shared" si="7"/>
        <v>0</v>
      </c>
      <c r="M91" t="str">
        <f t="shared" si="6"/>
        <v/>
      </c>
      <c r="N91" t="str">
        <f>IF(A91="","", "CM-" &amp; IFERROR(VLOOKUP(C91, Catalogos!$Z$4:$AA$20, 2, FALSE), "FOL") &amp; "-" &amp; WEEKNUM(A91,2) &amp; "-" &amp; TEXT(ROW(A87),"000"))</f>
        <v/>
      </c>
    </row>
    <row r="92" spans="1:14">
      <c r="A92" s="2"/>
      <c r="E92" t="e">
        <f>VLOOKUP(#REF!,Catalogos!$V$4:$W$64,2,FALSE)</f>
        <v>#REF!</v>
      </c>
      <c r="F92" s="3"/>
      <c r="G92" s="6"/>
      <c r="H92" s="3">
        <f t="shared" si="5"/>
        <v>-711</v>
      </c>
      <c r="I92" s="4">
        <v>28.3</v>
      </c>
      <c r="J92" s="4">
        <f t="shared" si="7"/>
        <v>0</v>
      </c>
      <c r="M92" t="str">
        <f t="shared" si="6"/>
        <v/>
      </c>
      <c r="N92" t="str">
        <f>IF(A92="","", "CM-" &amp; IFERROR(VLOOKUP(C92, Catalogos!$Z$4:$AA$20, 2, FALSE), "FOL") &amp; "-" &amp; WEEKNUM(A92,2) &amp; "-" &amp; TEXT(ROW(A88),"000"))</f>
        <v/>
      </c>
    </row>
    <row r="93" spans="1:14">
      <c r="A93" s="2"/>
      <c r="E93" t="e">
        <f>VLOOKUP(#REF!,Catalogos!$V$4:$W$64,2,FALSE)</f>
        <v>#REF!</v>
      </c>
      <c r="F93" s="3"/>
      <c r="G93" s="6"/>
      <c r="H93" s="3">
        <f t="shared" si="5"/>
        <v>-711</v>
      </c>
      <c r="I93" s="4">
        <v>28.3</v>
      </c>
      <c r="J93" s="4">
        <f t="shared" si="7"/>
        <v>0</v>
      </c>
      <c r="M93" t="str">
        <f t="shared" si="6"/>
        <v/>
      </c>
      <c r="N93" t="str">
        <f>IF(A93="","", "CM-" &amp; IFERROR(VLOOKUP(C93, Catalogos!$Z$4:$AA$20, 2, FALSE), "FOL") &amp; "-" &amp; WEEKNUM(A93,2) &amp; "-" &amp; TEXT(ROW(A89),"000"))</f>
        <v/>
      </c>
    </row>
    <row r="94" spans="1:14">
      <c r="A94" s="2"/>
      <c r="E94" t="e">
        <f>VLOOKUP(#REF!,Catalogos!$V$4:$W$64,2,FALSE)</f>
        <v>#REF!</v>
      </c>
      <c r="F94" s="3"/>
      <c r="G94" s="6"/>
      <c r="H94" s="3">
        <f t="shared" si="5"/>
        <v>-711</v>
      </c>
      <c r="I94" s="4">
        <v>28.3</v>
      </c>
      <c r="J94" s="4">
        <f t="shared" si="7"/>
        <v>0</v>
      </c>
      <c r="M94" t="str">
        <f t="shared" si="6"/>
        <v/>
      </c>
      <c r="N94" t="str">
        <f>IF(A94="","", "CM-" &amp; IFERROR(VLOOKUP(C94, Catalogos!$Z$4:$AA$20, 2, FALSE), "FOL") &amp; "-" &amp; WEEKNUM(A94,2) &amp; "-" &amp; TEXT(ROW(A90),"000"))</f>
        <v/>
      </c>
    </row>
    <row r="95" spans="1:14">
      <c r="A95" s="2"/>
      <c r="E95" t="e">
        <f>VLOOKUP(#REF!,Catalogos!$V$4:$W$64,2,FALSE)</f>
        <v>#REF!</v>
      </c>
      <c r="F95" s="3"/>
      <c r="G95" s="6"/>
      <c r="H95" s="3">
        <f t="shared" si="5"/>
        <v>-711</v>
      </c>
      <c r="I95" s="4">
        <v>28.3</v>
      </c>
      <c r="J95" s="4">
        <f t="shared" si="7"/>
        <v>0</v>
      </c>
      <c r="M95" t="str">
        <f t="shared" si="6"/>
        <v/>
      </c>
      <c r="N95" t="str">
        <f>IF(A95="","", "CM-" &amp; IFERROR(VLOOKUP(C95, Catalogos!$Z$4:$AA$20, 2, FALSE), "FOL") &amp; "-" &amp; WEEKNUM(A95,2) &amp; "-" &amp; TEXT(ROW(A91),"000"))</f>
        <v/>
      </c>
    </row>
    <row r="96" spans="1:14">
      <c r="A96" s="2"/>
      <c r="E96" t="e">
        <f>VLOOKUP(#REF!,Catalogos!$V$4:$W$64,2,FALSE)</f>
        <v>#REF!</v>
      </c>
      <c r="F96" s="3"/>
      <c r="G96" s="6"/>
      <c r="H96" s="3">
        <f t="shared" si="5"/>
        <v>-711</v>
      </c>
      <c r="I96" s="4">
        <v>28.3</v>
      </c>
      <c r="J96" s="4">
        <f t="shared" si="7"/>
        <v>0</v>
      </c>
      <c r="M96" t="str">
        <f t="shared" si="6"/>
        <v/>
      </c>
      <c r="N96" t="str">
        <f>IF(A96="","", "CM-" &amp; IFERROR(VLOOKUP(C96, Catalogos!$Z$4:$AA$20, 2, FALSE), "FOL") &amp; "-" &amp; WEEKNUM(A96,2) &amp; "-" &amp; TEXT(ROW(A92),"000"))</f>
        <v/>
      </c>
    </row>
    <row r="97" spans="1:14">
      <c r="A97" s="2"/>
      <c r="E97" t="e">
        <f>VLOOKUP(#REF!,Catalogos!$V$4:$W$64,2,FALSE)</f>
        <v>#REF!</v>
      </c>
      <c r="F97" s="3"/>
      <c r="G97" s="6"/>
      <c r="H97" s="3">
        <f t="shared" si="5"/>
        <v>-711</v>
      </c>
      <c r="I97" s="4">
        <v>28.3</v>
      </c>
      <c r="J97" s="4">
        <f t="shared" si="7"/>
        <v>0</v>
      </c>
      <c r="M97" t="str">
        <f t="shared" si="6"/>
        <v/>
      </c>
      <c r="N97" t="str">
        <f>IF(A97="","", "CM-" &amp; IFERROR(VLOOKUP(C97, Catalogos!$Z$4:$AA$20, 2, FALSE), "FOL") &amp; "-" &amp; WEEKNUM(A97,2) &amp; "-" &amp; TEXT(ROW(A93),"000"))</f>
        <v/>
      </c>
    </row>
    <row r="98" spans="1:14">
      <c r="A98" s="2"/>
      <c r="E98" t="e">
        <f>VLOOKUP(#REF!,Catalogos!$V$4:$W$64,2,FALSE)</f>
        <v>#REF!</v>
      </c>
      <c r="F98" s="3"/>
      <c r="G98" s="6"/>
      <c r="H98" s="3">
        <f t="shared" si="5"/>
        <v>-711</v>
      </c>
      <c r="I98" s="4">
        <v>28.3</v>
      </c>
      <c r="J98" s="4">
        <f t="shared" si="7"/>
        <v>0</v>
      </c>
      <c r="M98" t="str">
        <f t="shared" si="6"/>
        <v/>
      </c>
      <c r="N98" t="str">
        <f>IF(A98="","", "CM-" &amp; IFERROR(VLOOKUP(C98, Catalogos!$Z$4:$AA$20, 2, FALSE), "FOL") &amp; "-" &amp; WEEKNUM(A98,2) &amp; "-" &amp; TEXT(ROW(A94),"000"))</f>
        <v/>
      </c>
    </row>
    <row r="99" spans="1:14">
      <c r="A99" s="2"/>
      <c r="E99" t="e">
        <f>VLOOKUP(#REF!,Catalogos!$V$4:$W$64,2,FALSE)</f>
        <v>#REF!</v>
      </c>
      <c r="F99" s="3"/>
      <c r="G99" s="6"/>
      <c r="H99" s="3">
        <f t="shared" si="5"/>
        <v>-711</v>
      </c>
      <c r="I99" s="4">
        <v>28.3</v>
      </c>
      <c r="J99" s="4">
        <f t="shared" si="7"/>
        <v>0</v>
      </c>
      <c r="M99" t="str">
        <f t="shared" si="6"/>
        <v/>
      </c>
      <c r="N99" t="str">
        <f>IF(A99="","", "CM-" &amp; IFERROR(VLOOKUP(C99, Catalogos!$Z$4:$AA$20, 2, FALSE), "FOL") &amp; "-" &amp; WEEKNUM(A99,2) &amp; "-" &amp; TEXT(ROW(A95),"000"))</f>
        <v/>
      </c>
    </row>
    <row r="100" spans="1:14">
      <c r="A100" s="2"/>
      <c r="E100" t="e">
        <f>VLOOKUP(#REF!,Catalogos!$V$4:$W$64,2,FALSE)</f>
        <v>#REF!</v>
      </c>
      <c r="F100" s="3"/>
      <c r="G100" s="6"/>
      <c r="H100" s="3">
        <f t="shared" si="5"/>
        <v>-711</v>
      </c>
      <c r="I100" s="4">
        <v>28.3</v>
      </c>
      <c r="J100" s="4">
        <f t="shared" si="7"/>
        <v>0</v>
      </c>
      <c r="M100" t="str">
        <f t="shared" si="6"/>
        <v/>
      </c>
      <c r="N100" t="str">
        <f>IF(A100="","", "CM-" &amp; IFERROR(VLOOKUP(C100, Catalogos!$Z$4:$AA$20, 2, FALSE), "FOL") &amp; "-" &amp; WEEKNUM(A100,2) &amp; "-" &amp; TEXT(ROW(A96),"000"))</f>
        <v/>
      </c>
    </row>
    <row r="101" spans="1:14">
      <c r="A101" s="2"/>
      <c r="E101" t="e">
        <f>VLOOKUP(#REF!,Catalogos!$V$4:$W$64,2,FALSE)</f>
        <v>#REF!</v>
      </c>
      <c r="F101" s="3"/>
      <c r="G101" s="6"/>
      <c r="H101" s="3">
        <f t="shared" si="5"/>
        <v>-711</v>
      </c>
      <c r="I101" s="4">
        <v>28.3</v>
      </c>
      <c r="J101" s="4">
        <f t="shared" si="7"/>
        <v>0</v>
      </c>
      <c r="M101" t="str">
        <f t="shared" si="6"/>
        <v/>
      </c>
      <c r="N101" t="str">
        <f>IF(A101="","", "CM-" &amp; IFERROR(VLOOKUP(C101, Catalogos!$Z$4:$AA$20, 2, FALSE), "FOL") &amp; "-" &amp; WEEKNUM(A101,2) &amp; "-" &amp; TEXT(ROW(A97),"000"))</f>
        <v/>
      </c>
    </row>
    <row r="102" spans="1:14">
      <c r="A102" s="2"/>
      <c r="E102" t="e">
        <f>VLOOKUP(#REF!,Catalogos!$V$4:$W$64,2,FALSE)</f>
        <v>#REF!</v>
      </c>
      <c r="F102" s="3"/>
      <c r="G102" s="6"/>
      <c r="H102" s="3">
        <f t="shared" si="5"/>
        <v>-711</v>
      </c>
      <c r="I102" s="4">
        <v>28.3</v>
      </c>
      <c r="J102" s="4">
        <f t="shared" si="7"/>
        <v>0</v>
      </c>
      <c r="M102" t="str">
        <f t="shared" si="6"/>
        <v/>
      </c>
      <c r="N102" t="str">
        <f>IF(A102="","", "CM-" &amp; IFERROR(VLOOKUP(C102, Catalogos!$Z$4:$AA$20, 2, FALSE), "FOL") &amp; "-" &amp; WEEKNUM(A102,2) &amp; "-" &amp; TEXT(ROW(A98),"000"))</f>
        <v/>
      </c>
    </row>
    <row r="103" spans="1:14">
      <c r="A103" s="2"/>
      <c r="E103" t="e">
        <f>VLOOKUP(#REF!,Catalogos!$V$4:$W$64,2,FALSE)</f>
        <v>#REF!</v>
      </c>
      <c r="F103" s="3"/>
      <c r="G103" s="6"/>
      <c r="H103" s="3">
        <f t="shared" si="5"/>
        <v>-711</v>
      </c>
      <c r="I103" s="4">
        <v>28.3</v>
      </c>
      <c r="J103" s="4">
        <f t="shared" ref="J103:J134" si="8">IFERROR((F103+G103)*I103,0)</f>
        <v>0</v>
      </c>
      <c r="M103" t="str">
        <f t="shared" si="6"/>
        <v/>
      </c>
      <c r="N103" t="str">
        <f>IF(A103="","", "CM-" &amp; IFERROR(VLOOKUP(C103, Catalogos!$Z$4:$AA$20, 2, FALSE), "FOL") &amp; "-" &amp; WEEKNUM(A103,2) &amp; "-" &amp; TEXT(ROW(A99),"000"))</f>
        <v/>
      </c>
    </row>
    <row r="104" spans="1:14">
      <c r="A104" s="2"/>
      <c r="E104" t="e">
        <f>VLOOKUP(#REF!,Catalogos!$V$4:$W$64,2,FALSE)</f>
        <v>#REF!</v>
      </c>
      <c r="F104" s="3"/>
      <c r="G104" s="6"/>
      <c r="H104" s="3">
        <f t="shared" si="5"/>
        <v>-711</v>
      </c>
      <c r="I104" s="4">
        <v>28.3</v>
      </c>
      <c r="J104" s="4">
        <f t="shared" si="8"/>
        <v>0</v>
      </c>
      <c r="M104" t="str">
        <f t="shared" si="6"/>
        <v/>
      </c>
      <c r="N104" t="str">
        <f>IF(A104="","", "CM-" &amp; IFERROR(VLOOKUP(C104, Catalogos!$Z$4:$AA$20, 2, FALSE), "FOL") &amp; "-" &amp; WEEKNUM(A104,2) &amp; "-" &amp; TEXT(ROW(A100),"000"))</f>
        <v/>
      </c>
    </row>
    <row r="105" spans="1:14">
      <c r="A105" s="2"/>
      <c r="E105" t="e">
        <f>VLOOKUP(#REF!,Catalogos!$V$4:$W$64,2,FALSE)</f>
        <v>#REF!</v>
      </c>
      <c r="F105" s="3"/>
      <c r="G105" s="6"/>
      <c r="H105" s="3">
        <f t="shared" si="5"/>
        <v>-711</v>
      </c>
      <c r="I105" s="4">
        <v>28.3</v>
      </c>
      <c r="J105" s="4">
        <f t="shared" si="8"/>
        <v>0</v>
      </c>
      <c r="M105" t="str">
        <f t="shared" si="6"/>
        <v/>
      </c>
      <c r="N105" t="str">
        <f>IF(A105="","", "CM-" &amp; IFERROR(VLOOKUP(C105, Catalogos!$Z$4:$AA$20, 2, FALSE), "FOL") &amp; "-" &amp; WEEKNUM(A105,2) &amp; "-" &amp; TEXT(ROW(A101),"000"))</f>
        <v/>
      </c>
    </row>
    <row r="106" spans="1:14">
      <c r="A106" s="2"/>
      <c r="E106" t="e">
        <f>VLOOKUP(#REF!,Catalogos!$V$4:$W$64,2,FALSE)</f>
        <v>#REF!</v>
      </c>
      <c r="F106" s="3"/>
      <c r="G106" s="6"/>
      <c r="H106" s="3">
        <f t="shared" si="5"/>
        <v>-711</v>
      </c>
      <c r="I106" s="4">
        <v>28.3</v>
      </c>
      <c r="J106" s="4">
        <f t="shared" si="8"/>
        <v>0</v>
      </c>
      <c r="M106" t="str">
        <f t="shared" si="6"/>
        <v/>
      </c>
      <c r="N106" t="str">
        <f>IF(A106="","", "CM-" &amp; IFERROR(VLOOKUP(C106, Catalogos!$Z$4:$AA$20, 2, FALSE), "FOL") &amp; "-" &amp; WEEKNUM(A106,2) &amp; "-" &amp; TEXT(ROW(A102),"000"))</f>
        <v/>
      </c>
    </row>
    <row r="107" spans="1:14">
      <c r="A107" s="2"/>
      <c r="E107" t="e">
        <f>VLOOKUP(#REF!,Catalogos!$V$4:$W$64,2,FALSE)</f>
        <v>#REF!</v>
      </c>
      <c r="F107" s="3"/>
      <c r="G107" s="6"/>
      <c r="H107" s="3">
        <f t="shared" si="5"/>
        <v>-711</v>
      </c>
      <c r="I107" s="4">
        <v>28.3</v>
      </c>
      <c r="J107" s="4">
        <f t="shared" si="8"/>
        <v>0</v>
      </c>
      <c r="M107" t="str">
        <f t="shared" si="6"/>
        <v/>
      </c>
      <c r="N107" t="str">
        <f>IF(A107="","", "CM-" &amp; IFERROR(VLOOKUP(C107, Catalogos!$Z$4:$AA$20, 2, FALSE), "FOL") &amp; "-" &amp; WEEKNUM(A107,2) &amp; "-" &amp; TEXT(ROW(A103),"000"))</f>
        <v/>
      </c>
    </row>
    <row r="108" spans="1:14">
      <c r="A108" s="2"/>
      <c r="E108" t="e">
        <f>VLOOKUP(#REF!,Catalogos!$V$4:$W$64,2,FALSE)</f>
        <v>#REF!</v>
      </c>
      <c r="F108" s="3"/>
      <c r="G108" s="6"/>
      <c r="H108" s="3">
        <f t="shared" si="5"/>
        <v>-711</v>
      </c>
      <c r="I108" s="4">
        <v>28.3</v>
      </c>
      <c r="J108" s="4">
        <f t="shared" si="8"/>
        <v>0</v>
      </c>
      <c r="M108" t="str">
        <f t="shared" si="6"/>
        <v/>
      </c>
      <c r="N108" t="str">
        <f>IF(A108="","", "CM-" &amp; IFERROR(VLOOKUP(C108, Catalogos!$Z$4:$AA$20, 2, FALSE), "FOL") &amp; "-" &amp; WEEKNUM(A108,2) &amp; "-" &amp; TEXT(ROW(A104),"000"))</f>
        <v/>
      </c>
    </row>
    <row r="109" spans="1:14">
      <c r="A109" s="2"/>
      <c r="E109" t="e">
        <f>VLOOKUP(#REF!,Catalogos!$V$4:$W$64,2,FALSE)</f>
        <v>#REF!</v>
      </c>
      <c r="F109" s="3"/>
      <c r="G109" s="6"/>
      <c r="H109" s="3">
        <f t="shared" si="5"/>
        <v>-711</v>
      </c>
      <c r="I109" s="4">
        <v>28.3</v>
      </c>
      <c r="J109" s="4">
        <f t="shared" si="8"/>
        <v>0</v>
      </c>
      <c r="M109" t="str">
        <f t="shared" si="6"/>
        <v/>
      </c>
      <c r="N109" t="str">
        <f>IF(A109="","", "CM-" &amp; IFERROR(VLOOKUP(C109, Catalogos!$Z$4:$AA$20, 2, FALSE), "FOL") &amp; "-" &amp; WEEKNUM(A109,2) &amp; "-" &amp; TEXT(ROW(A105),"000"))</f>
        <v/>
      </c>
    </row>
    <row r="110" spans="1:14">
      <c r="A110" s="2"/>
      <c r="E110" t="e">
        <f>VLOOKUP(#REF!,Catalogos!$V$4:$W$64,2,FALSE)</f>
        <v>#REF!</v>
      </c>
      <c r="F110" s="3"/>
      <c r="G110" s="6"/>
      <c r="H110" s="3">
        <f t="shared" si="5"/>
        <v>-711</v>
      </c>
      <c r="I110" s="4">
        <v>28.3</v>
      </c>
      <c r="J110" s="4">
        <f t="shared" si="8"/>
        <v>0</v>
      </c>
      <c r="M110" t="str">
        <f t="shared" si="6"/>
        <v/>
      </c>
      <c r="N110" t="str">
        <f>IF(A110="","", "CM-" &amp; IFERROR(VLOOKUP(C110, Catalogos!$Z$4:$AA$20, 2, FALSE), "FOL") &amp; "-" &amp; WEEKNUM(A110,2) &amp; "-" &amp; TEXT(ROW(A106),"000"))</f>
        <v/>
      </c>
    </row>
    <row r="111" spans="1:14">
      <c r="A111" s="2"/>
      <c r="E111" t="e">
        <f>VLOOKUP(#REF!,Catalogos!$V$4:$W$64,2,FALSE)</f>
        <v>#REF!</v>
      </c>
      <c r="F111" s="3"/>
      <c r="G111" s="6"/>
      <c r="H111" s="3">
        <f t="shared" si="5"/>
        <v>-711</v>
      </c>
      <c r="I111" s="4">
        <v>28.3</v>
      </c>
      <c r="J111" s="4">
        <f t="shared" si="8"/>
        <v>0</v>
      </c>
      <c r="M111" t="str">
        <f t="shared" si="6"/>
        <v/>
      </c>
      <c r="N111" t="str">
        <f>IF(A111="","", "CM-" &amp; IFERROR(VLOOKUP(C111, Catalogos!$Z$4:$AA$20, 2, FALSE), "FOL") &amp; "-" &amp; WEEKNUM(A111,2) &amp; "-" &amp; TEXT(ROW(A107),"000"))</f>
        <v/>
      </c>
    </row>
    <row r="112" spans="1:14">
      <c r="A112" s="2"/>
      <c r="E112" t="e">
        <f>VLOOKUP(#REF!,Catalogos!$V$4:$W$64,2,FALSE)</f>
        <v>#REF!</v>
      </c>
      <c r="F112" s="3"/>
      <c r="G112" s="6"/>
      <c r="H112" s="3">
        <f t="shared" si="5"/>
        <v>-711</v>
      </c>
      <c r="I112" s="4">
        <v>28.3</v>
      </c>
      <c r="J112" s="4">
        <f t="shared" si="8"/>
        <v>0</v>
      </c>
      <c r="M112" t="str">
        <f t="shared" si="6"/>
        <v/>
      </c>
      <c r="N112" t="str">
        <f>IF(A112="","", "CM-" &amp; IFERROR(VLOOKUP(C112, Catalogos!$Z$4:$AA$20, 2, FALSE), "FOL") &amp; "-" &amp; WEEKNUM(A112,2) &amp; "-" &amp; TEXT(ROW(A108),"000"))</f>
        <v/>
      </c>
    </row>
    <row r="113" spans="1:14">
      <c r="A113" s="2"/>
      <c r="E113" t="e">
        <f>VLOOKUP(#REF!,Catalogos!$V$4:$W$64,2,FALSE)</f>
        <v>#REF!</v>
      </c>
      <c r="F113" s="3"/>
      <c r="G113" s="6"/>
      <c r="H113" s="3">
        <f t="shared" si="5"/>
        <v>-711</v>
      </c>
      <c r="I113" s="4">
        <v>28.3</v>
      </c>
      <c r="J113" s="4">
        <f t="shared" si="8"/>
        <v>0</v>
      </c>
      <c r="M113" t="str">
        <f t="shared" si="6"/>
        <v/>
      </c>
      <c r="N113" t="str">
        <f>IF(A113="","", "CM-" &amp; IFERROR(VLOOKUP(C113, Catalogos!$Z$4:$AA$20, 2, FALSE), "FOL") &amp; "-" &amp; WEEKNUM(A113,2) &amp; "-" &amp; TEXT(ROW(A109),"000"))</f>
        <v/>
      </c>
    </row>
    <row r="114" spans="1:14">
      <c r="A114" s="2"/>
      <c r="E114" t="e">
        <f>VLOOKUP(#REF!,Catalogos!$V$4:$W$64,2,FALSE)</f>
        <v>#REF!</v>
      </c>
      <c r="F114" s="3"/>
      <c r="G114" s="6"/>
      <c r="H114" s="3">
        <f t="shared" si="5"/>
        <v>-711</v>
      </c>
      <c r="I114" s="4">
        <v>28.3</v>
      </c>
      <c r="J114" s="4">
        <f t="shared" si="8"/>
        <v>0</v>
      </c>
      <c r="M114" t="str">
        <f t="shared" si="6"/>
        <v/>
      </c>
      <c r="N114" t="str">
        <f>IF(A114="","", "CM-" &amp; IFERROR(VLOOKUP(C114, Catalogos!$Z$4:$AA$20, 2, FALSE), "FOL") &amp; "-" &amp; WEEKNUM(A114,2) &amp; "-" &amp; TEXT(ROW(A110),"000"))</f>
        <v/>
      </c>
    </row>
    <row r="115" spans="1:14">
      <c r="A115" s="2"/>
      <c r="E115" t="e">
        <f>VLOOKUP(#REF!,Catalogos!$V$4:$W$64,2,FALSE)</f>
        <v>#REF!</v>
      </c>
      <c r="F115" s="3"/>
      <c r="G115" s="6"/>
      <c r="H115" s="3">
        <f t="shared" si="5"/>
        <v>-711</v>
      </c>
      <c r="I115" s="4">
        <v>28.3</v>
      </c>
      <c r="J115" s="4">
        <f t="shared" si="8"/>
        <v>0</v>
      </c>
      <c r="M115" t="str">
        <f t="shared" si="6"/>
        <v/>
      </c>
      <c r="N115" t="str">
        <f>IF(A115="","", "CM-" &amp; IFERROR(VLOOKUP(C115, Catalogos!$Z$4:$AA$20, 2, FALSE), "FOL") &amp; "-" &amp; WEEKNUM(A115,2) &amp; "-" &amp; TEXT(ROW(A111),"000"))</f>
        <v/>
      </c>
    </row>
    <row r="116" spans="1:14">
      <c r="A116" s="2"/>
      <c r="E116" t="e">
        <f>VLOOKUP(#REF!,Catalogos!$V$4:$W$64,2,FALSE)</f>
        <v>#REF!</v>
      </c>
      <c r="F116" s="3"/>
      <c r="G116" s="6"/>
      <c r="H116" s="3">
        <f t="shared" si="5"/>
        <v>-711</v>
      </c>
      <c r="I116" s="4">
        <v>28.3</v>
      </c>
      <c r="J116" s="4">
        <f t="shared" si="8"/>
        <v>0</v>
      </c>
      <c r="M116" t="str">
        <f t="shared" si="6"/>
        <v/>
      </c>
      <c r="N116" t="str">
        <f>IF(A116="","", "CM-" &amp; IFERROR(VLOOKUP(C116, Catalogos!$Z$4:$AA$20, 2, FALSE), "FOL") &amp; "-" &amp; WEEKNUM(A116,2) &amp; "-" &amp; TEXT(ROW(A112),"000"))</f>
        <v/>
      </c>
    </row>
    <row r="117" spans="1:14">
      <c r="A117" s="2"/>
      <c r="E117" t="e">
        <f>VLOOKUP(#REF!,Catalogos!$V$4:$W$64,2,FALSE)</f>
        <v>#REF!</v>
      </c>
      <c r="F117" s="3"/>
      <c r="G117" s="6"/>
      <c r="H117" s="3">
        <f t="shared" si="5"/>
        <v>-711</v>
      </c>
      <c r="I117" s="4">
        <v>28.3</v>
      </c>
      <c r="J117" s="4">
        <f t="shared" si="8"/>
        <v>0</v>
      </c>
      <c r="M117" t="str">
        <f t="shared" si="6"/>
        <v/>
      </c>
      <c r="N117" t="str">
        <f>IF(A117="","", "CM-" &amp; IFERROR(VLOOKUP(C117, Catalogos!$Z$4:$AA$20, 2, FALSE), "FOL") &amp; "-" &amp; WEEKNUM(A117,2) &amp; "-" &amp; TEXT(ROW(A113),"000"))</f>
        <v/>
      </c>
    </row>
    <row r="118" spans="1:14">
      <c r="A118" s="2"/>
      <c r="E118" t="e">
        <f>VLOOKUP(#REF!,Catalogos!$V$4:$W$64,2,FALSE)</f>
        <v>#REF!</v>
      </c>
      <c r="F118" s="3"/>
      <c r="G118" s="6"/>
      <c r="H118" s="3">
        <f t="shared" si="5"/>
        <v>-711</v>
      </c>
      <c r="I118" s="4">
        <v>28.3</v>
      </c>
      <c r="J118" s="4">
        <f t="shared" si="8"/>
        <v>0</v>
      </c>
      <c r="M118" t="str">
        <f t="shared" si="6"/>
        <v/>
      </c>
      <c r="N118" t="str">
        <f>IF(A118="","", "CM-" &amp; IFERROR(VLOOKUP(C118, Catalogos!$Z$4:$AA$20, 2, FALSE), "FOL") &amp; "-" &amp; WEEKNUM(A118,2) &amp; "-" &amp; TEXT(ROW(A114),"000"))</f>
        <v/>
      </c>
    </row>
    <row r="119" spans="1:14">
      <c r="A119" s="2"/>
      <c r="E119" t="e">
        <f>VLOOKUP(#REF!,Catalogos!$V$4:$W$64,2,FALSE)</f>
        <v>#REF!</v>
      </c>
      <c r="F119" s="3"/>
      <c r="G119" s="6"/>
      <c r="H119" s="3">
        <f t="shared" si="5"/>
        <v>-711</v>
      </c>
      <c r="I119" s="4">
        <v>28.3</v>
      </c>
      <c r="J119" s="4">
        <f t="shared" si="8"/>
        <v>0</v>
      </c>
      <c r="M119" t="str">
        <f t="shared" si="6"/>
        <v/>
      </c>
      <c r="N119" t="str">
        <f>IF(A119="","", "CM-" &amp; IFERROR(VLOOKUP(C119, Catalogos!$Z$4:$AA$20, 2, FALSE), "FOL") &amp; "-" &amp; WEEKNUM(A119,2) &amp; "-" &amp; TEXT(ROW(A115),"000"))</f>
        <v/>
      </c>
    </row>
    <row r="120" spans="1:14">
      <c r="A120" s="2"/>
      <c r="E120" t="e">
        <f>VLOOKUP(#REF!,Catalogos!$V$4:$W$64,2,FALSE)</f>
        <v>#REF!</v>
      </c>
      <c r="F120" s="3"/>
      <c r="G120" s="6"/>
      <c r="H120" s="3">
        <f t="shared" si="5"/>
        <v>-711</v>
      </c>
      <c r="I120" s="4">
        <v>28.3</v>
      </c>
      <c r="J120" s="4">
        <f t="shared" si="8"/>
        <v>0</v>
      </c>
      <c r="M120" t="str">
        <f t="shared" si="6"/>
        <v/>
      </c>
      <c r="N120" t="str">
        <f>IF(A120="","", "CM-" &amp; IFERROR(VLOOKUP(C120, Catalogos!$Z$4:$AA$20, 2, FALSE), "FOL") &amp; "-" &amp; WEEKNUM(A120,2) &amp; "-" &amp; TEXT(ROW(A116),"000"))</f>
        <v/>
      </c>
    </row>
    <row r="121" spans="1:14">
      <c r="A121" s="2"/>
      <c r="E121" t="e">
        <f>VLOOKUP(#REF!,Catalogos!$V$4:$W$64,2,FALSE)</f>
        <v>#REF!</v>
      </c>
      <c r="F121" s="3"/>
      <c r="G121" s="6"/>
      <c r="H121" s="3">
        <f t="shared" si="5"/>
        <v>-711</v>
      </c>
      <c r="I121" s="4">
        <v>28.3</v>
      </c>
      <c r="J121" s="4">
        <f t="shared" si="8"/>
        <v>0</v>
      </c>
      <c r="M121" t="str">
        <f t="shared" si="6"/>
        <v/>
      </c>
      <c r="N121" t="str">
        <f>IF(A121="","", "CM-" &amp; IFERROR(VLOOKUP(C121, Catalogos!$Z$4:$AA$20, 2, FALSE), "FOL") &amp; "-" &amp; WEEKNUM(A121,2) &amp; "-" &amp; TEXT(ROW(A117),"000"))</f>
        <v/>
      </c>
    </row>
    <row r="122" spans="1:14">
      <c r="A122" s="2"/>
      <c r="E122" t="e">
        <f>VLOOKUP(#REF!,Catalogos!$V$4:$W$64,2,FALSE)</f>
        <v>#REF!</v>
      </c>
      <c r="F122" s="3"/>
      <c r="G122" s="6"/>
      <c r="H122" s="3">
        <f t="shared" si="5"/>
        <v>-711</v>
      </c>
      <c r="I122" s="4">
        <v>28.3</v>
      </c>
      <c r="J122" s="4">
        <f t="shared" si="8"/>
        <v>0</v>
      </c>
      <c r="M122" t="str">
        <f t="shared" si="6"/>
        <v/>
      </c>
      <c r="N122" t="str">
        <f>IF(A122="","", "CM-" &amp; IFERROR(VLOOKUP(C122, Catalogos!$Z$4:$AA$20, 2, FALSE), "FOL") &amp; "-" &amp; WEEKNUM(A122,2) &amp; "-" &amp; TEXT(ROW(A118),"000"))</f>
        <v/>
      </c>
    </row>
    <row r="123" spans="1:14">
      <c r="A123" s="2"/>
      <c r="E123" t="e">
        <f>VLOOKUP(#REF!,Catalogos!$V$4:$W$64,2,FALSE)</f>
        <v>#REF!</v>
      </c>
      <c r="F123" s="3"/>
      <c r="G123" s="6"/>
      <c r="H123" s="3">
        <f t="shared" si="5"/>
        <v>-711</v>
      </c>
      <c r="I123" s="4">
        <v>28.3</v>
      </c>
      <c r="J123" s="4">
        <f t="shared" si="8"/>
        <v>0</v>
      </c>
      <c r="M123" t="str">
        <f t="shared" si="6"/>
        <v/>
      </c>
      <c r="N123" t="str">
        <f>IF(A123="","", "CM-" &amp; IFERROR(VLOOKUP(C123, Catalogos!$Z$4:$AA$20, 2, FALSE), "FOL") &amp; "-" &amp; WEEKNUM(A123,2) &amp; "-" &amp; TEXT(ROW(A119),"000"))</f>
        <v/>
      </c>
    </row>
    <row r="124" spans="1:14">
      <c r="A124" s="2"/>
      <c r="E124" t="e">
        <f>VLOOKUP(#REF!,Catalogos!$V$4:$W$64,2,FALSE)</f>
        <v>#REF!</v>
      </c>
      <c r="F124" s="3"/>
      <c r="G124" s="6"/>
      <c r="H124" s="3">
        <f t="shared" si="5"/>
        <v>-711</v>
      </c>
      <c r="I124" s="4">
        <v>28.3</v>
      </c>
      <c r="J124" s="4">
        <f t="shared" si="8"/>
        <v>0</v>
      </c>
      <c r="M124" t="str">
        <f t="shared" si="6"/>
        <v/>
      </c>
      <c r="N124" t="str">
        <f>IF(A124="","", "CM-" &amp; IFERROR(VLOOKUP(C124, Catalogos!$Z$4:$AA$20, 2, FALSE), "FOL") &amp; "-" &amp; WEEKNUM(A124,2) &amp; "-" &amp; TEXT(ROW(A120),"000"))</f>
        <v/>
      </c>
    </row>
    <row r="125" spans="1:14">
      <c r="A125" s="2"/>
      <c r="E125" t="e">
        <f>VLOOKUP(#REF!,Catalogos!$V$4:$W$64,2,FALSE)</f>
        <v>#REF!</v>
      </c>
      <c r="F125" s="3"/>
      <c r="G125" s="6"/>
      <c r="H125" s="3">
        <f t="shared" si="5"/>
        <v>-711</v>
      </c>
      <c r="I125" s="4">
        <v>28.3</v>
      </c>
      <c r="J125" s="4">
        <f t="shared" si="8"/>
        <v>0</v>
      </c>
      <c r="M125" t="str">
        <f t="shared" si="6"/>
        <v/>
      </c>
      <c r="N125" t="str">
        <f>IF(A125="","", "CM-" &amp; IFERROR(VLOOKUP(C125, Catalogos!$Z$4:$AA$20, 2, FALSE), "FOL") &amp; "-" &amp; WEEKNUM(A125,2) &amp; "-" &amp; TEXT(ROW(A121),"000"))</f>
        <v/>
      </c>
    </row>
    <row r="126" spans="1:14">
      <c r="A126" s="2"/>
      <c r="E126" t="e">
        <f>VLOOKUP(#REF!,Catalogos!$V$4:$W$64,2,FALSE)</f>
        <v>#REF!</v>
      </c>
      <c r="F126" s="3"/>
      <c r="G126" s="6"/>
      <c r="H126" s="3">
        <f t="shared" si="5"/>
        <v>-711</v>
      </c>
      <c r="I126" s="4">
        <v>28.3</v>
      </c>
      <c r="J126" s="4">
        <f t="shared" si="8"/>
        <v>0</v>
      </c>
      <c r="M126" t="str">
        <f t="shared" si="6"/>
        <v/>
      </c>
      <c r="N126" t="str">
        <f>IF(A126="","", "CM-" &amp; IFERROR(VLOOKUP(C126, Catalogos!$Z$4:$AA$20, 2, FALSE), "FOL") &amp; "-" &amp; WEEKNUM(A126,2) &amp; "-" &amp; TEXT(ROW(A122),"000"))</f>
        <v/>
      </c>
    </row>
    <row r="127" spans="1:14">
      <c r="A127" s="2"/>
      <c r="E127" t="e">
        <f>VLOOKUP(#REF!,Catalogos!$V$4:$W$64,2,FALSE)</f>
        <v>#REF!</v>
      </c>
      <c r="F127" s="3"/>
      <c r="G127" s="6"/>
      <c r="H127" s="3">
        <f t="shared" si="5"/>
        <v>-711</v>
      </c>
      <c r="I127" s="4">
        <v>28.3</v>
      </c>
      <c r="J127" s="4">
        <f t="shared" si="8"/>
        <v>0</v>
      </c>
      <c r="M127" t="str">
        <f t="shared" si="6"/>
        <v/>
      </c>
      <c r="N127" t="str">
        <f>IF(A127="","", "CM-" &amp; IFERROR(VLOOKUP(C127, Catalogos!$Z$4:$AA$20, 2, FALSE), "FOL") &amp; "-" &amp; WEEKNUM(A127,2) &amp; "-" &amp; TEXT(ROW(A123),"000"))</f>
        <v/>
      </c>
    </row>
    <row r="128" spans="1:14">
      <c r="A128" s="2"/>
      <c r="E128" t="e">
        <f>VLOOKUP(#REF!,Catalogos!$V$4:$W$64,2,FALSE)</f>
        <v>#REF!</v>
      </c>
      <c r="F128" s="3"/>
      <c r="G128" s="6"/>
      <c r="H128" s="3">
        <f t="shared" si="5"/>
        <v>-711</v>
      </c>
      <c r="I128" s="4">
        <v>28.3</v>
      </c>
      <c r="J128" s="4">
        <f t="shared" si="8"/>
        <v>0</v>
      </c>
      <c r="M128" t="str">
        <f t="shared" si="6"/>
        <v/>
      </c>
      <c r="N128" t="str">
        <f>IF(A128="","", "CM-" &amp; IFERROR(VLOOKUP(C128, Catalogos!$Z$4:$AA$20, 2, FALSE), "FOL") &amp; "-" &amp; WEEKNUM(A128,2) &amp; "-" &amp; TEXT(ROW(A124),"000"))</f>
        <v/>
      </c>
    </row>
    <row r="129" spans="1:14">
      <c r="A129" s="2"/>
      <c r="E129" t="e">
        <f>VLOOKUP(#REF!,Catalogos!$V$4:$W$64,2,FALSE)</f>
        <v>#REF!</v>
      </c>
      <c r="F129" s="3"/>
      <c r="G129" s="6"/>
      <c r="H129" s="3">
        <f t="shared" si="5"/>
        <v>-711</v>
      </c>
      <c r="I129" s="4">
        <v>28.3</v>
      </c>
      <c r="J129" s="4">
        <f t="shared" si="8"/>
        <v>0</v>
      </c>
      <c r="M129" t="str">
        <f t="shared" si="6"/>
        <v/>
      </c>
      <c r="N129" t="str">
        <f>IF(A129="","", "CM-" &amp; IFERROR(VLOOKUP(C129, Catalogos!$Z$4:$AA$20, 2, FALSE), "FOL") &amp; "-" &amp; WEEKNUM(A129,2) &amp; "-" &amp; TEXT(ROW(A125),"000"))</f>
        <v/>
      </c>
    </row>
    <row r="130" spans="1:14">
      <c r="A130" s="2"/>
      <c r="E130" t="e">
        <f>VLOOKUP(#REF!,Catalogos!$V$4:$W$64,2,FALSE)</f>
        <v>#REF!</v>
      </c>
      <c r="F130" s="3"/>
      <c r="G130" s="6"/>
      <c r="H130" s="3">
        <f t="shared" ref="H130:H193" si="9">IF(ROW()=5,F130-G130,H129+F130-G130)</f>
        <v>-711</v>
      </c>
      <c r="I130" s="4">
        <v>28.3</v>
      </c>
      <c r="J130" s="4">
        <f t="shared" si="8"/>
        <v>0</v>
      </c>
      <c r="M130" t="str">
        <f t="shared" si="6"/>
        <v/>
      </c>
      <c r="N130" t="str">
        <f>IF(A130="","", "CM-" &amp; IFERROR(VLOOKUP(C130, Catalogos!$Z$4:$AA$20, 2, FALSE), "FOL") &amp; "-" &amp; WEEKNUM(A130,2) &amp; "-" &amp; TEXT(ROW(A126),"000"))</f>
        <v/>
      </c>
    </row>
    <row r="131" spans="1:14">
      <c r="A131" s="2"/>
      <c r="E131" t="e">
        <f>VLOOKUP(#REF!,Catalogos!$V$4:$W$64,2,FALSE)</f>
        <v>#REF!</v>
      </c>
      <c r="F131" s="3"/>
      <c r="G131" s="6"/>
      <c r="H131" s="3">
        <f t="shared" si="9"/>
        <v>-711</v>
      </c>
      <c r="I131" s="4">
        <v>28.3</v>
      </c>
      <c r="J131" s="4">
        <f t="shared" si="8"/>
        <v>0</v>
      </c>
      <c r="M131" t="str">
        <f t="shared" si="6"/>
        <v/>
      </c>
      <c r="N131" t="str">
        <f>IF(A131="","", "CM-" &amp; IFERROR(VLOOKUP(C131, Catalogos!$Z$4:$AA$20, 2, FALSE), "FOL") &amp; "-" &amp; WEEKNUM(A131,2) &amp; "-" &amp; TEXT(ROW(A127),"000"))</f>
        <v/>
      </c>
    </row>
    <row r="132" spans="1:14">
      <c r="A132" s="2"/>
      <c r="E132" t="e">
        <f>VLOOKUP(#REF!,Catalogos!$V$4:$W$64,2,FALSE)</f>
        <v>#REF!</v>
      </c>
      <c r="F132" s="3"/>
      <c r="G132" s="6"/>
      <c r="H132" s="3">
        <f t="shared" si="9"/>
        <v>-711</v>
      </c>
      <c r="I132" s="4">
        <v>28.3</v>
      </c>
      <c r="J132" s="4">
        <f t="shared" si="8"/>
        <v>0</v>
      </c>
      <c r="M132" t="str">
        <f t="shared" si="6"/>
        <v/>
      </c>
      <c r="N132" t="str">
        <f>IF(A132="","", "CM-" &amp; IFERROR(VLOOKUP(C132, Catalogos!$Z$4:$AA$20, 2, FALSE), "FOL") &amp; "-" &amp; WEEKNUM(A132,2) &amp; "-" &amp; TEXT(ROW(A128),"000"))</f>
        <v/>
      </c>
    </row>
    <row r="133" spans="1:14">
      <c r="A133" s="2"/>
      <c r="E133" t="e">
        <f>VLOOKUP(#REF!,Catalogos!$V$4:$W$64,2,FALSE)</f>
        <v>#REF!</v>
      </c>
      <c r="F133" s="3"/>
      <c r="G133" s="6"/>
      <c r="H133" s="3">
        <f t="shared" si="9"/>
        <v>-711</v>
      </c>
      <c r="I133" s="4">
        <v>28.3</v>
      </c>
      <c r="J133" s="4">
        <f t="shared" si="8"/>
        <v>0</v>
      </c>
      <c r="M133" t="str">
        <f t="shared" ref="M133:M196" si="10">IF(A133="","", WEEKNUM(A133, 2))</f>
        <v/>
      </c>
      <c r="N133" t="str">
        <f>IF(A133="","", "CM-" &amp; IFERROR(VLOOKUP(C133, Catalogos!$Z$4:$AA$20, 2, FALSE), "FOL") &amp; "-" &amp; WEEKNUM(A133,2) &amp; "-" &amp; TEXT(ROW(A129),"000"))</f>
        <v/>
      </c>
    </row>
    <row r="134" spans="1:14">
      <c r="A134" s="2"/>
      <c r="E134" t="e">
        <f>VLOOKUP(#REF!,Catalogos!$V$4:$W$64,2,FALSE)</f>
        <v>#REF!</v>
      </c>
      <c r="F134" s="3"/>
      <c r="G134" s="6"/>
      <c r="H134" s="3">
        <f t="shared" si="9"/>
        <v>-711</v>
      </c>
      <c r="I134" s="4">
        <v>28.3</v>
      </c>
      <c r="J134" s="4">
        <f t="shared" si="8"/>
        <v>0</v>
      </c>
      <c r="M134" t="str">
        <f t="shared" si="10"/>
        <v/>
      </c>
      <c r="N134" t="str">
        <f>IF(A134="","", "CM-" &amp; IFERROR(VLOOKUP(C134, Catalogos!$Z$4:$AA$20, 2, FALSE), "FOL") &amp; "-" &amp; WEEKNUM(A134,2) &amp; "-" &amp; TEXT(ROW(A130),"000"))</f>
        <v/>
      </c>
    </row>
    <row r="135" spans="1:14">
      <c r="A135" s="2"/>
      <c r="E135" t="e">
        <f>VLOOKUP(#REF!,Catalogos!$V$4:$W$64,2,FALSE)</f>
        <v>#REF!</v>
      </c>
      <c r="F135" s="3"/>
      <c r="G135" s="6"/>
      <c r="H135" s="3">
        <f t="shared" si="9"/>
        <v>-711</v>
      </c>
      <c r="I135" s="4">
        <v>28.3</v>
      </c>
      <c r="J135" s="4">
        <f t="shared" ref="J135:J166" si="11">IFERROR((F135+G135)*I135,0)</f>
        <v>0</v>
      </c>
      <c r="M135" t="str">
        <f t="shared" si="10"/>
        <v/>
      </c>
      <c r="N135" t="str">
        <f>IF(A135="","", "CM-" &amp; IFERROR(VLOOKUP(C135, Catalogos!$Z$4:$AA$20, 2, FALSE), "FOL") &amp; "-" &amp; WEEKNUM(A135,2) &amp; "-" &amp; TEXT(ROW(A131),"000"))</f>
        <v/>
      </c>
    </row>
    <row r="136" spans="1:14">
      <c r="A136" s="2"/>
      <c r="E136" t="e">
        <f>VLOOKUP(#REF!,Catalogos!$V$4:$W$64,2,FALSE)</f>
        <v>#REF!</v>
      </c>
      <c r="F136" s="3"/>
      <c r="G136" s="6"/>
      <c r="H136" s="3">
        <f t="shared" si="9"/>
        <v>-711</v>
      </c>
      <c r="I136" s="4">
        <v>28.3</v>
      </c>
      <c r="J136" s="4">
        <f t="shared" si="11"/>
        <v>0</v>
      </c>
      <c r="M136" t="str">
        <f t="shared" si="10"/>
        <v/>
      </c>
      <c r="N136" t="str">
        <f>IF(A136="","", "CM-" &amp; IFERROR(VLOOKUP(C136, Catalogos!$Z$4:$AA$20, 2, FALSE), "FOL") &amp; "-" &amp; WEEKNUM(A136,2) &amp; "-" &amp; TEXT(ROW(A132),"000"))</f>
        <v/>
      </c>
    </row>
    <row r="137" spans="1:14">
      <c r="A137" s="2"/>
      <c r="E137" t="e">
        <f>VLOOKUP(#REF!,Catalogos!$V$4:$W$64,2,FALSE)</f>
        <v>#REF!</v>
      </c>
      <c r="F137" s="3"/>
      <c r="G137" s="6"/>
      <c r="H137" s="3">
        <f t="shared" si="9"/>
        <v>-711</v>
      </c>
      <c r="I137" s="4">
        <v>28.3</v>
      </c>
      <c r="J137" s="4">
        <f t="shared" si="11"/>
        <v>0</v>
      </c>
      <c r="M137" t="str">
        <f t="shared" si="10"/>
        <v/>
      </c>
      <c r="N137" t="str">
        <f>IF(A137="","", "CM-" &amp; IFERROR(VLOOKUP(C137, Catalogos!$Z$4:$AA$20, 2, FALSE), "FOL") &amp; "-" &amp; WEEKNUM(A137,2) &amp; "-" &amp; TEXT(ROW(A133),"000"))</f>
        <v/>
      </c>
    </row>
    <row r="138" spans="1:14">
      <c r="A138" s="2"/>
      <c r="E138" t="e">
        <f>VLOOKUP(#REF!,Catalogos!$V$4:$W$64,2,FALSE)</f>
        <v>#REF!</v>
      </c>
      <c r="F138" s="3"/>
      <c r="G138" s="6"/>
      <c r="H138" s="3">
        <f t="shared" si="9"/>
        <v>-711</v>
      </c>
      <c r="I138" s="4">
        <v>28.3</v>
      </c>
      <c r="J138" s="4">
        <f t="shared" si="11"/>
        <v>0</v>
      </c>
      <c r="M138" t="str">
        <f t="shared" si="10"/>
        <v/>
      </c>
      <c r="N138" t="str">
        <f>IF(A138="","", "CM-" &amp; IFERROR(VLOOKUP(C138, Catalogos!$Z$4:$AA$20, 2, FALSE), "FOL") &amp; "-" &amp; WEEKNUM(A138,2) &amp; "-" &amp; TEXT(ROW(A134),"000"))</f>
        <v/>
      </c>
    </row>
    <row r="139" spans="1:14">
      <c r="A139" s="2"/>
      <c r="E139" t="e">
        <f>VLOOKUP(#REF!,Catalogos!$V$4:$W$64,2,FALSE)</f>
        <v>#REF!</v>
      </c>
      <c r="F139" s="3"/>
      <c r="G139" s="6"/>
      <c r="H139" s="3">
        <f t="shared" si="9"/>
        <v>-711</v>
      </c>
      <c r="I139" s="4">
        <v>28.3</v>
      </c>
      <c r="J139" s="4">
        <f t="shared" si="11"/>
        <v>0</v>
      </c>
      <c r="M139" t="str">
        <f t="shared" si="10"/>
        <v/>
      </c>
      <c r="N139" t="str">
        <f>IF(A139="","", "CM-" &amp; IFERROR(VLOOKUP(C139, Catalogos!$Z$4:$AA$20, 2, FALSE), "FOL") &amp; "-" &amp; WEEKNUM(A139,2) &amp; "-" &amp; TEXT(ROW(A135),"000"))</f>
        <v/>
      </c>
    </row>
    <row r="140" spans="1:14">
      <c r="A140" s="2"/>
      <c r="E140" t="e">
        <f>VLOOKUP(#REF!,Catalogos!$V$4:$W$64,2,FALSE)</f>
        <v>#REF!</v>
      </c>
      <c r="F140" s="3"/>
      <c r="G140" s="6"/>
      <c r="H140" s="3">
        <f t="shared" si="9"/>
        <v>-711</v>
      </c>
      <c r="I140" s="4">
        <v>28.3</v>
      </c>
      <c r="J140" s="4">
        <f t="shared" si="11"/>
        <v>0</v>
      </c>
      <c r="M140" t="str">
        <f t="shared" si="10"/>
        <v/>
      </c>
      <c r="N140" t="str">
        <f>IF(A140="","", "CM-" &amp; IFERROR(VLOOKUP(C140, Catalogos!$Z$4:$AA$20, 2, FALSE), "FOL") &amp; "-" &amp; WEEKNUM(A140,2) &amp; "-" &amp; TEXT(ROW(A136),"000"))</f>
        <v/>
      </c>
    </row>
    <row r="141" spans="1:14">
      <c r="A141" s="2"/>
      <c r="E141" t="e">
        <f>VLOOKUP(#REF!,Catalogos!$V$4:$W$64,2,FALSE)</f>
        <v>#REF!</v>
      </c>
      <c r="F141" s="3"/>
      <c r="G141" s="6"/>
      <c r="H141" s="3">
        <f t="shared" si="9"/>
        <v>-711</v>
      </c>
      <c r="I141" s="4">
        <v>28.3</v>
      </c>
      <c r="J141" s="4">
        <f t="shared" si="11"/>
        <v>0</v>
      </c>
      <c r="M141" t="str">
        <f t="shared" si="10"/>
        <v/>
      </c>
      <c r="N141" t="str">
        <f>IF(A141="","", "CM-" &amp; IFERROR(VLOOKUP(C141, Catalogos!$Z$4:$AA$20, 2, FALSE), "FOL") &amp; "-" &amp; WEEKNUM(A141,2) &amp; "-" &amp; TEXT(ROW(A137),"000"))</f>
        <v/>
      </c>
    </row>
    <row r="142" spans="1:14">
      <c r="A142" s="2"/>
      <c r="E142" t="e">
        <f>VLOOKUP(#REF!,Catalogos!$V$4:$W$64,2,FALSE)</f>
        <v>#REF!</v>
      </c>
      <c r="F142" s="3"/>
      <c r="G142" s="6"/>
      <c r="H142" s="3">
        <f t="shared" si="9"/>
        <v>-711</v>
      </c>
      <c r="I142" s="4">
        <v>28.3</v>
      </c>
      <c r="J142" s="4">
        <f t="shared" si="11"/>
        <v>0</v>
      </c>
      <c r="M142" t="str">
        <f t="shared" si="10"/>
        <v/>
      </c>
      <c r="N142" t="str">
        <f>IF(A142="","", "CM-" &amp; IFERROR(VLOOKUP(C142, Catalogos!$Z$4:$AA$20, 2, FALSE), "FOL") &amp; "-" &amp; WEEKNUM(A142,2) &amp; "-" &amp; TEXT(ROW(A138),"000"))</f>
        <v/>
      </c>
    </row>
    <row r="143" spans="1:14">
      <c r="A143" s="2"/>
      <c r="E143" t="e">
        <f>VLOOKUP(#REF!,Catalogos!$V$4:$W$64,2,FALSE)</f>
        <v>#REF!</v>
      </c>
      <c r="F143" s="3"/>
      <c r="G143" s="6"/>
      <c r="H143" s="3">
        <f t="shared" si="9"/>
        <v>-711</v>
      </c>
      <c r="I143" s="4">
        <v>28.3</v>
      </c>
      <c r="J143" s="4">
        <f t="shared" si="11"/>
        <v>0</v>
      </c>
      <c r="M143" t="str">
        <f t="shared" si="10"/>
        <v/>
      </c>
      <c r="N143" t="str">
        <f>IF(A143="","", "CM-" &amp; IFERROR(VLOOKUP(C143, Catalogos!$Z$4:$AA$20, 2, FALSE), "FOL") &amp; "-" &amp; WEEKNUM(A143,2) &amp; "-" &amp; TEXT(ROW(A139),"000"))</f>
        <v/>
      </c>
    </row>
    <row r="144" spans="1:14">
      <c r="A144" s="2"/>
      <c r="E144" t="e">
        <f>VLOOKUP(#REF!,Catalogos!$V$4:$W$64,2,FALSE)</f>
        <v>#REF!</v>
      </c>
      <c r="F144" s="3"/>
      <c r="G144" s="6"/>
      <c r="H144" s="3">
        <f t="shared" si="9"/>
        <v>-711</v>
      </c>
      <c r="I144" s="4">
        <v>28.3</v>
      </c>
      <c r="J144" s="4">
        <f t="shared" si="11"/>
        <v>0</v>
      </c>
      <c r="M144" t="str">
        <f t="shared" si="10"/>
        <v/>
      </c>
      <c r="N144" t="str">
        <f>IF(A144="","", "CM-" &amp; IFERROR(VLOOKUP(C144, Catalogos!$Z$4:$AA$20, 2, FALSE), "FOL") &amp; "-" &amp; WEEKNUM(A144,2) &amp; "-" &amp; TEXT(ROW(A140),"000"))</f>
        <v/>
      </c>
    </row>
    <row r="145" spans="1:14">
      <c r="A145" s="2"/>
      <c r="E145" t="e">
        <f>VLOOKUP(#REF!,Catalogos!$V$4:$W$64,2,FALSE)</f>
        <v>#REF!</v>
      </c>
      <c r="F145" s="3"/>
      <c r="G145" s="6"/>
      <c r="H145" s="3">
        <f t="shared" si="9"/>
        <v>-711</v>
      </c>
      <c r="I145" s="4">
        <v>28.3</v>
      </c>
      <c r="J145" s="4">
        <f t="shared" si="11"/>
        <v>0</v>
      </c>
      <c r="M145" t="str">
        <f t="shared" si="10"/>
        <v/>
      </c>
      <c r="N145" t="str">
        <f>IF(A145="","", "CM-" &amp; IFERROR(VLOOKUP(C145, Catalogos!$Z$4:$AA$20, 2, FALSE), "FOL") &amp; "-" &amp; WEEKNUM(A145,2) &amp; "-" &amp; TEXT(ROW(A141),"000"))</f>
        <v/>
      </c>
    </row>
    <row r="146" spans="1:14">
      <c r="A146" s="2"/>
      <c r="E146" t="e">
        <f>VLOOKUP(#REF!,Catalogos!$V$4:$W$64,2,FALSE)</f>
        <v>#REF!</v>
      </c>
      <c r="F146" s="3"/>
      <c r="G146" s="6"/>
      <c r="H146" s="3">
        <f t="shared" si="9"/>
        <v>-711</v>
      </c>
      <c r="I146" s="4">
        <v>28.3</v>
      </c>
      <c r="J146" s="4">
        <f t="shared" si="11"/>
        <v>0</v>
      </c>
      <c r="M146" t="str">
        <f t="shared" si="10"/>
        <v/>
      </c>
      <c r="N146" t="str">
        <f>IF(A146="","", "CM-" &amp; IFERROR(VLOOKUP(C146, Catalogos!$Z$4:$AA$20, 2, FALSE), "FOL") &amp; "-" &amp; WEEKNUM(A146,2) &amp; "-" &amp; TEXT(ROW(A142),"000"))</f>
        <v/>
      </c>
    </row>
    <row r="147" spans="1:14">
      <c r="A147" s="2"/>
      <c r="E147" t="e">
        <f>VLOOKUP(#REF!,Catalogos!$V$4:$W$64,2,FALSE)</f>
        <v>#REF!</v>
      </c>
      <c r="F147" s="3"/>
      <c r="G147" s="6"/>
      <c r="H147" s="3">
        <f t="shared" si="9"/>
        <v>-711</v>
      </c>
      <c r="I147" s="4">
        <v>28.3</v>
      </c>
      <c r="J147" s="4">
        <f t="shared" si="11"/>
        <v>0</v>
      </c>
      <c r="M147" t="str">
        <f t="shared" si="10"/>
        <v/>
      </c>
      <c r="N147" t="str">
        <f>IF(A147="","", "CM-" &amp; IFERROR(VLOOKUP(C147, Catalogos!$Z$4:$AA$20, 2, FALSE), "FOL") &amp; "-" &amp; WEEKNUM(A147,2) &amp; "-" &amp; TEXT(ROW(A143),"000"))</f>
        <v/>
      </c>
    </row>
    <row r="148" spans="1:14">
      <c r="A148" s="2"/>
      <c r="E148" t="e">
        <f>VLOOKUP(#REF!,Catalogos!$V$4:$W$64,2,FALSE)</f>
        <v>#REF!</v>
      </c>
      <c r="F148" s="3"/>
      <c r="G148" s="6"/>
      <c r="H148" s="3">
        <f t="shared" si="9"/>
        <v>-711</v>
      </c>
      <c r="I148" s="4">
        <v>28.3</v>
      </c>
      <c r="J148" s="4">
        <f t="shared" si="11"/>
        <v>0</v>
      </c>
      <c r="M148" t="str">
        <f t="shared" si="10"/>
        <v/>
      </c>
      <c r="N148" t="str">
        <f>IF(A148="","", "CM-" &amp; IFERROR(VLOOKUP(C148, Catalogos!$Z$4:$AA$20, 2, FALSE), "FOL") &amp; "-" &amp; WEEKNUM(A148,2) &amp; "-" &amp; TEXT(ROW(A144),"000"))</f>
        <v/>
      </c>
    </row>
    <row r="149" spans="1:14">
      <c r="A149" s="2"/>
      <c r="E149" t="e">
        <f>VLOOKUP(#REF!,Catalogos!$V$4:$W$64,2,FALSE)</f>
        <v>#REF!</v>
      </c>
      <c r="F149" s="3"/>
      <c r="G149" s="6"/>
      <c r="H149" s="3">
        <f t="shared" si="9"/>
        <v>-711</v>
      </c>
      <c r="I149" s="4">
        <v>28.3</v>
      </c>
      <c r="J149" s="4">
        <f t="shared" si="11"/>
        <v>0</v>
      </c>
      <c r="M149" t="str">
        <f t="shared" si="10"/>
        <v/>
      </c>
      <c r="N149" t="str">
        <f>IF(A149="","", "CM-" &amp; IFERROR(VLOOKUP(C149, Catalogos!$Z$4:$AA$20, 2, FALSE), "FOL") &amp; "-" &amp; WEEKNUM(A149,2) &amp; "-" &amp; TEXT(ROW(A145),"000"))</f>
        <v/>
      </c>
    </row>
    <row r="150" spans="1:14">
      <c r="A150" s="2"/>
      <c r="E150" t="e">
        <f>VLOOKUP(#REF!,Catalogos!$V$4:$W$64,2,FALSE)</f>
        <v>#REF!</v>
      </c>
      <c r="F150" s="3"/>
      <c r="G150" s="6"/>
      <c r="H150" s="3">
        <f t="shared" si="9"/>
        <v>-711</v>
      </c>
      <c r="I150" s="4">
        <v>28.3</v>
      </c>
      <c r="J150" s="4">
        <f t="shared" si="11"/>
        <v>0</v>
      </c>
      <c r="M150" t="str">
        <f t="shared" si="10"/>
        <v/>
      </c>
      <c r="N150" t="str">
        <f>IF(A150="","", "CM-" &amp; IFERROR(VLOOKUP(C150, Catalogos!$Z$4:$AA$20, 2, FALSE), "FOL") &amp; "-" &amp; WEEKNUM(A150,2) &amp; "-" &amp; TEXT(ROW(A146),"000"))</f>
        <v/>
      </c>
    </row>
    <row r="151" spans="1:14">
      <c r="A151" s="2"/>
      <c r="E151" t="e">
        <f>VLOOKUP(#REF!,Catalogos!$V$4:$W$64,2,FALSE)</f>
        <v>#REF!</v>
      </c>
      <c r="F151" s="3"/>
      <c r="G151" s="6"/>
      <c r="H151" s="3">
        <f t="shared" si="9"/>
        <v>-711</v>
      </c>
      <c r="I151" s="4">
        <v>28.3</v>
      </c>
      <c r="J151" s="4">
        <f t="shared" si="11"/>
        <v>0</v>
      </c>
      <c r="M151" t="str">
        <f t="shared" si="10"/>
        <v/>
      </c>
      <c r="N151" t="str">
        <f>IF(A151="","", "CM-" &amp; IFERROR(VLOOKUP(C151, Catalogos!$Z$4:$AA$20, 2, FALSE), "FOL") &amp; "-" &amp; WEEKNUM(A151,2) &amp; "-" &amp; TEXT(ROW(A147),"000"))</f>
        <v/>
      </c>
    </row>
    <row r="152" spans="1:14">
      <c r="A152" s="2"/>
      <c r="E152" t="e">
        <f>VLOOKUP(#REF!,Catalogos!$V$4:$W$64,2,FALSE)</f>
        <v>#REF!</v>
      </c>
      <c r="F152" s="3"/>
      <c r="G152" s="6"/>
      <c r="H152" s="3">
        <f t="shared" si="9"/>
        <v>-711</v>
      </c>
      <c r="I152" s="4">
        <v>28.3</v>
      </c>
      <c r="J152" s="4">
        <f t="shared" si="11"/>
        <v>0</v>
      </c>
      <c r="M152" t="str">
        <f t="shared" si="10"/>
        <v/>
      </c>
      <c r="N152" t="str">
        <f>IF(A152="","", "CM-" &amp; IFERROR(VLOOKUP(C152, Catalogos!$Z$4:$AA$20, 2, FALSE), "FOL") &amp; "-" &amp; WEEKNUM(A152,2) &amp; "-" &amp; TEXT(ROW(A148),"000"))</f>
        <v/>
      </c>
    </row>
    <row r="153" spans="1:14">
      <c r="A153" s="2"/>
      <c r="E153" t="e">
        <f>VLOOKUP(#REF!,Catalogos!$V$4:$W$64,2,FALSE)</f>
        <v>#REF!</v>
      </c>
      <c r="F153" s="3"/>
      <c r="G153" s="6"/>
      <c r="H153" s="3">
        <f t="shared" si="9"/>
        <v>-711</v>
      </c>
      <c r="I153" s="4">
        <v>28.3</v>
      </c>
      <c r="J153" s="4">
        <f t="shared" si="11"/>
        <v>0</v>
      </c>
      <c r="M153" t="str">
        <f t="shared" si="10"/>
        <v/>
      </c>
      <c r="N153" t="str">
        <f>IF(A153="","", "CM-" &amp; IFERROR(VLOOKUP(C153, Catalogos!$Z$4:$AA$20, 2, FALSE), "FOL") &amp; "-" &amp; WEEKNUM(A153,2) &amp; "-" &amp; TEXT(ROW(A149),"000"))</f>
        <v/>
      </c>
    </row>
    <row r="154" spans="1:14">
      <c r="A154" s="2"/>
      <c r="E154" t="e">
        <f>VLOOKUP(#REF!,Catalogos!$V$4:$W$64,2,FALSE)</f>
        <v>#REF!</v>
      </c>
      <c r="F154" s="3"/>
      <c r="G154" s="6"/>
      <c r="H154" s="3">
        <f t="shared" si="9"/>
        <v>-711</v>
      </c>
      <c r="I154" s="4">
        <v>28.3</v>
      </c>
      <c r="J154" s="4">
        <f t="shared" si="11"/>
        <v>0</v>
      </c>
      <c r="M154" t="str">
        <f t="shared" si="10"/>
        <v/>
      </c>
      <c r="N154" t="str">
        <f>IF(A154="","", "CM-" &amp; IFERROR(VLOOKUP(C154, Catalogos!$Z$4:$AA$20, 2, FALSE), "FOL") &amp; "-" &amp; WEEKNUM(A154,2) &amp; "-" &amp; TEXT(ROW(A150),"000"))</f>
        <v/>
      </c>
    </row>
    <row r="155" spans="1:14">
      <c r="A155" s="2"/>
      <c r="E155" t="e">
        <f>VLOOKUP(#REF!,Catalogos!$V$4:$W$64,2,FALSE)</f>
        <v>#REF!</v>
      </c>
      <c r="F155" s="3"/>
      <c r="G155" s="6"/>
      <c r="H155" s="3">
        <f t="shared" si="9"/>
        <v>-711</v>
      </c>
      <c r="I155" s="4">
        <v>28.3</v>
      </c>
      <c r="J155" s="4">
        <f t="shared" si="11"/>
        <v>0</v>
      </c>
      <c r="M155" t="str">
        <f t="shared" si="10"/>
        <v/>
      </c>
      <c r="N155" t="str">
        <f>IF(A155="","", "CM-" &amp; IFERROR(VLOOKUP(C155, Catalogos!$Z$4:$AA$20, 2, FALSE), "FOL") &amp; "-" &amp; WEEKNUM(A155,2) &amp; "-" &amp; TEXT(ROW(A151),"000"))</f>
        <v/>
      </c>
    </row>
    <row r="156" spans="1:14">
      <c r="A156" s="2"/>
      <c r="E156" t="e">
        <f>VLOOKUP(#REF!,Catalogos!$V$4:$W$64,2,FALSE)</f>
        <v>#REF!</v>
      </c>
      <c r="F156" s="3"/>
      <c r="G156" s="6"/>
      <c r="H156" s="3">
        <f t="shared" si="9"/>
        <v>-711</v>
      </c>
      <c r="I156" s="4">
        <v>28.3</v>
      </c>
      <c r="J156" s="4">
        <f t="shared" si="11"/>
        <v>0</v>
      </c>
      <c r="M156" t="str">
        <f t="shared" si="10"/>
        <v/>
      </c>
      <c r="N156" t="str">
        <f>IF(A156="","", "CM-" &amp; IFERROR(VLOOKUP(C156, Catalogos!$Z$4:$AA$20, 2, FALSE), "FOL") &amp; "-" &amp; WEEKNUM(A156,2) &amp; "-" &amp; TEXT(ROW(A152),"000"))</f>
        <v/>
      </c>
    </row>
    <row r="157" spans="1:14">
      <c r="A157" s="2"/>
      <c r="E157" t="e">
        <f>VLOOKUP(#REF!,Catalogos!$V$4:$W$64,2,FALSE)</f>
        <v>#REF!</v>
      </c>
      <c r="F157" s="3"/>
      <c r="G157" s="6"/>
      <c r="H157" s="3">
        <f t="shared" si="9"/>
        <v>-711</v>
      </c>
      <c r="I157" s="4">
        <v>28.3</v>
      </c>
      <c r="J157" s="4">
        <f t="shared" si="11"/>
        <v>0</v>
      </c>
      <c r="M157" t="str">
        <f t="shared" si="10"/>
        <v/>
      </c>
      <c r="N157" t="str">
        <f>IF(A157="","", "CM-" &amp; IFERROR(VLOOKUP(C157, Catalogos!$Z$4:$AA$20, 2, FALSE), "FOL") &amp; "-" &amp; WEEKNUM(A157,2) &amp; "-" &amp; TEXT(ROW(A153),"000"))</f>
        <v/>
      </c>
    </row>
    <row r="158" spans="1:14">
      <c r="A158" s="2"/>
      <c r="E158" t="e">
        <f>VLOOKUP(#REF!,Catalogos!$V$4:$W$64,2,FALSE)</f>
        <v>#REF!</v>
      </c>
      <c r="F158" s="3"/>
      <c r="G158" s="6"/>
      <c r="H158" s="3">
        <f t="shared" si="9"/>
        <v>-711</v>
      </c>
      <c r="I158" s="4">
        <v>28.3</v>
      </c>
      <c r="J158" s="4">
        <f t="shared" si="11"/>
        <v>0</v>
      </c>
      <c r="M158" t="str">
        <f t="shared" si="10"/>
        <v/>
      </c>
      <c r="N158" t="str">
        <f>IF(A158="","", "CM-" &amp; IFERROR(VLOOKUP(C158, Catalogos!$Z$4:$AA$20, 2, FALSE), "FOL") &amp; "-" &amp; WEEKNUM(A158,2) &amp; "-" &amp; TEXT(ROW(A154),"000"))</f>
        <v/>
      </c>
    </row>
    <row r="159" spans="1:14">
      <c r="A159" s="2"/>
      <c r="E159" t="e">
        <f>VLOOKUP(#REF!,Catalogos!$V$4:$W$64,2,FALSE)</f>
        <v>#REF!</v>
      </c>
      <c r="F159" s="3"/>
      <c r="G159" s="6"/>
      <c r="H159" s="3">
        <f t="shared" si="9"/>
        <v>-711</v>
      </c>
      <c r="I159" s="4">
        <v>28.3</v>
      </c>
      <c r="J159" s="4">
        <f t="shared" si="11"/>
        <v>0</v>
      </c>
      <c r="M159" t="str">
        <f t="shared" si="10"/>
        <v/>
      </c>
      <c r="N159" t="str">
        <f>IF(A159="","", "CM-" &amp; IFERROR(VLOOKUP(C159, Catalogos!$Z$4:$AA$20, 2, FALSE), "FOL") &amp; "-" &amp; WEEKNUM(A159,2) &amp; "-" &amp; TEXT(ROW(A155),"000"))</f>
        <v/>
      </c>
    </row>
    <row r="160" spans="1:14">
      <c r="A160" s="2"/>
      <c r="E160" t="e">
        <f>VLOOKUP(#REF!,Catalogos!$V$4:$W$64,2,FALSE)</f>
        <v>#REF!</v>
      </c>
      <c r="F160" s="3"/>
      <c r="G160" s="6"/>
      <c r="H160" s="3">
        <f t="shared" si="9"/>
        <v>-711</v>
      </c>
      <c r="I160" s="4">
        <v>28.3</v>
      </c>
      <c r="J160" s="4">
        <f t="shared" si="11"/>
        <v>0</v>
      </c>
      <c r="M160" t="str">
        <f t="shared" si="10"/>
        <v/>
      </c>
      <c r="N160" t="str">
        <f>IF(A160="","", "CM-" &amp; IFERROR(VLOOKUP(C160, Catalogos!$Z$4:$AA$20, 2, FALSE), "FOL") &amp; "-" &amp; WEEKNUM(A160,2) &amp; "-" &amp; TEXT(ROW(A156),"000"))</f>
        <v/>
      </c>
    </row>
    <row r="161" spans="1:14">
      <c r="A161" s="2"/>
      <c r="E161" t="e">
        <f>VLOOKUP(#REF!,Catalogos!$V$4:$W$64,2,FALSE)</f>
        <v>#REF!</v>
      </c>
      <c r="F161" s="3"/>
      <c r="G161" s="6"/>
      <c r="H161" s="3">
        <f t="shared" si="9"/>
        <v>-711</v>
      </c>
      <c r="I161" s="4">
        <v>28.3</v>
      </c>
      <c r="J161" s="4">
        <f t="shared" si="11"/>
        <v>0</v>
      </c>
      <c r="M161" t="str">
        <f t="shared" si="10"/>
        <v/>
      </c>
      <c r="N161" t="str">
        <f>IF(A161="","", "CM-" &amp; IFERROR(VLOOKUP(C161, Catalogos!$Z$4:$AA$20, 2, FALSE), "FOL") &amp; "-" &amp; WEEKNUM(A161,2) &amp; "-" &amp; TEXT(ROW(A157),"000"))</f>
        <v/>
      </c>
    </row>
    <row r="162" spans="1:14">
      <c r="A162" s="2"/>
      <c r="E162" t="e">
        <f>VLOOKUP(#REF!,Catalogos!$V$4:$W$64,2,FALSE)</f>
        <v>#REF!</v>
      </c>
      <c r="F162" s="3"/>
      <c r="G162" s="6"/>
      <c r="H162" s="3">
        <f t="shared" si="9"/>
        <v>-711</v>
      </c>
      <c r="I162" s="4">
        <v>28.3</v>
      </c>
      <c r="J162" s="4">
        <f t="shared" si="11"/>
        <v>0</v>
      </c>
      <c r="M162" t="str">
        <f t="shared" si="10"/>
        <v/>
      </c>
      <c r="N162" t="str">
        <f>IF(A162="","", "CM-" &amp; IFERROR(VLOOKUP(C162, Catalogos!$Z$4:$AA$20, 2, FALSE), "FOL") &amp; "-" &amp; WEEKNUM(A162,2) &amp; "-" &amp; TEXT(ROW(A158),"000"))</f>
        <v/>
      </c>
    </row>
    <row r="163" spans="1:14">
      <c r="A163" s="2"/>
      <c r="E163" t="e">
        <f>VLOOKUP(#REF!,Catalogos!$V$4:$W$64,2,FALSE)</f>
        <v>#REF!</v>
      </c>
      <c r="F163" s="3"/>
      <c r="G163" s="6"/>
      <c r="H163" s="3">
        <f t="shared" si="9"/>
        <v>-711</v>
      </c>
      <c r="I163" s="4">
        <v>28.3</v>
      </c>
      <c r="J163" s="4">
        <f t="shared" si="11"/>
        <v>0</v>
      </c>
      <c r="M163" t="str">
        <f t="shared" si="10"/>
        <v/>
      </c>
      <c r="N163" t="str">
        <f>IF(A163="","", "CM-" &amp; IFERROR(VLOOKUP(C163, Catalogos!$Z$4:$AA$20, 2, FALSE), "FOL") &amp; "-" &amp; WEEKNUM(A163,2) &amp; "-" &amp; TEXT(ROW(A159),"000"))</f>
        <v/>
      </c>
    </row>
    <row r="164" spans="1:14">
      <c r="A164" s="2"/>
      <c r="E164" t="e">
        <f>VLOOKUP(#REF!,Catalogos!$V$4:$W$64,2,FALSE)</f>
        <v>#REF!</v>
      </c>
      <c r="F164" s="3"/>
      <c r="G164" s="6"/>
      <c r="H164" s="3">
        <f t="shared" si="9"/>
        <v>-711</v>
      </c>
      <c r="I164" s="4">
        <v>28.3</v>
      </c>
      <c r="J164" s="4">
        <f t="shared" si="11"/>
        <v>0</v>
      </c>
      <c r="M164" t="str">
        <f t="shared" si="10"/>
        <v/>
      </c>
      <c r="N164" t="str">
        <f>IF(A164="","", "CM-" &amp; IFERROR(VLOOKUP(C164, Catalogos!$Z$4:$AA$20, 2, FALSE), "FOL") &amp; "-" &amp; WEEKNUM(A164,2) &amp; "-" &amp; TEXT(ROW(A160),"000"))</f>
        <v/>
      </c>
    </row>
    <row r="165" spans="1:14">
      <c r="A165" s="2"/>
      <c r="E165" t="e">
        <f>VLOOKUP(#REF!,Catalogos!$V$4:$W$64,2,FALSE)</f>
        <v>#REF!</v>
      </c>
      <c r="F165" s="3"/>
      <c r="G165" s="6"/>
      <c r="H165" s="3">
        <f t="shared" si="9"/>
        <v>-711</v>
      </c>
      <c r="I165" s="4">
        <v>28.3</v>
      </c>
      <c r="J165" s="4">
        <f t="shared" si="11"/>
        <v>0</v>
      </c>
      <c r="M165" t="str">
        <f t="shared" si="10"/>
        <v/>
      </c>
      <c r="N165" t="str">
        <f>IF(A165="","", "CM-" &amp; IFERROR(VLOOKUP(C165, Catalogos!$Z$4:$AA$20, 2, FALSE), "FOL") &amp; "-" &amp; WEEKNUM(A165,2) &amp; "-" &amp; TEXT(ROW(A161),"000"))</f>
        <v/>
      </c>
    </row>
    <row r="166" spans="1:14">
      <c r="A166" s="2"/>
      <c r="E166" t="e">
        <f>VLOOKUP(#REF!,Catalogos!$V$4:$W$64,2,FALSE)</f>
        <v>#REF!</v>
      </c>
      <c r="F166" s="3"/>
      <c r="G166" s="6"/>
      <c r="H166" s="3">
        <f t="shared" si="9"/>
        <v>-711</v>
      </c>
      <c r="I166" s="4">
        <v>28.3</v>
      </c>
      <c r="J166" s="4">
        <f t="shared" si="11"/>
        <v>0</v>
      </c>
      <c r="M166" t="str">
        <f t="shared" si="10"/>
        <v/>
      </c>
      <c r="N166" t="str">
        <f>IF(A166="","", "CM-" &amp; IFERROR(VLOOKUP(C166, Catalogos!$Z$4:$AA$20, 2, FALSE), "FOL") &amp; "-" &amp; WEEKNUM(A166,2) &amp; "-" &amp; TEXT(ROW(A162),"000"))</f>
        <v/>
      </c>
    </row>
    <row r="167" spans="1:14">
      <c r="A167" s="2"/>
      <c r="E167" t="e">
        <f>VLOOKUP(#REF!,Catalogos!$V$4:$W$64,2,FALSE)</f>
        <v>#REF!</v>
      </c>
      <c r="F167" s="3"/>
      <c r="G167" s="6"/>
      <c r="H167" s="3">
        <f t="shared" si="9"/>
        <v>-711</v>
      </c>
      <c r="I167" s="4">
        <v>28.3</v>
      </c>
      <c r="J167" s="4">
        <f t="shared" ref="J167:J198" si="12">IFERROR((F167+G167)*I167,0)</f>
        <v>0</v>
      </c>
      <c r="M167" t="str">
        <f t="shared" si="10"/>
        <v/>
      </c>
      <c r="N167" t="str">
        <f>IF(A167="","", "CM-" &amp; IFERROR(VLOOKUP(C167, Catalogos!$Z$4:$AA$20, 2, FALSE), "FOL") &amp; "-" &amp; WEEKNUM(A167,2) &amp; "-" &amp; TEXT(ROW(A163),"000"))</f>
        <v/>
      </c>
    </row>
    <row r="168" spans="1:14">
      <c r="A168" s="2"/>
      <c r="E168" t="e">
        <f>VLOOKUP(#REF!,Catalogos!$V$4:$W$64,2,FALSE)</f>
        <v>#REF!</v>
      </c>
      <c r="F168" s="3"/>
      <c r="G168" s="6"/>
      <c r="H168" s="3">
        <f t="shared" si="9"/>
        <v>-711</v>
      </c>
      <c r="I168" s="4">
        <v>28.3</v>
      </c>
      <c r="J168" s="4">
        <f t="shared" si="12"/>
        <v>0</v>
      </c>
      <c r="M168" t="str">
        <f t="shared" si="10"/>
        <v/>
      </c>
      <c r="N168" t="str">
        <f>IF(A168="","", "CM-" &amp; IFERROR(VLOOKUP(C168, Catalogos!$Z$4:$AA$20, 2, FALSE), "FOL") &amp; "-" &amp; WEEKNUM(A168,2) &amp; "-" &amp; TEXT(ROW(A164),"000"))</f>
        <v/>
      </c>
    </row>
    <row r="169" spans="1:14">
      <c r="A169" s="2"/>
      <c r="E169" t="e">
        <f>VLOOKUP(#REF!,Catalogos!$V$4:$W$64,2,FALSE)</f>
        <v>#REF!</v>
      </c>
      <c r="F169" s="3"/>
      <c r="G169" s="6"/>
      <c r="H169" s="3">
        <f t="shared" si="9"/>
        <v>-711</v>
      </c>
      <c r="I169" s="4">
        <v>28.3</v>
      </c>
      <c r="J169" s="4">
        <f t="shared" si="12"/>
        <v>0</v>
      </c>
      <c r="M169" t="str">
        <f t="shared" si="10"/>
        <v/>
      </c>
      <c r="N169" t="str">
        <f>IF(A169="","", "CM-" &amp; IFERROR(VLOOKUP(C169, Catalogos!$Z$4:$AA$20, 2, FALSE), "FOL") &amp; "-" &amp; WEEKNUM(A169,2) &amp; "-" &amp; TEXT(ROW(A165),"000"))</f>
        <v/>
      </c>
    </row>
    <row r="170" spans="1:14">
      <c r="A170" s="2"/>
      <c r="E170" t="e">
        <f>VLOOKUP(#REF!,Catalogos!$V$4:$W$64,2,FALSE)</f>
        <v>#REF!</v>
      </c>
      <c r="F170" s="3"/>
      <c r="G170" s="6"/>
      <c r="H170" s="3">
        <f t="shared" si="9"/>
        <v>-711</v>
      </c>
      <c r="I170" s="4">
        <v>28.3</v>
      </c>
      <c r="J170" s="4">
        <f t="shared" si="12"/>
        <v>0</v>
      </c>
      <c r="M170" t="str">
        <f t="shared" si="10"/>
        <v/>
      </c>
      <c r="N170" t="str">
        <f>IF(A170="","", "CM-" &amp; IFERROR(VLOOKUP(C170, Catalogos!$Z$4:$AA$20, 2, FALSE), "FOL") &amp; "-" &amp; WEEKNUM(A170,2) &amp; "-" &amp; TEXT(ROW(A166),"000"))</f>
        <v/>
      </c>
    </row>
    <row r="171" spans="1:14">
      <c r="A171" s="2"/>
      <c r="E171" t="e">
        <f>VLOOKUP(#REF!,Catalogos!$V$4:$W$64,2,FALSE)</f>
        <v>#REF!</v>
      </c>
      <c r="F171" s="3"/>
      <c r="G171" s="6"/>
      <c r="H171" s="3">
        <f t="shared" si="9"/>
        <v>-711</v>
      </c>
      <c r="I171" s="4">
        <v>28.3</v>
      </c>
      <c r="J171" s="4">
        <f t="shared" si="12"/>
        <v>0</v>
      </c>
      <c r="M171" t="str">
        <f t="shared" si="10"/>
        <v/>
      </c>
      <c r="N171" t="str">
        <f>IF(A171="","", "CM-" &amp; IFERROR(VLOOKUP(C171, Catalogos!$Z$4:$AA$20, 2, FALSE), "FOL") &amp; "-" &amp; WEEKNUM(A171,2) &amp; "-" &amp; TEXT(ROW(A167),"000"))</f>
        <v/>
      </c>
    </row>
    <row r="172" spans="1:14">
      <c r="A172" s="2"/>
      <c r="E172" t="e">
        <f>VLOOKUP(#REF!,Catalogos!$V$4:$W$64,2,FALSE)</f>
        <v>#REF!</v>
      </c>
      <c r="F172" s="3"/>
      <c r="G172" s="6"/>
      <c r="H172" s="3">
        <f t="shared" si="9"/>
        <v>-711</v>
      </c>
      <c r="I172" s="4">
        <v>28.3</v>
      </c>
      <c r="J172" s="4">
        <f t="shared" si="12"/>
        <v>0</v>
      </c>
      <c r="M172" t="str">
        <f t="shared" si="10"/>
        <v/>
      </c>
      <c r="N172" t="str">
        <f>IF(A172="","", "CM-" &amp; IFERROR(VLOOKUP(C172, Catalogos!$Z$4:$AA$20, 2, FALSE), "FOL") &amp; "-" &amp; WEEKNUM(A172,2) &amp; "-" &amp; TEXT(ROW(A168),"000"))</f>
        <v/>
      </c>
    </row>
    <row r="173" spans="1:14">
      <c r="A173" s="2"/>
      <c r="E173" t="e">
        <f>VLOOKUP(#REF!,Catalogos!$V$4:$W$64,2,FALSE)</f>
        <v>#REF!</v>
      </c>
      <c r="F173" s="3"/>
      <c r="G173" s="6"/>
      <c r="H173" s="3">
        <f t="shared" si="9"/>
        <v>-711</v>
      </c>
      <c r="I173" s="4">
        <v>28.3</v>
      </c>
      <c r="J173" s="4">
        <f t="shared" si="12"/>
        <v>0</v>
      </c>
      <c r="M173" t="str">
        <f t="shared" si="10"/>
        <v/>
      </c>
      <c r="N173" t="str">
        <f>IF(A173="","", "CM-" &amp; IFERROR(VLOOKUP(C173, Catalogos!$Z$4:$AA$20, 2, FALSE), "FOL") &amp; "-" &amp; WEEKNUM(A173,2) &amp; "-" &amp; TEXT(ROW(A169),"000"))</f>
        <v/>
      </c>
    </row>
    <row r="174" spans="1:14">
      <c r="A174" s="2"/>
      <c r="E174" t="e">
        <f>VLOOKUP(#REF!,Catalogos!$V$4:$W$64,2,FALSE)</f>
        <v>#REF!</v>
      </c>
      <c r="F174" s="3"/>
      <c r="G174" s="6"/>
      <c r="H174" s="3">
        <f t="shared" si="9"/>
        <v>-711</v>
      </c>
      <c r="I174" s="4">
        <v>28.3</v>
      </c>
      <c r="J174" s="4">
        <f t="shared" si="12"/>
        <v>0</v>
      </c>
      <c r="M174" t="str">
        <f t="shared" si="10"/>
        <v/>
      </c>
      <c r="N174" t="str">
        <f>IF(A174="","", "CM-" &amp; IFERROR(VLOOKUP(C174, Catalogos!$Z$4:$AA$20, 2, FALSE), "FOL") &amp; "-" &amp; WEEKNUM(A174,2) &amp; "-" &amp; TEXT(ROW(A170),"000"))</f>
        <v/>
      </c>
    </row>
    <row r="175" spans="1:14">
      <c r="A175" s="2"/>
      <c r="E175" t="e">
        <f>VLOOKUP(#REF!,Catalogos!$V$4:$W$64,2,FALSE)</f>
        <v>#REF!</v>
      </c>
      <c r="F175" s="3"/>
      <c r="G175" s="6"/>
      <c r="H175" s="3">
        <f t="shared" si="9"/>
        <v>-711</v>
      </c>
      <c r="I175" s="4">
        <v>28.3</v>
      </c>
      <c r="J175" s="4">
        <f t="shared" si="12"/>
        <v>0</v>
      </c>
      <c r="M175" t="str">
        <f t="shared" si="10"/>
        <v/>
      </c>
      <c r="N175" t="str">
        <f>IF(A175="","", "CM-" &amp; IFERROR(VLOOKUP(C175, Catalogos!$Z$4:$AA$20, 2, FALSE), "FOL") &amp; "-" &amp; WEEKNUM(A175,2) &amp; "-" &amp; TEXT(ROW(A171),"000"))</f>
        <v/>
      </c>
    </row>
    <row r="176" spans="1:14">
      <c r="A176" s="2"/>
      <c r="E176" t="e">
        <f>VLOOKUP(#REF!,Catalogos!$V$4:$W$64,2,FALSE)</f>
        <v>#REF!</v>
      </c>
      <c r="F176" s="3"/>
      <c r="G176" s="6"/>
      <c r="H176" s="3">
        <f t="shared" si="9"/>
        <v>-711</v>
      </c>
      <c r="I176" s="4">
        <v>28.3</v>
      </c>
      <c r="J176" s="4">
        <f t="shared" si="12"/>
        <v>0</v>
      </c>
      <c r="M176" t="str">
        <f t="shared" si="10"/>
        <v/>
      </c>
      <c r="N176" t="str">
        <f>IF(A176="","", "CM-" &amp; IFERROR(VLOOKUP(C176, Catalogos!$Z$4:$AA$20, 2, FALSE), "FOL") &amp; "-" &amp; WEEKNUM(A176,2) &amp; "-" &amp; TEXT(ROW(A172),"000"))</f>
        <v/>
      </c>
    </row>
    <row r="177" spans="1:14">
      <c r="A177" s="2"/>
      <c r="E177" t="e">
        <f>VLOOKUP(#REF!,Catalogos!$V$4:$W$64,2,FALSE)</f>
        <v>#REF!</v>
      </c>
      <c r="F177" s="3"/>
      <c r="G177" s="6"/>
      <c r="H177" s="3">
        <f t="shared" si="9"/>
        <v>-711</v>
      </c>
      <c r="I177" s="4">
        <v>28.3</v>
      </c>
      <c r="J177" s="4">
        <f t="shared" si="12"/>
        <v>0</v>
      </c>
      <c r="M177" t="str">
        <f t="shared" si="10"/>
        <v/>
      </c>
      <c r="N177" t="str">
        <f>IF(A177="","", "CM-" &amp; IFERROR(VLOOKUP(C177, Catalogos!$Z$4:$AA$20, 2, FALSE), "FOL") &amp; "-" &amp; WEEKNUM(A177,2) &amp; "-" &amp; TEXT(ROW(A173),"000"))</f>
        <v/>
      </c>
    </row>
    <row r="178" spans="1:14">
      <c r="A178" s="2"/>
      <c r="E178" t="e">
        <f>VLOOKUP(#REF!,Catalogos!$V$4:$W$64,2,FALSE)</f>
        <v>#REF!</v>
      </c>
      <c r="F178" s="3"/>
      <c r="G178" s="6"/>
      <c r="H178" s="3">
        <f t="shared" si="9"/>
        <v>-711</v>
      </c>
      <c r="I178" s="4">
        <v>28.3</v>
      </c>
      <c r="J178" s="4">
        <f t="shared" si="12"/>
        <v>0</v>
      </c>
      <c r="M178" t="str">
        <f t="shared" si="10"/>
        <v/>
      </c>
      <c r="N178" t="str">
        <f>IF(A178="","", "CM-" &amp; IFERROR(VLOOKUP(C178, Catalogos!$Z$4:$AA$20, 2, FALSE), "FOL") &amp; "-" &amp; WEEKNUM(A178,2) &amp; "-" &amp; TEXT(ROW(A174),"000"))</f>
        <v/>
      </c>
    </row>
    <row r="179" spans="1:14">
      <c r="A179" s="2"/>
      <c r="E179" t="e">
        <f>VLOOKUP(#REF!,Catalogos!$V$4:$W$64,2,FALSE)</f>
        <v>#REF!</v>
      </c>
      <c r="F179" s="3"/>
      <c r="G179" s="6"/>
      <c r="H179" s="3">
        <f t="shared" si="9"/>
        <v>-711</v>
      </c>
      <c r="I179" s="4">
        <v>28.3</v>
      </c>
      <c r="J179" s="4">
        <f t="shared" si="12"/>
        <v>0</v>
      </c>
      <c r="M179" t="str">
        <f t="shared" si="10"/>
        <v/>
      </c>
      <c r="N179" t="str">
        <f>IF(A179="","", "CM-" &amp; IFERROR(VLOOKUP(C179, Catalogos!$Z$4:$AA$20, 2, FALSE), "FOL") &amp; "-" &amp; WEEKNUM(A179,2) &amp; "-" &amp; TEXT(ROW(A175),"000"))</f>
        <v/>
      </c>
    </row>
    <row r="180" spans="1:14">
      <c r="A180" s="2"/>
      <c r="E180" t="e">
        <f>VLOOKUP(#REF!,Catalogos!$V$4:$W$64,2,FALSE)</f>
        <v>#REF!</v>
      </c>
      <c r="F180" s="3"/>
      <c r="G180" s="6"/>
      <c r="H180" s="3">
        <f t="shared" si="9"/>
        <v>-711</v>
      </c>
      <c r="I180" s="4">
        <v>28.3</v>
      </c>
      <c r="J180" s="4">
        <f t="shared" si="12"/>
        <v>0</v>
      </c>
      <c r="M180" t="str">
        <f t="shared" si="10"/>
        <v/>
      </c>
      <c r="N180" t="str">
        <f>IF(A180="","", "CM-" &amp; IFERROR(VLOOKUP(C180, Catalogos!$Z$4:$AA$20, 2, FALSE), "FOL") &amp; "-" &amp; WEEKNUM(A180,2) &amp; "-" &amp; TEXT(ROW(A176),"000"))</f>
        <v/>
      </c>
    </row>
    <row r="181" spans="1:14">
      <c r="A181" s="2"/>
      <c r="E181" t="e">
        <f>VLOOKUP(#REF!,Catalogos!$V$4:$W$64,2,FALSE)</f>
        <v>#REF!</v>
      </c>
      <c r="F181" s="3"/>
      <c r="G181" s="6"/>
      <c r="H181" s="3">
        <f t="shared" si="9"/>
        <v>-711</v>
      </c>
      <c r="I181" s="4">
        <v>28.3</v>
      </c>
      <c r="J181" s="4">
        <f t="shared" si="12"/>
        <v>0</v>
      </c>
      <c r="M181" t="str">
        <f t="shared" si="10"/>
        <v/>
      </c>
      <c r="N181" t="str">
        <f>IF(A181="","", "CM-" &amp; IFERROR(VLOOKUP(C181, Catalogos!$Z$4:$AA$20, 2, FALSE), "FOL") &amp; "-" &amp; WEEKNUM(A181,2) &amp; "-" &amp; TEXT(ROW(A177),"000"))</f>
        <v/>
      </c>
    </row>
    <row r="182" spans="1:14">
      <c r="A182" s="2"/>
      <c r="E182" t="e">
        <f>VLOOKUP(#REF!,Catalogos!$V$4:$W$64,2,FALSE)</f>
        <v>#REF!</v>
      </c>
      <c r="F182" s="3"/>
      <c r="G182" s="6"/>
      <c r="H182" s="3">
        <f t="shared" si="9"/>
        <v>-711</v>
      </c>
      <c r="I182" s="4">
        <v>28.3</v>
      </c>
      <c r="J182" s="4">
        <f t="shared" si="12"/>
        <v>0</v>
      </c>
      <c r="M182" t="str">
        <f t="shared" si="10"/>
        <v/>
      </c>
      <c r="N182" t="str">
        <f>IF(A182="","", "CM-" &amp; IFERROR(VLOOKUP(C182, Catalogos!$Z$4:$AA$20, 2, FALSE), "FOL") &amp; "-" &amp; WEEKNUM(A182,2) &amp; "-" &amp; TEXT(ROW(A178),"000"))</f>
        <v/>
      </c>
    </row>
    <row r="183" spans="1:14">
      <c r="A183" s="2"/>
      <c r="E183" t="e">
        <f>VLOOKUP(#REF!,Catalogos!$V$4:$W$64,2,FALSE)</f>
        <v>#REF!</v>
      </c>
      <c r="F183" s="3"/>
      <c r="G183" s="6"/>
      <c r="H183" s="3">
        <f t="shared" si="9"/>
        <v>-711</v>
      </c>
      <c r="I183" s="4">
        <v>28.3</v>
      </c>
      <c r="J183" s="4">
        <f t="shared" si="12"/>
        <v>0</v>
      </c>
      <c r="M183" t="str">
        <f t="shared" si="10"/>
        <v/>
      </c>
      <c r="N183" t="str">
        <f>IF(A183="","", "CM-" &amp; IFERROR(VLOOKUP(C183, Catalogos!$Z$4:$AA$20, 2, FALSE), "FOL") &amp; "-" &amp; WEEKNUM(A183,2) &amp; "-" &amp; TEXT(ROW(A179),"000"))</f>
        <v/>
      </c>
    </row>
    <row r="184" spans="1:14">
      <c r="A184" s="2"/>
      <c r="E184" t="e">
        <f>VLOOKUP(#REF!,Catalogos!$V$4:$W$64,2,FALSE)</f>
        <v>#REF!</v>
      </c>
      <c r="F184" s="3"/>
      <c r="G184" s="6"/>
      <c r="H184" s="3">
        <f t="shared" si="9"/>
        <v>-711</v>
      </c>
      <c r="I184" s="4">
        <v>28.3</v>
      </c>
      <c r="J184" s="4">
        <f t="shared" si="12"/>
        <v>0</v>
      </c>
      <c r="M184" t="str">
        <f t="shared" si="10"/>
        <v/>
      </c>
      <c r="N184" t="str">
        <f>IF(A184="","", "CM-" &amp; IFERROR(VLOOKUP(C184, Catalogos!$Z$4:$AA$20, 2, FALSE), "FOL") &amp; "-" &amp; WEEKNUM(A184,2) &amp; "-" &amp; TEXT(ROW(A180),"000"))</f>
        <v/>
      </c>
    </row>
    <row r="185" spans="1:14">
      <c r="A185" s="2"/>
      <c r="E185" t="e">
        <f>VLOOKUP(#REF!,Catalogos!$V$4:$W$64,2,FALSE)</f>
        <v>#REF!</v>
      </c>
      <c r="F185" s="3"/>
      <c r="G185" s="6"/>
      <c r="H185" s="3">
        <f t="shared" si="9"/>
        <v>-711</v>
      </c>
      <c r="I185" s="4">
        <v>28.3</v>
      </c>
      <c r="J185" s="4">
        <f t="shared" si="12"/>
        <v>0</v>
      </c>
      <c r="M185" t="str">
        <f t="shared" si="10"/>
        <v/>
      </c>
      <c r="N185" t="str">
        <f>IF(A185="","", "CM-" &amp; IFERROR(VLOOKUP(C185, Catalogos!$Z$4:$AA$20, 2, FALSE), "FOL") &amp; "-" &amp; WEEKNUM(A185,2) &amp; "-" &amp; TEXT(ROW(A181),"000"))</f>
        <v/>
      </c>
    </row>
    <row r="186" spans="1:14">
      <c r="A186" s="2"/>
      <c r="E186" t="e">
        <f>VLOOKUP(#REF!,Catalogos!$V$4:$W$64,2,FALSE)</f>
        <v>#REF!</v>
      </c>
      <c r="F186" s="3"/>
      <c r="G186" s="6"/>
      <c r="H186" s="3">
        <f t="shared" si="9"/>
        <v>-711</v>
      </c>
      <c r="I186" s="4">
        <v>28.3</v>
      </c>
      <c r="J186" s="4">
        <f t="shared" si="12"/>
        <v>0</v>
      </c>
      <c r="M186" t="str">
        <f t="shared" si="10"/>
        <v/>
      </c>
      <c r="N186" t="str">
        <f>IF(A186="","", "CM-" &amp; IFERROR(VLOOKUP(C186, Catalogos!$Z$4:$AA$20, 2, FALSE), "FOL") &amp; "-" &amp; WEEKNUM(A186,2) &amp; "-" &amp; TEXT(ROW(A182),"000"))</f>
        <v/>
      </c>
    </row>
    <row r="187" spans="1:14">
      <c r="A187" s="2"/>
      <c r="E187" t="e">
        <f>VLOOKUP(#REF!,Catalogos!$V$4:$W$64,2,FALSE)</f>
        <v>#REF!</v>
      </c>
      <c r="F187" s="3"/>
      <c r="G187" s="6"/>
      <c r="H187" s="3">
        <f t="shared" si="9"/>
        <v>-711</v>
      </c>
      <c r="I187" s="4">
        <v>28.3</v>
      </c>
      <c r="J187" s="4">
        <f t="shared" si="12"/>
        <v>0</v>
      </c>
      <c r="M187" t="str">
        <f t="shared" si="10"/>
        <v/>
      </c>
      <c r="N187" t="str">
        <f>IF(A187="","", "CM-" &amp; IFERROR(VLOOKUP(C187, Catalogos!$Z$4:$AA$20, 2, FALSE), "FOL") &amp; "-" &amp; WEEKNUM(A187,2) &amp; "-" &amp; TEXT(ROW(A183),"000"))</f>
        <v/>
      </c>
    </row>
    <row r="188" spans="1:14">
      <c r="A188" s="2"/>
      <c r="E188" t="e">
        <f>VLOOKUP(#REF!,Catalogos!$V$4:$W$64,2,FALSE)</f>
        <v>#REF!</v>
      </c>
      <c r="F188" s="3"/>
      <c r="G188" s="6"/>
      <c r="H188" s="3">
        <f t="shared" si="9"/>
        <v>-711</v>
      </c>
      <c r="I188" s="4">
        <v>28.3</v>
      </c>
      <c r="J188" s="4">
        <f t="shared" si="12"/>
        <v>0</v>
      </c>
      <c r="M188" t="str">
        <f t="shared" si="10"/>
        <v/>
      </c>
      <c r="N188" t="str">
        <f>IF(A188="","", "CM-" &amp; IFERROR(VLOOKUP(C188, Catalogos!$Z$4:$AA$20, 2, FALSE), "FOL") &amp; "-" &amp; WEEKNUM(A188,2) &amp; "-" &amp; TEXT(ROW(A184),"000"))</f>
        <v/>
      </c>
    </row>
    <row r="189" spans="1:14">
      <c r="A189" s="2"/>
      <c r="E189" t="e">
        <f>VLOOKUP(#REF!,Catalogos!$V$4:$W$64,2,FALSE)</f>
        <v>#REF!</v>
      </c>
      <c r="F189" s="3"/>
      <c r="G189" s="6"/>
      <c r="H189" s="3">
        <f t="shared" si="9"/>
        <v>-711</v>
      </c>
      <c r="I189" s="4">
        <v>28.3</v>
      </c>
      <c r="J189" s="4">
        <f t="shared" si="12"/>
        <v>0</v>
      </c>
      <c r="M189" t="str">
        <f t="shared" si="10"/>
        <v/>
      </c>
      <c r="N189" t="str">
        <f>IF(A189="","", "CM-" &amp; IFERROR(VLOOKUP(C189, Catalogos!$Z$4:$AA$20, 2, FALSE), "FOL") &amp; "-" &amp; WEEKNUM(A189,2) &amp; "-" &amp; TEXT(ROW(A185),"000"))</f>
        <v/>
      </c>
    </row>
    <row r="190" spans="1:14">
      <c r="A190" s="2"/>
      <c r="E190" t="e">
        <f>VLOOKUP(#REF!,Catalogos!$V$4:$W$64,2,FALSE)</f>
        <v>#REF!</v>
      </c>
      <c r="F190" s="3"/>
      <c r="G190" s="6"/>
      <c r="H190" s="3">
        <f t="shared" si="9"/>
        <v>-711</v>
      </c>
      <c r="I190" s="4">
        <v>28.3</v>
      </c>
      <c r="J190" s="4">
        <f t="shared" si="12"/>
        <v>0</v>
      </c>
      <c r="M190" t="str">
        <f t="shared" si="10"/>
        <v/>
      </c>
      <c r="N190" t="str">
        <f>IF(A190="","", "CM-" &amp; IFERROR(VLOOKUP(C190, Catalogos!$Z$4:$AA$20, 2, FALSE), "FOL") &amp; "-" &amp; WEEKNUM(A190,2) &amp; "-" &amp; TEXT(ROW(A186),"000"))</f>
        <v/>
      </c>
    </row>
    <row r="191" spans="1:14">
      <c r="A191" s="2"/>
      <c r="E191" t="e">
        <f>VLOOKUP(#REF!,Catalogos!$V$4:$W$64,2,FALSE)</f>
        <v>#REF!</v>
      </c>
      <c r="F191" s="3"/>
      <c r="G191" s="6"/>
      <c r="H191" s="3">
        <f t="shared" si="9"/>
        <v>-711</v>
      </c>
      <c r="I191" s="4">
        <v>28.3</v>
      </c>
      <c r="J191" s="4">
        <f t="shared" si="12"/>
        <v>0</v>
      </c>
      <c r="M191" t="str">
        <f t="shared" si="10"/>
        <v/>
      </c>
      <c r="N191" t="str">
        <f>IF(A191="","", "CM-" &amp; IFERROR(VLOOKUP(C191, Catalogos!$Z$4:$AA$20, 2, FALSE), "FOL") &amp; "-" &amp; WEEKNUM(A191,2) &amp; "-" &amp; TEXT(ROW(A187),"000"))</f>
        <v/>
      </c>
    </row>
    <row r="192" spans="1:14">
      <c r="A192" s="2"/>
      <c r="E192" t="e">
        <f>VLOOKUP(#REF!,Catalogos!$V$4:$W$64,2,FALSE)</f>
        <v>#REF!</v>
      </c>
      <c r="F192" s="3"/>
      <c r="G192" s="6"/>
      <c r="H192" s="3">
        <f t="shared" si="9"/>
        <v>-711</v>
      </c>
      <c r="I192" s="4">
        <v>28.3</v>
      </c>
      <c r="J192" s="4">
        <f t="shared" si="12"/>
        <v>0</v>
      </c>
      <c r="M192" t="str">
        <f t="shared" si="10"/>
        <v/>
      </c>
      <c r="N192" t="str">
        <f>IF(A192="","", "CM-" &amp; IFERROR(VLOOKUP(C192, Catalogos!$Z$4:$AA$20, 2, FALSE), "FOL") &amp; "-" &amp; WEEKNUM(A192,2) &amp; "-" &amp; TEXT(ROW(A188),"000"))</f>
        <v/>
      </c>
    </row>
    <row r="193" spans="1:14">
      <c r="A193" s="2"/>
      <c r="E193" t="e">
        <f>VLOOKUP(#REF!,Catalogos!$V$4:$W$64,2,FALSE)</f>
        <v>#REF!</v>
      </c>
      <c r="F193" s="3"/>
      <c r="G193" s="6"/>
      <c r="H193" s="3">
        <f t="shared" si="9"/>
        <v>-711</v>
      </c>
      <c r="I193" s="4">
        <v>28.3</v>
      </c>
      <c r="J193" s="4">
        <f t="shared" si="12"/>
        <v>0</v>
      </c>
      <c r="M193" t="str">
        <f t="shared" si="10"/>
        <v/>
      </c>
      <c r="N193" t="str">
        <f>IF(A193="","", "CM-" &amp; IFERROR(VLOOKUP(C193, Catalogos!$Z$4:$AA$20, 2, FALSE), "FOL") &amp; "-" &amp; WEEKNUM(A193,2) &amp; "-" &amp; TEXT(ROW(A189),"000"))</f>
        <v/>
      </c>
    </row>
    <row r="194" spans="1:14">
      <c r="A194" s="2"/>
      <c r="E194" t="e">
        <f>VLOOKUP(#REF!,Catalogos!$V$4:$W$64,2,FALSE)</f>
        <v>#REF!</v>
      </c>
      <c r="F194" s="3"/>
      <c r="G194" s="6"/>
      <c r="H194" s="3">
        <f t="shared" ref="H194:H206" si="13">IF(ROW()=5,F194-G194,H193+F194-G194)</f>
        <v>-711</v>
      </c>
      <c r="I194" s="4">
        <v>28.3</v>
      </c>
      <c r="J194" s="4">
        <f t="shared" si="12"/>
        <v>0</v>
      </c>
      <c r="M194" t="str">
        <f t="shared" si="10"/>
        <v/>
      </c>
      <c r="N194" t="str">
        <f>IF(A194="","", "CM-" &amp; IFERROR(VLOOKUP(C194, Catalogos!$Z$4:$AA$20, 2, FALSE), "FOL") &amp; "-" &amp; WEEKNUM(A194,2) &amp; "-" &amp; TEXT(ROW(A190),"000"))</f>
        <v/>
      </c>
    </row>
    <row r="195" spans="1:14">
      <c r="A195" s="2"/>
      <c r="E195" t="e">
        <f>VLOOKUP(#REF!,Catalogos!$V$4:$W$64,2,FALSE)</f>
        <v>#REF!</v>
      </c>
      <c r="F195" s="3"/>
      <c r="G195" s="6"/>
      <c r="H195" s="3">
        <f t="shared" si="13"/>
        <v>-711</v>
      </c>
      <c r="I195" s="4">
        <v>28.3</v>
      </c>
      <c r="J195" s="4">
        <f t="shared" si="12"/>
        <v>0</v>
      </c>
      <c r="M195" t="str">
        <f t="shared" si="10"/>
        <v/>
      </c>
      <c r="N195" t="str">
        <f>IF(A195="","", "CM-" &amp; IFERROR(VLOOKUP(C195, Catalogos!$Z$4:$AA$20, 2, FALSE), "FOL") &amp; "-" &amp; WEEKNUM(A195,2) &amp; "-" &amp; TEXT(ROW(A191),"000"))</f>
        <v/>
      </c>
    </row>
    <row r="196" spans="1:14">
      <c r="A196" s="2"/>
      <c r="E196" t="e">
        <f>VLOOKUP(#REF!,Catalogos!$V$4:$W$64,2,FALSE)</f>
        <v>#REF!</v>
      </c>
      <c r="F196" s="3"/>
      <c r="G196" s="6"/>
      <c r="H196" s="3">
        <f t="shared" si="13"/>
        <v>-711</v>
      </c>
      <c r="I196" s="4">
        <v>28.3</v>
      </c>
      <c r="J196" s="4">
        <f t="shared" si="12"/>
        <v>0</v>
      </c>
      <c r="M196" t="str">
        <f t="shared" si="10"/>
        <v/>
      </c>
      <c r="N196" t="str">
        <f>IF(A196="","", "CM-" &amp; IFERROR(VLOOKUP(C196, Catalogos!$Z$4:$AA$20, 2, FALSE), "FOL") &amp; "-" &amp; WEEKNUM(A196,2) &amp; "-" &amp; TEXT(ROW(A192),"000"))</f>
        <v/>
      </c>
    </row>
    <row r="197" spans="1:14">
      <c r="A197" s="2"/>
      <c r="E197" t="e">
        <f>VLOOKUP(#REF!,Catalogos!$V$4:$W$64,2,FALSE)</f>
        <v>#REF!</v>
      </c>
      <c r="F197" s="3"/>
      <c r="G197" s="6"/>
      <c r="H197" s="3">
        <f t="shared" si="13"/>
        <v>-711</v>
      </c>
      <c r="I197" s="4">
        <v>28.3</v>
      </c>
      <c r="J197" s="4">
        <f t="shared" si="12"/>
        <v>0</v>
      </c>
      <c r="M197" t="str">
        <f t="shared" ref="M197:M260" si="14">IF(A197="","", WEEKNUM(A197, 2))</f>
        <v/>
      </c>
      <c r="N197" t="str">
        <f>IF(A197="","", "CM-" &amp; IFERROR(VLOOKUP(C197, Catalogos!$Z$4:$AA$20, 2, FALSE), "FOL") &amp; "-" &amp; WEEKNUM(A197,2) &amp; "-" &amp; TEXT(ROW(A193),"000"))</f>
        <v/>
      </c>
    </row>
    <row r="198" spans="1:14">
      <c r="A198" s="2"/>
      <c r="E198" t="e">
        <f>VLOOKUP(#REF!,Catalogos!$V$4:$W$64,2,FALSE)</f>
        <v>#REF!</v>
      </c>
      <c r="F198" s="3"/>
      <c r="G198" s="6"/>
      <c r="H198" s="3">
        <f t="shared" si="13"/>
        <v>-711</v>
      </c>
      <c r="I198" s="4">
        <v>28.3</v>
      </c>
      <c r="J198" s="4">
        <f t="shared" si="12"/>
        <v>0</v>
      </c>
      <c r="M198" t="str">
        <f t="shared" si="14"/>
        <v/>
      </c>
      <c r="N198" t="str">
        <f>IF(A198="","", "CM-" &amp; IFERROR(VLOOKUP(C198, Catalogos!$Z$4:$AA$20, 2, FALSE), "FOL") &amp; "-" &amp; WEEKNUM(A198,2) &amp; "-" &amp; TEXT(ROW(A194),"000"))</f>
        <v/>
      </c>
    </row>
    <row r="199" spans="1:14">
      <c r="A199" s="2"/>
      <c r="E199" t="e">
        <f>VLOOKUP(#REF!,Catalogos!$V$4:$W$64,2,FALSE)</f>
        <v>#REF!</v>
      </c>
      <c r="F199" s="3"/>
      <c r="G199" s="6"/>
      <c r="H199" s="3">
        <f t="shared" si="13"/>
        <v>-711</v>
      </c>
      <c r="I199" s="4">
        <v>28.3</v>
      </c>
      <c r="J199" s="4">
        <f t="shared" ref="J199:J206" si="15">IFERROR((F199+G199)*I199,0)</f>
        <v>0</v>
      </c>
      <c r="M199" t="str">
        <f t="shared" si="14"/>
        <v/>
      </c>
      <c r="N199" t="str">
        <f>IF(A199="","", "CM-" &amp; IFERROR(VLOOKUP(C199, Catalogos!$Z$4:$AA$20, 2, FALSE), "FOL") &amp; "-" &amp; WEEKNUM(A199,2) &amp; "-" &amp; TEXT(ROW(A195),"000"))</f>
        <v/>
      </c>
    </row>
    <row r="200" spans="1:14">
      <c r="A200" s="2"/>
      <c r="E200" t="e">
        <f>VLOOKUP(#REF!,Catalogos!$V$4:$W$64,2,FALSE)</f>
        <v>#REF!</v>
      </c>
      <c r="F200" s="3"/>
      <c r="G200" s="6"/>
      <c r="H200" s="3">
        <f t="shared" si="13"/>
        <v>-711</v>
      </c>
      <c r="I200" s="4">
        <v>28.3</v>
      </c>
      <c r="J200" s="4">
        <f t="shared" si="15"/>
        <v>0</v>
      </c>
      <c r="M200" t="str">
        <f t="shared" si="14"/>
        <v/>
      </c>
      <c r="N200" t="str">
        <f>IF(A200="","", "CM-" &amp; IFERROR(VLOOKUP(C200, Catalogos!$Z$4:$AA$20, 2, FALSE), "FOL") &amp; "-" &amp; WEEKNUM(A200,2) &amp; "-" &amp; TEXT(ROW(A196),"000"))</f>
        <v/>
      </c>
    </row>
    <row r="201" spans="1:14">
      <c r="A201" s="2"/>
      <c r="E201" t="e">
        <f>VLOOKUP(#REF!,Catalogos!$V$4:$W$64,2,FALSE)</f>
        <v>#REF!</v>
      </c>
      <c r="F201" s="3"/>
      <c r="G201" s="6"/>
      <c r="H201" s="3">
        <f t="shared" si="13"/>
        <v>-711</v>
      </c>
      <c r="I201" s="4">
        <v>28.3</v>
      </c>
      <c r="J201" s="4">
        <f t="shared" si="15"/>
        <v>0</v>
      </c>
      <c r="M201" t="str">
        <f t="shared" si="14"/>
        <v/>
      </c>
    </row>
    <row r="202" spans="1:14">
      <c r="A202" s="2"/>
      <c r="E202" t="e">
        <f>VLOOKUP(#REF!,Catalogos!$V$4:$W$64,2,FALSE)</f>
        <v>#REF!</v>
      </c>
      <c r="F202" s="3"/>
      <c r="G202" s="6"/>
      <c r="H202" s="3">
        <f t="shared" si="13"/>
        <v>-711</v>
      </c>
      <c r="I202" s="4">
        <v>28.3</v>
      </c>
      <c r="J202" s="4">
        <f t="shared" si="15"/>
        <v>0</v>
      </c>
      <c r="M202" t="str">
        <f t="shared" si="14"/>
        <v/>
      </c>
    </row>
    <row r="203" spans="1:14">
      <c r="A203" s="2"/>
      <c r="E203" t="e">
        <f>VLOOKUP(#REF!,Catalogos!$V$4:$W$64,2,FALSE)</f>
        <v>#REF!</v>
      </c>
      <c r="F203" s="3"/>
      <c r="G203" s="6"/>
      <c r="H203" s="3">
        <f t="shared" si="13"/>
        <v>-711</v>
      </c>
      <c r="I203" s="4">
        <v>28.3</v>
      </c>
      <c r="J203" s="4">
        <f t="shared" si="15"/>
        <v>0</v>
      </c>
      <c r="M203" t="str">
        <f t="shared" si="14"/>
        <v/>
      </c>
    </row>
    <row r="204" spans="1:14">
      <c r="A204" s="2"/>
      <c r="E204" t="e">
        <f>VLOOKUP(#REF!,Catalogos!$V$4:$W$64,2,FALSE)</f>
        <v>#REF!</v>
      </c>
      <c r="F204" s="3"/>
      <c r="G204" s="6"/>
      <c r="H204" s="3">
        <f t="shared" si="13"/>
        <v>-711</v>
      </c>
      <c r="I204" s="4">
        <v>28.3</v>
      </c>
      <c r="J204" s="4">
        <f t="shared" si="15"/>
        <v>0</v>
      </c>
      <c r="M204" t="str">
        <f t="shared" si="14"/>
        <v/>
      </c>
    </row>
    <row r="205" spans="1:14">
      <c r="A205" s="2"/>
      <c r="E205" t="e">
        <f>VLOOKUP(#REF!,Catalogos!$V$4:$W$64,2,FALSE)</f>
        <v>#REF!</v>
      </c>
      <c r="F205" s="3"/>
      <c r="G205" s="6"/>
      <c r="H205" s="3">
        <f t="shared" si="13"/>
        <v>-711</v>
      </c>
      <c r="I205" s="4">
        <v>28.3</v>
      </c>
      <c r="J205" s="4">
        <f t="shared" si="15"/>
        <v>0</v>
      </c>
      <c r="M205" t="str">
        <f t="shared" si="14"/>
        <v/>
      </c>
    </row>
    <row r="206" spans="1:14">
      <c r="A206" s="2"/>
      <c r="E206" t="e">
        <f>VLOOKUP(#REF!,Catalogos!$V$4:$W$64,2,FALSE)</f>
        <v>#REF!</v>
      </c>
      <c r="F206" s="3"/>
      <c r="G206" s="6"/>
      <c r="H206" s="3">
        <f t="shared" si="13"/>
        <v>-711</v>
      </c>
      <c r="I206" s="4">
        <v>28.3</v>
      </c>
      <c r="J206" s="4">
        <f t="shared" si="15"/>
        <v>0</v>
      </c>
      <c r="M206" t="str">
        <f t="shared" si="14"/>
        <v/>
      </c>
    </row>
    <row r="207" spans="1:14">
      <c r="M207" t="str">
        <f t="shared" si="14"/>
        <v/>
      </c>
    </row>
    <row r="208" spans="1:14">
      <c r="M208" t="str">
        <f t="shared" si="14"/>
        <v/>
      </c>
    </row>
    <row r="209" spans="7:13">
      <c r="G209" s="6"/>
      <c r="M209" t="str">
        <f t="shared" si="14"/>
        <v/>
      </c>
    </row>
    <row r="210" spans="7:13">
      <c r="M210" t="str">
        <f t="shared" si="14"/>
        <v/>
      </c>
    </row>
    <row r="211" spans="7:13">
      <c r="M211" t="str">
        <f t="shared" si="14"/>
        <v/>
      </c>
    </row>
    <row r="212" spans="7:13">
      <c r="M212" t="str">
        <f t="shared" si="14"/>
        <v/>
      </c>
    </row>
    <row r="213" spans="7:13">
      <c r="M213" t="str">
        <f t="shared" si="14"/>
        <v/>
      </c>
    </row>
    <row r="214" spans="7:13">
      <c r="M214" t="str">
        <f t="shared" si="14"/>
        <v/>
      </c>
    </row>
    <row r="215" spans="7:13">
      <c r="M215" t="str">
        <f t="shared" si="14"/>
        <v/>
      </c>
    </row>
    <row r="216" spans="7:13">
      <c r="M216" t="str">
        <f t="shared" si="14"/>
        <v/>
      </c>
    </row>
    <row r="217" spans="7:13">
      <c r="M217" t="str">
        <f t="shared" si="14"/>
        <v/>
      </c>
    </row>
    <row r="218" spans="7:13">
      <c r="M218" t="str">
        <f t="shared" si="14"/>
        <v/>
      </c>
    </row>
    <row r="219" spans="7:13">
      <c r="M219" t="str">
        <f t="shared" si="14"/>
        <v/>
      </c>
    </row>
    <row r="220" spans="7:13">
      <c r="M220" t="str">
        <f t="shared" si="14"/>
        <v/>
      </c>
    </row>
    <row r="221" spans="7:13">
      <c r="M221" t="str">
        <f t="shared" si="14"/>
        <v/>
      </c>
    </row>
    <row r="222" spans="7:13">
      <c r="M222" t="str">
        <f t="shared" si="14"/>
        <v/>
      </c>
    </row>
    <row r="223" spans="7:13">
      <c r="M223" t="str">
        <f t="shared" si="14"/>
        <v/>
      </c>
    </row>
    <row r="224" spans="7:13">
      <c r="M224" t="str">
        <f t="shared" si="14"/>
        <v/>
      </c>
    </row>
    <row r="225" spans="13:13">
      <c r="M225" t="str">
        <f t="shared" si="14"/>
        <v/>
      </c>
    </row>
    <row r="226" spans="13:13">
      <c r="M226" t="str">
        <f t="shared" si="14"/>
        <v/>
      </c>
    </row>
    <row r="227" spans="13:13">
      <c r="M227" t="str">
        <f t="shared" si="14"/>
        <v/>
      </c>
    </row>
    <row r="228" spans="13:13">
      <c r="M228" t="str">
        <f t="shared" si="14"/>
        <v/>
      </c>
    </row>
    <row r="229" spans="13:13">
      <c r="M229" t="str">
        <f t="shared" si="14"/>
        <v/>
      </c>
    </row>
    <row r="230" spans="13:13">
      <c r="M230" t="str">
        <f t="shared" si="14"/>
        <v/>
      </c>
    </row>
    <row r="231" spans="13:13">
      <c r="M231" t="str">
        <f t="shared" si="14"/>
        <v/>
      </c>
    </row>
    <row r="232" spans="13:13">
      <c r="M232" t="str">
        <f t="shared" si="14"/>
        <v/>
      </c>
    </row>
    <row r="233" spans="13:13">
      <c r="M233" t="str">
        <f t="shared" si="14"/>
        <v/>
      </c>
    </row>
    <row r="234" spans="13:13">
      <c r="M234" t="str">
        <f t="shared" si="14"/>
        <v/>
      </c>
    </row>
    <row r="235" spans="13:13">
      <c r="M235" t="str">
        <f t="shared" si="14"/>
        <v/>
      </c>
    </row>
    <row r="236" spans="13:13">
      <c r="M236" t="str">
        <f t="shared" si="14"/>
        <v/>
      </c>
    </row>
    <row r="237" spans="13:13">
      <c r="M237" t="str">
        <f t="shared" si="14"/>
        <v/>
      </c>
    </row>
    <row r="238" spans="13:13">
      <c r="M238" t="str">
        <f t="shared" si="14"/>
        <v/>
      </c>
    </row>
    <row r="239" spans="13:13">
      <c r="M239" t="str">
        <f t="shared" si="14"/>
        <v/>
      </c>
    </row>
    <row r="240" spans="13:13">
      <c r="M240" t="str">
        <f t="shared" si="14"/>
        <v/>
      </c>
    </row>
    <row r="241" spans="13:13">
      <c r="M241" t="str">
        <f t="shared" si="14"/>
        <v/>
      </c>
    </row>
    <row r="242" spans="13:13">
      <c r="M242" t="str">
        <f t="shared" si="14"/>
        <v/>
      </c>
    </row>
    <row r="243" spans="13:13">
      <c r="M243" t="str">
        <f t="shared" si="14"/>
        <v/>
      </c>
    </row>
    <row r="244" spans="13:13">
      <c r="M244" t="str">
        <f t="shared" si="14"/>
        <v/>
      </c>
    </row>
    <row r="245" spans="13:13">
      <c r="M245" t="str">
        <f t="shared" si="14"/>
        <v/>
      </c>
    </row>
    <row r="246" spans="13:13">
      <c r="M246" t="str">
        <f t="shared" si="14"/>
        <v/>
      </c>
    </row>
    <row r="247" spans="13:13">
      <c r="M247" t="str">
        <f t="shared" si="14"/>
        <v/>
      </c>
    </row>
    <row r="248" spans="13:13">
      <c r="M248" t="str">
        <f t="shared" si="14"/>
        <v/>
      </c>
    </row>
    <row r="249" spans="13:13">
      <c r="M249" t="str">
        <f t="shared" si="14"/>
        <v/>
      </c>
    </row>
    <row r="250" spans="13:13">
      <c r="M250" t="str">
        <f t="shared" si="14"/>
        <v/>
      </c>
    </row>
    <row r="251" spans="13:13">
      <c r="M251" t="str">
        <f t="shared" si="14"/>
        <v/>
      </c>
    </row>
    <row r="252" spans="13:13">
      <c r="M252" t="str">
        <f t="shared" si="14"/>
        <v/>
      </c>
    </row>
    <row r="253" spans="13:13">
      <c r="M253" t="str">
        <f t="shared" si="14"/>
        <v/>
      </c>
    </row>
    <row r="254" spans="13:13">
      <c r="M254" t="str">
        <f t="shared" si="14"/>
        <v/>
      </c>
    </row>
    <row r="255" spans="13:13">
      <c r="M255" t="str">
        <f t="shared" si="14"/>
        <v/>
      </c>
    </row>
    <row r="256" spans="13:13">
      <c r="M256" t="str">
        <f t="shared" si="14"/>
        <v/>
      </c>
    </row>
    <row r="257" spans="13:13">
      <c r="M257" t="str">
        <f t="shared" si="14"/>
        <v/>
      </c>
    </row>
    <row r="258" spans="13:13">
      <c r="M258" t="str">
        <f t="shared" si="14"/>
        <v/>
      </c>
    </row>
    <row r="259" spans="13:13">
      <c r="M259" t="str">
        <f t="shared" si="14"/>
        <v/>
      </c>
    </row>
    <row r="260" spans="13:13">
      <c r="M260" t="str">
        <f t="shared" si="14"/>
        <v/>
      </c>
    </row>
    <row r="261" spans="13:13">
      <c r="M261" t="str">
        <f t="shared" ref="M261:M324" si="16">IF(A261="","", WEEKNUM(A261, 2))</f>
        <v/>
      </c>
    </row>
    <row r="262" spans="13:13">
      <c r="M262" t="str">
        <f t="shared" si="16"/>
        <v/>
      </c>
    </row>
    <row r="263" spans="13:13">
      <c r="M263" t="str">
        <f t="shared" si="16"/>
        <v/>
      </c>
    </row>
    <row r="264" spans="13:13">
      <c r="M264" t="str">
        <f t="shared" si="16"/>
        <v/>
      </c>
    </row>
    <row r="265" spans="13:13">
      <c r="M265" t="str">
        <f t="shared" si="16"/>
        <v/>
      </c>
    </row>
    <row r="266" spans="13:13">
      <c r="M266" t="str">
        <f t="shared" si="16"/>
        <v/>
      </c>
    </row>
    <row r="267" spans="13:13">
      <c r="M267" t="str">
        <f t="shared" si="16"/>
        <v/>
      </c>
    </row>
    <row r="268" spans="13:13">
      <c r="M268" t="str">
        <f t="shared" si="16"/>
        <v/>
      </c>
    </row>
    <row r="269" spans="13:13">
      <c r="M269" t="str">
        <f t="shared" si="16"/>
        <v/>
      </c>
    </row>
    <row r="270" spans="13:13">
      <c r="M270" t="str">
        <f t="shared" si="16"/>
        <v/>
      </c>
    </row>
    <row r="271" spans="13:13">
      <c r="M271" t="str">
        <f t="shared" si="16"/>
        <v/>
      </c>
    </row>
    <row r="272" spans="13:13">
      <c r="M272" t="str">
        <f t="shared" si="16"/>
        <v/>
      </c>
    </row>
    <row r="273" spans="13:13">
      <c r="M273" t="str">
        <f t="shared" si="16"/>
        <v/>
      </c>
    </row>
    <row r="274" spans="13:13">
      <c r="M274" t="str">
        <f t="shared" si="16"/>
        <v/>
      </c>
    </row>
    <row r="275" spans="13:13">
      <c r="M275" t="str">
        <f t="shared" si="16"/>
        <v/>
      </c>
    </row>
    <row r="276" spans="13:13">
      <c r="M276" t="str">
        <f t="shared" si="16"/>
        <v/>
      </c>
    </row>
    <row r="277" spans="13:13">
      <c r="M277" t="str">
        <f t="shared" si="16"/>
        <v/>
      </c>
    </row>
    <row r="278" spans="13:13">
      <c r="M278" t="str">
        <f t="shared" si="16"/>
        <v/>
      </c>
    </row>
    <row r="279" spans="13:13">
      <c r="M279" t="str">
        <f t="shared" si="16"/>
        <v/>
      </c>
    </row>
    <row r="280" spans="13:13">
      <c r="M280" t="str">
        <f t="shared" si="16"/>
        <v/>
      </c>
    </row>
    <row r="281" spans="13:13">
      <c r="M281" t="str">
        <f t="shared" si="16"/>
        <v/>
      </c>
    </row>
    <row r="282" spans="13:13">
      <c r="M282" t="str">
        <f t="shared" si="16"/>
        <v/>
      </c>
    </row>
    <row r="283" spans="13:13">
      <c r="M283" t="str">
        <f t="shared" si="16"/>
        <v/>
      </c>
    </row>
    <row r="284" spans="13:13">
      <c r="M284" t="str">
        <f t="shared" si="16"/>
        <v/>
      </c>
    </row>
    <row r="285" spans="13:13">
      <c r="M285" t="str">
        <f t="shared" si="16"/>
        <v/>
      </c>
    </row>
    <row r="286" spans="13:13">
      <c r="M286" t="str">
        <f t="shared" si="16"/>
        <v/>
      </c>
    </row>
    <row r="287" spans="13:13">
      <c r="M287" t="str">
        <f t="shared" si="16"/>
        <v/>
      </c>
    </row>
    <row r="288" spans="13:13">
      <c r="M288" t="str">
        <f t="shared" si="16"/>
        <v/>
      </c>
    </row>
    <row r="289" spans="13:13">
      <c r="M289" t="str">
        <f t="shared" si="16"/>
        <v/>
      </c>
    </row>
    <row r="290" spans="13:13">
      <c r="M290" t="str">
        <f t="shared" si="16"/>
        <v/>
      </c>
    </row>
    <row r="291" spans="13:13">
      <c r="M291" t="str">
        <f t="shared" si="16"/>
        <v/>
      </c>
    </row>
    <row r="292" spans="13:13">
      <c r="M292" t="str">
        <f t="shared" si="16"/>
        <v/>
      </c>
    </row>
    <row r="293" spans="13:13">
      <c r="M293" t="str">
        <f t="shared" si="16"/>
        <v/>
      </c>
    </row>
    <row r="294" spans="13:13">
      <c r="M294" t="str">
        <f t="shared" si="16"/>
        <v/>
      </c>
    </row>
    <row r="295" spans="13:13">
      <c r="M295" t="str">
        <f t="shared" si="16"/>
        <v/>
      </c>
    </row>
    <row r="296" spans="13:13">
      <c r="M296" t="str">
        <f t="shared" si="16"/>
        <v/>
      </c>
    </row>
    <row r="297" spans="13:13">
      <c r="M297" t="str">
        <f t="shared" si="16"/>
        <v/>
      </c>
    </row>
    <row r="298" spans="13:13">
      <c r="M298" t="str">
        <f t="shared" si="16"/>
        <v/>
      </c>
    </row>
    <row r="299" spans="13:13">
      <c r="M299" t="str">
        <f t="shared" si="16"/>
        <v/>
      </c>
    </row>
    <row r="300" spans="13:13">
      <c r="M300" t="str">
        <f t="shared" si="16"/>
        <v/>
      </c>
    </row>
    <row r="301" spans="13:13">
      <c r="M301" t="str">
        <f t="shared" si="16"/>
        <v/>
      </c>
    </row>
    <row r="302" spans="13:13">
      <c r="M302" t="str">
        <f t="shared" si="16"/>
        <v/>
      </c>
    </row>
    <row r="303" spans="13:13">
      <c r="M303" t="str">
        <f t="shared" si="16"/>
        <v/>
      </c>
    </row>
    <row r="304" spans="13:13">
      <c r="M304" t="str">
        <f t="shared" si="16"/>
        <v/>
      </c>
    </row>
    <row r="305" spans="13:13">
      <c r="M305" t="str">
        <f t="shared" si="16"/>
        <v/>
      </c>
    </row>
    <row r="306" spans="13:13">
      <c r="M306" t="str">
        <f t="shared" si="16"/>
        <v/>
      </c>
    </row>
    <row r="307" spans="13:13">
      <c r="M307" t="str">
        <f t="shared" si="16"/>
        <v/>
      </c>
    </row>
    <row r="308" spans="13:13">
      <c r="M308" t="str">
        <f t="shared" si="16"/>
        <v/>
      </c>
    </row>
    <row r="309" spans="13:13">
      <c r="M309" t="str">
        <f t="shared" si="16"/>
        <v/>
      </c>
    </row>
    <row r="310" spans="13:13">
      <c r="M310" t="str">
        <f t="shared" si="16"/>
        <v/>
      </c>
    </row>
    <row r="311" spans="13:13">
      <c r="M311" t="str">
        <f t="shared" si="16"/>
        <v/>
      </c>
    </row>
    <row r="312" spans="13:13">
      <c r="M312" t="str">
        <f t="shared" si="16"/>
        <v/>
      </c>
    </row>
    <row r="313" spans="13:13">
      <c r="M313" t="str">
        <f t="shared" si="16"/>
        <v/>
      </c>
    </row>
    <row r="314" spans="13:13">
      <c r="M314" t="str">
        <f t="shared" si="16"/>
        <v/>
      </c>
    </row>
    <row r="315" spans="13:13">
      <c r="M315" t="str">
        <f t="shared" si="16"/>
        <v/>
      </c>
    </row>
    <row r="316" spans="13:13">
      <c r="M316" t="str">
        <f t="shared" si="16"/>
        <v/>
      </c>
    </row>
    <row r="317" spans="13:13">
      <c r="M317" t="str">
        <f t="shared" si="16"/>
        <v/>
      </c>
    </row>
    <row r="318" spans="13:13">
      <c r="M318" t="str">
        <f t="shared" si="16"/>
        <v/>
      </c>
    </row>
    <row r="319" spans="13:13">
      <c r="M319" t="str">
        <f t="shared" si="16"/>
        <v/>
      </c>
    </row>
    <row r="320" spans="13:13">
      <c r="M320" t="str">
        <f t="shared" si="16"/>
        <v/>
      </c>
    </row>
    <row r="321" spans="13:13">
      <c r="M321" t="str">
        <f t="shared" si="16"/>
        <v/>
      </c>
    </row>
    <row r="322" spans="13:13">
      <c r="M322" t="str">
        <f t="shared" si="16"/>
        <v/>
      </c>
    </row>
    <row r="323" spans="13:13">
      <c r="M323" t="str">
        <f t="shared" si="16"/>
        <v/>
      </c>
    </row>
    <row r="324" spans="13:13">
      <c r="M324" t="str">
        <f t="shared" si="16"/>
        <v/>
      </c>
    </row>
    <row r="325" spans="13:13">
      <c r="M325" t="str">
        <f t="shared" ref="M325:M388" si="17">IF(A325="","", WEEKNUM(A325, 2))</f>
        <v/>
      </c>
    </row>
    <row r="326" spans="13:13">
      <c r="M326" t="str">
        <f t="shared" si="17"/>
        <v/>
      </c>
    </row>
    <row r="327" spans="13:13">
      <c r="M327" t="str">
        <f t="shared" si="17"/>
        <v/>
      </c>
    </row>
    <row r="328" spans="13:13">
      <c r="M328" t="str">
        <f t="shared" si="17"/>
        <v/>
      </c>
    </row>
    <row r="329" spans="13:13">
      <c r="M329" t="str">
        <f t="shared" si="17"/>
        <v/>
      </c>
    </row>
    <row r="330" spans="13:13">
      <c r="M330" t="str">
        <f t="shared" si="17"/>
        <v/>
      </c>
    </row>
    <row r="331" spans="13:13">
      <c r="M331" t="str">
        <f t="shared" si="17"/>
        <v/>
      </c>
    </row>
    <row r="332" spans="13:13">
      <c r="M332" t="str">
        <f t="shared" si="17"/>
        <v/>
      </c>
    </row>
    <row r="333" spans="13:13">
      <c r="M333" t="str">
        <f t="shared" si="17"/>
        <v/>
      </c>
    </row>
    <row r="334" spans="13:13">
      <c r="M334" t="str">
        <f t="shared" si="17"/>
        <v/>
      </c>
    </row>
    <row r="335" spans="13:13">
      <c r="M335" t="str">
        <f t="shared" si="17"/>
        <v/>
      </c>
    </row>
    <row r="336" spans="13:13">
      <c r="M336" t="str">
        <f t="shared" si="17"/>
        <v/>
      </c>
    </row>
    <row r="337" spans="13:13">
      <c r="M337" t="str">
        <f t="shared" si="17"/>
        <v/>
      </c>
    </row>
    <row r="338" spans="13:13">
      <c r="M338" t="str">
        <f t="shared" si="17"/>
        <v/>
      </c>
    </row>
    <row r="339" spans="13:13">
      <c r="M339" t="str">
        <f t="shared" si="17"/>
        <v/>
      </c>
    </row>
    <row r="340" spans="13:13">
      <c r="M340" t="str">
        <f t="shared" si="17"/>
        <v/>
      </c>
    </row>
    <row r="341" spans="13:13">
      <c r="M341" t="str">
        <f t="shared" si="17"/>
        <v/>
      </c>
    </row>
    <row r="342" spans="13:13">
      <c r="M342" t="str">
        <f t="shared" si="17"/>
        <v/>
      </c>
    </row>
    <row r="343" spans="13:13">
      <c r="M343" t="str">
        <f t="shared" si="17"/>
        <v/>
      </c>
    </row>
    <row r="344" spans="13:13">
      <c r="M344" t="str">
        <f t="shared" si="17"/>
        <v/>
      </c>
    </row>
    <row r="345" spans="13:13">
      <c r="M345" t="str">
        <f t="shared" si="17"/>
        <v/>
      </c>
    </row>
    <row r="346" spans="13:13">
      <c r="M346" t="str">
        <f t="shared" si="17"/>
        <v/>
      </c>
    </row>
    <row r="347" spans="13:13">
      <c r="M347" t="str">
        <f t="shared" si="17"/>
        <v/>
      </c>
    </row>
    <row r="348" spans="13:13">
      <c r="M348" t="str">
        <f t="shared" si="17"/>
        <v/>
      </c>
    </row>
    <row r="349" spans="13:13">
      <c r="M349" t="str">
        <f t="shared" si="17"/>
        <v/>
      </c>
    </row>
    <row r="350" spans="13:13">
      <c r="M350" t="str">
        <f t="shared" si="17"/>
        <v/>
      </c>
    </row>
    <row r="351" spans="13:13">
      <c r="M351" t="str">
        <f t="shared" si="17"/>
        <v/>
      </c>
    </row>
    <row r="352" spans="13:13">
      <c r="M352" t="str">
        <f t="shared" si="17"/>
        <v/>
      </c>
    </row>
    <row r="353" spans="13:13">
      <c r="M353" t="str">
        <f t="shared" si="17"/>
        <v/>
      </c>
    </row>
    <row r="354" spans="13:13">
      <c r="M354" t="str">
        <f t="shared" si="17"/>
        <v/>
      </c>
    </row>
    <row r="355" spans="13:13">
      <c r="M355" t="str">
        <f t="shared" si="17"/>
        <v/>
      </c>
    </row>
    <row r="356" spans="13:13">
      <c r="M356" t="str">
        <f t="shared" si="17"/>
        <v/>
      </c>
    </row>
    <row r="357" spans="13:13">
      <c r="M357" t="str">
        <f t="shared" si="17"/>
        <v/>
      </c>
    </row>
    <row r="358" spans="13:13">
      <c r="M358" t="str">
        <f t="shared" si="17"/>
        <v/>
      </c>
    </row>
    <row r="359" spans="13:13">
      <c r="M359" t="str">
        <f t="shared" si="17"/>
        <v/>
      </c>
    </row>
    <row r="360" spans="13:13">
      <c r="M360" t="str">
        <f t="shared" si="17"/>
        <v/>
      </c>
    </row>
    <row r="361" spans="13:13">
      <c r="M361" t="str">
        <f t="shared" si="17"/>
        <v/>
      </c>
    </row>
    <row r="362" spans="13:13">
      <c r="M362" t="str">
        <f t="shared" si="17"/>
        <v/>
      </c>
    </row>
    <row r="363" spans="13:13">
      <c r="M363" t="str">
        <f t="shared" si="17"/>
        <v/>
      </c>
    </row>
    <row r="364" spans="13:13">
      <c r="M364" t="str">
        <f t="shared" si="17"/>
        <v/>
      </c>
    </row>
    <row r="365" spans="13:13">
      <c r="M365" t="str">
        <f t="shared" si="17"/>
        <v/>
      </c>
    </row>
    <row r="366" spans="13:13">
      <c r="M366" t="str">
        <f t="shared" si="17"/>
        <v/>
      </c>
    </row>
    <row r="367" spans="13:13">
      <c r="M367" t="str">
        <f t="shared" si="17"/>
        <v/>
      </c>
    </row>
    <row r="368" spans="13:13">
      <c r="M368" t="str">
        <f t="shared" si="17"/>
        <v/>
      </c>
    </row>
    <row r="369" spans="13:13">
      <c r="M369" t="str">
        <f t="shared" si="17"/>
        <v/>
      </c>
    </row>
    <row r="370" spans="13:13">
      <c r="M370" t="str">
        <f t="shared" si="17"/>
        <v/>
      </c>
    </row>
    <row r="371" spans="13:13">
      <c r="M371" t="str">
        <f t="shared" si="17"/>
        <v/>
      </c>
    </row>
    <row r="372" spans="13:13">
      <c r="M372" t="str">
        <f t="shared" si="17"/>
        <v/>
      </c>
    </row>
    <row r="373" spans="13:13">
      <c r="M373" t="str">
        <f t="shared" si="17"/>
        <v/>
      </c>
    </row>
    <row r="374" spans="13:13">
      <c r="M374" t="str">
        <f t="shared" si="17"/>
        <v/>
      </c>
    </row>
    <row r="375" spans="13:13">
      <c r="M375" t="str">
        <f t="shared" si="17"/>
        <v/>
      </c>
    </row>
    <row r="376" spans="13:13">
      <c r="M376" t="str">
        <f t="shared" si="17"/>
        <v/>
      </c>
    </row>
    <row r="377" spans="13:13">
      <c r="M377" t="str">
        <f t="shared" si="17"/>
        <v/>
      </c>
    </row>
    <row r="378" spans="13:13">
      <c r="M378" t="str">
        <f t="shared" si="17"/>
        <v/>
      </c>
    </row>
    <row r="379" spans="13:13">
      <c r="M379" t="str">
        <f t="shared" si="17"/>
        <v/>
      </c>
    </row>
    <row r="380" spans="13:13">
      <c r="M380" t="str">
        <f t="shared" si="17"/>
        <v/>
      </c>
    </row>
    <row r="381" spans="13:13">
      <c r="M381" t="str">
        <f t="shared" si="17"/>
        <v/>
      </c>
    </row>
    <row r="382" spans="13:13">
      <c r="M382" t="str">
        <f t="shared" si="17"/>
        <v/>
      </c>
    </row>
    <row r="383" spans="13:13">
      <c r="M383" t="str">
        <f t="shared" si="17"/>
        <v/>
      </c>
    </row>
    <row r="384" spans="13:13">
      <c r="M384" t="str">
        <f t="shared" si="17"/>
        <v/>
      </c>
    </row>
    <row r="385" spans="13:13">
      <c r="M385" t="str">
        <f t="shared" si="17"/>
        <v/>
      </c>
    </row>
    <row r="386" spans="13:13">
      <c r="M386" t="str">
        <f t="shared" si="17"/>
        <v/>
      </c>
    </row>
    <row r="387" spans="13:13">
      <c r="M387" t="str">
        <f t="shared" si="17"/>
        <v/>
      </c>
    </row>
    <row r="388" spans="13:13">
      <c r="M388" t="str">
        <f t="shared" si="17"/>
        <v/>
      </c>
    </row>
    <row r="389" spans="13:13">
      <c r="M389" t="str">
        <f t="shared" ref="M389:M452" si="18">IF(A389="","", WEEKNUM(A389, 2))</f>
        <v/>
      </c>
    </row>
    <row r="390" spans="13:13">
      <c r="M390" t="str">
        <f t="shared" si="18"/>
        <v/>
      </c>
    </row>
    <row r="391" spans="13:13">
      <c r="M391" t="str">
        <f t="shared" si="18"/>
        <v/>
      </c>
    </row>
    <row r="392" spans="13:13">
      <c r="M392" t="str">
        <f t="shared" si="18"/>
        <v/>
      </c>
    </row>
    <row r="393" spans="13:13">
      <c r="M393" t="str">
        <f t="shared" si="18"/>
        <v/>
      </c>
    </row>
    <row r="394" spans="13:13">
      <c r="M394" t="str">
        <f t="shared" si="18"/>
        <v/>
      </c>
    </row>
    <row r="395" spans="13:13">
      <c r="M395" t="str">
        <f t="shared" si="18"/>
        <v/>
      </c>
    </row>
    <row r="396" spans="13:13">
      <c r="M396" t="str">
        <f t="shared" si="18"/>
        <v/>
      </c>
    </row>
    <row r="397" spans="13:13">
      <c r="M397" t="str">
        <f t="shared" si="18"/>
        <v/>
      </c>
    </row>
    <row r="398" spans="13:13">
      <c r="M398" t="str">
        <f t="shared" si="18"/>
        <v/>
      </c>
    </row>
    <row r="399" spans="13:13">
      <c r="M399" t="str">
        <f t="shared" si="18"/>
        <v/>
      </c>
    </row>
    <row r="400" spans="13:13">
      <c r="M400" t="str">
        <f t="shared" si="18"/>
        <v/>
      </c>
    </row>
    <row r="401" spans="13:13">
      <c r="M401" t="str">
        <f t="shared" si="18"/>
        <v/>
      </c>
    </row>
    <row r="402" spans="13:13">
      <c r="M402" t="str">
        <f t="shared" si="18"/>
        <v/>
      </c>
    </row>
    <row r="403" spans="13:13">
      <c r="M403" t="str">
        <f t="shared" si="18"/>
        <v/>
      </c>
    </row>
    <row r="404" spans="13:13">
      <c r="M404" t="str">
        <f t="shared" si="18"/>
        <v/>
      </c>
    </row>
    <row r="405" spans="13:13">
      <c r="M405" t="str">
        <f t="shared" si="18"/>
        <v/>
      </c>
    </row>
    <row r="406" spans="13:13">
      <c r="M406" t="str">
        <f t="shared" si="18"/>
        <v/>
      </c>
    </row>
    <row r="407" spans="13:13">
      <c r="M407" t="str">
        <f t="shared" si="18"/>
        <v/>
      </c>
    </row>
    <row r="408" spans="13:13">
      <c r="M408" t="str">
        <f t="shared" si="18"/>
        <v/>
      </c>
    </row>
    <row r="409" spans="13:13">
      <c r="M409" t="str">
        <f t="shared" si="18"/>
        <v/>
      </c>
    </row>
    <row r="410" spans="13:13">
      <c r="M410" t="str">
        <f t="shared" si="18"/>
        <v/>
      </c>
    </row>
    <row r="411" spans="13:13">
      <c r="M411" t="str">
        <f t="shared" si="18"/>
        <v/>
      </c>
    </row>
    <row r="412" spans="13:13">
      <c r="M412" t="str">
        <f t="shared" si="18"/>
        <v/>
      </c>
    </row>
    <row r="413" spans="13:13">
      <c r="M413" t="str">
        <f t="shared" si="18"/>
        <v/>
      </c>
    </row>
    <row r="414" spans="13:13">
      <c r="M414" t="str">
        <f t="shared" si="18"/>
        <v/>
      </c>
    </row>
    <row r="415" spans="13:13">
      <c r="M415" t="str">
        <f t="shared" si="18"/>
        <v/>
      </c>
    </row>
    <row r="416" spans="13:13">
      <c r="M416" t="str">
        <f t="shared" si="18"/>
        <v/>
      </c>
    </row>
    <row r="417" spans="13:13">
      <c r="M417" t="str">
        <f t="shared" si="18"/>
        <v/>
      </c>
    </row>
    <row r="418" spans="13:13">
      <c r="M418" t="str">
        <f t="shared" si="18"/>
        <v/>
      </c>
    </row>
    <row r="419" spans="13:13">
      <c r="M419" t="str">
        <f t="shared" si="18"/>
        <v/>
      </c>
    </row>
    <row r="420" spans="13:13">
      <c r="M420" t="str">
        <f t="shared" si="18"/>
        <v/>
      </c>
    </row>
    <row r="421" spans="13:13">
      <c r="M421" t="str">
        <f t="shared" si="18"/>
        <v/>
      </c>
    </row>
    <row r="422" spans="13:13">
      <c r="M422" t="str">
        <f t="shared" si="18"/>
        <v/>
      </c>
    </row>
    <row r="423" spans="13:13">
      <c r="M423" t="str">
        <f t="shared" si="18"/>
        <v/>
      </c>
    </row>
    <row r="424" spans="13:13">
      <c r="M424" t="str">
        <f t="shared" si="18"/>
        <v/>
      </c>
    </row>
    <row r="425" spans="13:13">
      <c r="M425" t="str">
        <f t="shared" si="18"/>
        <v/>
      </c>
    </row>
    <row r="426" spans="13:13">
      <c r="M426" t="str">
        <f t="shared" si="18"/>
        <v/>
      </c>
    </row>
    <row r="427" spans="13:13">
      <c r="M427" t="str">
        <f t="shared" si="18"/>
        <v/>
      </c>
    </row>
    <row r="428" spans="13:13">
      <c r="M428" t="str">
        <f t="shared" si="18"/>
        <v/>
      </c>
    </row>
    <row r="429" spans="13:13">
      <c r="M429" t="str">
        <f t="shared" si="18"/>
        <v/>
      </c>
    </row>
    <row r="430" spans="13:13">
      <c r="M430" t="str">
        <f t="shared" si="18"/>
        <v/>
      </c>
    </row>
    <row r="431" spans="13:13">
      <c r="M431" t="str">
        <f t="shared" si="18"/>
        <v/>
      </c>
    </row>
    <row r="432" spans="13:13">
      <c r="M432" t="str">
        <f t="shared" si="18"/>
        <v/>
      </c>
    </row>
    <row r="433" spans="13:13">
      <c r="M433" t="str">
        <f t="shared" si="18"/>
        <v/>
      </c>
    </row>
    <row r="434" spans="13:13">
      <c r="M434" t="str">
        <f t="shared" si="18"/>
        <v/>
      </c>
    </row>
    <row r="435" spans="13:13">
      <c r="M435" t="str">
        <f t="shared" si="18"/>
        <v/>
      </c>
    </row>
    <row r="436" spans="13:13">
      <c r="M436" t="str">
        <f t="shared" si="18"/>
        <v/>
      </c>
    </row>
    <row r="437" spans="13:13">
      <c r="M437" t="str">
        <f t="shared" si="18"/>
        <v/>
      </c>
    </row>
    <row r="438" spans="13:13">
      <c r="M438" t="str">
        <f t="shared" si="18"/>
        <v/>
      </c>
    </row>
    <row r="439" spans="13:13">
      <c r="M439" t="str">
        <f t="shared" si="18"/>
        <v/>
      </c>
    </row>
    <row r="440" spans="13:13">
      <c r="M440" t="str">
        <f t="shared" si="18"/>
        <v/>
      </c>
    </row>
    <row r="441" spans="13:13">
      <c r="M441" t="str">
        <f t="shared" si="18"/>
        <v/>
      </c>
    </row>
    <row r="442" spans="13:13">
      <c r="M442" t="str">
        <f t="shared" si="18"/>
        <v/>
      </c>
    </row>
    <row r="443" spans="13:13">
      <c r="M443" t="str">
        <f t="shared" si="18"/>
        <v/>
      </c>
    </row>
    <row r="444" spans="13:13">
      <c r="M444" t="str">
        <f t="shared" si="18"/>
        <v/>
      </c>
    </row>
    <row r="445" spans="13:13">
      <c r="M445" t="str">
        <f t="shared" si="18"/>
        <v/>
      </c>
    </row>
    <row r="446" spans="13:13">
      <c r="M446" t="str">
        <f t="shared" si="18"/>
        <v/>
      </c>
    </row>
    <row r="447" spans="13:13">
      <c r="M447" t="str">
        <f t="shared" si="18"/>
        <v/>
      </c>
    </row>
    <row r="448" spans="13:13">
      <c r="M448" t="str">
        <f t="shared" si="18"/>
        <v/>
      </c>
    </row>
    <row r="449" spans="13:13">
      <c r="M449" t="str">
        <f t="shared" si="18"/>
        <v/>
      </c>
    </row>
    <row r="450" spans="13:13">
      <c r="M450" t="str">
        <f t="shared" si="18"/>
        <v/>
      </c>
    </row>
    <row r="451" spans="13:13">
      <c r="M451" t="str">
        <f t="shared" si="18"/>
        <v/>
      </c>
    </row>
    <row r="452" spans="13:13">
      <c r="M452" t="str">
        <f t="shared" si="18"/>
        <v/>
      </c>
    </row>
    <row r="453" spans="13:13">
      <c r="M453" t="str">
        <f t="shared" ref="M453:M516" si="19">IF(A453="","", WEEKNUM(A453, 2))</f>
        <v/>
      </c>
    </row>
    <row r="454" spans="13:13">
      <c r="M454" t="str">
        <f t="shared" si="19"/>
        <v/>
      </c>
    </row>
    <row r="455" spans="13:13">
      <c r="M455" t="str">
        <f t="shared" si="19"/>
        <v/>
      </c>
    </row>
    <row r="456" spans="13:13">
      <c r="M456" t="str">
        <f t="shared" si="19"/>
        <v/>
      </c>
    </row>
    <row r="457" spans="13:13">
      <c r="M457" t="str">
        <f t="shared" si="19"/>
        <v/>
      </c>
    </row>
    <row r="458" spans="13:13">
      <c r="M458" t="str">
        <f t="shared" si="19"/>
        <v/>
      </c>
    </row>
    <row r="459" spans="13:13">
      <c r="M459" t="str">
        <f t="shared" si="19"/>
        <v/>
      </c>
    </row>
    <row r="460" spans="13:13">
      <c r="M460" t="str">
        <f t="shared" si="19"/>
        <v/>
      </c>
    </row>
    <row r="461" spans="13:13">
      <c r="M461" t="str">
        <f t="shared" si="19"/>
        <v/>
      </c>
    </row>
    <row r="462" spans="13:13">
      <c r="M462" t="str">
        <f t="shared" si="19"/>
        <v/>
      </c>
    </row>
    <row r="463" spans="13:13">
      <c r="M463" t="str">
        <f t="shared" si="19"/>
        <v/>
      </c>
    </row>
    <row r="464" spans="13:13">
      <c r="M464" t="str">
        <f t="shared" si="19"/>
        <v/>
      </c>
    </row>
    <row r="465" spans="13:13">
      <c r="M465" t="str">
        <f t="shared" si="19"/>
        <v/>
      </c>
    </row>
    <row r="466" spans="13:13">
      <c r="M466" t="str">
        <f t="shared" si="19"/>
        <v/>
      </c>
    </row>
    <row r="467" spans="13:13">
      <c r="M467" t="str">
        <f t="shared" si="19"/>
        <v/>
      </c>
    </row>
    <row r="468" spans="13:13">
      <c r="M468" t="str">
        <f t="shared" si="19"/>
        <v/>
      </c>
    </row>
    <row r="469" spans="13:13">
      <c r="M469" t="str">
        <f t="shared" si="19"/>
        <v/>
      </c>
    </row>
    <row r="470" spans="13:13">
      <c r="M470" t="str">
        <f t="shared" si="19"/>
        <v/>
      </c>
    </row>
    <row r="471" spans="13:13">
      <c r="M471" t="str">
        <f t="shared" si="19"/>
        <v/>
      </c>
    </row>
    <row r="472" spans="13:13">
      <c r="M472" t="str">
        <f t="shared" si="19"/>
        <v/>
      </c>
    </row>
    <row r="473" spans="13:13">
      <c r="M473" t="str">
        <f t="shared" si="19"/>
        <v/>
      </c>
    </row>
    <row r="474" spans="13:13">
      <c r="M474" t="str">
        <f t="shared" si="19"/>
        <v/>
      </c>
    </row>
    <row r="475" spans="13:13">
      <c r="M475" t="str">
        <f t="shared" si="19"/>
        <v/>
      </c>
    </row>
    <row r="476" spans="13:13">
      <c r="M476" t="str">
        <f t="shared" si="19"/>
        <v/>
      </c>
    </row>
    <row r="477" spans="13:13">
      <c r="M477" t="str">
        <f t="shared" si="19"/>
        <v/>
      </c>
    </row>
    <row r="478" spans="13:13">
      <c r="M478" t="str">
        <f t="shared" si="19"/>
        <v/>
      </c>
    </row>
    <row r="479" spans="13:13">
      <c r="M479" t="str">
        <f t="shared" si="19"/>
        <v/>
      </c>
    </row>
    <row r="480" spans="13:13">
      <c r="M480" t="str">
        <f t="shared" si="19"/>
        <v/>
      </c>
    </row>
    <row r="481" spans="13:13">
      <c r="M481" t="str">
        <f t="shared" si="19"/>
        <v/>
      </c>
    </row>
    <row r="482" spans="13:13">
      <c r="M482" t="str">
        <f t="shared" si="19"/>
        <v/>
      </c>
    </row>
    <row r="483" spans="13:13">
      <c r="M483" t="str">
        <f t="shared" si="19"/>
        <v/>
      </c>
    </row>
    <row r="484" spans="13:13">
      <c r="M484" t="str">
        <f t="shared" si="19"/>
        <v/>
      </c>
    </row>
    <row r="485" spans="13:13">
      <c r="M485" t="str">
        <f t="shared" si="19"/>
        <v/>
      </c>
    </row>
    <row r="486" spans="13:13">
      <c r="M486" t="str">
        <f t="shared" si="19"/>
        <v/>
      </c>
    </row>
    <row r="487" spans="13:13">
      <c r="M487" t="str">
        <f t="shared" si="19"/>
        <v/>
      </c>
    </row>
    <row r="488" spans="13:13">
      <c r="M488" t="str">
        <f t="shared" si="19"/>
        <v/>
      </c>
    </row>
    <row r="489" spans="13:13">
      <c r="M489" t="str">
        <f t="shared" si="19"/>
        <v/>
      </c>
    </row>
    <row r="490" spans="13:13">
      <c r="M490" t="str">
        <f t="shared" si="19"/>
        <v/>
      </c>
    </row>
    <row r="491" spans="13:13">
      <c r="M491" t="str">
        <f t="shared" si="19"/>
        <v/>
      </c>
    </row>
    <row r="492" spans="13:13">
      <c r="M492" t="str">
        <f t="shared" si="19"/>
        <v/>
      </c>
    </row>
    <row r="493" spans="13:13">
      <c r="M493" t="str">
        <f t="shared" si="19"/>
        <v/>
      </c>
    </row>
    <row r="494" spans="13:13">
      <c r="M494" t="str">
        <f t="shared" si="19"/>
        <v/>
      </c>
    </row>
    <row r="495" spans="13:13">
      <c r="M495" t="str">
        <f t="shared" si="19"/>
        <v/>
      </c>
    </row>
    <row r="496" spans="13:13">
      <c r="M496" t="str">
        <f t="shared" si="19"/>
        <v/>
      </c>
    </row>
    <row r="497" spans="13:13">
      <c r="M497" t="str">
        <f t="shared" si="19"/>
        <v/>
      </c>
    </row>
    <row r="498" spans="13:13">
      <c r="M498" t="str">
        <f t="shared" si="19"/>
        <v/>
      </c>
    </row>
    <row r="499" spans="13:13">
      <c r="M499" t="str">
        <f t="shared" si="19"/>
        <v/>
      </c>
    </row>
    <row r="500" spans="13:13">
      <c r="M500" t="str">
        <f t="shared" si="19"/>
        <v/>
      </c>
    </row>
    <row r="501" spans="13:13">
      <c r="M501" t="str">
        <f t="shared" si="19"/>
        <v/>
      </c>
    </row>
    <row r="502" spans="13:13">
      <c r="M502" t="str">
        <f t="shared" si="19"/>
        <v/>
      </c>
    </row>
    <row r="503" spans="13:13">
      <c r="M503" t="str">
        <f t="shared" si="19"/>
        <v/>
      </c>
    </row>
    <row r="504" spans="13:13">
      <c r="M504" t="str">
        <f t="shared" si="19"/>
        <v/>
      </c>
    </row>
    <row r="505" spans="13:13">
      <c r="M505" t="str">
        <f t="shared" si="19"/>
        <v/>
      </c>
    </row>
    <row r="506" spans="13:13">
      <c r="M506" t="str">
        <f t="shared" si="19"/>
        <v/>
      </c>
    </row>
    <row r="507" spans="13:13">
      <c r="M507" t="str">
        <f t="shared" si="19"/>
        <v/>
      </c>
    </row>
    <row r="508" spans="13:13">
      <c r="M508" t="str">
        <f t="shared" si="19"/>
        <v/>
      </c>
    </row>
    <row r="509" spans="13:13">
      <c r="M509" t="str">
        <f t="shared" si="19"/>
        <v/>
      </c>
    </row>
    <row r="510" spans="13:13">
      <c r="M510" t="str">
        <f t="shared" si="19"/>
        <v/>
      </c>
    </row>
    <row r="511" spans="13:13">
      <c r="M511" t="str">
        <f t="shared" si="19"/>
        <v/>
      </c>
    </row>
    <row r="512" spans="13:13">
      <c r="M512" t="str">
        <f t="shared" si="19"/>
        <v/>
      </c>
    </row>
    <row r="513" spans="13:13">
      <c r="M513" t="str">
        <f t="shared" si="19"/>
        <v/>
      </c>
    </row>
    <row r="514" spans="13:13">
      <c r="M514" t="str">
        <f t="shared" si="19"/>
        <v/>
      </c>
    </row>
    <row r="515" spans="13:13">
      <c r="M515" t="str">
        <f t="shared" si="19"/>
        <v/>
      </c>
    </row>
    <row r="516" spans="13:13">
      <c r="M516" t="str">
        <f t="shared" si="19"/>
        <v/>
      </c>
    </row>
    <row r="517" spans="13:13">
      <c r="M517" t="str">
        <f t="shared" ref="M517:M580" si="20">IF(A517="","", WEEKNUM(A517, 2))</f>
        <v/>
      </c>
    </row>
    <row r="518" spans="13:13">
      <c r="M518" t="str">
        <f t="shared" si="20"/>
        <v/>
      </c>
    </row>
    <row r="519" spans="13:13">
      <c r="M519" t="str">
        <f t="shared" si="20"/>
        <v/>
      </c>
    </row>
    <row r="520" spans="13:13">
      <c r="M520" t="str">
        <f t="shared" si="20"/>
        <v/>
      </c>
    </row>
    <row r="521" spans="13:13">
      <c r="M521" t="str">
        <f t="shared" si="20"/>
        <v/>
      </c>
    </row>
    <row r="522" spans="13:13">
      <c r="M522" t="str">
        <f t="shared" si="20"/>
        <v/>
      </c>
    </row>
    <row r="523" spans="13:13">
      <c r="M523" t="str">
        <f t="shared" si="20"/>
        <v/>
      </c>
    </row>
    <row r="524" spans="13:13">
      <c r="M524" t="str">
        <f t="shared" si="20"/>
        <v/>
      </c>
    </row>
    <row r="525" spans="13:13">
      <c r="M525" t="str">
        <f t="shared" si="20"/>
        <v/>
      </c>
    </row>
    <row r="526" spans="13:13">
      <c r="M526" t="str">
        <f t="shared" si="20"/>
        <v/>
      </c>
    </row>
    <row r="527" spans="13:13">
      <c r="M527" t="str">
        <f t="shared" si="20"/>
        <v/>
      </c>
    </row>
    <row r="528" spans="13:13">
      <c r="M528" t="str">
        <f t="shared" si="20"/>
        <v/>
      </c>
    </row>
    <row r="529" spans="13:13">
      <c r="M529" t="str">
        <f t="shared" si="20"/>
        <v/>
      </c>
    </row>
    <row r="530" spans="13:13">
      <c r="M530" t="str">
        <f t="shared" si="20"/>
        <v/>
      </c>
    </row>
    <row r="531" spans="13:13">
      <c r="M531" t="str">
        <f t="shared" si="20"/>
        <v/>
      </c>
    </row>
    <row r="532" spans="13:13">
      <c r="M532" t="str">
        <f t="shared" si="20"/>
        <v/>
      </c>
    </row>
    <row r="533" spans="13:13">
      <c r="M533" t="str">
        <f t="shared" si="20"/>
        <v/>
      </c>
    </row>
    <row r="534" spans="13:13">
      <c r="M534" t="str">
        <f t="shared" si="20"/>
        <v/>
      </c>
    </row>
    <row r="535" spans="13:13">
      <c r="M535" t="str">
        <f t="shared" si="20"/>
        <v/>
      </c>
    </row>
    <row r="536" spans="13:13">
      <c r="M536" t="str">
        <f t="shared" si="20"/>
        <v/>
      </c>
    </row>
    <row r="537" spans="13:13">
      <c r="M537" t="str">
        <f t="shared" si="20"/>
        <v/>
      </c>
    </row>
    <row r="538" spans="13:13">
      <c r="M538" t="str">
        <f t="shared" si="20"/>
        <v/>
      </c>
    </row>
    <row r="539" spans="13:13">
      <c r="M539" t="str">
        <f t="shared" si="20"/>
        <v/>
      </c>
    </row>
    <row r="540" spans="13:13">
      <c r="M540" t="str">
        <f t="shared" si="20"/>
        <v/>
      </c>
    </row>
    <row r="541" spans="13:13">
      <c r="M541" t="str">
        <f t="shared" si="20"/>
        <v/>
      </c>
    </row>
    <row r="542" spans="13:13">
      <c r="M542" t="str">
        <f t="shared" si="20"/>
        <v/>
      </c>
    </row>
    <row r="543" spans="13:13">
      <c r="M543" t="str">
        <f t="shared" si="20"/>
        <v/>
      </c>
    </row>
    <row r="544" spans="13:13">
      <c r="M544" t="str">
        <f t="shared" si="20"/>
        <v/>
      </c>
    </row>
    <row r="545" spans="13:13">
      <c r="M545" t="str">
        <f t="shared" si="20"/>
        <v/>
      </c>
    </row>
    <row r="546" spans="13:13">
      <c r="M546" t="str">
        <f t="shared" si="20"/>
        <v/>
      </c>
    </row>
    <row r="547" spans="13:13">
      <c r="M547" t="str">
        <f t="shared" si="20"/>
        <v/>
      </c>
    </row>
    <row r="548" spans="13:13">
      <c r="M548" t="str">
        <f t="shared" si="20"/>
        <v/>
      </c>
    </row>
    <row r="549" spans="13:13">
      <c r="M549" t="str">
        <f t="shared" si="20"/>
        <v/>
      </c>
    </row>
    <row r="550" spans="13:13">
      <c r="M550" t="str">
        <f t="shared" si="20"/>
        <v/>
      </c>
    </row>
    <row r="551" spans="13:13">
      <c r="M551" t="str">
        <f t="shared" si="20"/>
        <v/>
      </c>
    </row>
    <row r="552" spans="13:13">
      <c r="M552" t="str">
        <f t="shared" si="20"/>
        <v/>
      </c>
    </row>
    <row r="553" spans="13:13">
      <c r="M553" t="str">
        <f t="shared" si="20"/>
        <v/>
      </c>
    </row>
    <row r="554" spans="13:13">
      <c r="M554" t="str">
        <f t="shared" si="20"/>
        <v/>
      </c>
    </row>
    <row r="555" spans="13:13">
      <c r="M555" t="str">
        <f t="shared" si="20"/>
        <v/>
      </c>
    </row>
    <row r="556" spans="13:13">
      <c r="M556" t="str">
        <f t="shared" si="20"/>
        <v/>
      </c>
    </row>
    <row r="557" spans="13:13">
      <c r="M557" t="str">
        <f t="shared" si="20"/>
        <v/>
      </c>
    </row>
    <row r="558" spans="13:13">
      <c r="M558" t="str">
        <f t="shared" si="20"/>
        <v/>
      </c>
    </row>
    <row r="559" spans="13:13">
      <c r="M559" t="str">
        <f t="shared" si="20"/>
        <v/>
      </c>
    </row>
    <row r="560" spans="13:13">
      <c r="M560" t="str">
        <f t="shared" si="20"/>
        <v/>
      </c>
    </row>
    <row r="561" spans="13:13">
      <c r="M561" t="str">
        <f t="shared" si="20"/>
        <v/>
      </c>
    </row>
    <row r="562" spans="13:13">
      <c r="M562" t="str">
        <f t="shared" si="20"/>
        <v/>
      </c>
    </row>
    <row r="563" spans="13:13">
      <c r="M563" t="str">
        <f t="shared" si="20"/>
        <v/>
      </c>
    </row>
    <row r="564" spans="13:13">
      <c r="M564" t="str">
        <f t="shared" si="20"/>
        <v/>
      </c>
    </row>
    <row r="565" spans="13:13">
      <c r="M565" t="str">
        <f t="shared" si="20"/>
        <v/>
      </c>
    </row>
    <row r="566" spans="13:13">
      <c r="M566" t="str">
        <f t="shared" si="20"/>
        <v/>
      </c>
    </row>
    <row r="567" spans="13:13">
      <c r="M567" t="str">
        <f t="shared" si="20"/>
        <v/>
      </c>
    </row>
    <row r="568" spans="13:13">
      <c r="M568" t="str">
        <f t="shared" si="20"/>
        <v/>
      </c>
    </row>
    <row r="569" spans="13:13">
      <c r="M569" t="str">
        <f t="shared" si="20"/>
        <v/>
      </c>
    </row>
    <row r="570" spans="13:13">
      <c r="M570" t="str">
        <f t="shared" si="20"/>
        <v/>
      </c>
    </row>
    <row r="571" spans="13:13">
      <c r="M571" t="str">
        <f t="shared" si="20"/>
        <v/>
      </c>
    </row>
    <row r="572" spans="13:13">
      <c r="M572" t="str">
        <f t="shared" si="20"/>
        <v/>
      </c>
    </row>
    <row r="573" spans="13:13">
      <c r="M573" t="str">
        <f t="shared" si="20"/>
        <v/>
      </c>
    </row>
    <row r="574" spans="13:13">
      <c r="M574" t="str">
        <f t="shared" si="20"/>
        <v/>
      </c>
    </row>
    <row r="575" spans="13:13">
      <c r="M575" t="str">
        <f t="shared" si="20"/>
        <v/>
      </c>
    </row>
    <row r="576" spans="13:13">
      <c r="M576" t="str">
        <f t="shared" si="20"/>
        <v/>
      </c>
    </row>
    <row r="577" spans="13:13">
      <c r="M577" t="str">
        <f t="shared" si="20"/>
        <v/>
      </c>
    </row>
    <row r="578" spans="13:13">
      <c r="M578" t="str">
        <f t="shared" si="20"/>
        <v/>
      </c>
    </row>
    <row r="579" spans="13:13">
      <c r="M579" t="str">
        <f t="shared" si="20"/>
        <v/>
      </c>
    </row>
    <row r="580" spans="13:13">
      <c r="M580" t="str">
        <f t="shared" si="20"/>
        <v/>
      </c>
    </row>
    <row r="581" spans="13:13">
      <c r="M581" t="str">
        <f t="shared" ref="M581:M644" si="21">IF(A581="","", WEEKNUM(A581, 2))</f>
        <v/>
      </c>
    </row>
    <row r="582" spans="13:13">
      <c r="M582" t="str">
        <f t="shared" si="21"/>
        <v/>
      </c>
    </row>
    <row r="583" spans="13:13">
      <c r="M583" t="str">
        <f t="shared" si="21"/>
        <v/>
      </c>
    </row>
    <row r="584" spans="13:13">
      <c r="M584" t="str">
        <f t="shared" si="21"/>
        <v/>
      </c>
    </row>
    <row r="585" spans="13:13">
      <c r="M585" t="str">
        <f t="shared" si="21"/>
        <v/>
      </c>
    </row>
    <row r="586" spans="13:13">
      <c r="M586" t="str">
        <f t="shared" si="21"/>
        <v/>
      </c>
    </row>
    <row r="587" spans="13:13">
      <c r="M587" t="str">
        <f t="shared" si="21"/>
        <v/>
      </c>
    </row>
    <row r="588" spans="13:13">
      <c r="M588" t="str">
        <f t="shared" si="21"/>
        <v/>
      </c>
    </row>
    <row r="589" spans="13:13">
      <c r="M589" t="str">
        <f t="shared" si="21"/>
        <v/>
      </c>
    </row>
    <row r="590" spans="13:13">
      <c r="M590" t="str">
        <f t="shared" si="21"/>
        <v/>
      </c>
    </row>
    <row r="591" spans="13:13">
      <c r="M591" t="str">
        <f t="shared" si="21"/>
        <v/>
      </c>
    </row>
    <row r="592" spans="13:13">
      <c r="M592" t="str">
        <f t="shared" si="21"/>
        <v/>
      </c>
    </row>
    <row r="593" spans="13:13">
      <c r="M593" t="str">
        <f t="shared" si="21"/>
        <v/>
      </c>
    </row>
    <row r="594" spans="13:13">
      <c r="M594" t="str">
        <f t="shared" si="21"/>
        <v/>
      </c>
    </row>
    <row r="595" spans="13:13">
      <c r="M595" t="str">
        <f t="shared" si="21"/>
        <v/>
      </c>
    </row>
    <row r="596" spans="13:13">
      <c r="M596" t="str">
        <f t="shared" si="21"/>
        <v/>
      </c>
    </row>
    <row r="597" spans="13:13">
      <c r="M597" t="str">
        <f t="shared" si="21"/>
        <v/>
      </c>
    </row>
    <row r="598" spans="13:13">
      <c r="M598" t="str">
        <f t="shared" si="21"/>
        <v/>
      </c>
    </row>
    <row r="599" spans="13:13">
      <c r="M599" t="str">
        <f t="shared" si="21"/>
        <v/>
      </c>
    </row>
    <row r="600" spans="13:13">
      <c r="M600" t="str">
        <f t="shared" si="21"/>
        <v/>
      </c>
    </row>
    <row r="601" spans="13:13">
      <c r="M601" t="str">
        <f t="shared" si="21"/>
        <v/>
      </c>
    </row>
    <row r="602" spans="13:13">
      <c r="M602" t="str">
        <f t="shared" si="21"/>
        <v/>
      </c>
    </row>
    <row r="603" spans="13:13">
      <c r="M603" t="str">
        <f t="shared" si="21"/>
        <v/>
      </c>
    </row>
    <row r="604" spans="13:13">
      <c r="M604" t="str">
        <f t="shared" si="21"/>
        <v/>
      </c>
    </row>
    <row r="605" spans="13:13">
      <c r="M605" t="str">
        <f t="shared" si="21"/>
        <v/>
      </c>
    </row>
    <row r="606" spans="13:13">
      <c r="M606" t="str">
        <f t="shared" si="21"/>
        <v/>
      </c>
    </row>
    <row r="607" spans="13:13">
      <c r="M607" t="str">
        <f t="shared" si="21"/>
        <v/>
      </c>
    </row>
    <row r="608" spans="13:13">
      <c r="M608" t="str">
        <f t="shared" si="21"/>
        <v/>
      </c>
    </row>
    <row r="609" spans="13:13">
      <c r="M609" t="str">
        <f t="shared" si="21"/>
        <v/>
      </c>
    </row>
    <row r="610" spans="13:13">
      <c r="M610" t="str">
        <f t="shared" si="21"/>
        <v/>
      </c>
    </row>
    <row r="611" spans="13:13">
      <c r="M611" t="str">
        <f t="shared" si="21"/>
        <v/>
      </c>
    </row>
    <row r="612" spans="13:13">
      <c r="M612" t="str">
        <f t="shared" si="21"/>
        <v/>
      </c>
    </row>
    <row r="613" spans="13:13">
      <c r="M613" t="str">
        <f t="shared" si="21"/>
        <v/>
      </c>
    </row>
    <row r="614" spans="13:13">
      <c r="M614" t="str">
        <f t="shared" si="21"/>
        <v/>
      </c>
    </row>
    <row r="615" spans="13:13">
      <c r="M615" t="str">
        <f t="shared" si="21"/>
        <v/>
      </c>
    </row>
    <row r="616" spans="13:13">
      <c r="M616" t="str">
        <f t="shared" si="21"/>
        <v/>
      </c>
    </row>
    <row r="617" spans="13:13">
      <c r="M617" t="str">
        <f t="shared" si="21"/>
        <v/>
      </c>
    </row>
    <row r="618" spans="13:13">
      <c r="M618" t="str">
        <f t="shared" si="21"/>
        <v/>
      </c>
    </row>
    <row r="619" spans="13:13">
      <c r="M619" t="str">
        <f t="shared" si="21"/>
        <v/>
      </c>
    </row>
    <row r="620" spans="13:13">
      <c r="M620" t="str">
        <f t="shared" si="21"/>
        <v/>
      </c>
    </row>
    <row r="621" spans="13:13">
      <c r="M621" t="str">
        <f t="shared" si="21"/>
        <v/>
      </c>
    </row>
    <row r="622" spans="13:13">
      <c r="M622" t="str">
        <f t="shared" si="21"/>
        <v/>
      </c>
    </row>
    <row r="623" spans="13:13">
      <c r="M623" t="str">
        <f t="shared" si="21"/>
        <v/>
      </c>
    </row>
    <row r="624" spans="13:13">
      <c r="M624" t="str">
        <f t="shared" si="21"/>
        <v/>
      </c>
    </row>
    <row r="625" spans="13:13">
      <c r="M625" t="str">
        <f t="shared" si="21"/>
        <v/>
      </c>
    </row>
    <row r="626" spans="13:13">
      <c r="M626" t="str">
        <f t="shared" si="21"/>
        <v/>
      </c>
    </row>
    <row r="627" spans="13:13">
      <c r="M627" t="str">
        <f t="shared" si="21"/>
        <v/>
      </c>
    </row>
    <row r="628" spans="13:13">
      <c r="M628" t="str">
        <f t="shared" si="21"/>
        <v/>
      </c>
    </row>
    <row r="629" spans="13:13">
      <c r="M629" t="str">
        <f t="shared" si="21"/>
        <v/>
      </c>
    </row>
    <row r="630" spans="13:13">
      <c r="M630" t="str">
        <f t="shared" si="21"/>
        <v/>
      </c>
    </row>
    <row r="631" spans="13:13">
      <c r="M631" t="str">
        <f t="shared" si="21"/>
        <v/>
      </c>
    </row>
    <row r="632" spans="13:13">
      <c r="M632" t="str">
        <f t="shared" si="21"/>
        <v/>
      </c>
    </row>
    <row r="633" spans="13:13">
      <c r="M633" t="str">
        <f t="shared" si="21"/>
        <v/>
      </c>
    </row>
    <row r="634" spans="13:13">
      <c r="M634" t="str">
        <f t="shared" si="21"/>
        <v/>
      </c>
    </row>
    <row r="635" spans="13:13">
      <c r="M635" t="str">
        <f t="shared" si="21"/>
        <v/>
      </c>
    </row>
    <row r="636" spans="13:13">
      <c r="M636" t="str">
        <f t="shared" si="21"/>
        <v/>
      </c>
    </row>
    <row r="637" spans="13:13">
      <c r="M637" t="str">
        <f t="shared" si="21"/>
        <v/>
      </c>
    </row>
    <row r="638" spans="13:13">
      <c r="M638" t="str">
        <f t="shared" si="21"/>
        <v/>
      </c>
    </row>
    <row r="639" spans="13:13">
      <c r="M639" t="str">
        <f t="shared" si="21"/>
        <v/>
      </c>
    </row>
    <row r="640" spans="13:13">
      <c r="M640" t="str">
        <f t="shared" si="21"/>
        <v/>
      </c>
    </row>
    <row r="641" spans="13:13">
      <c r="M641" t="str">
        <f t="shared" si="21"/>
        <v/>
      </c>
    </row>
    <row r="642" spans="13:13">
      <c r="M642" t="str">
        <f t="shared" si="21"/>
        <v/>
      </c>
    </row>
    <row r="643" spans="13:13">
      <c r="M643" t="str">
        <f t="shared" si="21"/>
        <v/>
      </c>
    </row>
    <row r="644" spans="13:13">
      <c r="M644" t="str">
        <f t="shared" si="21"/>
        <v/>
      </c>
    </row>
    <row r="645" spans="13:13">
      <c r="M645" t="str">
        <f t="shared" ref="M645:M708" si="22">IF(A645="","", WEEKNUM(A645, 2))</f>
        <v/>
      </c>
    </row>
    <row r="646" spans="13:13">
      <c r="M646" t="str">
        <f t="shared" si="22"/>
        <v/>
      </c>
    </row>
    <row r="647" spans="13:13">
      <c r="M647" t="str">
        <f t="shared" si="22"/>
        <v/>
      </c>
    </row>
    <row r="648" spans="13:13">
      <c r="M648" t="str">
        <f t="shared" si="22"/>
        <v/>
      </c>
    </row>
    <row r="649" spans="13:13">
      <c r="M649" t="str">
        <f t="shared" si="22"/>
        <v/>
      </c>
    </row>
    <row r="650" spans="13:13">
      <c r="M650" t="str">
        <f t="shared" si="22"/>
        <v/>
      </c>
    </row>
    <row r="651" spans="13:13">
      <c r="M651" t="str">
        <f t="shared" si="22"/>
        <v/>
      </c>
    </row>
    <row r="652" spans="13:13">
      <c r="M652" t="str">
        <f t="shared" si="22"/>
        <v/>
      </c>
    </row>
    <row r="653" spans="13:13">
      <c r="M653" t="str">
        <f t="shared" si="22"/>
        <v/>
      </c>
    </row>
    <row r="654" spans="13:13">
      <c r="M654" t="str">
        <f t="shared" si="22"/>
        <v/>
      </c>
    </row>
    <row r="655" spans="13:13">
      <c r="M655" t="str">
        <f t="shared" si="22"/>
        <v/>
      </c>
    </row>
    <row r="656" spans="13:13">
      <c r="M656" t="str">
        <f t="shared" si="22"/>
        <v/>
      </c>
    </row>
    <row r="657" spans="13:13">
      <c r="M657" t="str">
        <f t="shared" si="22"/>
        <v/>
      </c>
    </row>
    <row r="658" spans="13:13">
      <c r="M658" t="str">
        <f t="shared" si="22"/>
        <v/>
      </c>
    </row>
    <row r="659" spans="13:13">
      <c r="M659" t="str">
        <f t="shared" si="22"/>
        <v/>
      </c>
    </row>
    <row r="660" spans="13:13">
      <c r="M660" t="str">
        <f t="shared" si="22"/>
        <v/>
      </c>
    </row>
    <row r="661" spans="13:13">
      <c r="M661" t="str">
        <f t="shared" si="22"/>
        <v/>
      </c>
    </row>
    <row r="662" spans="13:13">
      <c r="M662" t="str">
        <f t="shared" si="22"/>
        <v/>
      </c>
    </row>
    <row r="663" spans="13:13">
      <c r="M663" t="str">
        <f t="shared" si="22"/>
        <v/>
      </c>
    </row>
    <row r="664" spans="13:13">
      <c r="M664" t="str">
        <f t="shared" si="22"/>
        <v/>
      </c>
    </row>
    <row r="665" spans="13:13">
      <c r="M665" t="str">
        <f t="shared" si="22"/>
        <v/>
      </c>
    </row>
    <row r="666" spans="13:13">
      <c r="M666" t="str">
        <f t="shared" si="22"/>
        <v/>
      </c>
    </row>
    <row r="667" spans="13:13">
      <c r="M667" t="str">
        <f t="shared" si="22"/>
        <v/>
      </c>
    </row>
    <row r="668" spans="13:13">
      <c r="M668" t="str">
        <f t="shared" si="22"/>
        <v/>
      </c>
    </row>
    <row r="669" spans="13:13">
      <c r="M669" t="str">
        <f t="shared" si="22"/>
        <v/>
      </c>
    </row>
    <row r="670" spans="13:13">
      <c r="M670" t="str">
        <f t="shared" si="22"/>
        <v/>
      </c>
    </row>
    <row r="671" spans="13:13">
      <c r="M671" t="str">
        <f t="shared" si="22"/>
        <v/>
      </c>
    </row>
    <row r="672" spans="13:13">
      <c r="M672" t="str">
        <f t="shared" si="22"/>
        <v/>
      </c>
    </row>
    <row r="673" spans="13:13">
      <c r="M673" t="str">
        <f t="shared" si="22"/>
        <v/>
      </c>
    </row>
    <row r="674" spans="13:13">
      <c r="M674" t="str">
        <f t="shared" si="22"/>
        <v/>
      </c>
    </row>
    <row r="675" spans="13:13">
      <c r="M675" t="str">
        <f t="shared" si="22"/>
        <v/>
      </c>
    </row>
    <row r="676" spans="13:13">
      <c r="M676" t="str">
        <f t="shared" si="22"/>
        <v/>
      </c>
    </row>
    <row r="677" spans="13:13">
      <c r="M677" t="str">
        <f t="shared" si="22"/>
        <v/>
      </c>
    </row>
    <row r="678" spans="13:13">
      <c r="M678" t="str">
        <f t="shared" si="22"/>
        <v/>
      </c>
    </row>
    <row r="679" spans="13:13">
      <c r="M679" t="str">
        <f t="shared" si="22"/>
        <v/>
      </c>
    </row>
    <row r="680" spans="13:13">
      <c r="M680" t="str">
        <f t="shared" si="22"/>
        <v/>
      </c>
    </row>
    <row r="681" spans="13:13">
      <c r="M681" t="str">
        <f t="shared" si="22"/>
        <v/>
      </c>
    </row>
    <row r="682" spans="13:13">
      <c r="M682" t="str">
        <f t="shared" si="22"/>
        <v/>
      </c>
    </row>
    <row r="683" spans="13:13">
      <c r="M683" t="str">
        <f t="shared" si="22"/>
        <v/>
      </c>
    </row>
    <row r="684" spans="13:13">
      <c r="M684" t="str">
        <f t="shared" si="22"/>
        <v/>
      </c>
    </row>
    <row r="685" spans="13:13">
      <c r="M685" t="str">
        <f t="shared" si="22"/>
        <v/>
      </c>
    </row>
    <row r="686" spans="13:13">
      <c r="M686" t="str">
        <f t="shared" si="22"/>
        <v/>
      </c>
    </row>
    <row r="687" spans="13:13">
      <c r="M687" t="str">
        <f t="shared" si="22"/>
        <v/>
      </c>
    </row>
    <row r="688" spans="13:13">
      <c r="M688" t="str">
        <f t="shared" si="22"/>
        <v/>
      </c>
    </row>
    <row r="689" spans="13:13">
      <c r="M689" t="str">
        <f t="shared" si="22"/>
        <v/>
      </c>
    </row>
    <row r="690" spans="13:13">
      <c r="M690" t="str">
        <f t="shared" si="22"/>
        <v/>
      </c>
    </row>
    <row r="691" spans="13:13">
      <c r="M691" t="str">
        <f t="shared" si="22"/>
        <v/>
      </c>
    </row>
    <row r="692" spans="13:13">
      <c r="M692" t="str">
        <f t="shared" si="22"/>
        <v/>
      </c>
    </row>
    <row r="693" spans="13:13">
      <c r="M693" t="str">
        <f t="shared" si="22"/>
        <v/>
      </c>
    </row>
    <row r="694" spans="13:13">
      <c r="M694" t="str">
        <f t="shared" si="22"/>
        <v/>
      </c>
    </row>
    <row r="695" spans="13:13">
      <c r="M695" t="str">
        <f t="shared" si="22"/>
        <v/>
      </c>
    </row>
    <row r="696" spans="13:13">
      <c r="M696" t="str">
        <f t="shared" si="22"/>
        <v/>
      </c>
    </row>
    <row r="697" spans="13:13">
      <c r="M697" t="str">
        <f t="shared" si="22"/>
        <v/>
      </c>
    </row>
    <row r="698" spans="13:13">
      <c r="M698" t="str">
        <f t="shared" si="22"/>
        <v/>
      </c>
    </row>
    <row r="699" spans="13:13">
      <c r="M699" t="str">
        <f t="shared" si="22"/>
        <v/>
      </c>
    </row>
    <row r="700" spans="13:13">
      <c r="M700" t="str">
        <f t="shared" si="22"/>
        <v/>
      </c>
    </row>
    <row r="701" spans="13:13">
      <c r="M701" t="str">
        <f t="shared" si="22"/>
        <v/>
      </c>
    </row>
    <row r="702" spans="13:13">
      <c r="M702" t="str">
        <f t="shared" si="22"/>
        <v/>
      </c>
    </row>
    <row r="703" spans="13:13">
      <c r="M703" t="str">
        <f t="shared" si="22"/>
        <v/>
      </c>
    </row>
    <row r="704" spans="13:13">
      <c r="M704" t="str">
        <f t="shared" si="22"/>
        <v/>
      </c>
    </row>
    <row r="705" spans="13:13">
      <c r="M705" t="str">
        <f t="shared" si="22"/>
        <v/>
      </c>
    </row>
    <row r="706" spans="13:13">
      <c r="M706" t="str">
        <f t="shared" si="22"/>
        <v/>
      </c>
    </row>
    <row r="707" spans="13:13">
      <c r="M707" t="str">
        <f t="shared" si="22"/>
        <v/>
      </c>
    </row>
    <row r="708" spans="13:13">
      <c r="M708" t="str">
        <f t="shared" si="22"/>
        <v/>
      </c>
    </row>
    <row r="709" spans="13:13">
      <c r="M709" t="str">
        <f t="shared" ref="M709:M772" si="23">IF(A709="","", WEEKNUM(A709, 2))</f>
        <v/>
      </c>
    </row>
    <row r="710" spans="13:13">
      <c r="M710" t="str">
        <f t="shared" si="23"/>
        <v/>
      </c>
    </row>
    <row r="711" spans="13:13">
      <c r="M711" t="str">
        <f t="shared" si="23"/>
        <v/>
      </c>
    </row>
    <row r="712" spans="13:13">
      <c r="M712" t="str">
        <f t="shared" si="23"/>
        <v/>
      </c>
    </row>
    <row r="713" spans="13:13">
      <c r="M713" t="str">
        <f t="shared" si="23"/>
        <v/>
      </c>
    </row>
    <row r="714" spans="13:13">
      <c r="M714" t="str">
        <f t="shared" si="23"/>
        <v/>
      </c>
    </row>
    <row r="715" spans="13:13">
      <c r="M715" t="str">
        <f t="shared" si="23"/>
        <v/>
      </c>
    </row>
    <row r="716" spans="13:13">
      <c r="M716" t="str">
        <f t="shared" si="23"/>
        <v/>
      </c>
    </row>
    <row r="717" spans="13:13">
      <c r="M717" t="str">
        <f t="shared" si="23"/>
        <v/>
      </c>
    </row>
    <row r="718" spans="13:13">
      <c r="M718" t="str">
        <f t="shared" si="23"/>
        <v/>
      </c>
    </row>
    <row r="719" spans="13:13">
      <c r="M719" t="str">
        <f t="shared" si="23"/>
        <v/>
      </c>
    </row>
    <row r="720" spans="13:13">
      <c r="M720" t="str">
        <f t="shared" si="23"/>
        <v/>
      </c>
    </row>
    <row r="721" spans="13:13">
      <c r="M721" t="str">
        <f t="shared" si="23"/>
        <v/>
      </c>
    </row>
    <row r="722" spans="13:13">
      <c r="M722" t="str">
        <f t="shared" si="23"/>
        <v/>
      </c>
    </row>
    <row r="723" spans="13:13">
      <c r="M723" t="str">
        <f t="shared" si="23"/>
        <v/>
      </c>
    </row>
    <row r="724" spans="13:13">
      <c r="M724" t="str">
        <f t="shared" si="23"/>
        <v/>
      </c>
    </row>
    <row r="725" spans="13:13">
      <c r="M725" t="str">
        <f t="shared" si="23"/>
        <v/>
      </c>
    </row>
    <row r="726" spans="13:13">
      <c r="M726" t="str">
        <f t="shared" si="23"/>
        <v/>
      </c>
    </row>
    <row r="727" spans="13:13">
      <c r="M727" t="str">
        <f t="shared" si="23"/>
        <v/>
      </c>
    </row>
    <row r="728" spans="13:13">
      <c r="M728" t="str">
        <f t="shared" si="23"/>
        <v/>
      </c>
    </row>
    <row r="729" spans="13:13">
      <c r="M729" t="str">
        <f t="shared" si="23"/>
        <v/>
      </c>
    </row>
    <row r="730" spans="13:13">
      <c r="M730" t="str">
        <f t="shared" si="23"/>
        <v/>
      </c>
    </row>
    <row r="731" spans="13:13">
      <c r="M731" t="str">
        <f t="shared" si="23"/>
        <v/>
      </c>
    </row>
    <row r="732" spans="13:13">
      <c r="M732" t="str">
        <f t="shared" si="23"/>
        <v/>
      </c>
    </row>
    <row r="733" spans="13:13">
      <c r="M733" t="str">
        <f t="shared" si="23"/>
        <v/>
      </c>
    </row>
    <row r="734" spans="13:13">
      <c r="M734" t="str">
        <f t="shared" si="23"/>
        <v/>
      </c>
    </row>
    <row r="735" spans="13:13">
      <c r="M735" t="str">
        <f t="shared" si="23"/>
        <v/>
      </c>
    </row>
    <row r="736" spans="13:13">
      <c r="M736" t="str">
        <f t="shared" si="23"/>
        <v/>
      </c>
    </row>
    <row r="737" spans="13:13">
      <c r="M737" t="str">
        <f t="shared" si="23"/>
        <v/>
      </c>
    </row>
    <row r="738" spans="13:13">
      <c r="M738" t="str">
        <f t="shared" si="23"/>
        <v/>
      </c>
    </row>
    <row r="739" spans="13:13">
      <c r="M739" t="str">
        <f t="shared" si="23"/>
        <v/>
      </c>
    </row>
    <row r="740" spans="13:13">
      <c r="M740" t="str">
        <f t="shared" si="23"/>
        <v/>
      </c>
    </row>
    <row r="741" spans="13:13">
      <c r="M741" t="str">
        <f t="shared" si="23"/>
        <v/>
      </c>
    </row>
    <row r="742" spans="13:13">
      <c r="M742" t="str">
        <f t="shared" si="23"/>
        <v/>
      </c>
    </row>
    <row r="743" spans="13:13">
      <c r="M743" t="str">
        <f t="shared" si="23"/>
        <v/>
      </c>
    </row>
    <row r="744" spans="13:13">
      <c r="M744" t="str">
        <f t="shared" si="23"/>
        <v/>
      </c>
    </row>
    <row r="745" spans="13:13">
      <c r="M745" t="str">
        <f t="shared" si="23"/>
        <v/>
      </c>
    </row>
    <row r="746" spans="13:13">
      <c r="M746" t="str">
        <f t="shared" si="23"/>
        <v/>
      </c>
    </row>
    <row r="747" spans="13:13">
      <c r="M747" t="str">
        <f t="shared" si="23"/>
        <v/>
      </c>
    </row>
    <row r="748" spans="13:13">
      <c r="M748" t="str">
        <f t="shared" si="23"/>
        <v/>
      </c>
    </row>
    <row r="749" spans="13:13">
      <c r="M749" t="str">
        <f t="shared" si="23"/>
        <v/>
      </c>
    </row>
    <row r="750" spans="13:13">
      <c r="M750" t="str">
        <f t="shared" si="23"/>
        <v/>
      </c>
    </row>
    <row r="751" spans="13:13">
      <c r="M751" t="str">
        <f t="shared" si="23"/>
        <v/>
      </c>
    </row>
    <row r="752" spans="13:13">
      <c r="M752" t="str">
        <f t="shared" si="23"/>
        <v/>
      </c>
    </row>
    <row r="753" spans="13:13">
      <c r="M753" t="str">
        <f t="shared" si="23"/>
        <v/>
      </c>
    </row>
    <row r="754" spans="13:13">
      <c r="M754" t="str">
        <f t="shared" si="23"/>
        <v/>
      </c>
    </row>
    <row r="755" spans="13:13">
      <c r="M755" t="str">
        <f t="shared" si="23"/>
        <v/>
      </c>
    </row>
    <row r="756" spans="13:13">
      <c r="M756" t="str">
        <f t="shared" si="23"/>
        <v/>
      </c>
    </row>
    <row r="757" spans="13:13">
      <c r="M757" t="str">
        <f t="shared" si="23"/>
        <v/>
      </c>
    </row>
    <row r="758" spans="13:13">
      <c r="M758" t="str">
        <f t="shared" si="23"/>
        <v/>
      </c>
    </row>
    <row r="759" spans="13:13">
      <c r="M759" t="str">
        <f t="shared" si="23"/>
        <v/>
      </c>
    </row>
    <row r="760" spans="13:13">
      <c r="M760" t="str">
        <f t="shared" si="23"/>
        <v/>
      </c>
    </row>
    <row r="761" spans="13:13">
      <c r="M761" t="str">
        <f t="shared" si="23"/>
        <v/>
      </c>
    </row>
    <row r="762" spans="13:13">
      <c r="M762" t="str">
        <f t="shared" si="23"/>
        <v/>
      </c>
    </row>
    <row r="763" spans="13:13">
      <c r="M763" t="str">
        <f t="shared" si="23"/>
        <v/>
      </c>
    </row>
    <row r="764" spans="13:13">
      <c r="M764" t="str">
        <f t="shared" si="23"/>
        <v/>
      </c>
    </row>
    <row r="765" spans="13:13">
      <c r="M765" t="str">
        <f t="shared" si="23"/>
        <v/>
      </c>
    </row>
    <row r="766" spans="13:13">
      <c r="M766" t="str">
        <f t="shared" si="23"/>
        <v/>
      </c>
    </row>
    <row r="767" spans="13:13">
      <c r="M767" t="str">
        <f t="shared" si="23"/>
        <v/>
      </c>
    </row>
    <row r="768" spans="13:13">
      <c r="M768" t="str">
        <f t="shared" si="23"/>
        <v/>
      </c>
    </row>
    <row r="769" spans="13:13">
      <c r="M769" t="str">
        <f t="shared" si="23"/>
        <v/>
      </c>
    </row>
    <row r="770" spans="13:13">
      <c r="M770" t="str">
        <f t="shared" si="23"/>
        <v/>
      </c>
    </row>
    <row r="771" spans="13:13">
      <c r="M771" t="str">
        <f t="shared" si="23"/>
        <v/>
      </c>
    </row>
    <row r="772" spans="13:13">
      <c r="M772" t="str">
        <f t="shared" si="23"/>
        <v/>
      </c>
    </row>
    <row r="773" spans="13:13">
      <c r="M773" t="str">
        <f t="shared" ref="M773:M836" si="24">IF(A773="","", WEEKNUM(A773, 2))</f>
        <v/>
      </c>
    </row>
    <row r="774" spans="13:13">
      <c r="M774" t="str">
        <f t="shared" si="24"/>
        <v/>
      </c>
    </row>
    <row r="775" spans="13:13">
      <c r="M775" t="str">
        <f t="shared" si="24"/>
        <v/>
      </c>
    </row>
    <row r="776" spans="13:13">
      <c r="M776" t="str">
        <f t="shared" si="24"/>
        <v/>
      </c>
    </row>
    <row r="777" spans="13:13">
      <c r="M777" t="str">
        <f t="shared" si="24"/>
        <v/>
      </c>
    </row>
    <row r="778" spans="13:13">
      <c r="M778" t="str">
        <f t="shared" si="24"/>
        <v/>
      </c>
    </row>
    <row r="779" spans="13:13">
      <c r="M779" t="str">
        <f t="shared" si="24"/>
        <v/>
      </c>
    </row>
    <row r="780" spans="13:13">
      <c r="M780" t="str">
        <f t="shared" si="24"/>
        <v/>
      </c>
    </row>
    <row r="781" spans="13:13">
      <c r="M781" t="str">
        <f t="shared" si="24"/>
        <v/>
      </c>
    </row>
    <row r="782" spans="13:13">
      <c r="M782" t="str">
        <f t="shared" si="24"/>
        <v/>
      </c>
    </row>
    <row r="783" spans="13:13">
      <c r="M783" t="str">
        <f t="shared" si="24"/>
        <v/>
      </c>
    </row>
    <row r="784" spans="13:13">
      <c r="M784" t="str">
        <f t="shared" si="24"/>
        <v/>
      </c>
    </row>
    <row r="785" spans="13:13">
      <c r="M785" t="str">
        <f t="shared" si="24"/>
        <v/>
      </c>
    </row>
    <row r="786" spans="13:13">
      <c r="M786" t="str">
        <f t="shared" si="24"/>
        <v/>
      </c>
    </row>
    <row r="787" spans="13:13">
      <c r="M787" t="str">
        <f t="shared" si="24"/>
        <v/>
      </c>
    </row>
    <row r="788" spans="13:13">
      <c r="M788" t="str">
        <f t="shared" si="24"/>
        <v/>
      </c>
    </row>
    <row r="789" spans="13:13">
      <c r="M789" t="str">
        <f t="shared" si="24"/>
        <v/>
      </c>
    </row>
    <row r="790" spans="13:13">
      <c r="M790" t="str">
        <f t="shared" si="24"/>
        <v/>
      </c>
    </row>
    <row r="791" spans="13:13">
      <c r="M791" t="str">
        <f t="shared" si="24"/>
        <v/>
      </c>
    </row>
    <row r="792" spans="13:13">
      <c r="M792" t="str">
        <f t="shared" si="24"/>
        <v/>
      </c>
    </row>
    <row r="793" spans="13:13">
      <c r="M793" t="str">
        <f t="shared" si="24"/>
        <v/>
      </c>
    </row>
    <row r="794" spans="13:13">
      <c r="M794" t="str">
        <f t="shared" si="24"/>
        <v/>
      </c>
    </row>
    <row r="795" spans="13:13">
      <c r="M795" t="str">
        <f t="shared" si="24"/>
        <v/>
      </c>
    </row>
    <row r="796" spans="13:13">
      <c r="M796" t="str">
        <f t="shared" si="24"/>
        <v/>
      </c>
    </row>
    <row r="797" spans="13:13">
      <c r="M797" t="str">
        <f t="shared" si="24"/>
        <v/>
      </c>
    </row>
    <row r="798" spans="13:13">
      <c r="M798" t="str">
        <f t="shared" si="24"/>
        <v/>
      </c>
    </row>
    <row r="799" spans="13:13">
      <c r="M799" t="str">
        <f t="shared" si="24"/>
        <v/>
      </c>
    </row>
    <row r="800" spans="13:13">
      <c r="M800" t="str">
        <f t="shared" si="24"/>
        <v/>
      </c>
    </row>
    <row r="801" spans="13:13">
      <c r="M801" t="str">
        <f t="shared" si="24"/>
        <v/>
      </c>
    </row>
    <row r="802" spans="13:13">
      <c r="M802" t="str">
        <f t="shared" si="24"/>
        <v/>
      </c>
    </row>
    <row r="803" spans="13:13">
      <c r="M803" t="str">
        <f t="shared" si="24"/>
        <v/>
      </c>
    </row>
    <row r="804" spans="13:13">
      <c r="M804" t="str">
        <f t="shared" si="24"/>
        <v/>
      </c>
    </row>
    <row r="805" spans="13:13">
      <c r="M805" t="str">
        <f t="shared" si="24"/>
        <v/>
      </c>
    </row>
    <row r="806" spans="13:13">
      <c r="M806" t="str">
        <f t="shared" si="24"/>
        <v/>
      </c>
    </row>
    <row r="807" spans="13:13">
      <c r="M807" t="str">
        <f t="shared" si="24"/>
        <v/>
      </c>
    </row>
    <row r="808" spans="13:13">
      <c r="M808" t="str">
        <f t="shared" si="24"/>
        <v/>
      </c>
    </row>
    <row r="809" spans="13:13">
      <c r="M809" t="str">
        <f t="shared" si="24"/>
        <v/>
      </c>
    </row>
    <row r="810" spans="13:13">
      <c r="M810" t="str">
        <f t="shared" si="24"/>
        <v/>
      </c>
    </row>
    <row r="811" spans="13:13">
      <c r="M811" t="str">
        <f t="shared" si="24"/>
        <v/>
      </c>
    </row>
    <row r="812" spans="13:13">
      <c r="M812" t="str">
        <f t="shared" si="24"/>
        <v/>
      </c>
    </row>
    <row r="813" spans="13:13">
      <c r="M813" t="str">
        <f t="shared" si="24"/>
        <v/>
      </c>
    </row>
    <row r="814" spans="13:13">
      <c r="M814" t="str">
        <f t="shared" si="24"/>
        <v/>
      </c>
    </row>
    <row r="815" spans="13:13">
      <c r="M815" t="str">
        <f t="shared" si="24"/>
        <v/>
      </c>
    </row>
    <row r="816" spans="13:13">
      <c r="M816" t="str">
        <f t="shared" si="24"/>
        <v/>
      </c>
    </row>
    <row r="817" spans="13:13">
      <c r="M817" t="str">
        <f t="shared" si="24"/>
        <v/>
      </c>
    </row>
    <row r="818" spans="13:13">
      <c r="M818" t="str">
        <f t="shared" si="24"/>
        <v/>
      </c>
    </row>
    <row r="819" spans="13:13">
      <c r="M819" t="str">
        <f t="shared" si="24"/>
        <v/>
      </c>
    </row>
    <row r="820" spans="13:13">
      <c r="M820" t="str">
        <f t="shared" si="24"/>
        <v/>
      </c>
    </row>
    <row r="821" spans="13:13">
      <c r="M821" t="str">
        <f t="shared" si="24"/>
        <v/>
      </c>
    </row>
    <row r="822" spans="13:13">
      <c r="M822" t="str">
        <f t="shared" si="24"/>
        <v/>
      </c>
    </row>
    <row r="823" spans="13:13">
      <c r="M823" t="str">
        <f t="shared" si="24"/>
        <v/>
      </c>
    </row>
    <row r="824" spans="13:13">
      <c r="M824" t="str">
        <f t="shared" si="24"/>
        <v/>
      </c>
    </row>
    <row r="825" spans="13:13">
      <c r="M825" t="str">
        <f t="shared" si="24"/>
        <v/>
      </c>
    </row>
    <row r="826" spans="13:13">
      <c r="M826" t="str">
        <f t="shared" si="24"/>
        <v/>
      </c>
    </row>
    <row r="827" spans="13:13">
      <c r="M827" t="str">
        <f t="shared" si="24"/>
        <v/>
      </c>
    </row>
    <row r="828" spans="13:13">
      <c r="M828" t="str">
        <f t="shared" si="24"/>
        <v/>
      </c>
    </row>
    <row r="829" spans="13:13">
      <c r="M829" t="str">
        <f t="shared" si="24"/>
        <v/>
      </c>
    </row>
    <row r="830" spans="13:13">
      <c r="M830" t="str">
        <f t="shared" si="24"/>
        <v/>
      </c>
    </row>
    <row r="831" spans="13:13">
      <c r="M831" t="str">
        <f t="shared" si="24"/>
        <v/>
      </c>
    </row>
    <row r="832" spans="13:13">
      <c r="M832" t="str">
        <f t="shared" si="24"/>
        <v/>
      </c>
    </row>
    <row r="833" spans="13:13">
      <c r="M833" t="str">
        <f t="shared" si="24"/>
        <v/>
      </c>
    </row>
    <row r="834" spans="13:13">
      <c r="M834" t="str">
        <f t="shared" si="24"/>
        <v/>
      </c>
    </row>
    <row r="835" spans="13:13">
      <c r="M835" t="str">
        <f t="shared" si="24"/>
        <v/>
      </c>
    </row>
    <row r="836" spans="13:13">
      <c r="M836" t="str">
        <f t="shared" si="24"/>
        <v/>
      </c>
    </row>
    <row r="837" spans="13:13">
      <c r="M837" t="str">
        <f t="shared" ref="M837:M900" si="25">IF(A837="","", WEEKNUM(A837, 2))</f>
        <v/>
      </c>
    </row>
    <row r="838" spans="13:13">
      <c r="M838" t="str">
        <f t="shared" si="25"/>
        <v/>
      </c>
    </row>
    <row r="839" spans="13:13">
      <c r="M839" t="str">
        <f t="shared" si="25"/>
        <v/>
      </c>
    </row>
    <row r="840" spans="13:13">
      <c r="M840" t="str">
        <f t="shared" si="25"/>
        <v/>
      </c>
    </row>
    <row r="841" spans="13:13">
      <c r="M841" t="str">
        <f t="shared" si="25"/>
        <v/>
      </c>
    </row>
    <row r="842" spans="13:13">
      <c r="M842" t="str">
        <f t="shared" si="25"/>
        <v/>
      </c>
    </row>
    <row r="843" spans="13:13">
      <c r="M843" t="str">
        <f t="shared" si="25"/>
        <v/>
      </c>
    </row>
    <row r="844" spans="13:13">
      <c r="M844" t="str">
        <f t="shared" si="25"/>
        <v/>
      </c>
    </row>
    <row r="845" spans="13:13">
      <c r="M845" t="str">
        <f t="shared" si="25"/>
        <v/>
      </c>
    </row>
    <row r="846" spans="13:13">
      <c r="M846" t="str">
        <f t="shared" si="25"/>
        <v/>
      </c>
    </row>
    <row r="847" spans="13:13">
      <c r="M847" t="str">
        <f t="shared" si="25"/>
        <v/>
      </c>
    </row>
    <row r="848" spans="13:13">
      <c r="M848" t="str">
        <f t="shared" si="25"/>
        <v/>
      </c>
    </row>
    <row r="849" spans="13:13">
      <c r="M849" t="str">
        <f t="shared" si="25"/>
        <v/>
      </c>
    </row>
    <row r="850" spans="13:13">
      <c r="M850" t="str">
        <f t="shared" si="25"/>
        <v/>
      </c>
    </row>
    <row r="851" spans="13:13">
      <c r="M851" t="str">
        <f t="shared" si="25"/>
        <v/>
      </c>
    </row>
    <row r="852" spans="13:13">
      <c r="M852" t="str">
        <f t="shared" si="25"/>
        <v/>
      </c>
    </row>
    <row r="853" spans="13:13">
      <c r="M853" t="str">
        <f t="shared" si="25"/>
        <v/>
      </c>
    </row>
    <row r="854" spans="13:13">
      <c r="M854" t="str">
        <f t="shared" si="25"/>
        <v/>
      </c>
    </row>
    <row r="855" spans="13:13">
      <c r="M855" t="str">
        <f t="shared" si="25"/>
        <v/>
      </c>
    </row>
    <row r="856" spans="13:13">
      <c r="M856" t="str">
        <f t="shared" si="25"/>
        <v/>
      </c>
    </row>
    <row r="857" spans="13:13">
      <c r="M857" t="str">
        <f t="shared" si="25"/>
        <v/>
      </c>
    </row>
    <row r="858" spans="13:13">
      <c r="M858" t="str">
        <f t="shared" si="25"/>
        <v/>
      </c>
    </row>
    <row r="859" spans="13:13">
      <c r="M859" t="str">
        <f t="shared" si="25"/>
        <v/>
      </c>
    </row>
    <row r="860" spans="13:13">
      <c r="M860" t="str">
        <f t="shared" si="25"/>
        <v/>
      </c>
    </row>
    <row r="861" spans="13:13">
      <c r="M861" t="str">
        <f t="shared" si="25"/>
        <v/>
      </c>
    </row>
    <row r="862" spans="13:13">
      <c r="M862" t="str">
        <f t="shared" si="25"/>
        <v/>
      </c>
    </row>
    <row r="863" spans="13:13">
      <c r="M863" t="str">
        <f t="shared" si="25"/>
        <v/>
      </c>
    </row>
    <row r="864" spans="13:13">
      <c r="M864" t="str">
        <f t="shared" si="25"/>
        <v/>
      </c>
    </row>
    <row r="865" spans="13:13">
      <c r="M865" t="str">
        <f t="shared" si="25"/>
        <v/>
      </c>
    </row>
    <row r="866" spans="13:13">
      <c r="M866" t="str">
        <f t="shared" si="25"/>
        <v/>
      </c>
    </row>
    <row r="867" spans="13:13">
      <c r="M867" t="str">
        <f t="shared" si="25"/>
        <v/>
      </c>
    </row>
    <row r="868" spans="13:13">
      <c r="M868" t="str">
        <f t="shared" si="25"/>
        <v/>
      </c>
    </row>
    <row r="869" spans="13:13">
      <c r="M869" t="str">
        <f t="shared" si="25"/>
        <v/>
      </c>
    </row>
    <row r="870" spans="13:13">
      <c r="M870" t="str">
        <f t="shared" si="25"/>
        <v/>
      </c>
    </row>
    <row r="871" spans="13:13">
      <c r="M871" t="str">
        <f t="shared" si="25"/>
        <v/>
      </c>
    </row>
    <row r="872" spans="13:13">
      <c r="M872" t="str">
        <f t="shared" si="25"/>
        <v/>
      </c>
    </row>
    <row r="873" spans="13:13">
      <c r="M873" t="str">
        <f t="shared" si="25"/>
        <v/>
      </c>
    </row>
    <row r="874" spans="13:13">
      <c r="M874" t="str">
        <f t="shared" si="25"/>
        <v/>
      </c>
    </row>
    <row r="875" spans="13:13">
      <c r="M875" t="str">
        <f t="shared" si="25"/>
        <v/>
      </c>
    </row>
    <row r="876" spans="13:13">
      <c r="M876" t="str">
        <f t="shared" si="25"/>
        <v/>
      </c>
    </row>
    <row r="877" spans="13:13">
      <c r="M877" t="str">
        <f t="shared" si="25"/>
        <v/>
      </c>
    </row>
    <row r="878" spans="13:13">
      <c r="M878" t="str">
        <f t="shared" si="25"/>
        <v/>
      </c>
    </row>
    <row r="879" spans="13:13">
      <c r="M879" t="str">
        <f t="shared" si="25"/>
        <v/>
      </c>
    </row>
    <row r="880" spans="13:13">
      <c r="M880" t="str">
        <f t="shared" si="25"/>
        <v/>
      </c>
    </row>
    <row r="881" spans="13:13">
      <c r="M881" t="str">
        <f t="shared" si="25"/>
        <v/>
      </c>
    </row>
    <row r="882" spans="13:13">
      <c r="M882" t="str">
        <f t="shared" si="25"/>
        <v/>
      </c>
    </row>
    <row r="883" spans="13:13">
      <c r="M883" t="str">
        <f t="shared" si="25"/>
        <v/>
      </c>
    </row>
    <row r="884" spans="13:13">
      <c r="M884" t="str">
        <f t="shared" si="25"/>
        <v/>
      </c>
    </row>
    <row r="885" spans="13:13">
      <c r="M885" t="str">
        <f t="shared" si="25"/>
        <v/>
      </c>
    </row>
    <row r="886" spans="13:13">
      <c r="M886" t="str">
        <f t="shared" si="25"/>
        <v/>
      </c>
    </row>
    <row r="887" spans="13:13">
      <c r="M887" t="str">
        <f t="shared" si="25"/>
        <v/>
      </c>
    </row>
    <row r="888" spans="13:13">
      <c r="M888" t="str">
        <f t="shared" si="25"/>
        <v/>
      </c>
    </row>
    <row r="889" spans="13:13">
      <c r="M889" t="str">
        <f t="shared" si="25"/>
        <v/>
      </c>
    </row>
    <row r="890" spans="13:13">
      <c r="M890" t="str">
        <f t="shared" si="25"/>
        <v/>
      </c>
    </row>
    <row r="891" spans="13:13">
      <c r="M891" t="str">
        <f t="shared" si="25"/>
        <v/>
      </c>
    </row>
    <row r="892" spans="13:13">
      <c r="M892" t="str">
        <f t="shared" si="25"/>
        <v/>
      </c>
    </row>
    <row r="893" spans="13:13">
      <c r="M893" t="str">
        <f t="shared" si="25"/>
        <v/>
      </c>
    </row>
    <row r="894" spans="13:13">
      <c r="M894" t="str">
        <f t="shared" si="25"/>
        <v/>
      </c>
    </row>
    <row r="895" spans="13:13">
      <c r="M895" t="str">
        <f t="shared" si="25"/>
        <v/>
      </c>
    </row>
    <row r="896" spans="13:13">
      <c r="M896" t="str">
        <f t="shared" si="25"/>
        <v/>
      </c>
    </row>
    <row r="897" spans="13:13">
      <c r="M897" t="str">
        <f t="shared" si="25"/>
        <v/>
      </c>
    </row>
    <row r="898" spans="13:13">
      <c r="M898" t="str">
        <f t="shared" si="25"/>
        <v/>
      </c>
    </row>
    <row r="899" spans="13:13">
      <c r="M899" t="str">
        <f t="shared" si="25"/>
        <v/>
      </c>
    </row>
    <row r="900" spans="13:13">
      <c r="M900" t="str">
        <f t="shared" si="25"/>
        <v/>
      </c>
    </row>
    <row r="901" spans="13:13">
      <c r="M901" t="str">
        <f t="shared" ref="M901:M964" si="26">IF(A901="","", WEEKNUM(A901, 2))</f>
        <v/>
      </c>
    </row>
    <row r="902" spans="13:13">
      <c r="M902" t="str">
        <f t="shared" si="26"/>
        <v/>
      </c>
    </row>
    <row r="903" spans="13:13">
      <c r="M903" t="str">
        <f t="shared" si="26"/>
        <v/>
      </c>
    </row>
    <row r="904" spans="13:13">
      <c r="M904" t="str">
        <f t="shared" si="26"/>
        <v/>
      </c>
    </row>
    <row r="905" spans="13:13">
      <c r="M905" t="str">
        <f t="shared" si="26"/>
        <v/>
      </c>
    </row>
    <row r="906" spans="13:13">
      <c r="M906" t="str">
        <f t="shared" si="26"/>
        <v/>
      </c>
    </row>
    <row r="907" spans="13:13">
      <c r="M907" t="str">
        <f t="shared" si="26"/>
        <v/>
      </c>
    </row>
    <row r="908" spans="13:13">
      <c r="M908" t="str">
        <f t="shared" si="26"/>
        <v/>
      </c>
    </row>
    <row r="909" spans="13:13">
      <c r="M909" t="str">
        <f t="shared" si="26"/>
        <v/>
      </c>
    </row>
    <row r="910" spans="13:13">
      <c r="M910" t="str">
        <f t="shared" si="26"/>
        <v/>
      </c>
    </row>
    <row r="911" spans="13:13">
      <c r="M911" t="str">
        <f t="shared" si="26"/>
        <v/>
      </c>
    </row>
    <row r="912" spans="13:13">
      <c r="M912" t="str">
        <f t="shared" si="26"/>
        <v/>
      </c>
    </row>
    <row r="913" spans="13:13">
      <c r="M913" t="str">
        <f t="shared" si="26"/>
        <v/>
      </c>
    </row>
    <row r="914" spans="13:13">
      <c r="M914" t="str">
        <f t="shared" si="26"/>
        <v/>
      </c>
    </row>
    <row r="915" spans="13:13">
      <c r="M915" t="str">
        <f t="shared" si="26"/>
        <v/>
      </c>
    </row>
    <row r="916" spans="13:13">
      <c r="M916" t="str">
        <f t="shared" si="26"/>
        <v/>
      </c>
    </row>
    <row r="917" spans="13:13">
      <c r="M917" t="str">
        <f t="shared" si="26"/>
        <v/>
      </c>
    </row>
    <row r="918" spans="13:13">
      <c r="M918" t="str">
        <f t="shared" si="26"/>
        <v/>
      </c>
    </row>
    <row r="919" spans="13:13">
      <c r="M919" t="str">
        <f t="shared" si="26"/>
        <v/>
      </c>
    </row>
    <row r="920" spans="13:13">
      <c r="M920" t="str">
        <f t="shared" si="26"/>
        <v/>
      </c>
    </row>
    <row r="921" spans="13:13">
      <c r="M921" t="str">
        <f t="shared" si="26"/>
        <v/>
      </c>
    </row>
    <row r="922" spans="13:13">
      <c r="M922" t="str">
        <f t="shared" si="26"/>
        <v/>
      </c>
    </row>
    <row r="923" spans="13:13">
      <c r="M923" t="str">
        <f t="shared" si="26"/>
        <v/>
      </c>
    </row>
    <row r="924" spans="13:13">
      <c r="M924" t="str">
        <f t="shared" si="26"/>
        <v/>
      </c>
    </row>
    <row r="925" spans="13:13">
      <c r="M925" t="str">
        <f t="shared" si="26"/>
        <v/>
      </c>
    </row>
    <row r="926" spans="13:13">
      <c r="M926" t="str">
        <f t="shared" si="26"/>
        <v/>
      </c>
    </row>
    <row r="927" spans="13:13">
      <c r="M927" t="str">
        <f t="shared" si="26"/>
        <v/>
      </c>
    </row>
    <row r="928" spans="13:13">
      <c r="M928" t="str">
        <f t="shared" si="26"/>
        <v/>
      </c>
    </row>
    <row r="929" spans="13:13">
      <c r="M929" t="str">
        <f t="shared" si="26"/>
        <v/>
      </c>
    </row>
    <row r="930" spans="13:13">
      <c r="M930" t="str">
        <f t="shared" si="26"/>
        <v/>
      </c>
    </row>
    <row r="931" spans="13:13">
      <c r="M931" t="str">
        <f t="shared" si="26"/>
        <v/>
      </c>
    </row>
    <row r="932" spans="13:13">
      <c r="M932" t="str">
        <f t="shared" si="26"/>
        <v/>
      </c>
    </row>
    <row r="933" spans="13:13">
      <c r="M933" t="str">
        <f t="shared" si="26"/>
        <v/>
      </c>
    </row>
    <row r="934" spans="13:13">
      <c r="M934" t="str">
        <f t="shared" si="26"/>
        <v/>
      </c>
    </row>
    <row r="935" spans="13:13">
      <c r="M935" t="str">
        <f t="shared" si="26"/>
        <v/>
      </c>
    </row>
    <row r="936" spans="13:13">
      <c r="M936" t="str">
        <f t="shared" si="26"/>
        <v/>
      </c>
    </row>
    <row r="937" spans="13:13">
      <c r="M937" t="str">
        <f t="shared" si="26"/>
        <v/>
      </c>
    </row>
    <row r="938" spans="13:13">
      <c r="M938" t="str">
        <f t="shared" si="26"/>
        <v/>
      </c>
    </row>
    <row r="939" spans="13:13">
      <c r="M939" t="str">
        <f t="shared" si="26"/>
        <v/>
      </c>
    </row>
    <row r="940" spans="13:13">
      <c r="M940" t="str">
        <f t="shared" si="26"/>
        <v/>
      </c>
    </row>
    <row r="941" spans="13:13">
      <c r="M941" t="str">
        <f t="shared" si="26"/>
        <v/>
      </c>
    </row>
    <row r="942" spans="13:13">
      <c r="M942" t="str">
        <f t="shared" si="26"/>
        <v/>
      </c>
    </row>
    <row r="943" spans="13:13">
      <c r="M943" t="str">
        <f t="shared" si="26"/>
        <v/>
      </c>
    </row>
    <row r="944" spans="13:13">
      <c r="M944" t="str">
        <f t="shared" si="26"/>
        <v/>
      </c>
    </row>
    <row r="945" spans="13:13">
      <c r="M945" t="str">
        <f t="shared" si="26"/>
        <v/>
      </c>
    </row>
    <row r="946" spans="13:13">
      <c r="M946" t="str">
        <f t="shared" si="26"/>
        <v/>
      </c>
    </row>
    <row r="947" spans="13:13">
      <c r="M947" t="str">
        <f t="shared" si="26"/>
        <v/>
      </c>
    </row>
    <row r="948" spans="13:13">
      <c r="M948" t="str">
        <f t="shared" si="26"/>
        <v/>
      </c>
    </row>
    <row r="949" spans="13:13">
      <c r="M949" t="str">
        <f t="shared" si="26"/>
        <v/>
      </c>
    </row>
    <row r="950" spans="13:13">
      <c r="M950" t="str">
        <f t="shared" si="26"/>
        <v/>
      </c>
    </row>
    <row r="951" spans="13:13">
      <c r="M951" t="str">
        <f t="shared" si="26"/>
        <v/>
      </c>
    </row>
    <row r="952" spans="13:13">
      <c r="M952" t="str">
        <f t="shared" si="26"/>
        <v/>
      </c>
    </row>
    <row r="953" spans="13:13">
      <c r="M953" t="str">
        <f t="shared" si="26"/>
        <v/>
      </c>
    </row>
    <row r="954" spans="13:13">
      <c r="M954" t="str">
        <f t="shared" si="26"/>
        <v/>
      </c>
    </row>
    <row r="955" spans="13:13">
      <c r="M955" t="str">
        <f t="shared" si="26"/>
        <v/>
      </c>
    </row>
    <row r="956" spans="13:13">
      <c r="M956" t="str">
        <f t="shared" si="26"/>
        <v/>
      </c>
    </row>
    <row r="957" spans="13:13">
      <c r="M957" t="str">
        <f t="shared" si="26"/>
        <v/>
      </c>
    </row>
    <row r="958" spans="13:13">
      <c r="M958" t="str">
        <f t="shared" si="26"/>
        <v/>
      </c>
    </row>
    <row r="959" spans="13:13">
      <c r="M959" t="str">
        <f t="shared" si="26"/>
        <v/>
      </c>
    </row>
    <row r="960" spans="13:13">
      <c r="M960" t="str">
        <f t="shared" si="26"/>
        <v/>
      </c>
    </row>
    <row r="961" spans="13:13">
      <c r="M961" t="str">
        <f t="shared" si="26"/>
        <v/>
      </c>
    </row>
    <row r="962" spans="13:13">
      <c r="M962" t="str">
        <f t="shared" si="26"/>
        <v/>
      </c>
    </row>
    <row r="963" spans="13:13">
      <c r="M963" t="str">
        <f t="shared" si="26"/>
        <v/>
      </c>
    </row>
    <row r="964" spans="13:13">
      <c r="M964" t="str">
        <f t="shared" si="26"/>
        <v/>
      </c>
    </row>
    <row r="965" spans="13:13">
      <c r="M965" t="str">
        <f t="shared" ref="M965:M1028" si="27">IF(A965="","", WEEKNUM(A965, 2))</f>
        <v/>
      </c>
    </row>
    <row r="966" spans="13:13">
      <c r="M966" t="str">
        <f t="shared" si="27"/>
        <v/>
      </c>
    </row>
    <row r="967" spans="13:13">
      <c r="M967" t="str">
        <f t="shared" si="27"/>
        <v/>
      </c>
    </row>
    <row r="968" spans="13:13">
      <c r="M968" t="str">
        <f t="shared" si="27"/>
        <v/>
      </c>
    </row>
    <row r="969" spans="13:13">
      <c r="M969" t="str">
        <f t="shared" si="27"/>
        <v/>
      </c>
    </row>
    <row r="970" spans="13:13">
      <c r="M970" t="str">
        <f t="shared" si="27"/>
        <v/>
      </c>
    </row>
    <row r="971" spans="13:13">
      <c r="M971" t="str">
        <f t="shared" si="27"/>
        <v/>
      </c>
    </row>
    <row r="972" spans="13:13">
      <c r="M972" t="str">
        <f t="shared" si="27"/>
        <v/>
      </c>
    </row>
    <row r="973" spans="13:13">
      <c r="M973" t="str">
        <f t="shared" si="27"/>
        <v/>
      </c>
    </row>
    <row r="974" spans="13:13">
      <c r="M974" t="str">
        <f t="shared" si="27"/>
        <v/>
      </c>
    </row>
    <row r="975" spans="13:13">
      <c r="M975" t="str">
        <f t="shared" si="27"/>
        <v/>
      </c>
    </row>
    <row r="976" spans="13:13">
      <c r="M976" t="str">
        <f t="shared" si="27"/>
        <v/>
      </c>
    </row>
    <row r="977" spans="13:13">
      <c r="M977" t="str">
        <f t="shared" si="27"/>
        <v/>
      </c>
    </row>
    <row r="978" spans="13:13">
      <c r="M978" t="str">
        <f t="shared" si="27"/>
        <v/>
      </c>
    </row>
    <row r="979" spans="13:13">
      <c r="M979" t="str">
        <f t="shared" si="27"/>
        <v/>
      </c>
    </row>
    <row r="980" spans="13:13">
      <c r="M980" t="str">
        <f t="shared" si="27"/>
        <v/>
      </c>
    </row>
    <row r="981" spans="13:13">
      <c r="M981" t="str">
        <f t="shared" si="27"/>
        <v/>
      </c>
    </row>
    <row r="982" spans="13:13">
      <c r="M982" t="str">
        <f t="shared" si="27"/>
        <v/>
      </c>
    </row>
    <row r="983" spans="13:13">
      <c r="M983" t="str">
        <f t="shared" si="27"/>
        <v/>
      </c>
    </row>
    <row r="984" spans="13:13">
      <c r="M984" t="str">
        <f t="shared" si="27"/>
        <v/>
      </c>
    </row>
    <row r="985" spans="13:13">
      <c r="M985" t="str">
        <f t="shared" si="27"/>
        <v/>
      </c>
    </row>
    <row r="986" spans="13:13">
      <c r="M986" t="str">
        <f t="shared" si="27"/>
        <v/>
      </c>
    </row>
    <row r="987" spans="13:13">
      <c r="M987" t="str">
        <f t="shared" si="27"/>
        <v/>
      </c>
    </row>
    <row r="988" spans="13:13">
      <c r="M988" t="str">
        <f t="shared" si="27"/>
        <v/>
      </c>
    </row>
    <row r="989" spans="13:13">
      <c r="M989" t="str">
        <f t="shared" si="27"/>
        <v/>
      </c>
    </row>
    <row r="990" spans="13:13">
      <c r="M990" t="str">
        <f t="shared" si="27"/>
        <v/>
      </c>
    </row>
    <row r="991" spans="13:13">
      <c r="M991" t="str">
        <f t="shared" si="27"/>
        <v/>
      </c>
    </row>
    <row r="992" spans="13:13">
      <c r="M992" t="str">
        <f t="shared" si="27"/>
        <v/>
      </c>
    </row>
    <row r="993" spans="13:13">
      <c r="M993" t="str">
        <f t="shared" si="27"/>
        <v/>
      </c>
    </row>
    <row r="994" spans="13:13">
      <c r="M994" t="str">
        <f t="shared" si="27"/>
        <v/>
      </c>
    </row>
    <row r="995" spans="13:13">
      <c r="M995" t="str">
        <f t="shared" si="27"/>
        <v/>
      </c>
    </row>
    <row r="996" spans="13:13">
      <c r="M996" t="str">
        <f t="shared" si="27"/>
        <v/>
      </c>
    </row>
    <row r="997" spans="13:13">
      <c r="M997" t="str">
        <f t="shared" si="27"/>
        <v/>
      </c>
    </row>
    <row r="998" spans="13:13">
      <c r="M998" t="str">
        <f t="shared" si="27"/>
        <v/>
      </c>
    </row>
    <row r="999" spans="13:13">
      <c r="M999" t="str">
        <f t="shared" si="27"/>
        <v/>
      </c>
    </row>
    <row r="1000" spans="13:13">
      <c r="M1000" t="str">
        <f t="shared" si="27"/>
        <v/>
      </c>
    </row>
    <row r="1001" spans="13:13">
      <c r="M1001" t="str">
        <f t="shared" si="27"/>
        <v/>
      </c>
    </row>
    <row r="1002" spans="13:13">
      <c r="M1002" t="str">
        <f t="shared" si="27"/>
        <v/>
      </c>
    </row>
    <row r="1003" spans="13:13">
      <c r="M1003" t="str">
        <f t="shared" si="27"/>
        <v/>
      </c>
    </row>
    <row r="1004" spans="13:13">
      <c r="M1004" t="str">
        <f t="shared" si="27"/>
        <v/>
      </c>
    </row>
    <row r="1005" spans="13:13">
      <c r="M1005" t="str">
        <f t="shared" si="27"/>
        <v/>
      </c>
    </row>
    <row r="1006" spans="13:13">
      <c r="M1006" t="str">
        <f t="shared" si="27"/>
        <v/>
      </c>
    </row>
    <row r="1007" spans="13:13">
      <c r="M1007" t="str">
        <f t="shared" si="27"/>
        <v/>
      </c>
    </row>
    <row r="1008" spans="13:13">
      <c r="M1008" t="str">
        <f t="shared" si="27"/>
        <v/>
      </c>
    </row>
    <row r="1009" spans="13:13">
      <c r="M1009" t="str">
        <f t="shared" si="27"/>
        <v/>
      </c>
    </row>
    <row r="1010" spans="13:13">
      <c r="M1010" t="str">
        <f t="shared" si="27"/>
        <v/>
      </c>
    </row>
    <row r="1011" spans="13:13">
      <c r="M1011" t="str">
        <f t="shared" si="27"/>
        <v/>
      </c>
    </row>
    <row r="1012" spans="13:13">
      <c r="M1012" t="str">
        <f t="shared" si="27"/>
        <v/>
      </c>
    </row>
    <row r="1013" spans="13:13">
      <c r="M1013" t="str">
        <f t="shared" si="27"/>
        <v/>
      </c>
    </row>
    <row r="1014" spans="13:13">
      <c r="M1014" t="str">
        <f t="shared" si="27"/>
        <v/>
      </c>
    </row>
    <row r="1015" spans="13:13">
      <c r="M1015" t="str">
        <f t="shared" si="27"/>
        <v/>
      </c>
    </row>
    <row r="1016" spans="13:13">
      <c r="M1016" t="str">
        <f t="shared" si="27"/>
        <v/>
      </c>
    </row>
    <row r="1017" spans="13:13">
      <c r="M1017" t="str">
        <f t="shared" si="27"/>
        <v/>
      </c>
    </row>
    <row r="1018" spans="13:13">
      <c r="M1018" t="str">
        <f t="shared" si="27"/>
        <v/>
      </c>
    </row>
    <row r="1019" spans="13:13">
      <c r="M1019" t="str">
        <f t="shared" si="27"/>
        <v/>
      </c>
    </row>
    <row r="1020" spans="13:13">
      <c r="M1020" t="str">
        <f t="shared" si="27"/>
        <v/>
      </c>
    </row>
    <row r="1021" spans="13:13">
      <c r="M1021" t="str">
        <f t="shared" si="27"/>
        <v/>
      </c>
    </row>
    <row r="1022" spans="13:13">
      <c r="M1022" t="str">
        <f t="shared" si="27"/>
        <v/>
      </c>
    </row>
    <row r="1023" spans="13:13">
      <c r="M1023" t="str">
        <f t="shared" si="27"/>
        <v/>
      </c>
    </row>
    <row r="1024" spans="13:13">
      <c r="M1024" t="str">
        <f t="shared" si="27"/>
        <v/>
      </c>
    </row>
    <row r="1025" spans="13:13">
      <c r="M1025" t="str">
        <f t="shared" si="27"/>
        <v/>
      </c>
    </row>
    <row r="1026" spans="13:13">
      <c r="M1026" t="str">
        <f t="shared" si="27"/>
        <v/>
      </c>
    </row>
    <row r="1027" spans="13:13">
      <c r="M1027" t="str">
        <f t="shared" si="27"/>
        <v/>
      </c>
    </row>
    <row r="1028" spans="13:13">
      <c r="M1028" t="str">
        <f t="shared" si="27"/>
        <v/>
      </c>
    </row>
    <row r="1029" spans="13:13">
      <c r="M1029" t="str">
        <f t="shared" ref="M1029:M1092" si="28">IF(A1029="","", WEEKNUM(A1029, 2))</f>
        <v/>
      </c>
    </row>
    <row r="1030" spans="13:13">
      <c r="M1030" t="str">
        <f t="shared" si="28"/>
        <v/>
      </c>
    </row>
    <row r="1031" spans="13:13">
      <c r="M1031" t="str">
        <f t="shared" si="28"/>
        <v/>
      </c>
    </row>
    <row r="1032" spans="13:13">
      <c r="M1032" t="str">
        <f t="shared" si="28"/>
        <v/>
      </c>
    </row>
    <row r="1033" spans="13:13">
      <c r="M1033" t="str">
        <f t="shared" si="28"/>
        <v/>
      </c>
    </row>
    <row r="1034" spans="13:13">
      <c r="M1034" t="str">
        <f t="shared" si="28"/>
        <v/>
      </c>
    </row>
    <row r="1035" spans="13:13">
      <c r="M1035" t="str">
        <f t="shared" si="28"/>
        <v/>
      </c>
    </row>
    <row r="1036" spans="13:13">
      <c r="M1036" t="str">
        <f t="shared" si="28"/>
        <v/>
      </c>
    </row>
    <row r="1037" spans="13:13">
      <c r="M1037" t="str">
        <f t="shared" si="28"/>
        <v/>
      </c>
    </row>
    <row r="1038" spans="13:13">
      <c r="M1038" t="str">
        <f t="shared" si="28"/>
        <v/>
      </c>
    </row>
    <row r="1039" spans="13:13">
      <c r="M1039" t="str">
        <f t="shared" si="28"/>
        <v/>
      </c>
    </row>
    <row r="1040" spans="13:13">
      <c r="M1040" t="str">
        <f t="shared" si="28"/>
        <v/>
      </c>
    </row>
    <row r="1041" spans="13:13">
      <c r="M1041" t="str">
        <f t="shared" si="28"/>
        <v/>
      </c>
    </row>
    <row r="1042" spans="13:13">
      <c r="M1042" t="str">
        <f t="shared" si="28"/>
        <v/>
      </c>
    </row>
    <row r="1043" spans="13:13">
      <c r="M1043" t="str">
        <f t="shared" si="28"/>
        <v/>
      </c>
    </row>
    <row r="1044" spans="13:13">
      <c r="M1044" t="str">
        <f t="shared" si="28"/>
        <v/>
      </c>
    </row>
    <row r="1045" spans="13:13">
      <c r="M1045" t="str">
        <f t="shared" si="28"/>
        <v/>
      </c>
    </row>
    <row r="1046" spans="13:13">
      <c r="M1046" t="str">
        <f t="shared" si="28"/>
        <v/>
      </c>
    </row>
    <row r="1047" spans="13:13">
      <c r="M1047" t="str">
        <f t="shared" si="28"/>
        <v/>
      </c>
    </row>
    <row r="1048" spans="13:13">
      <c r="M1048" t="str">
        <f t="shared" si="28"/>
        <v/>
      </c>
    </row>
    <row r="1049" spans="13:13">
      <c r="M1049" t="str">
        <f t="shared" si="28"/>
        <v/>
      </c>
    </row>
    <row r="1050" spans="13:13">
      <c r="M1050" t="str">
        <f t="shared" si="28"/>
        <v/>
      </c>
    </row>
    <row r="1051" spans="13:13">
      <c r="M1051" t="str">
        <f t="shared" si="28"/>
        <v/>
      </c>
    </row>
    <row r="1052" spans="13:13">
      <c r="M1052" t="str">
        <f t="shared" si="28"/>
        <v/>
      </c>
    </row>
    <row r="1053" spans="13:13">
      <c r="M1053" t="str">
        <f t="shared" si="28"/>
        <v/>
      </c>
    </row>
    <row r="1054" spans="13:13">
      <c r="M1054" t="str">
        <f t="shared" si="28"/>
        <v/>
      </c>
    </row>
    <row r="1055" spans="13:13">
      <c r="M1055" t="str">
        <f t="shared" si="28"/>
        <v/>
      </c>
    </row>
    <row r="1056" spans="13:13">
      <c r="M1056" t="str">
        <f t="shared" si="28"/>
        <v/>
      </c>
    </row>
    <row r="1057" spans="13:13">
      <c r="M1057" t="str">
        <f t="shared" si="28"/>
        <v/>
      </c>
    </row>
    <row r="1058" spans="13:13">
      <c r="M1058" t="str">
        <f t="shared" si="28"/>
        <v/>
      </c>
    </row>
    <row r="1059" spans="13:13">
      <c r="M1059" t="str">
        <f t="shared" si="28"/>
        <v/>
      </c>
    </row>
    <row r="1060" spans="13:13">
      <c r="M1060" t="str">
        <f t="shared" si="28"/>
        <v/>
      </c>
    </row>
    <row r="1061" spans="13:13">
      <c r="M1061" t="str">
        <f t="shared" si="28"/>
        <v/>
      </c>
    </row>
    <row r="1062" spans="13:13">
      <c r="M1062" t="str">
        <f t="shared" si="28"/>
        <v/>
      </c>
    </row>
    <row r="1063" spans="13:13">
      <c r="M1063" t="str">
        <f t="shared" si="28"/>
        <v/>
      </c>
    </row>
    <row r="1064" spans="13:13">
      <c r="M1064" t="str">
        <f t="shared" si="28"/>
        <v/>
      </c>
    </row>
    <row r="1065" spans="13:13">
      <c r="M1065" t="str">
        <f t="shared" si="28"/>
        <v/>
      </c>
    </row>
    <row r="1066" spans="13:13">
      <c r="M1066" t="str">
        <f t="shared" si="28"/>
        <v/>
      </c>
    </row>
    <row r="1067" spans="13:13">
      <c r="M1067" t="str">
        <f t="shared" si="28"/>
        <v/>
      </c>
    </row>
    <row r="1068" spans="13:13">
      <c r="M1068" t="str">
        <f t="shared" si="28"/>
        <v/>
      </c>
    </row>
    <row r="1069" spans="13:13">
      <c r="M1069" t="str">
        <f t="shared" si="28"/>
        <v/>
      </c>
    </row>
    <row r="1070" spans="13:13">
      <c r="M1070" t="str">
        <f t="shared" si="28"/>
        <v/>
      </c>
    </row>
    <row r="1071" spans="13:13">
      <c r="M1071" t="str">
        <f t="shared" si="28"/>
        <v/>
      </c>
    </row>
    <row r="1072" spans="13:13">
      <c r="M1072" t="str">
        <f t="shared" si="28"/>
        <v/>
      </c>
    </row>
    <row r="1073" spans="13:13">
      <c r="M1073" t="str">
        <f t="shared" si="28"/>
        <v/>
      </c>
    </row>
    <row r="1074" spans="13:13">
      <c r="M1074" t="str">
        <f t="shared" si="28"/>
        <v/>
      </c>
    </row>
    <row r="1075" spans="13:13">
      <c r="M1075" t="str">
        <f t="shared" si="28"/>
        <v/>
      </c>
    </row>
    <row r="1076" spans="13:13">
      <c r="M1076" t="str">
        <f t="shared" si="28"/>
        <v/>
      </c>
    </row>
    <row r="1077" spans="13:13">
      <c r="M1077" t="str">
        <f t="shared" si="28"/>
        <v/>
      </c>
    </row>
    <row r="1078" spans="13:13">
      <c r="M1078" t="str">
        <f t="shared" si="28"/>
        <v/>
      </c>
    </row>
    <row r="1079" spans="13:13">
      <c r="M1079" t="str">
        <f t="shared" si="28"/>
        <v/>
      </c>
    </row>
    <row r="1080" spans="13:13">
      <c r="M1080" t="str">
        <f t="shared" si="28"/>
        <v/>
      </c>
    </row>
    <row r="1081" spans="13:13">
      <c r="M1081" t="str">
        <f t="shared" si="28"/>
        <v/>
      </c>
    </row>
    <row r="1082" spans="13:13">
      <c r="M1082" t="str">
        <f t="shared" si="28"/>
        <v/>
      </c>
    </row>
    <row r="1083" spans="13:13">
      <c r="M1083" t="str">
        <f t="shared" si="28"/>
        <v/>
      </c>
    </row>
    <row r="1084" spans="13:13">
      <c r="M1084" t="str">
        <f t="shared" si="28"/>
        <v/>
      </c>
    </row>
    <row r="1085" spans="13:13">
      <c r="M1085" t="str">
        <f t="shared" si="28"/>
        <v/>
      </c>
    </row>
    <row r="1086" spans="13:13">
      <c r="M1086" t="str">
        <f t="shared" si="28"/>
        <v/>
      </c>
    </row>
    <row r="1087" spans="13:13">
      <c r="M1087" t="str">
        <f t="shared" si="28"/>
        <v/>
      </c>
    </row>
    <row r="1088" spans="13:13">
      <c r="M1088" t="str">
        <f t="shared" si="28"/>
        <v/>
      </c>
    </row>
    <row r="1089" spans="13:13">
      <c r="M1089" t="str">
        <f t="shared" si="28"/>
        <v/>
      </c>
    </row>
    <row r="1090" spans="13:13">
      <c r="M1090" t="str">
        <f t="shared" si="28"/>
        <v/>
      </c>
    </row>
    <row r="1091" spans="13:13">
      <c r="M1091" t="str">
        <f t="shared" si="28"/>
        <v/>
      </c>
    </row>
    <row r="1092" spans="13:13">
      <c r="M1092" t="str">
        <f t="shared" si="28"/>
        <v/>
      </c>
    </row>
    <row r="1093" spans="13:13">
      <c r="M1093" t="str">
        <f t="shared" ref="M1093:M1156" si="29">IF(A1093="","", WEEKNUM(A1093, 2))</f>
        <v/>
      </c>
    </row>
    <row r="1094" spans="13:13">
      <c r="M1094" t="str">
        <f t="shared" si="29"/>
        <v/>
      </c>
    </row>
    <row r="1095" spans="13:13">
      <c r="M1095" t="str">
        <f t="shared" si="29"/>
        <v/>
      </c>
    </row>
    <row r="1096" spans="13:13">
      <c r="M1096" t="str">
        <f t="shared" si="29"/>
        <v/>
      </c>
    </row>
    <row r="1097" spans="13:13">
      <c r="M1097" t="str">
        <f t="shared" si="29"/>
        <v/>
      </c>
    </row>
    <row r="1098" spans="13:13">
      <c r="M1098" t="str">
        <f t="shared" si="29"/>
        <v/>
      </c>
    </row>
    <row r="1099" spans="13:13">
      <c r="M1099" t="str">
        <f t="shared" si="29"/>
        <v/>
      </c>
    </row>
    <row r="1100" spans="13:13">
      <c r="M1100" t="str">
        <f t="shared" si="29"/>
        <v/>
      </c>
    </row>
    <row r="1101" spans="13:13">
      <c r="M1101" t="str">
        <f t="shared" si="29"/>
        <v/>
      </c>
    </row>
    <row r="1102" spans="13:13">
      <c r="M1102" t="str">
        <f t="shared" si="29"/>
        <v/>
      </c>
    </row>
    <row r="1103" spans="13:13">
      <c r="M1103" t="str">
        <f t="shared" si="29"/>
        <v/>
      </c>
    </row>
    <row r="1104" spans="13:13">
      <c r="M1104" t="str">
        <f t="shared" si="29"/>
        <v/>
      </c>
    </row>
    <row r="1105" spans="13:13">
      <c r="M1105" t="str">
        <f t="shared" si="29"/>
        <v/>
      </c>
    </row>
    <row r="1106" spans="13:13">
      <c r="M1106" t="str">
        <f t="shared" si="29"/>
        <v/>
      </c>
    </row>
    <row r="1107" spans="13:13">
      <c r="M1107" t="str">
        <f t="shared" si="29"/>
        <v/>
      </c>
    </row>
    <row r="1108" spans="13:13">
      <c r="M1108" t="str">
        <f t="shared" si="29"/>
        <v/>
      </c>
    </row>
    <row r="1109" spans="13:13">
      <c r="M1109" t="str">
        <f t="shared" si="29"/>
        <v/>
      </c>
    </row>
    <row r="1110" spans="13:13">
      <c r="M1110" t="str">
        <f t="shared" si="29"/>
        <v/>
      </c>
    </row>
    <row r="1111" spans="13:13">
      <c r="M1111" t="str">
        <f t="shared" si="29"/>
        <v/>
      </c>
    </row>
    <row r="1112" spans="13:13">
      <c r="M1112" t="str">
        <f t="shared" si="29"/>
        <v/>
      </c>
    </row>
    <row r="1113" spans="13:13">
      <c r="M1113" t="str">
        <f t="shared" si="29"/>
        <v/>
      </c>
    </row>
    <row r="1114" spans="13:13">
      <c r="M1114" t="str">
        <f t="shared" si="29"/>
        <v/>
      </c>
    </row>
    <row r="1115" spans="13:13">
      <c r="M1115" t="str">
        <f t="shared" si="29"/>
        <v/>
      </c>
    </row>
    <row r="1116" spans="13:13">
      <c r="M1116" t="str">
        <f t="shared" si="29"/>
        <v/>
      </c>
    </row>
    <row r="1117" spans="13:13">
      <c r="M1117" t="str">
        <f t="shared" si="29"/>
        <v/>
      </c>
    </row>
    <row r="1118" spans="13:13">
      <c r="M1118" t="str">
        <f t="shared" si="29"/>
        <v/>
      </c>
    </row>
    <row r="1119" spans="13:13">
      <c r="M1119" t="str">
        <f t="shared" si="29"/>
        <v/>
      </c>
    </row>
    <row r="1120" spans="13:13">
      <c r="M1120" t="str">
        <f t="shared" si="29"/>
        <v/>
      </c>
    </row>
    <row r="1121" spans="13:13">
      <c r="M1121" t="str">
        <f t="shared" si="29"/>
        <v/>
      </c>
    </row>
    <row r="1122" spans="13:13">
      <c r="M1122" t="str">
        <f t="shared" si="29"/>
        <v/>
      </c>
    </row>
    <row r="1123" spans="13:13">
      <c r="M1123" t="str">
        <f t="shared" si="29"/>
        <v/>
      </c>
    </row>
    <row r="1124" spans="13:13">
      <c r="M1124" t="str">
        <f t="shared" si="29"/>
        <v/>
      </c>
    </row>
    <row r="1125" spans="13:13">
      <c r="M1125" t="str">
        <f t="shared" si="29"/>
        <v/>
      </c>
    </row>
    <row r="1126" spans="13:13">
      <c r="M1126" t="str">
        <f t="shared" si="29"/>
        <v/>
      </c>
    </row>
    <row r="1127" spans="13:13">
      <c r="M1127" t="str">
        <f t="shared" si="29"/>
        <v/>
      </c>
    </row>
    <row r="1128" spans="13:13">
      <c r="M1128" t="str">
        <f t="shared" si="29"/>
        <v/>
      </c>
    </row>
    <row r="1129" spans="13:13">
      <c r="M1129" t="str">
        <f t="shared" si="29"/>
        <v/>
      </c>
    </row>
    <row r="1130" spans="13:13">
      <c r="M1130" t="str">
        <f t="shared" si="29"/>
        <v/>
      </c>
    </row>
    <row r="1131" spans="13:13">
      <c r="M1131" t="str">
        <f t="shared" si="29"/>
        <v/>
      </c>
    </row>
    <row r="1132" spans="13:13">
      <c r="M1132" t="str">
        <f t="shared" si="29"/>
        <v/>
      </c>
    </row>
    <row r="1133" spans="13:13">
      <c r="M1133" t="str">
        <f t="shared" si="29"/>
        <v/>
      </c>
    </row>
    <row r="1134" spans="13:13">
      <c r="M1134" t="str">
        <f t="shared" si="29"/>
        <v/>
      </c>
    </row>
    <row r="1135" spans="13:13">
      <c r="M1135" t="str">
        <f t="shared" si="29"/>
        <v/>
      </c>
    </row>
    <row r="1136" spans="13:13">
      <c r="M1136" t="str">
        <f t="shared" si="29"/>
        <v/>
      </c>
    </row>
    <row r="1137" spans="13:13">
      <c r="M1137" t="str">
        <f t="shared" si="29"/>
        <v/>
      </c>
    </row>
    <row r="1138" spans="13:13">
      <c r="M1138" t="str">
        <f t="shared" si="29"/>
        <v/>
      </c>
    </row>
    <row r="1139" spans="13:13">
      <c r="M1139" t="str">
        <f t="shared" si="29"/>
        <v/>
      </c>
    </row>
    <row r="1140" spans="13:13">
      <c r="M1140" t="str">
        <f t="shared" si="29"/>
        <v/>
      </c>
    </row>
    <row r="1141" spans="13:13">
      <c r="M1141" t="str">
        <f t="shared" si="29"/>
        <v/>
      </c>
    </row>
    <row r="1142" spans="13:13">
      <c r="M1142" t="str">
        <f t="shared" si="29"/>
        <v/>
      </c>
    </row>
    <row r="1143" spans="13:13">
      <c r="M1143" t="str">
        <f t="shared" si="29"/>
        <v/>
      </c>
    </row>
    <row r="1144" spans="13:13">
      <c r="M1144" t="str">
        <f t="shared" si="29"/>
        <v/>
      </c>
    </row>
    <row r="1145" spans="13:13">
      <c r="M1145" t="str">
        <f t="shared" si="29"/>
        <v/>
      </c>
    </row>
    <row r="1146" spans="13:13">
      <c r="M1146" t="str">
        <f t="shared" si="29"/>
        <v/>
      </c>
    </row>
    <row r="1147" spans="13:13">
      <c r="M1147" t="str">
        <f t="shared" si="29"/>
        <v/>
      </c>
    </row>
    <row r="1148" spans="13:13">
      <c r="M1148" t="str">
        <f t="shared" si="29"/>
        <v/>
      </c>
    </row>
    <row r="1149" spans="13:13">
      <c r="M1149" t="str">
        <f t="shared" si="29"/>
        <v/>
      </c>
    </row>
    <row r="1150" spans="13:13">
      <c r="M1150" t="str">
        <f t="shared" si="29"/>
        <v/>
      </c>
    </row>
    <row r="1151" spans="13:13">
      <c r="M1151" t="str">
        <f t="shared" si="29"/>
        <v/>
      </c>
    </row>
    <row r="1152" spans="13:13">
      <c r="M1152" t="str">
        <f t="shared" si="29"/>
        <v/>
      </c>
    </row>
    <row r="1153" spans="13:13">
      <c r="M1153" t="str">
        <f t="shared" si="29"/>
        <v/>
      </c>
    </row>
    <row r="1154" spans="13:13">
      <c r="M1154" t="str">
        <f t="shared" si="29"/>
        <v/>
      </c>
    </row>
    <row r="1155" spans="13:13">
      <c r="M1155" t="str">
        <f t="shared" si="29"/>
        <v/>
      </c>
    </row>
    <row r="1156" spans="13:13">
      <c r="M1156" t="str">
        <f t="shared" si="29"/>
        <v/>
      </c>
    </row>
    <row r="1157" spans="13:13">
      <c r="M1157" t="str">
        <f t="shared" ref="M1157:M1220" si="30">IF(A1157="","", WEEKNUM(A1157, 2))</f>
        <v/>
      </c>
    </row>
    <row r="1158" spans="13:13">
      <c r="M1158" t="str">
        <f t="shared" si="30"/>
        <v/>
      </c>
    </row>
    <row r="1159" spans="13:13">
      <c r="M1159" t="str">
        <f t="shared" si="30"/>
        <v/>
      </c>
    </row>
    <row r="1160" spans="13:13">
      <c r="M1160" t="str">
        <f t="shared" si="30"/>
        <v/>
      </c>
    </row>
    <row r="1161" spans="13:13">
      <c r="M1161" t="str">
        <f t="shared" si="30"/>
        <v/>
      </c>
    </row>
    <row r="1162" spans="13:13">
      <c r="M1162" t="str">
        <f t="shared" si="30"/>
        <v/>
      </c>
    </row>
    <row r="1163" spans="13:13">
      <c r="M1163" t="str">
        <f t="shared" si="30"/>
        <v/>
      </c>
    </row>
    <row r="1164" spans="13:13">
      <c r="M1164" t="str">
        <f t="shared" si="30"/>
        <v/>
      </c>
    </row>
    <row r="1165" spans="13:13">
      <c r="M1165" t="str">
        <f t="shared" si="30"/>
        <v/>
      </c>
    </row>
    <row r="1166" spans="13:13">
      <c r="M1166" t="str">
        <f t="shared" si="30"/>
        <v/>
      </c>
    </row>
    <row r="1167" spans="13:13">
      <c r="M1167" t="str">
        <f t="shared" si="30"/>
        <v/>
      </c>
    </row>
    <row r="1168" spans="13:13">
      <c r="M1168" t="str">
        <f t="shared" si="30"/>
        <v/>
      </c>
    </row>
    <row r="1169" spans="13:13">
      <c r="M1169" t="str">
        <f t="shared" si="30"/>
        <v/>
      </c>
    </row>
    <row r="1170" spans="13:13">
      <c r="M1170" t="str">
        <f t="shared" si="30"/>
        <v/>
      </c>
    </row>
    <row r="1171" spans="13:13">
      <c r="M1171" t="str">
        <f t="shared" si="30"/>
        <v/>
      </c>
    </row>
    <row r="1172" spans="13:13">
      <c r="M1172" t="str">
        <f t="shared" si="30"/>
        <v/>
      </c>
    </row>
    <row r="1173" spans="13:13">
      <c r="M1173" t="str">
        <f t="shared" si="30"/>
        <v/>
      </c>
    </row>
    <row r="1174" spans="13:13">
      <c r="M1174" t="str">
        <f t="shared" si="30"/>
        <v/>
      </c>
    </row>
    <row r="1175" spans="13:13">
      <c r="M1175" t="str">
        <f t="shared" si="30"/>
        <v/>
      </c>
    </row>
    <row r="1176" spans="13:13">
      <c r="M1176" t="str">
        <f t="shared" si="30"/>
        <v/>
      </c>
    </row>
    <row r="1177" spans="13:13">
      <c r="M1177" t="str">
        <f t="shared" si="30"/>
        <v/>
      </c>
    </row>
    <row r="1178" spans="13:13">
      <c r="M1178" t="str">
        <f t="shared" si="30"/>
        <v/>
      </c>
    </row>
    <row r="1179" spans="13:13">
      <c r="M1179" t="str">
        <f t="shared" si="30"/>
        <v/>
      </c>
    </row>
    <row r="1180" spans="13:13">
      <c r="M1180" t="str">
        <f t="shared" si="30"/>
        <v/>
      </c>
    </row>
    <row r="1181" spans="13:13">
      <c r="M1181" t="str">
        <f t="shared" si="30"/>
        <v/>
      </c>
    </row>
    <row r="1182" spans="13:13">
      <c r="M1182" t="str">
        <f t="shared" si="30"/>
        <v/>
      </c>
    </row>
    <row r="1183" spans="13:13">
      <c r="M1183" t="str">
        <f t="shared" si="30"/>
        <v/>
      </c>
    </row>
    <row r="1184" spans="13:13">
      <c r="M1184" t="str">
        <f t="shared" si="30"/>
        <v/>
      </c>
    </row>
    <row r="1185" spans="13:13">
      <c r="M1185" t="str">
        <f t="shared" si="30"/>
        <v/>
      </c>
    </row>
    <row r="1186" spans="13:13">
      <c r="M1186" t="str">
        <f t="shared" si="30"/>
        <v/>
      </c>
    </row>
    <row r="1187" spans="13:13">
      <c r="M1187" t="str">
        <f t="shared" si="30"/>
        <v/>
      </c>
    </row>
    <row r="1188" spans="13:13">
      <c r="M1188" t="str">
        <f t="shared" si="30"/>
        <v/>
      </c>
    </row>
    <row r="1189" spans="13:13">
      <c r="M1189" t="str">
        <f t="shared" si="30"/>
        <v/>
      </c>
    </row>
    <row r="1190" spans="13:13">
      <c r="M1190" t="str">
        <f t="shared" si="30"/>
        <v/>
      </c>
    </row>
    <row r="1191" spans="13:13">
      <c r="M1191" t="str">
        <f t="shared" si="30"/>
        <v/>
      </c>
    </row>
    <row r="1192" spans="13:13">
      <c r="M1192" t="str">
        <f t="shared" si="30"/>
        <v/>
      </c>
    </row>
    <row r="1193" spans="13:13">
      <c r="M1193" t="str">
        <f t="shared" si="30"/>
        <v/>
      </c>
    </row>
    <row r="1194" spans="13:13">
      <c r="M1194" t="str">
        <f t="shared" si="30"/>
        <v/>
      </c>
    </row>
    <row r="1195" spans="13:13">
      <c r="M1195" t="str">
        <f t="shared" si="30"/>
        <v/>
      </c>
    </row>
    <row r="1196" spans="13:13">
      <c r="M1196" t="str">
        <f t="shared" si="30"/>
        <v/>
      </c>
    </row>
    <row r="1197" spans="13:13">
      <c r="M1197" t="str">
        <f t="shared" si="30"/>
        <v/>
      </c>
    </row>
    <row r="1198" spans="13:13">
      <c r="M1198" t="str">
        <f t="shared" si="30"/>
        <v/>
      </c>
    </row>
    <row r="1199" spans="13:13">
      <c r="M1199" t="str">
        <f t="shared" si="30"/>
        <v/>
      </c>
    </row>
    <row r="1200" spans="13:13">
      <c r="M1200" t="str">
        <f t="shared" si="30"/>
        <v/>
      </c>
    </row>
    <row r="1201" spans="13:13">
      <c r="M1201" t="str">
        <f t="shared" si="30"/>
        <v/>
      </c>
    </row>
    <row r="1202" spans="13:13">
      <c r="M1202" t="str">
        <f t="shared" si="30"/>
        <v/>
      </c>
    </row>
    <row r="1203" spans="13:13">
      <c r="M1203" t="str">
        <f t="shared" si="30"/>
        <v/>
      </c>
    </row>
    <row r="1204" spans="13:13">
      <c r="M1204" t="str">
        <f t="shared" si="30"/>
        <v/>
      </c>
    </row>
    <row r="1205" spans="13:13">
      <c r="M1205" t="str">
        <f t="shared" si="30"/>
        <v/>
      </c>
    </row>
    <row r="1206" spans="13:13">
      <c r="M1206" t="str">
        <f t="shared" si="30"/>
        <v/>
      </c>
    </row>
    <row r="1207" spans="13:13">
      <c r="M1207" t="str">
        <f t="shared" si="30"/>
        <v/>
      </c>
    </row>
    <row r="1208" spans="13:13">
      <c r="M1208" t="str">
        <f t="shared" si="30"/>
        <v/>
      </c>
    </row>
    <row r="1209" spans="13:13">
      <c r="M1209" t="str">
        <f t="shared" si="30"/>
        <v/>
      </c>
    </row>
    <row r="1210" spans="13:13">
      <c r="M1210" t="str">
        <f t="shared" si="30"/>
        <v/>
      </c>
    </row>
    <row r="1211" spans="13:13">
      <c r="M1211" t="str">
        <f t="shared" si="30"/>
        <v/>
      </c>
    </row>
    <row r="1212" spans="13:13">
      <c r="M1212" t="str">
        <f t="shared" si="30"/>
        <v/>
      </c>
    </row>
    <row r="1213" spans="13:13">
      <c r="M1213" t="str">
        <f t="shared" si="30"/>
        <v/>
      </c>
    </row>
    <row r="1214" spans="13:13">
      <c r="M1214" t="str">
        <f t="shared" si="30"/>
        <v/>
      </c>
    </row>
    <row r="1215" spans="13:13">
      <c r="M1215" t="str">
        <f t="shared" si="30"/>
        <v/>
      </c>
    </row>
    <row r="1216" spans="13:13">
      <c r="M1216" t="str">
        <f t="shared" si="30"/>
        <v/>
      </c>
    </row>
    <row r="1217" spans="13:13">
      <c r="M1217" t="str">
        <f t="shared" si="30"/>
        <v/>
      </c>
    </row>
    <row r="1218" spans="13:13">
      <c r="M1218" t="str">
        <f t="shared" si="30"/>
        <v/>
      </c>
    </row>
    <row r="1219" spans="13:13">
      <c r="M1219" t="str">
        <f t="shared" si="30"/>
        <v/>
      </c>
    </row>
    <row r="1220" spans="13:13">
      <c r="M1220" t="str">
        <f t="shared" si="30"/>
        <v/>
      </c>
    </row>
    <row r="1221" spans="13:13">
      <c r="M1221" t="str">
        <f t="shared" ref="M1221:M1284" si="31">IF(A1221="","", WEEKNUM(A1221, 2))</f>
        <v/>
      </c>
    </row>
    <row r="1222" spans="13:13">
      <c r="M1222" t="str">
        <f t="shared" si="31"/>
        <v/>
      </c>
    </row>
    <row r="1223" spans="13:13">
      <c r="M1223" t="str">
        <f t="shared" si="31"/>
        <v/>
      </c>
    </row>
    <row r="1224" spans="13:13">
      <c r="M1224" t="str">
        <f t="shared" si="31"/>
        <v/>
      </c>
    </row>
    <row r="1225" spans="13:13">
      <c r="M1225" t="str">
        <f t="shared" si="31"/>
        <v/>
      </c>
    </row>
    <row r="1226" spans="13:13">
      <c r="M1226" t="str">
        <f t="shared" si="31"/>
        <v/>
      </c>
    </row>
    <row r="1227" spans="13:13">
      <c r="M1227" t="str">
        <f t="shared" si="31"/>
        <v/>
      </c>
    </row>
    <row r="1228" spans="13:13">
      <c r="M1228" t="str">
        <f t="shared" si="31"/>
        <v/>
      </c>
    </row>
    <row r="1229" spans="13:13">
      <c r="M1229" t="str">
        <f t="shared" si="31"/>
        <v/>
      </c>
    </row>
    <row r="1230" spans="13:13">
      <c r="M1230" t="str">
        <f t="shared" si="31"/>
        <v/>
      </c>
    </row>
    <row r="1231" spans="13:13">
      <c r="M1231" t="str">
        <f t="shared" si="31"/>
        <v/>
      </c>
    </row>
    <row r="1232" spans="13:13">
      <c r="M1232" t="str">
        <f t="shared" si="31"/>
        <v/>
      </c>
    </row>
    <row r="1233" spans="13:13">
      <c r="M1233" t="str">
        <f t="shared" si="31"/>
        <v/>
      </c>
    </row>
    <row r="1234" spans="13:13">
      <c r="M1234" t="str">
        <f t="shared" si="31"/>
        <v/>
      </c>
    </row>
    <row r="1235" spans="13:13">
      <c r="M1235" t="str">
        <f t="shared" si="31"/>
        <v/>
      </c>
    </row>
    <row r="1236" spans="13:13">
      <c r="M1236" t="str">
        <f t="shared" si="31"/>
        <v/>
      </c>
    </row>
    <row r="1237" spans="13:13">
      <c r="M1237" t="str">
        <f t="shared" si="31"/>
        <v/>
      </c>
    </row>
    <row r="1238" spans="13:13">
      <c r="M1238" t="str">
        <f t="shared" si="31"/>
        <v/>
      </c>
    </row>
    <row r="1239" spans="13:13">
      <c r="M1239" t="str">
        <f t="shared" si="31"/>
        <v/>
      </c>
    </row>
    <row r="1240" spans="13:13">
      <c r="M1240" t="str">
        <f t="shared" si="31"/>
        <v/>
      </c>
    </row>
    <row r="1241" spans="13:13">
      <c r="M1241" t="str">
        <f t="shared" si="31"/>
        <v/>
      </c>
    </row>
    <row r="1242" spans="13:13">
      <c r="M1242" t="str">
        <f t="shared" si="31"/>
        <v/>
      </c>
    </row>
    <row r="1243" spans="13:13">
      <c r="M1243" t="str">
        <f t="shared" si="31"/>
        <v/>
      </c>
    </row>
    <row r="1244" spans="13:13">
      <c r="M1244" t="str">
        <f t="shared" si="31"/>
        <v/>
      </c>
    </row>
    <row r="1245" spans="13:13">
      <c r="M1245" t="str">
        <f t="shared" si="31"/>
        <v/>
      </c>
    </row>
    <row r="1246" spans="13:13">
      <c r="M1246" t="str">
        <f t="shared" si="31"/>
        <v/>
      </c>
    </row>
    <row r="1247" spans="13:13">
      <c r="M1247" t="str">
        <f t="shared" si="31"/>
        <v/>
      </c>
    </row>
    <row r="1248" spans="13:13">
      <c r="M1248" t="str">
        <f t="shared" si="31"/>
        <v/>
      </c>
    </row>
    <row r="1249" spans="13:13">
      <c r="M1249" t="str">
        <f t="shared" si="31"/>
        <v/>
      </c>
    </row>
    <row r="1250" spans="13:13">
      <c r="M1250" t="str">
        <f t="shared" si="31"/>
        <v/>
      </c>
    </row>
    <row r="1251" spans="13:13">
      <c r="M1251" t="str">
        <f t="shared" si="31"/>
        <v/>
      </c>
    </row>
    <row r="1252" spans="13:13">
      <c r="M1252" t="str">
        <f t="shared" si="31"/>
        <v/>
      </c>
    </row>
    <row r="1253" spans="13:13">
      <c r="M1253" t="str">
        <f t="shared" si="31"/>
        <v/>
      </c>
    </row>
    <row r="1254" spans="13:13">
      <c r="M1254" t="str">
        <f t="shared" si="31"/>
        <v/>
      </c>
    </row>
    <row r="1255" spans="13:13">
      <c r="M1255" t="str">
        <f t="shared" si="31"/>
        <v/>
      </c>
    </row>
    <row r="1256" spans="13:13">
      <c r="M1256" t="str">
        <f t="shared" si="31"/>
        <v/>
      </c>
    </row>
    <row r="1257" spans="13:13">
      <c r="M1257" t="str">
        <f t="shared" si="31"/>
        <v/>
      </c>
    </row>
    <row r="1258" spans="13:13">
      <c r="M1258" t="str">
        <f t="shared" si="31"/>
        <v/>
      </c>
    </row>
    <row r="1259" spans="13:13">
      <c r="M1259" t="str">
        <f t="shared" si="31"/>
        <v/>
      </c>
    </row>
    <row r="1260" spans="13:13">
      <c r="M1260" t="str">
        <f t="shared" si="31"/>
        <v/>
      </c>
    </row>
    <row r="1261" spans="13:13">
      <c r="M1261" t="str">
        <f t="shared" si="31"/>
        <v/>
      </c>
    </row>
    <row r="1262" spans="13:13">
      <c r="M1262" t="str">
        <f t="shared" si="31"/>
        <v/>
      </c>
    </row>
    <row r="1263" spans="13:13">
      <c r="M1263" t="str">
        <f t="shared" si="31"/>
        <v/>
      </c>
    </row>
    <row r="1264" spans="13:13">
      <c r="M1264" t="str">
        <f t="shared" si="31"/>
        <v/>
      </c>
    </row>
    <row r="1265" spans="13:13">
      <c r="M1265" t="str">
        <f t="shared" si="31"/>
        <v/>
      </c>
    </row>
    <row r="1266" spans="13:13">
      <c r="M1266" t="str">
        <f t="shared" si="31"/>
        <v/>
      </c>
    </row>
    <row r="1267" spans="13:13">
      <c r="M1267" t="str">
        <f t="shared" si="31"/>
        <v/>
      </c>
    </row>
    <row r="1268" spans="13:13">
      <c r="M1268" t="str">
        <f t="shared" si="31"/>
        <v/>
      </c>
    </row>
    <row r="1269" spans="13:13">
      <c r="M1269" t="str">
        <f t="shared" si="31"/>
        <v/>
      </c>
    </row>
    <row r="1270" spans="13:13">
      <c r="M1270" t="str">
        <f t="shared" si="31"/>
        <v/>
      </c>
    </row>
    <row r="1271" spans="13:13">
      <c r="M1271" t="str">
        <f t="shared" si="31"/>
        <v/>
      </c>
    </row>
    <row r="1272" spans="13:13">
      <c r="M1272" t="str">
        <f t="shared" si="31"/>
        <v/>
      </c>
    </row>
    <row r="1273" spans="13:13">
      <c r="M1273" t="str">
        <f t="shared" si="31"/>
        <v/>
      </c>
    </row>
    <row r="1274" spans="13:13">
      <c r="M1274" t="str">
        <f t="shared" si="31"/>
        <v/>
      </c>
    </row>
    <row r="1275" spans="13:13">
      <c r="M1275" t="str">
        <f t="shared" si="31"/>
        <v/>
      </c>
    </row>
    <row r="1276" spans="13:13">
      <c r="M1276" t="str">
        <f t="shared" si="31"/>
        <v/>
      </c>
    </row>
    <row r="1277" spans="13:13">
      <c r="M1277" t="str">
        <f t="shared" si="31"/>
        <v/>
      </c>
    </row>
    <row r="1278" spans="13:13">
      <c r="M1278" t="str">
        <f t="shared" si="31"/>
        <v/>
      </c>
    </row>
    <row r="1279" spans="13:13">
      <c r="M1279" t="str">
        <f t="shared" si="31"/>
        <v/>
      </c>
    </row>
    <row r="1280" spans="13:13">
      <c r="M1280" t="str">
        <f t="shared" si="31"/>
        <v/>
      </c>
    </row>
    <row r="1281" spans="13:13">
      <c r="M1281" t="str">
        <f t="shared" si="31"/>
        <v/>
      </c>
    </row>
    <row r="1282" spans="13:13">
      <c r="M1282" t="str">
        <f t="shared" si="31"/>
        <v/>
      </c>
    </row>
    <row r="1283" spans="13:13">
      <c r="M1283" t="str">
        <f t="shared" si="31"/>
        <v/>
      </c>
    </row>
    <row r="1284" spans="13:13">
      <c r="M1284" t="str">
        <f t="shared" si="31"/>
        <v/>
      </c>
    </row>
    <row r="1285" spans="13:13">
      <c r="M1285" t="str">
        <f t="shared" ref="M1285:M1348" si="32">IF(A1285="","", WEEKNUM(A1285, 2))</f>
        <v/>
      </c>
    </row>
    <row r="1286" spans="13:13">
      <c r="M1286" t="str">
        <f t="shared" si="32"/>
        <v/>
      </c>
    </row>
    <row r="1287" spans="13:13">
      <c r="M1287" t="str">
        <f t="shared" si="32"/>
        <v/>
      </c>
    </row>
    <row r="1288" spans="13:13">
      <c r="M1288" t="str">
        <f t="shared" si="32"/>
        <v/>
      </c>
    </row>
    <row r="1289" spans="13:13">
      <c r="M1289" t="str">
        <f t="shared" si="32"/>
        <v/>
      </c>
    </row>
    <row r="1290" spans="13:13">
      <c r="M1290" t="str">
        <f t="shared" si="32"/>
        <v/>
      </c>
    </row>
    <row r="1291" spans="13:13">
      <c r="M1291" t="str">
        <f t="shared" si="32"/>
        <v/>
      </c>
    </row>
    <row r="1292" spans="13:13">
      <c r="M1292" t="str">
        <f t="shared" si="32"/>
        <v/>
      </c>
    </row>
    <row r="1293" spans="13:13">
      <c r="M1293" t="str">
        <f t="shared" si="32"/>
        <v/>
      </c>
    </row>
    <row r="1294" spans="13:13">
      <c r="M1294" t="str">
        <f t="shared" si="32"/>
        <v/>
      </c>
    </row>
    <row r="1295" spans="13:13">
      <c r="M1295" t="str">
        <f t="shared" si="32"/>
        <v/>
      </c>
    </row>
    <row r="1296" spans="13:13">
      <c r="M1296" t="str">
        <f t="shared" si="32"/>
        <v/>
      </c>
    </row>
    <row r="1297" spans="13:13">
      <c r="M1297" t="str">
        <f t="shared" si="32"/>
        <v/>
      </c>
    </row>
    <row r="1298" spans="13:13">
      <c r="M1298" t="str">
        <f t="shared" si="32"/>
        <v/>
      </c>
    </row>
    <row r="1299" spans="13:13">
      <c r="M1299" t="str">
        <f t="shared" si="32"/>
        <v/>
      </c>
    </row>
    <row r="1300" spans="13:13">
      <c r="M1300" t="str">
        <f t="shared" si="32"/>
        <v/>
      </c>
    </row>
    <row r="1301" spans="13:13">
      <c r="M1301" t="str">
        <f t="shared" si="32"/>
        <v/>
      </c>
    </row>
    <row r="1302" spans="13:13">
      <c r="M1302" t="str">
        <f t="shared" si="32"/>
        <v/>
      </c>
    </row>
    <row r="1303" spans="13:13">
      <c r="M1303" t="str">
        <f t="shared" si="32"/>
        <v/>
      </c>
    </row>
    <row r="1304" spans="13:13">
      <c r="M1304" t="str">
        <f t="shared" si="32"/>
        <v/>
      </c>
    </row>
    <row r="1305" spans="13:13">
      <c r="M1305" t="str">
        <f t="shared" si="32"/>
        <v/>
      </c>
    </row>
    <row r="1306" spans="13:13">
      <c r="M1306" t="str">
        <f t="shared" si="32"/>
        <v/>
      </c>
    </row>
    <row r="1307" spans="13:13">
      <c r="M1307" t="str">
        <f t="shared" si="32"/>
        <v/>
      </c>
    </row>
    <row r="1308" spans="13:13">
      <c r="M1308" t="str">
        <f t="shared" si="32"/>
        <v/>
      </c>
    </row>
    <row r="1309" spans="13:13">
      <c r="M1309" t="str">
        <f t="shared" si="32"/>
        <v/>
      </c>
    </row>
    <row r="1310" spans="13:13">
      <c r="M1310" t="str">
        <f t="shared" si="32"/>
        <v/>
      </c>
    </row>
    <row r="1311" spans="13:13">
      <c r="M1311" t="str">
        <f t="shared" si="32"/>
        <v/>
      </c>
    </row>
    <row r="1312" spans="13:13">
      <c r="M1312" t="str">
        <f t="shared" si="32"/>
        <v/>
      </c>
    </row>
    <row r="1313" spans="13:13">
      <c r="M1313" t="str">
        <f t="shared" si="32"/>
        <v/>
      </c>
    </row>
    <row r="1314" spans="13:13">
      <c r="M1314" t="str">
        <f t="shared" si="32"/>
        <v/>
      </c>
    </row>
    <row r="1315" spans="13:13">
      <c r="M1315" t="str">
        <f t="shared" si="32"/>
        <v/>
      </c>
    </row>
    <row r="1316" spans="13:13">
      <c r="M1316" t="str">
        <f t="shared" si="32"/>
        <v/>
      </c>
    </row>
    <row r="1317" spans="13:13">
      <c r="M1317" t="str">
        <f t="shared" si="32"/>
        <v/>
      </c>
    </row>
    <row r="1318" spans="13:13">
      <c r="M1318" t="str">
        <f t="shared" si="32"/>
        <v/>
      </c>
    </row>
    <row r="1319" spans="13:13">
      <c r="M1319" t="str">
        <f t="shared" si="32"/>
        <v/>
      </c>
    </row>
    <row r="1320" spans="13:13">
      <c r="M1320" t="str">
        <f t="shared" si="32"/>
        <v/>
      </c>
    </row>
    <row r="1321" spans="13:13">
      <c r="M1321" t="str">
        <f t="shared" si="32"/>
        <v/>
      </c>
    </row>
    <row r="1322" spans="13:13">
      <c r="M1322" t="str">
        <f t="shared" si="32"/>
        <v/>
      </c>
    </row>
    <row r="1323" spans="13:13">
      <c r="M1323" t="str">
        <f t="shared" si="32"/>
        <v/>
      </c>
    </row>
    <row r="1324" spans="13:13">
      <c r="M1324" t="str">
        <f t="shared" si="32"/>
        <v/>
      </c>
    </row>
    <row r="1325" spans="13:13">
      <c r="M1325" t="str">
        <f t="shared" si="32"/>
        <v/>
      </c>
    </row>
    <row r="1326" spans="13:13">
      <c r="M1326" t="str">
        <f t="shared" si="32"/>
        <v/>
      </c>
    </row>
    <row r="1327" spans="13:13">
      <c r="M1327" t="str">
        <f t="shared" si="32"/>
        <v/>
      </c>
    </row>
    <row r="1328" spans="13:13">
      <c r="M1328" t="str">
        <f t="shared" si="32"/>
        <v/>
      </c>
    </row>
    <row r="1329" spans="13:13">
      <c r="M1329" t="str">
        <f t="shared" si="32"/>
        <v/>
      </c>
    </row>
    <row r="1330" spans="13:13">
      <c r="M1330" t="str">
        <f t="shared" si="32"/>
        <v/>
      </c>
    </row>
    <row r="1331" spans="13:13">
      <c r="M1331" t="str">
        <f t="shared" si="32"/>
        <v/>
      </c>
    </row>
    <row r="1332" spans="13:13">
      <c r="M1332" t="str">
        <f t="shared" si="32"/>
        <v/>
      </c>
    </row>
    <row r="1333" spans="13:13">
      <c r="M1333" t="str">
        <f t="shared" si="32"/>
        <v/>
      </c>
    </row>
    <row r="1334" spans="13:13">
      <c r="M1334" t="str">
        <f t="shared" si="32"/>
        <v/>
      </c>
    </row>
    <row r="1335" spans="13:13">
      <c r="M1335" t="str">
        <f t="shared" si="32"/>
        <v/>
      </c>
    </row>
    <row r="1336" spans="13:13">
      <c r="M1336" t="str">
        <f t="shared" si="32"/>
        <v/>
      </c>
    </row>
    <row r="1337" spans="13:13">
      <c r="M1337" t="str">
        <f t="shared" si="32"/>
        <v/>
      </c>
    </row>
    <row r="1338" spans="13:13">
      <c r="M1338" t="str">
        <f t="shared" si="32"/>
        <v/>
      </c>
    </row>
    <row r="1339" spans="13:13">
      <c r="M1339" t="str">
        <f t="shared" si="32"/>
        <v/>
      </c>
    </row>
    <row r="1340" spans="13:13">
      <c r="M1340" t="str">
        <f t="shared" si="32"/>
        <v/>
      </c>
    </row>
    <row r="1341" spans="13:13">
      <c r="M1341" t="str">
        <f t="shared" si="32"/>
        <v/>
      </c>
    </row>
    <row r="1342" spans="13:13">
      <c r="M1342" t="str">
        <f t="shared" si="32"/>
        <v/>
      </c>
    </row>
    <row r="1343" spans="13:13">
      <c r="M1343" t="str">
        <f t="shared" si="32"/>
        <v/>
      </c>
    </row>
    <row r="1344" spans="13:13">
      <c r="M1344" t="str">
        <f t="shared" si="32"/>
        <v/>
      </c>
    </row>
    <row r="1345" spans="13:13">
      <c r="M1345" t="str">
        <f t="shared" si="32"/>
        <v/>
      </c>
    </row>
    <row r="1346" spans="13:13">
      <c r="M1346" t="str">
        <f t="shared" si="32"/>
        <v/>
      </c>
    </row>
    <row r="1347" spans="13:13">
      <c r="M1347" t="str">
        <f t="shared" si="32"/>
        <v/>
      </c>
    </row>
    <row r="1348" spans="13:13">
      <c r="M1348" t="str">
        <f t="shared" si="32"/>
        <v/>
      </c>
    </row>
    <row r="1349" spans="13:13">
      <c r="M1349" t="str">
        <f t="shared" ref="M1349:M1412" si="33">IF(A1349="","", WEEKNUM(A1349, 2))</f>
        <v/>
      </c>
    </row>
    <row r="1350" spans="13:13">
      <c r="M1350" t="str">
        <f t="shared" si="33"/>
        <v/>
      </c>
    </row>
    <row r="1351" spans="13:13">
      <c r="M1351" t="str">
        <f t="shared" si="33"/>
        <v/>
      </c>
    </row>
    <row r="1352" spans="13:13">
      <c r="M1352" t="str">
        <f t="shared" si="33"/>
        <v/>
      </c>
    </row>
    <row r="1353" spans="13:13">
      <c r="M1353" t="str">
        <f t="shared" si="33"/>
        <v/>
      </c>
    </row>
    <row r="1354" spans="13:13">
      <c r="M1354" t="str">
        <f t="shared" si="33"/>
        <v/>
      </c>
    </row>
    <row r="1355" spans="13:13">
      <c r="M1355" t="str">
        <f t="shared" si="33"/>
        <v/>
      </c>
    </row>
    <row r="1356" spans="13:13">
      <c r="M1356" t="str">
        <f t="shared" si="33"/>
        <v/>
      </c>
    </row>
    <row r="1357" spans="13:13">
      <c r="M1357" t="str">
        <f t="shared" si="33"/>
        <v/>
      </c>
    </row>
    <row r="1358" spans="13:13">
      <c r="M1358" t="str">
        <f t="shared" si="33"/>
        <v/>
      </c>
    </row>
    <row r="1359" spans="13:13">
      <c r="M1359" t="str">
        <f t="shared" si="33"/>
        <v/>
      </c>
    </row>
    <row r="1360" spans="13:13">
      <c r="M1360" t="str">
        <f t="shared" si="33"/>
        <v/>
      </c>
    </row>
    <row r="1361" spans="13:13">
      <c r="M1361" t="str">
        <f t="shared" si="33"/>
        <v/>
      </c>
    </row>
    <row r="1362" spans="13:13">
      <c r="M1362" t="str">
        <f t="shared" si="33"/>
        <v/>
      </c>
    </row>
    <row r="1363" spans="13:13">
      <c r="M1363" t="str">
        <f t="shared" si="33"/>
        <v/>
      </c>
    </row>
    <row r="1364" spans="13:13">
      <c r="M1364" t="str">
        <f t="shared" si="33"/>
        <v/>
      </c>
    </row>
    <row r="1365" spans="13:13">
      <c r="M1365" t="str">
        <f t="shared" si="33"/>
        <v/>
      </c>
    </row>
    <row r="1366" spans="13:13">
      <c r="M1366" t="str">
        <f t="shared" si="33"/>
        <v/>
      </c>
    </row>
    <row r="1367" spans="13:13">
      <c r="M1367" t="str">
        <f t="shared" si="33"/>
        <v/>
      </c>
    </row>
    <row r="1368" spans="13:13">
      <c r="M1368" t="str">
        <f t="shared" si="33"/>
        <v/>
      </c>
    </row>
    <row r="1369" spans="13:13">
      <c r="M1369" t="str">
        <f t="shared" si="33"/>
        <v/>
      </c>
    </row>
    <row r="1370" spans="13:13">
      <c r="M1370" t="str">
        <f t="shared" si="33"/>
        <v/>
      </c>
    </row>
    <row r="1371" spans="13:13">
      <c r="M1371" t="str">
        <f t="shared" si="33"/>
        <v/>
      </c>
    </row>
    <row r="1372" spans="13:13">
      <c r="M1372" t="str">
        <f t="shared" si="33"/>
        <v/>
      </c>
    </row>
    <row r="1373" spans="13:13">
      <c r="M1373" t="str">
        <f t="shared" si="33"/>
        <v/>
      </c>
    </row>
    <row r="1374" spans="13:13">
      <c r="M1374" t="str">
        <f t="shared" si="33"/>
        <v/>
      </c>
    </row>
    <row r="1375" spans="13:13">
      <c r="M1375" t="str">
        <f t="shared" si="33"/>
        <v/>
      </c>
    </row>
    <row r="1376" spans="13:13">
      <c r="M1376" t="str">
        <f t="shared" si="33"/>
        <v/>
      </c>
    </row>
    <row r="1377" spans="13:13">
      <c r="M1377" t="str">
        <f t="shared" si="33"/>
        <v/>
      </c>
    </row>
    <row r="1378" spans="13:13">
      <c r="M1378" t="str">
        <f t="shared" si="33"/>
        <v/>
      </c>
    </row>
    <row r="1379" spans="13:13">
      <c r="M1379" t="str">
        <f t="shared" si="33"/>
        <v/>
      </c>
    </row>
    <row r="1380" spans="13:13">
      <c r="M1380" t="str">
        <f t="shared" si="33"/>
        <v/>
      </c>
    </row>
    <row r="1381" spans="13:13">
      <c r="M1381" t="str">
        <f t="shared" si="33"/>
        <v/>
      </c>
    </row>
    <row r="1382" spans="13:13">
      <c r="M1382" t="str">
        <f t="shared" si="33"/>
        <v/>
      </c>
    </row>
    <row r="1383" spans="13:13">
      <c r="M1383" t="str">
        <f t="shared" si="33"/>
        <v/>
      </c>
    </row>
    <row r="1384" spans="13:13">
      <c r="M1384" t="str">
        <f t="shared" si="33"/>
        <v/>
      </c>
    </row>
    <row r="1385" spans="13:13">
      <c r="M1385" t="str">
        <f t="shared" si="33"/>
        <v/>
      </c>
    </row>
    <row r="1386" spans="13:13">
      <c r="M1386" t="str">
        <f t="shared" si="33"/>
        <v/>
      </c>
    </row>
    <row r="1387" spans="13:13">
      <c r="M1387" t="str">
        <f t="shared" si="33"/>
        <v/>
      </c>
    </row>
    <row r="1388" spans="13:13">
      <c r="M1388" t="str">
        <f t="shared" si="33"/>
        <v/>
      </c>
    </row>
    <row r="1389" spans="13:13">
      <c r="M1389" t="str">
        <f t="shared" si="33"/>
        <v/>
      </c>
    </row>
    <row r="1390" spans="13:13">
      <c r="M1390" t="str">
        <f t="shared" si="33"/>
        <v/>
      </c>
    </row>
    <row r="1391" spans="13:13">
      <c r="M1391" t="str">
        <f t="shared" si="33"/>
        <v/>
      </c>
    </row>
    <row r="1392" spans="13:13">
      <c r="M1392" t="str">
        <f t="shared" si="33"/>
        <v/>
      </c>
    </row>
    <row r="1393" spans="13:13">
      <c r="M1393" t="str">
        <f t="shared" si="33"/>
        <v/>
      </c>
    </row>
    <row r="1394" spans="13:13">
      <c r="M1394" t="str">
        <f t="shared" si="33"/>
        <v/>
      </c>
    </row>
    <row r="1395" spans="13:13">
      <c r="M1395" t="str">
        <f t="shared" si="33"/>
        <v/>
      </c>
    </row>
    <row r="1396" spans="13:13">
      <c r="M1396" t="str">
        <f t="shared" si="33"/>
        <v/>
      </c>
    </row>
    <row r="1397" spans="13:13">
      <c r="M1397" t="str">
        <f t="shared" si="33"/>
        <v/>
      </c>
    </row>
    <row r="1398" spans="13:13">
      <c r="M1398" t="str">
        <f t="shared" si="33"/>
        <v/>
      </c>
    </row>
    <row r="1399" spans="13:13">
      <c r="M1399" t="str">
        <f t="shared" si="33"/>
        <v/>
      </c>
    </row>
    <row r="1400" spans="13:13">
      <c r="M1400" t="str">
        <f t="shared" si="33"/>
        <v/>
      </c>
    </row>
    <row r="1401" spans="13:13">
      <c r="M1401" t="str">
        <f t="shared" si="33"/>
        <v/>
      </c>
    </row>
    <row r="1402" spans="13:13">
      <c r="M1402" t="str">
        <f t="shared" si="33"/>
        <v/>
      </c>
    </row>
    <row r="1403" spans="13:13">
      <c r="M1403" t="str">
        <f t="shared" si="33"/>
        <v/>
      </c>
    </row>
    <row r="1404" spans="13:13">
      <c r="M1404" t="str">
        <f t="shared" si="33"/>
        <v/>
      </c>
    </row>
    <row r="1405" spans="13:13">
      <c r="M1405" t="str">
        <f t="shared" si="33"/>
        <v/>
      </c>
    </row>
    <row r="1406" spans="13:13">
      <c r="M1406" t="str">
        <f t="shared" si="33"/>
        <v/>
      </c>
    </row>
    <row r="1407" spans="13:13">
      <c r="M1407" t="str">
        <f t="shared" si="33"/>
        <v/>
      </c>
    </row>
    <row r="1408" spans="13:13">
      <c r="M1408" t="str">
        <f t="shared" si="33"/>
        <v/>
      </c>
    </row>
    <row r="1409" spans="13:13">
      <c r="M1409" t="str">
        <f t="shared" si="33"/>
        <v/>
      </c>
    </row>
    <row r="1410" spans="13:13">
      <c r="M1410" t="str">
        <f t="shared" si="33"/>
        <v/>
      </c>
    </row>
    <row r="1411" spans="13:13">
      <c r="M1411" t="str">
        <f t="shared" si="33"/>
        <v/>
      </c>
    </row>
    <row r="1412" spans="13:13">
      <c r="M1412" t="str">
        <f t="shared" si="33"/>
        <v/>
      </c>
    </row>
    <row r="1413" spans="13:13">
      <c r="M1413" t="str">
        <f t="shared" ref="M1413:M1476" si="34">IF(A1413="","", WEEKNUM(A1413, 2))</f>
        <v/>
      </c>
    </row>
    <row r="1414" spans="13:13">
      <c r="M1414" t="str">
        <f t="shared" si="34"/>
        <v/>
      </c>
    </row>
    <row r="1415" spans="13:13">
      <c r="M1415" t="str">
        <f t="shared" si="34"/>
        <v/>
      </c>
    </row>
    <row r="1416" spans="13:13">
      <c r="M1416" t="str">
        <f t="shared" si="34"/>
        <v/>
      </c>
    </row>
    <row r="1417" spans="13:13">
      <c r="M1417" t="str">
        <f t="shared" si="34"/>
        <v/>
      </c>
    </row>
    <row r="1418" spans="13:13">
      <c r="M1418" t="str">
        <f t="shared" si="34"/>
        <v/>
      </c>
    </row>
    <row r="1419" spans="13:13">
      <c r="M1419" t="str">
        <f t="shared" si="34"/>
        <v/>
      </c>
    </row>
    <row r="1420" spans="13:13">
      <c r="M1420" t="str">
        <f t="shared" si="34"/>
        <v/>
      </c>
    </row>
    <row r="1421" spans="13:13">
      <c r="M1421" t="str">
        <f t="shared" si="34"/>
        <v/>
      </c>
    </row>
    <row r="1422" spans="13:13">
      <c r="M1422" t="str">
        <f t="shared" si="34"/>
        <v/>
      </c>
    </row>
    <row r="1423" spans="13:13">
      <c r="M1423" t="str">
        <f t="shared" si="34"/>
        <v/>
      </c>
    </row>
    <row r="1424" spans="13:13">
      <c r="M1424" t="str">
        <f t="shared" si="34"/>
        <v/>
      </c>
    </row>
    <row r="1425" spans="13:13">
      <c r="M1425" t="str">
        <f t="shared" si="34"/>
        <v/>
      </c>
    </row>
    <row r="1426" spans="13:13">
      <c r="M1426" t="str">
        <f t="shared" si="34"/>
        <v/>
      </c>
    </row>
    <row r="1427" spans="13:13">
      <c r="M1427" t="str">
        <f t="shared" si="34"/>
        <v/>
      </c>
    </row>
    <row r="1428" spans="13:13">
      <c r="M1428" t="str">
        <f t="shared" si="34"/>
        <v/>
      </c>
    </row>
    <row r="1429" spans="13:13">
      <c r="M1429" t="str">
        <f t="shared" si="34"/>
        <v/>
      </c>
    </row>
    <row r="1430" spans="13:13">
      <c r="M1430" t="str">
        <f t="shared" si="34"/>
        <v/>
      </c>
    </row>
    <row r="1431" spans="13:13">
      <c r="M1431" t="str">
        <f t="shared" si="34"/>
        <v/>
      </c>
    </row>
    <row r="1432" spans="13:13">
      <c r="M1432" t="str">
        <f t="shared" si="34"/>
        <v/>
      </c>
    </row>
    <row r="1433" spans="13:13">
      <c r="M1433" t="str">
        <f t="shared" si="34"/>
        <v/>
      </c>
    </row>
    <row r="1434" spans="13:13">
      <c r="M1434" t="str">
        <f t="shared" si="34"/>
        <v/>
      </c>
    </row>
    <row r="1435" spans="13:13">
      <c r="M1435" t="str">
        <f t="shared" si="34"/>
        <v/>
      </c>
    </row>
    <row r="1436" spans="13:13">
      <c r="M1436" t="str">
        <f t="shared" si="34"/>
        <v/>
      </c>
    </row>
    <row r="1437" spans="13:13">
      <c r="M1437" t="str">
        <f t="shared" si="34"/>
        <v/>
      </c>
    </row>
    <row r="1438" spans="13:13">
      <c r="M1438" t="str">
        <f t="shared" si="34"/>
        <v/>
      </c>
    </row>
    <row r="1439" spans="13:13">
      <c r="M1439" t="str">
        <f t="shared" si="34"/>
        <v/>
      </c>
    </row>
    <row r="1440" spans="13:13">
      <c r="M1440" t="str">
        <f t="shared" si="34"/>
        <v/>
      </c>
    </row>
    <row r="1441" spans="13:13">
      <c r="M1441" t="str">
        <f t="shared" si="34"/>
        <v/>
      </c>
    </row>
    <row r="1442" spans="13:13">
      <c r="M1442" t="str">
        <f t="shared" si="34"/>
        <v/>
      </c>
    </row>
    <row r="1443" spans="13:13">
      <c r="M1443" t="str">
        <f t="shared" si="34"/>
        <v/>
      </c>
    </row>
    <row r="1444" spans="13:13">
      <c r="M1444" t="str">
        <f t="shared" si="34"/>
        <v/>
      </c>
    </row>
    <row r="1445" spans="13:13">
      <c r="M1445" t="str">
        <f t="shared" si="34"/>
        <v/>
      </c>
    </row>
    <row r="1446" spans="13:13">
      <c r="M1446" t="str">
        <f t="shared" si="34"/>
        <v/>
      </c>
    </row>
    <row r="1447" spans="13:13">
      <c r="M1447" t="str">
        <f t="shared" si="34"/>
        <v/>
      </c>
    </row>
    <row r="1448" spans="13:13">
      <c r="M1448" t="str">
        <f t="shared" si="34"/>
        <v/>
      </c>
    </row>
    <row r="1449" spans="13:13">
      <c r="M1449" t="str">
        <f t="shared" si="34"/>
        <v/>
      </c>
    </row>
    <row r="1450" spans="13:13">
      <c r="M1450" t="str">
        <f t="shared" si="34"/>
        <v/>
      </c>
    </row>
    <row r="1451" spans="13:13">
      <c r="M1451" t="str">
        <f t="shared" si="34"/>
        <v/>
      </c>
    </row>
    <row r="1452" spans="13:13">
      <c r="M1452" t="str">
        <f t="shared" si="34"/>
        <v/>
      </c>
    </row>
    <row r="1453" spans="13:13">
      <c r="M1453" t="str">
        <f t="shared" si="34"/>
        <v/>
      </c>
    </row>
    <row r="1454" spans="13:13">
      <c r="M1454" t="str">
        <f t="shared" si="34"/>
        <v/>
      </c>
    </row>
    <row r="1455" spans="13:13">
      <c r="M1455" t="str">
        <f t="shared" si="34"/>
        <v/>
      </c>
    </row>
    <row r="1456" spans="13:13">
      <c r="M1456" t="str">
        <f t="shared" si="34"/>
        <v/>
      </c>
    </row>
    <row r="1457" spans="13:13">
      <c r="M1457" t="str">
        <f t="shared" si="34"/>
        <v/>
      </c>
    </row>
    <row r="1458" spans="13:13">
      <c r="M1458" t="str">
        <f t="shared" si="34"/>
        <v/>
      </c>
    </row>
    <row r="1459" spans="13:13">
      <c r="M1459" t="str">
        <f t="shared" si="34"/>
        <v/>
      </c>
    </row>
    <row r="1460" spans="13:13">
      <c r="M1460" t="str">
        <f t="shared" si="34"/>
        <v/>
      </c>
    </row>
    <row r="1461" spans="13:13">
      <c r="M1461" t="str">
        <f t="shared" si="34"/>
        <v/>
      </c>
    </row>
    <row r="1462" spans="13:13">
      <c r="M1462" t="str">
        <f t="shared" si="34"/>
        <v/>
      </c>
    </row>
    <row r="1463" spans="13:13">
      <c r="M1463" t="str">
        <f t="shared" si="34"/>
        <v/>
      </c>
    </row>
    <row r="1464" spans="13:13">
      <c r="M1464" t="str">
        <f t="shared" si="34"/>
        <v/>
      </c>
    </row>
    <row r="1465" spans="13:13">
      <c r="M1465" t="str">
        <f t="shared" si="34"/>
        <v/>
      </c>
    </row>
    <row r="1466" spans="13:13">
      <c r="M1466" t="str">
        <f t="shared" si="34"/>
        <v/>
      </c>
    </row>
    <row r="1467" spans="13:13">
      <c r="M1467" t="str">
        <f t="shared" si="34"/>
        <v/>
      </c>
    </row>
    <row r="1468" spans="13:13">
      <c r="M1468" t="str">
        <f t="shared" si="34"/>
        <v/>
      </c>
    </row>
    <row r="1469" spans="13:13">
      <c r="M1469" t="str">
        <f t="shared" si="34"/>
        <v/>
      </c>
    </row>
    <row r="1470" spans="13:13">
      <c r="M1470" t="str">
        <f t="shared" si="34"/>
        <v/>
      </c>
    </row>
    <row r="1471" spans="13:13">
      <c r="M1471" t="str">
        <f t="shared" si="34"/>
        <v/>
      </c>
    </row>
    <row r="1472" spans="13:13">
      <c r="M1472" t="str">
        <f t="shared" si="34"/>
        <v/>
      </c>
    </row>
    <row r="1473" spans="13:13">
      <c r="M1473" t="str">
        <f t="shared" si="34"/>
        <v/>
      </c>
    </row>
    <row r="1474" spans="13:13">
      <c r="M1474" t="str">
        <f t="shared" si="34"/>
        <v/>
      </c>
    </row>
    <row r="1475" spans="13:13">
      <c r="M1475" t="str">
        <f t="shared" si="34"/>
        <v/>
      </c>
    </row>
    <row r="1476" spans="13:13">
      <c r="M1476" t="str">
        <f t="shared" si="34"/>
        <v/>
      </c>
    </row>
    <row r="1477" spans="13:13">
      <c r="M1477" t="str">
        <f t="shared" ref="M1477:M1540" si="35">IF(A1477="","", WEEKNUM(A1477, 2))</f>
        <v/>
      </c>
    </row>
    <row r="1478" spans="13:13">
      <c r="M1478" t="str">
        <f t="shared" si="35"/>
        <v/>
      </c>
    </row>
    <row r="1479" spans="13:13">
      <c r="M1479" t="str">
        <f t="shared" si="35"/>
        <v/>
      </c>
    </row>
    <row r="1480" spans="13:13">
      <c r="M1480" t="str">
        <f t="shared" si="35"/>
        <v/>
      </c>
    </row>
    <row r="1481" spans="13:13">
      <c r="M1481" t="str">
        <f t="shared" si="35"/>
        <v/>
      </c>
    </row>
    <row r="1482" spans="13:13">
      <c r="M1482" t="str">
        <f t="shared" si="35"/>
        <v/>
      </c>
    </row>
    <row r="1483" spans="13:13">
      <c r="M1483" t="str">
        <f t="shared" si="35"/>
        <v/>
      </c>
    </row>
    <row r="1484" spans="13:13">
      <c r="M1484" t="str">
        <f t="shared" si="35"/>
        <v/>
      </c>
    </row>
    <row r="1485" spans="13:13">
      <c r="M1485" t="str">
        <f t="shared" si="35"/>
        <v/>
      </c>
    </row>
    <row r="1486" spans="13:13">
      <c r="M1486" t="str">
        <f t="shared" si="35"/>
        <v/>
      </c>
    </row>
    <row r="1487" spans="13:13">
      <c r="M1487" t="str">
        <f t="shared" si="35"/>
        <v/>
      </c>
    </row>
    <row r="1488" spans="13:13">
      <c r="M1488" t="str">
        <f t="shared" si="35"/>
        <v/>
      </c>
    </row>
    <row r="1489" spans="13:13">
      <c r="M1489" t="str">
        <f t="shared" si="35"/>
        <v/>
      </c>
    </row>
    <row r="1490" spans="13:13">
      <c r="M1490" t="str">
        <f t="shared" si="35"/>
        <v/>
      </c>
    </row>
    <row r="1491" spans="13:13">
      <c r="M1491" t="str">
        <f t="shared" si="35"/>
        <v/>
      </c>
    </row>
    <row r="1492" spans="13:13">
      <c r="M1492" t="str">
        <f t="shared" si="35"/>
        <v/>
      </c>
    </row>
    <row r="1493" spans="13:13">
      <c r="M1493" t="str">
        <f t="shared" si="35"/>
        <v/>
      </c>
    </row>
    <row r="1494" spans="13:13">
      <c r="M1494" t="str">
        <f t="shared" si="35"/>
        <v/>
      </c>
    </row>
    <row r="1495" spans="13:13">
      <c r="M1495" t="str">
        <f t="shared" si="35"/>
        <v/>
      </c>
    </row>
    <row r="1496" spans="13:13">
      <c r="M1496" t="str">
        <f t="shared" si="35"/>
        <v/>
      </c>
    </row>
    <row r="1497" spans="13:13">
      <c r="M1497" t="str">
        <f t="shared" si="35"/>
        <v/>
      </c>
    </row>
    <row r="1498" spans="13:13">
      <c r="M1498" t="str">
        <f t="shared" si="35"/>
        <v/>
      </c>
    </row>
    <row r="1499" spans="13:13">
      <c r="M1499" t="str">
        <f t="shared" si="35"/>
        <v/>
      </c>
    </row>
    <row r="1500" spans="13:13">
      <c r="M1500" t="str">
        <f t="shared" si="35"/>
        <v/>
      </c>
    </row>
    <row r="1501" spans="13:13">
      <c r="M1501" t="str">
        <f t="shared" si="35"/>
        <v/>
      </c>
    </row>
    <row r="1502" spans="13:13">
      <c r="M1502" t="str">
        <f t="shared" si="35"/>
        <v/>
      </c>
    </row>
    <row r="1503" spans="13:13">
      <c r="M1503" t="str">
        <f t="shared" si="35"/>
        <v/>
      </c>
    </row>
    <row r="1504" spans="13:13">
      <c r="M1504" t="str">
        <f t="shared" si="35"/>
        <v/>
      </c>
    </row>
    <row r="1505" spans="13:13">
      <c r="M1505" t="str">
        <f t="shared" si="35"/>
        <v/>
      </c>
    </row>
    <row r="1506" spans="13:13">
      <c r="M1506" t="str">
        <f t="shared" si="35"/>
        <v/>
      </c>
    </row>
    <row r="1507" spans="13:13">
      <c r="M1507" t="str">
        <f t="shared" si="35"/>
        <v/>
      </c>
    </row>
    <row r="1508" spans="13:13">
      <c r="M1508" t="str">
        <f t="shared" si="35"/>
        <v/>
      </c>
    </row>
    <row r="1509" spans="13:13">
      <c r="M1509" t="str">
        <f t="shared" si="35"/>
        <v/>
      </c>
    </row>
    <row r="1510" spans="13:13">
      <c r="M1510" t="str">
        <f t="shared" si="35"/>
        <v/>
      </c>
    </row>
    <row r="1511" spans="13:13">
      <c r="M1511" t="str">
        <f t="shared" si="35"/>
        <v/>
      </c>
    </row>
    <row r="1512" spans="13:13">
      <c r="M1512" t="str">
        <f t="shared" si="35"/>
        <v/>
      </c>
    </row>
    <row r="1513" spans="13:13">
      <c r="M1513" t="str">
        <f t="shared" si="35"/>
        <v/>
      </c>
    </row>
    <row r="1514" spans="13:13">
      <c r="M1514" t="str">
        <f t="shared" si="35"/>
        <v/>
      </c>
    </row>
    <row r="1515" spans="13:13">
      <c r="M1515" t="str">
        <f t="shared" si="35"/>
        <v/>
      </c>
    </row>
    <row r="1516" spans="13:13">
      <c r="M1516" t="str">
        <f t="shared" si="35"/>
        <v/>
      </c>
    </row>
    <row r="1517" spans="13:13">
      <c r="M1517" t="str">
        <f t="shared" si="35"/>
        <v/>
      </c>
    </row>
    <row r="1518" spans="13:13">
      <c r="M1518" t="str">
        <f t="shared" si="35"/>
        <v/>
      </c>
    </row>
    <row r="1519" spans="13:13">
      <c r="M1519" t="str">
        <f t="shared" si="35"/>
        <v/>
      </c>
    </row>
    <row r="1520" spans="13:13">
      <c r="M1520" t="str">
        <f t="shared" si="35"/>
        <v/>
      </c>
    </row>
    <row r="1521" spans="13:13">
      <c r="M1521" t="str">
        <f t="shared" si="35"/>
        <v/>
      </c>
    </row>
    <row r="1522" spans="13:13">
      <c r="M1522" t="str">
        <f t="shared" si="35"/>
        <v/>
      </c>
    </row>
    <row r="1523" spans="13:13">
      <c r="M1523" t="str">
        <f t="shared" si="35"/>
        <v/>
      </c>
    </row>
    <row r="1524" spans="13:13">
      <c r="M1524" t="str">
        <f t="shared" si="35"/>
        <v/>
      </c>
    </row>
    <row r="1525" spans="13:13">
      <c r="M1525" t="str">
        <f t="shared" si="35"/>
        <v/>
      </c>
    </row>
    <row r="1526" spans="13:13">
      <c r="M1526" t="str">
        <f t="shared" si="35"/>
        <v/>
      </c>
    </row>
    <row r="1527" spans="13:13">
      <c r="M1527" t="str">
        <f t="shared" si="35"/>
        <v/>
      </c>
    </row>
    <row r="1528" spans="13:13">
      <c r="M1528" t="str">
        <f t="shared" si="35"/>
        <v/>
      </c>
    </row>
    <row r="1529" spans="13:13">
      <c r="M1529" t="str">
        <f t="shared" si="35"/>
        <v/>
      </c>
    </row>
    <row r="1530" spans="13:13">
      <c r="M1530" t="str">
        <f t="shared" si="35"/>
        <v/>
      </c>
    </row>
    <row r="1531" spans="13:13">
      <c r="M1531" t="str">
        <f t="shared" si="35"/>
        <v/>
      </c>
    </row>
    <row r="1532" spans="13:13">
      <c r="M1532" t="str">
        <f t="shared" si="35"/>
        <v/>
      </c>
    </row>
    <row r="1533" spans="13:13">
      <c r="M1533" t="str">
        <f t="shared" si="35"/>
        <v/>
      </c>
    </row>
    <row r="1534" spans="13:13">
      <c r="M1534" t="str">
        <f t="shared" si="35"/>
        <v/>
      </c>
    </row>
    <row r="1535" spans="13:13">
      <c r="M1535" t="str">
        <f t="shared" si="35"/>
        <v/>
      </c>
    </row>
    <row r="1536" spans="13:13">
      <c r="M1536" t="str">
        <f t="shared" si="35"/>
        <v/>
      </c>
    </row>
    <row r="1537" spans="13:13">
      <c r="M1537" t="str">
        <f t="shared" si="35"/>
        <v/>
      </c>
    </row>
    <row r="1538" spans="13:13">
      <c r="M1538" t="str">
        <f t="shared" si="35"/>
        <v/>
      </c>
    </row>
    <row r="1539" spans="13:13">
      <c r="M1539" t="str">
        <f t="shared" si="35"/>
        <v/>
      </c>
    </row>
    <row r="1540" spans="13:13">
      <c r="M1540" t="str">
        <f t="shared" si="35"/>
        <v/>
      </c>
    </row>
    <row r="1541" spans="13:13">
      <c r="M1541" t="str">
        <f t="shared" ref="M1541:M1604" si="36">IF(A1541="","", WEEKNUM(A1541, 2))</f>
        <v/>
      </c>
    </row>
    <row r="1542" spans="13:13">
      <c r="M1542" t="str">
        <f t="shared" si="36"/>
        <v/>
      </c>
    </row>
    <row r="1543" spans="13:13">
      <c r="M1543" t="str">
        <f t="shared" si="36"/>
        <v/>
      </c>
    </row>
    <row r="1544" spans="13:13">
      <c r="M1544" t="str">
        <f t="shared" si="36"/>
        <v/>
      </c>
    </row>
    <row r="1545" spans="13:13">
      <c r="M1545" t="str">
        <f t="shared" si="36"/>
        <v/>
      </c>
    </row>
    <row r="1546" spans="13:13">
      <c r="M1546" t="str">
        <f t="shared" si="36"/>
        <v/>
      </c>
    </row>
    <row r="1547" spans="13:13">
      <c r="M1547" t="str">
        <f t="shared" si="36"/>
        <v/>
      </c>
    </row>
    <row r="1548" spans="13:13">
      <c r="M1548" t="str">
        <f t="shared" si="36"/>
        <v/>
      </c>
    </row>
    <row r="1549" spans="13:13">
      <c r="M1549" t="str">
        <f t="shared" si="36"/>
        <v/>
      </c>
    </row>
    <row r="1550" spans="13:13">
      <c r="M1550" t="str">
        <f t="shared" si="36"/>
        <v/>
      </c>
    </row>
    <row r="1551" spans="13:13">
      <c r="M1551" t="str">
        <f t="shared" si="36"/>
        <v/>
      </c>
    </row>
    <row r="1552" spans="13:13">
      <c r="M1552" t="str">
        <f t="shared" si="36"/>
        <v/>
      </c>
    </row>
    <row r="1553" spans="13:13">
      <c r="M1553" t="str">
        <f t="shared" si="36"/>
        <v/>
      </c>
    </row>
    <row r="1554" spans="13:13">
      <c r="M1554" t="str">
        <f t="shared" si="36"/>
        <v/>
      </c>
    </row>
    <row r="1555" spans="13:13">
      <c r="M1555" t="str">
        <f t="shared" si="36"/>
        <v/>
      </c>
    </row>
    <row r="1556" spans="13:13">
      <c r="M1556" t="str">
        <f t="shared" si="36"/>
        <v/>
      </c>
    </row>
    <row r="1557" spans="13:13">
      <c r="M1557" t="str">
        <f t="shared" si="36"/>
        <v/>
      </c>
    </row>
    <row r="1558" spans="13:13">
      <c r="M1558" t="str">
        <f t="shared" si="36"/>
        <v/>
      </c>
    </row>
    <row r="1559" spans="13:13">
      <c r="M1559" t="str">
        <f t="shared" si="36"/>
        <v/>
      </c>
    </row>
    <row r="1560" spans="13:13">
      <c r="M1560" t="str">
        <f t="shared" si="36"/>
        <v/>
      </c>
    </row>
    <row r="1561" spans="13:13">
      <c r="M1561" t="str">
        <f t="shared" si="36"/>
        <v/>
      </c>
    </row>
    <row r="1562" spans="13:13">
      <c r="M1562" t="str">
        <f t="shared" si="36"/>
        <v/>
      </c>
    </row>
    <row r="1563" spans="13:13">
      <c r="M1563" t="str">
        <f t="shared" si="36"/>
        <v/>
      </c>
    </row>
    <row r="1564" spans="13:13">
      <c r="M1564" t="str">
        <f t="shared" si="36"/>
        <v/>
      </c>
    </row>
    <row r="1565" spans="13:13">
      <c r="M1565" t="str">
        <f t="shared" si="36"/>
        <v/>
      </c>
    </row>
    <row r="1566" spans="13:13">
      <c r="M1566" t="str">
        <f t="shared" si="36"/>
        <v/>
      </c>
    </row>
    <row r="1567" spans="13:13">
      <c r="M1567" t="str">
        <f t="shared" si="36"/>
        <v/>
      </c>
    </row>
    <row r="1568" spans="13:13">
      <c r="M1568" t="str">
        <f t="shared" si="36"/>
        <v/>
      </c>
    </row>
    <row r="1569" spans="13:13">
      <c r="M1569" t="str">
        <f t="shared" si="36"/>
        <v/>
      </c>
    </row>
    <row r="1570" spans="13:13">
      <c r="M1570" t="str">
        <f t="shared" si="36"/>
        <v/>
      </c>
    </row>
    <row r="1571" spans="13:13">
      <c r="M1571" t="str">
        <f t="shared" si="36"/>
        <v/>
      </c>
    </row>
    <row r="1572" spans="13:13">
      <c r="M1572" t="str">
        <f t="shared" si="36"/>
        <v/>
      </c>
    </row>
    <row r="1573" spans="13:13">
      <c r="M1573" t="str">
        <f t="shared" si="36"/>
        <v/>
      </c>
    </row>
    <row r="1574" spans="13:13">
      <c r="M1574" t="str">
        <f t="shared" si="36"/>
        <v/>
      </c>
    </row>
    <row r="1575" spans="13:13">
      <c r="M1575" t="str">
        <f t="shared" si="36"/>
        <v/>
      </c>
    </row>
    <row r="1576" spans="13:13">
      <c r="M1576" t="str">
        <f t="shared" si="36"/>
        <v/>
      </c>
    </row>
    <row r="1577" spans="13:13">
      <c r="M1577" t="str">
        <f t="shared" si="36"/>
        <v/>
      </c>
    </row>
    <row r="1578" spans="13:13">
      <c r="M1578" t="str">
        <f t="shared" si="36"/>
        <v/>
      </c>
    </row>
    <row r="1579" spans="13:13">
      <c r="M1579" t="str">
        <f t="shared" si="36"/>
        <v/>
      </c>
    </row>
    <row r="1580" spans="13:13">
      <c r="M1580" t="str">
        <f t="shared" si="36"/>
        <v/>
      </c>
    </row>
    <row r="1581" spans="13:13">
      <c r="M1581" t="str">
        <f t="shared" si="36"/>
        <v/>
      </c>
    </row>
    <row r="1582" spans="13:13">
      <c r="M1582" t="str">
        <f t="shared" si="36"/>
        <v/>
      </c>
    </row>
    <row r="1583" spans="13:13">
      <c r="M1583" t="str">
        <f t="shared" si="36"/>
        <v/>
      </c>
    </row>
    <row r="1584" spans="13:13">
      <c r="M1584" t="str">
        <f t="shared" si="36"/>
        <v/>
      </c>
    </row>
    <row r="1585" spans="13:13">
      <c r="M1585" t="str">
        <f t="shared" si="36"/>
        <v/>
      </c>
    </row>
    <row r="1586" spans="13:13">
      <c r="M1586" t="str">
        <f t="shared" si="36"/>
        <v/>
      </c>
    </row>
    <row r="1587" spans="13:13">
      <c r="M1587" t="str">
        <f t="shared" si="36"/>
        <v/>
      </c>
    </row>
    <row r="1588" spans="13:13">
      <c r="M1588" t="str">
        <f t="shared" si="36"/>
        <v/>
      </c>
    </row>
    <row r="1589" spans="13:13">
      <c r="M1589" t="str">
        <f t="shared" si="36"/>
        <v/>
      </c>
    </row>
    <row r="1590" spans="13:13">
      <c r="M1590" t="str">
        <f t="shared" si="36"/>
        <v/>
      </c>
    </row>
    <row r="1591" spans="13:13">
      <c r="M1591" t="str">
        <f t="shared" si="36"/>
        <v/>
      </c>
    </row>
    <row r="1592" spans="13:13">
      <c r="M1592" t="str">
        <f t="shared" si="36"/>
        <v/>
      </c>
    </row>
    <row r="1593" spans="13:13">
      <c r="M1593" t="str">
        <f t="shared" si="36"/>
        <v/>
      </c>
    </row>
    <row r="1594" spans="13:13">
      <c r="M1594" t="str">
        <f t="shared" si="36"/>
        <v/>
      </c>
    </row>
    <row r="1595" spans="13:13">
      <c r="M1595" t="str">
        <f t="shared" si="36"/>
        <v/>
      </c>
    </row>
    <row r="1596" spans="13:13">
      <c r="M1596" t="str">
        <f t="shared" si="36"/>
        <v/>
      </c>
    </row>
    <row r="1597" spans="13:13">
      <c r="M1597" t="str">
        <f t="shared" si="36"/>
        <v/>
      </c>
    </row>
    <row r="1598" spans="13:13">
      <c r="M1598" t="str">
        <f t="shared" si="36"/>
        <v/>
      </c>
    </row>
    <row r="1599" spans="13:13">
      <c r="M1599" t="str">
        <f t="shared" si="36"/>
        <v/>
      </c>
    </row>
    <row r="1600" spans="13:13">
      <c r="M1600" t="str">
        <f t="shared" si="36"/>
        <v/>
      </c>
    </row>
    <row r="1601" spans="13:13">
      <c r="M1601" t="str">
        <f t="shared" si="36"/>
        <v/>
      </c>
    </row>
    <row r="1602" spans="13:13">
      <c r="M1602" t="str">
        <f t="shared" si="36"/>
        <v/>
      </c>
    </row>
    <row r="1603" spans="13:13">
      <c r="M1603" t="str">
        <f t="shared" si="36"/>
        <v/>
      </c>
    </row>
    <row r="1604" spans="13:13">
      <c r="M1604" t="str">
        <f t="shared" si="36"/>
        <v/>
      </c>
    </row>
    <row r="1605" spans="13:13">
      <c r="M1605" t="str">
        <f t="shared" ref="M1605:M1668" si="37">IF(A1605="","", WEEKNUM(A1605, 2))</f>
        <v/>
      </c>
    </row>
    <row r="1606" spans="13:13">
      <c r="M1606" t="str">
        <f t="shared" si="37"/>
        <v/>
      </c>
    </row>
    <row r="1607" spans="13:13">
      <c r="M1607" t="str">
        <f t="shared" si="37"/>
        <v/>
      </c>
    </row>
    <row r="1608" spans="13:13">
      <c r="M1608" t="str">
        <f t="shared" si="37"/>
        <v/>
      </c>
    </row>
    <row r="1609" spans="13:13">
      <c r="M1609" t="str">
        <f t="shared" si="37"/>
        <v/>
      </c>
    </row>
    <row r="1610" spans="13:13">
      <c r="M1610" t="str">
        <f t="shared" si="37"/>
        <v/>
      </c>
    </row>
    <row r="1611" spans="13:13">
      <c r="M1611" t="str">
        <f t="shared" si="37"/>
        <v/>
      </c>
    </row>
    <row r="1612" spans="13:13">
      <c r="M1612" t="str">
        <f t="shared" si="37"/>
        <v/>
      </c>
    </row>
    <row r="1613" spans="13:13">
      <c r="M1613" t="str">
        <f t="shared" si="37"/>
        <v/>
      </c>
    </row>
    <row r="1614" spans="13:13">
      <c r="M1614" t="str">
        <f t="shared" si="37"/>
        <v/>
      </c>
    </row>
    <row r="1615" spans="13:13">
      <c r="M1615" t="str">
        <f t="shared" si="37"/>
        <v/>
      </c>
    </row>
    <row r="1616" spans="13:13">
      <c r="M1616" t="str">
        <f t="shared" si="37"/>
        <v/>
      </c>
    </row>
    <row r="1617" spans="13:13">
      <c r="M1617" t="str">
        <f t="shared" si="37"/>
        <v/>
      </c>
    </row>
    <row r="1618" spans="13:13">
      <c r="M1618" t="str">
        <f t="shared" si="37"/>
        <v/>
      </c>
    </row>
    <row r="1619" spans="13:13">
      <c r="M1619" t="str">
        <f t="shared" si="37"/>
        <v/>
      </c>
    </row>
    <row r="1620" spans="13:13">
      <c r="M1620" t="str">
        <f t="shared" si="37"/>
        <v/>
      </c>
    </row>
    <row r="1621" spans="13:13">
      <c r="M1621" t="str">
        <f t="shared" si="37"/>
        <v/>
      </c>
    </row>
    <row r="1622" spans="13:13">
      <c r="M1622" t="str">
        <f t="shared" si="37"/>
        <v/>
      </c>
    </row>
    <row r="1623" spans="13:13">
      <c r="M1623" t="str">
        <f t="shared" si="37"/>
        <v/>
      </c>
    </row>
    <row r="1624" spans="13:13">
      <c r="M1624" t="str">
        <f t="shared" si="37"/>
        <v/>
      </c>
    </row>
    <row r="1625" spans="13:13">
      <c r="M1625" t="str">
        <f t="shared" si="37"/>
        <v/>
      </c>
    </row>
    <row r="1626" spans="13:13">
      <c r="M1626" t="str">
        <f t="shared" si="37"/>
        <v/>
      </c>
    </row>
    <row r="1627" spans="13:13">
      <c r="M1627" t="str">
        <f t="shared" si="37"/>
        <v/>
      </c>
    </row>
    <row r="1628" spans="13:13">
      <c r="M1628" t="str">
        <f t="shared" si="37"/>
        <v/>
      </c>
    </row>
    <row r="1629" spans="13:13">
      <c r="M1629" t="str">
        <f t="shared" si="37"/>
        <v/>
      </c>
    </row>
    <row r="1630" spans="13:13">
      <c r="M1630" t="str">
        <f t="shared" si="37"/>
        <v/>
      </c>
    </row>
    <row r="1631" spans="13:13">
      <c r="M1631" t="str">
        <f t="shared" si="37"/>
        <v/>
      </c>
    </row>
    <row r="1632" spans="13:13">
      <c r="M1632" t="str">
        <f t="shared" si="37"/>
        <v/>
      </c>
    </row>
    <row r="1633" spans="13:13">
      <c r="M1633" t="str">
        <f t="shared" si="37"/>
        <v/>
      </c>
    </row>
    <row r="1634" spans="13:13">
      <c r="M1634" t="str">
        <f t="shared" si="37"/>
        <v/>
      </c>
    </row>
    <row r="1635" spans="13:13">
      <c r="M1635" t="str">
        <f t="shared" si="37"/>
        <v/>
      </c>
    </row>
    <row r="1636" spans="13:13">
      <c r="M1636" t="str">
        <f t="shared" si="37"/>
        <v/>
      </c>
    </row>
    <row r="1637" spans="13:13">
      <c r="M1637" t="str">
        <f t="shared" si="37"/>
        <v/>
      </c>
    </row>
    <row r="1638" spans="13:13">
      <c r="M1638" t="str">
        <f t="shared" si="37"/>
        <v/>
      </c>
    </row>
    <row r="1639" spans="13:13">
      <c r="M1639" t="str">
        <f t="shared" si="37"/>
        <v/>
      </c>
    </row>
    <row r="1640" spans="13:13">
      <c r="M1640" t="str">
        <f t="shared" si="37"/>
        <v/>
      </c>
    </row>
    <row r="1641" spans="13:13">
      <c r="M1641" t="str">
        <f t="shared" si="37"/>
        <v/>
      </c>
    </row>
    <row r="1642" spans="13:13">
      <c r="M1642" t="str">
        <f t="shared" si="37"/>
        <v/>
      </c>
    </row>
    <row r="1643" spans="13:13">
      <c r="M1643" t="str">
        <f t="shared" si="37"/>
        <v/>
      </c>
    </row>
    <row r="1644" spans="13:13">
      <c r="M1644" t="str">
        <f t="shared" si="37"/>
        <v/>
      </c>
    </row>
    <row r="1645" spans="13:13">
      <c r="M1645" t="str">
        <f t="shared" si="37"/>
        <v/>
      </c>
    </row>
    <row r="1646" spans="13:13">
      <c r="M1646" t="str">
        <f t="shared" si="37"/>
        <v/>
      </c>
    </row>
    <row r="1647" spans="13:13">
      <c r="M1647" t="str">
        <f t="shared" si="37"/>
        <v/>
      </c>
    </row>
    <row r="1648" spans="13:13">
      <c r="M1648" t="str">
        <f t="shared" si="37"/>
        <v/>
      </c>
    </row>
    <row r="1649" spans="13:13">
      <c r="M1649" t="str">
        <f t="shared" si="37"/>
        <v/>
      </c>
    </row>
    <row r="1650" spans="13:13">
      <c r="M1650" t="str">
        <f t="shared" si="37"/>
        <v/>
      </c>
    </row>
    <row r="1651" spans="13:13">
      <c r="M1651" t="str">
        <f t="shared" si="37"/>
        <v/>
      </c>
    </row>
    <row r="1652" spans="13:13">
      <c r="M1652" t="str">
        <f t="shared" si="37"/>
        <v/>
      </c>
    </row>
    <row r="1653" spans="13:13">
      <c r="M1653" t="str">
        <f t="shared" si="37"/>
        <v/>
      </c>
    </row>
    <row r="1654" spans="13:13">
      <c r="M1654" t="str">
        <f t="shared" si="37"/>
        <v/>
      </c>
    </row>
    <row r="1655" spans="13:13">
      <c r="M1655" t="str">
        <f t="shared" si="37"/>
        <v/>
      </c>
    </row>
    <row r="1656" spans="13:13">
      <c r="M1656" t="str">
        <f t="shared" si="37"/>
        <v/>
      </c>
    </row>
    <row r="1657" spans="13:13">
      <c r="M1657" t="str">
        <f t="shared" si="37"/>
        <v/>
      </c>
    </row>
    <row r="1658" spans="13:13">
      <c r="M1658" t="str">
        <f t="shared" si="37"/>
        <v/>
      </c>
    </row>
    <row r="1659" spans="13:13">
      <c r="M1659" t="str">
        <f t="shared" si="37"/>
        <v/>
      </c>
    </row>
    <row r="1660" spans="13:13">
      <c r="M1660" t="str">
        <f t="shared" si="37"/>
        <v/>
      </c>
    </row>
    <row r="1661" spans="13:13">
      <c r="M1661" t="str">
        <f t="shared" si="37"/>
        <v/>
      </c>
    </row>
    <row r="1662" spans="13:13">
      <c r="M1662" t="str">
        <f t="shared" si="37"/>
        <v/>
      </c>
    </row>
    <row r="1663" spans="13:13">
      <c r="M1663" t="str">
        <f t="shared" si="37"/>
        <v/>
      </c>
    </row>
    <row r="1664" spans="13:13">
      <c r="M1664" t="str">
        <f t="shared" si="37"/>
        <v/>
      </c>
    </row>
    <row r="1665" spans="13:13">
      <c r="M1665" t="str">
        <f t="shared" si="37"/>
        <v/>
      </c>
    </row>
    <row r="1666" spans="13:13">
      <c r="M1666" t="str">
        <f t="shared" si="37"/>
        <v/>
      </c>
    </row>
    <row r="1667" spans="13:13">
      <c r="M1667" t="str">
        <f t="shared" si="37"/>
        <v/>
      </c>
    </row>
    <row r="1668" spans="13:13">
      <c r="M1668" t="str">
        <f t="shared" si="37"/>
        <v/>
      </c>
    </row>
    <row r="1669" spans="13:13">
      <c r="M1669" t="str">
        <f t="shared" ref="M1669:M1732" si="38">IF(A1669="","", WEEKNUM(A1669, 2))</f>
        <v/>
      </c>
    </row>
    <row r="1670" spans="13:13">
      <c r="M1670" t="str">
        <f t="shared" si="38"/>
        <v/>
      </c>
    </row>
    <row r="1671" spans="13:13">
      <c r="M1671" t="str">
        <f t="shared" si="38"/>
        <v/>
      </c>
    </row>
    <row r="1672" spans="13:13">
      <c r="M1672" t="str">
        <f t="shared" si="38"/>
        <v/>
      </c>
    </row>
    <row r="1673" spans="13:13">
      <c r="M1673" t="str">
        <f t="shared" si="38"/>
        <v/>
      </c>
    </row>
    <row r="1674" spans="13:13">
      <c r="M1674" t="str">
        <f t="shared" si="38"/>
        <v/>
      </c>
    </row>
    <row r="1675" spans="13:13">
      <c r="M1675" t="str">
        <f t="shared" si="38"/>
        <v/>
      </c>
    </row>
    <row r="1676" spans="13:13">
      <c r="M1676" t="str">
        <f t="shared" si="38"/>
        <v/>
      </c>
    </row>
    <row r="1677" spans="13:13">
      <c r="M1677" t="str">
        <f t="shared" si="38"/>
        <v/>
      </c>
    </row>
    <row r="1678" spans="13:13">
      <c r="M1678" t="str">
        <f t="shared" si="38"/>
        <v/>
      </c>
    </row>
    <row r="1679" spans="13:13">
      <c r="M1679" t="str">
        <f t="shared" si="38"/>
        <v/>
      </c>
    </row>
    <row r="1680" spans="13:13">
      <c r="M1680" t="str">
        <f t="shared" si="38"/>
        <v/>
      </c>
    </row>
    <row r="1681" spans="13:13">
      <c r="M1681" t="str">
        <f t="shared" si="38"/>
        <v/>
      </c>
    </row>
    <row r="1682" spans="13:13">
      <c r="M1682" t="str">
        <f t="shared" si="38"/>
        <v/>
      </c>
    </row>
    <row r="1683" spans="13:13">
      <c r="M1683" t="str">
        <f t="shared" si="38"/>
        <v/>
      </c>
    </row>
    <row r="1684" spans="13:13">
      <c r="M1684" t="str">
        <f t="shared" si="38"/>
        <v/>
      </c>
    </row>
    <row r="1685" spans="13:13">
      <c r="M1685" t="str">
        <f t="shared" si="38"/>
        <v/>
      </c>
    </row>
    <row r="1686" spans="13:13">
      <c r="M1686" t="str">
        <f t="shared" si="38"/>
        <v/>
      </c>
    </row>
    <row r="1687" spans="13:13">
      <c r="M1687" t="str">
        <f t="shared" si="38"/>
        <v/>
      </c>
    </row>
    <row r="1688" spans="13:13">
      <c r="M1688" t="str">
        <f t="shared" si="38"/>
        <v/>
      </c>
    </row>
    <row r="1689" spans="13:13">
      <c r="M1689" t="str">
        <f t="shared" si="38"/>
        <v/>
      </c>
    </row>
    <row r="1690" spans="13:13">
      <c r="M1690" t="str">
        <f t="shared" si="38"/>
        <v/>
      </c>
    </row>
    <row r="1691" spans="13:13">
      <c r="M1691" t="str">
        <f t="shared" si="38"/>
        <v/>
      </c>
    </row>
    <row r="1692" spans="13:13">
      <c r="M1692" t="str">
        <f t="shared" si="38"/>
        <v/>
      </c>
    </row>
    <row r="1693" spans="13:13">
      <c r="M1693" t="str">
        <f t="shared" si="38"/>
        <v/>
      </c>
    </row>
    <row r="1694" spans="13:13">
      <c r="M1694" t="str">
        <f t="shared" si="38"/>
        <v/>
      </c>
    </row>
    <row r="1695" spans="13:13">
      <c r="M1695" t="str">
        <f t="shared" si="38"/>
        <v/>
      </c>
    </row>
    <row r="1696" spans="13:13">
      <c r="M1696" t="str">
        <f t="shared" si="38"/>
        <v/>
      </c>
    </row>
    <row r="1697" spans="13:13">
      <c r="M1697" t="str">
        <f t="shared" si="38"/>
        <v/>
      </c>
    </row>
    <row r="1698" spans="13:13">
      <c r="M1698" t="str">
        <f t="shared" si="38"/>
        <v/>
      </c>
    </row>
    <row r="1699" spans="13:13">
      <c r="M1699" t="str">
        <f t="shared" si="38"/>
        <v/>
      </c>
    </row>
    <row r="1700" spans="13:13">
      <c r="M1700" t="str">
        <f t="shared" si="38"/>
        <v/>
      </c>
    </row>
    <row r="1701" spans="13:13">
      <c r="M1701" t="str">
        <f t="shared" si="38"/>
        <v/>
      </c>
    </row>
    <row r="1702" spans="13:13">
      <c r="M1702" t="str">
        <f t="shared" si="38"/>
        <v/>
      </c>
    </row>
    <row r="1703" spans="13:13">
      <c r="M1703" t="str">
        <f t="shared" si="38"/>
        <v/>
      </c>
    </row>
    <row r="1704" spans="13:13">
      <c r="M1704" t="str">
        <f t="shared" si="38"/>
        <v/>
      </c>
    </row>
    <row r="1705" spans="13:13">
      <c r="M1705" t="str">
        <f t="shared" si="38"/>
        <v/>
      </c>
    </row>
    <row r="1706" spans="13:13">
      <c r="M1706" t="str">
        <f t="shared" si="38"/>
        <v/>
      </c>
    </row>
    <row r="1707" spans="13:13">
      <c r="M1707" t="str">
        <f t="shared" si="38"/>
        <v/>
      </c>
    </row>
    <row r="1708" spans="13:13">
      <c r="M1708" t="str">
        <f t="shared" si="38"/>
        <v/>
      </c>
    </row>
    <row r="1709" spans="13:13">
      <c r="M1709" t="str">
        <f t="shared" si="38"/>
        <v/>
      </c>
    </row>
    <row r="1710" spans="13:13">
      <c r="M1710" t="str">
        <f t="shared" si="38"/>
        <v/>
      </c>
    </row>
    <row r="1711" spans="13:13">
      <c r="M1711" t="str">
        <f t="shared" si="38"/>
        <v/>
      </c>
    </row>
    <row r="1712" spans="13:13">
      <c r="M1712" t="str">
        <f t="shared" si="38"/>
        <v/>
      </c>
    </row>
    <row r="1713" spans="13:13">
      <c r="M1713" t="str">
        <f t="shared" si="38"/>
        <v/>
      </c>
    </row>
    <row r="1714" spans="13:13">
      <c r="M1714" t="str">
        <f t="shared" si="38"/>
        <v/>
      </c>
    </row>
    <row r="1715" spans="13:13">
      <c r="M1715" t="str">
        <f t="shared" si="38"/>
        <v/>
      </c>
    </row>
    <row r="1716" spans="13:13">
      <c r="M1716" t="str">
        <f t="shared" si="38"/>
        <v/>
      </c>
    </row>
    <row r="1717" spans="13:13">
      <c r="M1717" t="str">
        <f t="shared" si="38"/>
        <v/>
      </c>
    </row>
    <row r="1718" spans="13:13">
      <c r="M1718" t="str">
        <f t="shared" si="38"/>
        <v/>
      </c>
    </row>
    <row r="1719" spans="13:13">
      <c r="M1719" t="str">
        <f t="shared" si="38"/>
        <v/>
      </c>
    </row>
    <row r="1720" spans="13:13">
      <c r="M1720" t="str">
        <f t="shared" si="38"/>
        <v/>
      </c>
    </row>
    <row r="1721" spans="13:13">
      <c r="M1721" t="str">
        <f t="shared" si="38"/>
        <v/>
      </c>
    </row>
    <row r="1722" spans="13:13">
      <c r="M1722" t="str">
        <f t="shared" si="38"/>
        <v/>
      </c>
    </row>
    <row r="1723" spans="13:13">
      <c r="M1723" t="str">
        <f t="shared" si="38"/>
        <v/>
      </c>
    </row>
    <row r="1724" spans="13:13">
      <c r="M1724" t="str">
        <f t="shared" si="38"/>
        <v/>
      </c>
    </row>
    <row r="1725" spans="13:13">
      <c r="M1725" t="str">
        <f t="shared" si="38"/>
        <v/>
      </c>
    </row>
    <row r="1726" spans="13:13">
      <c r="M1726" t="str">
        <f t="shared" si="38"/>
        <v/>
      </c>
    </row>
    <row r="1727" spans="13:13">
      <c r="M1727" t="str">
        <f t="shared" si="38"/>
        <v/>
      </c>
    </row>
    <row r="1728" spans="13:13">
      <c r="M1728" t="str">
        <f t="shared" si="38"/>
        <v/>
      </c>
    </row>
    <row r="1729" spans="13:13">
      <c r="M1729" t="str">
        <f t="shared" si="38"/>
        <v/>
      </c>
    </row>
    <row r="1730" spans="13:13">
      <c r="M1730" t="str">
        <f t="shared" si="38"/>
        <v/>
      </c>
    </row>
    <row r="1731" spans="13:13">
      <c r="M1731" t="str">
        <f t="shared" si="38"/>
        <v/>
      </c>
    </row>
    <row r="1732" spans="13:13">
      <c r="M1732" t="str">
        <f t="shared" si="38"/>
        <v/>
      </c>
    </row>
    <row r="1733" spans="13:13">
      <c r="M1733" t="str">
        <f t="shared" ref="M1733:M1796" si="39">IF(A1733="","", WEEKNUM(A1733, 2))</f>
        <v/>
      </c>
    </row>
    <row r="1734" spans="13:13">
      <c r="M1734" t="str">
        <f t="shared" si="39"/>
        <v/>
      </c>
    </row>
    <row r="1735" spans="13:13">
      <c r="M1735" t="str">
        <f t="shared" si="39"/>
        <v/>
      </c>
    </row>
    <row r="1736" spans="13:13">
      <c r="M1736" t="str">
        <f t="shared" si="39"/>
        <v/>
      </c>
    </row>
    <row r="1737" spans="13:13">
      <c r="M1737" t="str">
        <f t="shared" si="39"/>
        <v/>
      </c>
    </row>
    <row r="1738" spans="13:13">
      <c r="M1738" t="str">
        <f t="shared" si="39"/>
        <v/>
      </c>
    </row>
    <row r="1739" spans="13:13">
      <c r="M1739" t="str">
        <f t="shared" si="39"/>
        <v/>
      </c>
    </row>
    <row r="1740" spans="13:13">
      <c r="M1740" t="str">
        <f t="shared" si="39"/>
        <v/>
      </c>
    </row>
    <row r="1741" spans="13:13">
      <c r="M1741" t="str">
        <f t="shared" si="39"/>
        <v/>
      </c>
    </row>
    <row r="1742" spans="13:13">
      <c r="M1742" t="str">
        <f t="shared" si="39"/>
        <v/>
      </c>
    </row>
    <row r="1743" spans="13:13">
      <c r="M1743" t="str">
        <f t="shared" si="39"/>
        <v/>
      </c>
    </row>
    <row r="1744" spans="13:13">
      <c r="M1744" t="str">
        <f t="shared" si="39"/>
        <v/>
      </c>
    </row>
    <row r="1745" spans="13:13">
      <c r="M1745" t="str">
        <f t="shared" si="39"/>
        <v/>
      </c>
    </row>
    <row r="1746" spans="13:13">
      <c r="M1746" t="str">
        <f t="shared" si="39"/>
        <v/>
      </c>
    </row>
    <row r="1747" spans="13:13">
      <c r="M1747" t="str">
        <f t="shared" si="39"/>
        <v/>
      </c>
    </row>
    <row r="1748" spans="13:13">
      <c r="M1748" t="str">
        <f t="shared" si="39"/>
        <v/>
      </c>
    </row>
    <row r="1749" spans="13:13">
      <c r="M1749" t="str">
        <f t="shared" si="39"/>
        <v/>
      </c>
    </row>
    <row r="1750" spans="13:13">
      <c r="M1750" t="str">
        <f t="shared" si="39"/>
        <v/>
      </c>
    </row>
    <row r="1751" spans="13:13">
      <c r="M1751" t="str">
        <f t="shared" si="39"/>
        <v/>
      </c>
    </row>
    <row r="1752" spans="13:13">
      <c r="M1752" t="str">
        <f t="shared" si="39"/>
        <v/>
      </c>
    </row>
    <row r="1753" spans="13:13">
      <c r="M1753" t="str">
        <f t="shared" si="39"/>
        <v/>
      </c>
    </row>
    <row r="1754" spans="13:13">
      <c r="M1754" t="str">
        <f t="shared" si="39"/>
        <v/>
      </c>
    </row>
    <row r="1755" spans="13:13">
      <c r="M1755" t="str">
        <f t="shared" si="39"/>
        <v/>
      </c>
    </row>
    <row r="1756" spans="13:13">
      <c r="M1756" t="str">
        <f t="shared" si="39"/>
        <v/>
      </c>
    </row>
    <row r="1757" spans="13:13">
      <c r="M1757" t="str">
        <f t="shared" si="39"/>
        <v/>
      </c>
    </row>
    <row r="1758" spans="13:13">
      <c r="M1758" t="str">
        <f t="shared" si="39"/>
        <v/>
      </c>
    </row>
    <row r="1759" spans="13:13">
      <c r="M1759" t="str">
        <f t="shared" si="39"/>
        <v/>
      </c>
    </row>
    <row r="1760" spans="13:13">
      <c r="M1760" t="str">
        <f t="shared" si="39"/>
        <v/>
      </c>
    </row>
    <row r="1761" spans="13:13">
      <c r="M1761" t="str">
        <f t="shared" si="39"/>
        <v/>
      </c>
    </row>
    <row r="1762" spans="13:13">
      <c r="M1762" t="str">
        <f t="shared" si="39"/>
        <v/>
      </c>
    </row>
    <row r="1763" spans="13:13">
      <c r="M1763" t="str">
        <f t="shared" si="39"/>
        <v/>
      </c>
    </row>
    <row r="1764" spans="13:13">
      <c r="M1764" t="str">
        <f t="shared" si="39"/>
        <v/>
      </c>
    </row>
    <row r="1765" spans="13:13">
      <c r="M1765" t="str">
        <f t="shared" si="39"/>
        <v/>
      </c>
    </row>
    <row r="1766" spans="13:13">
      <c r="M1766" t="str">
        <f t="shared" si="39"/>
        <v/>
      </c>
    </row>
    <row r="1767" spans="13:13">
      <c r="M1767" t="str">
        <f t="shared" si="39"/>
        <v/>
      </c>
    </row>
    <row r="1768" spans="13:13">
      <c r="M1768" t="str">
        <f t="shared" si="39"/>
        <v/>
      </c>
    </row>
    <row r="1769" spans="13:13">
      <c r="M1769" t="str">
        <f t="shared" si="39"/>
        <v/>
      </c>
    </row>
    <row r="1770" spans="13:13">
      <c r="M1770" t="str">
        <f t="shared" si="39"/>
        <v/>
      </c>
    </row>
    <row r="1771" spans="13:13">
      <c r="M1771" t="str">
        <f t="shared" si="39"/>
        <v/>
      </c>
    </row>
    <row r="1772" spans="13:13">
      <c r="M1772" t="str">
        <f t="shared" si="39"/>
        <v/>
      </c>
    </row>
    <row r="1773" spans="13:13">
      <c r="M1773" t="str">
        <f t="shared" si="39"/>
        <v/>
      </c>
    </row>
    <row r="1774" spans="13:13">
      <c r="M1774" t="str">
        <f t="shared" si="39"/>
        <v/>
      </c>
    </row>
    <row r="1775" spans="13:13">
      <c r="M1775" t="str">
        <f t="shared" si="39"/>
        <v/>
      </c>
    </row>
    <row r="1776" spans="13:13">
      <c r="M1776" t="str">
        <f t="shared" si="39"/>
        <v/>
      </c>
    </row>
    <row r="1777" spans="13:13">
      <c r="M1777" t="str">
        <f t="shared" si="39"/>
        <v/>
      </c>
    </row>
    <row r="1778" spans="13:13">
      <c r="M1778" t="str">
        <f t="shared" si="39"/>
        <v/>
      </c>
    </row>
    <row r="1779" spans="13:13">
      <c r="M1779" t="str">
        <f t="shared" si="39"/>
        <v/>
      </c>
    </row>
    <row r="1780" spans="13:13">
      <c r="M1780" t="str">
        <f t="shared" si="39"/>
        <v/>
      </c>
    </row>
    <row r="1781" spans="13:13">
      <c r="M1781" t="str">
        <f t="shared" si="39"/>
        <v/>
      </c>
    </row>
    <row r="1782" spans="13:13">
      <c r="M1782" t="str">
        <f t="shared" si="39"/>
        <v/>
      </c>
    </row>
    <row r="1783" spans="13:13">
      <c r="M1783" t="str">
        <f t="shared" si="39"/>
        <v/>
      </c>
    </row>
    <row r="1784" spans="13:13">
      <c r="M1784" t="str">
        <f t="shared" si="39"/>
        <v/>
      </c>
    </row>
    <row r="1785" spans="13:13">
      <c r="M1785" t="str">
        <f t="shared" si="39"/>
        <v/>
      </c>
    </row>
    <row r="1786" spans="13:13">
      <c r="M1786" t="str">
        <f t="shared" si="39"/>
        <v/>
      </c>
    </row>
    <row r="1787" spans="13:13">
      <c r="M1787" t="str">
        <f t="shared" si="39"/>
        <v/>
      </c>
    </row>
    <row r="1788" spans="13:13">
      <c r="M1788" t="str">
        <f t="shared" si="39"/>
        <v/>
      </c>
    </row>
    <row r="1789" spans="13:13">
      <c r="M1789" t="str">
        <f t="shared" si="39"/>
        <v/>
      </c>
    </row>
    <row r="1790" spans="13:13">
      <c r="M1790" t="str">
        <f t="shared" si="39"/>
        <v/>
      </c>
    </row>
    <row r="1791" spans="13:13">
      <c r="M1791" t="str">
        <f t="shared" si="39"/>
        <v/>
      </c>
    </row>
    <row r="1792" spans="13:13">
      <c r="M1792" t="str">
        <f t="shared" si="39"/>
        <v/>
      </c>
    </row>
    <row r="1793" spans="13:13">
      <c r="M1793" t="str">
        <f t="shared" si="39"/>
        <v/>
      </c>
    </row>
    <row r="1794" spans="13:13">
      <c r="M1794" t="str">
        <f t="shared" si="39"/>
        <v/>
      </c>
    </row>
    <row r="1795" spans="13:13">
      <c r="M1795" t="str">
        <f t="shared" si="39"/>
        <v/>
      </c>
    </row>
    <row r="1796" spans="13:13">
      <c r="M1796" t="str">
        <f t="shared" si="39"/>
        <v/>
      </c>
    </row>
    <row r="1797" spans="13:13">
      <c r="M1797" t="str">
        <f t="shared" ref="M1797:M1860" si="40">IF(A1797="","", WEEKNUM(A1797, 2))</f>
        <v/>
      </c>
    </row>
    <row r="1798" spans="13:13">
      <c r="M1798" t="str">
        <f t="shared" si="40"/>
        <v/>
      </c>
    </row>
    <row r="1799" spans="13:13">
      <c r="M1799" t="str">
        <f t="shared" si="40"/>
        <v/>
      </c>
    </row>
    <row r="1800" spans="13:13">
      <c r="M1800" t="str">
        <f t="shared" si="40"/>
        <v/>
      </c>
    </row>
    <row r="1801" spans="13:13">
      <c r="M1801" t="str">
        <f t="shared" si="40"/>
        <v/>
      </c>
    </row>
    <row r="1802" spans="13:13">
      <c r="M1802" t="str">
        <f t="shared" si="40"/>
        <v/>
      </c>
    </row>
    <row r="1803" spans="13:13">
      <c r="M1803" t="str">
        <f t="shared" si="40"/>
        <v/>
      </c>
    </row>
    <row r="1804" spans="13:13">
      <c r="M1804" t="str">
        <f t="shared" si="40"/>
        <v/>
      </c>
    </row>
    <row r="1805" spans="13:13">
      <c r="M1805" t="str">
        <f t="shared" si="40"/>
        <v/>
      </c>
    </row>
    <row r="1806" spans="13:13">
      <c r="M1806" t="str">
        <f t="shared" si="40"/>
        <v/>
      </c>
    </row>
    <row r="1807" spans="13:13">
      <c r="M1807" t="str">
        <f t="shared" si="40"/>
        <v/>
      </c>
    </row>
    <row r="1808" spans="13:13">
      <c r="M1808" t="str">
        <f t="shared" si="40"/>
        <v/>
      </c>
    </row>
    <row r="1809" spans="13:13">
      <c r="M1809" t="str">
        <f t="shared" si="40"/>
        <v/>
      </c>
    </row>
    <row r="1810" spans="13:13">
      <c r="M1810" t="str">
        <f t="shared" si="40"/>
        <v/>
      </c>
    </row>
    <row r="1811" spans="13:13">
      <c r="M1811" t="str">
        <f t="shared" si="40"/>
        <v/>
      </c>
    </row>
    <row r="1812" spans="13:13">
      <c r="M1812" t="str">
        <f t="shared" si="40"/>
        <v/>
      </c>
    </row>
    <row r="1813" spans="13:13">
      <c r="M1813" t="str">
        <f t="shared" si="40"/>
        <v/>
      </c>
    </row>
    <row r="1814" spans="13:13">
      <c r="M1814" t="str">
        <f t="shared" si="40"/>
        <v/>
      </c>
    </row>
    <row r="1815" spans="13:13">
      <c r="M1815" t="str">
        <f t="shared" si="40"/>
        <v/>
      </c>
    </row>
    <row r="1816" spans="13:13">
      <c r="M1816" t="str">
        <f t="shared" si="40"/>
        <v/>
      </c>
    </row>
    <row r="1817" spans="13:13">
      <c r="M1817" t="str">
        <f t="shared" si="40"/>
        <v/>
      </c>
    </row>
    <row r="1818" spans="13:13">
      <c r="M1818" t="str">
        <f t="shared" si="40"/>
        <v/>
      </c>
    </row>
    <row r="1819" spans="13:13">
      <c r="M1819" t="str">
        <f t="shared" si="40"/>
        <v/>
      </c>
    </row>
    <row r="1820" spans="13:13">
      <c r="M1820" t="str">
        <f t="shared" si="40"/>
        <v/>
      </c>
    </row>
    <row r="1821" spans="13:13">
      <c r="M1821" t="str">
        <f t="shared" si="40"/>
        <v/>
      </c>
    </row>
    <row r="1822" spans="13:13">
      <c r="M1822" t="str">
        <f t="shared" si="40"/>
        <v/>
      </c>
    </row>
    <row r="1823" spans="13:13">
      <c r="M1823" t="str">
        <f t="shared" si="40"/>
        <v/>
      </c>
    </row>
    <row r="1824" spans="13:13">
      <c r="M1824" t="str">
        <f t="shared" si="40"/>
        <v/>
      </c>
    </row>
    <row r="1825" spans="13:13">
      <c r="M1825" t="str">
        <f t="shared" si="40"/>
        <v/>
      </c>
    </row>
    <row r="1826" spans="13:13">
      <c r="M1826" t="str">
        <f t="shared" si="40"/>
        <v/>
      </c>
    </row>
    <row r="1827" spans="13:13">
      <c r="M1827" t="str">
        <f t="shared" si="40"/>
        <v/>
      </c>
    </row>
    <row r="1828" spans="13:13">
      <c r="M1828" t="str">
        <f t="shared" si="40"/>
        <v/>
      </c>
    </row>
    <row r="1829" spans="13:13">
      <c r="M1829" t="str">
        <f t="shared" si="40"/>
        <v/>
      </c>
    </row>
    <row r="1830" spans="13:13">
      <c r="M1830" t="str">
        <f t="shared" si="40"/>
        <v/>
      </c>
    </row>
    <row r="1831" spans="13:13">
      <c r="M1831" t="str">
        <f t="shared" si="40"/>
        <v/>
      </c>
    </row>
    <row r="1832" spans="13:13">
      <c r="M1832" t="str">
        <f t="shared" si="40"/>
        <v/>
      </c>
    </row>
    <row r="1833" spans="13:13">
      <c r="M1833" t="str">
        <f t="shared" si="40"/>
        <v/>
      </c>
    </row>
    <row r="1834" spans="13:13">
      <c r="M1834" t="str">
        <f t="shared" si="40"/>
        <v/>
      </c>
    </row>
    <row r="1835" spans="13:13">
      <c r="M1835" t="str">
        <f t="shared" si="40"/>
        <v/>
      </c>
    </row>
    <row r="1836" spans="13:13">
      <c r="M1836" t="str">
        <f t="shared" si="40"/>
        <v/>
      </c>
    </row>
    <row r="1837" spans="13:13">
      <c r="M1837" t="str">
        <f t="shared" si="40"/>
        <v/>
      </c>
    </row>
    <row r="1838" spans="13:13">
      <c r="M1838" t="str">
        <f t="shared" si="40"/>
        <v/>
      </c>
    </row>
    <row r="1839" spans="13:13">
      <c r="M1839" t="str">
        <f t="shared" si="40"/>
        <v/>
      </c>
    </row>
    <row r="1840" spans="13:13">
      <c r="M1840" t="str">
        <f t="shared" si="40"/>
        <v/>
      </c>
    </row>
    <row r="1841" spans="13:13">
      <c r="M1841" t="str">
        <f t="shared" si="40"/>
        <v/>
      </c>
    </row>
    <row r="1842" spans="13:13">
      <c r="M1842" t="str">
        <f t="shared" si="40"/>
        <v/>
      </c>
    </row>
    <row r="1843" spans="13:13">
      <c r="M1843" t="str">
        <f t="shared" si="40"/>
        <v/>
      </c>
    </row>
    <row r="1844" spans="13:13">
      <c r="M1844" t="str">
        <f t="shared" si="40"/>
        <v/>
      </c>
    </row>
    <row r="1845" spans="13:13">
      <c r="M1845" t="str">
        <f t="shared" si="40"/>
        <v/>
      </c>
    </row>
    <row r="1846" spans="13:13">
      <c r="M1846" t="str">
        <f t="shared" si="40"/>
        <v/>
      </c>
    </row>
    <row r="1847" spans="13:13">
      <c r="M1847" t="str">
        <f t="shared" si="40"/>
        <v/>
      </c>
    </row>
    <row r="1848" spans="13:13">
      <c r="M1848" t="str">
        <f t="shared" si="40"/>
        <v/>
      </c>
    </row>
    <row r="1849" spans="13:13">
      <c r="M1849" t="str">
        <f t="shared" si="40"/>
        <v/>
      </c>
    </row>
    <row r="1850" spans="13:13">
      <c r="M1850" t="str">
        <f t="shared" si="40"/>
        <v/>
      </c>
    </row>
    <row r="1851" spans="13:13">
      <c r="M1851" t="str">
        <f t="shared" si="40"/>
        <v/>
      </c>
    </row>
    <row r="1852" spans="13:13">
      <c r="M1852" t="str">
        <f t="shared" si="40"/>
        <v/>
      </c>
    </row>
    <row r="1853" spans="13:13">
      <c r="M1853" t="str">
        <f t="shared" si="40"/>
        <v/>
      </c>
    </row>
    <row r="1854" spans="13:13">
      <c r="M1854" t="str">
        <f t="shared" si="40"/>
        <v/>
      </c>
    </row>
    <row r="1855" spans="13:13">
      <c r="M1855" t="str">
        <f t="shared" si="40"/>
        <v/>
      </c>
    </row>
    <row r="1856" spans="13:13">
      <c r="M1856" t="str">
        <f t="shared" si="40"/>
        <v/>
      </c>
    </row>
    <row r="1857" spans="13:13">
      <c r="M1857" t="str">
        <f t="shared" si="40"/>
        <v/>
      </c>
    </row>
    <row r="1858" spans="13:13">
      <c r="M1858" t="str">
        <f t="shared" si="40"/>
        <v/>
      </c>
    </row>
    <row r="1859" spans="13:13">
      <c r="M1859" t="str">
        <f t="shared" si="40"/>
        <v/>
      </c>
    </row>
    <row r="1860" spans="13:13">
      <c r="M1860" t="str">
        <f t="shared" si="40"/>
        <v/>
      </c>
    </row>
    <row r="1861" spans="13:13">
      <c r="M1861" t="str">
        <f t="shared" ref="M1861:M1924" si="41">IF(A1861="","", WEEKNUM(A1861, 2))</f>
        <v/>
      </c>
    </row>
    <row r="1862" spans="13:13">
      <c r="M1862" t="str">
        <f t="shared" si="41"/>
        <v/>
      </c>
    </row>
    <row r="1863" spans="13:13">
      <c r="M1863" t="str">
        <f t="shared" si="41"/>
        <v/>
      </c>
    </row>
    <row r="1864" spans="13:13">
      <c r="M1864" t="str">
        <f t="shared" si="41"/>
        <v/>
      </c>
    </row>
    <row r="1865" spans="13:13">
      <c r="M1865" t="str">
        <f t="shared" si="41"/>
        <v/>
      </c>
    </row>
    <row r="1866" spans="13:13">
      <c r="M1866" t="str">
        <f t="shared" si="41"/>
        <v/>
      </c>
    </row>
    <row r="1867" spans="13:13">
      <c r="M1867" t="str">
        <f t="shared" si="41"/>
        <v/>
      </c>
    </row>
    <row r="1868" spans="13:13">
      <c r="M1868" t="str">
        <f t="shared" si="41"/>
        <v/>
      </c>
    </row>
    <row r="1869" spans="13:13">
      <c r="M1869" t="str">
        <f t="shared" si="41"/>
        <v/>
      </c>
    </row>
    <row r="1870" spans="13:13">
      <c r="M1870" t="str">
        <f t="shared" si="41"/>
        <v/>
      </c>
    </row>
    <row r="1871" spans="13:13">
      <c r="M1871" t="str">
        <f t="shared" si="41"/>
        <v/>
      </c>
    </row>
    <row r="1872" spans="13:13">
      <c r="M1872" t="str">
        <f t="shared" si="41"/>
        <v/>
      </c>
    </row>
    <row r="1873" spans="13:13">
      <c r="M1873" t="str">
        <f t="shared" si="41"/>
        <v/>
      </c>
    </row>
    <row r="1874" spans="13:13">
      <c r="M1874" t="str">
        <f t="shared" si="41"/>
        <v/>
      </c>
    </row>
    <row r="1875" spans="13:13">
      <c r="M1875" t="str">
        <f t="shared" si="41"/>
        <v/>
      </c>
    </row>
    <row r="1876" spans="13:13">
      <c r="M1876" t="str">
        <f t="shared" si="41"/>
        <v/>
      </c>
    </row>
    <row r="1877" spans="13:13">
      <c r="M1877" t="str">
        <f t="shared" si="41"/>
        <v/>
      </c>
    </row>
    <row r="1878" spans="13:13">
      <c r="M1878" t="str">
        <f t="shared" si="41"/>
        <v/>
      </c>
    </row>
    <row r="1879" spans="13:13">
      <c r="M1879" t="str">
        <f t="shared" si="41"/>
        <v/>
      </c>
    </row>
    <row r="1880" spans="13:13">
      <c r="M1880" t="str">
        <f t="shared" si="41"/>
        <v/>
      </c>
    </row>
    <row r="1881" spans="13:13">
      <c r="M1881" t="str">
        <f t="shared" si="41"/>
        <v/>
      </c>
    </row>
    <row r="1882" spans="13:13">
      <c r="M1882" t="str">
        <f t="shared" si="41"/>
        <v/>
      </c>
    </row>
    <row r="1883" spans="13:13">
      <c r="M1883" t="str">
        <f t="shared" si="41"/>
        <v/>
      </c>
    </row>
    <row r="1884" spans="13:13">
      <c r="M1884" t="str">
        <f t="shared" si="41"/>
        <v/>
      </c>
    </row>
    <row r="1885" spans="13:13">
      <c r="M1885" t="str">
        <f t="shared" si="41"/>
        <v/>
      </c>
    </row>
    <row r="1886" spans="13:13">
      <c r="M1886" t="str">
        <f t="shared" si="41"/>
        <v/>
      </c>
    </row>
    <row r="1887" spans="13:13">
      <c r="M1887" t="str">
        <f t="shared" si="41"/>
        <v/>
      </c>
    </row>
    <row r="1888" spans="13:13">
      <c r="M1888" t="str">
        <f t="shared" si="41"/>
        <v/>
      </c>
    </row>
    <row r="1889" spans="13:13">
      <c r="M1889" t="str">
        <f t="shared" si="41"/>
        <v/>
      </c>
    </row>
    <row r="1890" spans="13:13">
      <c r="M1890" t="str">
        <f t="shared" si="41"/>
        <v/>
      </c>
    </row>
    <row r="1891" spans="13:13">
      <c r="M1891" t="str">
        <f t="shared" si="41"/>
        <v/>
      </c>
    </row>
    <row r="1892" spans="13:13">
      <c r="M1892" t="str">
        <f t="shared" si="41"/>
        <v/>
      </c>
    </row>
    <row r="1893" spans="13:13">
      <c r="M1893" t="str">
        <f t="shared" si="41"/>
        <v/>
      </c>
    </row>
    <row r="1894" spans="13:13">
      <c r="M1894" t="str">
        <f t="shared" si="41"/>
        <v/>
      </c>
    </row>
    <row r="1895" spans="13:13">
      <c r="M1895" t="str">
        <f t="shared" si="41"/>
        <v/>
      </c>
    </row>
    <row r="1896" spans="13:13">
      <c r="M1896" t="str">
        <f t="shared" si="41"/>
        <v/>
      </c>
    </row>
    <row r="1897" spans="13:13">
      <c r="M1897" t="str">
        <f t="shared" si="41"/>
        <v/>
      </c>
    </row>
    <row r="1898" spans="13:13">
      <c r="M1898" t="str">
        <f t="shared" si="41"/>
        <v/>
      </c>
    </row>
    <row r="1899" spans="13:13">
      <c r="M1899" t="str">
        <f t="shared" si="41"/>
        <v/>
      </c>
    </row>
    <row r="1900" spans="13:13">
      <c r="M1900" t="str">
        <f t="shared" si="41"/>
        <v/>
      </c>
    </row>
    <row r="1901" spans="13:13">
      <c r="M1901" t="str">
        <f t="shared" si="41"/>
        <v/>
      </c>
    </row>
    <row r="1902" spans="13:13">
      <c r="M1902" t="str">
        <f t="shared" si="41"/>
        <v/>
      </c>
    </row>
    <row r="1903" spans="13:13">
      <c r="M1903" t="str">
        <f t="shared" si="41"/>
        <v/>
      </c>
    </row>
    <row r="1904" spans="13:13">
      <c r="M1904" t="str">
        <f t="shared" si="41"/>
        <v/>
      </c>
    </row>
    <row r="1905" spans="13:13">
      <c r="M1905" t="str">
        <f t="shared" si="41"/>
        <v/>
      </c>
    </row>
    <row r="1906" spans="13:13">
      <c r="M1906" t="str">
        <f t="shared" si="41"/>
        <v/>
      </c>
    </row>
    <row r="1907" spans="13:13">
      <c r="M1907" t="str">
        <f t="shared" si="41"/>
        <v/>
      </c>
    </row>
    <row r="1908" spans="13:13">
      <c r="M1908" t="str">
        <f t="shared" si="41"/>
        <v/>
      </c>
    </row>
    <row r="1909" spans="13:13">
      <c r="M1909" t="str">
        <f t="shared" si="41"/>
        <v/>
      </c>
    </row>
    <row r="1910" spans="13:13">
      <c r="M1910" t="str">
        <f t="shared" si="41"/>
        <v/>
      </c>
    </row>
    <row r="1911" spans="13:13">
      <c r="M1911" t="str">
        <f t="shared" si="41"/>
        <v/>
      </c>
    </row>
    <row r="1912" spans="13:13">
      <c r="M1912" t="str">
        <f t="shared" si="41"/>
        <v/>
      </c>
    </row>
    <row r="1913" spans="13:13">
      <c r="M1913" t="str">
        <f t="shared" si="41"/>
        <v/>
      </c>
    </row>
    <row r="1914" spans="13:13">
      <c r="M1914" t="str">
        <f t="shared" si="41"/>
        <v/>
      </c>
    </row>
    <row r="1915" spans="13:13">
      <c r="M1915" t="str">
        <f t="shared" si="41"/>
        <v/>
      </c>
    </row>
    <row r="1916" spans="13:13">
      <c r="M1916" t="str">
        <f t="shared" si="41"/>
        <v/>
      </c>
    </row>
    <row r="1917" spans="13:13">
      <c r="M1917" t="str">
        <f t="shared" si="41"/>
        <v/>
      </c>
    </row>
    <row r="1918" spans="13:13">
      <c r="M1918" t="str">
        <f t="shared" si="41"/>
        <v/>
      </c>
    </row>
    <row r="1919" spans="13:13">
      <c r="M1919" t="str">
        <f t="shared" si="41"/>
        <v/>
      </c>
    </row>
    <row r="1920" spans="13:13">
      <c r="M1920" t="str">
        <f t="shared" si="41"/>
        <v/>
      </c>
    </row>
    <row r="1921" spans="13:13">
      <c r="M1921" t="str">
        <f t="shared" si="41"/>
        <v/>
      </c>
    </row>
    <row r="1922" spans="13:13">
      <c r="M1922" t="str">
        <f t="shared" si="41"/>
        <v/>
      </c>
    </row>
    <row r="1923" spans="13:13">
      <c r="M1923" t="str">
        <f t="shared" si="41"/>
        <v/>
      </c>
    </row>
    <row r="1924" spans="13:13">
      <c r="M1924" t="str">
        <f t="shared" si="41"/>
        <v/>
      </c>
    </row>
    <row r="1925" spans="13:13">
      <c r="M1925" t="str">
        <f t="shared" ref="M1925:M1988" si="42">IF(A1925="","", WEEKNUM(A1925, 2))</f>
        <v/>
      </c>
    </row>
    <row r="1926" spans="13:13">
      <c r="M1926" t="str">
        <f t="shared" si="42"/>
        <v/>
      </c>
    </row>
    <row r="1927" spans="13:13">
      <c r="M1927" t="str">
        <f t="shared" si="42"/>
        <v/>
      </c>
    </row>
    <row r="1928" spans="13:13">
      <c r="M1928" t="str">
        <f t="shared" si="42"/>
        <v/>
      </c>
    </row>
    <row r="1929" spans="13:13">
      <c r="M1929" t="str">
        <f t="shared" si="42"/>
        <v/>
      </c>
    </row>
    <row r="1930" spans="13:13">
      <c r="M1930" t="str">
        <f t="shared" si="42"/>
        <v/>
      </c>
    </row>
    <row r="1931" spans="13:13">
      <c r="M1931" t="str">
        <f t="shared" si="42"/>
        <v/>
      </c>
    </row>
    <row r="1932" spans="13:13">
      <c r="M1932" t="str">
        <f t="shared" si="42"/>
        <v/>
      </c>
    </row>
    <row r="1933" spans="13:13">
      <c r="M1933" t="str">
        <f t="shared" si="42"/>
        <v/>
      </c>
    </row>
    <row r="1934" spans="13:13">
      <c r="M1934" t="str">
        <f t="shared" si="42"/>
        <v/>
      </c>
    </row>
    <row r="1935" spans="13:13">
      <c r="M1935" t="str">
        <f t="shared" si="42"/>
        <v/>
      </c>
    </row>
    <row r="1936" spans="13:13">
      <c r="M1936" t="str">
        <f t="shared" si="42"/>
        <v/>
      </c>
    </row>
    <row r="1937" spans="13:13">
      <c r="M1937" t="str">
        <f t="shared" si="42"/>
        <v/>
      </c>
    </row>
    <row r="1938" spans="13:13">
      <c r="M1938" t="str">
        <f t="shared" si="42"/>
        <v/>
      </c>
    </row>
    <row r="1939" spans="13:13">
      <c r="M1939" t="str">
        <f t="shared" si="42"/>
        <v/>
      </c>
    </row>
    <row r="1940" spans="13:13">
      <c r="M1940" t="str">
        <f t="shared" si="42"/>
        <v/>
      </c>
    </row>
    <row r="1941" spans="13:13">
      <c r="M1941" t="str">
        <f t="shared" si="42"/>
        <v/>
      </c>
    </row>
    <row r="1942" spans="13:13">
      <c r="M1942" t="str">
        <f t="shared" si="42"/>
        <v/>
      </c>
    </row>
    <row r="1943" spans="13:13">
      <c r="M1943" t="str">
        <f t="shared" si="42"/>
        <v/>
      </c>
    </row>
    <row r="1944" spans="13:13">
      <c r="M1944" t="str">
        <f t="shared" si="42"/>
        <v/>
      </c>
    </row>
    <row r="1945" spans="13:13">
      <c r="M1945" t="str">
        <f t="shared" si="42"/>
        <v/>
      </c>
    </row>
    <row r="1946" spans="13:13">
      <c r="M1946" t="str">
        <f t="shared" si="42"/>
        <v/>
      </c>
    </row>
    <row r="1947" spans="13:13">
      <c r="M1947" t="str">
        <f t="shared" si="42"/>
        <v/>
      </c>
    </row>
    <row r="1948" spans="13:13">
      <c r="M1948" t="str">
        <f t="shared" si="42"/>
        <v/>
      </c>
    </row>
    <row r="1949" spans="13:13">
      <c r="M1949" t="str">
        <f t="shared" si="42"/>
        <v/>
      </c>
    </row>
    <row r="1950" spans="13:13">
      <c r="M1950" t="str">
        <f t="shared" si="42"/>
        <v/>
      </c>
    </row>
    <row r="1951" spans="13:13">
      <c r="M1951" t="str">
        <f t="shared" si="42"/>
        <v/>
      </c>
    </row>
    <row r="1952" spans="13:13">
      <c r="M1952" t="str">
        <f t="shared" si="42"/>
        <v/>
      </c>
    </row>
    <row r="1953" spans="13:13">
      <c r="M1953" t="str">
        <f t="shared" si="42"/>
        <v/>
      </c>
    </row>
    <row r="1954" spans="13:13">
      <c r="M1954" t="str">
        <f t="shared" si="42"/>
        <v/>
      </c>
    </row>
    <row r="1955" spans="13:13">
      <c r="M1955" t="str">
        <f t="shared" si="42"/>
        <v/>
      </c>
    </row>
    <row r="1956" spans="13:13">
      <c r="M1956" t="str">
        <f t="shared" si="42"/>
        <v/>
      </c>
    </row>
    <row r="1957" spans="13:13">
      <c r="M1957" t="str">
        <f t="shared" si="42"/>
        <v/>
      </c>
    </row>
    <row r="1958" spans="13:13">
      <c r="M1958" t="str">
        <f t="shared" si="42"/>
        <v/>
      </c>
    </row>
    <row r="1959" spans="13:13">
      <c r="M1959" t="str">
        <f t="shared" si="42"/>
        <v/>
      </c>
    </row>
    <row r="1960" spans="13:13">
      <c r="M1960" t="str">
        <f t="shared" si="42"/>
        <v/>
      </c>
    </row>
    <row r="1961" spans="13:13">
      <c r="M1961" t="str">
        <f t="shared" si="42"/>
        <v/>
      </c>
    </row>
    <row r="1962" spans="13:13">
      <c r="M1962" t="str">
        <f t="shared" si="42"/>
        <v/>
      </c>
    </row>
    <row r="1963" spans="13:13">
      <c r="M1963" t="str">
        <f t="shared" si="42"/>
        <v/>
      </c>
    </row>
    <row r="1964" spans="13:13">
      <c r="M1964" t="str">
        <f t="shared" si="42"/>
        <v/>
      </c>
    </row>
    <row r="1965" spans="13:13">
      <c r="M1965" t="str">
        <f t="shared" si="42"/>
        <v/>
      </c>
    </row>
    <row r="1966" spans="13:13">
      <c r="M1966" t="str">
        <f t="shared" si="42"/>
        <v/>
      </c>
    </row>
    <row r="1967" spans="13:13">
      <c r="M1967" t="str">
        <f t="shared" si="42"/>
        <v/>
      </c>
    </row>
    <row r="1968" spans="13:13">
      <c r="M1968" t="str">
        <f t="shared" si="42"/>
        <v/>
      </c>
    </row>
    <row r="1969" spans="13:13">
      <c r="M1969" t="str">
        <f t="shared" si="42"/>
        <v/>
      </c>
    </row>
    <row r="1970" spans="13:13">
      <c r="M1970" t="str">
        <f t="shared" si="42"/>
        <v/>
      </c>
    </row>
    <row r="1971" spans="13:13">
      <c r="M1971" t="str">
        <f t="shared" si="42"/>
        <v/>
      </c>
    </row>
    <row r="1972" spans="13:13">
      <c r="M1972" t="str">
        <f t="shared" si="42"/>
        <v/>
      </c>
    </row>
    <row r="1973" spans="13:13">
      <c r="M1973" t="str">
        <f t="shared" si="42"/>
        <v/>
      </c>
    </row>
    <row r="1974" spans="13:13">
      <c r="M1974" t="str">
        <f t="shared" si="42"/>
        <v/>
      </c>
    </row>
    <row r="1975" spans="13:13">
      <c r="M1975" t="str">
        <f t="shared" si="42"/>
        <v/>
      </c>
    </row>
    <row r="1976" spans="13:13">
      <c r="M1976" t="str">
        <f t="shared" si="42"/>
        <v/>
      </c>
    </row>
    <row r="1977" spans="13:13">
      <c r="M1977" t="str">
        <f t="shared" si="42"/>
        <v/>
      </c>
    </row>
    <row r="1978" spans="13:13">
      <c r="M1978" t="str">
        <f t="shared" si="42"/>
        <v/>
      </c>
    </row>
    <row r="1979" spans="13:13">
      <c r="M1979" t="str">
        <f t="shared" si="42"/>
        <v/>
      </c>
    </row>
    <row r="1980" spans="13:13">
      <c r="M1980" t="str">
        <f t="shared" si="42"/>
        <v/>
      </c>
    </row>
    <row r="1981" spans="13:13">
      <c r="M1981" t="str">
        <f t="shared" si="42"/>
        <v/>
      </c>
    </row>
    <row r="1982" spans="13:13">
      <c r="M1982" t="str">
        <f t="shared" si="42"/>
        <v/>
      </c>
    </row>
    <row r="1983" spans="13:13">
      <c r="M1983" t="str">
        <f t="shared" si="42"/>
        <v/>
      </c>
    </row>
    <row r="1984" spans="13:13">
      <c r="M1984" t="str">
        <f t="shared" si="42"/>
        <v/>
      </c>
    </row>
    <row r="1985" spans="13:13">
      <c r="M1985" t="str">
        <f t="shared" si="42"/>
        <v/>
      </c>
    </row>
    <row r="1986" spans="13:13">
      <c r="M1986" t="str">
        <f t="shared" si="42"/>
        <v/>
      </c>
    </row>
    <row r="1987" spans="13:13">
      <c r="M1987" t="str">
        <f t="shared" si="42"/>
        <v/>
      </c>
    </row>
    <row r="1988" spans="13:13">
      <c r="M1988" t="str">
        <f t="shared" si="42"/>
        <v/>
      </c>
    </row>
    <row r="1989" spans="13:13">
      <c r="M1989" t="str">
        <f t="shared" ref="M1989:M2000" si="43">IF(A1989="","", WEEKNUM(A1989, 2))</f>
        <v/>
      </c>
    </row>
    <row r="1990" spans="13:13">
      <c r="M1990" t="str">
        <f t="shared" si="43"/>
        <v/>
      </c>
    </row>
    <row r="1991" spans="13:13">
      <c r="M1991" t="str">
        <f t="shared" si="43"/>
        <v/>
      </c>
    </row>
    <row r="1992" spans="13:13">
      <c r="M1992" t="str">
        <f t="shared" si="43"/>
        <v/>
      </c>
    </row>
    <row r="1993" spans="13:13">
      <c r="M1993" t="str">
        <f t="shared" si="43"/>
        <v/>
      </c>
    </row>
    <row r="1994" spans="13:13">
      <c r="M1994" t="str">
        <f t="shared" si="43"/>
        <v/>
      </c>
    </row>
    <row r="1995" spans="13:13">
      <c r="M1995" t="str">
        <f t="shared" si="43"/>
        <v/>
      </c>
    </row>
    <row r="1996" spans="13:13">
      <c r="M1996" t="str">
        <f t="shared" si="43"/>
        <v/>
      </c>
    </row>
    <row r="1997" spans="13:13">
      <c r="M1997" t="str">
        <f t="shared" si="43"/>
        <v/>
      </c>
    </row>
    <row r="1998" spans="13:13">
      <c r="M1998" t="str">
        <f t="shared" si="43"/>
        <v/>
      </c>
    </row>
    <row r="1999" spans="13:13">
      <c r="M1999" t="str">
        <f t="shared" si="43"/>
        <v/>
      </c>
    </row>
    <row r="2000" spans="13:13">
      <c r="M2000" t="str">
        <f t="shared" si="43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00"/>
  <sheetViews>
    <sheetView workbookViewId="0"/>
  </sheetViews>
  <sheetFormatPr baseColWidth="10" defaultRowHeight="13.8"/>
  <sheetData>
    <row r="1" spans="1:16" ht="17.399999999999999">
      <c r="A1" s="17844" t="s">
        <v>165</v>
      </c>
    </row>
    <row r="2" spans="1:16">
      <c r="A2" t="s">
        <v>21</v>
      </c>
      <c r="C2" t="s">
        <v>6</v>
      </c>
      <c r="E2" t="s">
        <v>7</v>
      </c>
      <c r="G2" t="s">
        <v>22</v>
      </c>
      <c r="H2" t="s">
        <v>23</v>
      </c>
      <c r="I2" t="s">
        <v>24</v>
      </c>
    </row>
    <row r="4" spans="1:16" ht="41.4">
      <c r="A4" s="1" t="s">
        <v>11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189</v>
      </c>
      <c r="L4" s="1" t="s">
        <v>190</v>
      </c>
      <c r="M4" s="1" t="s">
        <v>408</v>
      </c>
      <c r="N4" s="1" t="s">
        <v>191</v>
      </c>
      <c r="O4" s="1" t="s">
        <v>29</v>
      </c>
      <c r="P4" s="1" t="s">
        <v>19</v>
      </c>
    </row>
    <row r="5" spans="1:16">
      <c r="A5" s="2">
        <v>46168</v>
      </c>
      <c r="B5" t="s">
        <v>171</v>
      </c>
      <c r="C5" t="s">
        <v>166</v>
      </c>
      <c r="D5" t="s">
        <v>167</v>
      </c>
      <c r="E5" t="e">
        <f>VLOOKUP(#REF!,Catalogos!$V$4:$W$55,2,FALSE)</f>
        <v>#REF!</v>
      </c>
      <c r="F5" s="3"/>
      <c r="G5" s="6">
        <v>89</v>
      </c>
      <c r="H5" s="3">
        <v>0</v>
      </c>
      <c r="I5" s="4">
        <v>27</v>
      </c>
      <c r="J5" s="4" t="e">
        <f>(#REF!*#REF!)</f>
        <v>#REF!</v>
      </c>
      <c r="K5" s="4">
        <v>21600</v>
      </c>
      <c r="L5" s="4" t="e">
        <f>(#REF!-#REF!)</f>
        <v>#REF!</v>
      </c>
      <c r="M5" s="4">
        <f t="shared" ref="M5:M68" si="0">IF(A5="","", WEEKNUM(A5, 2))</f>
        <v>22</v>
      </c>
      <c r="N5" s="4"/>
    </row>
    <row r="6" spans="1:16">
      <c r="A6" s="2">
        <v>46169</v>
      </c>
      <c r="B6" t="s">
        <v>171</v>
      </c>
      <c r="C6" t="s">
        <v>166</v>
      </c>
      <c r="D6" t="s">
        <v>167</v>
      </c>
      <c r="E6" t="e">
        <f>VLOOKUP(#REF!,Catalogos!$V$4:$W$55,2,FALSE)</f>
        <v>#REF!</v>
      </c>
      <c r="F6" s="3"/>
      <c r="G6" s="6">
        <v>89</v>
      </c>
      <c r="H6" s="3">
        <f t="shared" ref="H6:H34" si="1">IF(ROW()=5,F5-G5,H5+F5-G5)</f>
        <v>-89</v>
      </c>
      <c r="I6" s="4">
        <v>27</v>
      </c>
      <c r="J6" s="4" t="e">
        <f>(#REF!*#REF!)</f>
        <v>#REF!</v>
      </c>
      <c r="K6" s="4" t="e">
        <f>L5+M5</f>
        <v>#REF!</v>
      </c>
      <c r="L6" s="4" t="e">
        <f>(#REF!-#REF!)</f>
        <v>#REF!</v>
      </c>
      <c r="M6" s="4">
        <f t="shared" si="0"/>
        <v>22</v>
      </c>
      <c r="N6" s="4"/>
    </row>
    <row r="7" spans="1:16">
      <c r="A7" s="2">
        <v>46171</v>
      </c>
      <c r="B7" t="s">
        <v>171</v>
      </c>
      <c r="C7" t="s">
        <v>166</v>
      </c>
      <c r="D7" t="s">
        <v>167</v>
      </c>
      <c r="E7" t="e">
        <f>VLOOKUP(#REF!,Catalogos!$V$4:$W$55,2,FALSE)</f>
        <v>#REF!</v>
      </c>
      <c r="F7" s="3"/>
      <c r="G7" s="6">
        <v>99</v>
      </c>
      <c r="H7" s="3">
        <f t="shared" si="1"/>
        <v>-178</v>
      </c>
      <c r="I7" s="4">
        <v>27</v>
      </c>
      <c r="J7" s="4" t="e">
        <f>(#REF!*#REF!)</f>
        <v>#REF!</v>
      </c>
      <c r="K7" s="4" t="e">
        <f t="shared" ref="K7:K22" si="2">L6+M6</f>
        <v>#REF!</v>
      </c>
      <c r="L7" s="4" t="e">
        <f>(#REF!-#REF!)</f>
        <v>#REF!</v>
      </c>
      <c r="M7" s="4">
        <f t="shared" si="0"/>
        <v>22</v>
      </c>
      <c r="N7" s="4"/>
    </row>
    <row r="8" spans="1:16">
      <c r="A8" s="2">
        <v>46171</v>
      </c>
      <c r="B8" t="s">
        <v>171</v>
      </c>
      <c r="C8" t="s">
        <v>166</v>
      </c>
      <c r="D8" t="s">
        <v>58</v>
      </c>
      <c r="E8" t="e">
        <f>VLOOKUP(#REF!,Catalogos!$V$4:$W$55,2,FALSE)</f>
        <v>#REF!</v>
      </c>
      <c r="F8" s="3"/>
      <c r="G8" s="6">
        <v>99</v>
      </c>
      <c r="H8" s="3">
        <f t="shared" si="1"/>
        <v>-277</v>
      </c>
      <c r="I8" s="4">
        <v>27</v>
      </c>
      <c r="J8" s="4" t="e">
        <f>(#REF!*#REF!)</f>
        <v>#REF!</v>
      </c>
      <c r="K8" s="4" t="e">
        <f t="shared" si="2"/>
        <v>#REF!</v>
      </c>
      <c r="L8" s="4" t="e">
        <f>(#REF!-#REF!)</f>
        <v>#REF!</v>
      </c>
      <c r="M8" s="4">
        <f t="shared" si="0"/>
        <v>22</v>
      </c>
      <c r="N8" s="4"/>
    </row>
    <row r="9" spans="1:16">
      <c r="A9" s="2">
        <v>46172</v>
      </c>
      <c r="B9" t="s">
        <v>171</v>
      </c>
      <c r="C9" t="s">
        <v>166</v>
      </c>
      <c r="D9" t="s">
        <v>167</v>
      </c>
      <c r="E9" t="e">
        <f>VLOOKUP(#REF!,Catalogos!$V$4:$W$55,2,FALSE)</f>
        <v>#REF!</v>
      </c>
      <c r="F9" s="3"/>
      <c r="G9" s="6">
        <v>90</v>
      </c>
      <c r="H9" s="3">
        <f t="shared" si="1"/>
        <v>-376</v>
      </c>
      <c r="I9" s="4">
        <v>27</v>
      </c>
      <c r="J9" s="4" t="e">
        <f>(#REF!*#REF!)</f>
        <v>#REF!</v>
      </c>
      <c r="K9" s="4" t="e">
        <f t="shared" si="2"/>
        <v>#REF!</v>
      </c>
      <c r="L9" s="4" t="e">
        <f>(#REF!-#REF!)</f>
        <v>#REF!</v>
      </c>
      <c r="M9" s="4">
        <f t="shared" si="0"/>
        <v>22</v>
      </c>
      <c r="N9" s="4"/>
    </row>
    <row r="10" spans="1:16">
      <c r="A10" s="2">
        <v>46172</v>
      </c>
      <c r="B10" t="s">
        <v>171</v>
      </c>
      <c r="C10" t="s">
        <v>166</v>
      </c>
      <c r="D10" t="s">
        <v>58</v>
      </c>
      <c r="E10" t="e">
        <f>VLOOKUP(#REF!,Catalogos!$V$4:$W$55,2,FALSE)</f>
        <v>#REF!</v>
      </c>
      <c r="F10" s="3"/>
      <c r="G10" s="6">
        <v>90</v>
      </c>
      <c r="H10" s="3">
        <f t="shared" si="1"/>
        <v>-466</v>
      </c>
      <c r="I10" s="4">
        <v>27</v>
      </c>
      <c r="J10" s="4" t="e">
        <f>(#REF!*#REF!)</f>
        <v>#REF!</v>
      </c>
      <c r="K10" s="4" t="e">
        <f t="shared" si="2"/>
        <v>#REF!</v>
      </c>
      <c r="L10" s="4" t="e">
        <f>(#REF!-#REF!)</f>
        <v>#REF!</v>
      </c>
      <c r="M10" s="4">
        <f t="shared" si="0"/>
        <v>22</v>
      </c>
      <c r="N10" s="4"/>
    </row>
    <row r="11" spans="1:16">
      <c r="A11" s="2">
        <v>46174</v>
      </c>
      <c r="B11" t="s">
        <v>171</v>
      </c>
      <c r="C11" t="s">
        <v>166</v>
      </c>
      <c r="D11" t="s">
        <v>56</v>
      </c>
      <c r="E11" t="e">
        <f>VLOOKUP(#REF!,Catalogos!$V$4:$W$55,2,FALSE)</f>
        <v>#REF!</v>
      </c>
      <c r="F11" s="3"/>
      <c r="G11" s="6">
        <v>50</v>
      </c>
      <c r="H11" s="3">
        <f t="shared" si="1"/>
        <v>-556</v>
      </c>
      <c r="I11" s="4">
        <v>27</v>
      </c>
      <c r="J11" s="4" t="e">
        <f>(#REF!*#REF!)</f>
        <v>#REF!</v>
      </c>
      <c r="K11" s="4" t="e">
        <f>L10+M10</f>
        <v>#REF!</v>
      </c>
      <c r="L11" s="4" t="e">
        <f>(#REF!-#REF!)</f>
        <v>#REF!</v>
      </c>
      <c r="M11" s="4">
        <f t="shared" si="0"/>
        <v>23</v>
      </c>
      <c r="N11" s="4"/>
    </row>
    <row r="12" spans="1:16">
      <c r="A12" s="2">
        <v>46175</v>
      </c>
      <c r="B12" t="s">
        <v>171</v>
      </c>
      <c r="C12" t="s">
        <v>166</v>
      </c>
      <c r="D12" t="s">
        <v>167</v>
      </c>
      <c r="E12" t="e">
        <f>VLOOKUP(#REF!,Catalogos!$V$4:$W$55,2,FALSE)</f>
        <v>#REF!</v>
      </c>
      <c r="F12" s="3"/>
      <c r="G12" s="6">
        <v>74</v>
      </c>
      <c r="H12" s="3">
        <f t="shared" si="1"/>
        <v>-606</v>
      </c>
      <c r="I12" s="4">
        <v>27</v>
      </c>
      <c r="J12" s="4" t="e">
        <f>(#REF!*#REF!)</f>
        <v>#REF!</v>
      </c>
      <c r="K12" s="4" t="e">
        <f>L11+M11</f>
        <v>#REF!</v>
      </c>
      <c r="L12" s="4" t="e">
        <f>(#REF!-#REF!)</f>
        <v>#REF!</v>
      </c>
      <c r="M12" s="4">
        <f t="shared" si="0"/>
        <v>23</v>
      </c>
      <c r="N12" s="4"/>
    </row>
    <row r="13" spans="1:16">
      <c r="A13" s="2">
        <v>46175</v>
      </c>
      <c r="B13" t="s">
        <v>171</v>
      </c>
      <c r="C13" t="s">
        <v>166</v>
      </c>
      <c r="D13" t="s">
        <v>58</v>
      </c>
      <c r="E13" t="e">
        <f>VLOOKUP(#REF!,Catalogos!$V$4:$W$55,2,FALSE)</f>
        <v>#REF!</v>
      </c>
      <c r="F13" s="3"/>
      <c r="G13" s="6">
        <v>80</v>
      </c>
      <c r="H13" s="3">
        <f t="shared" si="1"/>
        <v>-680</v>
      </c>
      <c r="I13" s="4">
        <v>27</v>
      </c>
      <c r="J13" s="4" t="e">
        <f>(#REF!*#REF!)</f>
        <v>#REF!</v>
      </c>
      <c r="K13" s="4" t="e">
        <f t="shared" si="2"/>
        <v>#REF!</v>
      </c>
      <c r="L13" s="4" t="e">
        <f>(#REF!-#REF!)</f>
        <v>#REF!</v>
      </c>
      <c r="M13" s="4">
        <f t="shared" si="0"/>
        <v>23</v>
      </c>
      <c r="N13" s="4"/>
    </row>
    <row r="14" spans="1:16">
      <c r="A14" s="2">
        <v>46175</v>
      </c>
      <c r="B14" t="s">
        <v>171</v>
      </c>
      <c r="C14" t="s">
        <v>166</v>
      </c>
      <c r="D14" t="s">
        <v>169</v>
      </c>
      <c r="E14" t="e">
        <f>VLOOKUP(#REF!,Catalogos!$V$4:$W$55,2,FALSE)</f>
        <v>#REF!</v>
      </c>
      <c r="F14" s="3"/>
      <c r="G14" s="6">
        <v>40</v>
      </c>
      <c r="H14" s="3">
        <f t="shared" si="1"/>
        <v>-760</v>
      </c>
      <c r="I14" s="4">
        <v>27</v>
      </c>
      <c r="J14" s="4" t="e">
        <f>(#REF!*#REF!)</f>
        <v>#REF!</v>
      </c>
      <c r="K14" s="4" t="e">
        <f t="shared" si="2"/>
        <v>#REF!</v>
      </c>
      <c r="L14" s="4" t="e">
        <f>(#REF!-#REF!)</f>
        <v>#REF!</v>
      </c>
      <c r="M14" s="4">
        <f t="shared" si="0"/>
        <v>23</v>
      </c>
      <c r="N14" s="4"/>
    </row>
    <row r="15" spans="1:16">
      <c r="A15" s="2">
        <v>46177</v>
      </c>
      <c r="B15" t="s">
        <v>171</v>
      </c>
      <c r="C15" t="s">
        <v>166</v>
      </c>
      <c r="D15" t="s">
        <v>167</v>
      </c>
      <c r="E15" t="e">
        <f>VLOOKUP(#REF!,Catalogos!$V$4:$W$55,2,FALSE)</f>
        <v>#REF!</v>
      </c>
      <c r="F15" s="3"/>
      <c r="G15" s="6">
        <v>70</v>
      </c>
      <c r="H15" s="3">
        <f t="shared" si="1"/>
        <v>-800</v>
      </c>
      <c r="I15" s="4">
        <v>27</v>
      </c>
      <c r="J15" s="4" t="e">
        <f>(#REF!*#REF!)</f>
        <v>#REF!</v>
      </c>
      <c r="K15" s="4" t="e">
        <f t="shared" si="2"/>
        <v>#REF!</v>
      </c>
      <c r="L15" s="4" t="e">
        <f>(#REF!-#REF!)</f>
        <v>#REF!</v>
      </c>
      <c r="M15" s="4">
        <f t="shared" si="0"/>
        <v>23</v>
      </c>
      <c r="N15" s="4"/>
    </row>
    <row r="16" spans="1:16">
      <c r="A16" s="2">
        <v>46177</v>
      </c>
      <c r="B16" t="s">
        <v>171</v>
      </c>
      <c r="C16" t="s">
        <v>166</v>
      </c>
      <c r="D16" t="s">
        <v>62</v>
      </c>
      <c r="E16" t="e">
        <f>VLOOKUP(#REF!,Catalogos!$V$4:$W$55,2,FALSE)</f>
        <v>#REF!</v>
      </c>
      <c r="F16" s="3"/>
      <c r="G16" s="6">
        <v>100</v>
      </c>
      <c r="H16" s="3">
        <f t="shared" si="1"/>
        <v>-870</v>
      </c>
      <c r="I16" s="4">
        <v>27</v>
      </c>
      <c r="J16" s="4" t="e">
        <f>(#REF!*#REF!)</f>
        <v>#REF!</v>
      </c>
      <c r="K16" s="4" t="e">
        <f t="shared" si="2"/>
        <v>#REF!</v>
      </c>
      <c r="L16" s="4" t="e">
        <f>(#REF!-#REF!)</f>
        <v>#REF!</v>
      </c>
      <c r="M16" s="4">
        <f t="shared" si="0"/>
        <v>23</v>
      </c>
      <c r="N16" s="4"/>
    </row>
    <row r="17" spans="1:14">
      <c r="A17" s="2">
        <v>46178</v>
      </c>
      <c r="B17" t="s">
        <v>171</v>
      </c>
      <c r="C17" t="s">
        <v>166</v>
      </c>
      <c r="D17" t="s">
        <v>167</v>
      </c>
      <c r="E17" t="e">
        <f>VLOOKUP(#REF!,Catalogos!$V$4:$W$55,2,FALSE)</f>
        <v>#REF!</v>
      </c>
      <c r="F17" s="3"/>
      <c r="G17" s="6">
        <v>60</v>
      </c>
      <c r="H17" s="3">
        <f t="shared" si="1"/>
        <v>-970</v>
      </c>
      <c r="I17" s="4">
        <v>27</v>
      </c>
      <c r="J17" s="4" t="e">
        <f>(#REF!*#REF!)</f>
        <v>#REF!</v>
      </c>
      <c r="K17" s="4" t="e">
        <f t="shared" si="2"/>
        <v>#REF!</v>
      </c>
      <c r="L17" s="4" t="e">
        <f>(#REF!-#REF!)</f>
        <v>#REF!</v>
      </c>
      <c r="M17" s="4">
        <f t="shared" si="0"/>
        <v>23</v>
      </c>
      <c r="N17" s="4"/>
    </row>
    <row r="18" spans="1:14">
      <c r="A18" s="2">
        <v>46178</v>
      </c>
      <c r="B18" t="s">
        <v>171</v>
      </c>
      <c r="C18" t="s">
        <v>166</v>
      </c>
      <c r="D18" t="s">
        <v>58</v>
      </c>
      <c r="E18" t="e">
        <f>VLOOKUP(#REF!,Catalogos!$V$4:$W$55,2,FALSE)</f>
        <v>#REF!</v>
      </c>
      <c r="F18" s="3"/>
      <c r="G18" s="6">
        <v>70</v>
      </c>
      <c r="H18" s="3">
        <f t="shared" si="1"/>
        <v>-1030</v>
      </c>
      <c r="I18" s="4">
        <v>27</v>
      </c>
      <c r="J18" s="4" t="e">
        <f>(#REF!*#REF!)</f>
        <v>#REF!</v>
      </c>
      <c r="K18" s="4" t="e">
        <f t="shared" si="2"/>
        <v>#REF!</v>
      </c>
      <c r="L18" s="4" t="e">
        <f>(#REF!-#REF!)</f>
        <v>#REF!</v>
      </c>
      <c r="M18" s="4">
        <f t="shared" si="0"/>
        <v>23</v>
      </c>
      <c r="N18" s="4"/>
    </row>
    <row r="19" spans="1:14">
      <c r="A19" s="2">
        <v>46178</v>
      </c>
      <c r="B19" t="s">
        <v>171</v>
      </c>
      <c r="C19" t="s">
        <v>166</v>
      </c>
      <c r="D19" t="s">
        <v>169</v>
      </c>
      <c r="E19" t="e">
        <f>VLOOKUP(#REF!,Catalogos!$V$4:$W$55,2,FALSE)</f>
        <v>#REF!</v>
      </c>
      <c r="F19" s="3"/>
      <c r="G19" s="6">
        <v>40</v>
      </c>
      <c r="H19" s="3">
        <f t="shared" si="1"/>
        <v>-1100</v>
      </c>
      <c r="I19" s="4">
        <v>27</v>
      </c>
      <c r="J19" s="4" t="e">
        <f>(#REF!*#REF!)</f>
        <v>#REF!</v>
      </c>
      <c r="K19" s="4" t="e">
        <f t="shared" si="2"/>
        <v>#REF!</v>
      </c>
      <c r="L19" s="4" t="e">
        <f>(#REF!-#REF!)</f>
        <v>#REF!</v>
      </c>
      <c r="M19" s="4">
        <f t="shared" si="0"/>
        <v>23</v>
      </c>
      <c r="N19" s="4"/>
    </row>
    <row r="20" spans="1:14">
      <c r="A20" s="2">
        <v>46179</v>
      </c>
      <c r="B20" t="s">
        <v>171</v>
      </c>
      <c r="C20" t="s">
        <v>166</v>
      </c>
      <c r="D20" t="s">
        <v>167</v>
      </c>
      <c r="E20" t="e">
        <f>VLOOKUP(#REF!,Catalogos!$V$4:$W$55,2,FALSE)</f>
        <v>#REF!</v>
      </c>
      <c r="F20" s="3"/>
      <c r="G20" s="6">
        <v>100</v>
      </c>
      <c r="H20" s="3">
        <f t="shared" si="1"/>
        <v>-1140</v>
      </c>
      <c r="I20" s="4">
        <v>27</v>
      </c>
      <c r="J20" s="4" t="e">
        <f>(#REF!*#REF!)</f>
        <v>#REF!</v>
      </c>
      <c r="K20" s="4" t="e">
        <f t="shared" si="2"/>
        <v>#REF!</v>
      </c>
      <c r="L20" s="4" t="e">
        <f>(#REF!-#REF!)</f>
        <v>#REF!</v>
      </c>
      <c r="M20" s="4">
        <f t="shared" si="0"/>
        <v>23</v>
      </c>
      <c r="N20" s="4"/>
    </row>
    <row r="21" spans="1:14">
      <c r="A21" s="2">
        <v>46179</v>
      </c>
      <c r="B21" t="s">
        <v>171</v>
      </c>
      <c r="C21" t="s">
        <v>166</v>
      </c>
      <c r="D21" t="s">
        <v>58</v>
      </c>
      <c r="E21" t="e">
        <f>VLOOKUP(#REF!,Catalogos!$V$4:$W$55,2,FALSE)</f>
        <v>#REF!</v>
      </c>
      <c r="F21" s="3"/>
      <c r="G21" s="6">
        <v>100</v>
      </c>
      <c r="H21" s="3">
        <f t="shared" si="1"/>
        <v>-1240</v>
      </c>
      <c r="I21" s="4">
        <v>27</v>
      </c>
      <c r="J21" s="4" t="e">
        <f>(#REF!*#REF!)</f>
        <v>#REF!</v>
      </c>
      <c r="K21" s="4" t="e">
        <f t="shared" si="2"/>
        <v>#REF!</v>
      </c>
      <c r="L21" s="4" t="e">
        <f>(#REF!-#REF!)</f>
        <v>#REF!</v>
      </c>
      <c r="M21" s="4">
        <f t="shared" si="0"/>
        <v>23</v>
      </c>
      <c r="N21" s="4"/>
    </row>
    <row r="22" spans="1:14">
      <c r="A22" s="2">
        <v>46179</v>
      </c>
      <c r="B22" t="s">
        <v>171</v>
      </c>
      <c r="C22" t="s">
        <v>166</v>
      </c>
      <c r="D22" t="s">
        <v>56</v>
      </c>
      <c r="E22" t="e">
        <f>VLOOKUP(#REF!,Catalogos!$V$4:$W$55,2,FALSE)</f>
        <v>#REF!</v>
      </c>
      <c r="F22" s="3"/>
      <c r="G22" s="6">
        <v>40</v>
      </c>
      <c r="H22" s="3">
        <f t="shared" si="1"/>
        <v>-1340</v>
      </c>
      <c r="I22" s="4">
        <v>27</v>
      </c>
      <c r="J22" s="4" t="e">
        <f>(#REF!*#REF!)</f>
        <v>#REF!</v>
      </c>
      <c r="K22" s="4" t="e">
        <f t="shared" si="2"/>
        <v>#REF!</v>
      </c>
      <c r="L22" s="4" t="e">
        <f>(#REF!-#REF!)</f>
        <v>#REF!</v>
      </c>
      <c r="M22" s="4">
        <f t="shared" si="0"/>
        <v>23</v>
      </c>
      <c r="N22" s="4">
        <v>3000</v>
      </c>
    </row>
    <row r="23" spans="1:14">
      <c r="A23" s="2">
        <v>46181</v>
      </c>
      <c r="B23" t="s">
        <v>171</v>
      </c>
      <c r="C23" t="s">
        <v>166</v>
      </c>
      <c r="D23" t="s">
        <v>167</v>
      </c>
      <c r="E23" t="e">
        <f>VLOOKUP(#REF!,Catalogos!$V$4:$W$55,2,FALSE)</f>
        <v>#REF!</v>
      </c>
      <c r="F23" s="3"/>
      <c r="G23" s="6">
        <v>70</v>
      </c>
      <c r="H23" s="3">
        <f t="shared" si="1"/>
        <v>-1380</v>
      </c>
      <c r="I23" s="4">
        <v>27</v>
      </c>
      <c r="J23" s="4" t="e">
        <f>(#REF!*#REF!)</f>
        <v>#REF!</v>
      </c>
      <c r="K23" s="4" t="e">
        <f>L22+M22-N22</f>
        <v>#REF!</v>
      </c>
      <c r="L23" s="4" t="e">
        <f>(#REF!-#REF!)</f>
        <v>#REF!</v>
      </c>
      <c r="M23" s="4">
        <f t="shared" si="0"/>
        <v>24</v>
      </c>
      <c r="N23" s="4"/>
    </row>
    <row r="24" spans="1:14">
      <c r="A24" s="2">
        <v>46181</v>
      </c>
      <c r="B24" t="s">
        <v>171</v>
      </c>
      <c r="C24" t="s">
        <v>166</v>
      </c>
      <c r="D24" t="s">
        <v>169</v>
      </c>
      <c r="E24" t="e">
        <f>VLOOKUP(#REF!,Catalogos!$V$4:$W$55,2,FALSE)</f>
        <v>#REF!</v>
      </c>
      <c r="F24" s="3"/>
      <c r="G24" s="6">
        <v>40</v>
      </c>
      <c r="H24" s="3">
        <f t="shared" si="1"/>
        <v>-1450</v>
      </c>
      <c r="I24" s="4">
        <v>27</v>
      </c>
      <c r="J24" s="4" t="e">
        <f>(#REF!*#REF!)</f>
        <v>#REF!</v>
      </c>
      <c r="K24" s="4" t="e">
        <f>L23+M23-N23</f>
        <v>#REF!</v>
      </c>
      <c r="L24" s="4" t="e">
        <f>(#REF!-#REF!)</f>
        <v>#REF!</v>
      </c>
      <c r="M24" s="4">
        <f t="shared" si="0"/>
        <v>24</v>
      </c>
      <c r="N24" s="4"/>
    </row>
    <row r="25" spans="1:14">
      <c r="A25" s="2">
        <v>46184</v>
      </c>
      <c r="B25" t="s">
        <v>171</v>
      </c>
      <c r="C25" t="s">
        <v>166</v>
      </c>
      <c r="D25" t="s">
        <v>52</v>
      </c>
      <c r="E25" t="e">
        <f>VLOOKUP(#REF!,Catalogos!$V$4:$W$55,2,FALSE)</f>
        <v>#REF!</v>
      </c>
      <c r="F25" s="3"/>
      <c r="G25" s="6">
        <v>70</v>
      </c>
      <c r="H25" s="3">
        <f t="shared" si="1"/>
        <v>-1490</v>
      </c>
      <c r="I25" s="4">
        <v>27</v>
      </c>
      <c r="J25" s="4" t="e">
        <f>(#REF!*#REF!)</f>
        <v>#REF!</v>
      </c>
      <c r="K25" s="4" t="e">
        <f>L24+M24-N24</f>
        <v>#REF!</v>
      </c>
      <c r="L25" s="4" t="e">
        <f>(#REF!-#REF!)</f>
        <v>#REF!</v>
      </c>
      <c r="M25" s="4">
        <f t="shared" si="0"/>
        <v>24</v>
      </c>
      <c r="N25" s="4">
        <v>1556</v>
      </c>
    </row>
    <row r="26" spans="1:14">
      <c r="A26" s="2">
        <v>46188</v>
      </c>
      <c r="B26" t="s">
        <v>171</v>
      </c>
      <c r="C26" t="s">
        <v>166</v>
      </c>
      <c r="D26" t="s">
        <v>52</v>
      </c>
      <c r="E26" t="e">
        <f>VLOOKUP(#REF!,Catalogos!$V$4:$W$55,2,FALSE)</f>
        <v>#REF!</v>
      </c>
      <c r="F26" s="3"/>
      <c r="G26" s="6">
        <v>100</v>
      </c>
      <c r="H26" s="3">
        <f t="shared" si="1"/>
        <v>-1560</v>
      </c>
      <c r="I26" s="4">
        <v>27</v>
      </c>
      <c r="J26" s="4" t="e">
        <f>(#REF!*#REF!)</f>
        <v>#REF!</v>
      </c>
      <c r="K26" s="4" t="e">
        <f t="shared" ref="K26:K87" si="3">L25+M25-N25</f>
        <v>#REF!</v>
      </c>
      <c r="L26" s="4" t="e">
        <f>(#REF!-#REF!)</f>
        <v>#REF!</v>
      </c>
      <c r="M26" s="4">
        <f t="shared" si="0"/>
        <v>25</v>
      </c>
      <c r="N26" s="4"/>
    </row>
    <row r="27" spans="1:14">
      <c r="A27" s="2">
        <v>46189</v>
      </c>
      <c r="B27" t="s">
        <v>171</v>
      </c>
      <c r="C27" t="s">
        <v>166</v>
      </c>
      <c r="D27" t="s">
        <v>167</v>
      </c>
      <c r="E27" t="e">
        <f>VLOOKUP(#REF!,Catalogos!$V$4:$W$55,2,FALSE)</f>
        <v>#REF!</v>
      </c>
      <c r="F27" s="3"/>
      <c r="G27" s="6">
        <v>90</v>
      </c>
      <c r="H27" s="3">
        <f t="shared" si="1"/>
        <v>-1660</v>
      </c>
      <c r="I27" s="4">
        <v>27</v>
      </c>
      <c r="J27" s="4" t="e">
        <f>(#REF!*#REF!)</f>
        <v>#REF!</v>
      </c>
      <c r="K27" s="4" t="e">
        <f t="shared" si="3"/>
        <v>#REF!</v>
      </c>
      <c r="L27" s="4" t="e">
        <f>(#REF!-#REF!)</f>
        <v>#REF!</v>
      </c>
      <c r="M27" s="4">
        <f t="shared" si="0"/>
        <v>25</v>
      </c>
      <c r="N27" s="4"/>
    </row>
    <row r="28" spans="1:14">
      <c r="A28" s="2">
        <v>46189</v>
      </c>
      <c r="B28" t="s">
        <v>171</v>
      </c>
      <c r="C28" t="s">
        <v>166</v>
      </c>
      <c r="D28" t="s">
        <v>52</v>
      </c>
      <c r="E28" t="e">
        <f>VLOOKUP(#REF!,Catalogos!$V$4:$W$55,2,FALSE)</f>
        <v>#REF!</v>
      </c>
      <c r="F28" s="3"/>
      <c r="G28" s="6">
        <v>140</v>
      </c>
      <c r="H28" s="3">
        <f t="shared" si="1"/>
        <v>-1750</v>
      </c>
      <c r="I28" s="4">
        <v>27</v>
      </c>
      <c r="J28" s="4" t="e">
        <f>(#REF!*#REF!)</f>
        <v>#REF!</v>
      </c>
      <c r="K28" s="4" t="e">
        <f t="shared" si="3"/>
        <v>#REF!</v>
      </c>
      <c r="L28" s="4" t="e">
        <f>(#REF!-#REF!)</f>
        <v>#REF!</v>
      </c>
      <c r="M28" s="4">
        <f t="shared" si="0"/>
        <v>25</v>
      </c>
      <c r="N28" s="4"/>
    </row>
    <row r="29" spans="1:14">
      <c r="A29" s="2">
        <v>46190</v>
      </c>
      <c r="B29" t="s">
        <v>171</v>
      </c>
      <c r="C29" t="s">
        <v>166</v>
      </c>
      <c r="D29" t="s">
        <v>169</v>
      </c>
      <c r="E29" t="e">
        <f>VLOOKUP(#REF!,Catalogos!$V$4:$W$55,2,FALSE)</f>
        <v>#REF!</v>
      </c>
      <c r="F29" s="3"/>
      <c r="G29" s="6">
        <v>50</v>
      </c>
      <c r="H29" s="3">
        <f t="shared" si="1"/>
        <v>-1890</v>
      </c>
      <c r="I29" s="4">
        <v>27</v>
      </c>
      <c r="J29" s="4" t="e">
        <f>(#REF!*#REF!)</f>
        <v>#REF!</v>
      </c>
      <c r="K29" s="4" t="e">
        <f t="shared" si="3"/>
        <v>#REF!</v>
      </c>
      <c r="L29" s="4" t="e">
        <f>(#REF!-#REF!)</f>
        <v>#REF!</v>
      </c>
      <c r="M29" s="4">
        <f t="shared" si="0"/>
        <v>25</v>
      </c>
      <c r="N29" s="4"/>
    </row>
    <row r="30" spans="1:14">
      <c r="A30" s="2">
        <v>46190</v>
      </c>
      <c r="B30" t="s">
        <v>171</v>
      </c>
      <c r="C30" t="s">
        <v>166</v>
      </c>
      <c r="D30" t="s">
        <v>52</v>
      </c>
      <c r="E30" t="e">
        <f>VLOOKUP(#REF!,Catalogos!$V$4:$W$55,2,FALSE)</f>
        <v>#REF!</v>
      </c>
      <c r="F30" s="3"/>
      <c r="G30" s="6">
        <v>100</v>
      </c>
      <c r="H30" s="3">
        <f t="shared" si="1"/>
        <v>-1940</v>
      </c>
      <c r="I30" s="4">
        <v>27</v>
      </c>
      <c r="J30" s="4" t="e">
        <f>(#REF!*#REF!)</f>
        <v>#REF!</v>
      </c>
      <c r="K30" s="4" t="e">
        <f t="shared" si="3"/>
        <v>#REF!</v>
      </c>
      <c r="L30" s="4" t="e">
        <f>(#REF!-#REF!)</f>
        <v>#REF!</v>
      </c>
      <c r="M30" s="4">
        <f t="shared" si="0"/>
        <v>25</v>
      </c>
      <c r="N30" s="4"/>
    </row>
    <row r="31" spans="1:14">
      <c r="A31" s="2">
        <v>46191</v>
      </c>
      <c r="B31" t="s">
        <v>171</v>
      </c>
      <c r="C31" t="s">
        <v>166</v>
      </c>
      <c r="D31" t="s">
        <v>58</v>
      </c>
      <c r="E31" t="e">
        <f>VLOOKUP(#REF!,Catalogos!$V$4:$W$55,2,FALSE)</f>
        <v>#REF!</v>
      </c>
      <c r="F31" s="3"/>
      <c r="G31" s="6">
        <v>70</v>
      </c>
      <c r="H31" s="3">
        <f t="shared" si="1"/>
        <v>-2040</v>
      </c>
      <c r="I31" s="4">
        <v>27</v>
      </c>
      <c r="J31" s="4" t="e">
        <f>(#REF!*#REF!)</f>
        <v>#REF!</v>
      </c>
      <c r="K31" s="4" t="e">
        <f t="shared" si="3"/>
        <v>#REF!</v>
      </c>
      <c r="L31" s="4" t="e">
        <f>(#REF!-#REF!)</f>
        <v>#REF!</v>
      </c>
      <c r="M31" s="4">
        <f t="shared" si="0"/>
        <v>25</v>
      </c>
      <c r="N31" s="4"/>
    </row>
    <row r="32" spans="1:14">
      <c r="A32" s="2">
        <v>46191</v>
      </c>
      <c r="B32" t="s">
        <v>171</v>
      </c>
      <c r="C32" t="s">
        <v>166</v>
      </c>
      <c r="D32" t="s">
        <v>56</v>
      </c>
      <c r="E32" t="e">
        <f>VLOOKUP(#REF!,Catalogos!$V$4:$W$55,2,FALSE)</f>
        <v>#REF!</v>
      </c>
      <c r="F32" s="3"/>
      <c r="G32" s="6">
        <v>40</v>
      </c>
      <c r="H32" s="3">
        <f t="shared" si="1"/>
        <v>-2110</v>
      </c>
      <c r="I32" s="4">
        <v>27</v>
      </c>
      <c r="J32" s="4" t="e">
        <f>(#REF!*#REF!)</f>
        <v>#REF!</v>
      </c>
      <c r="K32" s="4" t="e">
        <f t="shared" si="3"/>
        <v>#REF!</v>
      </c>
      <c r="L32" s="4" t="e">
        <f>(#REF!-#REF!)</f>
        <v>#REF!</v>
      </c>
      <c r="M32" s="4">
        <f t="shared" si="0"/>
        <v>25</v>
      </c>
      <c r="N32" s="4"/>
    </row>
    <row r="33" spans="1:18">
      <c r="A33" s="2">
        <v>46191</v>
      </c>
      <c r="B33" t="s">
        <v>171</v>
      </c>
      <c r="C33" t="s">
        <v>166</v>
      </c>
      <c r="D33" t="s">
        <v>52</v>
      </c>
      <c r="E33" t="e">
        <f>VLOOKUP(#REF!,Catalogos!$V$4:$W$55,2,FALSE)</f>
        <v>#REF!</v>
      </c>
      <c r="F33" s="3"/>
      <c r="G33" s="6">
        <v>100</v>
      </c>
      <c r="H33" s="3">
        <f t="shared" si="1"/>
        <v>-2150</v>
      </c>
      <c r="I33" s="4">
        <v>27</v>
      </c>
      <c r="J33" s="4" t="e">
        <f>(#REF!*#REF!)</f>
        <v>#REF!</v>
      </c>
      <c r="K33" s="4" t="e">
        <f t="shared" si="3"/>
        <v>#REF!</v>
      </c>
      <c r="L33" s="4" t="e">
        <f>(#REF!-#REF!)</f>
        <v>#REF!</v>
      </c>
      <c r="M33" s="4">
        <f t="shared" si="0"/>
        <v>25</v>
      </c>
      <c r="N33" s="4">
        <v>3700</v>
      </c>
    </row>
    <row r="34" spans="1:18">
      <c r="A34" s="2">
        <v>46192</v>
      </c>
      <c r="B34" t="s">
        <v>171</v>
      </c>
      <c r="C34" t="s">
        <v>166</v>
      </c>
      <c r="D34" t="s">
        <v>253</v>
      </c>
      <c r="E34" t="e">
        <f>VLOOKUP(#REF!,Catalogos!$V$4:$W$55,2,FALSE)</f>
        <v>#REF!</v>
      </c>
      <c r="G34" s="6">
        <v>150</v>
      </c>
      <c r="H34" s="3">
        <f t="shared" si="1"/>
        <v>-2250</v>
      </c>
      <c r="I34" s="4">
        <v>27</v>
      </c>
      <c r="J34" s="4" t="e">
        <f>(#REF!*#REF!)</f>
        <v>#REF!</v>
      </c>
      <c r="K34" s="4" t="e">
        <f t="shared" si="3"/>
        <v>#REF!</v>
      </c>
      <c r="L34" s="4" t="e">
        <f>(#REF!-#REF!)</f>
        <v>#REF!</v>
      </c>
      <c r="M34" s="4">
        <f t="shared" si="0"/>
        <v>25</v>
      </c>
      <c r="N34" s="4"/>
    </row>
    <row r="35" spans="1:18">
      <c r="A35" s="2">
        <v>46193</v>
      </c>
      <c r="B35" t="s">
        <v>171</v>
      </c>
      <c r="C35" t="s">
        <v>166</v>
      </c>
      <c r="D35" t="s">
        <v>253</v>
      </c>
      <c r="E35" t="e">
        <f>VLOOKUP(#REF!,Catalogos!$V$4:$W$55,2,FALSE)</f>
        <v>#REF!</v>
      </c>
      <c r="F35" s="3"/>
      <c r="G35" s="6">
        <v>90</v>
      </c>
      <c r="H35" s="3">
        <f t="shared" ref="H35:H63" si="4">IF(ROW()=5,F35-G35,H34+F35-G35)</f>
        <v>-2340</v>
      </c>
      <c r="I35" s="4">
        <v>27</v>
      </c>
      <c r="J35" s="4" t="e">
        <f>(#REF!*#REF!)</f>
        <v>#REF!</v>
      </c>
      <c r="K35" s="4" t="e">
        <f t="shared" si="3"/>
        <v>#REF!</v>
      </c>
      <c r="L35" s="4" t="e">
        <f>(#REF!-#REF!)</f>
        <v>#REF!</v>
      </c>
      <c r="M35" s="4">
        <f t="shared" si="0"/>
        <v>25</v>
      </c>
      <c r="N35" s="4"/>
    </row>
    <row r="36" spans="1:18">
      <c r="A36" s="2">
        <v>46195</v>
      </c>
      <c r="B36" t="s">
        <v>171</v>
      </c>
      <c r="C36" t="s">
        <v>166</v>
      </c>
      <c r="D36" t="s">
        <v>209</v>
      </c>
      <c r="E36" t="e">
        <f>VLOOKUP(#REF!,Catalogos!$V$4:$W$55,2,FALSE)</f>
        <v>#REF!</v>
      </c>
      <c r="F36" s="3"/>
      <c r="G36" s="6">
        <v>20</v>
      </c>
      <c r="H36" s="3">
        <f t="shared" si="4"/>
        <v>-2360</v>
      </c>
      <c r="I36" s="4">
        <v>27</v>
      </c>
      <c r="J36" s="4" t="e">
        <f>(#REF!*#REF!)</f>
        <v>#REF!</v>
      </c>
      <c r="K36" s="4" t="e">
        <f t="shared" si="3"/>
        <v>#REF!</v>
      </c>
      <c r="L36" s="4" t="e">
        <f>(#REF!-#REF!)</f>
        <v>#REF!</v>
      </c>
      <c r="M36" s="4">
        <f t="shared" si="0"/>
        <v>26</v>
      </c>
      <c r="N36" s="4"/>
    </row>
    <row r="37" spans="1:18">
      <c r="A37" s="2">
        <v>46195</v>
      </c>
      <c r="B37" t="s">
        <v>171</v>
      </c>
      <c r="C37" t="s">
        <v>166</v>
      </c>
      <c r="D37" t="s">
        <v>253</v>
      </c>
      <c r="E37" t="e">
        <f>VLOOKUP(#REF!,Catalogos!$V$4:$W$55,2,FALSE)</f>
        <v>#REF!</v>
      </c>
      <c r="F37" s="3"/>
      <c r="G37" s="6">
        <v>140</v>
      </c>
      <c r="H37" s="3">
        <f t="shared" si="4"/>
        <v>-2500</v>
      </c>
      <c r="I37" s="4">
        <v>27</v>
      </c>
      <c r="J37" s="4" t="e">
        <f>(#REF!*#REF!)</f>
        <v>#REF!</v>
      </c>
      <c r="K37" s="4" t="e">
        <f t="shared" si="3"/>
        <v>#REF!</v>
      </c>
      <c r="L37" s="4" t="e">
        <f>(#REF!-#REF!)</f>
        <v>#REF!</v>
      </c>
      <c r="M37" s="4">
        <f t="shared" si="0"/>
        <v>26</v>
      </c>
      <c r="N37" s="4"/>
    </row>
    <row r="38" spans="1:18">
      <c r="A38" s="2">
        <v>46195</v>
      </c>
      <c r="B38" t="s">
        <v>171</v>
      </c>
      <c r="C38" t="s">
        <v>166</v>
      </c>
      <c r="D38" t="s">
        <v>743</v>
      </c>
      <c r="E38" t="e">
        <f>VLOOKUP(#REF!,Catalogos!$V$4:$W$55,2,FALSE)</f>
        <v>#REF!</v>
      </c>
      <c r="F38" s="3"/>
      <c r="G38" s="6">
        <v>100.74</v>
      </c>
      <c r="H38" s="3">
        <f t="shared" si="4"/>
        <v>-2600.7399999999998</v>
      </c>
      <c r="I38" s="4">
        <v>27</v>
      </c>
      <c r="J38" s="4" t="e">
        <f>(#REF!*#REF!)</f>
        <v>#REF!</v>
      </c>
      <c r="K38" s="4" t="e">
        <f t="shared" si="3"/>
        <v>#REF!</v>
      </c>
      <c r="L38" s="4" t="e">
        <f>(#REF!-#REF!)</f>
        <v>#REF!</v>
      </c>
      <c r="M38" s="4">
        <f t="shared" si="0"/>
        <v>26</v>
      </c>
      <c r="N38" s="4"/>
    </row>
    <row r="39" spans="1:18">
      <c r="A39" s="2">
        <v>46196</v>
      </c>
      <c r="B39" t="s">
        <v>171</v>
      </c>
      <c r="C39" t="s">
        <v>166</v>
      </c>
      <c r="D39" t="s">
        <v>253</v>
      </c>
      <c r="E39" t="e">
        <f>VLOOKUP(#REF!,Catalogos!$V$4:$W$55,2,FALSE)</f>
        <v>#REF!</v>
      </c>
      <c r="F39" s="3"/>
      <c r="G39" s="6">
        <v>140</v>
      </c>
      <c r="H39" s="3">
        <f t="shared" si="4"/>
        <v>-2740.74</v>
      </c>
      <c r="I39" s="4">
        <v>27</v>
      </c>
      <c r="J39" s="4" t="e">
        <f>(#REF!*#REF!)</f>
        <v>#REF!</v>
      </c>
      <c r="K39" s="4" t="e">
        <f t="shared" si="3"/>
        <v>#REF!</v>
      </c>
      <c r="L39" s="4" t="e">
        <f>(#REF!-#REF!)</f>
        <v>#REF!</v>
      </c>
      <c r="M39" s="4">
        <f t="shared" si="0"/>
        <v>26</v>
      </c>
      <c r="N39" s="4"/>
    </row>
    <row r="40" spans="1:18">
      <c r="A40" s="2">
        <v>46196</v>
      </c>
      <c r="B40" t="s">
        <v>171</v>
      </c>
      <c r="C40" t="s">
        <v>166</v>
      </c>
      <c r="D40" t="s">
        <v>743</v>
      </c>
      <c r="E40" t="e">
        <f>VLOOKUP(#REF!,Catalogos!$V$4:$W$55,2,FALSE)</f>
        <v>#REF!</v>
      </c>
      <c r="F40" s="3"/>
      <c r="G40" s="6">
        <v>119.26</v>
      </c>
      <c r="H40" s="3">
        <f t="shared" si="4"/>
        <v>-2860</v>
      </c>
      <c r="I40" s="4">
        <v>27</v>
      </c>
      <c r="J40" s="4" t="e">
        <f>(#REF!*#REF!)</f>
        <v>#REF!</v>
      </c>
      <c r="K40" s="4" t="e">
        <f t="shared" si="3"/>
        <v>#REF!</v>
      </c>
      <c r="L40" s="4" t="e">
        <f>(#REF!-#REF!)</f>
        <v>#REF!</v>
      </c>
      <c r="M40" s="4">
        <f t="shared" si="0"/>
        <v>26</v>
      </c>
      <c r="N40" s="4"/>
    </row>
    <row r="41" spans="1:18">
      <c r="A41" s="2">
        <v>46197</v>
      </c>
      <c r="B41" t="s">
        <v>171</v>
      </c>
      <c r="C41" t="s">
        <v>166</v>
      </c>
      <c r="D41" t="s">
        <v>243</v>
      </c>
      <c r="E41" t="e">
        <f>VLOOKUP(#REF!,Catalogos!$V$4:$W$55,2,FALSE)</f>
        <v>#REF!</v>
      </c>
      <c r="F41" s="3"/>
      <c r="G41" s="6">
        <v>200</v>
      </c>
      <c r="H41" s="3">
        <f t="shared" si="4"/>
        <v>-3060</v>
      </c>
      <c r="I41" s="4">
        <v>27</v>
      </c>
      <c r="J41" s="4" t="e">
        <f>(#REF!*#REF!)</f>
        <v>#REF!</v>
      </c>
      <c r="K41" s="4" t="e">
        <f t="shared" si="3"/>
        <v>#REF!</v>
      </c>
      <c r="L41" s="4" t="e">
        <f>(#REF!-#REF!)</f>
        <v>#REF!</v>
      </c>
      <c r="M41" s="4">
        <f t="shared" si="0"/>
        <v>26</v>
      </c>
      <c r="N41" s="4"/>
    </row>
    <row r="42" spans="1:18">
      <c r="A42" s="2">
        <v>46197</v>
      </c>
      <c r="B42" t="s">
        <v>171</v>
      </c>
      <c r="C42" t="s">
        <v>166</v>
      </c>
      <c r="D42" t="s">
        <v>243</v>
      </c>
      <c r="E42" t="e">
        <f>VLOOKUP(#REF!,Catalogos!$V$4:$W$55,2,FALSE)</f>
        <v>#REF!</v>
      </c>
      <c r="F42" s="3"/>
      <c r="G42" s="6">
        <v>50</v>
      </c>
      <c r="H42" s="3">
        <f t="shared" si="4"/>
        <v>-3110</v>
      </c>
      <c r="I42" s="4">
        <v>27</v>
      </c>
      <c r="J42" s="4" t="e">
        <f>(#REF!*#REF!)</f>
        <v>#REF!</v>
      </c>
      <c r="K42" s="4" t="e">
        <f t="shared" si="3"/>
        <v>#REF!</v>
      </c>
      <c r="L42" s="4" t="e">
        <f>(#REF!-#REF!)</f>
        <v>#REF!</v>
      </c>
      <c r="M42" s="4">
        <f t="shared" si="0"/>
        <v>26</v>
      </c>
      <c r="N42" s="4"/>
    </row>
    <row r="43" spans="1:18">
      <c r="A43" s="2">
        <v>46197</v>
      </c>
      <c r="B43" t="s">
        <v>171</v>
      </c>
      <c r="C43" t="s">
        <v>166</v>
      </c>
      <c r="D43" t="s">
        <v>253</v>
      </c>
      <c r="E43" t="e">
        <f>VLOOKUP(#REF!,Catalogos!$V$4:$W$55,2,FALSE)</f>
        <v>#REF!</v>
      </c>
      <c r="F43" s="3"/>
      <c r="G43" s="6">
        <v>200</v>
      </c>
      <c r="H43" s="3">
        <f t="shared" si="4"/>
        <v>-3310</v>
      </c>
      <c r="I43" s="4">
        <v>27</v>
      </c>
      <c r="J43" s="4" t="e">
        <f>(#REF!*#REF!)</f>
        <v>#REF!</v>
      </c>
      <c r="K43" s="4" t="e">
        <f t="shared" si="3"/>
        <v>#REF!</v>
      </c>
      <c r="L43" s="4" t="e">
        <f>(#REF!-#REF!)</f>
        <v>#REF!</v>
      </c>
      <c r="M43" s="4">
        <f t="shared" si="0"/>
        <v>26</v>
      </c>
      <c r="N43" s="4"/>
      <c r="R43" s="3">
        <f>SUM(G5:G48)</f>
        <v>3828</v>
      </c>
    </row>
    <row r="44" spans="1:18">
      <c r="A44" s="2">
        <v>46197</v>
      </c>
      <c r="B44" t="s">
        <v>171</v>
      </c>
      <c r="C44" t="s">
        <v>166</v>
      </c>
      <c r="D44" t="s">
        <v>743</v>
      </c>
      <c r="E44" t="e">
        <f>VLOOKUP(#REF!,Catalogos!$V$4:$W$55,2,FALSE)</f>
        <v>#REF!</v>
      </c>
      <c r="F44" s="3"/>
      <c r="G44" s="6">
        <v>100</v>
      </c>
      <c r="H44" s="3">
        <f t="shared" si="4"/>
        <v>-3410</v>
      </c>
      <c r="I44" s="4">
        <v>27</v>
      </c>
      <c r="J44" s="4" t="e">
        <f>(#REF!*#REF!)</f>
        <v>#REF!</v>
      </c>
      <c r="K44" s="4" t="e">
        <f t="shared" si="3"/>
        <v>#REF!</v>
      </c>
      <c r="L44" s="4" t="e">
        <f>(#REF!-#REF!)</f>
        <v>#REF!</v>
      </c>
      <c r="M44" s="4">
        <f t="shared" si="0"/>
        <v>26</v>
      </c>
      <c r="N44" s="4"/>
    </row>
    <row r="45" spans="1:18">
      <c r="A45" s="2">
        <v>46199</v>
      </c>
      <c r="B45" t="s">
        <v>171</v>
      </c>
      <c r="C45" t="s">
        <v>166</v>
      </c>
      <c r="D45" t="s">
        <v>253</v>
      </c>
      <c r="E45" t="e">
        <f>VLOOKUP(#REF!,Catalogos!$V$4:$W$55,2,FALSE)</f>
        <v>#REF!</v>
      </c>
      <c r="F45" s="3"/>
      <c r="G45" s="6">
        <v>160</v>
      </c>
      <c r="H45" s="3">
        <f t="shared" si="4"/>
        <v>-3570</v>
      </c>
      <c r="I45" s="4">
        <v>27</v>
      </c>
      <c r="J45" s="4" t="e">
        <f>(#REF!*#REF!)</f>
        <v>#REF!</v>
      </c>
      <c r="K45" s="4" t="e">
        <f t="shared" si="3"/>
        <v>#REF!</v>
      </c>
      <c r="L45" s="4" t="e">
        <f>(#REF!-#REF!)</f>
        <v>#REF!</v>
      </c>
      <c r="M45" s="4">
        <f t="shared" si="0"/>
        <v>26</v>
      </c>
      <c r="N45" s="4"/>
    </row>
    <row r="46" spans="1:18">
      <c r="A46" s="2">
        <v>46200</v>
      </c>
      <c r="B46" t="s">
        <v>171</v>
      </c>
      <c r="C46" t="s">
        <v>166</v>
      </c>
      <c r="D46" t="s">
        <v>253</v>
      </c>
      <c r="E46" t="e">
        <f>VLOOKUP(#REF!,Catalogos!$V$4:$W$55,2,FALSE)</f>
        <v>#REF!</v>
      </c>
      <c r="F46" s="3"/>
      <c r="G46" s="6">
        <v>108</v>
      </c>
      <c r="H46" s="3">
        <f t="shared" si="4"/>
        <v>-3678</v>
      </c>
      <c r="I46" s="4">
        <v>27</v>
      </c>
      <c r="J46" s="4" t="e">
        <f>(#REF!*#REF!)</f>
        <v>#REF!</v>
      </c>
      <c r="K46" s="4" t="e">
        <f t="shared" si="3"/>
        <v>#REF!</v>
      </c>
      <c r="L46" s="4" t="e">
        <f>(#REF!-#REF!)</f>
        <v>#REF!</v>
      </c>
      <c r="M46" s="4">
        <f t="shared" si="0"/>
        <v>26</v>
      </c>
      <c r="N46" s="4"/>
    </row>
    <row r="47" spans="1:18">
      <c r="A47" s="2"/>
      <c r="E47" t="e">
        <f>VLOOKUP(#REF!,Catalogos!$V$4:$W$55,2,FALSE)</f>
        <v>#REF!</v>
      </c>
      <c r="F47" s="3"/>
      <c r="G47" s="6"/>
      <c r="H47" s="3">
        <f t="shared" si="4"/>
        <v>-3678</v>
      </c>
      <c r="I47" s="4">
        <v>27</v>
      </c>
      <c r="J47" s="4" t="e">
        <f>(#REF!*#REF!)</f>
        <v>#REF!</v>
      </c>
      <c r="K47" s="4" t="e">
        <f t="shared" si="3"/>
        <v>#REF!</v>
      </c>
      <c r="L47" s="4" t="e">
        <f>(#REF!-#REF!)</f>
        <v>#REF!</v>
      </c>
      <c r="M47" s="4" t="str">
        <f t="shared" si="0"/>
        <v/>
      </c>
      <c r="N47" s="4"/>
    </row>
    <row r="48" spans="1:18">
      <c r="A48" s="2"/>
      <c r="E48" t="e">
        <f>VLOOKUP(#REF!,Catalogos!$V$4:$W$55,2,FALSE)</f>
        <v>#REF!</v>
      </c>
      <c r="F48" s="3"/>
      <c r="G48" s="6"/>
      <c r="H48" s="3">
        <v>0</v>
      </c>
      <c r="I48" s="4">
        <v>27</v>
      </c>
      <c r="J48" s="4" t="e">
        <f>(#REF!*#REF!)</f>
        <v>#REF!</v>
      </c>
      <c r="K48" s="4" t="e">
        <f t="shared" si="3"/>
        <v>#REF!</v>
      </c>
      <c r="L48" s="4" t="e">
        <f>(#REF!-#REF!)</f>
        <v>#REF!</v>
      </c>
      <c r="M48" s="4" t="str">
        <f t="shared" si="0"/>
        <v/>
      </c>
      <c r="N48" s="4"/>
    </row>
    <row r="49" spans="1:14">
      <c r="A49" s="2"/>
      <c r="E49" t="e">
        <f>VLOOKUP(#REF!,Catalogos!$V$4:$W$55,2,FALSE)</f>
        <v>#REF!</v>
      </c>
      <c r="F49" s="3"/>
      <c r="G49" s="6"/>
      <c r="H49" s="3">
        <f t="shared" si="4"/>
        <v>0</v>
      </c>
      <c r="I49" s="4"/>
      <c r="J49" s="4"/>
      <c r="K49" s="4" t="e">
        <f t="shared" si="3"/>
        <v>#REF!</v>
      </c>
      <c r="L49" s="4" t="e">
        <f>(#REF!-#REF!)</f>
        <v>#REF!</v>
      </c>
      <c r="M49" s="4" t="str">
        <f t="shared" si="0"/>
        <v/>
      </c>
      <c r="N49" s="4"/>
    </row>
    <row r="50" spans="1:14">
      <c r="A50" s="2"/>
      <c r="E50" t="e">
        <f>VLOOKUP(#REF!,Catalogos!$V$4:$W$55,2,FALSE)</f>
        <v>#REF!</v>
      </c>
      <c r="F50" s="3"/>
      <c r="G50" s="6"/>
      <c r="H50" s="3">
        <f t="shared" si="4"/>
        <v>0</v>
      </c>
      <c r="I50" s="4">
        <v>28.3</v>
      </c>
      <c r="J50" s="4">
        <f t="shared" ref="J50:J68" si="5">IFERROR((F50+G50)*I50,0)</f>
        <v>0</v>
      </c>
      <c r="K50" s="4" t="e">
        <f t="shared" si="3"/>
        <v>#REF!</v>
      </c>
      <c r="L50" s="4" t="e">
        <f>(#REF!-#REF!)</f>
        <v>#REF!</v>
      </c>
      <c r="M50" s="4" t="str">
        <f t="shared" si="0"/>
        <v/>
      </c>
      <c r="N50" s="4"/>
    </row>
    <row r="51" spans="1:14">
      <c r="A51" s="2"/>
      <c r="E51" t="e">
        <f>VLOOKUP(#REF!,Catalogos!$V$4:$W$55,2,FALSE)</f>
        <v>#REF!</v>
      </c>
      <c r="F51" s="3"/>
      <c r="G51" s="6"/>
      <c r="H51" s="3">
        <f t="shared" si="4"/>
        <v>0</v>
      </c>
      <c r="I51" s="4">
        <v>28.3</v>
      </c>
      <c r="J51" s="4">
        <f t="shared" si="5"/>
        <v>0</v>
      </c>
      <c r="K51" s="4" t="e">
        <f t="shared" si="3"/>
        <v>#REF!</v>
      </c>
      <c r="L51" s="4" t="e">
        <f>(#REF!-#REF!)</f>
        <v>#REF!</v>
      </c>
      <c r="M51" s="4" t="str">
        <f t="shared" si="0"/>
        <v/>
      </c>
      <c r="N51" s="4"/>
    </row>
    <row r="52" spans="1:14">
      <c r="A52" s="2"/>
      <c r="E52" t="e">
        <f>VLOOKUP(#REF!,Catalogos!$V$4:$W$55,2,FALSE)</f>
        <v>#REF!</v>
      </c>
      <c r="F52" s="3"/>
      <c r="G52" s="6"/>
      <c r="H52" s="3">
        <f t="shared" si="4"/>
        <v>0</v>
      </c>
      <c r="I52" s="4">
        <v>28.3</v>
      </c>
      <c r="J52" s="4">
        <f t="shared" si="5"/>
        <v>0</v>
      </c>
      <c r="K52" s="4" t="e">
        <f t="shared" si="3"/>
        <v>#REF!</v>
      </c>
      <c r="L52" s="4" t="e">
        <f>(#REF!-#REF!)</f>
        <v>#REF!</v>
      </c>
      <c r="M52" s="4" t="str">
        <f t="shared" si="0"/>
        <v/>
      </c>
      <c r="N52" s="4"/>
    </row>
    <row r="53" spans="1:14">
      <c r="A53" s="2"/>
      <c r="E53" t="e">
        <f>VLOOKUP(#REF!,Catalogos!$V$4:$W$55,2,FALSE)</f>
        <v>#REF!</v>
      </c>
      <c r="F53" s="3"/>
      <c r="G53" s="6"/>
      <c r="H53" s="3">
        <f t="shared" si="4"/>
        <v>0</v>
      </c>
      <c r="I53" s="4">
        <v>28.3</v>
      </c>
      <c r="J53" s="4">
        <f t="shared" si="5"/>
        <v>0</v>
      </c>
      <c r="K53" s="4" t="e">
        <f t="shared" si="3"/>
        <v>#REF!</v>
      </c>
      <c r="L53" s="4" t="e">
        <f>(#REF!-#REF!)</f>
        <v>#REF!</v>
      </c>
      <c r="M53" s="4" t="str">
        <f t="shared" si="0"/>
        <v/>
      </c>
      <c r="N53" s="4"/>
    </row>
    <row r="54" spans="1:14">
      <c r="A54" s="2"/>
      <c r="E54" t="e">
        <f>VLOOKUP(#REF!,Catalogos!$V$4:$W$55,2,FALSE)</f>
        <v>#REF!</v>
      </c>
      <c r="F54" s="3"/>
      <c r="G54" s="6"/>
      <c r="H54" s="3">
        <f t="shared" si="4"/>
        <v>0</v>
      </c>
      <c r="I54" s="4">
        <v>28.3</v>
      </c>
      <c r="J54" s="4">
        <f t="shared" si="5"/>
        <v>0</v>
      </c>
      <c r="K54" s="4" t="e">
        <f t="shared" si="3"/>
        <v>#REF!</v>
      </c>
      <c r="L54" s="4" t="e">
        <f>(#REF!-#REF!)</f>
        <v>#REF!</v>
      </c>
      <c r="M54" s="4" t="str">
        <f t="shared" si="0"/>
        <v/>
      </c>
      <c r="N54" s="4"/>
    </row>
    <row r="55" spans="1:14">
      <c r="A55" s="2"/>
      <c r="E55" t="e">
        <f>VLOOKUP(#REF!,Catalogos!$V$4:$W$55,2,FALSE)</f>
        <v>#REF!</v>
      </c>
      <c r="F55" s="3"/>
      <c r="G55" s="6"/>
      <c r="H55" s="3">
        <f t="shared" si="4"/>
        <v>0</v>
      </c>
      <c r="I55" s="4">
        <v>28.3</v>
      </c>
      <c r="J55" s="4">
        <f t="shared" si="5"/>
        <v>0</v>
      </c>
      <c r="K55" s="4" t="e">
        <f t="shared" si="3"/>
        <v>#REF!</v>
      </c>
      <c r="L55" s="4" t="e">
        <f>(#REF!-#REF!)</f>
        <v>#REF!</v>
      </c>
      <c r="M55" s="4" t="str">
        <f t="shared" si="0"/>
        <v/>
      </c>
      <c r="N55" s="4"/>
    </row>
    <row r="56" spans="1:14">
      <c r="A56" s="2"/>
      <c r="E56" t="e">
        <f>VLOOKUP(#REF!,Catalogos!$V$4:$W$55,2,FALSE)</f>
        <v>#REF!</v>
      </c>
      <c r="F56" s="3"/>
      <c r="G56" s="6"/>
      <c r="H56" s="3">
        <v>500</v>
      </c>
      <c r="I56" s="4"/>
      <c r="J56" s="4"/>
      <c r="K56" s="4" t="e">
        <f t="shared" si="3"/>
        <v>#REF!</v>
      </c>
      <c r="L56" s="4" t="e">
        <f>(#REF!-#REF!)</f>
        <v>#REF!</v>
      </c>
      <c r="M56" s="4" t="str">
        <f t="shared" si="0"/>
        <v/>
      </c>
      <c r="N56" s="4"/>
    </row>
    <row r="57" spans="1:14">
      <c r="A57" s="2"/>
      <c r="E57" t="e">
        <f>VLOOKUP(#REF!,Catalogos!$V$4:$W$55,2,FALSE)</f>
        <v>#REF!</v>
      </c>
      <c r="F57" s="3"/>
      <c r="G57" s="6"/>
      <c r="H57" s="3">
        <f t="shared" si="4"/>
        <v>500</v>
      </c>
      <c r="I57" s="4">
        <v>28.3</v>
      </c>
      <c r="J57" s="4">
        <f t="shared" si="5"/>
        <v>0</v>
      </c>
      <c r="K57" s="4" t="e">
        <f t="shared" si="3"/>
        <v>#REF!</v>
      </c>
      <c r="L57" s="4" t="e">
        <f>(#REF!-#REF!)</f>
        <v>#REF!</v>
      </c>
      <c r="M57" s="4" t="str">
        <f t="shared" si="0"/>
        <v/>
      </c>
      <c r="N57" s="4"/>
    </row>
    <row r="58" spans="1:14">
      <c r="A58" s="2"/>
      <c r="E58" t="e">
        <f>VLOOKUP(#REF!,Catalogos!$V$4:$W$55,2,FALSE)</f>
        <v>#REF!</v>
      </c>
      <c r="F58" s="3"/>
      <c r="G58" s="6"/>
      <c r="H58" s="3">
        <f t="shared" si="4"/>
        <v>500</v>
      </c>
      <c r="I58" s="4">
        <v>28.3</v>
      </c>
      <c r="J58" s="4">
        <f t="shared" si="5"/>
        <v>0</v>
      </c>
      <c r="K58" s="4" t="e">
        <f t="shared" si="3"/>
        <v>#REF!</v>
      </c>
      <c r="L58" s="4" t="e">
        <f>(#REF!-#REF!)</f>
        <v>#REF!</v>
      </c>
      <c r="M58" s="4" t="str">
        <f t="shared" si="0"/>
        <v/>
      </c>
      <c r="N58" s="4"/>
    </row>
    <row r="59" spans="1:14">
      <c r="A59" s="2"/>
      <c r="E59" t="e">
        <f>VLOOKUP(#REF!,Catalogos!$V$4:$W$55,2,FALSE)</f>
        <v>#REF!</v>
      </c>
      <c r="F59" s="3"/>
      <c r="G59" s="6"/>
      <c r="H59" s="3">
        <f t="shared" si="4"/>
        <v>500</v>
      </c>
      <c r="I59" s="4">
        <v>28.3</v>
      </c>
      <c r="J59" s="4">
        <f t="shared" si="5"/>
        <v>0</v>
      </c>
      <c r="K59" s="4" t="e">
        <f t="shared" si="3"/>
        <v>#REF!</v>
      </c>
      <c r="L59" s="4" t="e">
        <f>(#REF!-#REF!)</f>
        <v>#REF!</v>
      </c>
      <c r="M59" s="4" t="str">
        <f t="shared" si="0"/>
        <v/>
      </c>
      <c r="N59" s="4"/>
    </row>
    <row r="60" spans="1:14">
      <c r="A60" s="2"/>
      <c r="E60" t="e">
        <f>VLOOKUP(#REF!,Catalogos!$V$4:$W$55,2,FALSE)</f>
        <v>#REF!</v>
      </c>
      <c r="F60" s="3"/>
      <c r="G60" s="6"/>
      <c r="H60" s="3">
        <f t="shared" si="4"/>
        <v>500</v>
      </c>
      <c r="I60" s="4">
        <v>28.3</v>
      </c>
      <c r="J60" s="4">
        <f t="shared" si="5"/>
        <v>0</v>
      </c>
      <c r="K60" s="4" t="e">
        <f t="shared" si="3"/>
        <v>#REF!</v>
      </c>
      <c r="L60" s="4" t="e">
        <f>(#REF!-#REF!)</f>
        <v>#REF!</v>
      </c>
      <c r="M60" s="4" t="str">
        <f t="shared" si="0"/>
        <v/>
      </c>
      <c r="N60" s="4"/>
    </row>
    <row r="61" spans="1:14">
      <c r="A61" s="2"/>
      <c r="E61" t="e">
        <f>VLOOKUP(#REF!,Catalogos!$V$4:$W$55,2,FALSE)</f>
        <v>#REF!</v>
      </c>
      <c r="F61" s="3"/>
      <c r="G61" s="6"/>
      <c r="H61" s="3">
        <f t="shared" si="4"/>
        <v>500</v>
      </c>
      <c r="I61" s="4">
        <v>28.3</v>
      </c>
      <c r="J61" s="4">
        <f t="shared" si="5"/>
        <v>0</v>
      </c>
      <c r="K61" s="4" t="e">
        <f t="shared" si="3"/>
        <v>#REF!</v>
      </c>
      <c r="L61" s="4" t="e">
        <f>(#REF!-#REF!)</f>
        <v>#REF!</v>
      </c>
      <c r="M61" s="4" t="str">
        <f t="shared" si="0"/>
        <v/>
      </c>
      <c r="N61" s="4"/>
    </row>
    <row r="62" spans="1:14">
      <c r="A62" s="2"/>
      <c r="E62" t="e">
        <f>VLOOKUP(#REF!,Catalogos!$V$4:$W$55,2,FALSE)</f>
        <v>#REF!</v>
      </c>
      <c r="F62" s="3"/>
      <c r="G62" s="6"/>
      <c r="H62" s="3">
        <f t="shared" si="4"/>
        <v>500</v>
      </c>
      <c r="I62" s="4">
        <v>28.3</v>
      </c>
      <c r="J62" s="4">
        <f t="shared" si="5"/>
        <v>0</v>
      </c>
      <c r="K62" s="4" t="e">
        <f t="shared" si="3"/>
        <v>#REF!</v>
      </c>
      <c r="L62" s="4" t="e">
        <f>(#REF!-#REF!)</f>
        <v>#REF!</v>
      </c>
      <c r="M62" s="4" t="str">
        <f t="shared" si="0"/>
        <v/>
      </c>
      <c r="N62" s="4"/>
    </row>
    <row r="63" spans="1:14">
      <c r="A63" s="2"/>
      <c r="E63" t="e">
        <f>VLOOKUP(#REF!,Catalogos!$V$4:$W$55,2,FALSE)</f>
        <v>#REF!</v>
      </c>
      <c r="F63" s="3"/>
      <c r="G63" s="6"/>
      <c r="H63" s="3">
        <f t="shared" si="4"/>
        <v>500</v>
      </c>
      <c r="I63" s="4">
        <v>28.3</v>
      </c>
      <c r="J63" s="4">
        <f t="shared" si="5"/>
        <v>0</v>
      </c>
      <c r="K63" s="4" t="e">
        <f t="shared" si="3"/>
        <v>#REF!</v>
      </c>
      <c r="L63" s="4" t="e">
        <f>(#REF!-#REF!)</f>
        <v>#REF!</v>
      </c>
      <c r="M63" s="4" t="str">
        <f t="shared" si="0"/>
        <v/>
      </c>
      <c r="N63" s="4"/>
    </row>
    <row r="64" spans="1:14">
      <c r="A64" s="2"/>
      <c r="E64" t="e">
        <f>VLOOKUP(#REF!,Catalogos!$V$4:$W$55,2,FALSE)</f>
        <v>#REF!</v>
      </c>
      <c r="F64" s="3"/>
      <c r="G64" s="6"/>
      <c r="H64" s="3">
        <v>520</v>
      </c>
      <c r="I64" s="4"/>
      <c r="J64" s="4"/>
      <c r="K64" s="4" t="e">
        <f t="shared" si="3"/>
        <v>#REF!</v>
      </c>
      <c r="L64" s="4" t="e">
        <f>(#REF!-#REF!)</f>
        <v>#REF!</v>
      </c>
      <c r="M64" s="4" t="str">
        <f t="shared" si="0"/>
        <v/>
      </c>
      <c r="N64" s="4"/>
    </row>
    <row r="65" spans="1:14">
      <c r="A65" s="2"/>
      <c r="E65" t="e">
        <f>VLOOKUP(#REF!,Catalogos!$V$4:$W$55,2,FALSE)</f>
        <v>#REF!</v>
      </c>
      <c r="F65" s="3"/>
      <c r="G65" s="6"/>
      <c r="H65" s="3">
        <f>IF(ROW()=5,F65-G65,H64+F65-G65)</f>
        <v>520</v>
      </c>
      <c r="I65" s="4">
        <v>28.3</v>
      </c>
      <c r="J65" s="4">
        <f t="shared" si="5"/>
        <v>0</v>
      </c>
      <c r="K65" s="4" t="e">
        <f t="shared" si="3"/>
        <v>#REF!</v>
      </c>
      <c r="L65" s="4" t="e">
        <f>(#REF!-#REF!)</f>
        <v>#REF!</v>
      </c>
      <c r="M65" s="4" t="str">
        <f t="shared" si="0"/>
        <v/>
      </c>
      <c r="N65" s="4"/>
    </row>
    <row r="66" spans="1:14">
      <c r="A66" s="2"/>
      <c r="E66" t="e">
        <f>VLOOKUP(#REF!,Catalogos!$V$4:$W$55,2,FALSE)</f>
        <v>#REF!</v>
      </c>
      <c r="F66" s="3"/>
      <c r="G66" s="6"/>
      <c r="H66" s="3">
        <f t="shared" ref="H66:H129" si="6">IF(ROW()=5,F66-G66,H65+F66-G66)</f>
        <v>520</v>
      </c>
      <c r="I66" s="4">
        <v>28.3</v>
      </c>
      <c r="J66" s="4">
        <f t="shared" si="5"/>
        <v>0</v>
      </c>
      <c r="K66" s="4" t="e">
        <f t="shared" si="3"/>
        <v>#REF!</v>
      </c>
      <c r="L66" s="4" t="e">
        <f>(#REF!-#REF!)</f>
        <v>#REF!</v>
      </c>
      <c r="M66" s="4" t="str">
        <f t="shared" si="0"/>
        <v/>
      </c>
      <c r="N66" s="4"/>
    </row>
    <row r="67" spans="1:14">
      <c r="A67" s="2"/>
      <c r="E67" t="e">
        <f>VLOOKUP(#REF!,Catalogos!$V$4:$W$55,2,FALSE)</f>
        <v>#REF!</v>
      </c>
      <c r="F67" s="3"/>
      <c r="G67" s="6"/>
      <c r="H67" s="3">
        <f t="shared" si="6"/>
        <v>520</v>
      </c>
      <c r="I67" s="4">
        <v>28.3</v>
      </c>
      <c r="J67" s="4">
        <f t="shared" si="5"/>
        <v>0</v>
      </c>
      <c r="K67" s="4" t="e">
        <f t="shared" si="3"/>
        <v>#REF!</v>
      </c>
      <c r="L67" s="4" t="e">
        <f>(#REF!-#REF!)</f>
        <v>#REF!</v>
      </c>
      <c r="M67" s="4" t="str">
        <f t="shared" si="0"/>
        <v/>
      </c>
      <c r="N67" s="4"/>
    </row>
    <row r="68" spans="1:14">
      <c r="A68" s="2"/>
      <c r="E68" t="e">
        <f>VLOOKUP(#REF!,Catalogos!$V$4:$W$55,2,FALSE)</f>
        <v>#REF!</v>
      </c>
      <c r="F68" s="3"/>
      <c r="G68" s="6"/>
      <c r="H68" s="3">
        <f t="shared" si="6"/>
        <v>520</v>
      </c>
      <c r="I68" s="4">
        <v>28.3</v>
      </c>
      <c r="J68" s="4">
        <f t="shared" si="5"/>
        <v>0</v>
      </c>
      <c r="K68" s="4" t="e">
        <f t="shared" si="3"/>
        <v>#REF!</v>
      </c>
      <c r="L68" s="4" t="e">
        <f>(#REF!-#REF!)</f>
        <v>#REF!</v>
      </c>
      <c r="M68" s="4" t="str">
        <f t="shared" si="0"/>
        <v/>
      </c>
      <c r="N68" s="4"/>
    </row>
    <row r="69" spans="1:14">
      <c r="A69" s="2"/>
      <c r="E69" t="e">
        <f>VLOOKUP(#REF!,Catalogos!$V$4:$W$55,2,FALSE)</f>
        <v>#REF!</v>
      </c>
      <c r="F69" s="3"/>
      <c r="G69" s="6"/>
      <c r="H69" s="3">
        <f t="shared" si="6"/>
        <v>520</v>
      </c>
      <c r="I69" s="4">
        <v>28.3</v>
      </c>
      <c r="J69" s="4">
        <f t="shared" ref="J69:J70" si="7">IFERROR((F69+G69)*I69,0)</f>
        <v>0</v>
      </c>
      <c r="K69" s="4" t="e">
        <f t="shared" si="3"/>
        <v>#REF!</v>
      </c>
      <c r="L69" s="4" t="e">
        <f>(#REF!-#REF!)</f>
        <v>#REF!</v>
      </c>
      <c r="M69" s="4" t="str">
        <f t="shared" ref="M69:M132" si="8">IF(A69="","", WEEKNUM(A69, 2))</f>
        <v/>
      </c>
      <c r="N69" s="4"/>
    </row>
    <row r="70" spans="1:14">
      <c r="A70" s="2"/>
      <c r="E70" t="e">
        <f>VLOOKUP(#REF!,Catalogos!$V$4:$W$55,2,FALSE)</f>
        <v>#REF!</v>
      </c>
      <c r="F70" s="3"/>
      <c r="G70" s="6"/>
      <c r="H70" s="3">
        <f t="shared" si="6"/>
        <v>520</v>
      </c>
      <c r="I70" s="4">
        <v>28.3</v>
      </c>
      <c r="J70" s="4">
        <f t="shared" si="7"/>
        <v>0</v>
      </c>
      <c r="K70" s="4" t="e">
        <f t="shared" si="3"/>
        <v>#REF!</v>
      </c>
      <c r="L70" s="4" t="e">
        <f>(#REF!-#REF!)</f>
        <v>#REF!</v>
      </c>
      <c r="M70" s="4" t="str">
        <f t="shared" si="8"/>
        <v/>
      </c>
      <c r="N70" s="4"/>
    </row>
    <row r="71" spans="1:14">
      <c r="A71" s="2"/>
      <c r="E71" t="e">
        <f>VLOOKUP(#REF!,Catalogos!$V$4:$W$55,2,FALSE)</f>
        <v>#REF!</v>
      </c>
      <c r="G71" s="6"/>
      <c r="H71" s="3">
        <f t="shared" si="6"/>
        <v>520</v>
      </c>
      <c r="I71" s="4">
        <v>28.3</v>
      </c>
      <c r="J71" s="4">
        <f>IFERROR((F72+G72)*I71,0)</f>
        <v>0</v>
      </c>
      <c r="K71" s="4" t="e">
        <f t="shared" si="3"/>
        <v>#REF!</v>
      </c>
      <c r="L71" s="4" t="e">
        <f>(#REF!-#REF!)</f>
        <v>#REF!</v>
      </c>
      <c r="M71" s="4" t="str">
        <f t="shared" si="8"/>
        <v/>
      </c>
      <c r="N71" s="4"/>
    </row>
    <row r="72" spans="1:14">
      <c r="A72" s="2"/>
      <c r="E72" t="e">
        <f>VLOOKUP(#REF!,Catalogos!$V$4:$W$55,2,FALSE)</f>
        <v>#REF!</v>
      </c>
      <c r="F72" s="3"/>
      <c r="G72" s="6"/>
      <c r="H72" s="3">
        <f t="shared" si="6"/>
        <v>520</v>
      </c>
      <c r="I72" s="4">
        <v>28.3</v>
      </c>
      <c r="J72" s="4">
        <f>IFERROR((F73+G73)*I72,0)</f>
        <v>0</v>
      </c>
      <c r="K72" s="4" t="e">
        <f t="shared" si="3"/>
        <v>#REF!</v>
      </c>
      <c r="L72" s="4" t="e">
        <f>(#REF!-#REF!)</f>
        <v>#REF!</v>
      </c>
      <c r="M72" s="4" t="str">
        <f t="shared" si="8"/>
        <v/>
      </c>
      <c r="N72" s="4"/>
    </row>
    <row r="73" spans="1:14">
      <c r="A73" s="2"/>
      <c r="E73" t="e">
        <f>VLOOKUP(#REF!,Catalogos!$V$4:$W$55,2,FALSE)</f>
        <v>#REF!</v>
      </c>
      <c r="F73" s="3"/>
      <c r="G73" s="6"/>
      <c r="H73" s="3">
        <f t="shared" si="6"/>
        <v>520</v>
      </c>
      <c r="I73" s="4">
        <v>28.3</v>
      </c>
      <c r="J73" s="4">
        <f>IFERROR((F74+G74)*I73,0)</f>
        <v>0</v>
      </c>
      <c r="K73" s="4" t="e">
        <f t="shared" si="3"/>
        <v>#REF!</v>
      </c>
      <c r="L73" s="4" t="e">
        <f>(#REF!-#REF!)</f>
        <v>#REF!</v>
      </c>
      <c r="M73" s="4" t="str">
        <f t="shared" si="8"/>
        <v/>
      </c>
      <c r="N73" s="4"/>
    </row>
    <row r="74" spans="1:14">
      <c r="A74" s="2"/>
      <c r="E74" t="e">
        <f>VLOOKUP(#REF!,Catalogos!$V$4:$W$55,2,FALSE)</f>
        <v>#REF!</v>
      </c>
      <c r="F74" s="3"/>
      <c r="G74" s="6"/>
      <c r="H74" s="3">
        <f t="shared" si="6"/>
        <v>520</v>
      </c>
      <c r="I74" s="4">
        <v>28.3</v>
      </c>
      <c r="J74" s="4">
        <f>IFERROR((F75+G75)*I74,0)</f>
        <v>0</v>
      </c>
      <c r="K74" s="4" t="e">
        <f t="shared" si="3"/>
        <v>#REF!</v>
      </c>
      <c r="L74" s="4" t="e">
        <f>(#REF!-#REF!)</f>
        <v>#REF!</v>
      </c>
      <c r="M74" s="4" t="str">
        <f t="shared" si="8"/>
        <v/>
      </c>
      <c r="N74" s="4"/>
    </row>
    <row r="75" spans="1:14">
      <c r="A75" s="2"/>
      <c r="E75" t="e">
        <f>VLOOKUP(#REF!,Catalogos!$V$4:$W$55,2,FALSE)</f>
        <v>#REF!</v>
      </c>
      <c r="F75" s="3"/>
      <c r="G75" s="6"/>
      <c r="H75" s="3">
        <f t="shared" si="6"/>
        <v>520</v>
      </c>
      <c r="I75" s="4">
        <v>28.3</v>
      </c>
      <c r="J75" s="4">
        <f>IFERROR((#REF!+#REF!)*I75,0)</f>
        <v>0</v>
      </c>
      <c r="K75" s="4" t="e">
        <f t="shared" si="3"/>
        <v>#REF!</v>
      </c>
      <c r="L75" s="4" t="e">
        <f>(#REF!-#REF!)</f>
        <v>#REF!</v>
      </c>
      <c r="M75" s="4" t="str">
        <f t="shared" si="8"/>
        <v/>
      </c>
      <c r="N75" s="4"/>
    </row>
    <row r="76" spans="1:14">
      <c r="A76" s="2"/>
      <c r="E76" t="e">
        <f>VLOOKUP(#REF!,Catalogos!$V$4:$W$55,2,FALSE)</f>
        <v>#REF!</v>
      </c>
      <c r="F76" s="3"/>
      <c r="G76" s="6"/>
      <c r="H76" s="3">
        <f t="shared" si="6"/>
        <v>520</v>
      </c>
      <c r="I76" s="4">
        <v>28.3</v>
      </c>
      <c r="J76" s="4">
        <f t="shared" ref="J76:J139" si="9">IFERROR((F76+G76)*I76,0)</f>
        <v>0</v>
      </c>
      <c r="K76" s="4" t="e">
        <f t="shared" si="3"/>
        <v>#REF!</v>
      </c>
      <c r="L76" s="4" t="e">
        <f>(#REF!-#REF!)</f>
        <v>#REF!</v>
      </c>
      <c r="M76" s="4" t="str">
        <f t="shared" si="8"/>
        <v/>
      </c>
      <c r="N76" s="4"/>
    </row>
    <row r="77" spans="1:14">
      <c r="A77" s="2"/>
      <c r="E77" t="e">
        <f>VLOOKUP(#REF!,Catalogos!$V$4:$W$55,2,FALSE)</f>
        <v>#REF!</v>
      </c>
      <c r="F77" s="3"/>
      <c r="G77" s="6"/>
      <c r="H77" s="3">
        <f t="shared" si="6"/>
        <v>520</v>
      </c>
      <c r="I77" s="4">
        <v>28.3</v>
      </c>
      <c r="J77" s="4">
        <f t="shared" si="9"/>
        <v>0</v>
      </c>
      <c r="K77" s="4" t="e">
        <f t="shared" si="3"/>
        <v>#REF!</v>
      </c>
      <c r="L77" s="4" t="e">
        <f>(#REF!-#REF!)</f>
        <v>#REF!</v>
      </c>
      <c r="M77" s="4" t="str">
        <f t="shared" si="8"/>
        <v/>
      </c>
      <c r="N77" s="4"/>
    </row>
    <row r="78" spans="1:14">
      <c r="A78" s="2"/>
      <c r="E78" t="e">
        <f>VLOOKUP(#REF!,Catalogos!$V$4:$W$55,2,FALSE)</f>
        <v>#REF!</v>
      </c>
      <c r="F78" s="3"/>
      <c r="G78" s="6"/>
      <c r="H78" s="3">
        <f t="shared" si="6"/>
        <v>520</v>
      </c>
      <c r="I78" s="4">
        <v>28.3</v>
      </c>
      <c r="J78" s="4">
        <f t="shared" si="9"/>
        <v>0</v>
      </c>
      <c r="K78" s="4" t="e">
        <f t="shared" si="3"/>
        <v>#REF!</v>
      </c>
      <c r="L78" s="4" t="e">
        <f>(#REF!-#REF!)</f>
        <v>#REF!</v>
      </c>
      <c r="M78" s="4" t="str">
        <f t="shared" si="8"/>
        <v/>
      </c>
      <c r="N78" s="4"/>
    </row>
    <row r="79" spans="1:14">
      <c r="A79" s="2"/>
      <c r="E79" t="e">
        <f>VLOOKUP(#REF!,Catalogos!$V$4:$W$55,2,FALSE)</f>
        <v>#REF!</v>
      </c>
      <c r="F79" s="3"/>
      <c r="G79" s="6"/>
      <c r="H79" s="3">
        <f t="shared" si="6"/>
        <v>520</v>
      </c>
      <c r="I79" s="4">
        <v>28.3</v>
      </c>
      <c r="J79" s="4">
        <f t="shared" si="9"/>
        <v>0</v>
      </c>
      <c r="K79" s="4" t="e">
        <f t="shared" si="3"/>
        <v>#REF!</v>
      </c>
      <c r="L79" s="4" t="e">
        <f>(#REF!-#REF!)</f>
        <v>#REF!</v>
      </c>
      <c r="M79" s="4" t="str">
        <f t="shared" si="8"/>
        <v/>
      </c>
      <c r="N79" s="4"/>
    </row>
    <row r="80" spans="1:14">
      <c r="A80" s="2"/>
      <c r="E80" t="e">
        <f>VLOOKUP(#REF!,Catalogos!$V$4:$W$55,2,FALSE)</f>
        <v>#REF!</v>
      </c>
      <c r="F80" s="3"/>
      <c r="G80" s="6"/>
      <c r="H80" s="3">
        <f t="shared" si="6"/>
        <v>520</v>
      </c>
      <c r="I80" s="4">
        <v>28.3</v>
      </c>
      <c r="J80" s="4">
        <f t="shared" si="9"/>
        <v>0</v>
      </c>
      <c r="K80" s="4" t="e">
        <f t="shared" si="3"/>
        <v>#REF!</v>
      </c>
      <c r="L80" s="4" t="e">
        <f>(#REF!-#REF!)</f>
        <v>#REF!</v>
      </c>
      <c r="M80" s="4" t="str">
        <f t="shared" si="8"/>
        <v/>
      </c>
      <c r="N80" s="4"/>
    </row>
    <row r="81" spans="1:14">
      <c r="A81" s="2"/>
      <c r="E81" t="e">
        <f>VLOOKUP(#REF!,Catalogos!$V$4:$W$55,2,FALSE)</f>
        <v>#REF!</v>
      </c>
      <c r="F81" s="3"/>
      <c r="G81" s="6"/>
      <c r="H81" s="3">
        <f t="shared" si="6"/>
        <v>520</v>
      </c>
      <c r="I81" s="4">
        <v>28.3</v>
      </c>
      <c r="J81" s="4">
        <f t="shared" si="9"/>
        <v>0</v>
      </c>
      <c r="K81" s="4" t="e">
        <f t="shared" si="3"/>
        <v>#REF!</v>
      </c>
      <c r="L81" s="4" t="e">
        <f>(#REF!-#REF!)</f>
        <v>#REF!</v>
      </c>
      <c r="M81" s="4" t="str">
        <f t="shared" si="8"/>
        <v/>
      </c>
      <c r="N81" s="4"/>
    </row>
    <row r="82" spans="1:14">
      <c r="A82" s="2"/>
      <c r="E82" t="e">
        <f>VLOOKUP(#REF!,Catalogos!$V$4:$W$55,2,FALSE)</f>
        <v>#REF!</v>
      </c>
      <c r="F82" s="3"/>
      <c r="G82" s="6"/>
      <c r="H82" s="3">
        <f t="shared" si="6"/>
        <v>520</v>
      </c>
      <c r="I82" s="4">
        <v>28.3</v>
      </c>
      <c r="J82" s="4">
        <f t="shared" si="9"/>
        <v>0</v>
      </c>
      <c r="K82" s="4" t="e">
        <f t="shared" si="3"/>
        <v>#REF!</v>
      </c>
      <c r="L82" s="4" t="e">
        <f>(#REF!-#REF!)</f>
        <v>#REF!</v>
      </c>
      <c r="M82" s="4" t="str">
        <f t="shared" si="8"/>
        <v/>
      </c>
      <c r="N82" s="4"/>
    </row>
    <row r="83" spans="1:14">
      <c r="A83" s="2"/>
      <c r="E83" t="e">
        <f>VLOOKUP(#REF!,Catalogos!$V$4:$W$55,2,FALSE)</f>
        <v>#REF!</v>
      </c>
      <c r="F83" s="3"/>
      <c r="G83" s="6"/>
      <c r="H83" s="3">
        <f t="shared" si="6"/>
        <v>520</v>
      </c>
      <c r="I83" s="4">
        <v>28.3</v>
      </c>
      <c r="J83" s="4">
        <f t="shared" si="9"/>
        <v>0</v>
      </c>
      <c r="K83" s="4" t="e">
        <f t="shared" si="3"/>
        <v>#REF!</v>
      </c>
      <c r="L83" s="4" t="e">
        <f>(#REF!-#REF!)</f>
        <v>#REF!</v>
      </c>
      <c r="M83" s="4" t="str">
        <f t="shared" si="8"/>
        <v/>
      </c>
      <c r="N83" s="4"/>
    </row>
    <row r="84" spans="1:14">
      <c r="A84" s="2"/>
      <c r="E84" t="e">
        <f>VLOOKUP(#REF!,Catalogos!$V$4:$W$55,2,FALSE)</f>
        <v>#REF!</v>
      </c>
      <c r="F84" s="3"/>
      <c r="G84" s="6"/>
      <c r="H84" s="3">
        <f t="shared" si="6"/>
        <v>520</v>
      </c>
      <c r="I84" s="4">
        <v>28.3</v>
      </c>
      <c r="J84" s="4">
        <f t="shared" si="9"/>
        <v>0</v>
      </c>
      <c r="K84" s="4" t="e">
        <f t="shared" si="3"/>
        <v>#REF!</v>
      </c>
      <c r="L84" s="4" t="e">
        <f>(#REF!-#REF!)</f>
        <v>#REF!</v>
      </c>
      <c r="M84" s="4" t="str">
        <f t="shared" si="8"/>
        <v/>
      </c>
      <c r="N84" s="4"/>
    </row>
    <row r="85" spans="1:14">
      <c r="A85" s="2"/>
      <c r="E85" t="e">
        <f>VLOOKUP(#REF!,Catalogos!$V$4:$W$55,2,FALSE)</f>
        <v>#REF!</v>
      </c>
      <c r="F85" s="3"/>
      <c r="G85" s="6"/>
      <c r="H85" s="3">
        <f t="shared" si="6"/>
        <v>520</v>
      </c>
      <c r="I85" s="4">
        <v>28.3</v>
      </c>
      <c r="J85" s="4">
        <f t="shared" si="9"/>
        <v>0</v>
      </c>
      <c r="K85" s="4" t="e">
        <f t="shared" si="3"/>
        <v>#REF!</v>
      </c>
      <c r="L85" s="4" t="e">
        <f>(#REF!-#REF!)</f>
        <v>#REF!</v>
      </c>
      <c r="M85" s="4" t="str">
        <f t="shared" si="8"/>
        <v/>
      </c>
      <c r="N85" s="4"/>
    </row>
    <row r="86" spans="1:14">
      <c r="A86" s="2"/>
      <c r="E86" t="e">
        <f>VLOOKUP(#REF!,Catalogos!$V$4:$W$55,2,FALSE)</f>
        <v>#REF!</v>
      </c>
      <c r="F86" s="3"/>
      <c r="G86" s="6"/>
      <c r="H86" s="3">
        <f t="shared" si="6"/>
        <v>520</v>
      </c>
      <c r="I86" s="4">
        <v>28.3</v>
      </c>
      <c r="J86" s="4">
        <f t="shared" si="9"/>
        <v>0</v>
      </c>
      <c r="K86" s="4" t="e">
        <f t="shared" si="3"/>
        <v>#REF!</v>
      </c>
      <c r="L86" s="4" t="e">
        <f>(#REF!-#REF!)</f>
        <v>#REF!</v>
      </c>
      <c r="M86" s="4" t="str">
        <f t="shared" si="8"/>
        <v/>
      </c>
      <c r="N86" s="4"/>
    </row>
    <row r="87" spans="1:14">
      <c r="A87" s="2"/>
      <c r="E87" t="e">
        <f>VLOOKUP(#REF!,Catalogos!$V$4:$W$55,2,FALSE)</f>
        <v>#REF!</v>
      </c>
      <c r="F87" s="3"/>
      <c r="G87" s="6"/>
      <c r="H87" s="3">
        <f t="shared" si="6"/>
        <v>520</v>
      </c>
      <c r="I87" s="4">
        <v>28.3</v>
      </c>
      <c r="J87" s="4">
        <f t="shared" si="9"/>
        <v>0</v>
      </c>
      <c r="K87" s="4" t="e">
        <f t="shared" si="3"/>
        <v>#REF!</v>
      </c>
      <c r="L87" s="4" t="e">
        <f>(#REF!-#REF!)</f>
        <v>#REF!</v>
      </c>
      <c r="M87" s="4" t="str">
        <f t="shared" si="8"/>
        <v/>
      </c>
      <c r="N87" s="4"/>
    </row>
    <row r="88" spans="1:14">
      <c r="A88" s="2"/>
      <c r="E88" t="e">
        <f>VLOOKUP(#REF!,Catalogos!$V$4:$W$55,2,FALSE)</f>
        <v>#REF!</v>
      </c>
      <c r="F88" s="3"/>
      <c r="G88" s="6"/>
      <c r="H88" s="3">
        <f t="shared" si="6"/>
        <v>520</v>
      </c>
      <c r="I88" s="4">
        <v>28.3</v>
      </c>
      <c r="J88" s="4">
        <f t="shared" si="9"/>
        <v>0</v>
      </c>
      <c r="K88" s="4" t="e">
        <f t="shared" ref="K88:K151" si="10">L87+M87-N87</f>
        <v>#REF!</v>
      </c>
      <c r="L88" s="4" t="e">
        <f>(#REF!-#REF!)</f>
        <v>#REF!</v>
      </c>
      <c r="M88" s="4" t="str">
        <f t="shared" si="8"/>
        <v/>
      </c>
      <c r="N88" s="4"/>
    </row>
    <row r="89" spans="1:14">
      <c r="A89" s="2"/>
      <c r="E89" t="e">
        <f>VLOOKUP(#REF!,Catalogos!$V$4:$W$55,2,FALSE)</f>
        <v>#REF!</v>
      </c>
      <c r="F89" s="3"/>
      <c r="G89" s="6"/>
      <c r="H89" s="3">
        <f t="shared" si="6"/>
        <v>520</v>
      </c>
      <c r="I89" s="4">
        <v>28.3</v>
      </c>
      <c r="J89" s="4">
        <f t="shared" si="9"/>
        <v>0</v>
      </c>
      <c r="K89" s="4" t="e">
        <f t="shared" si="10"/>
        <v>#REF!</v>
      </c>
      <c r="L89" s="4" t="e">
        <f>(#REF!-#REF!)</f>
        <v>#REF!</v>
      </c>
      <c r="M89" s="4" t="str">
        <f t="shared" si="8"/>
        <v/>
      </c>
      <c r="N89" s="4"/>
    </row>
    <row r="90" spans="1:14">
      <c r="A90" s="2"/>
      <c r="E90" t="e">
        <f>VLOOKUP(#REF!,Catalogos!$V$4:$W$55,2,FALSE)</f>
        <v>#REF!</v>
      </c>
      <c r="F90" s="3"/>
      <c r="G90" s="6"/>
      <c r="H90" s="3">
        <f t="shared" si="6"/>
        <v>520</v>
      </c>
      <c r="I90" s="4">
        <v>28.3</v>
      </c>
      <c r="J90" s="4">
        <f t="shared" si="9"/>
        <v>0</v>
      </c>
      <c r="K90" s="4" t="e">
        <f t="shared" si="10"/>
        <v>#REF!</v>
      </c>
      <c r="L90" s="4" t="e">
        <f>(#REF!-#REF!)</f>
        <v>#REF!</v>
      </c>
      <c r="M90" s="4" t="str">
        <f t="shared" si="8"/>
        <v/>
      </c>
      <c r="N90" s="4"/>
    </row>
    <row r="91" spans="1:14">
      <c r="A91" s="2"/>
      <c r="E91" t="e">
        <f>VLOOKUP(#REF!,Catalogos!$V$4:$W$55,2,FALSE)</f>
        <v>#REF!</v>
      </c>
      <c r="F91" s="3"/>
      <c r="G91" s="6"/>
      <c r="H91" s="3">
        <f t="shared" si="6"/>
        <v>520</v>
      </c>
      <c r="I91" s="4">
        <v>28.3</v>
      </c>
      <c r="J91" s="4">
        <f t="shared" si="9"/>
        <v>0</v>
      </c>
      <c r="K91" s="4" t="e">
        <f t="shared" si="10"/>
        <v>#REF!</v>
      </c>
      <c r="L91" s="4" t="e">
        <f>(#REF!-#REF!)</f>
        <v>#REF!</v>
      </c>
      <c r="M91" s="4" t="str">
        <f t="shared" si="8"/>
        <v/>
      </c>
      <c r="N91" s="4"/>
    </row>
    <row r="92" spans="1:14">
      <c r="A92" s="2"/>
      <c r="E92" t="e">
        <f>VLOOKUP(#REF!,Catalogos!$V$4:$W$55,2,FALSE)</f>
        <v>#REF!</v>
      </c>
      <c r="F92" s="3"/>
      <c r="G92" s="6"/>
      <c r="H92" s="3">
        <f t="shared" si="6"/>
        <v>520</v>
      </c>
      <c r="I92" s="4">
        <v>28.3</v>
      </c>
      <c r="J92" s="4">
        <f t="shared" si="9"/>
        <v>0</v>
      </c>
      <c r="K92" s="4" t="e">
        <f t="shared" si="10"/>
        <v>#REF!</v>
      </c>
      <c r="L92" s="4" t="e">
        <f>(#REF!-#REF!)</f>
        <v>#REF!</v>
      </c>
      <c r="M92" s="4" t="str">
        <f t="shared" si="8"/>
        <v/>
      </c>
      <c r="N92" s="4"/>
    </row>
    <row r="93" spans="1:14">
      <c r="A93" s="2"/>
      <c r="E93" t="e">
        <f>VLOOKUP(#REF!,Catalogos!$V$4:$W$55,2,FALSE)</f>
        <v>#REF!</v>
      </c>
      <c r="F93" s="3"/>
      <c r="G93" s="6"/>
      <c r="H93" s="3">
        <f t="shared" si="6"/>
        <v>520</v>
      </c>
      <c r="I93" s="4">
        <v>28.3</v>
      </c>
      <c r="J93" s="4">
        <f t="shared" si="9"/>
        <v>0</v>
      </c>
      <c r="K93" s="4" t="e">
        <f t="shared" si="10"/>
        <v>#REF!</v>
      </c>
      <c r="L93" s="4" t="e">
        <f>(#REF!-#REF!)</f>
        <v>#REF!</v>
      </c>
      <c r="M93" s="4" t="str">
        <f t="shared" si="8"/>
        <v/>
      </c>
      <c r="N93" s="4"/>
    </row>
    <row r="94" spans="1:14">
      <c r="A94" s="2"/>
      <c r="E94" t="e">
        <f>VLOOKUP(#REF!,Catalogos!$V$4:$W$55,2,FALSE)</f>
        <v>#REF!</v>
      </c>
      <c r="F94" s="3"/>
      <c r="G94" s="6"/>
      <c r="H94" s="3">
        <f t="shared" si="6"/>
        <v>520</v>
      </c>
      <c r="I94" s="4">
        <v>28.3</v>
      </c>
      <c r="J94" s="4">
        <f t="shared" si="9"/>
        <v>0</v>
      </c>
      <c r="K94" s="4" t="e">
        <f t="shared" si="10"/>
        <v>#REF!</v>
      </c>
      <c r="L94" s="4" t="e">
        <f>(#REF!-#REF!)</f>
        <v>#REF!</v>
      </c>
      <c r="M94" s="4" t="str">
        <f t="shared" si="8"/>
        <v/>
      </c>
      <c r="N94" s="4"/>
    </row>
    <row r="95" spans="1:14">
      <c r="A95" s="2"/>
      <c r="E95" t="e">
        <f>VLOOKUP(#REF!,Catalogos!$V$4:$W$55,2,FALSE)</f>
        <v>#REF!</v>
      </c>
      <c r="F95" s="3"/>
      <c r="G95" s="6"/>
      <c r="H95" s="3">
        <f t="shared" si="6"/>
        <v>520</v>
      </c>
      <c r="I95" s="4">
        <v>28.3</v>
      </c>
      <c r="J95" s="4">
        <f t="shared" si="9"/>
        <v>0</v>
      </c>
      <c r="K95" s="4" t="e">
        <f t="shared" si="10"/>
        <v>#REF!</v>
      </c>
      <c r="L95" s="4" t="e">
        <f>(#REF!-#REF!)</f>
        <v>#REF!</v>
      </c>
      <c r="M95" s="4" t="str">
        <f t="shared" si="8"/>
        <v/>
      </c>
      <c r="N95" s="4"/>
    </row>
    <row r="96" spans="1:14">
      <c r="A96" s="2"/>
      <c r="E96" t="e">
        <f>VLOOKUP(#REF!,Catalogos!$V$4:$W$55,2,FALSE)</f>
        <v>#REF!</v>
      </c>
      <c r="F96" s="3"/>
      <c r="G96" s="6"/>
      <c r="H96" s="3">
        <f t="shared" si="6"/>
        <v>520</v>
      </c>
      <c r="I96" s="4">
        <v>28.3</v>
      </c>
      <c r="J96" s="4">
        <f t="shared" si="9"/>
        <v>0</v>
      </c>
      <c r="K96" s="4" t="e">
        <f t="shared" si="10"/>
        <v>#REF!</v>
      </c>
      <c r="L96" s="4" t="e">
        <f>(#REF!-#REF!)</f>
        <v>#REF!</v>
      </c>
      <c r="M96" s="4" t="str">
        <f t="shared" si="8"/>
        <v/>
      </c>
      <c r="N96" s="4"/>
    </row>
    <row r="97" spans="1:14">
      <c r="A97" s="2"/>
      <c r="E97" t="e">
        <f>VLOOKUP(#REF!,Catalogos!$V$4:$W$55,2,FALSE)</f>
        <v>#REF!</v>
      </c>
      <c r="F97" s="3"/>
      <c r="G97" s="6"/>
      <c r="H97" s="3">
        <f t="shared" si="6"/>
        <v>520</v>
      </c>
      <c r="I97" s="4">
        <v>28.3</v>
      </c>
      <c r="J97" s="4">
        <f t="shared" si="9"/>
        <v>0</v>
      </c>
      <c r="K97" s="4" t="e">
        <f t="shared" si="10"/>
        <v>#REF!</v>
      </c>
      <c r="L97" s="4" t="e">
        <f>(#REF!-#REF!)</f>
        <v>#REF!</v>
      </c>
      <c r="M97" s="4" t="str">
        <f t="shared" si="8"/>
        <v/>
      </c>
      <c r="N97" s="4"/>
    </row>
    <row r="98" spans="1:14">
      <c r="A98" s="2"/>
      <c r="E98" t="e">
        <f>VLOOKUP(#REF!,Catalogos!$V$4:$W$55,2,FALSE)</f>
        <v>#REF!</v>
      </c>
      <c r="F98" s="3"/>
      <c r="G98" s="6"/>
      <c r="H98" s="3">
        <f t="shared" si="6"/>
        <v>520</v>
      </c>
      <c r="I98" s="4">
        <v>28.3</v>
      </c>
      <c r="J98" s="4">
        <f t="shared" si="9"/>
        <v>0</v>
      </c>
      <c r="K98" s="4" t="e">
        <f t="shared" si="10"/>
        <v>#REF!</v>
      </c>
      <c r="L98" s="4" t="e">
        <f>(#REF!-#REF!)</f>
        <v>#REF!</v>
      </c>
      <c r="M98" s="4" t="str">
        <f t="shared" si="8"/>
        <v/>
      </c>
      <c r="N98" s="4"/>
    </row>
    <row r="99" spans="1:14">
      <c r="A99" s="2"/>
      <c r="E99" t="e">
        <f>VLOOKUP(#REF!,Catalogos!$V$4:$W$55,2,FALSE)</f>
        <v>#REF!</v>
      </c>
      <c r="F99" s="3"/>
      <c r="G99" s="6"/>
      <c r="H99" s="3">
        <f t="shared" si="6"/>
        <v>520</v>
      </c>
      <c r="I99" s="4">
        <v>28.3</v>
      </c>
      <c r="J99" s="4">
        <f t="shared" si="9"/>
        <v>0</v>
      </c>
      <c r="K99" s="4" t="e">
        <f t="shared" si="10"/>
        <v>#REF!</v>
      </c>
      <c r="L99" s="4" t="e">
        <f>(#REF!-#REF!)</f>
        <v>#REF!</v>
      </c>
      <c r="M99" s="4" t="str">
        <f t="shared" si="8"/>
        <v/>
      </c>
      <c r="N99" s="4"/>
    </row>
    <row r="100" spans="1:14">
      <c r="A100" s="2"/>
      <c r="E100" t="e">
        <f>VLOOKUP(#REF!,Catalogos!$V$4:$W$55,2,FALSE)</f>
        <v>#REF!</v>
      </c>
      <c r="F100" s="3"/>
      <c r="G100" s="6"/>
      <c r="H100" s="3">
        <f t="shared" si="6"/>
        <v>520</v>
      </c>
      <c r="I100" s="4">
        <v>28.3</v>
      </c>
      <c r="J100" s="4">
        <f t="shared" si="9"/>
        <v>0</v>
      </c>
      <c r="K100" s="4" t="e">
        <f t="shared" si="10"/>
        <v>#REF!</v>
      </c>
      <c r="L100" s="4" t="e">
        <f>(#REF!-#REF!)</f>
        <v>#REF!</v>
      </c>
      <c r="M100" s="4" t="str">
        <f t="shared" si="8"/>
        <v/>
      </c>
      <c r="N100" s="4"/>
    </row>
    <row r="101" spans="1:14">
      <c r="A101" s="2"/>
      <c r="E101" t="e">
        <f>VLOOKUP(#REF!,Catalogos!$V$4:$W$55,2,FALSE)</f>
        <v>#REF!</v>
      </c>
      <c r="F101" s="3"/>
      <c r="G101" s="6"/>
      <c r="H101" s="3">
        <f t="shared" si="6"/>
        <v>520</v>
      </c>
      <c r="I101" s="4">
        <v>28.3</v>
      </c>
      <c r="J101" s="4">
        <f t="shared" si="9"/>
        <v>0</v>
      </c>
      <c r="K101" s="4" t="e">
        <f t="shared" si="10"/>
        <v>#REF!</v>
      </c>
      <c r="L101" s="4" t="e">
        <f>(#REF!-#REF!)</f>
        <v>#REF!</v>
      </c>
      <c r="M101" s="4" t="str">
        <f t="shared" si="8"/>
        <v/>
      </c>
      <c r="N101" s="4"/>
    </row>
    <row r="102" spans="1:14">
      <c r="A102" s="2"/>
      <c r="E102" t="e">
        <f>VLOOKUP(#REF!,Catalogos!$V$4:$W$55,2,FALSE)</f>
        <v>#REF!</v>
      </c>
      <c r="F102" s="3"/>
      <c r="G102" s="6"/>
      <c r="H102" s="3">
        <f t="shared" si="6"/>
        <v>520</v>
      </c>
      <c r="I102" s="4">
        <v>28.3</v>
      </c>
      <c r="J102" s="4">
        <f t="shared" si="9"/>
        <v>0</v>
      </c>
      <c r="K102" s="4" t="e">
        <f t="shared" si="10"/>
        <v>#REF!</v>
      </c>
      <c r="L102" s="4" t="e">
        <f>(#REF!-#REF!)</f>
        <v>#REF!</v>
      </c>
      <c r="M102" s="4" t="str">
        <f t="shared" si="8"/>
        <v/>
      </c>
      <c r="N102" s="4"/>
    </row>
    <row r="103" spans="1:14">
      <c r="A103" s="2"/>
      <c r="E103" t="e">
        <f>VLOOKUP(#REF!,Catalogos!$V$4:$W$55,2,FALSE)</f>
        <v>#REF!</v>
      </c>
      <c r="F103" s="3"/>
      <c r="G103" s="6"/>
      <c r="H103" s="3">
        <f t="shared" si="6"/>
        <v>520</v>
      </c>
      <c r="I103" s="4">
        <v>28.3</v>
      </c>
      <c r="J103" s="4">
        <f t="shared" si="9"/>
        <v>0</v>
      </c>
      <c r="K103" s="4" t="e">
        <f t="shared" si="10"/>
        <v>#REF!</v>
      </c>
      <c r="L103" s="4" t="e">
        <f>(#REF!-#REF!)</f>
        <v>#REF!</v>
      </c>
      <c r="M103" s="4" t="str">
        <f t="shared" si="8"/>
        <v/>
      </c>
      <c r="N103" s="4"/>
    </row>
    <row r="104" spans="1:14">
      <c r="A104" s="2"/>
      <c r="E104" t="e">
        <f>VLOOKUP(#REF!,Catalogos!$V$4:$W$55,2,FALSE)</f>
        <v>#REF!</v>
      </c>
      <c r="F104" s="3"/>
      <c r="G104" s="6"/>
      <c r="H104" s="3">
        <f t="shared" si="6"/>
        <v>520</v>
      </c>
      <c r="I104" s="4">
        <v>28.3</v>
      </c>
      <c r="J104" s="4">
        <f t="shared" si="9"/>
        <v>0</v>
      </c>
      <c r="K104" s="4" t="e">
        <f t="shared" si="10"/>
        <v>#REF!</v>
      </c>
      <c r="L104" s="4" t="e">
        <f>(#REF!-#REF!)</f>
        <v>#REF!</v>
      </c>
      <c r="M104" s="4" t="str">
        <f t="shared" si="8"/>
        <v/>
      </c>
      <c r="N104" s="4"/>
    </row>
    <row r="105" spans="1:14">
      <c r="A105" s="2"/>
      <c r="E105" t="e">
        <f>VLOOKUP(#REF!,Catalogos!$V$4:$W$55,2,FALSE)</f>
        <v>#REF!</v>
      </c>
      <c r="F105" s="3"/>
      <c r="G105" s="6"/>
      <c r="H105" s="3">
        <f t="shared" si="6"/>
        <v>520</v>
      </c>
      <c r="I105" s="4">
        <v>28.3</v>
      </c>
      <c r="J105" s="4">
        <f t="shared" si="9"/>
        <v>0</v>
      </c>
      <c r="K105" s="4" t="e">
        <f t="shared" si="10"/>
        <v>#REF!</v>
      </c>
      <c r="L105" s="4" t="e">
        <f>(#REF!-#REF!)</f>
        <v>#REF!</v>
      </c>
      <c r="M105" s="4" t="str">
        <f t="shared" si="8"/>
        <v/>
      </c>
      <c r="N105" s="4"/>
    </row>
    <row r="106" spans="1:14">
      <c r="A106" s="2"/>
      <c r="E106" t="e">
        <f>VLOOKUP(#REF!,Catalogos!$V$4:$W$55,2,FALSE)</f>
        <v>#REF!</v>
      </c>
      <c r="F106" s="3"/>
      <c r="G106" s="6"/>
      <c r="H106" s="3">
        <f t="shared" si="6"/>
        <v>520</v>
      </c>
      <c r="I106" s="4">
        <v>28.3</v>
      </c>
      <c r="J106" s="4">
        <f t="shared" si="9"/>
        <v>0</v>
      </c>
      <c r="K106" s="4" t="e">
        <f t="shared" si="10"/>
        <v>#REF!</v>
      </c>
      <c r="L106" s="4" t="e">
        <f>(#REF!-#REF!)</f>
        <v>#REF!</v>
      </c>
      <c r="M106" s="4" t="str">
        <f t="shared" si="8"/>
        <v/>
      </c>
      <c r="N106" s="4"/>
    </row>
    <row r="107" spans="1:14">
      <c r="A107" s="2"/>
      <c r="E107" t="e">
        <f>VLOOKUP(#REF!,Catalogos!$V$4:$W$55,2,FALSE)</f>
        <v>#REF!</v>
      </c>
      <c r="F107" s="3"/>
      <c r="G107" s="6"/>
      <c r="H107" s="3">
        <f t="shared" si="6"/>
        <v>520</v>
      </c>
      <c r="I107" s="4">
        <v>28.3</v>
      </c>
      <c r="J107" s="4">
        <f t="shared" si="9"/>
        <v>0</v>
      </c>
      <c r="K107" s="4" t="e">
        <f t="shared" si="10"/>
        <v>#REF!</v>
      </c>
      <c r="L107" s="4" t="e">
        <f>(#REF!-#REF!)</f>
        <v>#REF!</v>
      </c>
      <c r="M107" s="4" t="str">
        <f t="shared" si="8"/>
        <v/>
      </c>
      <c r="N107" s="4"/>
    </row>
    <row r="108" spans="1:14">
      <c r="A108" s="2"/>
      <c r="E108" t="e">
        <f>VLOOKUP(#REF!,Catalogos!$V$4:$W$55,2,FALSE)</f>
        <v>#REF!</v>
      </c>
      <c r="F108" s="3"/>
      <c r="G108" s="6"/>
      <c r="H108" s="3">
        <f t="shared" si="6"/>
        <v>520</v>
      </c>
      <c r="I108" s="4">
        <v>28.3</v>
      </c>
      <c r="J108" s="4">
        <f t="shared" si="9"/>
        <v>0</v>
      </c>
      <c r="K108" s="4" t="e">
        <f t="shared" si="10"/>
        <v>#REF!</v>
      </c>
      <c r="L108" s="4" t="e">
        <f>(#REF!-#REF!)</f>
        <v>#REF!</v>
      </c>
      <c r="M108" s="4" t="str">
        <f t="shared" si="8"/>
        <v/>
      </c>
      <c r="N108" s="4"/>
    </row>
    <row r="109" spans="1:14">
      <c r="A109" s="2"/>
      <c r="E109" t="e">
        <f>VLOOKUP(#REF!,Catalogos!$V$4:$W$55,2,FALSE)</f>
        <v>#REF!</v>
      </c>
      <c r="F109" s="3"/>
      <c r="G109" s="6"/>
      <c r="H109" s="3">
        <f t="shared" si="6"/>
        <v>520</v>
      </c>
      <c r="I109" s="4">
        <v>28.3</v>
      </c>
      <c r="J109" s="4">
        <f t="shared" si="9"/>
        <v>0</v>
      </c>
      <c r="K109" s="4" t="e">
        <f t="shared" si="10"/>
        <v>#REF!</v>
      </c>
      <c r="L109" s="4" t="e">
        <f>(#REF!-#REF!)</f>
        <v>#REF!</v>
      </c>
      <c r="M109" s="4" t="str">
        <f t="shared" si="8"/>
        <v/>
      </c>
      <c r="N109" s="4"/>
    </row>
    <row r="110" spans="1:14">
      <c r="A110" s="2"/>
      <c r="E110" t="e">
        <f>VLOOKUP(#REF!,Catalogos!$V$4:$W$55,2,FALSE)</f>
        <v>#REF!</v>
      </c>
      <c r="F110" s="3"/>
      <c r="G110" s="6"/>
      <c r="H110" s="3">
        <f t="shared" si="6"/>
        <v>520</v>
      </c>
      <c r="I110" s="4">
        <v>28.3</v>
      </c>
      <c r="J110" s="4">
        <f t="shared" si="9"/>
        <v>0</v>
      </c>
      <c r="K110" s="4" t="e">
        <f t="shared" si="10"/>
        <v>#REF!</v>
      </c>
      <c r="L110" s="4" t="e">
        <f>(#REF!-#REF!)</f>
        <v>#REF!</v>
      </c>
      <c r="M110" s="4" t="str">
        <f t="shared" si="8"/>
        <v/>
      </c>
      <c r="N110" s="4"/>
    </row>
    <row r="111" spans="1:14">
      <c r="A111" s="2"/>
      <c r="E111" t="e">
        <f>VLOOKUP(#REF!,Catalogos!$V$4:$W$55,2,FALSE)</f>
        <v>#REF!</v>
      </c>
      <c r="F111" s="3"/>
      <c r="G111" s="6"/>
      <c r="H111" s="3">
        <f t="shared" si="6"/>
        <v>520</v>
      </c>
      <c r="I111" s="4">
        <v>28.3</v>
      </c>
      <c r="J111" s="4">
        <f t="shared" si="9"/>
        <v>0</v>
      </c>
      <c r="K111" s="4" t="e">
        <f t="shared" si="10"/>
        <v>#REF!</v>
      </c>
      <c r="L111" s="4" t="e">
        <f>(#REF!-#REF!)</f>
        <v>#REF!</v>
      </c>
      <c r="M111" s="4" t="str">
        <f t="shared" si="8"/>
        <v/>
      </c>
      <c r="N111" s="4"/>
    </row>
    <row r="112" spans="1:14">
      <c r="A112" s="2"/>
      <c r="E112" t="e">
        <f>VLOOKUP(#REF!,Catalogos!$V$4:$W$55,2,FALSE)</f>
        <v>#REF!</v>
      </c>
      <c r="F112" s="3"/>
      <c r="G112" s="6"/>
      <c r="H112" s="3">
        <f t="shared" si="6"/>
        <v>520</v>
      </c>
      <c r="I112" s="4">
        <v>28.3</v>
      </c>
      <c r="J112" s="4">
        <f t="shared" si="9"/>
        <v>0</v>
      </c>
      <c r="K112" s="4" t="e">
        <f t="shared" si="10"/>
        <v>#REF!</v>
      </c>
      <c r="L112" s="4" t="e">
        <f>(#REF!-#REF!)</f>
        <v>#REF!</v>
      </c>
      <c r="M112" s="4" t="str">
        <f t="shared" si="8"/>
        <v/>
      </c>
      <c r="N112" s="4"/>
    </row>
    <row r="113" spans="1:14">
      <c r="A113" s="2"/>
      <c r="E113" t="e">
        <f>VLOOKUP(#REF!,Catalogos!$V$4:$W$55,2,FALSE)</f>
        <v>#REF!</v>
      </c>
      <c r="F113" s="3"/>
      <c r="G113" s="6"/>
      <c r="H113" s="3">
        <f t="shared" si="6"/>
        <v>520</v>
      </c>
      <c r="I113" s="4">
        <v>28.3</v>
      </c>
      <c r="J113" s="4">
        <f t="shared" si="9"/>
        <v>0</v>
      </c>
      <c r="K113" s="4" t="e">
        <f t="shared" si="10"/>
        <v>#REF!</v>
      </c>
      <c r="L113" s="4" t="e">
        <f>(#REF!-#REF!)</f>
        <v>#REF!</v>
      </c>
      <c r="M113" s="4" t="str">
        <f t="shared" si="8"/>
        <v/>
      </c>
      <c r="N113" s="4"/>
    </row>
    <row r="114" spans="1:14">
      <c r="A114" s="2"/>
      <c r="E114" t="e">
        <f>VLOOKUP(#REF!,Catalogos!$V$4:$W$55,2,FALSE)</f>
        <v>#REF!</v>
      </c>
      <c r="F114" s="3"/>
      <c r="G114" s="6"/>
      <c r="H114" s="3">
        <f t="shared" si="6"/>
        <v>520</v>
      </c>
      <c r="I114" s="4">
        <v>28.3</v>
      </c>
      <c r="J114" s="4">
        <f t="shared" si="9"/>
        <v>0</v>
      </c>
      <c r="K114" s="4" t="e">
        <f t="shared" si="10"/>
        <v>#REF!</v>
      </c>
      <c r="L114" s="4" t="e">
        <f>(#REF!-#REF!)</f>
        <v>#REF!</v>
      </c>
      <c r="M114" s="4" t="str">
        <f t="shared" si="8"/>
        <v/>
      </c>
      <c r="N114" s="4"/>
    </row>
    <row r="115" spans="1:14">
      <c r="A115" s="2"/>
      <c r="E115" t="e">
        <f>VLOOKUP(#REF!,Catalogos!$V$4:$W$55,2,FALSE)</f>
        <v>#REF!</v>
      </c>
      <c r="F115" s="3"/>
      <c r="G115" s="6"/>
      <c r="H115" s="3">
        <f t="shared" si="6"/>
        <v>520</v>
      </c>
      <c r="I115" s="4">
        <v>28.3</v>
      </c>
      <c r="J115" s="4">
        <f t="shared" si="9"/>
        <v>0</v>
      </c>
      <c r="K115" s="4" t="e">
        <f t="shared" si="10"/>
        <v>#REF!</v>
      </c>
      <c r="L115" s="4" t="e">
        <f>(#REF!-#REF!)</f>
        <v>#REF!</v>
      </c>
      <c r="M115" s="4" t="str">
        <f t="shared" si="8"/>
        <v/>
      </c>
      <c r="N115" s="4"/>
    </row>
    <row r="116" spans="1:14">
      <c r="A116" s="2"/>
      <c r="E116" t="e">
        <f>VLOOKUP(#REF!,Catalogos!$V$4:$W$55,2,FALSE)</f>
        <v>#REF!</v>
      </c>
      <c r="F116" s="3"/>
      <c r="G116" s="6"/>
      <c r="H116" s="3">
        <f t="shared" si="6"/>
        <v>520</v>
      </c>
      <c r="I116" s="4">
        <v>28.3</v>
      </c>
      <c r="J116" s="4">
        <f t="shared" si="9"/>
        <v>0</v>
      </c>
      <c r="K116" s="4" t="e">
        <f t="shared" si="10"/>
        <v>#REF!</v>
      </c>
      <c r="L116" s="4" t="e">
        <f>(#REF!-#REF!)</f>
        <v>#REF!</v>
      </c>
      <c r="M116" s="4" t="str">
        <f t="shared" si="8"/>
        <v/>
      </c>
      <c r="N116" s="4"/>
    </row>
    <row r="117" spans="1:14">
      <c r="A117" s="2"/>
      <c r="E117" t="e">
        <f>VLOOKUP(#REF!,Catalogos!$V$4:$W$55,2,FALSE)</f>
        <v>#REF!</v>
      </c>
      <c r="F117" s="3"/>
      <c r="G117" s="6"/>
      <c r="H117" s="3">
        <f t="shared" si="6"/>
        <v>520</v>
      </c>
      <c r="I117" s="4">
        <v>28.3</v>
      </c>
      <c r="J117" s="4">
        <f t="shared" si="9"/>
        <v>0</v>
      </c>
      <c r="K117" s="4" t="e">
        <f t="shared" si="10"/>
        <v>#REF!</v>
      </c>
      <c r="L117" s="4" t="e">
        <f>(#REF!-#REF!)</f>
        <v>#REF!</v>
      </c>
      <c r="M117" s="4" t="str">
        <f t="shared" si="8"/>
        <v/>
      </c>
      <c r="N117" s="4"/>
    </row>
    <row r="118" spans="1:14">
      <c r="A118" s="2"/>
      <c r="E118" t="e">
        <f>VLOOKUP(#REF!,Catalogos!$V$4:$W$55,2,FALSE)</f>
        <v>#REF!</v>
      </c>
      <c r="F118" s="3"/>
      <c r="G118" s="6"/>
      <c r="H118" s="3">
        <f t="shared" si="6"/>
        <v>520</v>
      </c>
      <c r="I118" s="4">
        <v>28.3</v>
      </c>
      <c r="J118" s="4">
        <f t="shared" si="9"/>
        <v>0</v>
      </c>
      <c r="K118" s="4" t="e">
        <f t="shared" si="10"/>
        <v>#REF!</v>
      </c>
      <c r="L118" s="4" t="e">
        <f>(#REF!-#REF!)</f>
        <v>#REF!</v>
      </c>
      <c r="M118" s="4" t="str">
        <f t="shared" si="8"/>
        <v/>
      </c>
      <c r="N118" s="4"/>
    </row>
    <row r="119" spans="1:14">
      <c r="A119" s="2"/>
      <c r="E119" t="e">
        <f>VLOOKUP(#REF!,Catalogos!$V$4:$W$55,2,FALSE)</f>
        <v>#REF!</v>
      </c>
      <c r="F119" s="3"/>
      <c r="G119" s="6"/>
      <c r="H119" s="3">
        <f t="shared" si="6"/>
        <v>520</v>
      </c>
      <c r="I119" s="4">
        <v>28.3</v>
      </c>
      <c r="J119" s="4">
        <f t="shared" si="9"/>
        <v>0</v>
      </c>
      <c r="K119" s="4" t="e">
        <f t="shared" si="10"/>
        <v>#REF!</v>
      </c>
      <c r="L119" s="4" t="e">
        <f>(#REF!-#REF!)</f>
        <v>#REF!</v>
      </c>
      <c r="M119" s="4" t="str">
        <f t="shared" si="8"/>
        <v/>
      </c>
      <c r="N119" s="4"/>
    </row>
    <row r="120" spans="1:14">
      <c r="A120" s="2"/>
      <c r="E120" t="e">
        <f>VLOOKUP(#REF!,Catalogos!$V$4:$W$55,2,FALSE)</f>
        <v>#REF!</v>
      </c>
      <c r="F120" s="3"/>
      <c r="G120" s="6"/>
      <c r="H120" s="3">
        <f t="shared" si="6"/>
        <v>520</v>
      </c>
      <c r="I120" s="4">
        <v>28.3</v>
      </c>
      <c r="J120" s="4">
        <f t="shared" si="9"/>
        <v>0</v>
      </c>
      <c r="K120" s="4" t="e">
        <f t="shared" si="10"/>
        <v>#REF!</v>
      </c>
      <c r="L120" s="4" t="e">
        <f>(#REF!-#REF!)</f>
        <v>#REF!</v>
      </c>
      <c r="M120" s="4" t="str">
        <f t="shared" si="8"/>
        <v/>
      </c>
      <c r="N120" s="4"/>
    </row>
    <row r="121" spans="1:14">
      <c r="A121" s="2"/>
      <c r="E121" t="e">
        <f>VLOOKUP(#REF!,Catalogos!$V$4:$W$55,2,FALSE)</f>
        <v>#REF!</v>
      </c>
      <c r="F121" s="3"/>
      <c r="G121" s="6"/>
      <c r="H121" s="3">
        <f t="shared" si="6"/>
        <v>520</v>
      </c>
      <c r="I121" s="4">
        <v>28.3</v>
      </c>
      <c r="J121" s="4">
        <f t="shared" si="9"/>
        <v>0</v>
      </c>
      <c r="K121" s="4" t="e">
        <f t="shared" si="10"/>
        <v>#REF!</v>
      </c>
      <c r="L121" s="4" t="e">
        <f>(#REF!-#REF!)</f>
        <v>#REF!</v>
      </c>
      <c r="M121" s="4" t="str">
        <f t="shared" si="8"/>
        <v/>
      </c>
      <c r="N121" s="4"/>
    </row>
    <row r="122" spans="1:14">
      <c r="A122" s="2"/>
      <c r="E122" t="e">
        <f>VLOOKUP(#REF!,Catalogos!$V$4:$W$55,2,FALSE)</f>
        <v>#REF!</v>
      </c>
      <c r="F122" s="3"/>
      <c r="G122" s="6"/>
      <c r="H122" s="3">
        <f t="shared" si="6"/>
        <v>520</v>
      </c>
      <c r="I122" s="4">
        <v>28.3</v>
      </c>
      <c r="J122" s="4">
        <f t="shared" si="9"/>
        <v>0</v>
      </c>
      <c r="K122" s="4" t="e">
        <f t="shared" si="10"/>
        <v>#REF!</v>
      </c>
      <c r="L122" s="4" t="e">
        <f>(#REF!-#REF!)</f>
        <v>#REF!</v>
      </c>
      <c r="M122" s="4" t="str">
        <f t="shared" si="8"/>
        <v/>
      </c>
      <c r="N122" s="4"/>
    </row>
    <row r="123" spans="1:14">
      <c r="A123" s="2"/>
      <c r="E123" t="e">
        <f>VLOOKUP(#REF!,Catalogos!$V$4:$W$55,2,FALSE)</f>
        <v>#REF!</v>
      </c>
      <c r="F123" s="3"/>
      <c r="G123" s="6"/>
      <c r="H123" s="3">
        <f t="shared" si="6"/>
        <v>520</v>
      </c>
      <c r="I123" s="4">
        <v>28.3</v>
      </c>
      <c r="J123" s="4">
        <f t="shared" si="9"/>
        <v>0</v>
      </c>
      <c r="K123" s="4" t="e">
        <f t="shared" si="10"/>
        <v>#REF!</v>
      </c>
      <c r="L123" s="4" t="e">
        <f>(#REF!-#REF!)</f>
        <v>#REF!</v>
      </c>
      <c r="M123" s="4" t="str">
        <f t="shared" si="8"/>
        <v/>
      </c>
      <c r="N123" s="4"/>
    </row>
    <row r="124" spans="1:14">
      <c r="A124" s="2"/>
      <c r="E124" t="e">
        <f>VLOOKUP(#REF!,Catalogos!$V$4:$W$55,2,FALSE)</f>
        <v>#REF!</v>
      </c>
      <c r="F124" s="3"/>
      <c r="G124" s="6"/>
      <c r="H124" s="3">
        <f t="shared" si="6"/>
        <v>520</v>
      </c>
      <c r="I124" s="4">
        <v>28.3</v>
      </c>
      <c r="J124" s="4">
        <f t="shared" si="9"/>
        <v>0</v>
      </c>
      <c r="K124" s="4" t="e">
        <f t="shared" si="10"/>
        <v>#REF!</v>
      </c>
      <c r="L124" s="4" t="e">
        <f>(#REF!-#REF!)</f>
        <v>#REF!</v>
      </c>
      <c r="M124" s="4" t="str">
        <f t="shared" si="8"/>
        <v/>
      </c>
      <c r="N124" s="4"/>
    </row>
    <row r="125" spans="1:14">
      <c r="A125" s="2"/>
      <c r="E125" t="e">
        <f>VLOOKUP(#REF!,Catalogos!$V$4:$W$55,2,FALSE)</f>
        <v>#REF!</v>
      </c>
      <c r="F125" s="3"/>
      <c r="G125" s="6"/>
      <c r="H125" s="3">
        <f t="shared" si="6"/>
        <v>520</v>
      </c>
      <c r="I125" s="4">
        <v>28.3</v>
      </c>
      <c r="J125" s="4">
        <f t="shared" si="9"/>
        <v>0</v>
      </c>
      <c r="K125" s="4" t="e">
        <f t="shared" si="10"/>
        <v>#REF!</v>
      </c>
      <c r="L125" s="4" t="e">
        <f>(#REF!-#REF!)</f>
        <v>#REF!</v>
      </c>
      <c r="M125" s="4" t="str">
        <f t="shared" si="8"/>
        <v/>
      </c>
      <c r="N125" s="4"/>
    </row>
    <row r="126" spans="1:14">
      <c r="A126" s="2"/>
      <c r="E126" t="e">
        <f>VLOOKUP(#REF!,Catalogos!$V$4:$W$55,2,FALSE)</f>
        <v>#REF!</v>
      </c>
      <c r="F126" s="3"/>
      <c r="G126" s="6"/>
      <c r="H126" s="3">
        <f t="shared" si="6"/>
        <v>520</v>
      </c>
      <c r="I126" s="4">
        <v>28.3</v>
      </c>
      <c r="J126" s="4">
        <f t="shared" si="9"/>
        <v>0</v>
      </c>
      <c r="K126" s="4" t="e">
        <f t="shared" si="10"/>
        <v>#REF!</v>
      </c>
      <c r="L126" s="4" t="e">
        <f>(#REF!-#REF!)</f>
        <v>#REF!</v>
      </c>
      <c r="M126" s="4" t="str">
        <f t="shared" si="8"/>
        <v/>
      </c>
      <c r="N126" s="4"/>
    </row>
    <row r="127" spans="1:14">
      <c r="A127" s="2"/>
      <c r="E127" t="e">
        <f>VLOOKUP(#REF!,Catalogos!$V$4:$W$55,2,FALSE)</f>
        <v>#REF!</v>
      </c>
      <c r="F127" s="3"/>
      <c r="G127" s="6"/>
      <c r="H127" s="3">
        <f t="shared" si="6"/>
        <v>520</v>
      </c>
      <c r="I127" s="4">
        <v>28.3</v>
      </c>
      <c r="J127" s="4">
        <f t="shared" si="9"/>
        <v>0</v>
      </c>
      <c r="K127" s="4" t="e">
        <f t="shared" si="10"/>
        <v>#REF!</v>
      </c>
      <c r="L127" s="4" t="e">
        <f>(#REF!-#REF!)</f>
        <v>#REF!</v>
      </c>
      <c r="M127" s="4" t="str">
        <f t="shared" si="8"/>
        <v/>
      </c>
      <c r="N127" s="4"/>
    </row>
    <row r="128" spans="1:14">
      <c r="A128" s="2"/>
      <c r="E128" t="e">
        <f>VLOOKUP(#REF!,Catalogos!$V$4:$W$55,2,FALSE)</f>
        <v>#REF!</v>
      </c>
      <c r="F128" s="3"/>
      <c r="G128" s="6"/>
      <c r="H128" s="3">
        <f t="shared" si="6"/>
        <v>520</v>
      </c>
      <c r="I128" s="4">
        <v>28.3</v>
      </c>
      <c r="J128" s="4">
        <f t="shared" si="9"/>
        <v>0</v>
      </c>
      <c r="K128" s="4" t="e">
        <f t="shared" si="10"/>
        <v>#REF!</v>
      </c>
      <c r="L128" s="4" t="e">
        <f>(#REF!-#REF!)</f>
        <v>#REF!</v>
      </c>
      <c r="M128" s="4" t="str">
        <f t="shared" si="8"/>
        <v/>
      </c>
      <c r="N128" s="4"/>
    </row>
    <row r="129" spans="1:14">
      <c r="A129" s="2"/>
      <c r="E129" t="e">
        <f>VLOOKUP(#REF!,Catalogos!$V$4:$W$55,2,FALSE)</f>
        <v>#REF!</v>
      </c>
      <c r="F129" s="3"/>
      <c r="G129" s="6"/>
      <c r="H129" s="3">
        <f t="shared" si="6"/>
        <v>520</v>
      </c>
      <c r="I129" s="4">
        <v>28.3</v>
      </c>
      <c r="J129" s="4">
        <f t="shared" si="9"/>
        <v>0</v>
      </c>
      <c r="K129" s="4" t="e">
        <f t="shared" si="10"/>
        <v>#REF!</v>
      </c>
      <c r="L129" s="4" t="e">
        <f>(#REF!-#REF!)</f>
        <v>#REF!</v>
      </c>
      <c r="M129" s="4" t="str">
        <f t="shared" si="8"/>
        <v/>
      </c>
      <c r="N129" s="4"/>
    </row>
    <row r="130" spans="1:14">
      <c r="A130" s="2"/>
      <c r="E130" t="e">
        <f>VLOOKUP(#REF!,Catalogos!$V$4:$W$55,2,FALSE)</f>
        <v>#REF!</v>
      </c>
      <c r="F130" s="3"/>
      <c r="G130" s="6"/>
      <c r="H130" s="3">
        <f t="shared" ref="H130:H193" si="11">IF(ROW()=5,F130-G130,H129+F130-G130)</f>
        <v>520</v>
      </c>
      <c r="I130" s="4">
        <v>28.3</v>
      </c>
      <c r="J130" s="4">
        <f t="shared" si="9"/>
        <v>0</v>
      </c>
      <c r="K130" s="4" t="e">
        <f t="shared" si="10"/>
        <v>#REF!</v>
      </c>
      <c r="L130" s="4" t="e">
        <f>(#REF!-#REF!)</f>
        <v>#REF!</v>
      </c>
      <c r="M130" s="4" t="str">
        <f t="shared" si="8"/>
        <v/>
      </c>
      <c r="N130" s="4"/>
    </row>
    <row r="131" spans="1:14">
      <c r="A131" s="2"/>
      <c r="E131" t="e">
        <f>VLOOKUP(#REF!,Catalogos!$V$4:$W$55,2,FALSE)</f>
        <v>#REF!</v>
      </c>
      <c r="F131" s="3"/>
      <c r="G131" s="6"/>
      <c r="H131" s="3">
        <f t="shared" si="11"/>
        <v>520</v>
      </c>
      <c r="I131" s="4">
        <v>28.3</v>
      </c>
      <c r="J131" s="4">
        <f t="shared" si="9"/>
        <v>0</v>
      </c>
      <c r="K131" s="4" t="e">
        <f t="shared" si="10"/>
        <v>#REF!</v>
      </c>
      <c r="L131" s="4" t="e">
        <f>(#REF!-#REF!)</f>
        <v>#REF!</v>
      </c>
      <c r="M131" s="4" t="str">
        <f t="shared" si="8"/>
        <v/>
      </c>
      <c r="N131" s="4"/>
    </row>
    <row r="132" spans="1:14">
      <c r="A132" s="2"/>
      <c r="E132" t="e">
        <f>VLOOKUP(#REF!,Catalogos!$V$4:$W$55,2,FALSE)</f>
        <v>#REF!</v>
      </c>
      <c r="F132" s="3"/>
      <c r="G132" s="6"/>
      <c r="H132" s="3">
        <f t="shared" si="11"/>
        <v>520</v>
      </c>
      <c r="I132" s="4">
        <v>28.3</v>
      </c>
      <c r="J132" s="4">
        <f t="shared" si="9"/>
        <v>0</v>
      </c>
      <c r="K132" s="4" t="e">
        <f t="shared" si="10"/>
        <v>#REF!</v>
      </c>
      <c r="L132" s="4" t="e">
        <f>(#REF!-#REF!)</f>
        <v>#REF!</v>
      </c>
      <c r="M132" s="4" t="str">
        <f t="shared" si="8"/>
        <v/>
      </c>
      <c r="N132" s="4"/>
    </row>
    <row r="133" spans="1:14">
      <c r="A133" s="2"/>
      <c r="E133" t="e">
        <f>VLOOKUP(#REF!,Catalogos!$V$4:$W$55,2,FALSE)</f>
        <v>#REF!</v>
      </c>
      <c r="F133" s="3"/>
      <c r="G133" s="6"/>
      <c r="H133" s="3">
        <f t="shared" si="11"/>
        <v>520</v>
      </c>
      <c r="I133" s="4">
        <v>28.3</v>
      </c>
      <c r="J133" s="4">
        <f t="shared" si="9"/>
        <v>0</v>
      </c>
      <c r="K133" s="4" t="e">
        <f t="shared" si="10"/>
        <v>#REF!</v>
      </c>
      <c r="L133" s="4" t="e">
        <f>(#REF!-#REF!)</f>
        <v>#REF!</v>
      </c>
      <c r="M133" s="4" t="str">
        <f t="shared" ref="M133:M196" si="12">IF(A133="","", WEEKNUM(A133, 2))</f>
        <v/>
      </c>
      <c r="N133" s="4"/>
    </row>
    <row r="134" spans="1:14">
      <c r="A134" s="2"/>
      <c r="E134" t="e">
        <f>VLOOKUP(#REF!,Catalogos!$V$4:$W$55,2,FALSE)</f>
        <v>#REF!</v>
      </c>
      <c r="F134" s="3"/>
      <c r="G134" s="6"/>
      <c r="H134" s="3">
        <f t="shared" si="11"/>
        <v>520</v>
      </c>
      <c r="I134" s="4">
        <v>28.3</v>
      </c>
      <c r="J134" s="4">
        <f t="shared" si="9"/>
        <v>0</v>
      </c>
      <c r="K134" s="4" t="e">
        <f t="shared" si="10"/>
        <v>#REF!</v>
      </c>
      <c r="L134" s="4" t="e">
        <f>(#REF!-#REF!)</f>
        <v>#REF!</v>
      </c>
      <c r="M134" s="4" t="str">
        <f t="shared" si="12"/>
        <v/>
      </c>
      <c r="N134" s="4"/>
    </row>
    <row r="135" spans="1:14">
      <c r="A135" s="2"/>
      <c r="E135" t="e">
        <f>VLOOKUP(#REF!,Catalogos!$V$4:$W$55,2,FALSE)</f>
        <v>#REF!</v>
      </c>
      <c r="F135" s="3"/>
      <c r="G135" s="6"/>
      <c r="H135" s="3">
        <f t="shared" si="11"/>
        <v>520</v>
      </c>
      <c r="I135" s="4">
        <v>28.3</v>
      </c>
      <c r="J135" s="4">
        <f t="shared" si="9"/>
        <v>0</v>
      </c>
      <c r="K135" s="4" t="e">
        <f t="shared" si="10"/>
        <v>#REF!</v>
      </c>
      <c r="L135" s="4" t="e">
        <f>(#REF!-#REF!)</f>
        <v>#REF!</v>
      </c>
      <c r="M135" s="4" t="str">
        <f t="shared" si="12"/>
        <v/>
      </c>
      <c r="N135" s="4"/>
    </row>
    <row r="136" spans="1:14">
      <c r="A136" s="2"/>
      <c r="E136" t="e">
        <f>VLOOKUP(#REF!,Catalogos!$V$4:$W$55,2,FALSE)</f>
        <v>#REF!</v>
      </c>
      <c r="F136" s="3"/>
      <c r="G136" s="6"/>
      <c r="H136" s="3">
        <f t="shared" si="11"/>
        <v>520</v>
      </c>
      <c r="I136" s="4">
        <v>28.3</v>
      </c>
      <c r="J136" s="4">
        <f t="shared" si="9"/>
        <v>0</v>
      </c>
      <c r="K136" s="4" t="e">
        <f t="shared" si="10"/>
        <v>#REF!</v>
      </c>
      <c r="L136" s="4" t="e">
        <f>(#REF!-#REF!)</f>
        <v>#REF!</v>
      </c>
      <c r="M136" s="4" t="str">
        <f t="shared" si="12"/>
        <v/>
      </c>
      <c r="N136" s="4"/>
    </row>
    <row r="137" spans="1:14">
      <c r="A137" s="2"/>
      <c r="E137" t="e">
        <f>VLOOKUP(#REF!,Catalogos!$V$4:$W$55,2,FALSE)</f>
        <v>#REF!</v>
      </c>
      <c r="F137" s="3"/>
      <c r="G137" s="6"/>
      <c r="H137" s="3">
        <f t="shared" si="11"/>
        <v>520</v>
      </c>
      <c r="I137" s="4">
        <v>28.3</v>
      </c>
      <c r="J137" s="4">
        <f t="shared" si="9"/>
        <v>0</v>
      </c>
      <c r="K137" s="4" t="e">
        <f t="shared" si="10"/>
        <v>#REF!</v>
      </c>
      <c r="L137" s="4" t="e">
        <f>(#REF!-#REF!)</f>
        <v>#REF!</v>
      </c>
      <c r="M137" s="4" t="str">
        <f t="shared" si="12"/>
        <v/>
      </c>
      <c r="N137" s="4"/>
    </row>
    <row r="138" spans="1:14">
      <c r="A138" s="2"/>
      <c r="E138" t="e">
        <f>VLOOKUP(#REF!,Catalogos!$V$4:$W$55,2,FALSE)</f>
        <v>#REF!</v>
      </c>
      <c r="F138" s="3"/>
      <c r="G138" s="6"/>
      <c r="H138" s="3">
        <f t="shared" si="11"/>
        <v>520</v>
      </c>
      <c r="I138" s="4">
        <v>28.3</v>
      </c>
      <c r="J138" s="4">
        <f t="shared" si="9"/>
        <v>0</v>
      </c>
      <c r="K138" s="4" t="e">
        <f t="shared" si="10"/>
        <v>#REF!</v>
      </c>
      <c r="L138" s="4" t="e">
        <f>(#REF!-#REF!)</f>
        <v>#REF!</v>
      </c>
      <c r="M138" s="4" t="str">
        <f t="shared" si="12"/>
        <v/>
      </c>
      <c r="N138" s="4"/>
    </row>
    <row r="139" spans="1:14">
      <c r="A139" s="2"/>
      <c r="E139" t="e">
        <f>VLOOKUP(#REF!,Catalogos!$V$4:$W$55,2,FALSE)</f>
        <v>#REF!</v>
      </c>
      <c r="F139" s="3"/>
      <c r="G139" s="6"/>
      <c r="H139" s="3">
        <f t="shared" si="11"/>
        <v>520</v>
      </c>
      <c r="I139" s="4">
        <v>28.3</v>
      </c>
      <c r="J139" s="4">
        <f t="shared" si="9"/>
        <v>0</v>
      </c>
      <c r="K139" s="4" t="e">
        <f t="shared" si="10"/>
        <v>#REF!</v>
      </c>
      <c r="L139" s="4" t="e">
        <f>(#REF!-#REF!)</f>
        <v>#REF!</v>
      </c>
      <c r="M139" s="4" t="str">
        <f t="shared" si="12"/>
        <v/>
      </c>
      <c r="N139" s="4"/>
    </row>
    <row r="140" spans="1:14">
      <c r="A140" s="2"/>
      <c r="E140" t="e">
        <f>VLOOKUP(#REF!,Catalogos!$V$4:$W$55,2,FALSE)</f>
        <v>#REF!</v>
      </c>
      <c r="F140" s="3"/>
      <c r="G140" s="6"/>
      <c r="H140" s="3">
        <f t="shared" si="11"/>
        <v>520</v>
      </c>
      <c r="I140" s="4">
        <v>28.3</v>
      </c>
      <c r="J140" s="4">
        <f t="shared" ref="J140:J203" si="13">IFERROR((F140+G140)*I140,0)</f>
        <v>0</v>
      </c>
      <c r="K140" s="4" t="e">
        <f t="shared" si="10"/>
        <v>#REF!</v>
      </c>
      <c r="L140" s="4" t="e">
        <f>(#REF!-#REF!)</f>
        <v>#REF!</v>
      </c>
      <c r="M140" s="4" t="str">
        <f t="shared" si="12"/>
        <v/>
      </c>
      <c r="N140" s="4"/>
    </row>
    <row r="141" spans="1:14">
      <c r="A141" s="2"/>
      <c r="E141" t="e">
        <f>VLOOKUP(#REF!,Catalogos!$V$4:$W$55,2,FALSE)</f>
        <v>#REF!</v>
      </c>
      <c r="F141" s="3"/>
      <c r="G141" s="6"/>
      <c r="H141" s="3">
        <f t="shared" si="11"/>
        <v>520</v>
      </c>
      <c r="I141" s="4">
        <v>28.3</v>
      </c>
      <c r="J141" s="4">
        <f t="shared" si="13"/>
        <v>0</v>
      </c>
      <c r="K141" s="4" t="e">
        <f t="shared" si="10"/>
        <v>#REF!</v>
      </c>
      <c r="L141" s="4" t="e">
        <f>(#REF!-#REF!)</f>
        <v>#REF!</v>
      </c>
      <c r="M141" s="4" t="str">
        <f t="shared" si="12"/>
        <v/>
      </c>
      <c r="N141" s="4"/>
    </row>
    <row r="142" spans="1:14">
      <c r="A142" s="2"/>
      <c r="E142" t="e">
        <f>VLOOKUP(#REF!,Catalogos!$V$4:$W$55,2,FALSE)</f>
        <v>#REF!</v>
      </c>
      <c r="F142" s="3"/>
      <c r="G142" s="6"/>
      <c r="H142" s="3">
        <f t="shared" si="11"/>
        <v>520</v>
      </c>
      <c r="I142" s="4">
        <v>28.3</v>
      </c>
      <c r="J142" s="4">
        <f t="shared" si="13"/>
        <v>0</v>
      </c>
      <c r="K142" s="4" t="e">
        <f t="shared" si="10"/>
        <v>#REF!</v>
      </c>
      <c r="L142" s="4" t="e">
        <f>(#REF!-#REF!)</f>
        <v>#REF!</v>
      </c>
      <c r="M142" s="4" t="str">
        <f t="shared" si="12"/>
        <v/>
      </c>
      <c r="N142" s="4"/>
    </row>
    <row r="143" spans="1:14">
      <c r="A143" s="2"/>
      <c r="E143" t="e">
        <f>VLOOKUP(#REF!,Catalogos!$V$4:$W$55,2,FALSE)</f>
        <v>#REF!</v>
      </c>
      <c r="F143" s="3"/>
      <c r="G143" s="6"/>
      <c r="H143" s="3">
        <f t="shared" si="11"/>
        <v>520</v>
      </c>
      <c r="I143" s="4">
        <v>28.3</v>
      </c>
      <c r="J143" s="4">
        <f t="shared" si="13"/>
        <v>0</v>
      </c>
      <c r="K143" s="4" t="e">
        <f t="shared" si="10"/>
        <v>#REF!</v>
      </c>
      <c r="L143" s="4" t="e">
        <f>(#REF!-#REF!)</f>
        <v>#REF!</v>
      </c>
      <c r="M143" s="4" t="str">
        <f t="shared" si="12"/>
        <v/>
      </c>
      <c r="N143" s="4"/>
    </row>
    <row r="144" spans="1:14">
      <c r="A144" s="2"/>
      <c r="E144" t="e">
        <f>VLOOKUP(#REF!,Catalogos!$V$4:$W$55,2,FALSE)</f>
        <v>#REF!</v>
      </c>
      <c r="F144" s="3"/>
      <c r="G144" s="6"/>
      <c r="H144" s="3">
        <f t="shared" si="11"/>
        <v>520</v>
      </c>
      <c r="I144" s="4">
        <v>28.3</v>
      </c>
      <c r="J144" s="4">
        <f t="shared" si="13"/>
        <v>0</v>
      </c>
      <c r="K144" s="4" t="e">
        <f t="shared" si="10"/>
        <v>#REF!</v>
      </c>
      <c r="L144" s="4" t="e">
        <f>(#REF!-#REF!)</f>
        <v>#REF!</v>
      </c>
      <c r="M144" s="4" t="str">
        <f t="shared" si="12"/>
        <v/>
      </c>
      <c r="N144" s="4"/>
    </row>
    <row r="145" spans="1:14">
      <c r="A145" s="2"/>
      <c r="E145" t="e">
        <f>VLOOKUP(#REF!,Catalogos!$V$4:$W$55,2,FALSE)</f>
        <v>#REF!</v>
      </c>
      <c r="F145" s="3"/>
      <c r="G145" s="6"/>
      <c r="H145" s="3">
        <f t="shared" si="11"/>
        <v>520</v>
      </c>
      <c r="I145" s="4">
        <v>28.3</v>
      </c>
      <c r="J145" s="4">
        <f t="shared" si="13"/>
        <v>0</v>
      </c>
      <c r="K145" s="4" t="e">
        <f t="shared" si="10"/>
        <v>#REF!</v>
      </c>
      <c r="L145" s="4" t="e">
        <f>(#REF!-#REF!)</f>
        <v>#REF!</v>
      </c>
      <c r="M145" s="4" t="str">
        <f t="shared" si="12"/>
        <v/>
      </c>
      <c r="N145" s="4"/>
    </row>
    <row r="146" spans="1:14">
      <c r="A146" s="2"/>
      <c r="E146" t="e">
        <f>VLOOKUP(#REF!,Catalogos!$V$4:$W$55,2,FALSE)</f>
        <v>#REF!</v>
      </c>
      <c r="F146" s="3"/>
      <c r="G146" s="6"/>
      <c r="H146" s="3">
        <f t="shared" si="11"/>
        <v>520</v>
      </c>
      <c r="I146" s="4">
        <v>28.3</v>
      </c>
      <c r="J146" s="4">
        <f t="shared" si="13"/>
        <v>0</v>
      </c>
      <c r="K146" s="4" t="e">
        <f t="shared" si="10"/>
        <v>#REF!</v>
      </c>
      <c r="L146" s="4" t="e">
        <f>(#REF!-#REF!)</f>
        <v>#REF!</v>
      </c>
      <c r="M146" s="4" t="str">
        <f t="shared" si="12"/>
        <v/>
      </c>
      <c r="N146" s="4"/>
    </row>
    <row r="147" spans="1:14">
      <c r="A147" s="2"/>
      <c r="E147" t="e">
        <f>VLOOKUP(#REF!,Catalogos!$V$4:$W$55,2,FALSE)</f>
        <v>#REF!</v>
      </c>
      <c r="F147" s="3"/>
      <c r="G147" s="6"/>
      <c r="H147" s="3">
        <f t="shared" si="11"/>
        <v>520</v>
      </c>
      <c r="I147" s="4">
        <v>28.3</v>
      </c>
      <c r="J147" s="4">
        <f t="shared" si="13"/>
        <v>0</v>
      </c>
      <c r="K147" s="4" t="e">
        <f t="shared" si="10"/>
        <v>#REF!</v>
      </c>
      <c r="L147" s="4" t="e">
        <f>(#REF!-#REF!)</f>
        <v>#REF!</v>
      </c>
      <c r="M147" s="4" t="str">
        <f t="shared" si="12"/>
        <v/>
      </c>
      <c r="N147" s="4"/>
    </row>
    <row r="148" spans="1:14">
      <c r="A148" s="2"/>
      <c r="E148" t="e">
        <f>VLOOKUP(#REF!,Catalogos!$V$4:$W$55,2,FALSE)</f>
        <v>#REF!</v>
      </c>
      <c r="F148" s="3"/>
      <c r="G148" s="6"/>
      <c r="H148" s="3">
        <f t="shared" si="11"/>
        <v>520</v>
      </c>
      <c r="I148" s="4">
        <v>28.3</v>
      </c>
      <c r="J148" s="4">
        <f t="shared" si="13"/>
        <v>0</v>
      </c>
      <c r="K148" s="4" t="e">
        <f t="shared" si="10"/>
        <v>#REF!</v>
      </c>
      <c r="L148" s="4" t="e">
        <f>(#REF!-#REF!)</f>
        <v>#REF!</v>
      </c>
      <c r="M148" s="4" t="str">
        <f t="shared" si="12"/>
        <v/>
      </c>
      <c r="N148" s="4"/>
    </row>
    <row r="149" spans="1:14">
      <c r="A149" s="2"/>
      <c r="E149" t="e">
        <f>VLOOKUP(#REF!,Catalogos!$V$4:$W$55,2,FALSE)</f>
        <v>#REF!</v>
      </c>
      <c r="F149" s="3"/>
      <c r="G149" s="6"/>
      <c r="H149" s="3">
        <f t="shared" si="11"/>
        <v>520</v>
      </c>
      <c r="I149" s="4">
        <v>28.3</v>
      </c>
      <c r="J149" s="4">
        <f t="shared" si="13"/>
        <v>0</v>
      </c>
      <c r="K149" s="4" t="e">
        <f t="shared" si="10"/>
        <v>#REF!</v>
      </c>
      <c r="L149" s="4" t="e">
        <f>(#REF!-#REF!)</f>
        <v>#REF!</v>
      </c>
      <c r="M149" s="4" t="str">
        <f t="shared" si="12"/>
        <v/>
      </c>
      <c r="N149" s="4"/>
    </row>
    <row r="150" spans="1:14">
      <c r="A150" s="2"/>
      <c r="E150" t="e">
        <f>VLOOKUP(#REF!,Catalogos!$V$4:$W$55,2,FALSE)</f>
        <v>#REF!</v>
      </c>
      <c r="F150" s="3"/>
      <c r="G150" s="6"/>
      <c r="H150" s="3">
        <f t="shared" si="11"/>
        <v>520</v>
      </c>
      <c r="I150" s="4">
        <v>28.3</v>
      </c>
      <c r="J150" s="4">
        <f t="shared" si="13"/>
        <v>0</v>
      </c>
      <c r="K150" s="4" t="e">
        <f t="shared" si="10"/>
        <v>#REF!</v>
      </c>
      <c r="L150" s="4" t="e">
        <f>(#REF!-#REF!)</f>
        <v>#REF!</v>
      </c>
      <c r="M150" s="4" t="str">
        <f t="shared" si="12"/>
        <v/>
      </c>
      <c r="N150" s="4"/>
    </row>
    <row r="151" spans="1:14">
      <c r="A151" s="2"/>
      <c r="E151" t="e">
        <f>VLOOKUP(#REF!,Catalogos!$V$4:$W$55,2,FALSE)</f>
        <v>#REF!</v>
      </c>
      <c r="F151" s="3"/>
      <c r="G151" s="6"/>
      <c r="H151" s="3">
        <f t="shared" si="11"/>
        <v>520</v>
      </c>
      <c r="I151" s="4">
        <v>28.3</v>
      </c>
      <c r="J151" s="4">
        <f t="shared" si="13"/>
        <v>0</v>
      </c>
      <c r="K151" s="4" t="e">
        <f t="shared" si="10"/>
        <v>#REF!</v>
      </c>
      <c r="L151" s="4" t="e">
        <f>(#REF!-#REF!)</f>
        <v>#REF!</v>
      </c>
      <c r="M151" s="4" t="str">
        <f t="shared" si="12"/>
        <v/>
      </c>
      <c r="N151" s="4"/>
    </row>
    <row r="152" spans="1:14">
      <c r="A152" s="2"/>
      <c r="E152" t="e">
        <f>VLOOKUP(#REF!,Catalogos!$V$4:$W$55,2,FALSE)</f>
        <v>#REF!</v>
      </c>
      <c r="F152" s="3"/>
      <c r="G152" s="6"/>
      <c r="H152" s="3">
        <f t="shared" si="11"/>
        <v>520</v>
      </c>
      <c r="I152" s="4">
        <v>28.3</v>
      </c>
      <c r="J152" s="4">
        <f t="shared" si="13"/>
        <v>0</v>
      </c>
      <c r="K152" s="4" t="e">
        <f t="shared" ref="K152:K206" si="14">L151+M151-N151</f>
        <v>#REF!</v>
      </c>
      <c r="L152" s="4" t="e">
        <f>(#REF!-#REF!)</f>
        <v>#REF!</v>
      </c>
      <c r="M152" s="4" t="str">
        <f t="shared" si="12"/>
        <v/>
      </c>
      <c r="N152" s="4"/>
    </row>
    <row r="153" spans="1:14">
      <c r="A153" s="2"/>
      <c r="E153" t="e">
        <f>VLOOKUP(#REF!,Catalogos!$V$4:$W$55,2,FALSE)</f>
        <v>#REF!</v>
      </c>
      <c r="F153" s="3"/>
      <c r="G153" s="6"/>
      <c r="H153" s="3">
        <f t="shared" si="11"/>
        <v>520</v>
      </c>
      <c r="I153" s="4">
        <v>28.3</v>
      </c>
      <c r="J153" s="4">
        <f t="shared" si="13"/>
        <v>0</v>
      </c>
      <c r="K153" s="4" t="e">
        <f t="shared" si="14"/>
        <v>#REF!</v>
      </c>
      <c r="L153" s="4" t="e">
        <f>(#REF!-#REF!)</f>
        <v>#REF!</v>
      </c>
      <c r="M153" s="4" t="str">
        <f t="shared" si="12"/>
        <v/>
      </c>
      <c r="N153" s="4"/>
    </row>
    <row r="154" spans="1:14">
      <c r="A154" s="2"/>
      <c r="E154" t="e">
        <f>VLOOKUP(#REF!,Catalogos!$V$4:$W$55,2,FALSE)</f>
        <v>#REF!</v>
      </c>
      <c r="F154" s="3"/>
      <c r="G154" s="6"/>
      <c r="H154" s="3">
        <f t="shared" si="11"/>
        <v>520</v>
      </c>
      <c r="I154" s="4">
        <v>28.3</v>
      </c>
      <c r="J154" s="4">
        <f t="shared" si="13"/>
        <v>0</v>
      </c>
      <c r="K154" s="4" t="e">
        <f t="shared" si="14"/>
        <v>#REF!</v>
      </c>
      <c r="L154" s="4" t="e">
        <f>(#REF!-#REF!)</f>
        <v>#REF!</v>
      </c>
      <c r="M154" s="4" t="str">
        <f t="shared" si="12"/>
        <v/>
      </c>
      <c r="N154" s="4"/>
    </row>
    <row r="155" spans="1:14">
      <c r="A155" s="2"/>
      <c r="E155" t="e">
        <f>VLOOKUP(#REF!,Catalogos!$V$4:$W$55,2,FALSE)</f>
        <v>#REF!</v>
      </c>
      <c r="F155" s="3"/>
      <c r="G155" s="6"/>
      <c r="H155" s="3">
        <f t="shared" si="11"/>
        <v>520</v>
      </c>
      <c r="I155" s="4">
        <v>28.3</v>
      </c>
      <c r="J155" s="4">
        <f t="shared" si="13"/>
        <v>0</v>
      </c>
      <c r="K155" s="4" t="e">
        <f t="shared" si="14"/>
        <v>#REF!</v>
      </c>
      <c r="L155" s="4" t="e">
        <f>(#REF!-#REF!)</f>
        <v>#REF!</v>
      </c>
      <c r="M155" s="4" t="str">
        <f t="shared" si="12"/>
        <v/>
      </c>
      <c r="N155" s="4"/>
    </row>
    <row r="156" spans="1:14">
      <c r="A156" s="2"/>
      <c r="E156" t="e">
        <f>VLOOKUP(#REF!,Catalogos!$V$4:$W$55,2,FALSE)</f>
        <v>#REF!</v>
      </c>
      <c r="F156" s="3"/>
      <c r="G156" s="6"/>
      <c r="H156" s="3">
        <f t="shared" si="11"/>
        <v>520</v>
      </c>
      <c r="I156" s="4">
        <v>28.3</v>
      </c>
      <c r="J156" s="4">
        <f t="shared" si="13"/>
        <v>0</v>
      </c>
      <c r="K156" s="4" t="e">
        <f t="shared" si="14"/>
        <v>#REF!</v>
      </c>
      <c r="L156" s="4" t="e">
        <f>(#REF!-#REF!)</f>
        <v>#REF!</v>
      </c>
      <c r="M156" s="4" t="str">
        <f t="shared" si="12"/>
        <v/>
      </c>
      <c r="N156" s="4"/>
    </row>
    <row r="157" spans="1:14">
      <c r="A157" s="2"/>
      <c r="E157" t="e">
        <f>VLOOKUP(#REF!,Catalogos!$V$4:$W$55,2,FALSE)</f>
        <v>#REF!</v>
      </c>
      <c r="F157" s="3"/>
      <c r="G157" s="6"/>
      <c r="H157" s="3">
        <f t="shared" si="11"/>
        <v>520</v>
      </c>
      <c r="I157" s="4">
        <v>28.3</v>
      </c>
      <c r="J157" s="4">
        <f t="shared" si="13"/>
        <v>0</v>
      </c>
      <c r="K157" s="4" t="e">
        <f t="shared" si="14"/>
        <v>#REF!</v>
      </c>
      <c r="L157" s="4" t="e">
        <f>(#REF!-#REF!)</f>
        <v>#REF!</v>
      </c>
      <c r="M157" s="4" t="str">
        <f t="shared" si="12"/>
        <v/>
      </c>
      <c r="N157" s="4"/>
    </row>
    <row r="158" spans="1:14">
      <c r="A158" s="2"/>
      <c r="E158" t="e">
        <f>VLOOKUP(#REF!,Catalogos!$V$4:$W$55,2,FALSE)</f>
        <v>#REF!</v>
      </c>
      <c r="F158" s="3"/>
      <c r="G158" s="6"/>
      <c r="H158" s="3">
        <f t="shared" si="11"/>
        <v>520</v>
      </c>
      <c r="I158" s="4">
        <v>28.3</v>
      </c>
      <c r="J158" s="4">
        <f t="shared" si="13"/>
        <v>0</v>
      </c>
      <c r="K158" s="4" t="e">
        <f t="shared" si="14"/>
        <v>#REF!</v>
      </c>
      <c r="L158" s="4" t="e">
        <f>(#REF!-#REF!)</f>
        <v>#REF!</v>
      </c>
      <c r="M158" s="4" t="str">
        <f t="shared" si="12"/>
        <v/>
      </c>
      <c r="N158" s="4"/>
    </row>
    <row r="159" spans="1:14">
      <c r="A159" s="2"/>
      <c r="E159" t="e">
        <f>VLOOKUP(#REF!,Catalogos!$V$4:$W$55,2,FALSE)</f>
        <v>#REF!</v>
      </c>
      <c r="F159" s="3"/>
      <c r="G159" s="6"/>
      <c r="H159" s="3">
        <f t="shared" si="11"/>
        <v>520</v>
      </c>
      <c r="I159" s="4">
        <v>28.3</v>
      </c>
      <c r="J159" s="4">
        <f t="shared" si="13"/>
        <v>0</v>
      </c>
      <c r="K159" s="4" t="e">
        <f t="shared" si="14"/>
        <v>#REF!</v>
      </c>
      <c r="L159" s="4" t="e">
        <f>(#REF!-#REF!)</f>
        <v>#REF!</v>
      </c>
      <c r="M159" s="4" t="str">
        <f t="shared" si="12"/>
        <v/>
      </c>
      <c r="N159" s="4"/>
    </row>
    <row r="160" spans="1:14">
      <c r="A160" s="2"/>
      <c r="E160" t="e">
        <f>VLOOKUP(#REF!,Catalogos!$V$4:$W$55,2,FALSE)</f>
        <v>#REF!</v>
      </c>
      <c r="F160" s="3"/>
      <c r="G160" s="6"/>
      <c r="H160" s="3">
        <f t="shared" si="11"/>
        <v>520</v>
      </c>
      <c r="I160" s="4">
        <v>28.3</v>
      </c>
      <c r="J160" s="4">
        <f t="shared" si="13"/>
        <v>0</v>
      </c>
      <c r="K160" s="4" t="e">
        <f t="shared" si="14"/>
        <v>#REF!</v>
      </c>
      <c r="L160" s="4" t="e">
        <f>(#REF!-#REF!)</f>
        <v>#REF!</v>
      </c>
      <c r="M160" s="4" t="str">
        <f t="shared" si="12"/>
        <v/>
      </c>
      <c r="N160" s="4"/>
    </row>
    <row r="161" spans="1:14">
      <c r="A161" s="2"/>
      <c r="E161" t="e">
        <f>VLOOKUP(#REF!,Catalogos!$V$4:$W$55,2,FALSE)</f>
        <v>#REF!</v>
      </c>
      <c r="F161" s="3"/>
      <c r="G161" s="6"/>
      <c r="H161" s="3">
        <f t="shared" si="11"/>
        <v>520</v>
      </c>
      <c r="I161" s="4">
        <v>28.3</v>
      </c>
      <c r="J161" s="4">
        <f t="shared" si="13"/>
        <v>0</v>
      </c>
      <c r="K161" s="4" t="e">
        <f t="shared" si="14"/>
        <v>#REF!</v>
      </c>
      <c r="L161" s="4" t="e">
        <f>(#REF!-#REF!)</f>
        <v>#REF!</v>
      </c>
      <c r="M161" s="4" t="str">
        <f t="shared" si="12"/>
        <v/>
      </c>
      <c r="N161" s="4"/>
    </row>
    <row r="162" spans="1:14">
      <c r="A162" s="2"/>
      <c r="E162" t="e">
        <f>VLOOKUP(#REF!,Catalogos!$V$4:$W$55,2,FALSE)</f>
        <v>#REF!</v>
      </c>
      <c r="F162" s="3"/>
      <c r="G162" s="6"/>
      <c r="H162" s="3">
        <f t="shared" si="11"/>
        <v>520</v>
      </c>
      <c r="I162" s="4">
        <v>28.3</v>
      </c>
      <c r="J162" s="4">
        <f t="shared" si="13"/>
        <v>0</v>
      </c>
      <c r="K162" s="4" t="e">
        <f t="shared" si="14"/>
        <v>#REF!</v>
      </c>
      <c r="L162" s="4" t="e">
        <f>(#REF!-#REF!)</f>
        <v>#REF!</v>
      </c>
      <c r="M162" s="4" t="str">
        <f t="shared" si="12"/>
        <v/>
      </c>
      <c r="N162" s="4"/>
    </row>
    <row r="163" spans="1:14">
      <c r="A163" s="2"/>
      <c r="E163" t="e">
        <f>VLOOKUP(#REF!,Catalogos!$V$4:$W$55,2,FALSE)</f>
        <v>#REF!</v>
      </c>
      <c r="F163" s="3"/>
      <c r="G163" s="6"/>
      <c r="H163" s="3">
        <f t="shared" si="11"/>
        <v>520</v>
      </c>
      <c r="I163" s="4">
        <v>28.3</v>
      </c>
      <c r="J163" s="4">
        <f t="shared" si="13"/>
        <v>0</v>
      </c>
      <c r="K163" s="4" t="e">
        <f t="shared" si="14"/>
        <v>#REF!</v>
      </c>
      <c r="L163" s="4" t="e">
        <f>(#REF!-#REF!)</f>
        <v>#REF!</v>
      </c>
      <c r="M163" s="4" t="str">
        <f t="shared" si="12"/>
        <v/>
      </c>
      <c r="N163" s="4"/>
    </row>
    <row r="164" spans="1:14">
      <c r="A164" s="2"/>
      <c r="E164" t="e">
        <f>VLOOKUP(#REF!,Catalogos!$V$4:$W$55,2,FALSE)</f>
        <v>#REF!</v>
      </c>
      <c r="F164" s="3"/>
      <c r="G164" s="6"/>
      <c r="H164" s="3">
        <f t="shared" si="11"/>
        <v>520</v>
      </c>
      <c r="I164" s="4">
        <v>28.3</v>
      </c>
      <c r="J164" s="4">
        <f t="shared" si="13"/>
        <v>0</v>
      </c>
      <c r="K164" s="4" t="e">
        <f t="shared" si="14"/>
        <v>#REF!</v>
      </c>
      <c r="L164" s="4" t="e">
        <f>(#REF!-#REF!)</f>
        <v>#REF!</v>
      </c>
      <c r="M164" s="4" t="str">
        <f t="shared" si="12"/>
        <v/>
      </c>
      <c r="N164" s="4"/>
    </row>
    <row r="165" spans="1:14">
      <c r="A165" s="2"/>
      <c r="E165" t="e">
        <f>VLOOKUP(#REF!,Catalogos!$V$4:$W$55,2,FALSE)</f>
        <v>#REF!</v>
      </c>
      <c r="F165" s="3"/>
      <c r="G165" s="6"/>
      <c r="H165" s="3">
        <f t="shared" si="11"/>
        <v>520</v>
      </c>
      <c r="I165" s="4">
        <v>28.3</v>
      </c>
      <c r="J165" s="4">
        <f t="shared" si="13"/>
        <v>0</v>
      </c>
      <c r="K165" s="4" t="e">
        <f t="shared" si="14"/>
        <v>#REF!</v>
      </c>
      <c r="L165" s="4" t="e">
        <f>(#REF!-#REF!)</f>
        <v>#REF!</v>
      </c>
      <c r="M165" s="4" t="str">
        <f t="shared" si="12"/>
        <v/>
      </c>
      <c r="N165" s="4"/>
    </row>
    <row r="166" spans="1:14">
      <c r="A166" s="2"/>
      <c r="E166" t="e">
        <f>VLOOKUP(#REF!,Catalogos!$V$4:$W$55,2,FALSE)</f>
        <v>#REF!</v>
      </c>
      <c r="F166" s="3"/>
      <c r="G166" s="6"/>
      <c r="H166" s="3">
        <f t="shared" si="11"/>
        <v>520</v>
      </c>
      <c r="I166" s="4">
        <v>28.3</v>
      </c>
      <c r="J166" s="4">
        <f t="shared" si="13"/>
        <v>0</v>
      </c>
      <c r="K166" s="4" t="e">
        <f t="shared" si="14"/>
        <v>#REF!</v>
      </c>
      <c r="L166" s="4" t="e">
        <f>(#REF!-#REF!)</f>
        <v>#REF!</v>
      </c>
      <c r="M166" s="4" t="str">
        <f t="shared" si="12"/>
        <v/>
      </c>
      <c r="N166" s="4"/>
    </row>
    <row r="167" spans="1:14">
      <c r="A167" s="2"/>
      <c r="E167" t="e">
        <f>VLOOKUP(#REF!,Catalogos!$V$4:$W$55,2,FALSE)</f>
        <v>#REF!</v>
      </c>
      <c r="F167" s="3"/>
      <c r="G167" s="6"/>
      <c r="H167" s="3">
        <f t="shared" si="11"/>
        <v>520</v>
      </c>
      <c r="I167" s="4">
        <v>28.3</v>
      </c>
      <c r="J167" s="4">
        <f t="shared" si="13"/>
        <v>0</v>
      </c>
      <c r="K167" s="4" t="e">
        <f t="shared" si="14"/>
        <v>#REF!</v>
      </c>
      <c r="L167" s="4" t="e">
        <f>(#REF!-#REF!)</f>
        <v>#REF!</v>
      </c>
      <c r="M167" s="4" t="str">
        <f t="shared" si="12"/>
        <v/>
      </c>
      <c r="N167" s="4"/>
    </row>
    <row r="168" spans="1:14">
      <c r="A168" s="2"/>
      <c r="E168" t="e">
        <f>VLOOKUP(#REF!,Catalogos!$V$4:$W$55,2,FALSE)</f>
        <v>#REF!</v>
      </c>
      <c r="F168" s="3"/>
      <c r="G168" s="6"/>
      <c r="H168" s="3">
        <f t="shared" si="11"/>
        <v>520</v>
      </c>
      <c r="I168" s="4">
        <v>28.3</v>
      </c>
      <c r="J168" s="4">
        <f t="shared" si="13"/>
        <v>0</v>
      </c>
      <c r="K168" s="4" t="e">
        <f t="shared" si="14"/>
        <v>#REF!</v>
      </c>
      <c r="L168" s="4" t="e">
        <f>(#REF!-#REF!)</f>
        <v>#REF!</v>
      </c>
      <c r="M168" s="4" t="str">
        <f t="shared" si="12"/>
        <v/>
      </c>
      <c r="N168" s="4"/>
    </row>
    <row r="169" spans="1:14">
      <c r="A169" s="2"/>
      <c r="E169" t="e">
        <f>VLOOKUP(#REF!,Catalogos!$V$4:$W$55,2,FALSE)</f>
        <v>#REF!</v>
      </c>
      <c r="F169" s="3"/>
      <c r="G169" s="6"/>
      <c r="H169" s="3">
        <f t="shared" si="11"/>
        <v>520</v>
      </c>
      <c r="I169" s="4">
        <v>28.3</v>
      </c>
      <c r="J169" s="4">
        <f t="shared" si="13"/>
        <v>0</v>
      </c>
      <c r="K169" s="4" t="e">
        <f t="shared" si="14"/>
        <v>#REF!</v>
      </c>
      <c r="L169" s="4" t="e">
        <f>(#REF!-#REF!)</f>
        <v>#REF!</v>
      </c>
      <c r="M169" s="4" t="str">
        <f t="shared" si="12"/>
        <v/>
      </c>
      <c r="N169" s="4"/>
    </row>
    <row r="170" spans="1:14">
      <c r="A170" s="2"/>
      <c r="E170" t="e">
        <f>VLOOKUP(#REF!,Catalogos!$V$4:$W$55,2,FALSE)</f>
        <v>#REF!</v>
      </c>
      <c r="F170" s="3"/>
      <c r="G170" s="6"/>
      <c r="H170" s="3">
        <f t="shared" si="11"/>
        <v>520</v>
      </c>
      <c r="I170" s="4">
        <v>28.3</v>
      </c>
      <c r="J170" s="4">
        <f t="shared" si="13"/>
        <v>0</v>
      </c>
      <c r="K170" s="4" t="e">
        <f t="shared" si="14"/>
        <v>#REF!</v>
      </c>
      <c r="L170" s="4" t="e">
        <f>(#REF!-#REF!)</f>
        <v>#REF!</v>
      </c>
      <c r="M170" s="4" t="str">
        <f t="shared" si="12"/>
        <v/>
      </c>
      <c r="N170" s="4"/>
    </row>
    <row r="171" spans="1:14">
      <c r="A171" s="2"/>
      <c r="E171" t="e">
        <f>VLOOKUP(#REF!,Catalogos!$V$4:$W$55,2,FALSE)</f>
        <v>#REF!</v>
      </c>
      <c r="F171" s="3"/>
      <c r="G171" s="6"/>
      <c r="H171" s="3">
        <f t="shared" si="11"/>
        <v>520</v>
      </c>
      <c r="I171" s="4">
        <v>28.3</v>
      </c>
      <c r="J171" s="4">
        <f t="shared" si="13"/>
        <v>0</v>
      </c>
      <c r="K171" s="4" t="e">
        <f t="shared" si="14"/>
        <v>#REF!</v>
      </c>
      <c r="L171" s="4" t="e">
        <f>(#REF!-#REF!)</f>
        <v>#REF!</v>
      </c>
      <c r="M171" s="4" t="str">
        <f t="shared" si="12"/>
        <v/>
      </c>
      <c r="N171" s="4"/>
    </row>
    <row r="172" spans="1:14">
      <c r="A172" s="2"/>
      <c r="E172" t="e">
        <f>VLOOKUP(#REF!,Catalogos!$V$4:$W$55,2,FALSE)</f>
        <v>#REF!</v>
      </c>
      <c r="F172" s="3"/>
      <c r="G172" s="6"/>
      <c r="H172" s="3">
        <f t="shared" si="11"/>
        <v>520</v>
      </c>
      <c r="I172" s="4">
        <v>28.3</v>
      </c>
      <c r="J172" s="4">
        <f t="shared" si="13"/>
        <v>0</v>
      </c>
      <c r="K172" s="4" t="e">
        <f t="shared" si="14"/>
        <v>#REF!</v>
      </c>
      <c r="L172" s="4" t="e">
        <f>(#REF!-#REF!)</f>
        <v>#REF!</v>
      </c>
      <c r="M172" s="4" t="str">
        <f t="shared" si="12"/>
        <v/>
      </c>
      <c r="N172" s="4"/>
    </row>
    <row r="173" spans="1:14">
      <c r="A173" s="2"/>
      <c r="E173" t="e">
        <f>VLOOKUP(#REF!,Catalogos!$V$4:$W$55,2,FALSE)</f>
        <v>#REF!</v>
      </c>
      <c r="F173" s="3"/>
      <c r="G173" s="6"/>
      <c r="H173" s="3">
        <f t="shared" si="11"/>
        <v>520</v>
      </c>
      <c r="I173" s="4">
        <v>28.3</v>
      </c>
      <c r="J173" s="4">
        <f t="shared" si="13"/>
        <v>0</v>
      </c>
      <c r="K173" s="4" t="e">
        <f t="shared" si="14"/>
        <v>#REF!</v>
      </c>
      <c r="L173" s="4" t="e">
        <f>(#REF!-#REF!)</f>
        <v>#REF!</v>
      </c>
      <c r="M173" s="4" t="str">
        <f t="shared" si="12"/>
        <v/>
      </c>
      <c r="N173" s="4"/>
    </row>
    <row r="174" spans="1:14">
      <c r="A174" s="2"/>
      <c r="E174" t="e">
        <f>VLOOKUP(#REF!,Catalogos!$V$4:$W$55,2,FALSE)</f>
        <v>#REF!</v>
      </c>
      <c r="F174" s="3"/>
      <c r="G174" s="6"/>
      <c r="H174" s="3">
        <f t="shared" si="11"/>
        <v>520</v>
      </c>
      <c r="I174" s="4">
        <v>28.3</v>
      </c>
      <c r="J174" s="4">
        <f t="shared" si="13"/>
        <v>0</v>
      </c>
      <c r="K174" s="4" t="e">
        <f t="shared" si="14"/>
        <v>#REF!</v>
      </c>
      <c r="L174" s="4" t="e">
        <f>(#REF!-#REF!)</f>
        <v>#REF!</v>
      </c>
      <c r="M174" s="4" t="str">
        <f t="shared" si="12"/>
        <v/>
      </c>
      <c r="N174" s="4"/>
    </row>
    <row r="175" spans="1:14">
      <c r="A175" s="2"/>
      <c r="E175" t="e">
        <f>VLOOKUP(#REF!,Catalogos!$V$4:$W$55,2,FALSE)</f>
        <v>#REF!</v>
      </c>
      <c r="F175" s="3"/>
      <c r="G175" s="6"/>
      <c r="H175" s="3">
        <f t="shared" si="11"/>
        <v>520</v>
      </c>
      <c r="I175" s="4">
        <v>28.3</v>
      </c>
      <c r="J175" s="4">
        <f t="shared" si="13"/>
        <v>0</v>
      </c>
      <c r="K175" s="4" t="e">
        <f t="shared" si="14"/>
        <v>#REF!</v>
      </c>
      <c r="L175" s="4" t="e">
        <f>(#REF!-#REF!)</f>
        <v>#REF!</v>
      </c>
      <c r="M175" s="4" t="str">
        <f t="shared" si="12"/>
        <v/>
      </c>
      <c r="N175" s="4"/>
    </row>
    <row r="176" spans="1:14">
      <c r="A176" s="2"/>
      <c r="E176" t="e">
        <f>VLOOKUP(#REF!,Catalogos!$V$4:$W$55,2,FALSE)</f>
        <v>#REF!</v>
      </c>
      <c r="F176" s="3"/>
      <c r="G176" s="6"/>
      <c r="H176" s="3">
        <f t="shared" si="11"/>
        <v>520</v>
      </c>
      <c r="I176" s="4">
        <v>28.3</v>
      </c>
      <c r="J176" s="4">
        <f t="shared" si="13"/>
        <v>0</v>
      </c>
      <c r="K176" s="4" t="e">
        <f t="shared" si="14"/>
        <v>#REF!</v>
      </c>
      <c r="L176" s="4" t="e">
        <f>(#REF!-#REF!)</f>
        <v>#REF!</v>
      </c>
      <c r="M176" s="4" t="str">
        <f t="shared" si="12"/>
        <v/>
      </c>
      <c r="N176" s="4"/>
    </row>
    <row r="177" spans="1:14">
      <c r="A177" s="2"/>
      <c r="E177" t="e">
        <f>VLOOKUP(#REF!,Catalogos!$V$4:$W$55,2,FALSE)</f>
        <v>#REF!</v>
      </c>
      <c r="F177" s="3"/>
      <c r="G177" s="6"/>
      <c r="H177" s="3">
        <f t="shared" si="11"/>
        <v>520</v>
      </c>
      <c r="I177" s="4">
        <v>28.3</v>
      </c>
      <c r="J177" s="4">
        <f t="shared" si="13"/>
        <v>0</v>
      </c>
      <c r="K177" s="4" t="e">
        <f t="shared" si="14"/>
        <v>#REF!</v>
      </c>
      <c r="L177" s="4" t="e">
        <f>(#REF!-#REF!)</f>
        <v>#REF!</v>
      </c>
      <c r="M177" s="4" t="str">
        <f t="shared" si="12"/>
        <v/>
      </c>
      <c r="N177" s="4"/>
    </row>
    <row r="178" spans="1:14">
      <c r="A178" s="2"/>
      <c r="E178" t="e">
        <f>VLOOKUP(#REF!,Catalogos!$V$4:$W$55,2,FALSE)</f>
        <v>#REF!</v>
      </c>
      <c r="F178" s="3"/>
      <c r="G178" s="6"/>
      <c r="H178" s="3">
        <f t="shared" si="11"/>
        <v>520</v>
      </c>
      <c r="I178" s="4">
        <v>28.3</v>
      </c>
      <c r="J178" s="4">
        <f t="shared" si="13"/>
        <v>0</v>
      </c>
      <c r="K178" s="4" t="e">
        <f t="shared" si="14"/>
        <v>#REF!</v>
      </c>
      <c r="L178" s="4" t="e">
        <f>(#REF!-#REF!)</f>
        <v>#REF!</v>
      </c>
      <c r="M178" s="4" t="str">
        <f t="shared" si="12"/>
        <v/>
      </c>
      <c r="N178" s="4"/>
    </row>
    <row r="179" spans="1:14">
      <c r="A179" s="2"/>
      <c r="E179" t="e">
        <f>VLOOKUP(#REF!,Catalogos!$V$4:$W$55,2,FALSE)</f>
        <v>#REF!</v>
      </c>
      <c r="F179" s="3"/>
      <c r="G179" s="6"/>
      <c r="H179" s="3">
        <f t="shared" si="11"/>
        <v>520</v>
      </c>
      <c r="I179" s="4">
        <v>28.3</v>
      </c>
      <c r="J179" s="4">
        <f t="shared" si="13"/>
        <v>0</v>
      </c>
      <c r="K179" s="4" t="e">
        <f t="shared" si="14"/>
        <v>#REF!</v>
      </c>
      <c r="L179" s="4" t="e">
        <f>(#REF!-#REF!)</f>
        <v>#REF!</v>
      </c>
      <c r="M179" s="4" t="str">
        <f t="shared" si="12"/>
        <v/>
      </c>
      <c r="N179" s="4"/>
    </row>
    <row r="180" spans="1:14">
      <c r="A180" s="2"/>
      <c r="E180" t="e">
        <f>VLOOKUP(#REF!,Catalogos!$V$4:$W$55,2,FALSE)</f>
        <v>#REF!</v>
      </c>
      <c r="F180" s="3"/>
      <c r="G180" s="6"/>
      <c r="H180" s="3">
        <f t="shared" si="11"/>
        <v>520</v>
      </c>
      <c r="I180" s="4">
        <v>28.3</v>
      </c>
      <c r="J180" s="4">
        <f t="shared" si="13"/>
        <v>0</v>
      </c>
      <c r="K180" s="4" t="e">
        <f t="shared" si="14"/>
        <v>#REF!</v>
      </c>
      <c r="L180" s="4" t="e">
        <f>(#REF!-#REF!)</f>
        <v>#REF!</v>
      </c>
      <c r="M180" s="4" t="str">
        <f t="shared" si="12"/>
        <v/>
      </c>
      <c r="N180" s="4"/>
    </row>
    <row r="181" spans="1:14">
      <c r="A181" s="2"/>
      <c r="E181" t="e">
        <f>VLOOKUP(#REF!,Catalogos!$V$4:$W$55,2,FALSE)</f>
        <v>#REF!</v>
      </c>
      <c r="F181" s="3"/>
      <c r="G181" s="6"/>
      <c r="H181" s="3">
        <f t="shared" si="11"/>
        <v>520</v>
      </c>
      <c r="I181" s="4">
        <v>28.3</v>
      </c>
      <c r="J181" s="4">
        <f t="shared" si="13"/>
        <v>0</v>
      </c>
      <c r="K181" s="4" t="e">
        <f t="shared" si="14"/>
        <v>#REF!</v>
      </c>
      <c r="L181" s="4" t="e">
        <f>(#REF!-#REF!)</f>
        <v>#REF!</v>
      </c>
      <c r="M181" s="4" t="str">
        <f t="shared" si="12"/>
        <v/>
      </c>
      <c r="N181" s="4"/>
    </row>
    <row r="182" spans="1:14">
      <c r="A182" s="2"/>
      <c r="E182" t="e">
        <f>VLOOKUP(#REF!,Catalogos!$V$4:$W$55,2,FALSE)</f>
        <v>#REF!</v>
      </c>
      <c r="F182" s="3"/>
      <c r="G182" s="6"/>
      <c r="H182" s="3">
        <f t="shared" si="11"/>
        <v>520</v>
      </c>
      <c r="I182" s="4">
        <v>28.3</v>
      </c>
      <c r="J182" s="4">
        <f t="shared" si="13"/>
        <v>0</v>
      </c>
      <c r="K182" s="4" t="e">
        <f t="shared" si="14"/>
        <v>#REF!</v>
      </c>
      <c r="L182" s="4" t="e">
        <f>(#REF!-#REF!)</f>
        <v>#REF!</v>
      </c>
      <c r="M182" s="4" t="str">
        <f t="shared" si="12"/>
        <v/>
      </c>
      <c r="N182" s="4"/>
    </row>
    <row r="183" spans="1:14">
      <c r="A183" s="2"/>
      <c r="E183" t="e">
        <f>VLOOKUP(#REF!,Catalogos!$V$4:$W$55,2,FALSE)</f>
        <v>#REF!</v>
      </c>
      <c r="F183" s="3"/>
      <c r="G183" s="6"/>
      <c r="H183" s="3">
        <f t="shared" si="11"/>
        <v>520</v>
      </c>
      <c r="I183" s="4">
        <v>28.3</v>
      </c>
      <c r="J183" s="4">
        <f t="shared" si="13"/>
        <v>0</v>
      </c>
      <c r="K183" s="4" t="e">
        <f t="shared" si="14"/>
        <v>#REF!</v>
      </c>
      <c r="L183" s="4" t="e">
        <f>(#REF!-#REF!)</f>
        <v>#REF!</v>
      </c>
      <c r="M183" s="4" t="str">
        <f t="shared" si="12"/>
        <v/>
      </c>
      <c r="N183" s="4"/>
    </row>
    <row r="184" spans="1:14">
      <c r="A184" s="2"/>
      <c r="E184" t="e">
        <f>VLOOKUP(#REF!,Catalogos!$V$4:$W$55,2,FALSE)</f>
        <v>#REF!</v>
      </c>
      <c r="F184" s="3"/>
      <c r="G184" s="6"/>
      <c r="H184" s="3">
        <f t="shared" si="11"/>
        <v>520</v>
      </c>
      <c r="I184" s="4">
        <v>28.3</v>
      </c>
      <c r="J184" s="4">
        <f t="shared" si="13"/>
        <v>0</v>
      </c>
      <c r="K184" s="4" t="e">
        <f t="shared" si="14"/>
        <v>#REF!</v>
      </c>
      <c r="L184" s="4" t="e">
        <f>(#REF!-#REF!)</f>
        <v>#REF!</v>
      </c>
      <c r="M184" s="4" t="str">
        <f t="shared" si="12"/>
        <v/>
      </c>
      <c r="N184" s="4"/>
    </row>
    <row r="185" spans="1:14">
      <c r="A185" s="2"/>
      <c r="E185" t="e">
        <f>VLOOKUP(#REF!,Catalogos!$V$4:$W$55,2,FALSE)</f>
        <v>#REF!</v>
      </c>
      <c r="F185" s="3"/>
      <c r="G185" s="6"/>
      <c r="H185" s="3">
        <f t="shared" si="11"/>
        <v>520</v>
      </c>
      <c r="I185" s="4">
        <v>28.3</v>
      </c>
      <c r="J185" s="4">
        <f t="shared" si="13"/>
        <v>0</v>
      </c>
      <c r="K185" s="4" t="e">
        <f t="shared" si="14"/>
        <v>#REF!</v>
      </c>
      <c r="L185" s="4" t="e">
        <f>(#REF!-#REF!)</f>
        <v>#REF!</v>
      </c>
      <c r="M185" s="4" t="str">
        <f t="shared" si="12"/>
        <v/>
      </c>
      <c r="N185" s="4"/>
    </row>
    <row r="186" spans="1:14">
      <c r="A186" s="2"/>
      <c r="E186" t="e">
        <f>VLOOKUP(#REF!,Catalogos!$V$4:$W$55,2,FALSE)</f>
        <v>#REF!</v>
      </c>
      <c r="F186" s="3"/>
      <c r="G186" s="6"/>
      <c r="H186" s="3">
        <f t="shared" si="11"/>
        <v>520</v>
      </c>
      <c r="I186" s="4">
        <v>28.3</v>
      </c>
      <c r="J186" s="4">
        <f t="shared" si="13"/>
        <v>0</v>
      </c>
      <c r="K186" s="4" t="e">
        <f t="shared" si="14"/>
        <v>#REF!</v>
      </c>
      <c r="L186" s="4" t="e">
        <f>(#REF!-#REF!)</f>
        <v>#REF!</v>
      </c>
      <c r="M186" s="4" t="str">
        <f t="shared" si="12"/>
        <v/>
      </c>
      <c r="N186" s="4"/>
    </row>
    <row r="187" spans="1:14">
      <c r="A187" s="2"/>
      <c r="E187" t="e">
        <f>VLOOKUP(#REF!,Catalogos!$V$4:$W$55,2,FALSE)</f>
        <v>#REF!</v>
      </c>
      <c r="F187" s="3"/>
      <c r="G187" s="6"/>
      <c r="H187" s="3">
        <f t="shared" si="11"/>
        <v>520</v>
      </c>
      <c r="I187" s="4">
        <v>28.3</v>
      </c>
      <c r="J187" s="4">
        <f t="shared" si="13"/>
        <v>0</v>
      </c>
      <c r="K187" s="4" t="e">
        <f t="shared" si="14"/>
        <v>#REF!</v>
      </c>
      <c r="L187" s="4" t="e">
        <f>(#REF!-#REF!)</f>
        <v>#REF!</v>
      </c>
      <c r="M187" s="4" t="str">
        <f t="shared" si="12"/>
        <v/>
      </c>
      <c r="N187" s="4"/>
    </row>
    <row r="188" spans="1:14">
      <c r="A188" s="2"/>
      <c r="E188" t="e">
        <f>VLOOKUP(#REF!,Catalogos!$V$4:$W$55,2,FALSE)</f>
        <v>#REF!</v>
      </c>
      <c r="F188" s="3"/>
      <c r="G188" s="6"/>
      <c r="H188" s="3">
        <f t="shared" si="11"/>
        <v>520</v>
      </c>
      <c r="I188" s="4">
        <v>28.3</v>
      </c>
      <c r="J188" s="4">
        <f t="shared" si="13"/>
        <v>0</v>
      </c>
      <c r="K188" s="4" t="e">
        <f t="shared" si="14"/>
        <v>#REF!</v>
      </c>
      <c r="L188" s="4" t="e">
        <f>(#REF!-#REF!)</f>
        <v>#REF!</v>
      </c>
      <c r="M188" s="4" t="str">
        <f t="shared" si="12"/>
        <v/>
      </c>
      <c r="N188" s="4"/>
    </row>
    <row r="189" spans="1:14">
      <c r="A189" s="2"/>
      <c r="E189" t="e">
        <f>VLOOKUP(#REF!,Catalogos!$V$4:$W$55,2,FALSE)</f>
        <v>#REF!</v>
      </c>
      <c r="F189" s="3"/>
      <c r="G189" s="6"/>
      <c r="H189" s="3">
        <f t="shared" si="11"/>
        <v>520</v>
      </c>
      <c r="I189" s="4">
        <v>28.3</v>
      </c>
      <c r="J189" s="4">
        <f t="shared" si="13"/>
        <v>0</v>
      </c>
      <c r="K189" s="4" t="e">
        <f t="shared" si="14"/>
        <v>#REF!</v>
      </c>
      <c r="L189" s="4" t="e">
        <f>(#REF!-#REF!)</f>
        <v>#REF!</v>
      </c>
      <c r="M189" s="4" t="str">
        <f t="shared" si="12"/>
        <v/>
      </c>
      <c r="N189" s="4"/>
    </row>
    <row r="190" spans="1:14">
      <c r="A190" s="2"/>
      <c r="E190" t="e">
        <f>VLOOKUP(#REF!,Catalogos!$V$4:$W$55,2,FALSE)</f>
        <v>#REF!</v>
      </c>
      <c r="F190" s="3"/>
      <c r="G190" s="6"/>
      <c r="H190" s="3">
        <f t="shared" si="11"/>
        <v>520</v>
      </c>
      <c r="I190" s="4">
        <v>28.3</v>
      </c>
      <c r="J190" s="4">
        <f t="shared" si="13"/>
        <v>0</v>
      </c>
      <c r="K190" s="4" t="e">
        <f t="shared" si="14"/>
        <v>#REF!</v>
      </c>
      <c r="L190" s="4" t="e">
        <f>(#REF!-#REF!)</f>
        <v>#REF!</v>
      </c>
      <c r="M190" s="4" t="str">
        <f t="shared" si="12"/>
        <v/>
      </c>
      <c r="N190" s="4"/>
    </row>
    <row r="191" spans="1:14">
      <c r="A191" s="2"/>
      <c r="E191" t="e">
        <f>VLOOKUP(#REF!,Catalogos!$V$4:$W$55,2,FALSE)</f>
        <v>#REF!</v>
      </c>
      <c r="F191" s="3"/>
      <c r="G191" s="6"/>
      <c r="H191" s="3">
        <f t="shared" si="11"/>
        <v>520</v>
      </c>
      <c r="I191" s="4">
        <v>28.3</v>
      </c>
      <c r="J191" s="4">
        <f t="shared" si="13"/>
        <v>0</v>
      </c>
      <c r="K191" s="4" t="e">
        <f t="shared" si="14"/>
        <v>#REF!</v>
      </c>
      <c r="L191" s="4" t="e">
        <f>(#REF!-#REF!)</f>
        <v>#REF!</v>
      </c>
      <c r="M191" s="4" t="str">
        <f t="shared" si="12"/>
        <v/>
      </c>
      <c r="N191" s="4"/>
    </row>
    <row r="192" spans="1:14">
      <c r="A192" s="2"/>
      <c r="E192" t="e">
        <f>VLOOKUP(#REF!,Catalogos!$V$4:$W$55,2,FALSE)</f>
        <v>#REF!</v>
      </c>
      <c r="F192" s="3"/>
      <c r="G192" s="6"/>
      <c r="H192" s="3">
        <f t="shared" si="11"/>
        <v>520</v>
      </c>
      <c r="I192" s="4">
        <v>28.3</v>
      </c>
      <c r="J192" s="4">
        <f t="shared" si="13"/>
        <v>0</v>
      </c>
      <c r="K192" s="4" t="e">
        <f t="shared" si="14"/>
        <v>#REF!</v>
      </c>
      <c r="L192" s="4" t="e">
        <f>(#REF!-#REF!)</f>
        <v>#REF!</v>
      </c>
      <c r="M192" s="4" t="str">
        <f t="shared" si="12"/>
        <v/>
      </c>
      <c r="N192" s="4"/>
    </row>
    <row r="193" spans="1:14">
      <c r="A193" s="2"/>
      <c r="E193" t="e">
        <f>VLOOKUP(#REF!,Catalogos!$V$4:$W$55,2,FALSE)</f>
        <v>#REF!</v>
      </c>
      <c r="F193" s="3"/>
      <c r="G193" s="6"/>
      <c r="H193" s="3">
        <f t="shared" si="11"/>
        <v>520</v>
      </c>
      <c r="I193" s="4">
        <v>28.3</v>
      </c>
      <c r="J193" s="4">
        <f t="shared" si="13"/>
        <v>0</v>
      </c>
      <c r="K193" s="4" t="e">
        <f t="shared" si="14"/>
        <v>#REF!</v>
      </c>
      <c r="L193" s="4" t="e">
        <f>(#REF!-#REF!)</f>
        <v>#REF!</v>
      </c>
      <c r="M193" s="4" t="str">
        <f t="shared" si="12"/>
        <v/>
      </c>
      <c r="N193" s="4"/>
    </row>
    <row r="194" spans="1:14">
      <c r="A194" s="2"/>
      <c r="E194" t="e">
        <f>VLOOKUP(#REF!,Catalogos!$V$4:$W$55,2,FALSE)</f>
        <v>#REF!</v>
      </c>
      <c r="F194" s="3"/>
      <c r="G194" s="6"/>
      <c r="H194" s="3">
        <f t="shared" ref="H194:H206" si="15">IF(ROW()=5,F194-G194,H193+F194-G194)</f>
        <v>520</v>
      </c>
      <c r="I194" s="4">
        <v>28.3</v>
      </c>
      <c r="J194" s="4">
        <f t="shared" si="13"/>
        <v>0</v>
      </c>
      <c r="K194" s="4" t="e">
        <f t="shared" si="14"/>
        <v>#REF!</v>
      </c>
      <c r="L194" s="4" t="e">
        <f>(#REF!-#REF!)</f>
        <v>#REF!</v>
      </c>
      <c r="M194" s="4" t="str">
        <f t="shared" si="12"/>
        <v/>
      </c>
      <c r="N194" s="4"/>
    </row>
    <row r="195" spans="1:14">
      <c r="A195" s="2"/>
      <c r="E195" t="e">
        <f>VLOOKUP(#REF!,Catalogos!$V$4:$W$55,2,FALSE)</f>
        <v>#REF!</v>
      </c>
      <c r="F195" s="3"/>
      <c r="G195" s="6"/>
      <c r="H195" s="3">
        <f t="shared" si="15"/>
        <v>520</v>
      </c>
      <c r="I195" s="4">
        <v>28.3</v>
      </c>
      <c r="J195" s="4">
        <f t="shared" si="13"/>
        <v>0</v>
      </c>
      <c r="K195" s="4" t="e">
        <f t="shared" si="14"/>
        <v>#REF!</v>
      </c>
      <c r="L195" s="4" t="e">
        <f>(#REF!-#REF!)</f>
        <v>#REF!</v>
      </c>
      <c r="M195" s="4" t="str">
        <f t="shared" si="12"/>
        <v/>
      </c>
      <c r="N195" s="4"/>
    </row>
    <row r="196" spans="1:14">
      <c r="A196" s="2"/>
      <c r="E196" t="e">
        <f>VLOOKUP(#REF!,Catalogos!$V$4:$W$55,2,FALSE)</f>
        <v>#REF!</v>
      </c>
      <c r="F196" s="3"/>
      <c r="G196" s="6"/>
      <c r="H196" s="3">
        <f t="shared" si="15"/>
        <v>520</v>
      </c>
      <c r="I196" s="4">
        <v>28.3</v>
      </c>
      <c r="J196" s="4">
        <f t="shared" si="13"/>
        <v>0</v>
      </c>
      <c r="K196" s="4" t="e">
        <f t="shared" si="14"/>
        <v>#REF!</v>
      </c>
      <c r="L196" s="4" t="e">
        <f>(#REF!-#REF!)</f>
        <v>#REF!</v>
      </c>
      <c r="M196" s="4" t="str">
        <f t="shared" si="12"/>
        <v/>
      </c>
      <c r="N196" s="4"/>
    </row>
    <row r="197" spans="1:14">
      <c r="A197" s="2"/>
      <c r="E197" t="e">
        <f>VLOOKUP(#REF!,Catalogos!$V$4:$W$55,2,FALSE)</f>
        <v>#REF!</v>
      </c>
      <c r="F197" s="3"/>
      <c r="G197" s="6"/>
      <c r="H197" s="3">
        <f t="shared" si="15"/>
        <v>520</v>
      </c>
      <c r="I197" s="4">
        <v>28.3</v>
      </c>
      <c r="J197" s="4">
        <f t="shared" si="13"/>
        <v>0</v>
      </c>
      <c r="K197" s="4" t="e">
        <f t="shared" si="14"/>
        <v>#REF!</v>
      </c>
      <c r="L197" s="4" t="e">
        <f>(#REF!-#REF!)</f>
        <v>#REF!</v>
      </c>
      <c r="M197" s="4" t="str">
        <f t="shared" ref="M197:M260" si="16">IF(A197="","", WEEKNUM(A197, 2))</f>
        <v/>
      </c>
      <c r="N197" s="4"/>
    </row>
    <row r="198" spans="1:14">
      <c r="A198" s="2"/>
      <c r="E198" t="e">
        <f>VLOOKUP(#REF!,Catalogos!$V$4:$W$55,2,FALSE)</f>
        <v>#REF!</v>
      </c>
      <c r="F198" s="3"/>
      <c r="G198" s="6"/>
      <c r="H198" s="3">
        <f t="shared" si="15"/>
        <v>520</v>
      </c>
      <c r="I198" s="4">
        <v>28.3</v>
      </c>
      <c r="J198" s="4">
        <f t="shared" si="13"/>
        <v>0</v>
      </c>
      <c r="K198" s="4" t="e">
        <f t="shared" si="14"/>
        <v>#REF!</v>
      </c>
      <c r="L198" s="4" t="e">
        <f>(#REF!-#REF!)</f>
        <v>#REF!</v>
      </c>
      <c r="M198" s="4" t="str">
        <f t="shared" si="16"/>
        <v/>
      </c>
      <c r="N198" s="4"/>
    </row>
    <row r="199" spans="1:14">
      <c r="A199" s="2"/>
      <c r="E199" t="e">
        <f>VLOOKUP(#REF!,Catalogos!$V$4:$W$55,2,FALSE)</f>
        <v>#REF!</v>
      </c>
      <c r="F199" s="3"/>
      <c r="G199" s="6"/>
      <c r="H199" s="3">
        <f t="shared" si="15"/>
        <v>520</v>
      </c>
      <c r="I199" s="4">
        <v>28.3</v>
      </c>
      <c r="J199" s="4">
        <f t="shared" si="13"/>
        <v>0</v>
      </c>
      <c r="K199" s="4" t="e">
        <f t="shared" si="14"/>
        <v>#REF!</v>
      </c>
      <c r="L199" s="4" t="e">
        <f>(#REF!-#REF!)</f>
        <v>#REF!</v>
      </c>
      <c r="M199" s="4" t="str">
        <f t="shared" si="16"/>
        <v/>
      </c>
      <c r="N199" s="4"/>
    </row>
    <row r="200" spans="1:14">
      <c r="A200" s="2"/>
      <c r="E200" t="e">
        <f>VLOOKUP(#REF!,Catalogos!$V$4:$W$55,2,FALSE)</f>
        <v>#REF!</v>
      </c>
      <c r="F200" s="3"/>
      <c r="G200" s="6"/>
      <c r="H200" s="3">
        <f t="shared" si="15"/>
        <v>520</v>
      </c>
      <c r="I200" s="4">
        <v>28.3</v>
      </c>
      <c r="J200" s="4">
        <f t="shared" si="13"/>
        <v>0</v>
      </c>
      <c r="K200" s="4" t="e">
        <f t="shared" si="14"/>
        <v>#REF!</v>
      </c>
      <c r="L200" s="4" t="e">
        <f>(#REF!-#REF!)</f>
        <v>#REF!</v>
      </c>
      <c r="M200" s="4" t="str">
        <f t="shared" si="16"/>
        <v/>
      </c>
      <c r="N200" s="4"/>
    </row>
    <row r="201" spans="1:14">
      <c r="A201" s="2"/>
      <c r="E201" t="e">
        <f>VLOOKUP(#REF!,Catalogos!$V$4:$W$55,2,FALSE)</f>
        <v>#REF!</v>
      </c>
      <c r="F201" s="3"/>
      <c r="G201" s="6"/>
      <c r="H201" s="3">
        <f t="shared" si="15"/>
        <v>520</v>
      </c>
      <c r="I201" s="4">
        <v>28.3</v>
      </c>
      <c r="J201" s="4">
        <f t="shared" si="13"/>
        <v>0</v>
      </c>
      <c r="K201" s="4" t="e">
        <f t="shared" si="14"/>
        <v>#REF!</v>
      </c>
      <c r="L201" s="4" t="e">
        <f>(#REF!-#REF!)</f>
        <v>#REF!</v>
      </c>
      <c r="M201" s="4" t="str">
        <f t="shared" si="16"/>
        <v/>
      </c>
      <c r="N201" s="4"/>
    </row>
    <row r="202" spans="1:14">
      <c r="A202" s="2"/>
      <c r="E202" t="e">
        <f>VLOOKUP(#REF!,Catalogos!$V$4:$W$55,2,FALSE)</f>
        <v>#REF!</v>
      </c>
      <c r="F202" s="3"/>
      <c r="G202" s="6"/>
      <c r="H202" s="3">
        <f t="shared" si="15"/>
        <v>520</v>
      </c>
      <c r="I202" s="4">
        <v>28.3</v>
      </c>
      <c r="J202" s="4">
        <f t="shared" si="13"/>
        <v>0</v>
      </c>
      <c r="K202" s="4" t="e">
        <f t="shared" si="14"/>
        <v>#REF!</v>
      </c>
      <c r="L202" s="4" t="e">
        <f>(#REF!-#REF!)</f>
        <v>#REF!</v>
      </c>
      <c r="M202" s="4" t="str">
        <f t="shared" si="16"/>
        <v/>
      </c>
      <c r="N202" s="4"/>
    </row>
    <row r="203" spans="1:14">
      <c r="A203" s="2"/>
      <c r="E203" t="e">
        <f>VLOOKUP(#REF!,Catalogos!$V$4:$W$55,2,FALSE)</f>
        <v>#REF!</v>
      </c>
      <c r="F203" s="3"/>
      <c r="G203" s="6"/>
      <c r="H203" s="3">
        <f t="shared" si="15"/>
        <v>520</v>
      </c>
      <c r="I203" s="4">
        <v>28.3</v>
      </c>
      <c r="J203" s="4">
        <f t="shared" si="13"/>
        <v>0</v>
      </c>
      <c r="K203" s="4" t="e">
        <f t="shared" si="14"/>
        <v>#REF!</v>
      </c>
      <c r="L203" s="4" t="e">
        <f>(#REF!-#REF!)</f>
        <v>#REF!</v>
      </c>
      <c r="M203" s="4" t="str">
        <f t="shared" si="16"/>
        <v/>
      </c>
      <c r="N203" s="4"/>
    </row>
    <row r="204" spans="1:14">
      <c r="A204" s="2"/>
      <c r="E204" t="e">
        <f>VLOOKUP(#REF!,Catalogos!$V$4:$W$55,2,FALSE)</f>
        <v>#REF!</v>
      </c>
      <c r="F204" s="3"/>
      <c r="G204" s="6"/>
      <c r="H204" s="3">
        <f t="shared" si="15"/>
        <v>520</v>
      </c>
      <c r="I204" s="4">
        <v>28.3</v>
      </c>
      <c r="J204" s="4">
        <f t="shared" ref="J204:J206" si="17">IFERROR((F204+G204)*I204,0)</f>
        <v>0</v>
      </c>
      <c r="K204" s="4" t="e">
        <f t="shared" si="14"/>
        <v>#REF!</v>
      </c>
      <c r="L204" s="4" t="e">
        <f>(#REF!-#REF!)</f>
        <v>#REF!</v>
      </c>
      <c r="M204" s="4" t="str">
        <f t="shared" si="16"/>
        <v/>
      </c>
      <c r="N204" s="4"/>
    </row>
    <row r="205" spans="1:14">
      <c r="A205" s="2"/>
      <c r="E205" t="e">
        <f>VLOOKUP(#REF!,Catalogos!$V$4:$W$55,2,FALSE)</f>
        <v>#REF!</v>
      </c>
      <c r="F205" s="3"/>
      <c r="G205" s="6"/>
      <c r="H205" s="3">
        <f t="shared" si="15"/>
        <v>520</v>
      </c>
      <c r="I205" s="4">
        <v>28.3</v>
      </c>
      <c r="J205" s="4">
        <f t="shared" si="17"/>
        <v>0</v>
      </c>
      <c r="K205" s="4" t="e">
        <f t="shared" si="14"/>
        <v>#REF!</v>
      </c>
      <c r="L205" s="4" t="e">
        <f>(#REF!-#REF!)</f>
        <v>#REF!</v>
      </c>
      <c r="M205" s="4" t="str">
        <f t="shared" si="16"/>
        <v/>
      </c>
      <c r="N205" s="4"/>
    </row>
    <row r="206" spans="1:14">
      <c r="A206" s="2"/>
      <c r="E206" t="e">
        <f>VLOOKUP(#REF!,Catalogos!$V$4:$W$55,2,FALSE)</f>
        <v>#REF!</v>
      </c>
      <c r="F206" s="3"/>
      <c r="G206" s="6"/>
      <c r="H206" s="3">
        <f t="shared" si="15"/>
        <v>520</v>
      </c>
      <c r="I206" s="4">
        <v>28.3</v>
      </c>
      <c r="J206" s="4">
        <f t="shared" si="17"/>
        <v>0</v>
      </c>
      <c r="K206" s="4" t="e">
        <f t="shared" si="14"/>
        <v>#REF!</v>
      </c>
      <c r="L206" s="4" t="e">
        <f>(#REF!-#REF!)</f>
        <v>#REF!</v>
      </c>
      <c r="M206" s="4" t="str">
        <f t="shared" si="16"/>
        <v/>
      </c>
      <c r="N206" s="4"/>
    </row>
    <row r="207" spans="1:14">
      <c r="M207" t="str">
        <f t="shared" si="16"/>
        <v/>
      </c>
    </row>
    <row r="208" spans="1:14">
      <c r="M208" t="str">
        <f t="shared" si="16"/>
        <v/>
      </c>
    </row>
    <row r="209" spans="13:13">
      <c r="M209" t="str">
        <f t="shared" si="16"/>
        <v/>
      </c>
    </row>
    <row r="210" spans="13:13">
      <c r="M210" t="str">
        <f t="shared" si="16"/>
        <v/>
      </c>
    </row>
    <row r="211" spans="13:13">
      <c r="M211" t="str">
        <f t="shared" si="16"/>
        <v/>
      </c>
    </row>
    <row r="212" spans="13:13">
      <c r="M212" t="str">
        <f t="shared" si="16"/>
        <v/>
      </c>
    </row>
    <row r="213" spans="13:13">
      <c r="M213" t="str">
        <f t="shared" si="16"/>
        <v/>
      </c>
    </row>
    <row r="214" spans="13:13">
      <c r="M214" t="str">
        <f t="shared" si="16"/>
        <v/>
      </c>
    </row>
    <row r="215" spans="13:13">
      <c r="M215" t="str">
        <f t="shared" si="16"/>
        <v/>
      </c>
    </row>
    <row r="216" spans="13:13">
      <c r="M216" t="str">
        <f t="shared" si="16"/>
        <v/>
      </c>
    </row>
    <row r="217" spans="13:13">
      <c r="M217" t="str">
        <f t="shared" si="16"/>
        <v/>
      </c>
    </row>
    <row r="218" spans="13:13">
      <c r="M218" t="str">
        <f t="shared" si="16"/>
        <v/>
      </c>
    </row>
    <row r="219" spans="13:13">
      <c r="M219" t="str">
        <f t="shared" si="16"/>
        <v/>
      </c>
    </row>
    <row r="220" spans="13:13">
      <c r="M220" t="str">
        <f t="shared" si="16"/>
        <v/>
      </c>
    </row>
    <row r="221" spans="13:13">
      <c r="M221" t="str">
        <f t="shared" si="16"/>
        <v/>
      </c>
    </row>
    <row r="222" spans="13:13">
      <c r="M222" t="str">
        <f t="shared" si="16"/>
        <v/>
      </c>
    </row>
    <row r="223" spans="13:13">
      <c r="M223" t="str">
        <f t="shared" si="16"/>
        <v/>
      </c>
    </row>
    <row r="224" spans="13:13">
      <c r="M224" t="str">
        <f t="shared" si="16"/>
        <v/>
      </c>
    </row>
    <row r="225" spans="13:13">
      <c r="M225" t="str">
        <f t="shared" si="16"/>
        <v/>
      </c>
    </row>
    <row r="226" spans="13:13">
      <c r="M226" t="str">
        <f t="shared" si="16"/>
        <v/>
      </c>
    </row>
    <row r="227" spans="13:13">
      <c r="M227" t="str">
        <f t="shared" si="16"/>
        <v/>
      </c>
    </row>
    <row r="228" spans="13:13">
      <c r="M228" t="str">
        <f t="shared" si="16"/>
        <v/>
      </c>
    </row>
    <row r="229" spans="13:13">
      <c r="M229" t="str">
        <f t="shared" si="16"/>
        <v/>
      </c>
    </row>
    <row r="230" spans="13:13">
      <c r="M230" t="str">
        <f t="shared" si="16"/>
        <v/>
      </c>
    </row>
    <row r="231" spans="13:13">
      <c r="M231" t="str">
        <f t="shared" si="16"/>
        <v/>
      </c>
    </row>
    <row r="232" spans="13:13">
      <c r="M232" t="str">
        <f t="shared" si="16"/>
        <v/>
      </c>
    </row>
    <row r="233" spans="13:13">
      <c r="M233" t="str">
        <f t="shared" si="16"/>
        <v/>
      </c>
    </row>
    <row r="234" spans="13:13">
      <c r="M234" t="str">
        <f t="shared" si="16"/>
        <v/>
      </c>
    </row>
    <row r="235" spans="13:13">
      <c r="M235" t="str">
        <f t="shared" si="16"/>
        <v/>
      </c>
    </row>
    <row r="236" spans="13:13">
      <c r="M236" t="str">
        <f t="shared" si="16"/>
        <v/>
      </c>
    </row>
    <row r="237" spans="13:13">
      <c r="M237" t="str">
        <f t="shared" si="16"/>
        <v/>
      </c>
    </row>
    <row r="238" spans="13:13">
      <c r="M238" t="str">
        <f t="shared" si="16"/>
        <v/>
      </c>
    </row>
    <row r="239" spans="13:13">
      <c r="M239" t="str">
        <f t="shared" si="16"/>
        <v/>
      </c>
    </row>
    <row r="240" spans="13:13">
      <c r="M240" t="str">
        <f t="shared" si="16"/>
        <v/>
      </c>
    </row>
    <row r="241" spans="13:13">
      <c r="M241" t="str">
        <f t="shared" si="16"/>
        <v/>
      </c>
    </row>
    <row r="242" spans="13:13">
      <c r="M242" t="str">
        <f t="shared" si="16"/>
        <v/>
      </c>
    </row>
    <row r="243" spans="13:13">
      <c r="M243" t="str">
        <f t="shared" si="16"/>
        <v/>
      </c>
    </row>
    <row r="244" spans="13:13">
      <c r="M244" t="str">
        <f t="shared" si="16"/>
        <v/>
      </c>
    </row>
    <row r="245" spans="13:13">
      <c r="M245" t="str">
        <f t="shared" si="16"/>
        <v/>
      </c>
    </row>
    <row r="246" spans="13:13">
      <c r="M246" t="str">
        <f t="shared" si="16"/>
        <v/>
      </c>
    </row>
    <row r="247" spans="13:13">
      <c r="M247" t="str">
        <f t="shared" si="16"/>
        <v/>
      </c>
    </row>
    <row r="248" spans="13:13">
      <c r="M248" t="str">
        <f t="shared" si="16"/>
        <v/>
      </c>
    </row>
    <row r="249" spans="13:13">
      <c r="M249" t="str">
        <f t="shared" si="16"/>
        <v/>
      </c>
    </row>
    <row r="250" spans="13:13">
      <c r="M250" t="str">
        <f t="shared" si="16"/>
        <v/>
      </c>
    </row>
    <row r="251" spans="13:13">
      <c r="M251" t="str">
        <f t="shared" si="16"/>
        <v/>
      </c>
    </row>
    <row r="252" spans="13:13">
      <c r="M252" t="str">
        <f t="shared" si="16"/>
        <v/>
      </c>
    </row>
    <row r="253" spans="13:13">
      <c r="M253" t="str">
        <f t="shared" si="16"/>
        <v/>
      </c>
    </row>
    <row r="254" spans="13:13">
      <c r="M254" t="str">
        <f t="shared" si="16"/>
        <v/>
      </c>
    </row>
    <row r="255" spans="13:13">
      <c r="M255" t="str">
        <f t="shared" si="16"/>
        <v/>
      </c>
    </row>
    <row r="256" spans="13:13">
      <c r="M256" t="str">
        <f t="shared" si="16"/>
        <v/>
      </c>
    </row>
    <row r="257" spans="13:13">
      <c r="M257" t="str">
        <f t="shared" si="16"/>
        <v/>
      </c>
    </row>
    <row r="258" spans="13:13">
      <c r="M258" t="str">
        <f t="shared" si="16"/>
        <v/>
      </c>
    </row>
    <row r="259" spans="13:13">
      <c r="M259" t="str">
        <f t="shared" si="16"/>
        <v/>
      </c>
    </row>
    <row r="260" spans="13:13">
      <c r="M260" t="str">
        <f t="shared" si="16"/>
        <v/>
      </c>
    </row>
    <row r="261" spans="13:13">
      <c r="M261" t="str">
        <f t="shared" ref="M261:M324" si="18">IF(A261="","", WEEKNUM(A261, 2))</f>
        <v/>
      </c>
    </row>
    <row r="262" spans="13:13">
      <c r="M262" t="str">
        <f t="shared" si="18"/>
        <v/>
      </c>
    </row>
    <row r="263" spans="13:13">
      <c r="M263" t="str">
        <f t="shared" si="18"/>
        <v/>
      </c>
    </row>
    <row r="264" spans="13:13">
      <c r="M264" t="str">
        <f t="shared" si="18"/>
        <v/>
      </c>
    </row>
    <row r="265" spans="13:13">
      <c r="M265" t="str">
        <f t="shared" si="18"/>
        <v/>
      </c>
    </row>
    <row r="266" spans="13:13">
      <c r="M266" t="str">
        <f t="shared" si="18"/>
        <v/>
      </c>
    </row>
    <row r="267" spans="13:13">
      <c r="M267" t="str">
        <f t="shared" si="18"/>
        <v/>
      </c>
    </row>
    <row r="268" spans="13:13">
      <c r="M268" t="str">
        <f t="shared" si="18"/>
        <v/>
      </c>
    </row>
    <row r="269" spans="13:13">
      <c r="M269" t="str">
        <f t="shared" si="18"/>
        <v/>
      </c>
    </row>
    <row r="270" spans="13:13">
      <c r="M270" t="str">
        <f t="shared" si="18"/>
        <v/>
      </c>
    </row>
    <row r="271" spans="13:13">
      <c r="M271" t="str">
        <f t="shared" si="18"/>
        <v/>
      </c>
    </row>
    <row r="272" spans="13:13">
      <c r="M272" t="str">
        <f t="shared" si="18"/>
        <v/>
      </c>
    </row>
    <row r="273" spans="13:13">
      <c r="M273" t="str">
        <f t="shared" si="18"/>
        <v/>
      </c>
    </row>
    <row r="274" spans="13:13">
      <c r="M274" t="str">
        <f t="shared" si="18"/>
        <v/>
      </c>
    </row>
    <row r="275" spans="13:13">
      <c r="M275" t="str">
        <f t="shared" si="18"/>
        <v/>
      </c>
    </row>
    <row r="276" spans="13:13">
      <c r="M276" t="str">
        <f t="shared" si="18"/>
        <v/>
      </c>
    </row>
    <row r="277" spans="13:13">
      <c r="M277" t="str">
        <f t="shared" si="18"/>
        <v/>
      </c>
    </row>
    <row r="278" spans="13:13">
      <c r="M278" t="str">
        <f t="shared" si="18"/>
        <v/>
      </c>
    </row>
    <row r="279" spans="13:13">
      <c r="M279" t="str">
        <f t="shared" si="18"/>
        <v/>
      </c>
    </row>
    <row r="280" spans="13:13">
      <c r="M280" t="str">
        <f t="shared" si="18"/>
        <v/>
      </c>
    </row>
    <row r="281" spans="13:13">
      <c r="M281" t="str">
        <f t="shared" si="18"/>
        <v/>
      </c>
    </row>
    <row r="282" spans="13:13">
      <c r="M282" t="str">
        <f t="shared" si="18"/>
        <v/>
      </c>
    </row>
    <row r="283" spans="13:13">
      <c r="M283" t="str">
        <f t="shared" si="18"/>
        <v/>
      </c>
    </row>
    <row r="284" spans="13:13">
      <c r="M284" t="str">
        <f t="shared" si="18"/>
        <v/>
      </c>
    </row>
    <row r="285" spans="13:13">
      <c r="M285" t="str">
        <f t="shared" si="18"/>
        <v/>
      </c>
    </row>
    <row r="286" spans="13:13">
      <c r="M286" t="str">
        <f t="shared" si="18"/>
        <v/>
      </c>
    </row>
    <row r="287" spans="13:13">
      <c r="M287" t="str">
        <f t="shared" si="18"/>
        <v/>
      </c>
    </row>
    <row r="288" spans="13:13">
      <c r="M288" t="str">
        <f t="shared" si="18"/>
        <v/>
      </c>
    </row>
    <row r="289" spans="13:13">
      <c r="M289" t="str">
        <f t="shared" si="18"/>
        <v/>
      </c>
    </row>
    <row r="290" spans="13:13">
      <c r="M290" t="str">
        <f t="shared" si="18"/>
        <v/>
      </c>
    </row>
    <row r="291" spans="13:13">
      <c r="M291" t="str">
        <f t="shared" si="18"/>
        <v/>
      </c>
    </row>
    <row r="292" spans="13:13">
      <c r="M292" t="str">
        <f t="shared" si="18"/>
        <v/>
      </c>
    </row>
    <row r="293" spans="13:13">
      <c r="M293" t="str">
        <f t="shared" si="18"/>
        <v/>
      </c>
    </row>
    <row r="294" spans="13:13">
      <c r="M294" t="str">
        <f t="shared" si="18"/>
        <v/>
      </c>
    </row>
    <row r="295" spans="13:13">
      <c r="M295" t="str">
        <f t="shared" si="18"/>
        <v/>
      </c>
    </row>
    <row r="296" spans="13:13">
      <c r="M296" t="str">
        <f t="shared" si="18"/>
        <v/>
      </c>
    </row>
    <row r="297" spans="13:13">
      <c r="M297" t="str">
        <f t="shared" si="18"/>
        <v/>
      </c>
    </row>
    <row r="298" spans="13:13">
      <c r="M298" t="str">
        <f t="shared" si="18"/>
        <v/>
      </c>
    </row>
    <row r="299" spans="13:13">
      <c r="M299" t="str">
        <f t="shared" si="18"/>
        <v/>
      </c>
    </row>
    <row r="300" spans="13:13">
      <c r="M300" t="str">
        <f t="shared" si="18"/>
        <v/>
      </c>
    </row>
    <row r="301" spans="13:13">
      <c r="M301" t="str">
        <f t="shared" si="18"/>
        <v/>
      </c>
    </row>
    <row r="302" spans="13:13">
      <c r="M302" t="str">
        <f t="shared" si="18"/>
        <v/>
      </c>
    </row>
    <row r="303" spans="13:13">
      <c r="M303" t="str">
        <f t="shared" si="18"/>
        <v/>
      </c>
    </row>
    <row r="304" spans="13:13">
      <c r="M304" t="str">
        <f t="shared" si="18"/>
        <v/>
      </c>
    </row>
    <row r="305" spans="13:13">
      <c r="M305" t="str">
        <f t="shared" si="18"/>
        <v/>
      </c>
    </row>
    <row r="306" spans="13:13">
      <c r="M306" t="str">
        <f t="shared" si="18"/>
        <v/>
      </c>
    </row>
    <row r="307" spans="13:13">
      <c r="M307" t="str">
        <f t="shared" si="18"/>
        <v/>
      </c>
    </row>
    <row r="308" spans="13:13">
      <c r="M308" t="str">
        <f t="shared" si="18"/>
        <v/>
      </c>
    </row>
    <row r="309" spans="13:13">
      <c r="M309" t="str">
        <f t="shared" si="18"/>
        <v/>
      </c>
    </row>
    <row r="310" spans="13:13">
      <c r="M310" t="str">
        <f t="shared" si="18"/>
        <v/>
      </c>
    </row>
    <row r="311" spans="13:13">
      <c r="M311" t="str">
        <f t="shared" si="18"/>
        <v/>
      </c>
    </row>
    <row r="312" spans="13:13">
      <c r="M312" t="str">
        <f t="shared" si="18"/>
        <v/>
      </c>
    </row>
    <row r="313" spans="13:13">
      <c r="M313" t="str">
        <f t="shared" si="18"/>
        <v/>
      </c>
    </row>
    <row r="314" spans="13:13">
      <c r="M314" t="str">
        <f t="shared" si="18"/>
        <v/>
      </c>
    </row>
    <row r="315" spans="13:13">
      <c r="M315" t="str">
        <f t="shared" si="18"/>
        <v/>
      </c>
    </row>
    <row r="316" spans="13:13">
      <c r="M316" t="str">
        <f t="shared" si="18"/>
        <v/>
      </c>
    </row>
    <row r="317" spans="13:13">
      <c r="M317" t="str">
        <f t="shared" si="18"/>
        <v/>
      </c>
    </row>
    <row r="318" spans="13:13">
      <c r="M318" t="str">
        <f t="shared" si="18"/>
        <v/>
      </c>
    </row>
    <row r="319" spans="13:13">
      <c r="M319" t="str">
        <f t="shared" si="18"/>
        <v/>
      </c>
    </row>
    <row r="320" spans="13:13">
      <c r="M320" t="str">
        <f t="shared" si="18"/>
        <v/>
      </c>
    </row>
    <row r="321" spans="13:13">
      <c r="M321" t="str">
        <f t="shared" si="18"/>
        <v/>
      </c>
    </row>
    <row r="322" spans="13:13">
      <c r="M322" t="str">
        <f t="shared" si="18"/>
        <v/>
      </c>
    </row>
    <row r="323" spans="13:13">
      <c r="M323" t="str">
        <f t="shared" si="18"/>
        <v/>
      </c>
    </row>
    <row r="324" spans="13:13">
      <c r="M324" t="str">
        <f t="shared" si="18"/>
        <v/>
      </c>
    </row>
    <row r="325" spans="13:13">
      <c r="M325" t="str">
        <f t="shared" ref="M325:M388" si="19">IF(A325="","", WEEKNUM(A325, 2))</f>
        <v/>
      </c>
    </row>
    <row r="326" spans="13:13">
      <c r="M326" t="str">
        <f t="shared" si="19"/>
        <v/>
      </c>
    </row>
    <row r="327" spans="13:13">
      <c r="M327" t="str">
        <f t="shared" si="19"/>
        <v/>
      </c>
    </row>
    <row r="328" spans="13:13">
      <c r="M328" t="str">
        <f t="shared" si="19"/>
        <v/>
      </c>
    </row>
    <row r="329" spans="13:13">
      <c r="M329" t="str">
        <f t="shared" si="19"/>
        <v/>
      </c>
    </row>
    <row r="330" spans="13:13">
      <c r="M330" t="str">
        <f t="shared" si="19"/>
        <v/>
      </c>
    </row>
    <row r="331" spans="13:13">
      <c r="M331" t="str">
        <f t="shared" si="19"/>
        <v/>
      </c>
    </row>
    <row r="332" spans="13:13">
      <c r="M332" t="str">
        <f t="shared" si="19"/>
        <v/>
      </c>
    </row>
    <row r="333" spans="13:13">
      <c r="M333" t="str">
        <f t="shared" si="19"/>
        <v/>
      </c>
    </row>
    <row r="334" spans="13:13">
      <c r="M334" t="str">
        <f t="shared" si="19"/>
        <v/>
      </c>
    </row>
    <row r="335" spans="13:13">
      <c r="M335" t="str">
        <f t="shared" si="19"/>
        <v/>
      </c>
    </row>
    <row r="336" spans="13:13">
      <c r="M336" t="str">
        <f t="shared" si="19"/>
        <v/>
      </c>
    </row>
    <row r="337" spans="13:13">
      <c r="M337" t="str">
        <f t="shared" si="19"/>
        <v/>
      </c>
    </row>
    <row r="338" spans="13:13">
      <c r="M338" t="str">
        <f t="shared" si="19"/>
        <v/>
      </c>
    </row>
    <row r="339" spans="13:13">
      <c r="M339" t="str">
        <f t="shared" si="19"/>
        <v/>
      </c>
    </row>
    <row r="340" spans="13:13">
      <c r="M340" t="str">
        <f t="shared" si="19"/>
        <v/>
      </c>
    </row>
    <row r="341" spans="13:13">
      <c r="M341" t="str">
        <f t="shared" si="19"/>
        <v/>
      </c>
    </row>
    <row r="342" spans="13:13">
      <c r="M342" t="str">
        <f t="shared" si="19"/>
        <v/>
      </c>
    </row>
    <row r="343" spans="13:13">
      <c r="M343" t="str">
        <f t="shared" si="19"/>
        <v/>
      </c>
    </row>
    <row r="344" spans="13:13">
      <c r="M344" t="str">
        <f t="shared" si="19"/>
        <v/>
      </c>
    </row>
    <row r="345" spans="13:13">
      <c r="M345" t="str">
        <f t="shared" si="19"/>
        <v/>
      </c>
    </row>
    <row r="346" spans="13:13">
      <c r="M346" t="str">
        <f t="shared" si="19"/>
        <v/>
      </c>
    </row>
    <row r="347" spans="13:13">
      <c r="M347" t="str">
        <f t="shared" si="19"/>
        <v/>
      </c>
    </row>
    <row r="348" spans="13:13">
      <c r="M348" t="str">
        <f t="shared" si="19"/>
        <v/>
      </c>
    </row>
    <row r="349" spans="13:13">
      <c r="M349" t="str">
        <f t="shared" si="19"/>
        <v/>
      </c>
    </row>
    <row r="350" spans="13:13">
      <c r="M350" t="str">
        <f t="shared" si="19"/>
        <v/>
      </c>
    </row>
    <row r="351" spans="13:13">
      <c r="M351" t="str">
        <f t="shared" si="19"/>
        <v/>
      </c>
    </row>
    <row r="352" spans="13:13">
      <c r="M352" t="str">
        <f t="shared" si="19"/>
        <v/>
      </c>
    </row>
    <row r="353" spans="13:13">
      <c r="M353" t="str">
        <f t="shared" si="19"/>
        <v/>
      </c>
    </row>
    <row r="354" spans="13:13">
      <c r="M354" t="str">
        <f t="shared" si="19"/>
        <v/>
      </c>
    </row>
    <row r="355" spans="13:13">
      <c r="M355" t="str">
        <f t="shared" si="19"/>
        <v/>
      </c>
    </row>
    <row r="356" spans="13:13">
      <c r="M356" t="str">
        <f t="shared" si="19"/>
        <v/>
      </c>
    </row>
    <row r="357" spans="13:13">
      <c r="M357" t="str">
        <f t="shared" si="19"/>
        <v/>
      </c>
    </row>
    <row r="358" spans="13:13">
      <c r="M358" t="str">
        <f t="shared" si="19"/>
        <v/>
      </c>
    </row>
    <row r="359" spans="13:13">
      <c r="M359" t="str">
        <f t="shared" si="19"/>
        <v/>
      </c>
    </row>
    <row r="360" spans="13:13">
      <c r="M360" t="str">
        <f t="shared" si="19"/>
        <v/>
      </c>
    </row>
    <row r="361" spans="13:13">
      <c r="M361" t="str">
        <f t="shared" si="19"/>
        <v/>
      </c>
    </row>
    <row r="362" spans="13:13">
      <c r="M362" t="str">
        <f t="shared" si="19"/>
        <v/>
      </c>
    </row>
    <row r="363" spans="13:13">
      <c r="M363" t="str">
        <f t="shared" si="19"/>
        <v/>
      </c>
    </row>
    <row r="364" spans="13:13">
      <c r="M364" t="str">
        <f t="shared" si="19"/>
        <v/>
      </c>
    </row>
    <row r="365" spans="13:13">
      <c r="M365" t="str">
        <f t="shared" si="19"/>
        <v/>
      </c>
    </row>
    <row r="366" spans="13:13">
      <c r="M366" t="str">
        <f t="shared" si="19"/>
        <v/>
      </c>
    </row>
    <row r="367" spans="13:13">
      <c r="M367" t="str">
        <f t="shared" si="19"/>
        <v/>
      </c>
    </row>
    <row r="368" spans="13:13">
      <c r="M368" t="str">
        <f t="shared" si="19"/>
        <v/>
      </c>
    </row>
    <row r="369" spans="13:13">
      <c r="M369" t="str">
        <f t="shared" si="19"/>
        <v/>
      </c>
    </row>
    <row r="370" spans="13:13">
      <c r="M370" t="str">
        <f t="shared" si="19"/>
        <v/>
      </c>
    </row>
    <row r="371" spans="13:13">
      <c r="M371" t="str">
        <f t="shared" si="19"/>
        <v/>
      </c>
    </row>
    <row r="372" spans="13:13">
      <c r="M372" t="str">
        <f t="shared" si="19"/>
        <v/>
      </c>
    </row>
    <row r="373" spans="13:13">
      <c r="M373" t="str">
        <f t="shared" si="19"/>
        <v/>
      </c>
    </row>
    <row r="374" spans="13:13">
      <c r="M374" t="str">
        <f t="shared" si="19"/>
        <v/>
      </c>
    </row>
    <row r="375" spans="13:13">
      <c r="M375" t="str">
        <f t="shared" si="19"/>
        <v/>
      </c>
    </row>
    <row r="376" spans="13:13">
      <c r="M376" t="str">
        <f t="shared" si="19"/>
        <v/>
      </c>
    </row>
    <row r="377" spans="13:13">
      <c r="M377" t="str">
        <f t="shared" si="19"/>
        <v/>
      </c>
    </row>
    <row r="378" spans="13:13">
      <c r="M378" t="str">
        <f t="shared" si="19"/>
        <v/>
      </c>
    </row>
    <row r="379" spans="13:13">
      <c r="M379" t="str">
        <f t="shared" si="19"/>
        <v/>
      </c>
    </row>
    <row r="380" spans="13:13">
      <c r="M380" t="str">
        <f t="shared" si="19"/>
        <v/>
      </c>
    </row>
    <row r="381" spans="13:13">
      <c r="M381" t="str">
        <f t="shared" si="19"/>
        <v/>
      </c>
    </row>
    <row r="382" spans="13:13">
      <c r="M382" t="str">
        <f t="shared" si="19"/>
        <v/>
      </c>
    </row>
    <row r="383" spans="13:13">
      <c r="M383" t="str">
        <f t="shared" si="19"/>
        <v/>
      </c>
    </row>
    <row r="384" spans="13:13">
      <c r="M384" t="str">
        <f t="shared" si="19"/>
        <v/>
      </c>
    </row>
    <row r="385" spans="13:13">
      <c r="M385" t="str">
        <f t="shared" si="19"/>
        <v/>
      </c>
    </row>
    <row r="386" spans="13:13">
      <c r="M386" t="str">
        <f t="shared" si="19"/>
        <v/>
      </c>
    </row>
    <row r="387" spans="13:13">
      <c r="M387" t="str">
        <f t="shared" si="19"/>
        <v/>
      </c>
    </row>
    <row r="388" spans="13:13">
      <c r="M388" t="str">
        <f t="shared" si="19"/>
        <v/>
      </c>
    </row>
    <row r="389" spans="13:13">
      <c r="M389" t="str">
        <f t="shared" ref="M389:M452" si="20">IF(A389="","", WEEKNUM(A389, 2))</f>
        <v/>
      </c>
    </row>
    <row r="390" spans="13:13">
      <c r="M390" t="str">
        <f t="shared" si="20"/>
        <v/>
      </c>
    </row>
    <row r="391" spans="13:13">
      <c r="M391" t="str">
        <f t="shared" si="20"/>
        <v/>
      </c>
    </row>
    <row r="392" spans="13:13">
      <c r="M392" t="str">
        <f t="shared" si="20"/>
        <v/>
      </c>
    </row>
    <row r="393" spans="13:13">
      <c r="M393" t="str">
        <f t="shared" si="20"/>
        <v/>
      </c>
    </row>
    <row r="394" spans="13:13">
      <c r="M394" t="str">
        <f t="shared" si="20"/>
        <v/>
      </c>
    </row>
    <row r="395" spans="13:13">
      <c r="M395" t="str">
        <f t="shared" si="20"/>
        <v/>
      </c>
    </row>
    <row r="396" spans="13:13">
      <c r="M396" t="str">
        <f t="shared" si="20"/>
        <v/>
      </c>
    </row>
    <row r="397" spans="13:13">
      <c r="M397" t="str">
        <f t="shared" si="20"/>
        <v/>
      </c>
    </row>
    <row r="398" spans="13:13">
      <c r="M398" t="str">
        <f t="shared" si="20"/>
        <v/>
      </c>
    </row>
    <row r="399" spans="13:13">
      <c r="M399" t="str">
        <f t="shared" si="20"/>
        <v/>
      </c>
    </row>
    <row r="400" spans="13:13">
      <c r="M400" t="str">
        <f t="shared" si="20"/>
        <v/>
      </c>
    </row>
    <row r="401" spans="13:13">
      <c r="M401" t="str">
        <f t="shared" si="20"/>
        <v/>
      </c>
    </row>
    <row r="402" spans="13:13">
      <c r="M402" t="str">
        <f t="shared" si="20"/>
        <v/>
      </c>
    </row>
    <row r="403" spans="13:13">
      <c r="M403" t="str">
        <f t="shared" si="20"/>
        <v/>
      </c>
    </row>
    <row r="404" spans="13:13">
      <c r="M404" t="str">
        <f t="shared" si="20"/>
        <v/>
      </c>
    </row>
    <row r="405" spans="13:13">
      <c r="M405" t="str">
        <f t="shared" si="20"/>
        <v/>
      </c>
    </row>
    <row r="406" spans="13:13">
      <c r="M406" t="str">
        <f t="shared" si="20"/>
        <v/>
      </c>
    </row>
    <row r="407" spans="13:13">
      <c r="M407" t="str">
        <f t="shared" si="20"/>
        <v/>
      </c>
    </row>
    <row r="408" spans="13:13">
      <c r="M408" t="str">
        <f t="shared" si="20"/>
        <v/>
      </c>
    </row>
    <row r="409" spans="13:13">
      <c r="M409" t="str">
        <f t="shared" si="20"/>
        <v/>
      </c>
    </row>
    <row r="410" spans="13:13">
      <c r="M410" t="str">
        <f t="shared" si="20"/>
        <v/>
      </c>
    </row>
    <row r="411" spans="13:13">
      <c r="M411" t="str">
        <f t="shared" si="20"/>
        <v/>
      </c>
    </row>
    <row r="412" spans="13:13">
      <c r="M412" t="str">
        <f t="shared" si="20"/>
        <v/>
      </c>
    </row>
    <row r="413" spans="13:13">
      <c r="M413" t="str">
        <f t="shared" si="20"/>
        <v/>
      </c>
    </row>
    <row r="414" spans="13:13">
      <c r="M414" t="str">
        <f t="shared" si="20"/>
        <v/>
      </c>
    </row>
    <row r="415" spans="13:13">
      <c r="M415" t="str">
        <f t="shared" si="20"/>
        <v/>
      </c>
    </row>
    <row r="416" spans="13:13">
      <c r="M416" t="str">
        <f t="shared" si="20"/>
        <v/>
      </c>
    </row>
    <row r="417" spans="13:13">
      <c r="M417" t="str">
        <f t="shared" si="20"/>
        <v/>
      </c>
    </row>
    <row r="418" spans="13:13">
      <c r="M418" t="str">
        <f t="shared" si="20"/>
        <v/>
      </c>
    </row>
    <row r="419" spans="13:13">
      <c r="M419" t="str">
        <f t="shared" si="20"/>
        <v/>
      </c>
    </row>
    <row r="420" spans="13:13">
      <c r="M420" t="str">
        <f t="shared" si="20"/>
        <v/>
      </c>
    </row>
    <row r="421" spans="13:13">
      <c r="M421" t="str">
        <f t="shared" si="20"/>
        <v/>
      </c>
    </row>
    <row r="422" spans="13:13">
      <c r="M422" t="str">
        <f t="shared" si="20"/>
        <v/>
      </c>
    </row>
    <row r="423" spans="13:13">
      <c r="M423" t="str">
        <f t="shared" si="20"/>
        <v/>
      </c>
    </row>
    <row r="424" spans="13:13">
      <c r="M424" t="str">
        <f t="shared" si="20"/>
        <v/>
      </c>
    </row>
    <row r="425" spans="13:13">
      <c r="M425" t="str">
        <f t="shared" si="20"/>
        <v/>
      </c>
    </row>
    <row r="426" spans="13:13">
      <c r="M426" t="str">
        <f t="shared" si="20"/>
        <v/>
      </c>
    </row>
    <row r="427" spans="13:13">
      <c r="M427" t="str">
        <f t="shared" si="20"/>
        <v/>
      </c>
    </row>
    <row r="428" spans="13:13">
      <c r="M428" t="str">
        <f t="shared" si="20"/>
        <v/>
      </c>
    </row>
    <row r="429" spans="13:13">
      <c r="M429" t="str">
        <f t="shared" si="20"/>
        <v/>
      </c>
    </row>
    <row r="430" spans="13:13">
      <c r="M430" t="str">
        <f t="shared" si="20"/>
        <v/>
      </c>
    </row>
    <row r="431" spans="13:13">
      <c r="M431" t="str">
        <f t="shared" si="20"/>
        <v/>
      </c>
    </row>
    <row r="432" spans="13:13">
      <c r="M432" t="str">
        <f t="shared" si="20"/>
        <v/>
      </c>
    </row>
    <row r="433" spans="13:13">
      <c r="M433" t="str">
        <f t="shared" si="20"/>
        <v/>
      </c>
    </row>
    <row r="434" spans="13:13">
      <c r="M434" t="str">
        <f t="shared" si="20"/>
        <v/>
      </c>
    </row>
    <row r="435" spans="13:13">
      <c r="M435" t="str">
        <f t="shared" si="20"/>
        <v/>
      </c>
    </row>
    <row r="436" spans="13:13">
      <c r="M436" t="str">
        <f t="shared" si="20"/>
        <v/>
      </c>
    </row>
    <row r="437" spans="13:13">
      <c r="M437" t="str">
        <f t="shared" si="20"/>
        <v/>
      </c>
    </row>
    <row r="438" spans="13:13">
      <c r="M438" t="str">
        <f t="shared" si="20"/>
        <v/>
      </c>
    </row>
    <row r="439" spans="13:13">
      <c r="M439" t="str">
        <f t="shared" si="20"/>
        <v/>
      </c>
    </row>
    <row r="440" spans="13:13">
      <c r="M440" t="str">
        <f t="shared" si="20"/>
        <v/>
      </c>
    </row>
    <row r="441" spans="13:13">
      <c r="M441" t="str">
        <f t="shared" si="20"/>
        <v/>
      </c>
    </row>
    <row r="442" spans="13:13">
      <c r="M442" t="str">
        <f t="shared" si="20"/>
        <v/>
      </c>
    </row>
    <row r="443" spans="13:13">
      <c r="M443" t="str">
        <f t="shared" si="20"/>
        <v/>
      </c>
    </row>
    <row r="444" spans="13:13">
      <c r="M444" t="str">
        <f t="shared" si="20"/>
        <v/>
      </c>
    </row>
    <row r="445" spans="13:13">
      <c r="M445" t="str">
        <f t="shared" si="20"/>
        <v/>
      </c>
    </row>
    <row r="446" spans="13:13">
      <c r="M446" t="str">
        <f t="shared" si="20"/>
        <v/>
      </c>
    </row>
    <row r="447" spans="13:13">
      <c r="M447" t="str">
        <f t="shared" si="20"/>
        <v/>
      </c>
    </row>
    <row r="448" spans="13:13">
      <c r="M448" t="str">
        <f t="shared" si="20"/>
        <v/>
      </c>
    </row>
    <row r="449" spans="13:13">
      <c r="M449" t="str">
        <f t="shared" si="20"/>
        <v/>
      </c>
    </row>
    <row r="450" spans="13:13">
      <c r="M450" t="str">
        <f t="shared" si="20"/>
        <v/>
      </c>
    </row>
    <row r="451" spans="13:13">
      <c r="M451" t="str">
        <f t="shared" si="20"/>
        <v/>
      </c>
    </row>
    <row r="452" spans="13:13">
      <c r="M452" t="str">
        <f t="shared" si="20"/>
        <v/>
      </c>
    </row>
    <row r="453" spans="13:13">
      <c r="M453" t="str">
        <f t="shared" ref="M453:M516" si="21">IF(A453="","", WEEKNUM(A453, 2))</f>
        <v/>
      </c>
    </row>
    <row r="454" spans="13:13">
      <c r="M454" t="str">
        <f t="shared" si="21"/>
        <v/>
      </c>
    </row>
    <row r="455" spans="13:13">
      <c r="M455" t="str">
        <f t="shared" si="21"/>
        <v/>
      </c>
    </row>
    <row r="456" spans="13:13">
      <c r="M456" t="str">
        <f t="shared" si="21"/>
        <v/>
      </c>
    </row>
    <row r="457" spans="13:13">
      <c r="M457" t="str">
        <f t="shared" si="21"/>
        <v/>
      </c>
    </row>
    <row r="458" spans="13:13">
      <c r="M458" t="str">
        <f t="shared" si="21"/>
        <v/>
      </c>
    </row>
    <row r="459" spans="13:13">
      <c r="M459" t="str">
        <f t="shared" si="21"/>
        <v/>
      </c>
    </row>
    <row r="460" spans="13:13">
      <c r="M460" t="str">
        <f t="shared" si="21"/>
        <v/>
      </c>
    </row>
    <row r="461" spans="13:13">
      <c r="M461" t="str">
        <f t="shared" si="21"/>
        <v/>
      </c>
    </row>
    <row r="462" spans="13:13">
      <c r="M462" t="str">
        <f t="shared" si="21"/>
        <v/>
      </c>
    </row>
    <row r="463" spans="13:13">
      <c r="M463" t="str">
        <f t="shared" si="21"/>
        <v/>
      </c>
    </row>
    <row r="464" spans="13:13">
      <c r="M464" t="str">
        <f t="shared" si="21"/>
        <v/>
      </c>
    </row>
    <row r="465" spans="13:13">
      <c r="M465" t="str">
        <f t="shared" si="21"/>
        <v/>
      </c>
    </row>
    <row r="466" spans="13:13">
      <c r="M466" t="str">
        <f t="shared" si="21"/>
        <v/>
      </c>
    </row>
    <row r="467" spans="13:13">
      <c r="M467" t="str">
        <f t="shared" si="21"/>
        <v/>
      </c>
    </row>
    <row r="468" spans="13:13">
      <c r="M468" t="str">
        <f t="shared" si="21"/>
        <v/>
      </c>
    </row>
    <row r="469" spans="13:13">
      <c r="M469" t="str">
        <f t="shared" si="21"/>
        <v/>
      </c>
    </row>
    <row r="470" spans="13:13">
      <c r="M470" t="str">
        <f t="shared" si="21"/>
        <v/>
      </c>
    </row>
    <row r="471" spans="13:13">
      <c r="M471" t="str">
        <f t="shared" si="21"/>
        <v/>
      </c>
    </row>
    <row r="472" spans="13:13">
      <c r="M472" t="str">
        <f t="shared" si="21"/>
        <v/>
      </c>
    </row>
    <row r="473" spans="13:13">
      <c r="M473" t="str">
        <f t="shared" si="21"/>
        <v/>
      </c>
    </row>
    <row r="474" spans="13:13">
      <c r="M474" t="str">
        <f t="shared" si="21"/>
        <v/>
      </c>
    </row>
    <row r="475" spans="13:13">
      <c r="M475" t="str">
        <f t="shared" si="21"/>
        <v/>
      </c>
    </row>
    <row r="476" spans="13:13">
      <c r="M476" t="str">
        <f t="shared" si="21"/>
        <v/>
      </c>
    </row>
    <row r="477" spans="13:13">
      <c r="M477" t="str">
        <f t="shared" si="21"/>
        <v/>
      </c>
    </row>
    <row r="478" spans="13:13">
      <c r="M478" t="str">
        <f t="shared" si="21"/>
        <v/>
      </c>
    </row>
    <row r="479" spans="13:13">
      <c r="M479" t="str">
        <f t="shared" si="21"/>
        <v/>
      </c>
    </row>
    <row r="480" spans="13:13">
      <c r="M480" t="str">
        <f t="shared" si="21"/>
        <v/>
      </c>
    </row>
    <row r="481" spans="13:13">
      <c r="M481" t="str">
        <f t="shared" si="21"/>
        <v/>
      </c>
    </row>
    <row r="482" spans="13:13">
      <c r="M482" t="str">
        <f t="shared" si="21"/>
        <v/>
      </c>
    </row>
    <row r="483" spans="13:13">
      <c r="M483" t="str">
        <f t="shared" si="21"/>
        <v/>
      </c>
    </row>
    <row r="484" spans="13:13">
      <c r="M484" t="str">
        <f t="shared" si="21"/>
        <v/>
      </c>
    </row>
    <row r="485" spans="13:13">
      <c r="M485" t="str">
        <f t="shared" si="21"/>
        <v/>
      </c>
    </row>
    <row r="486" spans="13:13">
      <c r="M486" t="str">
        <f t="shared" si="21"/>
        <v/>
      </c>
    </row>
    <row r="487" spans="13:13">
      <c r="M487" t="str">
        <f t="shared" si="21"/>
        <v/>
      </c>
    </row>
    <row r="488" spans="13:13">
      <c r="M488" t="str">
        <f t="shared" si="21"/>
        <v/>
      </c>
    </row>
    <row r="489" spans="13:13">
      <c r="M489" t="str">
        <f t="shared" si="21"/>
        <v/>
      </c>
    </row>
    <row r="490" spans="13:13">
      <c r="M490" t="str">
        <f t="shared" si="21"/>
        <v/>
      </c>
    </row>
    <row r="491" spans="13:13">
      <c r="M491" t="str">
        <f t="shared" si="21"/>
        <v/>
      </c>
    </row>
    <row r="492" spans="13:13">
      <c r="M492" t="str">
        <f t="shared" si="21"/>
        <v/>
      </c>
    </row>
    <row r="493" spans="13:13">
      <c r="M493" t="str">
        <f t="shared" si="21"/>
        <v/>
      </c>
    </row>
    <row r="494" spans="13:13">
      <c r="M494" t="str">
        <f t="shared" si="21"/>
        <v/>
      </c>
    </row>
    <row r="495" spans="13:13">
      <c r="M495" t="str">
        <f t="shared" si="21"/>
        <v/>
      </c>
    </row>
    <row r="496" spans="13:13">
      <c r="M496" t="str">
        <f t="shared" si="21"/>
        <v/>
      </c>
    </row>
    <row r="497" spans="13:13">
      <c r="M497" t="str">
        <f t="shared" si="21"/>
        <v/>
      </c>
    </row>
    <row r="498" spans="13:13">
      <c r="M498" t="str">
        <f t="shared" si="21"/>
        <v/>
      </c>
    </row>
    <row r="499" spans="13:13">
      <c r="M499" t="str">
        <f t="shared" si="21"/>
        <v/>
      </c>
    </row>
    <row r="500" spans="13:13">
      <c r="M500" t="str">
        <f t="shared" si="21"/>
        <v/>
      </c>
    </row>
    <row r="501" spans="13:13">
      <c r="M501" t="str">
        <f t="shared" si="21"/>
        <v/>
      </c>
    </row>
    <row r="502" spans="13:13">
      <c r="M502" t="str">
        <f t="shared" si="21"/>
        <v/>
      </c>
    </row>
    <row r="503" spans="13:13">
      <c r="M503" t="str">
        <f t="shared" si="21"/>
        <v/>
      </c>
    </row>
    <row r="504" spans="13:13">
      <c r="M504" t="str">
        <f t="shared" si="21"/>
        <v/>
      </c>
    </row>
    <row r="505" spans="13:13">
      <c r="M505" t="str">
        <f t="shared" si="21"/>
        <v/>
      </c>
    </row>
    <row r="506" spans="13:13">
      <c r="M506" t="str">
        <f t="shared" si="21"/>
        <v/>
      </c>
    </row>
    <row r="507" spans="13:13">
      <c r="M507" t="str">
        <f t="shared" si="21"/>
        <v/>
      </c>
    </row>
    <row r="508" spans="13:13">
      <c r="M508" t="str">
        <f t="shared" si="21"/>
        <v/>
      </c>
    </row>
    <row r="509" spans="13:13">
      <c r="M509" t="str">
        <f t="shared" si="21"/>
        <v/>
      </c>
    </row>
    <row r="510" spans="13:13">
      <c r="M510" t="str">
        <f t="shared" si="21"/>
        <v/>
      </c>
    </row>
    <row r="511" spans="13:13">
      <c r="M511" t="str">
        <f t="shared" si="21"/>
        <v/>
      </c>
    </row>
    <row r="512" spans="13:13">
      <c r="M512" t="str">
        <f t="shared" si="21"/>
        <v/>
      </c>
    </row>
    <row r="513" spans="13:13">
      <c r="M513" t="str">
        <f t="shared" si="21"/>
        <v/>
      </c>
    </row>
    <row r="514" spans="13:13">
      <c r="M514" t="str">
        <f t="shared" si="21"/>
        <v/>
      </c>
    </row>
    <row r="515" spans="13:13">
      <c r="M515" t="str">
        <f t="shared" si="21"/>
        <v/>
      </c>
    </row>
    <row r="516" spans="13:13">
      <c r="M516" t="str">
        <f t="shared" si="21"/>
        <v/>
      </c>
    </row>
    <row r="517" spans="13:13">
      <c r="M517" t="str">
        <f t="shared" ref="M517:M580" si="22">IF(A517="","", WEEKNUM(A517, 2))</f>
        <v/>
      </c>
    </row>
    <row r="518" spans="13:13">
      <c r="M518" t="str">
        <f t="shared" si="22"/>
        <v/>
      </c>
    </row>
    <row r="519" spans="13:13">
      <c r="M519" t="str">
        <f t="shared" si="22"/>
        <v/>
      </c>
    </row>
    <row r="520" spans="13:13">
      <c r="M520" t="str">
        <f t="shared" si="22"/>
        <v/>
      </c>
    </row>
    <row r="521" spans="13:13">
      <c r="M521" t="str">
        <f t="shared" si="22"/>
        <v/>
      </c>
    </row>
    <row r="522" spans="13:13">
      <c r="M522" t="str">
        <f t="shared" si="22"/>
        <v/>
      </c>
    </row>
    <row r="523" spans="13:13">
      <c r="M523" t="str">
        <f t="shared" si="22"/>
        <v/>
      </c>
    </row>
    <row r="524" spans="13:13">
      <c r="M524" t="str">
        <f t="shared" si="22"/>
        <v/>
      </c>
    </row>
    <row r="525" spans="13:13">
      <c r="M525" t="str">
        <f t="shared" si="22"/>
        <v/>
      </c>
    </row>
    <row r="526" spans="13:13">
      <c r="M526" t="str">
        <f t="shared" si="22"/>
        <v/>
      </c>
    </row>
    <row r="527" spans="13:13">
      <c r="M527" t="str">
        <f t="shared" si="22"/>
        <v/>
      </c>
    </row>
    <row r="528" spans="13:13">
      <c r="M528" t="str">
        <f t="shared" si="22"/>
        <v/>
      </c>
    </row>
    <row r="529" spans="13:13">
      <c r="M529" t="str">
        <f t="shared" si="22"/>
        <v/>
      </c>
    </row>
    <row r="530" spans="13:13">
      <c r="M530" t="str">
        <f t="shared" si="22"/>
        <v/>
      </c>
    </row>
    <row r="531" spans="13:13">
      <c r="M531" t="str">
        <f t="shared" si="22"/>
        <v/>
      </c>
    </row>
    <row r="532" spans="13:13">
      <c r="M532" t="str">
        <f t="shared" si="22"/>
        <v/>
      </c>
    </row>
    <row r="533" spans="13:13">
      <c r="M533" t="str">
        <f t="shared" si="22"/>
        <v/>
      </c>
    </row>
    <row r="534" spans="13:13">
      <c r="M534" t="str">
        <f t="shared" si="22"/>
        <v/>
      </c>
    </row>
    <row r="535" spans="13:13">
      <c r="M535" t="str">
        <f t="shared" si="22"/>
        <v/>
      </c>
    </row>
    <row r="536" spans="13:13">
      <c r="M536" t="str">
        <f t="shared" si="22"/>
        <v/>
      </c>
    </row>
    <row r="537" spans="13:13">
      <c r="M537" t="str">
        <f t="shared" si="22"/>
        <v/>
      </c>
    </row>
    <row r="538" spans="13:13">
      <c r="M538" t="str">
        <f t="shared" si="22"/>
        <v/>
      </c>
    </row>
    <row r="539" spans="13:13">
      <c r="M539" t="str">
        <f t="shared" si="22"/>
        <v/>
      </c>
    </row>
    <row r="540" spans="13:13">
      <c r="M540" t="str">
        <f t="shared" si="22"/>
        <v/>
      </c>
    </row>
    <row r="541" spans="13:13">
      <c r="M541" t="str">
        <f t="shared" si="22"/>
        <v/>
      </c>
    </row>
    <row r="542" spans="13:13">
      <c r="M542" t="str">
        <f t="shared" si="22"/>
        <v/>
      </c>
    </row>
    <row r="543" spans="13:13">
      <c r="M543" t="str">
        <f t="shared" si="22"/>
        <v/>
      </c>
    </row>
    <row r="544" spans="13:13">
      <c r="M544" t="str">
        <f t="shared" si="22"/>
        <v/>
      </c>
    </row>
    <row r="545" spans="13:13">
      <c r="M545" t="str">
        <f t="shared" si="22"/>
        <v/>
      </c>
    </row>
    <row r="546" spans="13:13">
      <c r="M546" t="str">
        <f t="shared" si="22"/>
        <v/>
      </c>
    </row>
    <row r="547" spans="13:13">
      <c r="M547" t="str">
        <f t="shared" si="22"/>
        <v/>
      </c>
    </row>
    <row r="548" spans="13:13">
      <c r="M548" t="str">
        <f t="shared" si="22"/>
        <v/>
      </c>
    </row>
    <row r="549" spans="13:13">
      <c r="M549" t="str">
        <f t="shared" si="22"/>
        <v/>
      </c>
    </row>
    <row r="550" spans="13:13">
      <c r="M550" t="str">
        <f t="shared" si="22"/>
        <v/>
      </c>
    </row>
    <row r="551" spans="13:13">
      <c r="M551" t="str">
        <f t="shared" si="22"/>
        <v/>
      </c>
    </row>
    <row r="552" spans="13:13">
      <c r="M552" t="str">
        <f t="shared" si="22"/>
        <v/>
      </c>
    </row>
    <row r="553" spans="13:13">
      <c r="M553" t="str">
        <f t="shared" si="22"/>
        <v/>
      </c>
    </row>
    <row r="554" spans="13:13">
      <c r="M554" t="str">
        <f t="shared" si="22"/>
        <v/>
      </c>
    </row>
    <row r="555" spans="13:13">
      <c r="M555" t="str">
        <f t="shared" si="22"/>
        <v/>
      </c>
    </row>
    <row r="556" spans="13:13">
      <c r="M556" t="str">
        <f t="shared" si="22"/>
        <v/>
      </c>
    </row>
    <row r="557" spans="13:13">
      <c r="M557" t="str">
        <f t="shared" si="22"/>
        <v/>
      </c>
    </row>
    <row r="558" spans="13:13">
      <c r="M558" t="str">
        <f t="shared" si="22"/>
        <v/>
      </c>
    </row>
    <row r="559" spans="13:13">
      <c r="M559" t="str">
        <f t="shared" si="22"/>
        <v/>
      </c>
    </row>
    <row r="560" spans="13:13">
      <c r="M560" t="str">
        <f t="shared" si="22"/>
        <v/>
      </c>
    </row>
    <row r="561" spans="13:13">
      <c r="M561" t="str">
        <f t="shared" si="22"/>
        <v/>
      </c>
    </row>
    <row r="562" spans="13:13">
      <c r="M562" t="str">
        <f t="shared" si="22"/>
        <v/>
      </c>
    </row>
    <row r="563" spans="13:13">
      <c r="M563" t="str">
        <f t="shared" si="22"/>
        <v/>
      </c>
    </row>
    <row r="564" spans="13:13">
      <c r="M564" t="str">
        <f t="shared" si="22"/>
        <v/>
      </c>
    </row>
    <row r="565" spans="13:13">
      <c r="M565" t="str">
        <f t="shared" si="22"/>
        <v/>
      </c>
    </row>
    <row r="566" spans="13:13">
      <c r="M566" t="str">
        <f t="shared" si="22"/>
        <v/>
      </c>
    </row>
    <row r="567" spans="13:13">
      <c r="M567" t="str">
        <f t="shared" si="22"/>
        <v/>
      </c>
    </row>
    <row r="568" spans="13:13">
      <c r="M568" t="str">
        <f t="shared" si="22"/>
        <v/>
      </c>
    </row>
    <row r="569" spans="13:13">
      <c r="M569" t="str">
        <f t="shared" si="22"/>
        <v/>
      </c>
    </row>
    <row r="570" spans="13:13">
      <c r="M570" t="str">
        <f t="shared" si="22"/>
        <v/>
      </c>
    </row>
    <row r="571" spans="13:13">
      <c r="M571" t="str">
        <f t="shared" si="22"/>
        <v/>
      </c>
    </row>
    <row r="572" spans="13:13">
      <c r="M572" t="str">
        <f t="shared" si="22"/>
        <v/>
      </c>
    </row>
    <row r="573" spans="13:13">
      <c r="M573" t="str">
        <f t="shared" si="22"/>
        <v/>
      </c>
    </row>
    <row r="574" spans="13:13">
      <c r="M574" t="str">
        <f t="shared" si="22"/>
        <v/>
      </c>
    </row>
    <row r="575" spans="13:13">
      <c r="M575" t="str">
        <f t="shared" si="22"/>
        <v/>
      </c>
    </row>
    <row r="576" spans="13:13">
      <c r="M576" t="str">
        <f t="shared" si="22"/>
        <v/>
      </c>
    </row>
    <row r="577" spans="13:13">
      <c r="M577" t="str">
        <f t="shared" si="22"/>
        <v/>
      </c>
    </row>
    <row r="578" spans="13:13">
      <c r="M578" t="str">
        <f t="shared" si="22"/>
        <v/>
      </c>
    </row>
    <row r="579" spans="13:13">
      <c r="M579" t="str">
        <f t="shared" si="22"/>
        <v/>
      </c>
    </row>
    <row r="580" spans="13:13">
      <c r="M580" t="str">
        <f t="shared" si="22"/>
        <v/>
      </c>
    </row>
    <row r="581" spans="13:13">
      <c r="M581" t="str">
        <f t="shared" ref="M581:M644" si="23">IF(A581="","", WEEKNUM(A581, 2))</f>
        <v/>
      </c>
    </row>
    <row r="582" spans="13:13">
      <c r="M582" t="str">
        <f t="shared" si="23"/>
        <v/>
      </c>
    </row>
    <row r="583" spans="13:13">
      <c r="M583" t="str">
        <f t="shared" si="23"/>
        <v/>
      </c>
    </row>
    <row r="584" spans="13:13">
      <c r="M584" t="str">
        <f t="shared" si="23"/>
        <v/>
      </c>
    </row>
    <row r="585" spans="13:13">
      <c r="M585" t="str">
        <f t="shared" si="23"/>
        <v/>
      </c>
    </row>
    <row r="586" spans="13:13">
      <c r="M586" t="str">
        <f t="shared" si="23"/>
        <v/>
      </c>
    </row>
    <row r="587" spans="13:13">
      <c r="M587" t="str">
        <f t="shared" si="23"/>
        <v/>
      </c>
    </row>
    <row r="588" spans="13:13">
      <c r="M588" t="str">
        <f t="shared" si="23"/>
        <v/>
      </c>
    </row>
    <row r="589" spans="13:13">
      <c r="M589" t="str">
        <f t="shared" si="23"/>
        <v/>
      </c>
    </row>
    <row r="590" spans="13:13">
      <c r="M590" t="str">
        <f t="shared" si="23"/>
        <v/>
      </c>
    </row>
    <row r="591" spans="13:13">
      <c r="M591" t="str">
        <f t="shared" si="23"/>
        <v/>
      </c>
    </row>
    <row r="592" spans="13:13">
      <c r="M592" t="str">
        <f t="shared" si="23"/>
        <v/>
      </c>
    </row>
    <row r="593" spans="13:13">
      <c r="M593" t="str">
        <f t="shared" si="23"/>
        <v/>
      </c>
    </row>
    <row r="594" spans="13:13">
      <c r="M594" t="str">
        <f t="shared" si="23"/>
        <v/>
      </c>
    </row>
    <row r="595" spans="13:13">
      <c r="M595" t="str">
        <f t="shared" si="23"/>
        <v/>
      </c>
    </row>
    <row r="596" spans="13:13">
      <c r="M596" t="str">
        <f t="shared" si="23"/>
        <v/>
      </c>
    </row>
    <row r="597" spans="13:13">
      <c r="M597" t="str">
        <f t="shared" si="23"/>
        <v/>
      </c>
    </row>
    <row r="598" spans="13:13">
      <c r="M598" t="str">
        <f t="shared" si="23"/>
        <v/>
      </c>
    </row>
    <row r="599" spans="13:13">
      <c r="M599" t="str">
        <f t="shared" si="23"/>
        <v/>
      </c>
    </row>
    <row r="600" spans="13:13">
      <c r="M600" t="str">
        <f t="shared" si="23"/>
        <v/>
      </c>
    </row>
    <row r="601" spans="13:13">
      <c r="M601" t="str">
        <f t="shared" si="23"/>
        <v/>
      </c>
    </row>
    <row r="602" spans="13:13">
      <c r="M602" t="str">
        <f t="shared" si="23"/>
        <v/>
      </c>
    </row>
    <row r="603" spans="13:13">
      <c r="M603" t="str">
        <f t="shared" si="23"/>
        <v/>
      </c>
    </row>
    <row r="604" spans="13:13">
      <c r="M604" t="str">
        <f t="shared" si="23"/>
        <v/>
      </c>
    </row>
    <row r="605" spans="13:13">
      <c r="M605" t="str">
        <f t="shared" si="23"/>
        <v/>
      </c>
    </row>
    <row r="606" spans="13:13">
      <c r="M606" t="str">
        <f t="shared" si="23"/>
        <v/>
      </c>
    </row>
    <row r="607" spans="13:13">
      <c r="M607" t="str">
        <f t="shared" si="23"/>
        <v/>
      </c>
    </row>
    <row r="608" spans="13:13">
      <c r="M608" t="str">
        <f t="shared" si="23"/>
        <v/>
      </c>
    </row>
    <row r="609" spans="13:13">
      <c r="M609" t="str">
        <f t="shared" si="23"/>
        <v/>
      </c>
    </row>
    <row r="610" spans="13:13">
      <c r="M610" t="str">
        <f t="shared" si="23"/>
        <v/>
      </c>
    </row>
    <row r="611" spans="13:13">
      <c r="M611" t="str">
        <f t="shared" si="23"/>
        <v/>
      </c>
    </row>
    <row r="612" spans="13:13">
      <c r="M612" t="str">
        <f t="shared" si="23"/>
        <v/>
      </c>
    </row>
    <row r="613" spans="13:13">
      <c r="M613" t="str">
        <f t="shared" si="23"/>
        <v/>
      </c>
    </row>
    <row r="614" spans="13:13">
      <c r="M614" t="str">
        <f t="shared" si="23"/>
        <v/>
      </c>
    </row>
    <row r="615" spans="13:13">
      <c r="M615" t="str">
        <f t="shared" si="23"/>
        <v/>
      </c>
    </row>
    <row r="616" spans="13:13">
      <c r="M616" t="str">
        <f t="shared" si="23"/>
        <v/>
      </c>
    </row>
    <row r="617" spans="13:13">
      <c r="M617" t="str">
        <f t="shared" si="23"/>
        <v/>
      </c>
    </row>
    <row r="618" spans="13:13">
      <c r="M618" t="str">
        <f t="shared" si="23"/>
        <v/>
      </c>
    </row>
    <row r="619" spans="13:13">
      <c r="M619" t="str">
        <f t="shared" si="23"/>
        <v/>
      </c>
    </row>
    <row r="620" spans="13:13">
      <c r="M620" t="str">
        <f t="shared" si="23"/>
        <v/>
      </c>
    </row>
    <row r="621" spans="13:13">
      <c r="M621" t="str">
        <f t="shared" si="23"/>
        <v/>
      </c>
    </row>
    <row r="622" spans="13:13">
      <c r="M622" t="str">
        <f t="shared" si="23"/>
        <v/>
      </c>
    </row>
    <row r="623" spans="13:13">
      <c r="M623" t="str">
        <f t="shared" si="23"/>
        <v/>
      </c>
    </row>
    <row r="624" spans="13:13">
      <c r="M624" t="str">
        <f t="shared" si="23"/>
        <v/>
      </c>
    </row>
    <row r="625" spans="13:13">
      <c r="M625" t="str">
        <f t="shared" si="23"/>
        <v/>
      </c>
    </row>
    <row r="626" spans="13:13">
      <c r="M626" t="str">
        <f t="shared" si="23"/>
        <v/>
      </c>
    </row>
    <row r="627" spans="13:13">
      <c r="M627" t="str">
        <f t="shared" si="23"/>
        <v/>
      </c>
    </row>
    <row r="628" spans="13:13">
      <c r="M628" t="str">
        <f t="shared" si="23"/>
        <v/>
      </c>
    </row>
    <row r="629" spans="13:13">
      <c r="M629" t="str">
        <f t="shared" si="23"/>
        <v/>
      </c>
    </row>
    <row r="630" spans="13:13">
      <c r="M630" t="str">
        <f t="shared" si="23"/>
        <v/>
      </c>
    </row>
    <row r="631" spans="13:13">
      <c r="M631" t="str">
        <f t="shared" si="23"/>
        <v/>
      </c>
    </row>
    <row r="632" spans="13:13">
      <c r="M632" t="str">
        <f t="shared" si="23"/>
        <v/>
      </c>
    </row>
    <row r="633" spans="13:13">
      <c r="M633" t="str">
        <f t="shared" si="23"/>
        <v/>
      </c>
    </row>
    <row r="634" spans="13:13">
      <c r="M634" t="str">
        <f t="shared" si="23"/>
        <v/>
      </c>
    </row>
    <row r="635" spans="13:13">
      <c r="M635" t="str">
        <f t="shared" si="23"/>
        <v/>
      </c>
    </row>
    <row r="636" spans="13:13">
      <c r="M636" t="str">
        <f t="shared" si="23"/>
        <v/>
      </c>
    </row>
    <row r="637" spans="13:13">
      <c r="M637" t="str">
        <f t="shared" si="23"/>
        <v/>
      </c>
    </row>
    <row r="638" spans="13:13">
      <c r="M638" t="str">
        <f t="shared" si="23"/>
        <v/>
      </c>
    </row>
    <row r="639" spans="13:13">
      <c r="M639" t="str">
        <f t="shared" si="23"/>
        <v/>
      </c>
    </row>
    <row r="640" spans="13:13">
      <c r="M640" t="str">
        <f t="shared" si="23"/>
        <v/>
      </c>
    </row>
    <row r="641" spans="13:13">
      <c r="M641" t="str">
        <f t="shared" si="23"/>
        <v/>
      </c>
    </row>
    <row r="642" spans="13:13">
      <c r="M642" t="str">
        <f t="shared" si="23"/>
        <v/>
      </c>
    </row>
    <row r="643" spans="13:13">
      <c r="M643" t="str">
        <f t="shared" si="23"/>
        <v/>
      </c>
    </row>
    <row r="644" spans="13:13">
      <c r="M644" t="str">
        <f t="shared" si="23"/>
        <v/>
      </c>
    </row>
    <row r="645" spans="13:13">
      <c r="M645" t="str">
        <f t="shared" ref="M645:M708" si="24">IF(A645="","", WEEKNUM(A645, 2))</f>
        <v/>
      </c>
    </row>
    <row r="646" spans="13:13">
      <c r="M646" t="str">
        <f t="shared" si="24"/>
        <v/>
      </c>
    </row>
    <row r="647" spans="13:13">
      <c r="M647" t="str">
        <f t="shared" si="24"/>
        <v/>
      </c>
    </row>
    <row r="648" spans="13:13">
      <c r="M648" t="str">
        <f t="shared" si="24"/>
        <v/>
      </c>
    </row>
    <row r="649" spans="13:13">
      <c r="M649" t="str">
        <f t="shared" si="24"/>
        <v/>
      </c>
    </row>
    <row r="650" spans="13:13">
      <c r="M650" t="str">
        <f t="shared" si="24"/>
        <v/>
      </c>
    </row>
    <row r="651" spans="13:13">
      <c r="M651" t="str">
        <f t="shared" si="24"/>
        <v/>
      </c>
    </row>
    <row r="652" spans="13:13">
      <c r="M652" t="str">
        <f t="shared" si="24"/>
        <v/>
      </c>
    </row>
    <row r="653" spans="13:13">
      <c r="M653" t="str">
        <f t="shared" si="24"/>
        <v/>
      </c>
    </row>
    <row r="654" spans="13:13">
      <c r="M654" t="str">
        <f t="shared" si="24"/>
        <v/>
      </c>
    </row>
    <row r="655" spans="13:13">
      <c r="M655" t="str">
        <f t="shared" si="24"/>
        <v/>
      </c>
    </row>
    <row r="656" spans="13:13">
      <c r="M656" t="str">
        <f t="shared" si="24"/>
        <v/>
      </c>
    </row>
    <row r="657" spans="13:13">
      <c r="M657" t="str">
        <f t="shared" si="24"/>
        <v/>
      </c>
    </row>
    <row r="658" spans="13:13">
      <c r="M658" t="str">
        <f t="shared" si="24"/>
        <v/>
      </c>
    </row>
    <row r="659" spans="13:13">
      <c r="M659" t="str">
        <f t="shared" si="24"/>
        <v/>
      </c>
    </row>
    <row r="660" spans="13:13">
      <c r="M660" t="str">
        <f t="shared" si="24"/>
        <v/>
      </c>
    </row>
    <row r="661" spans="13:13">
      <c r="M661" t="str">
        <f t="shared" si="24"/>
        <v/>
      </c>
    </row>
    <row r="662" spans="13:13">
      <c r="M662" t="str">
        <f t="shared" si="24"/>
        <v/>
      </c>
    </row>
    <row r="663" spans="13:13">
      <c r="M663" t="str">
        <f t="shared" si="24"/>
        <v/>
      </c>
    </row>
    <row r="664" spans="13:13">
      <c r="M664" t="str">
        <f t="shared" si="24"/>
        <v/>
      </c>
    </row>
    <row r="665" spans="13:13">
      <c r="M665" t="str">
        <f t="shared" si="24"/>
        <v/>
      </c>
    </row>
    <row r="666" spans="13:13">
      <c r="M666" t="str">
        <f t="shared" si="24"/>
        <v/>
      </c>
    </row>
    <row r="667" spans="13:13">
      <c r="M667" t="str">
        <f t="shared" si="24"/>
        <v/>
      </c>
    </row>
    <row r="668" spans="13:13">
      <c r="M668" t="str">
        <f t="shared" si="24"/>
        <v/>
      </c>
    </row>
    <row r="669" spans="13:13">
      <c r="M669" t="str">
        <f t="shared" si="24"/>
        <v/>
      </c>
    </row>
    <row r="670" spans="13:13">
      <c r="M670" t="str">
        <f t="shared" si="24"/>
        <v/>
      </c>
    </row>
    <row r="671" spans="13:13">
      <c r="M671" t="str">
        <f t="shared" si="24"/>
        <v/>
      </c>
    </row>
    <row r="672" spans="13:13">
      <c r="M672" t="str">
        <f t="shared" si="24"/>
        <v/>
      </c>
    </row>
    <row r="673" spans="13:13">
      <c r="M673" t="str">
        <f t="shared" si="24"/>
        <v/>
      </c>
    </row>
    <row r="674" spans="13:13">
      <c r="M674" t="str">
        <f t="shared" si="24"/>
        <v/>
      </c>
    </row>
    <row r="675" spans="13:13">
      <c r="M675" t="str">
        <f t="shared" si="24"/>
        <v/>
      </c>
    </row>
    <row r="676" spans="13:13">
      <c r="M676" t="str">
        <f t="shared" si="24"/>
        <v/>
      </c>
    </row>
    <row r="677" spans="13:13">
      <c r="M677" t="str">
        <f t="shared" si="24"/>
        <v/>
      </c>
    </row>
    <row r="678" spans="13:13">
      <c r="M678" t="str">
        <f t="shared" si="24"/>
        <v/>
      </c>
    </row>
    <row r="679" spans="13:13">
      <c r="M679" t="str">
        <f t="shared" si="24"/>
        <v/>
      </c>
    </row>
    <row r="680" spans="13:13">
      <c r="M680" t="str">
        <f t="shared" si="24"/>
        <v/>
      </c>
    </row>
    <row r="681" spans="13:13">
      <c r="M681" t="str">
        <f t="shared" si="24"/>
        <v/>
      </c>
    </row>
    <row r="682" spans="13:13">
      <c r="M682" t="str">
        <f t="shared" si="24"/>
        <v/>
      </c>
    </row>
    <row r="683" spans="13:13">
      <c r="M683" t="str">
        <f t="shared" si="24"/>
        <v/>
      </c>
    </row>
    <row r="684" spans="13:13">
      <c r="M684" t="str">
        <f t="shared" si="24"/>
        <v/>
      </c>
    </row>
    <row r="685" spans="13:13">
      <c r="M685" t="str">
        <f t="shared" si="24"/>
        <v/>
      </c>
    </row>
    <row r="686" spans="13:13">
      <c r="M686" t="str">
        <f t="shared" si="24"/>
        <v/>
      </c>
    </row>
    <row r="687" spans="13:13">
      <c r="M687" t="str">
        <f t="shared" si="24"/>
        <v/>
      </c>
    </row>
    <row r="688" spans="13:13">
      <c r="M688" t="str">
        <f t="shared" si="24"/>
        <v/>
      </c>
    </row>
    <row r="689" spans="13:13">
      <c r="M689" t="str">
        <f t="shared" si="24"/>
        <v/>
      </c>
    </row>
    <row r="690" spans="13:13">
      <c r="M690" t="str">
        <f t="shared" si="24"/>
        <v/>
      </c>
    </row>
    <row r="691" spans="13:13">
      <c r="M691" t="str">
        <f t="shared" si="24"/>
        <v/>
      </c>
    </row>
    <row r="692" spans="13:13">
      <c r="M692" t="str">
        <f t="shared" si="24"/>
        <v/>
      </c>
    </row>
    <row r="693" spans="13:13">
      <c r="M693" t="str">
        <f t="shared" si="24"/>
        <v/>
      </c>
    </row>
    <row r="694" spans="13:13">
      <c r="M694" t="str">
        <f t="shared" si="24"/>
        <v/>
      </c>
    </row>
    <row r="695" spans="13:13">
      <c r="M695" t="str">
        <f t="shared" si="24"/>
        <v/>
      </c>
    </row>
    <row r="696" spans="13:13">
      <c r="M696" t="str">
        <f t="shared" si="24"/>
        <v/>
      </c>
    </row>
    <row r="697" spans="13:13">
      <c r="M697" t="str">
        <f t="shared" si="24"/>
        <v/>
      </c>
    </row>
    <row r="698" spans="13:13">
      <c r="M698" t="str">
        <f t="shared" si="24"/>
        <v/>
      </c>
    </row>
    <row r="699" spans="13:13">
      <c r="M699" t="str">
        <f t="shared" si="24"/>
        <v/>
      </c>
    </row>
    <row r="700" spans="13:13">
      <c r="M700" t="str">
        <f t="shared" si="24"/>
        <v/>
      </c>
    </row>
    <row r="701" spans="13:13">
      <c r="M701" t="str">
        <f t="shared" si="24"/>
        <v/>
      </c>
    </row>
    <row r="702" spans="13:13">
      <c r="M702" t="str">
        <f t="shared" si="24"/>
        <v/>
      </c>
    </row>
    <row r="703" spans="13:13">
      <c r="M703" t="str">
        <f t="shared" si="24"/>
        <v/>
      </c>
    </row>
    <row r="704" spans="13:13">
      <c r="M704" t="str">
        <f t="shared" si="24"/>
        <v/>
      </c>
    </row>
    <row r="705" spans="13:13">
      <c r="M705" t="str">
        <f t="shared" si="24"/>
        <v/>
      </c>
    </row>
    <row r="706" spans="13:13">
      <c r="M706" t="str">
        <f t="shared" si="24"/>
        <v/>
      </c>
    </row>
    <row r="707" spans="13:13">
      <c r="M707" t="str">
        <f t="shared" si="24"/>
        <v/>
      </c>
    </row>
    <row r="708" spans="13:13">
      <c r="M708" t="str">
        <f t="shared" si="24"/>
        <v/>
      </c>
    </row>
    <row r="709" spans="13:13">
      <c r="M709" t="str">
        <f t="shared" ref="M709:M772" si="25">IF(A709="","", WEEKNUM(A709, 2))</f>
        <v/>
      </c>
    </row>
    <row r="710" spans="13:13">
      <c r="M710" t="str">
        <f t="shared" si="25"/>
        <v/>
      </c>
    </row>
    <row r="711" spans="13:13">
      <c r="M711" t="str">
        <f t="shared" si="25"/>
        <v/>
      </c>
    </row>
    <row r="712" spans="13:13">
      <c r="M712" t="str">
        <f t="shared" si="25"/>
        <v/>
      </c>
    </row>
    <row r="713" spans="13:13">
      <c r="M713" t="str">
        <f t="shared" si="25"/>
        <v/>
      </c>
    </row>
    <row r="714" spans="13:13">
      <c r="M714" t="str">
        <f t="shared" si="25"/>
        <v/>
      </c>
    </row>
    <row r="715" spans="13:13">
      <c r="M715" t="str">
        <f t="shared" si="25"/>
        <v/>
      </c>
    </row>
    <row r="716" spans="13:13">
      <c r="M716" t="str">
        <f t="shared" si="25"/>
        <v/>
      </c>
    </row>
    <row r="717" spans="13:13">
      <c r="M717" t="str">
        <f t="shared" si="25"/>
        <v/>
      </c>
    </row>
    <row r="718" spans="13:13">
      <c r="M718" t="str">
        <f t="shared" si="25"/>
        <v/>
      </c>
    </row>
    <row r="719" spans="13:13">
      <c r="M719" t="str">
        <f t="shared" si="25"/>
        <v/>
      </c>
    </row>
    <row r="720" spans="13:13">
      <c r="M720" t="str">
        <f t="shared" si="25"/>
        <v/>
      </c>
    </row>
    <row r="721" spans="13:13">
      <c r="M721" t="str">
        <f t="shared" si="25"/>
        <v/>
      </c>
    </row>
    <row r="722" spans="13:13">
      <c r="M722" t="str">
        <f t="shared" si="25"/>
        <v/>
      </c>
    </row>
    <row r="723" spans="13:13">
      <c r="M723" t="str">
        <f t="shared" si="25"/>
        <v/>
      </c>
    </row>
    <row r="724" spans="13:13">
      <c r="M724" t="str">
        <f t="shared" si="25"/>
        <v/>
      </c>
    </row>
    <row r="725" spans="13:13">
      <c r="M725" t="str">
        <f t="shared" si="25"/>
        <v/>
      </c>
    </row>
    <row r="726" spans="13:13">
      <c r="M726" t="str">
        <f t="shared" si="25"/>
        <v/>
      </c>
    </row>
    <row r="727" spans="13:13">
      <c r="M727" t="str">
        <f t="shared" si="25"/>
        <v/>
      </c>
    </row>
    <row r="728" spans="13:13">
      <c r="M728" t="str">
        <f t="shared" si="25"/>
        <v/>
      </c>
    </row>
    <row r="729" spans="13:13">
      <c r="M729" t="str">
        <f t="shared" si="25"/>
        <v/>
      </c>
    </row>
    <row r="730" spans="13:13">
      <c r="M730" t="str">
        <f t="shared" si="25"/>
        <v/>
      </c>
    </row>
    <row r="731" spans="13:13">
      <c r="M731" t="str">
        <f t="shared" si="25"/>
        <v/>
      </c>
    </row>
    <row r="732" spans="13:13">
      <c r="M732" t="str">
        <f t="shared" si="25"/>
        <v/>
      </c>
    </row>
    <row r="733" spans="13:13">
      <c r="M733" t="str">
        <f t="shared" si="25"/>
        <v/>
      </c>
    </row>
    <row r="734" spans="13:13">
      <c r="M734" t="str">
        <f t="shared" si="25"/>
        <v/>
      </c>
    </row>
    <row r="735" spans="13:13">
      <c r="M735" t="str">
        <f t="shared" si="25"/>
        <v/>
      </c>
    </row>
    <row r="736" spans="13:13">
      <c r="M736" t="str">
        <f t="shared" si="25"/>
        <v/>
      </c>
    </row>
    <row r="737" spans="13:13">
      <c r="M737" t="str">
        <f t="shared" si="25"/>
        <v/>
      </c>
    </row>
    <row r="738" spans="13:13">
      <c r="M738" t="str">
        <f t="shared" si="25"/>
        <v/>
      </c>
    </row>
    <row r="739" spans="13:13">
      <c r="M739" t="str">
        <f t="shared" si="25"/>
        <v/>
      </c>
    </row>
    <row r="740" spans="13:13">
      <c r="M740" t="str">
        <f t="shared" si="25"/>
        <v/>
      </c>
    </row>
    <row r="741" spans="13:13">
      <c r="M741" t="str">
        <f t="shared" si="25"/>
        <v/>
      </c>
    </row>
    <row r="742" spans="13:13">
      <c r="M742" t="str">
        <f t="shared" si="25"/>
        <v/>
      </c>
    </row>
    <row r="743" spans="13:13">
      <c r="M743" t="str">
        <f t="shared" si="25"/>
        <v/>
      </c>
    </row>
    <row r="744" spans="13:13">
      <c r="M744" t="str">
        <f t="shared" si="25"/>
        <v/>
      </c>
    </row>
    <row r="745" spans="13:13">
      <c r="M745" t="str">
        <f t="shared" si="25"/>
        <v/>
      </c>
    </row>
    <row r="746" spans="13:13">
      <c r="M746" t="str">
        <f t="shared" si="25"/>
        <v/>
      </c>
    </row>
    <row r="747" spans="13:13">
      <c r="M747" t="str">
        <f t="shared" si="25"/>
        <v/>
      </c>
    </row>
    <row r="748" spans="13:13">
      <c r="M748" t="str">
        <f t="shared" si="25"/>
        <v/>
      </c>
    </row>
    <row r="749" spans="13:13">
      <c r="M749" t="str">
        <f t="shared" si="25"/>
        <v/>
      </c>
    </row>
    <row r="750" spans="13:13">
      <c r="M750" t="str">
        <f t="shared" si="25"/>
        <v/>
      </c>
    </row>
    <row r="751" spans="13:13">
      <c r="M751" t="str">
        <f t="shared" si="25"/>
        <v/>
      </c>
    </row>
    <row r="752" spans="13:13">
      <c r="M752" t="str">
        <f t="shared" si="25"/>
        <v/>
      </c>
    </row>
    <row r="753" spans="13:13">
      <c r="M753" t="str">
        <f t="shared" si="25"/>
        <v/>
      </c>
    </row>
    <row r="754" spans="13:13">
      <c r="M754" t="str">
        <f t="shared" si="25"/>
        <v/>
      </c>
    </row>
    <row r="755" spans="13:13">
      <c r="M755" t="str">
        <f t="shared" si="25"/>
        <v/>
      </c>
    </row>
    <row r="756" spans="13:13">
      <c r="M756" t="str">
        <f t="shared" si="25"/>
        <v/>
      </c>
    </row>
    <row r="757" spans="13:13">
      <c r="M757" t="str">
        <f t="shared" si="25"/>
        <v/>
      </c>
    </row>
    <row r="758" spans="13:13">
      <c r="M758" t="str">
        <f t="shared" si="25"/>
        <v/>
      </c>
    </row>
    <row r="759" spans="13:13">
      <c r="M759" t="str">
        <f t="shared" si="25"/>
        <v/>
      </c>
    </row>
    <row r="760" spans="13:13">
      <c r="M760" t="str">
        <f t="shared" si="25"/>
        <v/>
      </c>
    </row>
    <row r="761" spans="13:13">
      <c r="M761" t="str">
        <f t="shared" si="25"/>
        <v/>
      </c>
    </row>
    <row r="762" spans="13:13">
      <c r="M762" t="str">
        <f t="shared" si="25"/>
        <v/>
      </c>
    </row>
    <row r="763" spans="13:13">
      <c r="M763" t="str">
        <f t="shared" si="25"/>
        <v/>
      </c>
    </row>
    <row r="764" spans="13:13">
      <c r="M764" t="str">
        <f t="shared" si="25"/>
        <v/>
      </c>
    </row>
    <row r="765" spans="13:13">
      <c r="M765" t="str">
        <f t="shared" si="25"/>
        <v/>
      </c>
    </row>
    <row r="766" spans="13:13">
      <c r="M766" t="str">
        <f t="shared" si="25"/>
        <v/>
      </c>
    </row>
    <row r="767" spans="13:13">
      <c r="M767" t="str">
        <f t="shared" si="25"/>
        <v/>
      </c>
    </row>
    <row r="768" spans="13:13">
      <c r="M768" t="str">
        <f t="shared" si="25"/>
        <v/>
      </c>
    </row>
    <row r="769" spans="13:13">
      <c r="M769" t="str">
        <f t="shared" si="25"/>
        <v/>
      </c>
    </row>
    <row r="770" spans="13:13">
      <c r="M770" t="str">
        <f t="shared" si="25"/>
        <v/>
      </c>
    </row>
    <row r="771" spans="13:13">
      <c r="M771" t="str">
        <f t="shared" si="25"/>
        <v/>
      </c>
    </row>
    <row r="772" spans="13:13">
      <c r="M772" t="str">
        <f t="shared" si="25"/>
        <v/>
      </c>
    </row>
    <row r="773" spans="13:13">
      <c r="M773" t="str">
        <f t="shared" ref="M773:M836" si="26">IF(A773="","", WEEKNUM(A773, 2))</f>
        <v/>
      </c>
    </row>
    <row r="774" spans="13:13">
      <c r="M774" t="str">
        <f t="shared" si="26"/>
        <v/>
      </c>
    </row>
    <row r="775" spans="13:13">
      <c r="M775" t="str">
        <f t="shared" si="26"/>
        <v/>
      </c>
    </row>
    <row r="776" spans="13:13">
      <c r="M776" t="str">
        <f t="shared" si="26"/>
        <v/>
      </c>
    </row>
    <row r="777" spans="13:13">
      <c r="M777" t="str">
        <f t="shared" si="26"/>
        <v/>
      </c>
    </row>
    <row r="778" spans="13:13">
      <c r="M778" t="str">
        <f t="shared" si="26"/>
        <v/>
      </c>
    </row>
    <row r="779" spans="13:13">
      <c r="M779" t="str">
        <f t="shared" si="26"/>
        <v/>
      </c>
    </row>
    <row r="780" spans="13:13">
      <c r="M780" t="str">
        <f t="shared" si="26"/>
        <v/>
      </c>
    </row>
    <row r="781" spans="13:13">
      <c r="M781" t="str">
        <f t="shared" si="26"/>
        <v/>
      </c>
    </row>
    <row r="782" spans="13:13">
      <c r="M782" t="str">
        <f t="shared" si="26"/>
        <v/>
      </c>
    </row>
    <row r="783" spans="13:13">
      <c r="M783" t="str">
        <f t="shared" si="26"/>
        <v/>
      </c>
    </row>
    <row r="784" spans="13:13">
      <c r="M784" t="str">
        <f t="shared" si="26"/>
        <v/>
      </c>
    </row>
    <row r="785" spans="13:13">
      <c r="M785" t="str">
        <f t="shared" si="26"/>
        <v/>
      </c>
    </row>
    <row r="786" spans="13:13">
      <c r="M786" t="str">
        <f t="shared" si="26"/>
        <v/>
      </c>
    </row>
    <row r="787" spans="13:13">
      <c r="M787" t="str">
        <f t="shared" si="26"/>
        <v/>
      </c>
    </row>
    <row r="788" spans="13:13">
      <c r="M788" t="str">
        <f t="shared" si="26"/>
        <v/>
      </c>
    </row>
    <row r="789" spans="13:13">
      <c r="M789" t="str">
        <f t="shared" si="26"/>
        <v/>
      </c>
    </row>
    <row r="790" spans="13:13">
      <c r="M790" t="str">
        <f t="shared" si="26"/>
        <v/>
      </c>
    </row>
    <row r="791" spans="13:13">
      <c r="M791" t="str">
        <f t="shared" si="26"/>
        <v/>
      </c>
    </row>
    <row r="792" spans="13:13">
      <c r="M792" t="str">
        <f t="shared" si="26"/>
        <v/>
      </c>
    </row>
    <row r="793" spans="13:13">
      <c r="M793" t="str">
        <f t="shared" si="26"/>
        <v/>
      </c>
    </row>
    <row r="794" spans="13:13">
      <c r="M794" t="str">
        <f t="shared" si="26"/>
        <v/>
      </c>
    </row>
    <row r="795" spans="13:13">
      <c r="M795" t="str">
        <f t="shared" si="26"/>
        <v/>
      </c>
    </row>
    <row r="796" spans="13:13">
      <c r="M796" t="str">
        <f t="shared" si="26"/>
        <v/>
      </c>
    </row>
    <row r="797" spans="13:13">
      <c r="M797" t="str">
        <f t="shared" si="26"/>
        <v/>
      </c>
    </row>
    <row r="798" spans="13:13">
      <c r="M798" t="str">
        <f t="shared" si="26"/>
        <v/>
      </c>
    </row>
    <row r="799" spans="13:13">
      <c r="M799" t="str">
        <f t="shared" si="26"/>
        <v/>
      </c>
    </row>
    <row r="800" spans="13:13">
      <c r="M800" t="str">
        <f t="shared" si="26"/>
        <v/>
      </c>
    </row>
    <row r="801" spans="13:13">
      <c r="M801" t="str">
        <f t="shared" si="26"/>
        <v/>
      </c>
    </row>
    <row r="802" spans="13:13">
      <c r="M802" t="str">
        <f t="shared" si="26"/>
        <v/>
      </c>
    </row>
    <row r="803" spans="13:13">
      <c r="M803" t="str">
        <f t="shared" si="26"/>
        <v/>
      </c>
    </row>
    <row r="804" spans="13:13">
      <c r="M804" t="str">
        <f t="shared" si="26"/>
        <v/>
      </c>
    </row>
    <row r="805" spans="13:13">
      <c r="M805" t="str">
        <f t="shared" si="26"/>
        <v/>
      </c>
    </row>
    <row r="806" spans="13:13">
      <c r="M806" t="str">
        <f t="shared" si="26"/>
        <v/>
      </c>
    </row>
    <row r="807" spans="13:13">
      <c r="M807" t="str">
        <f t="shared" si="26"/>
        <v/>
      </c>
    </row>
    <row r="808" spans="13:13">
      <c r="M808" t="str">
        <f t="shared" si="26"/>
        <v/>
      </c>
    </row>
    <row r="809" spans="13:13">
      <c r="M809" t="str">
        <f t="shared" si="26"/>
        <v/>
      </c>
    </row>
    <row r="810" spans="13:13">
      <c r="M810" t="str">
        <f t="shared" si="26"/>
        <v/>
      </c>
    </row>
    <row r="811" spans="13:13">
      <c r="M811" t="str">
        <f t="shared" si="26"/>
        <v/>
      </c>
    </row>
    <row r="812" spans="13:13">
      <c r="M812" t="str">
        <f t="shared" si="26"/>
        <v/>
      </c>
    </row>
    <row r="813" spans="13:13">
      <c r="M813" t="str">
        <f t="shared" si="26"/>
        <v/>
      </c>
    </row>
    <row r="814" spans="13:13">
      <c r="M814" t="str">
        <f t="shared" si="26"/>
        <v/>
      </c>
    </row>
    <row r="815" spans="13:13">
      <c r="M815" t="str">
        <f t="shared" si="26"/>
        <v/>
      </c>
    </row>
    <row r="816" spans="13:13">
      <c r="M816" t="str">
        <f t="shared" si="26"/>
        <v/>
      </c>
    </row>
    <row r="817" spans="13:13">
      <c r="M817" t="str">
        <f t="shared" si="26"/>
        <v/>
      </c>
    </row>
    <row r="818" spans="13:13">
      <c r="M818" t="str">
        <f t="shared" si="26"/>
        <v/>
      </c>
    </row>
    <row r="819" spans="13:13">
      <c r="M819" t="str">
        <f t="shared" si="26"/>
        <v/>
      </c>
    </row>
    <row r="820" spans="13:13">
      <c r="M820" t="str">
        <f t="shared" si="26"/>
        <v/>
      </c>
    </row>
    <row r="821" spans="13:13">
      <c r="M821" t="str">
        <f t="shared" si="26"/>
        <v/>
      </c>
    </row>
    <row r="822" spans="13:13">
      <c r="M822" t="str">
        <f t="shared" si="26"/>
        <v/>
      </c>
    </row>
    <row r="823" spans="13:13">
      <c r="M823" t="str">
        <f t="shared" si="26"/>
        <v/>
      </c>
    </row>
    <row r="824" spans="13:13">
      <c r="M824" t="str">
        <f t="shared" si="26"/>
        <v/>
      </c>
    </row>
    <row r="825" spans="13:13">
      <c r="M825" t="str">
        <f t="shared" si="26"/>
        <v/>
      </c>
    </row>
    <row r="826" spans="13:13">
      <c r="M826" t="str">
        <f t="shared" si="26"/>
        <v/>
      </c>
    </row>
    <row r="827" spans="13:13">
      <c r="M827" t="str">
        <f t="shared" si="26"/>
        <v/>
      </c>
    </row>
    <row r="828" spans="13:13">
      <c r="M828" t="str">
        <f t="shared" si="26"/>
        <v/>
      </c>
    </row>
    <row r="829" spans="13:13">
      <c r="M829" t="str">
        <f t="shared" si="26"/>
        <v/>
      </c>
    </row>
    <row r="830" spans="13:13">
      <c r="M830" t="str">
        <f t="shared" si="26"/>
        <v/>
      </c>
    </row>
    <row r="831" spans="13:13">
      <c r="M831" t="str">
        <f t="shared" si="26"/>
        <v/>
      </c>
    </row>
    <row r="832" spans="13:13">
      <c r="M832" t="str">
        <f t="shared" si="26"/>
        <v/>
      </c>
    </row>
    <row r="833" spans="13:13">
      <c r="M833" t="str">
        <f t="shared" si="26"/>
        <v/>
      </c>
    </row>
    <row r="834" spans="13:13">
      <c r="M834" t="str">
        <f t="shared" si="26"/>
        <v/>
      </c>
    </row>
    <row r="835" spans="13:13">
      <c r="M835" t="str">
        <f t="shared" si="26"/>
        <v/>
      </c>
    </row>
    <row r="836" spans="13:13">
      <c r="M836" t="str">
        <f t="shared" si="26"/>
        <v/>
      </c>
    </row>
    <row r="837" spans="13:13">
      <c r="M837" t="str">
        <f t="shared" ref="M837:M900" si="27">IF(A837="","", WEEKNUM(A837, 2))</f>
        <v/>
      </c>
    </row>
    <row r="838" spans="13:13">
      <c r="M838" t="str">
        <f t="shared" si="27"/>
        <v/>
      </c>
    </row>
    <row r="839" spans="13:13">
      <c r="M839" t="str">
        <f t="shared" si="27"/>
        <v/>
      </c>
    </row>
    <row r="840" spans="13:13">
      <c r="M840" t="str">
        <f t="shared" si="27"/>
        <v/>
      </c>
    </row>
    <row r="841" spans="13:13">
      <c r="M841" t="str">
        <f t="shared" si="27"/>
        <v/>
      </c>
    </row>
    <row r="842" spans="13:13">
      <c r="M842" t="str">
        <f t="shared" si="27"/>
        <v/>
      </c>
    </row>
    <row r="843" spans="13:13">
      <c r="M843" t="str">
        <f t="shared" si="27"/>
        <v/>
      </c>
    </row>
    <row r="844" spans="13:13">
      <c r="M844" t="str">
        <f t="shared" si="27"/>
        <v/>
      </c>
    </row>
    <row r="845" spans="13:13">
      <c r="M845" t="str">
        <f t="shared" si="27"/>
        <v/>
      </c>
    </row>
    <row r="846" spans="13:13">
      <c r="M846" t="str">
        <f t="shared" si="27"/>
        <v/>
      </c>
    </row>
    <row r="847" spans="13:13">
      <c r="M847" t="str">
        <f t="shared" si="27"/>
        <v/>
      </c>
    </row>
    <row r="848" spans="13:13">
      <c r="M848" t="str">
        <f t="shared" si="27"/>
        <v/>
      </c>
    </row>
    <row r="849" spans="13:13">
      <c r="M849" t="str">
        <f t="shared" si="27"/>
        <v/>
      </c>
    </row>
    <row r="850" spans="13:13">
      <c r="M850" t="str">
        <f t="shared" si="27"/>
        <v/>
      </c>
    </row>
    <row r="851" spans="13:13">
      <c r="M851" t="str">
        <f t="shared" si="27"/>
        <v/>
      </c>
    </row>
    <row r="852" spans="13:13">
      <c r="M852" t="str">
        <f t="shared" si="27"/>
        <v/>
      </c>
    </row>
    <row r="853" spans="13:13">
      <c r="M853" t="str">
        <f t="shared" si="27"/>
        <v/>
      </c>
    </row>
    <row r="854" spans="13:13">
      <c r="M854" t="str">
        <f t="shared" si="27"/>
        <v/>
      </c>
    </row>
    <row r="855" spans="13:13">
      <c r="M855" t="str">
        <f t="shared" si="27"/>
        <v/>
      </c>
    </row>
    <row r="856" spans="13:13">
      <c r="M856" t="str">
        <f t="shared" si="27"/>
        <v/>
      </c>
    </row>
    <row r="857" spans="13:13">
      <c r="M857" t="str">
        <f t="shared" si="27"/>
        <v/>
      </c>
    </row>
    <row r="858" spans="13:13">
      <c r="M858" t="str">
        <f t="shared" si="27"/>
        <v/>
      </c>
    </row>
    <row r="859" spans="13:13">
      <c r="M859" t="str">
        <f t="shared" si="27"/>
        <v/>
      </c>
    </row>
    <row r="860" spans="13:13">
      <c r="M860" t="str">
        <f t="shared" si="27"/>
        <v/>
      </c>
    </row>
    <row r="861" spans="13:13">
      <c r="M861" t="str">
        <f t="shared" si="27"/>
        <v/>
      </c>
    </row>
    <row r="862" spans="13:13">
      <c r="M862" t="str">
        <f t="shared" si="27"/>
        <v/>
      </c>
    </row>
    <row r="863" spans="13:13">
      <c r="M863" t="str">
        <f t="shared" si="27"/>
        <v/>
      </c>
    </row>
    <row r="864" spans="13:13">
      <c r="M864" t="str">
        <f t="shared" si="27"/>
        <v/>
      </c>
    </row>
    <row r="865" spans="13:13">
      <c r="M865" t="str">
        <f t="shared" si="27"/>
        <v/>
      </c>
    </row>
    <row r="866" spans="13:13">
      <c r="M866" t="str">
        <f t="shared" si="27"/>
        <v/>
      </c>
    </row>
    <row r="867" spans="13:13">
      <c r="M867" t="str">
        <f t="shared" si="27"/>
        <v/>
      </c>
    </row>
    <row r="868" spans="13:13">
      <c r="M868" t="str">
        <f t="shared" si="27"/>
        <v/>
      </c>
    </row>
    <row r="869" spans="13:13">
      <c r="M869" t="str">
        <f t="shared" si="27"/>
        <v/>
      </c>
    </row>
    <row r="870" spans="13:13">
      <c r="M870" t="str">
        <f t="shared" si="27"/>
        <v/>
      </c>
    </row>
    <row r="871" spans="13:13">
      <c r="M871" t="str">
        <f t="shared" si="27"/>
        <v/>
      </c>
    </row>
    <row r="872" spans="13:13">
      <c r="M872" t="str">
        <f t="shared" si="27"/>
        <v/>
      </c>
    </row>
    <row r="873" spans="13:13">
      <c r="M873" t="str">
        <f t="shared" si="27"/>
        <v/>
      </c>
    </row>
    <row r="874" spans="13:13">
      <c r="M874" t="str">
        <f t="shared" si="27"/>
        <v/>
      </c>
    </row>
    <row r="875" spans="13:13">
      <c r="M875" t="str">
        <f t="shared" si="27"/>
        <v/>
      </c>
    </row>
    <row r="876" spans="13:13">
      <c r="M876" t="str">
        <f t="shared" si="27"/>
        <v/>
      </c>
    </row>
    <row r="877" spans="13:13">
      <c r="M877" t="str">
        <f t="shared" si="27"/>
        <v/>
      </c>
    </row>
    <row r="878" spans="13:13">
      <c r="M878" t="str">
        <f t="shared" si="27"/>
        <v/>
      </c>
    </row>
    <row r="879" spans="13:13">
      <c r="M879" t="str">
        <f t="shared" si="27"/>
        <v/>
      </c>
    </row>
    <row r="880" spans="13:13">
      <c r="M880" t="str">
        <f t="shared" si="27"/>
        <v/>
      </c>
    </row>
    <row r="881" spans="13:13">
      <c r="M881" t="str">
        <f t="shared" si="27"/>
        <v/>
      </c>
    </row>
    <row r="882" spans="13:13">
      <c r="M882" t="str">
        <f t="shared" si="27"/>
        <v/>
      </c>
    </row>
    <row r="883" spans="13:13">
      <c r="M883" t="str">
        <f t="shared" si="27"/>
        <v/>
      </c>
    </row>
    <row r="884" spans="13:13">
      <c r="M884" t="str">
        <f t="shared" si="27"/>
        <v/>
      </c>
    </row>
    <row r="885" spans="13:13">
      <c r="M885" t="str">
        <f t="shared" si="27"/>
        <v/>
      </c>
    </row>
    <row r="886" spans="13:13">
      <c r="M886" t="str">
        <f t="shared" si="27"/>
        <v/>
      </c>
    </row>
    <row r="887" spans="13:13">
      <c r="M887" t="str">
        <f t="shared" si="27"/>
        <v/>
      </c>
    </row>
    <row r="888" spans="13:13">
      <c r="M888" t="str">
        <f t="shared" si="27"/>
        <v/>
      </c>
    </row>
    <row r="889" spans="13:13">
      <c r="M889" t="str">
        <f t="shared" si="27"/>
        <v/>
      </c>
    </row>
    <row r="890" spans="13:13">
      <c r="M890" t="str">
        <f t="shared" si="27"/>
        <v/>
      </c>
    </row>
    <row r="891" spans="13:13">
      <c r="M891" t="str">
        <f t="shared" si="27"/>
        <v/>
      </c>
    </row>
    <row r="892" spans="13:13">
      <c r="M892" t="str">
        <f t="shared" si="27"/>
        <v/>
      </c>
    </row>
    <row r="893" spans="13:13">
      <c r="M893" t="str">
        <f t="shared" si="27"/>
        <v/>
      </c>
    </row>
    <row r="894" spans="13:13">
      <c r="M894" t="str">
        <f t="shared" si="27"/>
        <v/>
      </c>
    </row>
    <row r="895" spans="13:13">
      <c r="M895" t="str">
        <f t="shared" si="27"/>
        <v/>
      </c>
    </row>
    <row r="896" spans="13:13">
      <c r="M896" t="str">
        <f t="shared" si="27"/>
        <v/>
      </c>
    </row>
    <row r="897" spans="13:13">
      <c r="M897" t="str">
        <f t="shared" si="27"/>
        <v/>
      </c>
    </row>
    <row r="898" spans="13:13">
      <c r="M898" t="str">
        <f t="shared" si="27"/>
        <v/>
      </c>
    </row>
    <row r="899" spans="13:13">
      <c r="M899" t="str">
        <f t="shared" si="27"/>
        <v/>
      </c>
    </row>
    <row r="900" spans="13:13">
      <c r="M900" t="str">
        <f t="shared" si="27"/>
        <v/>
      </c>
    </row>
    <row r="901" spans="13:13">
      <c r="M901" t="str">
        <f t="shared" ref="M901:M964" si="28">IF(A901="","", WEEKNUM(A901, 2))</f>
        <v/>
      </c>
    </row>
    <row r="902" spans="13:13">
      <c r="M902" t="str">
        <f t="shared" si="28"/>
        <v/>
      </c>
    </row>
    <row r="903" spans="13:13">
      <c r="M903" t="str">
        <f t="shared" si="28"/>
        <v/>
      </c>
    </row>
    <row r="904" spans="13:13">
      <c r="M904" t="str">
        <f t="shared" si="28"/>
        <v/>
      </c>
    </row>
    <row r="905" spans="13:13">
      <c r="M905" t="str">
        <f t="shared" si="28"/>
        <v/>
      </c>
    </row>
    <row r="906" spans="13:13">
      <c r="M906" t="str">
        <f t="shared" si="28"/>
        <v/>
      </c>
    </row>
    <row r="907" spans="13:13">
      <c r="M907" t="str">
        <f t="shared" si="28"/>
        <v/>
      </c>
    </row>
    <row r="908" spans="13:13">
      <c r="M908" t="str">
        <f t="shared" si="28"/>
        <v/>
      </c>
    </row>
    <row r="909" spans="13:13">
      <c r="M909" t="str">
        <f t="shared" si="28"/>
        <v/>
      </c>
    </row>
    <row r="910" spans="13:13">
      <c r="M910" t="str">
        <f t="shared" si="28"/>
        <v/>
      </c>
    </row>
    <row r="911" spans="13:13">
      <c r="M911" t="str">
        <f t="shared" si="28"/>
        <v/>
      </c>
    </row>
    <row r="912" spans="13:13">
      <c r="M912" t="str">
        <f t="shared" si="28"/>
        <v/>
      </c>
    </row>
    <row r="913" spans="13:13">
      <c r="M913" t="str">
        <f t="shared" si="28"/>
        <v/>
      </c>
    </row>
    <row r="914" spans="13:13">
      <c r="M914" t="str">
        <f t="shared" si="28"/>
        <v/>
      </c>
    </row>
    <row r="915" spans="13:13">
      <c r="M915" t="str">
        <f t="shared" si="28"/>
        <v/>
      </c>
    </row>
    <row r="916" spans="13:13">
      <c r="M916" t="str">
        <f t="shared" si="28"/>
        <v/>
      </c>
    </row>
    <row r="917" spans="13:13">
      <c r="M917" t="str">
        <f t="shared" si="28"/>
        <v/>
      </c>
    </row>
    <row r="918" spans="13:13">
      <c r="M918" t="str">
        <f t="shared" si="28"/>
        <v/>
      </c>
    </row>
    <row r="919" spans="13:13">
      <c r="M919" t="str">
        <f t="shared" si="28"/>
        <v/>
      </c>
    </row>
    <row r="920" spans="13:13">
      <c r="M920" t="str">
        <f t="shared" si="28"/>
        <v/>
      </c>
    </row>
    <row r="921" spans="13:13">
      <c r="M921" t="str">
        <f t="shared" si="28"/>
        <v/>
      </c>
    </row>
    <row r="922" spans="13:13">
      <c r="M922" t="str">
        <f t="shared" si="28"/>
        <v/>
      </c>
    </row>
    <row r="923" spans="13:13">
      <c r="M923" t="str">
        <f t="shared" si="28"/>
        <v/>
      </c>
    </row>
    <row r="924" spans="13:13">
      <c r="M924" t="str">
        <f t="shared" si="28"/>
        <v/>
      </c>
    </row>
    <row r="925" spans="13:13">
      <c r="M925" t="str">
        <f t="shared" si="28"/>
        <v/>
      </c>
    </row>
    <row r="926" spans="13:13">
      <c r="M926" t="str">
        <f t="shared" si="28"/>
        <v/>
      </c>
    </row>
    <row r="927" spans="13:13">
      <c r="M927" t="str">
        <f t="shared" si="28"/>
        <v/>
      </c>
    </row>
    <row r="928" spans="13:13">
      <c r="M928" t="str">
        <f t="shared" si="28"/>
        <v/>
      </c>
    </row>
    <row r="929" spans="13:13">
      <c r="M929" t="str">
        <f t="shared" si="28"/>
        <v/>
      </c>
    </row>
    <row r="930" spans="13:13">
      <c r="M930" t="str">
        <f t="shared" si="28"/>
        <v/>
      </c>
    </row>
    <row r="931" spans="13:13">
      <c r="M931" t="str">
        <f t="shared" si="28"/>
        <v/>
      </c>
    </row>
    <row r="932" spans="13:13">
      <c r="M932" t="str">
        <f t="shared" si="28"/>
        <v/>
      </c>
    </row>
    <row r="933" spans="13:13">
      <c r="M933" t="str">
        <f t="shared" si="28"/>
        <v/>
      </c>
    </row>
    <row r="934" spans="13:13">
      <c r="M934" t="str">
        <f t="shared" si="28"/>
        <v/>
      </c>
    </row>
    <row r="935" spans="13:13">
      <c r="M935" t="str">
        <f t="shared" si="28"/>
        <v/>
      </c>
    </row>
    <row r="936" spans="13:13">
      <c r="M936" t="str">
        <f t="shared" si="28"/>
        <v/>
      </c>
    </row>
    <row r="937" spans="13:13">
      <c r="M937" t="str">
        <f t="shared" si="28"/>
        <v/>
      </c>
    </row>
    <row r="938" spans="13:13">
      <c r="M938" t="str">
        <f t="shared" si="28"/>
        <v/>
      </c>
    </row>
    <row r="939" spans="13:13">
      <c r="M939" t="str">
        <f t="shared" si="28"/>
        <v/>
      </c>
    </row>
    <row r="940" spans="13:13">
      <c r="M940" t="str">
        <f t="shared" si="28"/>
        <v/>
      </c>
    </row>
    <row r="941" spans="13:13">
      <c r="M941" t="str">
        <f t="shared" si="28"/>
        <v/>
      </c>
    </row>
    <row r="942" spans="13:13">
      <c r="M942" t="str">
        <f t="shared" si="28"/>
        <v/>
      </c>
    </row>
    <row r="943" spans="13:13">
      <c r="M943" t="str">
        <f t="shared" si="28"/>
        <v/>
      </c>
    </row>
    <row r="944" spans="13:13">
      <c r="M944" t="str">
        <f t="shared" si="28"/>
        <v/>
      </c>
    </row>
    <row r="945" spans="13:13">
      <c r="M945" t="str">
        <f t="shared" si="28"/>
        <v/>
      </c>
    </row>
    <row r="946" spans="13:13">
      <c r="M946" t="str">
        <f t="shared" si="28"/>
        <v/>
      </c>
    </row>
    <row r="947" spans="13:13">
      <c r="M947" t="str">
        <f t="shared" si="28"/>
        <v/>
      </c>
    </row>
    <row r="948" spans="13:13">
      <c r="M948" t="str">
        <f t="shared" si="28"/>
        <v/>
      </c>
    </row>
    <row r="949" spans="13:13">
      <c r="M949" t="str">
        <f t="shared" si="28"/>
        <v/>
      </c>
    </row>
    <row r="950" spans="13:13">
      <c r="M950" t="str">
        <f t="shared" si="28"/>
        <v/>
      </c>
    </row>
    <row r="951" spans="13:13">
      <c r="M951" t="str">
        <f t="shared" si="28"/>
        <v/>
      </c>
    </row>
    <row r="952" spans="13:13">
      <c r="M952" t="str">
        <f t="shared" si="28"/>
        <v/>
      </c>
    </row>
    <row r="953" spans="13:13">
      <c r="M953" t="str">
        <f t="shared" si="28"/>
        <v/>
      </c>
    </row>
    <row r="954" spans="13:13">
      <c r="M954" t="str">
        <f t="shared" si="28"/>
        <v/>
      </c>
    </row>
    <row r="955" spans="13:13">
      <c r="M955" t="str">
        <f t="shared" si="28"/>
        <v/>
      </c>
    </row>
    <row r="956" spans="13:13">
      <c r="M956" t="str">
        <f t="shared" si="28"/>
        <v/>
      </c>
    </row>
    <row r="957" spans="13:13">
      <c r="M957" t="str">
        <f t="shared" si="28"/>
        <v/>
      </c>
    </row>
    <row r="958" spans="13:13">
      <c r="M958" t="str">
        <f t="shared" si="28"/>
        <v/>
      </c>
    </row>
    <row r="959" spans="13:13">
      <c r="M959" t="str">
        <f t="shared" si="28"/>
        <v/>
      </c>
    </row>
    <row r="960" spans="13:13">
      <c r="M960" t="str">
        <f t="shared" si="28"/>
        <v/>
      </c>
    </row>
    <row r="961" spans="13:13">
      <c r="M961" t="str">
        <f t="shared" si="28"/>
        <v/>
      </c>
    </row>
    <row r="962" spans="13:13">
      <c r="M962" t="str">
        <f t="shared" si="28"/>
        <v/>
      </c>
    </row>
    <row r="963" spans="13:13">
      <c r="M963" t="str">
        <f t="shared" si="28"/>
        <v/>
      </c>
    </row>
    <row r="964" spans="13:13">
      <c r="M964" t="str">
        <f t="shared" si="28"/>
        <v/>
      </c>
    </row>
    <row r="965" spans="13:13">
      <c r="M965" t="str">
        <f t="shared" ref="M965:M1028" si="29">IF(A965="","", WEEKNUM(A965, 2))</f>
        <v/>
      </c>
    </row>
    <row r="966" spans="13:13">
      <c r="M966" t="str">
        <f t="shared" si="29"/>
        <v/>
      </c>
    </row>
    <row r="967" spans="13:13">
      <c r="M967" t="str">
        <f t="shared" si="29"/>
        <v/>
      </c>
    </row>
    <row r="968" spans="13:13">
      <c r="M968" t="str">
        <f t="shared" si="29"/>
        <v/>
      </c>
    </row>
    <row r="969" spans="13:13">
      <c r="M969" t="str">
        <f t="shared" si="29"/>
        <v/>
      </c>
    </row>
    <row r="970" spans="13:13">
      <c r="M970" t="str">
        <f t="shared" si="29"/>
        <v/>
      </c>
    </row>
    <row r="971" spans="13:13">
      <c r="M971" t="str">
        <f t="shared" si="29"/>
        <v/>
      </c>
    </row>
    <row r="972" spans="13:13">
      <c r="M972" t="str">
        <f t="shared" si="29"/>
        <v/>
      </c>
    </row>
    <row r="973" spans="13:13">
      <c r="M973" t="str">
        <f t="shared" si="29"/>
        <v/>
      </c>
    </row>
    <row r="974" spans="13:13">
      <c r="M974" t="str">
        <f t="shared" si="29"/>
        <v/>
      </c>
    </row>
    <row r="975" spans="13:13">
      <c r="M975" t="str">
        <f t="shared" si="29"/>
        <v/>
      </c>
    </row>
    <row r="976" spans="13:13">
      <c r="M976" t="str">
        <f t="shared" si="29"/>
        <v/>
      </c>
    </row>
    <row r="977" spans="13:13">
      <c r="M977" t="str">
        <f t="shared" si="29"/>
        <v/>
      </c>
    </row>
    <row r="978" spans="13:13">
      <c r="M978" t="str">
        <f t="shared" si="29"/>
        <v/>
      </c>
    </row>
    <row r="979" spans="13:13">
      <c r="M979" t="str">
        <f t="shared" si="29"/>
        <v/>
      </c>
    </row>
    <row r="980" spans="13:13">
      <c r="M980" t="str">
        <f t="shared" si="29"/>
        <v/>
      </c>
    </row>
    <row r="981" spans="13:13">
      <c r="M981" t="str">
        <f t="shared" si="29"/>
        <v/>
      </c>
    </row>
    <row r="982" spans="13:13">
      <c r="M982" t="str">
        <f t="shared" si="29"/>
        <v/>
      </c>
    </row>
    <row r="983" spans="13:13">
      <c r="M983" t="str">
        <f t="shared" si="29"/>
        <v/>
      </c>
    </row>
    <row r="984" spans="13:13">
      <c r="M984" t="str">
        <f t="shared" si="29"/>
        <v/>
      </c>
    </row>
    <row r="985" spans="13:13">
      <c r="M985" t="str">
        <f t="shared" si="29"/>
        <v/>
      </c>
    </row>
    <row r="986" spans="13:13">
      <c r="M986" t="str">
        <f t="shared" si="29"/>
        <v/>
      </c>
    </row>
    <row r="987" spans="13:13">
      <c r="M987" t="str">
        <f t="shared" si="29"/>
        <v/>
      </c>
    </row>
    <row r="988" spans="13:13">
      <c r="M988" t="str">
        <f t="shared" si="29"/>
        <v/>
      </c>
    </row>
    <row r="989" spans="13:13">
      <c r="M989" t="str">
        <f t="shared" si="29"/>
        <v/>
      </c>
    </row>
    <row r="990" spans="13:13">
      <c r="M990" t="str">
        <f t="shared" si="29"/>
        <v/>
      </c>
    </row>
    <row r="991" spans="13:13">
      <c r="M991" t="str">
        <f t="shared" si="29"/>
        <v/>
      </c>
    </row>
    <row r="992" spans="13:13">
      <c r="M992" t="str">
        <f t="shared" si="29"/>
        <v/>
      </c>
    </row>
    <row r="993" spans="13:13">
      <c r="M993" t="str">
        <f t="shared" si="29"/>
        <v/>
      </c>
    </row>
    <row r="994" spans="13:13">
      <c r="M994" t="str">
        <f t="shared" si="29"/>
        <v/>
      </c>
    </row>
    <row r="995" spans="13:13">
      <c r="M995" t="str">
        <f t="shared" si="29"/>
        <v/>
      </c>
    </row>
    <row r="996" spans="13:13">
      <c r="M996" t="str">
        <f t="shared" si="29"/>
        <v/>
      </c>
    </row>
    <row r="997" spans="13:13">
      <c r="M997" t="str">
        <f t="shared" si="29"/>
        <v/>
      </c>
    </row>
    <row r="998" spans="13:13">
      <c r="M998" t="str">
        <f t="shared" si="29"/>
        <v/>
      </c>
    </row>
    <row r="999" spans="13:13">
      <c r="M999" t="str">
        <f t="shared" si="29"/>
        <v/>
      </c>
    </row>
    <row r="1000" spans="13:13">
      <c r="M1000" t="str">
        <f t="shared" si="29"/>
        <v/>
      </c>
    </row>
    <row r="1001" spans="13:13">
      <c r="M1001" t="str">
        <f t="shared" si="29"/>
        <v/>
      </c>
    </row>
    <row r="1002" spans="13:13">
      <c r="M1002" t="str">
        <f t="shared" si="29"/>
        <v/>
      </c>
    </row>
    <row r="1003" spans="13:13">
      <c r="M1003" t="str">
        <f t="shared" si="29"/>
        <v/>
      </c>
    </row>
    <row r="1004" spans="13:13">
      <c r="M1004" t="str">
        <f t="shared" si="29"/>
        <v/>
      </c>
    </row>
    <row r="1005" spans="13:13">
      <c r="M1005" t="str">
        <f t="shared" si="29"/>
        <v/>
      </c>
    </row>
    <row r="1006" spans="13:13">
      <c r="M1006" t="str">
        <f t="shared" si="29"/>
        <v/>
      </c>
    </row>
    <row r="1007" spans="13:13">
      <c r="M1007" t="str">
        <f t="shared" si="29"/>
        <v/>
      </c>
    </row>
    <row r="1008" spans="13:13">
      <c r="M1008" t="str">
        <f t="shared" si="29"/>
        <v/>
      </c>
    </row>
    <row r="1009" spans="13:13">
      <c r="M1009" t="str">
        <f t="shared" si="29"/>
        <v/>
      </c>
    </row>
    <row r="1010" spans="13:13">
      <c r="M1010" t="str">
        <f t="shared" si="29"/>
        <v/>
      </c>
    </row>
    <row r="1011" spans="13:13">
      <c r="M1011" t="str">
        <f t="shared" si="29"/>
        <v/>
      </c>
    </row>
    <row r="1012" spans="13:13">
      <c r="M1012" t="str">
        <f t="shared" si="29"/>
        <v/>
      </c>
    </row>
    <row r="1013" spans="13:13">
      <c r="M1013" t="str">
        <f t="shared" si="29"/>
        <v/>
      </c>
    </row>
    <row r="1014" spans="13:13">
      <c r="M1014" t="str">
        <f t="shared" si="29"/>
        <v/>
      </c>
    </row>
    <row r="1015" spans="13:13">
      <c r="M1015" t="str">
        <f t="shared" si="29"/>
        <v/>
      </c>
    </row>
    <row r="1016" spans="13:13">
      <c r="M1016" t="str">
        <f t="shared" si="29"/>
        <v/>
      </c>
    </row>
    <row r="1017" spans="13:13">
      <c r="M1017" t="str">
        <f t="shared" si="29"/>
        <v/>
      </c>
    </row>
    <row r="1018" spans="13:13">
      <c r="M1018" t="str">
        <f t="shared" si="29"/>
        <v/>
      </c>
    </row>
    <row r="1019" spans="13:13">
      <c r="M1019" t="str">
        <f t="shared" si="29"/>
        <v/>
      </c>
    </row>
    <row r="1020" spans="13:13">
      <c r="M1020" t="str">
        <f t="shared" si="29"/>
        <v/>
      </c>
    </row>
    <row r="1021" spans="13:13">
      <c r="M1021" t="str">
        <f t="shared" si="29"/>
        <v/>
      </c>
    </row>
    <row r="1022" spans="13:13">
      <c r="M1022" t="str">
        <f t="shared" si="29"/>
        <v/>
      </c>
    </row>
    <row r="1023" spans="13:13">
      <c r="M1023" t="str">
        <f t="shared" si="29"/>
        <v/>
      </c>
    </row>
    <row r="1024" spans="13:13">
      <c r="M1024" t="str">
        <f t="shared" si="29"/>
        <v/>
      </c>
    </row>
    <row r="1025" spans="13:13">
      <c r="M1025" t="str">
        <f t="shared" si="29"/>
        <v/>
      </c>
    </row>
    <row r="1026" spans="13:13">
      <c r="M1026" t="str">
        <f t="shared" si="29"/>
        <v/>
      </c>
    </row>
    <row r="1027" spans="13:13">
      <c r="M1027" t="str">
        <f t="shared" si="29"/>
        <v/>
      </c>
    </row>
    <row r="1028" spans="13:13">
      <c r="M1028" t="str">
        <f t="shared" si="29"/>
        <v/>
      </c>
    </row>
    <row r="1029" spans="13:13">
      <c r="M1029" t="str">
        <f t="shared" ref="M1029:M1092" si="30">IF(A1029="","", WEEKNUM(A1029, 2))</f>
        <v/>
      </c>
    </row>
    <row r="1030" spans="13:13">
      <c r="M1030" t="str">
        <f t="shared" si="30"/>
        <v/>
      </c>
    </row>
    <row r="1031" spans="13:13">
      <c r="M1031" t="str">
        <f t="shared" si="30"/>
        <v/>
      </c>
    </row>
    <row r="1032" spans="13:13">
      <c r="M1032" t="str">
        <f t="shared" si="30"/>
        <v/>
      </c>
    </row>
    <row r="1033" spans="13:13">
      <c r="M1033" t="str">
        <f t="shared" si="30"/>
        <v/>
      </c>
    </row>
    <row r="1034" spans="13:13">
      <c r="M1034" t="str">
        <f t="shared" si="30"/>
        <v/>
      </c>
    </row>
    <row r="1035" spans="13:13">
      <c r="M1035" t="str">
        <f t="shared" si="30"/>
        <v/>
      </c>
    </row>
    <row r="1036" spans="13:13">
      <c r="M1036" t="str">
        <f t="shared" si="30"/>
        <v/>
      </c>
    </row>
    <row r="1037" spans="13:13">
      <c r="M1037" t="str">
        <f t="shared" si="30"/>
        <v/>
      </c>
    </row>
    <row r="1038" spans="13:13">
      <c r="M1038" t="str">
        <f t="shared" si="30"/>
        <v/>
      </c>
    </row>
    <row r="1039" spans="13:13">
      <c r="M1039" t="str">
        <f t="shared" si="30"/>
        <v/>
      </c>
    </row>
    <row r="1040" spans="13:13">
      <c r="M1040" t="str">
        <f t="shared" si="30"/>
        <v/>
      </c>
    </row>
    <row r="1041" spans="13:13">
      <c r="M1041" t="str">
        <f t="shared" si="30"/>
        <v/>
      </c>
    </row>
    <row r="1042" spans="13:13">
      <c r="M1042" t="str">
        <f t="shared" si="30"/>
        <v/>
      </c>
    </row>
    <row r="1043" spans="13:13">
      <c r="M1043" t="str">
        <f t="shared" si="30"/>
        <v/>
      </c>
    </row>
    <row r="1044" spans="13:13">
      <c r="M1044" t="str">
        <f t="shared" si="30"/>
        <v/>
      </c>
    </row>
    <row r="1045" spans="13:13">
      <c r="M1045" t="str">
        <f t="shared" si="30"/>
        <v/>
      </c>
    </row>
    <row r="1046" spans="13:13">
      <c r="M1046" t="str">
        <f t="shared" si="30"/>
        <v/>
      </c>
    </row>
    <row r="1047" spans="13:13">
      <c r="M1047" t="str">
        <f t="shared" si="30"/>
        <v/>
      </c>
    </row>
    <row r="1048" spans="13:13">
      <c r="M1048" t="str">
        <f t="shared" si="30"/>
        <v/>
      </c>
    </row>
    <row r="1049" spans="13:13">
      <c r="M1049" t="str">
        <f t="shared" si="30"/>
        <v/>
      </c>
    </row>
    <row r="1050" spans="13:13">
      <c r="M1050" t="str">
        <f t="shared" si="30"/>
        <v/>
      </c>
    </row>
    <row r="1051" spans="13:13">
      <c r="M1051" t="str">
        <f t="shared" si="30"/>
        <v/>
      </c>
    </row>
    <row r="1052" spans="13:13">
      <c r="M1052" t="str">
        <f t="shared" si="30"/>
        <v/>
      </c>
    </row>
    <row r="1053" spans="13:13">
      <c r="M1053" t="str">
        <f t="shared" si="30"/>
        <v/>
      </c>
    </row>
    <row r="1054" spans="13:13">
      <c r="M1054" t="str">
        <f t="shared" si="30"/>
        <v/>
      </c>
    </row>
    <row r="1055" spans="13:13">
      <c r="M1055" t="str">
        <f t="shared" si="30"/>
        <v/>
      </c>
    </row>
    <row r="1056" spans="13:13">
      <c r="M1056" t="str">
        <f t="shared" si="30"/>
        <v/>
      </c>
    </row>
    <row r="1057" spans="13:13">
      <c r="M1057" t="str">
        <f t="shared" si="30"/>
        <v/>
      </c>
    </row>
    <row r="1058" spans="13:13">
      <c r="M1058" t="str">
        <f t="shared" si="30"/>
        <v/>
      </c>
    </row>
    <row r="1059" spans="13:13">
      <c r="M1059" t="str">
        <f t="shared" si="30"/>
        <v/>
      </c>
    </row>
    <row r="1060" spans="13:13">
      <c r="M1060" t="str">
        <f t="shared" si="30"/>
        <v/>
      </c>
    </row>
    <row r="1061" spans="13:13">
      <c r="M1061" t="str">
        <f t="shared" si="30"/>
        <v/>
      </c>
    </row>
    <row r="1062" spans="13:13">
      <c r="M1062" t="str">
        <f t="shared" si="30"/>
        <v/>
      </c>
    </row>
    <row r="1063" spans="13:13">
      <c r="M1063" t="str">
        <f t="shared" si="30"/>
        <v/>
      </c>
    </row>
    <row r="1064" spans="13:13">
      <c r="M1064" t="str">
        <f t="shared" si="30"/>
        <v/>
      </c>
    </row>
    <row r="1065" spans="13:13">
      <c r="M1065" t="str">
        <f t="shared" si="30"/>
        <v/>
      </c>
    </row>
    <row r="1066" spans="13:13">
      <c r="M1066" t="str">
        <f t="shared" si="30"/>
        <v/>
      </c>
    </row>
    <row r="1067" spans="13:13">
      <c r="M1067" t="str">
        <f t="shared" si="30"/>
        <v/>
      </c>
    </row>
    <row r="1068" spans="13:13">
      <c r="M1068" t="str">
        <f t="shared" si="30"/>
        <v/>
      </c>
    </row>
    <row r="1069" spans="13:13">
      <c r="M1069" t="str">
        <f t="shared" si="30"/>
        <v/>
      </c>
    </row>
    <row r="1070" spans="13:13">
      <c r="M1070" t="str">
        <f t="shared" si="30"/>
        <v/>
      </c>
    </row>
    <row r="1071" spans="13:13">
      <c r="M1071" t="str">
        <f t="shared" si="30"/>
        <v/>
      </c>
    </row>
    <row r="1072" spans="13:13">
      <c r="M1072" t="str">
        <f t="shared" si="30"/>
        <v/>
      </c>
    </row>
    <row r="1073" spans="13:13">
      <c r="M1073" t="str">
        <f t="shared" si="30"/>
        <v/>
      </c>
    </row>
    <row r="1074" spans="13:13">
      <c r="M1074" t="str">
        <f t="shared" si="30"/>
        <v/>
      </c>
    </row>
    <row r="1075" spans="13:13">
      <c r="M1075" t="str">
        <f t="shared" si="30"/>
        <v/>
      </c>
    </row>
    <row r="1076" spans="13:13">
      <c r="M1076" t="str">
        <f t="shared" si="30"/>
        <v/>
      </c>
    </row>
    <row r="1077" spans="13:13">
      <c r="M1077" t="str">
        <f t="shared" si="30"/>
        <v/>
      </c>
    </row>
    <row r="1078" spans="13:13">
      <c r="M1078" t="str">
        <f t="shared" si="30"/>
        <v/>
      </c>
    </row>
    <row r="1079" spans="13:13">
      <c r="M1079" t="str">
        <f t="shared" si="30"/>
        <v/>
      </c>
    </row>
    <row r="1080" spans="13:13">
      <c r="M1080" t="str">
        <f t="shared" si="30"/>
        <v/>
      </c>
    </row>
    <row r="1081" spans="13:13">
      <c r="M1081" t="str">
        <f t="shared" si="30"/>
        <v/>
      </c>
    </row>
    <row r="1082" spans="13:13">
      <c r="M1082" t="str">
        <f t="shared" si="30"/>
        <v/>
      </c>
    </row>
    <row r="1083" spans="13:13">
      <c r="M1083" t="str">
        <f t="shared" si="30"/>
        <v/>
      </c>
    </row>
    <row r="1084" spans="13:13">
      <c r="M1084" t="str">
        <f t="shared" si="30"/>
        <v/>
      </c>
    </row>
    <row r="1085" spans="13:13">
      <c r="M1085" t="str">
        <f t="shared" si="30"/>
        <v/>
      </c>
    </row>
    <row r="1086" spans="13:13">
      <c r="M1086" t="str">
        <f t="shared" si="30"/>
        <v/>
      </c>
    </row>
    <row r="1087" spans="13:13">
      <c r="M1087" t="str">
        <f t="shared" si="30"/>
        <v/>
      </c>
    </row>
    <row r="1088" spans="13:13">
      <c r="M1088" t="str">
        <f t="shared" si="30"/>
        <v/>
      </c>
    </row>
    <row r="1089" spans="13:13">
      <c r="M1089" t="str">
        <f t="shared" si="30"/>
        <v/>
      </c>
    </row>
    <row r="1090" spans="13:13">
      <c r="M1090" t="str">
        <f t="shared" si="30"/>
        <v/>
      </c>
    </row>
    <row r="1091" spans="13:13">
      <c r="M1091" t="str">
        <f t="shared" si="30"/>
        <v/>
      </c>
    </row>
    <row r="1092" spans="13:13">
      <c r="M1092" t="str">
        <f t="shared" si="30"/>
        <v/>
      </c>
    </row>
    <row r="1093" spans="13:13">
      <c r="M1093" t="str">
        <f t="shared" ref="M1093:M1156" si="31">IF(A1093="","", WEEKNUM(A1093, 2))</f>
        <v/>
      </c>
    </row>
    <row r="1094" spans="13:13">
      <c r="M1094" t="str">
        <f t="shared" si="31"/>
        <v/>
      </c>
    </row>
    <row r="1095" spans="13:13">
      <c r="M1095" t="str">
        <f t="shared" si="31"/>
        <v/>
      </c>
    </row>
    <row r="1096" spans="13:13">
      <c r="M1096" t="str">
        <f t="shared" si="31"/>
        <v/>
      </c>
    </row>
    <row r="1097" spans="13:13">
      <c r="M1097" t="str">
        <f t="shared" si="31"/>
        <v/>
      </c>
    </row>
    <row r="1098" spans="13:13">
      <c r="M1098" t="str">
        <f t="shared" si="31"/>
        <v/>
      </c>
    </row>
    <row r="1099" spans="13:13">
      <c r="M1099" t="str">
        <f t="shared" si="31"/>
        <v/>
      </c>
    </row>
    <row r="1100" spans="13:13">
      <c r="M1100" t="str">
        <f t="shared" si="31"/>
        <v/>
      </c>
    </row>
    <row r="1101" spans="13:13">
      <c r="M1101" t="str">
        <f t="shared" si="31"/>
        <v/>
      </c>
    </row>
    <row r="1102" spans="13:13">
      <c r="M1102" t="str">
        <f t="shared" si="31"/>
        <v/>
      </c>
    </row>
    <row r="1103" spans="13:13">
      <c r="M1103" t="str">
        <f t="shared" si="31"/>
        <v/>
      </c>
    </row>
    <row r="1104" spans="13:13">
      <c r="M1104" t="str">
        <f t="shared" si="31"/>
        <v/>
      </c>
    </row>
    <row r="1105" spans="13:13">
      <c r="M1105" t="str">
        <f t="shared" si="31"/>
        <v/>
      </c>
    </row>
    <row r="1106" spans="13:13">
      <c r="M1106" t="str">
        <f t="shared" si="31"/>
        <v/>
      </c>
    </row>
    <row r="1107" spans="13:13">
      <c r="M1107" t="str">
        <f t="shared" si="31"/>
        <v/>
      </c>
    </row>
    <row r="1108" spans="13:13">
      <c r="M1108" t="str">
        <f t="shared" si="31"/>
        <v/>
      </c>
    </row>
    <row r="1109" spans="13:13">
      <c r="M1109" t="str">
        <f t="shared" si="31"/>
        <v/>
      </c>
    </row>
    <row r="1110" spans="13:13">
      <c r="M1110" t="str">
        <f t="shared" si="31"/>
        <v/>
      </c>
    </row>
    <row r="1111" spans="13:13">
      <c r="M1111" t="str">
        <f t="shared" si="31"/>
        <v/>
      </c>
    </row>
    <row r="1112" spans="13:13">
      <c r="M1112" t="str">
        <f t="shared" si="31"/>
        <v/>
      </c>
    </row>
    <row r="1113" spans="13:13">
      <c r="M1113" t="str">
        <f t="shared" si="31"/>
        <v/>
      </c>
    </row>
    <row r="1114" spans="13:13">
      <c r="M1114" t="str">
        <f t="shared" si="31"/>
        <v/>
      </c>
    </row>
    <row r="1115" spans="13:13">
      <c r="M1115" t="str">
        <f t="shared" si="31"/>
        <v/>
      </c>
    </row>
    <row r="1116" spans="13:13">
      <c r="M1116" t="str">
        <f t="shared" si="31"/>
        <v/>
      </c>
    </row>
    <row r="1117" spans="13:13">
      <c r="M1117" t="str">
        <f t="shared" si="31"/>
        <v/>
      </c>
    </row>
    <row r="1118" spans="13:13">
      <c r="M1118" t="str">
        <f t="shared" si="31"/>
        <v/>
      </c>
    </row>
    <row r="1119" spans="13:13">
      <c r="M1119" t="str">
        <f t="shared" si="31"/>
        <v/>
      </c>
    </row>
    <row r="1120" spans="13:13">
      <c r="M1120" t="str">
        <f t="shared" si="31"/>
        <v/>
      </c>
    </row>
    <row r="1121" spans="13:13">
      <c r="M1121" t="str">
        <f t="shared" si="31"/>
        <v/>
      </c>
    </row>
    <row r="1122" spans="13:13">
      <c r="M1122" t="str">
        <f t="shared" si="31"/>
        <v/>
      </c>
    </row>
    <row r="1123" spans="13:13">
      <c r="M1123" t="str">
        <f t="shared" si="31"/>
        <v/>
      </c>
    </row>
    <row r="1124" spans="13:13">
      <c r="M1124" t="str">
        <f t="shared" si="31"/>
        <v/>
      </c>
    </row>
    <row r="1125" spans="13:13">
      <c r="M1125" t="str">
        <f t="shared" si="31"/>
        <v/>
      </c>
    </row>
    <row r="1126" spans="13:13">
      <c r="M1126" t="str">
        <f t="shared" si="31"/>
        <v/>
      </c>
    </row>
    <row r="1127" spans="13:13">
      <c r="M1127" t="str">
        <f t="shared" si="31"/>
        <v/>
      </c>
    </row>
    <row r="1128" spans="13:13">
      <c r="M1128" t="str">
        <f t="shared" si="31"/>
        <v/>
      </c>
    </row>
    <row r="1129" spans="13:13">
      <c r="M1129" t="str">
        <f t="shared" si="31"/>
        <v/>
      </c>
    </row>
    <row r="1130" spans="13:13">
      <c r="M1130" t="str">
        <f t="shared" si="31"/>
        <v/>
      </c>
    </row>
    <row r="1131" spans="13:13">
      <c r="M1131" t="str">
        <f t="shared" si="31"/>
        <v/>
      </c>
    </row>
    <row r="1132" spans="13:13">
      <c r="M1132" t="str">
        <f t="shared" si="31"/>
        <v/>
      </c>
    </row>
    <row r="1133" spans="13:13">
      <c r="M1133" t="str">
        <f t="shared" si="31"/>
        <v/>
      </c>
    </row>
    <row r="1134" spans="13:13">
      <c r="M1134" t="str">
        <f t="shared" si="31"/>
        <v/>
      </c>
    </row>
    <row r="1135" spans="13:13">
      <c r="M1135" t="str">
        <f t="shared" si="31"/>
        <v/>
      </c>
    </row>
    <row r="1136" spans="13:13">
      <c r="M1136" t="str">
        <f t="shared" si="31"/>
        <v/>
      </c>
    </row>
    <row r="1137" spans="13:13">
      <c r="M1137" t="str">
        <f t="shared" si="31"/>
        <v/>
      </c>
    </row>
    <row r="1138" spans="13:13">
      <c r="M1138" t="str">
        <f t="shared" si="31"/>
        <v/>
      </c>
    </row>
    <row r="1139" spans="13:13">
      <c r="M1139" t="str">
        <f t="shared" si="31"/>
        <v/>
      </c>
    </row>
    <row r="1140" spans="13:13">
      <c r="M1140" t="str">
        <f t="shared" si="31"/>
        <v/>
      </c>
    </row>
    <row r="1141" spans="13:13">
      <c r="M1141" t="str">
        <f t="shared" si="31"/>
        <v/>
      </c>
    </row>
    <row r="1142" spans="13:13">
      <c r="M1142" t="str">
        <f t="shared" si="31"/>
        <v/>
      </c>
    </row>
    <row r="1143" spans="13:13">
      <c r="M1143" t="str">
        <f t="shared" si="31"/>
        <v/>
      </c>
    </row>
    <row r="1144" spans="13:13">
      <c r="M1144" t="str">
        <f t="shared" si="31"/>
        <v/>
      </c>
    </row>
    <row r="1145" spans="13:13">
      <c r="M1145" t="str">
        <f t="shared" si="31"/>
        <v/>
      </c>
    </row>
    <row r="1146" spans="13:13">
      <c r="M1146" t="str">
        <f t="shared" si="31"/>
        <v/>
      </c>
    </row>
    <row r="1147" spans="13:13">
      <c r="M1147" t="str">
        <f t="shared" si="31"/>
        <v/>
      </c>
    </row>
    <row r="1148" spans="13:13">
      <c r="M1148" t="str">
        <f t="shared" si="31"/>
        <v/>
      </c>
    </row>
    <row r="1149" spans="13:13">
      <c r="M1149" t="str">
        <f t="shared" si="31"/>
        <v/>
      </c>
    </row>
    <row r="1150" spans="13:13">
      <c r="M1150" t="str">
        <f t="shared" si="31"/>
        <v/>
      </c>
    </row>
    <row r="1151" spans="13:13">
      <c r="M1151" t="str">
        <f t="shared" si="31"/>
        <v/>
      </c>
    </row>
    <row r="1152" spans="13:13">
      <c r="M1152" t="str">
        <f t="shared" si="31"/>
        <v/>
      </c>
    </row>
    <row r="1153" spans="13:13">
      <c r="M1153" t="str">
        <f t="shared" si="31"/>
        <v/>
      </c>
    </row>
    <row r="1154" spans="13:13">
      <c r="M1154" t="str">
        <f t="shared" si="31"/>
        <v/>
      </c>
    </row>
    <row r="1155" spans="13:13">
      <c r="M1155" t="str">
        <f t="shared" si="31"/>
        <v/>
      </c>
    </row>
    <row r="1156" spans="13:13">
      <c r="M1156" t="str">
        <f t="shared" si="31"/>
        <v/>
      </c>
    </row>
    <row r="1157" spans="13:13">
      <c r="M1157" t="str">
        <f t="shared" ref="M1157:M1220" si="32">IF(A1157="","", WEEKNUM(A1157, 2))</f>
        <v/>
      </c>
    </row>
    <row r="1158" spans="13:13">
      <c r="M1158" t="str">
        <f t="shared" si="32"/>
        <v/>
      </c>
    </row>
    <row r="1159" spans="13:13">
      <c r="M1159" t="str">
        <f t="shared" si="32"/>
        <v/>
      </c>
    </row>
    <row r="1160" spans="13:13">
      <c r="M1160" t="str">
        <f t="shared" si="32"/>
        <v/>
      </c>
    </row>
    <row r="1161" spans="13:13">
      <c r="M1161" t="str">
        <f t="shared" si="32"/>
        <v/>
      </c>
    </row>
    <row r="1162" spans="13:13">
      <c r="M1162" t="str">
        <f t="shared" si="32"/>
        <v/>
      </c>
    </row>
    <row r="1163" spans="13:13">
      <c r="M1163" t="str">
        <f t="shared" si="32"/>
        <v/>
      </c>
    </row>
    <row r="1164" spans="13:13">
      <c r="M1164" t="str">
        <f t="shared" si="32"/>
        <v/>
      </c>
    </row>
    <row r="1165" spans="13:13">
      <c r="M1165" t="str">
        <f t="shared" si="32"/>
        <v/>
      </c>
    </row>
    <row r="1166" spans="13:13">
      <c r="M1166" t="str">
        <f t="shared" si="32"/>
        <v/>
      </c>
    </row>
    <row r="1167" spans="13:13">
      <c r="M1167" t="str">
        <f t="shared" si="32"/>
        <v/>
      </c>
    </row>
    <row r="1168" spans="13:13">
      <c r="M1168" t="str">
        <f t="shared" si="32"/>
        <v/>
      </c>
    </row>
    <row r="1169" spans="13:13">
      <c r="M1169" t="str">
        <f t="shared" si="32"/>
        <v/>
      </c>
    </row>
    <row r="1170" spans="13:13">
      <c r="M1170" t="str">
        <f t="shared" si="32"/>
        <v/>
      </c>
    </row>
    <row r="1171" spans="13:13">
      <c r="M1171" t="str">
        <f t="shared" si="32"/>
        <v/>
      </c>
    </row>
    <row r="1172" spans="13:13">
      <c r="M1172" t="str">
        <f t="shared" si="32"/>
        <v/>
      </c>
    </row>
    <row r="1173" spans="13:13">
      <c r="M1173" t="str">
        <f t="shared" si="32"/>
        <v/>
      </c>
    </row>
    <row r="1174" spans="13:13">
      <c r="M1174" t="str">
        <f t="shared" si="32"/>
        <v/>
      </c>
    </row>
    <row r="1175" spans="13:13">
      <c r="M1175" t="str">
        <f t="shared" si="32"/>
        <v/>
      </c>
    </row>
    <row r="1176" spans="13:13">
      <c r="M1176" t="str">
        <f t="shared" si="32"/>
        <v/>
      </c>
    </row>
    <row r="1177" spans="13:13">
      <c r="M1177" t="str">
        <f t="shared" si="32"/>
        <v/>
      </c>
    </row>
    <row r="1178" spans="13:13">
      <c r="M1178" t="str">
        <f t="shared" si="32"/>
        <v/>
      </c>
    </row>
    <row r="1179" spans="13:13">
      <c r="M1179" t="str">
        <f t="shared" si="32"/>
        <v/>
      </c>
    </row>
    <row r="1180" spans="13:13">
      <c r="M1180" t="str">
        <f t="shared" si="32"/>
        <v/>
      </c>
    </row>
    <row r="1181" spans="13:13">
      <c r="M1181" t="str">
        <f t="shared" si="32"/>
        <v/>
      </c>
    </row>
    <row r="1182" spans="13:13">
      <c r="M1182" t="str">
        <f t="shared" si="32"/>
        <v/>
      </c>
    </row>
    <row r="1183" spans="13:13">
      <c r="M1183" t="str">
        <f t="shared" si="32"/>
        <v/>
      </c>
    </row>
    <row r="1184" spans="13:13">
      <c r="M1184" t="str">
        <f t="shared" si="32"/>
        <v/>
      </c>
    </row>
    <row r="1185" spans="13:13">
      <c r="M1185" t="str">
        <f t="shared" si="32"/>
        <v/>
      </c>
    </row>
    <row r="1186" spans="13:13">
      <c r="M1186" t="str">
        <f t="shared" si="32"/>
        <v/>
      </c>
    </row>
    <row r="1187" spans="13:13">
      <c r="M1187" t="str">
        <f t="shared" si="32"/>
        <v/>
      </c>
    </row>
    <row r="1188" spans="13:13">
      <c r="M1188" t="str">
        <f t="shared" si="32"/>
        <v/>
      </c>
    </row>
    <row r="1189" spans="13:13">
      <c r="M1189" t="str">
        <f t="shared" si="32"/>
        <v/>
      </c>
    </row>
    <row r="1190" spans="13:13">
      <c r="M1190" t="str">
        <f t="shared" si="32"/>
        <v/>
      </c>
    </row>
    <row r="1191" spans="13:13">
      <c r="M1191" t="str">
        <f t="shared" si="32"/>
        <v/>
      </c>
    </row>
    <row r="1192" spans="13:13">
      <c r="M1192" t="str">
        <f t="shared" si="32"/>
        <v/>
      </c>
    </row>
    <row r="1193" spans="13:13">
      <c r="M1193" t="str">
        <f t="shared" si="32"/>
        <v/>
      </c>
    </row>
    <row r="1194" spans="13:13">
      <c r="M1194" t="str">
        <f t="shared" si="32"/>
        <v/>
      </c>
    </row>
    <row r="1195" spans="13:13">
      <c r="M1195" t="str">
        <f t="shared" si="32"/>
        <v/>
      </c>
    </row>
    <row r="1196" spans="13:13">
      <c r="M1196" t="str">
        <f t="shared" si="32"/>
        <v/>
      </c>
    </row>
    <row r="1197" spans="13:13">
      <c r="M1197" t="str">
        <f t="shared" si="32"/>
        <v/>
      </c>
    </row>
    <row r="1198" spans="13:13">
      <c r="M1198" t="str">
        <f t="shared" si="32"/>
        <v/>
      </c>
    </row>
    <row r="1199" spans="13:13">
      <c r="M1199" t="str">
        <f t="shared" si="32"/>
        <v/>
      </c>
    </row>
    <row r="1200" spans="13:13">
      <c r="M1200" t="str">
        <f t="shared" si="32"/>
        <v/>
      </c>
    </row>
    <row r="1201" spans="13:13">
      <c r="M1201" t="str">
        <f t="shared" si="32"/>
        <v/>
      </c>
    </row>
    <row r="1202" spans="13:13">
      <c r="M1202" t="str">
        <f t="shared" si="32"/>
        <v/>
      </c>
    </row>
    <row r="1203" spans="13:13">
      <c r="M1203" t="str">
        <f t="shared" si="32"/>
        <v/>
      </c>
    </row>
    <row r="1204" spans="13:13">
      <c r="M1204" t="str">
        <f t="shared" si="32"/>
        <v/>
      </c>
    </row>
    <row r="1205" spans="13:13">
      <c r="M1205" t="str">
        <f t="shared" si="32"/>
        <v/>
      </c>
    </row>
    <row r="1206" spans="13:13">
      <c r="M1206" t="str">
        <f t="shared" si="32"/>
        <v/>
      </c>
    </row>
    <row r="1207" spans="13:13">
      <c r="M1207" t="str">
        <f t="shared" si="32"/>
        <v/>
      </c>
    </row>
    <row r="1208" spans="13:13">
      <c r="M1208" t="str">
        <f t="shared" si="32"/>
        <v/>
      </c>
    </row>
    <row r="1209" spans="13:13">
      <c r="M1209" t="str">
        <f t="shared" si="32"/>
        <v/>
      </c>
    </row>
    <row r="1210" spans="13:13">
      <c r="M1210" t="str">
        <f t="shared" si="32"/>
        <v/>
      </c>
    </row>
    <row r="1211" spans="13:13">
      <c r="M1211" t="str">
        <f t="shared" si="32"/>
        <v/>
      </c>
    </row>
    <row r="1212" spans="13:13">
      <c r="M1212" t="str">
        <f t="shared" si="32"/>
        <v/>
      </c>
    </row>
    <row r="1213" spans="13:13">
      <c r="M1213" t="str">
        <f t="shared" si="32"/>
        <v/>
      </c>
    </row>
    <row r="1214" spans="13:13">
      <c r="M1214" t="str">
        <f t="shared" si="32"/>
        <v/>
      </c>
    </row>
    <row r="1215" spans="13:13">
      <c r="M1215" t="str">
        <f t="shared" si="32"/>
        <v/>
      </c>
    </row>
    <row r="1216" spans="13:13">
      <c r="M1216" t="str">
        <f t="shared" si="32"/>
        <v/>
      </c>
    </row>
    <row r="1217" spans="13:13">
      <c r="M1217" t="str">
        <f t="shared" si="32"/>
        <v/>
      </c>
    </row>
    <row r="1218" spans="13:13">
      <c r="M1218" t="str">
        <f t="shared" si="32"/>
        <v/>
      </c>
    </row>
    <row r="1219" spans="13:13">
      <c r="M1219" t="str">
        <f t="shared" si="32"/>
        <v/>
      </c>
    </row>
    <row r="1220" spans="13:13">
      <c r="M1220" t="str">
        <f t="shared" si="32"/>
        <v/>
      </c>
    </row>
    <row r="1221" spans="13:13">
      <c r="M1221" t="str">
        <f t="shared" ref="M1221:M1284" si="33">IF(A1221="","", WEEKNUM(A1221, 2))</f>
        <v/>
      </c>
    </row>
    <row r="1222" spans="13:13">
      <c r="M1222" t="str">
        <f t="shared" si="33"/>
        <v/>
      </c>
    </row>
    <row r="1223" spans="13:13">
      <c r="M1223" t="str">
        <f t="shared" si="33"/>
        <v/>
      </c>
    </row>
    <row r="1224" spans="13:13">
      <c r="M1224" t="str">
        <f t="shared" si="33"/>
        <v/>
      </c>
    </row>
    <row r="1225" spans="13:13">
      <c r="M1225" t="str">
        <f t="shared" si="33"/>
        <v/>
      </c>
    </row>
    <row r="1226" spans="13:13">
      <c r="M1226" t="str">
        <f t="shared" si="33"/>
        <v/>
      </c>
    </row>
    <row r="1227" spans="13:13">
      <c r="M1227" t="str">
        <f t="shared" si="33"/>
        <v/>
      </c>
    </row>
    <row r="1228" spans="13:13">
      <c r="M1228" t="str">
        <f t="shared" si="33"/>
        <v/>
      </c>
    </row>
    <row r="1229" spans="13:13">
      <c r="M1229" t="str">
        <f t="shared" si="33"/>
        <v/>
      </c>
    </row>
    <row r="1230" spans="13:13">
      <c r="M1230" t="str">
        <f t="shared" si="33"/>
        <v/>
      </c>
    </row>
    <row r="1231" spans="13:13">
      <c r="M1231" t="str">
        <f t="shared" si="33"/>
        <v/>
      </c>
    </row>
    <row r="1232" spans="13:13">
      <c r="M1232" t="str">
        <f t="shared" si="33"/>
        <v/>
      </c>
    </row>
    <row r="1233" spans="13:13">
      <c r="M1233" t="str">
        <f t="shared" si="33"/>
        <v/>
      </c>
    </row>
    <row r="1234" spans="13:13">
      <c r="M1234" t="str">
        <f t="shared" si="33"/>
        <v/>
      </c>
    </row>
    <row r="1235" spans="13:13">
      <c r="M1235" t="str">
        <f t="shared" si="33"/>
        <v/>
      </c>
    </row>
    <row r="1236" spans="13:13">
      <c r="M1236" t="str">
        <f t="shared" si="33"/>
        <v/>
      </c>
    </row>
    <row r="1237" spans="13:13">
      <c r="M1237" t="str">
        <f t="shared" si="33"/>
        <v/>
      </c>
    </row>
    <row r="1238" spans="13:13">
      <c r="M1238" t="str">
        <f t="shared" si="33"/>
        <v/>
      </c>
    </row>
    <row r="1239" spans="13:13">
      <c r="M1239" t="str">
        <f t="shared" si="33"/>
        <v/>
      </c>
    </row>
    <row r="1240" spans="13:13">
      <c r="M1240" t="str">
        <f t="shared" si="33"/>
        <v/>
      </c>
    </row>
    <row r="1241" spans="13:13">
      <c r="M1241" t="str">
        <f t="shared" si="33"/>
        <v/>
      </c>
    </row>
    <row r="1242" spans="13:13">
      <c r="M1242" t="str">
        <f t="shared" si="33"/>
        <v/>
      </c>
    </row>
    <row r="1243" spans="13:13">
      <c r="M1243" t="str">
        <f t="shared" si="33"/>
        <v/>
      </c>
    </row>
    <row r="1244" spans="13:13">
      <c r="M1244" t="str">
        <f t="shared" si="33"/>
        <v/>
      </c>
    </row>
    <row r="1245" spans="13:13">
      <c r="M1245" t="str">
        <f t="shared" si="33"/>
        <v/>
      </c>
    </row>
    <row r="1246" spans="13:13">
      <c r="M1246" t="str">
        <f t="shared" si="33"/>
        <v/>
      </c>
    </row>
    <row r="1247" spans="13:13">
      <c r="M1247" t="str">
        <f t="shared" si="33"/>
        <v/>
      </c>
    </row>
    <row r="1248" spans="13:13">
      <c r="M1248" t="str">
        <f t="shared" si="33"/>
        <v/>
      </c>
    </row>
    <row r="1249" spans="13:13">
      <c r="M1249" t="str">
        <f t="shared" si="33"/>
        <v/>
      </c>
    </row>
    <row r="1250" spans="13:13">
      <c r="M1250" t="str">
        <f t="shared" si="33"/>
        <v/>
      </c>
    </row>
    <row r="1251" spans="13:13">
      <c r="M1251" t="str">
        <f t="shared" si="33"/>
        <v/>
      </c>
    </row>
    <row r="1252" spans="13:13">
      <c r="M1252" t="str">
        <f t="shared" si="33"/>
        <v/>
      </c>
    </row>
    <row r="1253" spans="13:13">
      <c r="M1253" t="str">
        <f t="shared" si="33"/>
        <v/>
      </c>
    </row>
    <row r="1254" spans="13:13">
      <c r="M1254" t="str">
        <f t="shared" si="33"/>
        <v/>
      </c>
    </row>
    <row r="1255" spans="13:13">
      <c r="M1255" t="str">
        <f t="shared" si="33"/>
        <v/>
      </c>
    </row>
    <row r="1256" spans="13:13">
      <c r="M1256" t="str">
        <f t="shared" si="33"/>
        <v/>
      </c>
    </row>
    <row r="1257" spans="13:13">
      <c r="M1257" t="str">
        <f t="shared" si="33"/>
        <v/>
      </c>
    </row>
    <row r="1258" spans="13:13">
      <c r="M1258" t="str">
        <f t="shared" si="33"/>
        <v/>
      </c>
    </row>
    <row r="1259" spans="13:13">
      <c r="M1259" t="str">
        <f t="shared" si="33"/>
        <v/>
      </c>
    </row>
    <row r="1260" spans="13:13">
      <c r="M1260" t="str">
        <f t="shared" si="33"/>
        <v/>
      </c>
    </row>
    <row r="1261" spans="13:13">
      <c r="M1261" t="str">
        <f t="shared" si="33"/>
        <v/>
      </c>
    </row>
    <row r="1262" spans="13:13">
      <c r="M1262" t="str">
        <f t="shared" si="33"/>
        <v/>
      </c>
    </row>
    <row r="1263" spans="13:13">
      <c r="M1263" t="str">
        <f t="shared" si="33"/>
        <v/>
      </c>
    </row>
    <row r="1264" spans="13:13">
      <c r="M1264" t="str">
        <f t="shared" si="33"/>
        <v/>
      </c>
    </row>
    <row r="1265" spans="13:13">
      <c r="M1265" t="str">
        <f t="shared" si="33"/>
        <v/>
      </c>
    </row>
    <row r="1266" spans="13:13">
      <c r="M1266" t="str">
        <f t="shared" si="33"/>
        <v/>
      </c>
    </row>
    <row r="1267" spans="13:13">
      <c r="M1267" t="str">
        <f t="shared" si="33"/>
        <v/>
      </c>
    </row>
    <row r="1268" spans="13:13">
      <c r="M1268" t="str">
        <f t="shared" si="33"/>
        <v/>
      </c>
    </row>
    <row r="1269" spans="13:13">
      <c r="M1269" t="str">
        <f t="shared" si="33"/>
        <v/>
      </c>
    </row>
    <row r="1270" spans="13:13">
      <c r="M1270" t="str">
        <f t="shared" si="33"/>
        <v/>
      </c>
    </row>
    <row r="1271" spans="13:13">
      <c r="M1271" t="str">
        <f t="shared" si="33"/>
        <v/>
      </c>
    </row>
    <row r="1272" spans="13:13">
      <c r="M1272" t="str">
        <f t="shared" si="33"/>
        <v/>
      </c>
    </row>
    <row r="1273" spans="13:13">
      <c r="M1273" t="str">
        <f t="shared" si="33"/>
        <v/>
      </c>
    </row>
    <row r="1274" spans="13:13">
      <c r="M1274" t="str">
        <f t="shared" si="33"/>
        <v/>
      </c>
    </row>
    <row r="1275" spans="13:13">
      <c r="M1275" t="str">
        <f t="shared" si="33"/>
        <v/>
      </c>
    </row>
    <row r="1276" spans="13:13">
      <c r="M1276" t="str">
        <f t="shared" si="33"/>
        <v/>
      </c>
    </row>
    <row r="1277" spans="13:13">
      <c r="M1277" t="str">
        <f t="shared" si="33"/>
        <v/>
      </c>
    </row>
    <row r="1278" spans="13:13">
      <c r="M1278" t="str">
        <f t="shared" si="33"/>
        <v/>
      </c>
    </row>
    <row r="1279" spans="13:13">
      <c r="M1279" t="str">
        <f t="shared" si="33"/>
        <v/>
      </c>
    </row>
    <row r="1280" spans="13:13">
      <c r="M1280" t="str">
        <f t="shared" si="33"/>
        <v/>
      </c>
    </row>
    <row r="1281" spans="13:13">
      <c r="M1281" t="str">
        <f t="shared" si="33"/>
        <v/>
      </c>
    </row>
    <row r="1282" spans="13:13">
      <c r="M1282" t="str">
        <f t="shared" si="33"/>
        <v/>
      </c>
    </row>
    <row r="1283" spans="13:13">
      <c r="M1283" t="str">
        <f t="shared" si="33"/>
        <v/>
      </c>
    </row>
    <row r="1284" spans="13:13">
      <c r="M1284" t="str">
        <f t="shared" si="33"/>
        <v/>
      </c>
    </row>
    <row r="1285" spans="13:13">
      <c r="M1285" t="str">
        <f t="shared" ref="M1285:M1348" si="34">IF(A1285="","", WEEKNUM(A1285, 2))</f>
        <v/>
      </c>
    </row>
    <row r="1286" spans="13:13">
      <c r="M1286" t="str">
        <f t="shared" si="34"/>
        <v/>
      </c>
    </row>
    <row r="1287" spans="13:13">
      <c r="M1287" t="str">
        <f t="shared" si="34"/>
        <v/>
      </c>
    </row>
    <row r="1288" spans="13:13">
      <c r="M1288" t="str">
        <f t="shared" si="34"/>
        <v/>
      </c>
    </row>
    <row r="1289" spans="13:13">
      <c r="M1289" t="str">
        <f t="shared" si="34"/>
        <v/>
      </c>
    </row>
    <row r="1290" spans="13:13">
      <c r="M1290" t="str">
        <f t="shared" si="34"/>
        <v/>
      </c>
    </row>
    <row r="1291" spans="13:13">
      <c r="M1291" t="str">
        <f t="shared" si="34"/>
        <v/>
      </c>
    </row>
    <row r="1292" spans="13:13">
      <c r="M1292" t="str">
        <f t="shared" si="34"/>
        <v/>
      </c>
    </row>
    <row r="1293" spans="13:13">
      <c r="M1293" t="str">
        <f t="shared" si="34"/>
        <v/>
      </c>
    </row>
    <row r="1294" spans="13:13">
      <c r="M1294" t="str">
        <f t="shared" si="34"/>
        <v/>
      </c>
    </row>
    <row r="1295" spans="13:13">
      <c r="M1295" t="str">
        <f t="shared" si="34"/>
        <v/>
      </c>
    </row>
    <row r="1296" spans="13:13">
      <c r="M1296" t="str">
        <f t="shared" si="34"/>
        <v/>
      </c>
    </row>
    <row r="1297" spans="13:13">
      <c r="M1297" t="str">
        <f t="shared" si="34"/>
        <v/>
      </c>
    </row>
    <row r="1298" spans="13:13">
      <c r="M1298" t="str">
        <f t="shared" si="34"/>
        <v/>
      </c>
    </row>
    <row r="1299" spans="13:13">
      <c r="M1299" t="str">
        <f t="shared" si="34"/>
        <v/>
      </c>
    </row>
    <row r="1300" spans="13:13">
      <c r="M1300" t="str">
        <f t="shared" si="34"/>
        <v/>
      </c>
    </row>
    <row r="1301" spans="13:13">
      <c r="M1301" t="str">
        <f t="shared" si="34"/>
        <v/>
      </c>
    </row>
    <row r="1302" spans="13:13">
      <c r="M1302" t="str">
        <f t="shared" si="34"/>
        <v/>
      </c>
    </row>
    <row r="1303" spans="13:13">
      <c r="M1303" t="str">
        <f t="shared" si="34"/>
        <v/>
      </c>
    </row>
    <row r="1304" spans="13:13">
      <c r="M1304" t="str">
        <f t="shared" si="34"/>
        <v/>
      </c>
    </row>
    <row r="1305" spans="13:13">
      <c r="M1305" t="str">
        <f t="shared" si="34"/>
        <v/>
      </c>
    </row>
    <row r="1306" spans="13:13">
      <c r="M1306" t="str">
        <f t="shared" si="34"/>
        <v/>
      </c>
    </row>
    <row r="1307" spans="13:13">
      <c r="M1307" t="str">
        <f t="shared" si="34"/>
        <v/>
      </c>
    </row>
    <row r="1308" spans="13:13">
      <c r="M1308" t="str">
        <f t="shared" si="34"/>
        <v/>
      </c>
    </row>
    <row r="1309" spans="13:13">
      <c r="M1309" t="str">
        <f t="shared" si="34"/>
        <v/>
      </c>
    </row>
    <row r="1310" spans="13:13">
      <c r="M1310" t="str">
        <f t="shared" si="34"/>
        <v/>
      </c>
    </row>
    <row r="1311" spans="13:13">
      <c r="M1311" t="str">
        <f t="shared" si="34"/>
        <v/>
      </c>
    </row>
    <row r="1312" spans="13:13">
      <c r="M1312" t="str">
        <f t="shared" si="34"/>
        <v/>
      </c>
    </row>
    <row r="1313" spans="13:13">
      <c r="M1313" t="str">
        <f t="shared" si="34"/>
        <v/>
      </c>
    </row>
    <row r="1314" spans="13:13">
      <c r="M1314" t="str">
        <f t="shared" si="34"/>
        <v/>
      </c>
    </row>
    <row r="1315" spans="13:13">
      <c r="M1315" t="str">
        <f t="shared" si="34"/>
        <v/>
      </c>
    </row>
    <row r="1316" spans="13:13">
      <c r="M1316" t="str">
        <f t="shared" si="34"/>
        <v/>
      </c>
    </row>
    <row r="1317" spans="13:13">
      <c r="M1317" t="str">
        <f t="shared" si="34"/>
        <v/>
      </c>
    </row>
    <row r="1318" spans="13:13">
      <c r="M1318" t="str">
        <f t="shared" si="34"/>
        <v/>
      </c>
    </row>
    <row r="1319" spans="13:13">
      <c r="M1319" t="str">
        <f t="shared" si="34"/>
        <v/>
      </c>
    </row>
    <row r="1320" spans="13:13">
      <c r="M1320" t="str">
        <f t="shared" si="34"/>
        <v/>
      </c>
    </row>
    <row r="1321" spans="13:13">
      <c r="M1321" t="str">
        <f t="shared" si="34"/>
        <v/>
      </c>
    </row>
    <row r="1322" spans="13:13">
      <c r="M1322" t="str">
        <f t="shared" si="34"/>
        <v/>
      </c>
    </row>
    <row r="1323" spans="13:13">
      <c r="M1323" t="str">
        <f t="shared" si="34"/>
        <v/>
      </c>
    </row>
    <row r="1324" spans="13:13">
      <c r="M1324" t="str">
        <f t="shared" si="34"/>
        <v/>
      </c>
    </row>
    <row r="1325" spans="13:13">
      <c r="M1325" t="str">
        <f t="shared" si="34"/>
        <v/>
      </c>
    </row>
    <row r="1326" spans="13:13">
      <c r="M1326" t="str">
        <f t="shared" si="34"/>
        <v/>
      </c>
    </row>
    <row r="1327" spans="13:13">
      <c r="M1327" t="str">
        <f t="shared" si="34"/>
        <v/>
      </c>
    </row>
    <row r="1328" spans="13:13">
      <c r="M1328" t="str">
        <f t="shared" si="34"/>
        <v/>
      </c>
    </row>
    <row r="1329" spans="13:13">
      <c r="M1329" t="str">
        <f t="shared" si="34"/>
        <v/>
      </c>
    </row>
    <row r="1330" spans="13:13">
      <c r="M1330" t="str">
        <f t="shared" si="34"/>
        <v/>
      </c>
    </row>
    <row r="1331" spans="13:13">
      <c r="M1331" t="str">
        <f t="shared" si="34"/>
        <v/>
      </c>
    </row>
    <row r="1332" spans="13:13">
      <c r="M1332" t="str">
        <f t="shared" si="34"/>
        <v/>
      </c>
    </row>
    <row r="1333" spans="13:13">
      <c r="M1333" t="str">
        <f t="shared" si="34"/>
        <v/>
      </c>
    </row>
    <row r="1334" spans="13:13">
      <c r="M1334" t="str">
        <f t="shared" si="34"/>
        <v/>
      </c>
    </row>
    <row r="1335" spans="13:13">
      <c r="M1335" t="str">
        <f t="shared" si="34"/>
        <v/>
      </c>
    </row>
    <row r="1336" spans="13:13">
      <c r="M1336" t="str">
        <f t="shared" si="34"/>
        <v/>
      </c>
    </row>
    <row r="1337" spans="13:13">
      <c r="M1337" t="str">
        <f t="shared" si="34"/>
        <v/>
      </c>
    </row>
    <row r="1338" spans="13:13">
      <c r="M1338" t="str">
        <f t="shared" si="34"/>
        <v/>
      </c>
    </row>
    <row r="1339" spans="13:13">
      <c r="M1339" t="str">
        <f t="shared" si="34"/>
        <v/>
      </c>
    </row>
    <row r="1340" spans="13:13">
      <c r="M1340" t="str">
        <f t="shared" si="34"/>
        <v/>
      </c>
    </row>
    <row r="1341" spans="13:13">
      <c r="M1341" t="str">
        <f t="shared" si="34"/>
        <v/>
      </c>
    </row>
    <row r="1342" spans="13:13">
      <c r="M1342" t="str">
        <f t="shared" si="34"/>
        <v/>
      </c>
    </row>
    <row r="1343" spans="13:13">
      <c r="M1343" t="str">
        <f t="shared" si="34"/>
        <v/>
      </c>
    </row>
    <row r="1344" spans="13:13">
      <c r="M1344" t="str">
        <f t="shared" si="34"/>
        <v/>
      </c>
    </row>
    <row r="1345" spans="13:13">
      <c r="M1345" t="str">
        <f t="shared" si="34"/>
        <v/>
      </c>
    </row>
    <row r="1346" spans="13:13">
      <c r="M1346" t="str">
        <f t="shared" si="34"/>
        <v/>
      </c>
    </row>
    <row r="1347" spans="13:13">
      <c r="M1347" t="str">
        <f t="shared" si="34"/>
        <v/>
      </c>
    </row>
    <row r="1348" spans="13:13">
      <c r="M1348" t="str">
        <f t="shared" si="34"/>
        <v/>
      </c>
    </row>
    <row r="1349" spans="13:13">
      <c r="M1349" t="str">
        <f t="shared" ref="M1349:M1412" si="35">IF(A1349="","", WEEKNUM(A1349, 2))</f>
        <v/>
      </c>
    </row>
    <row r="1350" spans="13:13">
      <c r="M1350" t="str">
        <f t="shared" si="35"/>
        <v/>
      </c>
    </row>
    <row r="1351" spans="13:13">
      <c r="M1351" t="str">
        <f t="shared" si="35"/>
        <v/>
      </c>
    </row>
    <row r="1352" spans="13:13">
      <c r="M1352" t="str">
        <f t="shared" si="35"/>
        <v/>
      </c>
    </row>
    <row r="1353" spans="13:13">
      <c r="M1353" t="str">
        <f t="shared" si="35"/>
        <v/>
      </c>
    </row>
    <row r="1354" spans="13:13">
      <c r="M1354" t="str">
        <f t="shared" si="35"/>
        <v/>
      </c>
    </row>
    <row r="1355" spans="13:13">
      <c r="M1355" t="str">
        <f t="shared" si="35"/>
        <v/>
      </c>
    </row>
    <row r="1356" spans="13:13">
      <c r="M1356" t="str">
        <f t="shared" si="35"/>
        <v/>
      </c>
    </row>
    <row r="1357" spans="13:13">
      <c r="M1357" t="str">
        <f t="shared" si="35"/>
        <v/>
      </c>
    </row>
    <row r="1358" spans="13:13">
      <c r="M1358" t="str">
        <f t="shared" si="35"/>
        <v/>
      </c>
    </row>
    <row r="1359" spans="13:13">
      <c r="M1359" t="str">
        <f t="shared" si="35"/>
        <v/>
      </c>
    </row>
    <row r="1360" spans="13:13">
      <c r="M1360" t="str">
        <f t="shared" si="35"/>
        <v/>
      </c>
    </row>
    <row r="1361" spans="13:13">
      <c r="M1361" t="str">
        <f t="shared" si="35"/>
        <v/>
      </c>
    </row>
    <row r="1362" spans="13:13">
      <c r="M1362" t="str">
        <f t="shared" si="35"/>
        <v/>
      </c>
    </row>
    <row r="1363" spans="13:13">
      <c r="M1363" t="str">
        <f t="shared" si="35"/>
        <v/>
      </c>
    </row>
    <row r="1364" spans="13:13">
      <c r="M1364" t="str">
        <f t="shared" si="35"/>
        <v/>
      </c>
    </row>
    <row r="1365" spans="13:13">
      <c r="M1365" t="str">
        <f t="shared" si="35"/>
        <v/>
      </c>
    </row>
    <row r="1366" spans="13:13">
      <c r="M1366" t="str">
        <f t="shared" si="35"/>
        <v/>
      </c>
    </row>
    <row r="1367" spans="13:13">
      <c r="M1367" t="str">
        <f t="shared" si="35"/>
        <v/>
      </c>
    </row>
    <row r="1368" spans="13:13">
      <c r="M1368" t="str">
        <f t="shared" si="35"/>
        <v/>
      </c>
    </row>
    <row r="1369" spans="13:13">
      <c r="M1369" t="str">
        <f t="shared" si="35"/>
        <v/>
      </c>
    </row>
    <row r="1370" spans="13:13">
      <c r="M1370" t="str">
        <f t="shared" si="35"/>
        <v/>
      </c>
    </row>
    <row r="1371" spans="13:13">
      <c r="M1371" t="str">
        <f t="shared" si="35"/>
        <v/>
      </c>
    </row>
    <row r="1372" spans="13:13">
      <c r="M1372" t="str">
        <f t="shared" si="35"/>
        <v/>
      </c>
    </row>
    <row r="1373" spans="13:13">
      <c r="M1373" t="str">
        <f t="shared" si="35"/>
        <v/>
      </c>
    </row>
    <row r="1374" spans="13:13">
      <c r="M1374" t="str">
        <f t="shared" si="35"/>
        <v/>
      </c>
    </row>
    <row r="1375" spans="13:13">
      <c r="M1375" t="str">
        <f t="shared" si="35"/>
        <v/>
      </c>
    </row>
    <row r="1376" spans="13:13">
      <c r="M1376" t="str">
        <f t="shared" si="35"/>
        <v/>
      </c>
    </row>
    <row r="1377" spans="13:13">
      <c r="M1377" t="str">
        <f t="shared" si="35"/>
        <v/>
      </c>
    </row>
    <row r="1378" spans="13:13">
      <c r="M1378" t="str">
        <f t="shared" si="35"/>
        <v/>
      </c>
    </row>
    <row r="1379" spans="13:13">
      <c r="M1379" t="str">
        <f t="shared" si="35"/>
        <v/>
      </c>
    </row>
    <row r="1380" spans="13:13">
      <c r="M1380" t="str">
        <f t="shared" si="35"/>
        <v/>
      </c>
    </row>
    <row r="1381" spans="13:13">
      <c r="M1381" t="str">
        <f t="shared" si="35"/>
        <v/>
      </c>
    </row>
    <row r="1382" spans="13:13">
      <c r="M1382" t="str">
        <f t="shared" si="35"/>
        <v/>
      </c>
    </row>
    <row r="1383" spans="13:13">
      <c r="M1383" t="str">
        <f t="shared" si="35"/>
        <v/>
      </c>
    </row>
    <row r="1384" spans="13:13">
      <c r="M1384" t="str">
        <f t="shared" si="35"/>
        <v/>
      </c>
    </row>
    <row r="1385" spans="13:13">
      <c r="M1385" t="str">
        <f t="shared" si="35"/>
        <v/>
      </c>
    </row>
    <row r="1386" spans="13:13">
      <c r="M1386" t="str">
        <f t="shared" si="35"/>
        <v/>
      </c>
    </row>
    <row r="1387" spans="13:13">
      <c r="M1387" t="str">
        <f t="shared" si="35"/>
        <v/>
      </c>
    </row>
    <row r="1388" spans="13:13">
      <c r="M1388" t="str">
        <f t="shared" si="35"/>
        <v/>
      </c>
    </row>
    <row r="1389" spans="13:13">
      <c r="M1389" t="str">
        <f t="shared" si="35"/>
        <v/>
      </c>
    </row>
    <row r="1390" spans="13:13">
      <c r="M1390" t="str">
        <f t="shared" si="35"/>
        <v/>
      </c>
    </row>
    <row r="1391" spans="13:13">
      <c r="M1391" t="str">
        <f t="shared" si="35"/>
        <v/>
      </c>
    </row>
    <row r="1392" spans="13:13">
      <c r="M1392" t="str">
        <f t="shared" si="35"/>
        <v/>
      </c>
    </row>
    <row r="1393" spans="13:13">
      <c r="M1393" t="str">
        <f t="shared" si="35"/>
        <v/>
      </c>
    </row>
    <row r="1394" spans="13:13">
      <c r="M1394" t="str">
        <f t="shared" si="35"/>
        <v/>
      </c>
    </row>
    <row r="1395" spans="13:13">
      <c r="M1395" t="str">
        <f t="shared" si="35"/>
        <v/>
      </c>
    </row>
    <row r="1396" spans="13:13">
      <c r="M1396" t="str">
        <f t="shared" si="35"/>
        <v/>
      </c>
    </row>
    <row r="1397" spans="13:13">
      <c r="M1397" t="str">
        <f t="shared" si="35"/>
        <v/>
      </c>
    </row>
    <row r="1398" spans="13:13">
      <c r="M1398" t="str">
        <f t="shared" si="35"/>
        <v/>
      </c>
    </row>
    <row r="1399" spans="13:13">
      <c r="M1399" t="str">
        <f t="shared" si="35"/>
        <v/>
      </c>
    </row>
    <row r="1400" spans="13:13">
      <c r="M1400" t="str">
        <f t="shared" si="35"/>
        <v/>
      </c>
    </row>
    <row r="1401" spans="13:13">
      <c r="M1401" t="str">
        <f t="shared" si="35"/>
        <v/>
      </c>
    </row>
    <row r="1402" spans="13:13">
      <c r="M1402" t="str">
        <f t="shared" si="35"/>
        <v/>
      </c>
    </row>
    <row r="1403" spans="13:13">
      <c r="M1403" t="str">
        <f t="shared" si="35"/>
        <v/>
      </c>
    </row>
    <row r="1404" spans="13:13">
      <c r="M1404" t="str">
        <f t="shared" si="35"/>
        <v/>
      </c>
    </row>
    <row r="1405" spans="13:13">
      <c r="M1405" t="str">
        <f t="shared" si="35"/>
        <v/>
      </c>
    </row>
    <row r="1406" spans="13:13">
      <c r="M1406" t="str">
        <f t="shared" si="35"/>
        <v/>
      </c>
    </row>
    <row r="1407" spans="13:13">
      <c r="M1407" t="str">
        <f t="shared" si="35"/>
        <v/>
      </c>
    </row>
    <row r="1408" spans="13:13">
      <c r="M1408" t="str">
        <f t="shared" si="35"/>
        <v/>
      </c>
    </row>
    <row r="1409" spans="13:13">
      <c r="M1409" t="str">
        <f t="shared" si="35"/>
        <v/>
      </c>
    </row>
    <row r="1410" spans="13:13">
      <c r="M1410" t="str">
        <f t="shared" si="35"/>
        <v/>
      </c>
    </row>
    <row r="1411" spans="13:13">
      <c r="M1411" t="str">
        <f t="shared" si="35"/>
        <v/>
      </c>
    </row>
    <row r="1412" spans="13:13">
      <c r="M1412" t="str">
        <f t="shared" si="35"/>
        <v/>
      </c>
    </row>
    <row r="1413" spans="13:13">
      <c r="M1413" t="str">
        <f t="shared" ref="M1413:M1476" si="36">IF(A1413="","", WEEKNUM(A1413, 2))</f>
        <v/>
      </c>
    </row>
    <row r="1414" spans="13:13">
      <c r="M1414" t="str">
        <f t="shared" si="36"/>
        <v/>
      </c>
    </row>
    <row r="1415" spans="13:13">
      <c r="M1415" t="str">
        <f t="shared" si="36"/>
        <v/>
      </c>
    </row>
    <row r="1416" spans="13:13">
      <c r="M1416" t="str">
        <f t="shared" si="36"/>
        <v/>
      </c>
    </row>
    <row r="1417" spans="13:13">
      <c r="M1417" t="str">
        <f t="shared" si="36"/>
        <v/>
      </c>
    </row>
    <row r="1418" spans="13:13">
      <c r="M1418" t="str">
        <f t="shared" si="36"/>
        <v/>
      </c>
    </row>
    <row r="1419" spans="13:13">
      <c r="M1419" t="str">
        <f t="shared" si="36"/>
        <v/>
      </c>
    </row>
    <row r="1420" spans="13:13">
      <c r="M1420" t="str">
        <f t="shared" si="36"/>
        <v/>
      </c>
    </row>
    <row r="1421" spans="13:13">
      <c r="M1421" t="str">
        <f t="shared" si="36"/>
        <v/>
      </c>
    </row>
    <row r="1422" spans="13:13">
      <c r="M1422" t="str">
        <f t="shared" si="36"/>
        <v/>
      </c>
    </row>
    <row r="1423" spans="13:13">
      <c r="M1423" t="str">
        <f t="shared" si="36"/>
        <v/>
      </c>
    </row>
    <row r="1424" spans="13:13">
      <c r="M1424" t="str">
        <f t="shared" si="36"/>
        <v/>
      </c>
    </row>
    <row r="1425" spans="13:13">
      <c r="M1425" t="str">
        <f t="shared" si="36"/>
        <v/>
      </c>
    </row>
    <row r="1426" spans="13:13">
      <c r="M1426" t="str">
        <f t="shared" si="36"/>
        <v/>
      </c>
    </row>
    <row r="1427" spans="13:13">
      <c r="M1427" t="str">
        <f t="shared" si="36"/>
        <v/>
      </c>
    </row>
    <row r="1428" spans="13:13">
      <c r="M1428" t="str">
        <f t="shared" si="36"/>
        <v/>
      </c>
    </row>
    <row r="1429" spans="13:13">
      <c r="M1429" t="str">
        <f t="shared" si="36"/>
        <v/>
      </c>
    </row>
    <row r="1430" spans="13:13">
      <c r="M1430" t="str">
        <f t="shared" si="36"/>
        <v/>
      </c>
    </row>
    <row r="1431" spans="13:13">
      <c r="M1431" t="str">
        <f t="shared" si="36"/>
        <v/>
      </c>
    </row>
    <row r="1432" spans="13:13">
      <c r="M1432" t="str">
        <f t="shared" si="36"/>
        <v/>
      </c>
    </row>
    <row r="1433" spans="13:13">
      <c r="M1433" t="str">
        <f t="shared" si="36"/>
        <v/>
      </c>
    </row>
    <row r="1434" spans="13:13">
      <c r="M1434" t="str">
        <f t="shared" si="36"/>
        <v/>
      </c>
    </row>
    <row r="1435" spans="13:13">
      <c r="M1435" t="str">
        <f t="shared" si="36"/>
        <v/>
      </c>
    </row>
    <row r="1436" spans="13:13">
      <c r="M1436" t="str">
        <f t="shared" si="36"/>
        <v/>
      </c>
    </row>
    <row r="1437" spans="13:13">
      <c r="M1437" t="str">
        <f t="shared" si="36"/>
        <v/>
      </c>
    </row>
    <row r="1438" spans="13:13">
      <c r="M1438" t="str">
        <f t="shared" si="36"/>
        <v/>
      </c>
    </row>
    <row r="1439" spans="13:13">
      <c r="M1439" t="str">
        <f t="shared" si="36"/>
        <v/>
      </c>
    </row>
    <row r="1440" spans="13:13">
      <c r="M1440" t="str">
        <f t="shared" si="36"/>
        <v/>
      </c>
    </row>
    <row r="1441" spans="13:13">
      <c r="M1441" t="str">
        <f t="shared" si="36"/>
        <v/>
      </c>
    </row>
    <row r="1442" spans="13:13">
      <c r="M1442" t="str">
        <f t="shared" si="36"/>
        <v/>
      </c>
    </row>
    <row r="1443" spans="13:13">
      <c r="M1443" t="str">
        <f t="shared" si="36"/>
        <v/>
      </c>
    </row>
    <row r="1444" spans="13:13">
      <c r="M1444" t="str">
        <f t="shared" si="36"/>
        <v/>
      </c>
    </row>
    <row r="1445" spans="13:13">
      <c r="M1445" t="str">
        <f t="shared" si="36"/>
        <v/>
      </c>
    </row>
    <row r="1446" spans="13:13">
      <c r="M1446" t="str">
        <f t="shared" si="36"/>
        <v/>
      </c>
    </row>
    <row r="1447" spans="13:13">
      <c r="M1447" t="str">
        <f t="shared" si="36"/>
        <v/>
      </c>
    </row>
    <row r="1448" spans="13:13">
      <c r="M1448" t="str">
        <f t="shared" si="36"/>
        <v/>
      </c>
    </row>
    <row r="1449" spans="13:13">
      <c r="M1449" t="str">
        <f t="shared" si="36"/>
        <v/>
      </c>
    </row>
    <row r="1450" spans="13:13">
      <c r="M1450" t="str">
        <f t="shared" si="36"/>
        <v/>
      </c>
    </row>
    <row r="1451" spans="13:13">
      <c r="M1451" t="str">
        <f t="shared" si="36"/>
        <v/>
      </c>
    </row>
    <row r="1452" spans="13:13">
      <c r="M1452" t="str">
        <f t="shared" si="36"/>
        <v/>
      </c>
    </row>
    <row r="1453" spans="13:13">
      <c r="M1453" t="str">
        <f t="shared" si="36"/>
        <v/>
      </c>
    </row>
    <row r="1454" spans="13:13">
      <c r="M1454" t="str">
        <f t="shared" si="36"/>
        <v/>
      </c>
    </row>
    <row r="1455" spans="13:13">
      <c r="M1455" t="str">
        <f t="shared" si="36"/>
        <v/>
      </c>
    </row>
    <row r="1456" spans="13:13">
      <c r="M1456" t="str">
        <f t="shared" si="36"/>
        <v/>
      </c>
    </row>
    <row r="1457" spans="13:13">
      <c r="M1457" t="str">
        <f t="shared" si="36"/>
        <v/>
      </c>
    </row>
    <row r="1458" spans="13:13">
      <c r="M1458" t="str">
        <f t="shared" si="36"/>
        <v/>
      </c>
    </row>
    <row r="1459" spans="13:13">
      <c r="M1459" t="str">
        <f t="shared" si="36"/>
        <v/>
      </c>
    </row>
    <row r="1460" spans="13:13">
      <c r="M1460" t="str">
        <f t="shared" si="36"/>
        <v/>
      </c>
    </row>
    <row r="1461" spans="13:13">
      <c r="M1461" t="str">
        <f t="shared" si="36"/>
        <v/>
      </c>
    </row>
    <row r="1462" spans="13:13">
      <c r="M1462" t="str">
        <f t="shared" si="36"/>
        <v/>
      </c>
    </row>
    <row r="1463" spans="13:13">
      <c r="M1463" t="str">
        <f t="shared" si="36"/>
        <v/>
      </c>
    </row>
    <row r="1464" spans="13:13">
      <c r="M1464" t="str">
        <f t="shared" si="36"/>
        <v/>
      </c>
    </row>
    <row r="1465" spans="13:13">
      <c r="M1465" t="str">
        <f t="shared" si="36"/>
        <v/>
      </c>
    </row>
    <row r="1466" spans="13:13">
      <c r="M1466" t="str">
        <f t="shared" si="36"/>
        <v/>
      </c>
    </row>
    <row r="1467" spans="13:13">
      <c r="M1467" t="str">
        <f t="shared" si="36"/>
        <v/>
      </c>
    </row>
    <row r="1468" spans="13:13">
      <c r="M1468" t="str">
        <f t="shared" si="36"/>
        <v/>
      </c>
    </row>
    <row r="1469" spans="13:13">
      <c r="M1469" t="str">
        <f t="shared" si="36"/>
        <v/>
      </c>
    </row>
    <row r="1470" spans="13:13">
      <c r="M1470" t="str">
        <f t="shared" si="36"/>
        <v/>
      </c>
    </row>
    <row r="1471" spans="13:13">
      <c r="M1471" t="str">
        <f t="shared" si="36"/>
        <v/>
      </c>
    </row>
    <row r="1472" spans="13:13">
      <c r="M1472" t="str">
        <f t="shared" si="36"/>
        <v/>
      </c>
    </row>
    <row r="1473" spans="13:13">
      <c r="M1473" t="str">
        <f t="shared" si="36"/>
        <v/>
      </c>
    </row>
    <row r="1474" spans="13:13">
      <c r="M1474" t="str">
        <f t="shared" si="36"/>
        <v/>
      </c>
    </row>
    <row r="1475" spans="13:13">
      <c r="M1475" t="str">
        <f t="shared" si="36"/>
        <v/>
      </c>
    </row>
    <row r="1476" spans="13:13">
      <c r="M1476" t="str">
        <f t="shared" si="36"/>
        <v/>
      </c>
    </row>
    <row r="1477" spans="13:13">
      <c r="M1477" t="str">
        <f t="shared" ref="M1477:M1540" si="37">IF(A1477="","", WEEKNUM(A1477, 2))</f>
        <v/>
      </c>
    </row>
    <row r="1478" spans="13:13">
      <c r="M1478" t="str">
        <f t="shared" si="37"/>
        <v/>
      </c>
    </row>
    <row r="1479" spans="13:13">
      <c r="M1479" t="str">
        <f t="shared" si="37"/>
        <v/>
      </c>
    </row>
    <row r="1480" spans="13:13">
      <c r="M1480" t="str">
        <f t="shared" si="37"/>
        <v/>
      </c>
    </row>
    <row r="1481" spans="13:13">
      <c r="M1481" t="str">
        <f t="shared" si="37"/>
        <v/>
      </c>
    </row>
    <row r="1482" spans="13:13">
      <c r="M1482" t="str">
        <f t="shared" si="37"/>
        <v/>
      </c>
    </row>
    <row r="1483" spans="13:13">
      <c r="M1483" t="str">
        <f t="shared" si="37"/>
        <v/>
      </c>
    </row>
    <row r="1484" spans="13:13">
      <c r="M1484" t="str">
        <f t="shared" si="37"/>
        <v/>
      </c>
    </row>
    <row r="1485" spans="13:13">
      <c r="M1485" t="str">
        <f t="shared" si="37"/>
        <v/>
      </c>
    </row>
    <row r="1486" spans="13:13">
      <c r="M1486" t="str">
        <f t="shared" si="37"/>
        <v/>
      </c>
    </row>
    <row r="1487" spans="13:13">
      <c r="M1487" t="str">
        <f t="shared" si="37"/>
        <v/>
      </c>
    </row>
    <row r="1488" spans="13:13">
      <c r="M1488" t="str">
        <f t="shared" si="37"/>
        <v/>
      </c>
    </row>
    <row r="1489" spans="13:13">
      <c r="M1489" t="str">
        <f t="shared" si="37"/>
        <v/>
      </c>
    </row>
    <row r="1490" spans="13:13">
      <c r="M1490" t="str">
        <f t="shared" si="37"/>
        <v/>
      </c>
    </row>
    <row r="1491" spans="13:13">
      <c r="M1491" t="str">
        <f t="shared" si="37"/>
        <v/>
      </c>
    </row>
    <row r="1492" spans="13:13">
      <c r="M1492" t="str">
        <f t="shared" si="37"/>
        <v/>
      </c>
    </row>
    <row r="1493" spans="13:13">
      <c r="M1493" t="str">
        <f t="shared" si="37"/>
        <v/>
      </c>
    </row>
    <row r="1494" spans="13:13">
      <c r="M1494" t="str">
        <f t="shared" si="37"/>
        <v/>
      </c>
    </row>
    <row r="1495" spans="13:13">
      <c r="M1495" t="str">
        <f t="shared" si="37"/>
        <v/>
      </c>
    </row>
    <row r="1496" spans="13:13">
      <c r="M1496" t="str">
        <f t="shared" si="37"/>
        <v/>
      </c>
    </row>
    <row r="1497" spans="13:13">
      <c r="M1497" t="str">
        <f t="shared" si="37"/>
        <v/>
      </c>
    </row>
    <row r="1498" spans="13:13">
      <c r="M1498" t="str">
        <f t="shared" si="37"/>
        <v/>
      </c>
    </row>
    <row r="1499" spans="13:13">
      <c r="M1499" t="str">
        <f t="shared" si="37"/>
        <v/>
      </c>
    </row>
    <row r="1500" spans="13:13">
      <c r="M1500" t="str">
        <f t="shared" si="37"/>
        <v/>
      </c>
    </row>
    <row r="1501" spans="13:13">
      <c r="M1501" t="str">
        <f t="shared" si="37"/>
        <v/>
      </c>
    </row>
    <row r="1502" spans="13:13">
      <c r="M1502" t="str">
        <f t="shared" si="37"/>
        <v/>
      </c>
    </row>
    <row r="1503" spans="13:13">
      <c r="M1503" t="str">
        <f t="shared" si="37"/>
        <v/>
      </c>
    </row>
    <row r="1504" spans="13:13">
      <c r="M1504" t="str">
        <f t="shared" si="37"/>
        <v/>
      </c>
    </row>
    <row r="1505" spans="13:13">
      <c r="M1505" t="str">
        <f t="shared" si="37"/>
        <v/>
      </c>
    </row>
    <row r="1506" spans="13:13">
      <c r="M1506" t="str">
        <f t="shared" si="37"/>
        <v/>
      </c>
    </row>
    <row r="1507" spans="13:13">
      <c r="M1507" t="str">
        <f t="shared" si="37"/>
        <v/>
      </c>
    </row>
    <row r="1508" spans="13:13">
      <c r="M1508" t="str">
        <f t="shared" si="37"/>
        <v/>
      </c>
    </row>
    <row r="1509" spans="13:13">
      <c r="M1509" t="str">
        <f t="shared" si="37"/>
        <v/>
      </c>
    </row>
    <row r="1510" spans="13:13">
      <c r="M1510" t="str">
        <f t="shared" si="37"/>
        <v/>
      </c>
    </row>
    <row r="1511" spans="13:13">
      <c r="M1511" t="str">
        <f t="shared" si="37"/>
        <v/>
      </c>
    </row>
    <row r="1512" spans="13:13">
      <c r="M1512" t="str">
        <f t="shared" si="37"/>
        <v/>
      </c>
    </row>
    <row r="1513" spans="13:13">
      <c r="M1513" t="str">
        <f t="shared" si="37"/>
        <v/>
      </c>
    </row>
    <row r="1514" spans="13:13">
      <c r="M1514" t="str">
        <f t="shared" si="37"/>
        <v/>
      </c>
    </row>
    <row r="1515" spans="13:13">
      <c r="M1515" t="str">
        <f t="shared" si="37"/>
        <v/>
      </c>
    </row>
    <row r="1516" spans="13:13">
      <c r="M1516" t="str">
        <f t="shared" si="37"/>
        <v/>
      </c>
    </row>
    <row r="1517" spans="13:13">
      <c r="M1517" t="str">
        <f t="shared" si="37"/>
        <v/>
      </c>
    </row>
    <row r="1518" spans="13:13">
      <c r="M1518" t="str">
        <f t="shared" si="37"/>
        <v/>
      </c>
    </row>
    <row r="1519" spans="13:13">
      <c r="M1519" t="str">
        <f t="shared" si="37"/>
        <v/>
      </c>
    </row>
    <row r="1520" spans="13:13">
      <c r="M1520" t="str">
        <f t="shared" si="37"/>
        <v/>
      </c>
    </row>
    <row r="1521" spans="13:13">
      <c r="M1521" t="str">
        <f t="shared" si="37"/>
        <v/>
      </c>
    </row>
    <row r="1522" spans="13:13">
      <c r="M1522" t="str">
        <f t="shared" si="37"/>
        <v/>
      </c>
    </row>
    <row r="1523" spans="13:13">
      <c r="M1523" t="str">
        <f t="shared" si="37"/>
        <v/>
      </c>
    </row>
    <row r="1524" spans="13:13">
      <c r="M1524" t="str">
        <f t="shared" si="37"/>
        <v/>
      </c>
    </row>
    <row r="1525" spans="13:13">
      <c r="M1525" t="str">
        <f t="shared" si="37"/>
        <v/>
      </c>
    </row>
    <row r="1526" spans="13:13">
      <c r="M1526" t="str">
        <f t="shared" si="37"/>
        <v/>
      </c>
    </row>
    <row r="1527" spans="13:13">
      <c r="M1527" t="str">
        <f t="shared" si="37"/>
        <v/>
      </c>
    </row>
    <row r="1528" spans="13:13">
      <c r="M1528" t="str">
        <f t="shared" si="37"/>
        <v/>
      </c>
    </row>
    <row r="1529" spans="13:13">
      <c r="M1529" t="str">
        <f t="shared" si="37"/>
        <v/>
      </c>
    </row>
    <row r="1530" spans="13:13">
      <c r="M1530" t="str">
        <f t="shared" si="37"/>
        <v/>
      </c>
    </row>
    <row r="1531" spans="13:13">
      <c r="M1531" t="str">
        <f t="shared" si="37"/>
        <v/>
      </c>
    </row>
    <row r="1532" spans="13:13">
      <c r="M1532" t="str">
        <f t="shared" si="37"/>
        <v/>
      </c>
    </row>
    <row r="1533" spans="13:13">
      <c r="M1533" t="str">
        <f t="shared" si="37"/>
        <v/>
      </c>
    </row>
    <row r="1534" spans="13:13">
      <c r="M1534" t="str">
        <f t="shared" si="37"/>
        <v/>
      </c>
    </row>
    <row r="1535" spans="13:13">
      <c r="M1535" t="str">
        <f t="shared" si="37"/>
        <v/>
      </c>
    </row>
    <row r="1536" spans="13:13">
      <c r="M1536" t="str">
        <f t="shared" si="37"/>
        <v/>
      </c>
    </row>
    <row r="1537" spans="13:13">
      <c r="M1537" t="str">
        <f t="shared" si="37"/>
        <v/>
      </c>
    </row>
    <row r="1538" spans="13:13">
      <c r="M1538" t="str">
        <f t="shared" si="37"/>
        <v/>
      </c>
    </row>
    <row r="1539" spans="13:13">
      <c r="M1539" t="str">
        <f t="shared" si="37"/>
        <v/>
      </c>
    </row>
    <row r="1540" spans="13:13">
      <c r="M1540" t="str">
        <f t="shared" si="37"/>
        <v/>
      </c>
    </row>
    <row r="1541" spans="13:13">
      <c r="M1541" t="str">
        <f t="shared" ref="M1541:M1604" si="38">IF(A1541="","", WEEKNUM(A1541, 2))</f>
        <v/>
      </c>
    </row>
    <row r="1542" spans="13:13">
      <c r="M1542" t="str">
        <f t="shared" si="38"/>
        <v/>
      </c>
    </row>
    <row r="1543" spans="13:13">
      <c r="M1543" t="str">
        <f t="shared" si="38"/>
        <v/>
      </c>
    </row>
    <row r="1544" spans="13:13">
      <c r="M1544" t="str">
        <f t="shared" si="38"/>
        <v/>
      </c>
    </row>
    <row r="1545" spans="13:13">
      <c r="M1545" t="str">
        <f t="shared" si="38"/>
        <v/>
      </c>
    </row>
    <row r="1546" spans="13:13">
      <c r="M1546" t="str">
        <f t="shared" si="38"/>
        <v/>
      </c>
    </row>
    <row r="1547" spans="13:13">
      <c r="M1547" t="str">
        <f t="shared" si="38"/>
        <v/>
      </c>
    </row>
    <row r="1548" spans="13:13">
      <c r="M1548" t="str">
        <f t="shared" si="38"/>
        <v/>
      </c>
    </row>
    <row r="1549" spans="13:13">
      <c r="M1549" t="str">
        <f t="shared" si="38"/>
        <v/>
      </c>
    </row>
    <row r="1550" spans="13:13">
      <c r="M1550" t="str">
        <f t="shared" si="38"/>
        <v/>
      </c>
    </row>
    <row r="1551" spans="13:13">
      <c r="M1551" t="str">
        <f t="shared" si="38"/>
        <v/>
      </c>
    </row>
    <row r="1552" spans="13:13">
      <c r="M1552" t="str">
        <f t="shared" si="38"/>
        <v/>
      </c>
    </row>
    <row r="1553" spans="13:13">
      <c r="M1553" t="str">
        <f t="shared" si="38"/>
        <v/>
      </c>
    </row>
    <row r="1554" spans="13:13">
      <c r="M1554" t="str">
        <f t="shared" si="38"/>
        <v/>
      </c>
    </row>
    <row r="1555" spans="13:13">
      <c r="M1555" t="str">
        <f t="shared" si="38"/>
        <v/>
      </c>
    </row>
    <row r="1556" spans="13:13">
      <c r="M1556" t="str">
        <f t="shared" si="38"/>
        <v/>
      </c>
    </row>
    <row r="1557" spans="13:13">
      <c r="M1557" t="str">
        <f t="shared" si="38"/>
        <v/>
      </c>
    </row>
    <row r="1558" spans="13:13">
      <c r="M1558" t="str">
        <f t="shared" si="38"/>
        <v/>
      </c>
    </row>
    <row r="1559" spans="13:13">
      <c r="M1559" t="str">
        <f t="shared" si="38"/>
        <v/>
      </c>
    </row>
    <row r="1560" spans="13:13">
      <c r="M1560" t="str">
        <f t="shared" si="38"/>
        <v/>
      </c>
    </row>
    <row r="1561" spans="13:13">
      <c r="M1561" t="str">
        <f t="shared" si="38"/>
        <v/>
      </c>
    </row>
    <row r="1562" spans="13:13">
      <c r="M1562" t="str">
        <f t="shared" si="38"/>
        <v/>
      </c>
    </row>
    <row r="1563" spans="13:13">
      <c r="M1563" t="str">
        <f t="shared" si="38"/>
        <v/>
      </c>
    </row>
    <row r="1564" spans="13:13">
      <c r="M1564" t="str">
        <f t="shared" si="38"/>
        <v/>
      </c>
    </row>
    <row r="1565" spans="13:13">
      <c r="M1565" t="str">
        <f t="shared" si="38"/>
        <v/>
      </c>
    </row>
    <row r="1566" spans="13:13">
      <c r="M1566" t="str">
        <f t="shared" si="38"/>
        <v/>
      </c>
    </row>
    <row r="1567" spans="13:13">
      <c r="M1567" t="str">
        <f t="shared" si="38"/>
        <v/>
      </c>
    </row>
    <row r="1568" spans="13:13">
      <c r="M1568" t="str">
        <f t="shared" si="38"/>
        <v/>
      </c>
    </row>
    <row r="1569" spans="13:13">
      <c r="M1569" t="str">
        <f t="shared" si="38"/>
        <v/>
      </c>
    </row>
    <row r="1570" spans="13:13">
      <c r="M1570" t="str">
        <f t="shared" si="38"/>
        <v/>
      </c>
    </row>
    <row r="1571" spans="13:13">
      <c r="M1571" t="str">
        <f t="shared" si="38"/>
        <v/>
      </c>
    </row>
    <row r="1572" spans="13:13">
      <c r="M1572" t="str">
        <f t="shared" si="38"/>
        <v/>
      </c>
    </row>
    <row r="1573" spans="13:13">
      <c r="M1573" t="str">
        <f t="shared" si="38"/>
        <v/>
      </c>
    </row>
    <row r="1574" spans="13:13">
      <c r="M1574" t="str">
        <f t="shared" si="38"/>
        <v/>
      </c>
    </row>
    <row r="1575" spans="13:13">
      <c r="M1575" t="str">
        <f t="shared" si="38"/>
        <v/>
      </c>
    </row>
    <row r="1576" spans="13:13">
      <c r="M1576" t="str">
        <f t="shared" si="38"/>
        <v/>
      </c>
    </row>
    <row r="1577" spans="13:13">
      <c r="M1577" t="str">
        <f t="shared" si="38"/>
        <v/>
      </c>
    </row>
    <row r="1578" spans="13:13">
      <c r="M1578" t="str">
        <f t="shared" si="38"/>
        <v/>
      </c>
    </row>
    <row r="1579" spans="13:13">
      <c r="M1579" t="str">
        <f t="shared" si="38"/>
        <v/>
      </c>
    </row>
    <row r="1580" spans="13:13">
      <c r="M1580" t="str">
        <f t="shared" si="38"/>
        <v/>
      </c>
    </row>
    <row r="1581" spans="13:13">
      <c r="M1581" t="str">
        <f t="shared" si="38"/>
        <v/>
      </c>
    </row>
    <row r="1582" spans="13:13">
      <c r="M1582" t="str">
        <f t="shared" si="38"/>
        <v/>
      </c>
    </row>
    <row r="1583" spans="13:13">
      <c r="M1583" t="str">
        <f t="shared" si="38"/>
        <v/>
      </c>
    </row>
    <row r="1584" spans="13:13">
      <c r="M1584" t="str">
        <f t="shared" si="38"/>
        <v/>
      </c>
    </row>
    <row r="1585" spans="13:13">
      <c r="M1585" t="str">
        <f t="shared" si="38"/>
        <v/>
      </c>
    </row>
    <row r="1586" spans="13:13">
      <c r="M1586" t="str">
        <f t="shared" si="38"/>
        <v/>
      </c>
    </row>
    <row r="1587" spans="13:13">
      <c r="M1587" t="str">
        <f t="shared" si="38"/>
        <v/>
      </c>
    </row>
    <row r="1588" spans="13:13">
      <c r="M1588" t="str">
        <f t="shared" si="38"/>
        <v/>
      </c>
    </row>
    <row r="1589" spans="13:13">
      <c r="M1589" t="str">
        <f t="shared" si="38"/>
        <v/>
      </c>
    </row>
    <row r="1590" spans="13:13">
      <c r="M1590" t="str">
        <f t="shared" si="38"/>
        <v/>
      </c>
    </row>
    <row r="1591" spans="13:13">
      <c r="M1591" t="str">
        <f t="shared" si="38"/>
        <v/>
      </c>
    </row>
    <row r="1592" spans="13:13">
      <c r="M1592" t="str">
        <f t="shared" si="38"/>
        <v/>
      </c>
    </row>
    <row r="1593" spans="13:13">
      <c r="M1593" t="str">
        <f t="shared" si="38"/>
        <v/>
      </c>
    </row>
    <row r="1594" spans="13:13">
      <c r="M1594" t="str">
        <f t="shared" si="38"/>
        <v/>
      </c>
    </row>
    <row r="1595" spans="13:13">
      <c r="M1595" t="str">
        <f t="shared" si="38"/>
        <v/>
      </c>
    </row>
    <row r="1596" spans="13:13">
      <c r="M1596" t="str">
        <f t="shared" si="38"/>
        <v/>
      </c>
    </row>
    <row r="1597" spans="13:13">
      <c r="M1597" t="str">
        <f t="shared" si="38"/>
        <v/>
      </c>
    </row>
    <row r="1598" spans="13:13">
      <c r="M1598" t="str">
        <f t="shared" si="38"/>
        <v/>
      </c>
    </row>
    <row r="1599" spans="13:13">
      <c r="M1599" t="str">
        <f t="shared" si="38"/>
        <v/>
      </c>
    </row>
    <row r="1600" spans="13:13">
      <c r="M1600" t="str">
        <f t="shared" si="38"/>
        <v/>
      </c>
    </row>
    <row r="1601" spans="13:13">
      <c r="M1601" t="str">
        <f t="shared" si="38"/>
        <v/>
      </c>
    </row>
    <row r="1602" spans="13:13">
      <c r="M1602" t="str">
        <f t="shared" si="38"/>
        <v/>
      </c>
    </row>
    <row r="1603" spans="13:13">
      <c r="M1603" t="str">
        <f t="shared" si="38"/>
        <v/>
      </c>
    </row>
    <row r="1604" spans="13:13">
      <c r="M1604" t="str">
        <f t="shared" si="38"/>
        <v/>
      </c>
    </row>
    <row r="1605" spans="13:13">
      <c r="M1605" t="str">
        <f t="shared" ref="M1605:M1668" si="39">IF(A1605="","", WEEKNUM(A1605, 2))</f>
        <v/>
      </c>
    </row>
    <row r="1606" spans="13:13">
      <c r="M1606" t="str">
        <f t="shared" si="39"/>
        <v/>
      </c>
    </row>
    <row r="1607" spans="13:13">
      <c r="M1607" t="str">
        <f t="shared" si="39"/>
        <v/>
      </c>
    </row>
    <row r="1608" spans="13:13">
      <c r="M1608" t="str">
        <f t="shared" si="39"/>
        <v/>
      </c>
    </row>
    <row r="1609" spans="13:13">
      <c r="M1609" t="str">
        <f t="shared" si="39"/>
        <v/>
      </c>
    </row>
    <row r="1610" spans="13:13">
      <c r="M1610" t="str">
        <f t="shared" si="39"/>
        <v/>
      </c>
    </row>
    <row r="1611" spans="13:13">
      <c r="M1611" t="str">
        <f t="shared" si="39"/>
        <v/>
      </c>
    </row>
    <row r="1612" spans="13:13">
      <c r="M1612" t="str">
        <f t="shared" si="39"/>
        <v/>
      </c>
    </row>
    <row r="1613" spans="13:13">
      <c r="M1613" t="str">
        <f t="shared" si="39"/>
        <v/>
      </c>
    </row>
    <row r="1614" spans="13:13">
      <c r="M1614" t="str">
        <f t="shared" si="39"/>
        <v/>
      </c>
    </row>
    <row r="1615" spans="13:13">
      <c r="M1615" t="str">
        <f t="shared" si="39"/>
        <v/>
      </c>
    </row>
    <row r="1616" spans="13:13">
      <c r="M1616" t="str">
        <f t="shared" si="39"/>
        <v/>
      </c>
    </row>
    <row r="1617" spans="13:13">
      <c r="M1617" t="str">
        <f t="shared" si="39"/>
        <v/>
      </c>
    </row>
    <row r="1618" spans="13:13">
      <c r="M1618" t="str">
        <f t="shared" si="39"/>
        <v/>
      </c>
    </row>
    <row r="1619" spans="13:13">
      <c r="M1619" t="str">
        <f t="shared" si="39"/>
        <v/>
      </c>
    </row>
    <row r="1620" spans="13:13">
      <c r="M1620" t="str">
        <f t="shared" si="39"/>
        <v/>
      </c>
    </row>
    <row r="1621" spans="13:13">
      <c r="M1621" t="str">
        <f t="shared" si="39"/>
        <v/>
      </c>
    </row>
    <row r="1622" spans="13:13">
      <c r="M1622" t="str">
        <f t="shared" si="39"/>
        <v/>
      </c>
    </row>
    <row r="1623" spans="13:13">
      <c r="M1623" t="str">
        <f t="shared" si="39"/>
        <v/>
      </c>
    </row>
    <row r="1624" spans="13:13">
      <c r="M1624" t="str">
        <f t="shared" si="39"/>
        <v/>
      </c>
    </row>
    <row r="1625" spans="13:13">
      <c r="M1625" t="str">
        <f t="shared" si="39"/>
        <v/>
      </c>
    </row>
    <row r="1626" spans="13:13">
      <c r="M1626" t="str">
        <f t="shared" si="39"/>
        <v/>
      </c>
    </row>
    <row r="1627" spans="13:13">
      <c r="M1627" t="str">
        <f t="shared" si="39"/>
        <v/>
      </c>
    </row>
    <row r="1628" spans="13:13">
      <c r="M1628" t="str">
        <f t="shared" si="39"/>
        <v/>
      </c>
    </row>
    <row r="1629" spans="13:13">
      <c r="M1629" t="str">
        <f t="shared" si="39"/>
        <v/>
      </c>
    </row>
    <row r="1630" spans="13:13">
      <c r="M1630" t="str">
        <f t="shared" si="39"/>
        <v/>
      </c>
    </row>
    <row r="1631" spans="13:13">
      <c r="M1631" t="str">
        <f t="shared" si="39"/>
        <v/>
      </c>
    </row>
    <row r="1632" spans="13:13">
      <c r="M1632" t="str">
        <f t="shared" si="39"/>
        <v/>
      </c>
    </row>
    <row r="1633" spans="13:13">
      <c r="M1633" t="str">
        <f t="shared" si="39"/>
        <v/>
      </c>
    </row>
    <row r="1634" spans="13:13">
      <c r="M1634" t="str">
        <f t="shared" si="39"/>
        <v/>
      </c>
    </row>
    <row r="1635" spans="13:13">
      <c r="M1635" t="str">
        <f t="shared" si="39"/>
        <v/>
      </c>
    </row>
    <row r="1636" spans="13:13">
      <c r="M1636" t="str">
        <f t="shared" si="39"/>
        <v/>
      </c>
    </row>
    <row r="1637" spans="13:13">
      <c r="M1637" t="str">
        <f t="shared" si="39"/>
        <v/>
      </c>
    </row>
    <row r="1638" spans="13:13">
      <c r="M1638" t="str">
        <f t="shared" si="39"/>
        <v/>
      </c>
    </row>
    <row r="1639" spans="13:13">
      <c r="M1639" t="str">
        <f t="shared" si="39"/>
        <v/>
      </c>
    </row>
    <row r="1640" spans="13:13">
      <c r="M1640" t="str">
        <f t="shared" si="39"/>
        <v/>
      </c>
    </row>
    <row r="1641" spans="13:13">
      <c r="M1641" t="str">
        <f t="shared" si="39"/>
        <v/>
      </c>
    </row>
    <row r="1642" spans="13:13">
      <c r="M1642" t="str">
        <f t="shared" si="39"/>
        <v/>
      </c>
    </row>
    <row r="1643" spans="13:13">
      <c r="M1643" t="str">
        <f t="shared" si="39"/>
        <v/>
      </c>
    </row>
    <row r="1644" spans="13:13">
      <c r="M1644" t="str">
        <f t="shared" si="39"/>
        <v/>
      </c>
    </row>
    <row r="1645" spans="13:13">
      <c r="M1645" t="str">
        <f t="shared" si="39"/>
        <v/>
      </c>
    </row>
    <row r="1646" spans="13:13">
      <c r="M1646" t="str">
        <f t="shared" si="39"/>
        <v/>
      </c>
    </row>
    <row r="1647" spans="13:13">
      <c r="M1647" t="str">
        <f t="shared" si="39"/>
        <v/>
      </c>
    </row>
    <row r="1648" spans="13:13">
      <c r="M1648" t="str">
        <f t="shared" si="39"/>
        <v/>
      </c>
    </row>
    <row r="1649" spans="13:13">
      <c r="M1649" t="str">
        <f t="shared" si="39"/>
        <v/>
      </c>
    </row>
    <row r="1650" spans="13:13">
      <c r="M1650" t="str">
        <f t="shared" si="39"/>
        <v/>
      </c>
    </row>
    <row r="1651" spans="13:13">
      <c r="M1651" t="str">
        <f t="shared" si="39"/>
        <v/>
      </c>
    </row>
    <row r="1652" spans="13:13">
      <c r="M1652" t="str">
        <f t="shared" si="39"/>
        <v/>
      </c>
    </row>
    <row r="1653" spans="13:13">
      <c r="M1653" t="str">
        <f t="shared" si="39"/>
        <v/>
      </c>
    </row>
    <row r="1654" spans="13:13">
      <c r="M1654" t="str">
        <f t="shared" si="39"/>
        <v/>
      </c>
    </row>
    <row r="1655" spans="13:13">
      <c r="M1655" t="str">
        <f t="shared" si="39"/>
        <v/>
      </c>
    </row>
    <row r="1656" spans="13:13">
      <c r="M1656" t="str">
        <f t="shared" si="39"/>
        <v/>
      </c>
    </row>
    <row r="1657" spans="13:13">
      <c r="M1657" t="str">
        <f t="shared" si="39"/>
        <v/>
      </c>
    </row>
    <row r="1658" spans="13:13">
      <c r="M1658" t="str">
        <f t="shared" si="39"/>
        <v/>
      </c>
    </row>
    <row r="1659" spans="13:13">
      <c r="M1659" t="str">
        <f t="shared" si="39"/>
        <v/>
      </c>
    </row>
    <row r="1660" spans="13:13">
      <c r="M1660" t="str">
        <f t="shared" si="39"/>
        <v/>
      </c>
    </row>
    <row r="1661" spans="13:13">
      <c r="M1661" t="str">
        <f t="shared" si="39"/>
        <v/>
      </c>
    </row>
    <row r="1662" spans="13:13">
      <c r="M1662" t="str">
        <f t="shared" si="39"/>
        <v/>
      </c>
    </row>
    <row r="1663" spans="13:13">
      <c r="M1663" t="str">
        <f t="shared" si="39"/>
        <v/>
      </c>
    </row>
    <row r="1664" spans="13:13">
      <c r="M1664" t="str">
        <f t="shared" si="39"/>
        <v/>
      </c>
    </row>
    <row r="1665" spans="13:13">
      <c r="M1665" t="str">
        <f t="shared" si="39"/>
        <v/>
      </c>
    </row>
    <row r="1666" spans="13:13">
      <c r="M1666" t="str">
        <f t="shared" si="39"/>
        <v/>
      </c>
    </row>
    <row r="1667" spans="13:13">
      <c r="M1667" t="str">
        <f t="shared" si="39"/>
        <v/>
      </c>
    </row>
    <row r="1668" spans="13:13">
      <c r="M1668" t="str">
        <f t="shared" si="39"/>
        <v/>
      </c>
    </row>
    <row r="1669" spans="13:13">
      <c r="M1669" t="str">
        <f t="shared" ref="M1669:M1732" si="40">IF(A1669="","", WEEKNUM(A1669, 2))</f>
        <v/>
      </c>
    </row>
    <row r="1670" spans="13:13">
      <c r="M1670" t="str">
        <f t="shared" si="40"/>
        <v/>
      </c>
    </row>
    <row r="1671" spans="13:13">
      <c r="M1671" t="str">
        <f t="shared" si="40"/>
        <v/>
      </c>
    </row>
    <row r="1672" spans="13:13">
      <c r="M1672" t="str">
        <f t="shared" si="40"/>
        <v/>
      </c>
    </row>
    <row r="1673" spans="13:13">
      <c r="M1673" t="str">
        <f t="shared" si="40"/>
        <v/>
      </c>
    </row>
    <row r="1674" spans="13:13">
      <c r="M1674" t="str">
        <f t="shared" si="40"/>
        <v/>
      </c>
    </row>
    <row r="1675" spans="13:13">
      <c r="M1675" t="str">
        <f t="shared" si="40"/>
        <v/>
      </c>
    </row>
    <row r="1676" spans="13:13">
      <c r="M1676" t="str">
        <f t="shared" si="40"/>
        <v/>
      </c>
    </row>
    <row r="1677" spans="13:13">
      <c r="M1677" t="str">
        <f t="shared" si="40"/>
        <v/>
      </c>
    </row>
    <row r="1678" spans="13:13">
      <c r="M1678" t="str">
        <f t="shared" si="40"/>
        <v/>
      </c>
    </row>
    <row r="1679" spans="13:13">
      <c r="M1679" t="str">
        <f t="shared" si="40"/>
        <v/>
      </c>
    </row>
    <row r="1680" spans="13:13">
      <c r="M1680" t="str">
        <f t="shared" si="40"/>
        <v/>
      </c>
    </row>
    <row r="1681" spans="13:13">
      <c r="M1681" t="str">
        <f t="shared" si="40"/>
        <v/>
      </c>
    </row>
    <row r="1682" spans="13:13">
      <c r="M1682" t="str">
        <f t="shared" si="40"/>
        <v/>
      </c>
    </row>
    <row r="1683" spans="13:13">
      <c r="M1683" t="str">
        <f t="shared" si="40"/>
        <v/>
      </c>
    </row>
    <row r="1684" spans="13:13">
      <c r="M1684" t="str">
        <f t="shared" si="40"/>
        <v/>
      </c>
    </row>
    <row r="1685" spans="13:13">
      <c r="M1685" t="str">
        <f t="shared" si="40"/>
        <v/>
      </c>
    </row>
    <row r="1686" spans="13:13">
      <c r="M1686" t="str">
        <f t="shared" si="40"/>
        <v/>
      </c>
    </row>
    <row r="1687" spans="13:13">
      <c r="M1687" t="str">
        <f t="shared" si="40"/>
        <v/>
      </c>
    </row>
    <row r="1688" spans="13:13">
      <c r="M1688" t="str">
        <f t="shared" si="40"/>
        <v/>
      </c>
    </row>
    <row r="1689" spans="13:13">
      <c r="M1689" t="str">
        <f t="shared" si="40"/>
        <v/>
      </c>
    </row>
    <row r="1690" spans="13:13">
      <c r="M1690" t="str">
        <f t="shared" si="40"/>
        <v/>
      </c>
    </row>
    <row r="1691" spans="13:13">
      <c r="M1691" t="str">
        <f t="shared" si="40"/>
        <v/>
      </c>
    </row>
    <row r="1692" spans="13:13">
      <c r="M1692" t="str">
        <f t="shared" si="40"/>
        <v/>
      </c>
    </row>
    <row r="1693" spans="13:13">
      <c r="M1693" t="str">
        <f t="shared" si="40"/>
        <v/>
      </c>
    </row>
    <row r="1694" spans="13:13">
      <c r="M1694" t="str">
        <f t="shared" si="40"/>
        <v/>
      </c>
    </row>
    <row r="1695" spans="13:13">
      <c r="M1695" t="str">
        <f t="shared" si="40"/>
        <v/>
      </c>
    </row>
    <row r="1696" spans="13:13">
      <c r="M1696" t="str">
        <f t="shared" si="40"/>
        <v/>
      </c>
    </row>
    <row r="1697" spans="13:13">
      <c r="M1697" t="str">
        <f t="shared" si="40"/>
        <v/>
      </c>
    </row>
    <row r="1698" spans="13:13">
      <c r="M1698" t="str">
        <f t="shared" si="40"/>
        <v/>
      </c>
    </row>
    <row r="1699" spans="13:13">
      <c r="M1699" t="str">
        <f t="shared" si="40"/>
        <v/>
      </c>
    </row>
    <row r="1700" spans="13:13">
      <c r="M1700" t="str">
        <f t="shared" si="40"/>
        <v/>
      </c>
    </row>
    <row r="1701" spans="13:13">
      <c r="M1701" t="str">
        <f t="shared" si="40"/>
        <v/>
      </c>
    </row>
    <row r="1702" spans="13:13">
      <c r="M1702" t="str">
        <f t="shared" si="40"/>
        <v/>
      </c>
    </row>
    <row r="1703" spans="13:13">
      <c r="M1703" t="str">
        <f t="shared" si="40"/>
        <v/>
      </c>
    </row>
    <row r="1704" spans="13:13">
      <c r="M1704" t="str">
        <f t="shared" si="40"/>
        <v/>
      </c>
    </row>
    <row r="1705" spans="13:13">
      <c r="M1705" t="str">
        <f t="shared" si="40"/>
        <v/>
      </c>
    </row>
    <row r="1706" spans="13:13">
      <c r="M1706" t="str">
        <f t="shared" si="40"/>
        <v/>
      </c>
    </row>
    <row r="1707" spans="13:13">
      <c r="M1707" t="str">
        <f t="shared" si="40"/>
        <v/>
      </c>
    </row>
    <row r="1708" spans="13:13">
      <c r="M1708" t="str">
        <f t="shared" si="40"/>
        <v/>
      </c>
    </row>
    <row r="1709" spans="13:13">
      <c r="M1709" t="str">
        <f t="shared" si="40"/>
        <v/>
      </c>
    </row>
    <row r="1710" spans="13:13">
      <c r="M1710" t="str">
        <f t="shared" si="40"/>
        <v/>
      </c>
    </row>
    <row r="1711" spans="13:13">
      <c r="M1711" t="str">
        <f t="shared" si="40"/>
        <v/>
      </c>
    </row>
    <row r="1712" spans="13:13">
      <c r="M1712" t="str">
        <f t="shared" si="40"/>
        <v/>
      </c>
    </row>
    <row r="1713" spans="13:13">
      <c r="M1713" t="str">
        <f t="shared" si="40"/>
        <v/>
      </c>
    </row>
    <row r="1714" spans="13:13">
      <c r="M1714" t="str">
        <f t="shared" si="40"/>
        <v/>
      </c>
    </row>
    <row r="1715" spans="13:13">
      <c r="M1715" t="str">
        <f t="shared" si="40"/>
        <v/>
      </c>
    </row>
    <row r="1716" spans="13:13">
      <c r="M1716" t="str">
        <f t="shared" si="40"/>
        <v/>
      </c>
    </row>
    <row r="1717" spans="13:13">
      <c r="M1717" t="str">
        <f t="shared" si="40"/>
        <v/>
      </c>
    </row>
    <row r="1718" spans="13:13">
      <c r="M1718" t="str">
        <f t="shared" si="40"/>
        <v/>
      </c>
    </row>
    <row r="1719" spans="13:13">
      <c r="M1719" t="str">
        <f t="shared" si="40"/>
        <v/>
      </c>
    </row>
    <row r="1720" spans="13:13">
      <c r="M1720" t="str">
        <f t="shared" si="40"/>
        <v/>
      </c>
    </row>
    <row r="1721" spans="13:13">
      <c r="M1721" t="str">
        <f t="shared" si="40"/>
        <v/>
      </c>
    </row>
    <row r="1722" spans="13:13">
      <c r="M1722" t="str">
        <f t="shared" si="40"/>
        <v/>
      </c>
    </row>
    <row r="1723" spans="13:13">
      <c r="M1723" t="str">
        <f t="shared" si="40"/>
        <v/>
      </c>
    </row>
    <row r="1724" spans="13:13">
      <c r="M1724" t="str">
        <f t="shared" si="40"/>
        <v/>
      </c>
    </row>
    <row r="1725" spans="13:13">
      <c r="M1725" t="str">
        <f t="shared" si="40"/>
        <v/>
      </c>
    </row>
    <row r="1726" spans="13:13">
      <c r="M1726" t="str">
        <f t="shared" si="40"/>
        <v/>
      </c>
    </row>
    <row r="1727" spans="13:13">
      <c r="M1727" t="str">
        <f t="shared" si="40"/>
        <v/>
      </c>
    </row>
    <row r="1728" spans="13:13">
      <c r="M1728" t="str">
        <f t="shared" si="40"/>
        <v/>
      </c>
    </row>
    <row r="1729" spans="13:13">
      <c r="M1729" t="str">
        <f t="shared" si="40"/>
        <v/>
      </c>
    </row>
    <row r="1730" spans="13:13">
      <c r="M1730" t="str">
        <f t="shared" si="40"/>
        <v/>
      </c>
    </row>
    <row r="1731" spans="13:13">
      <c r="M1731" t="str">
        <f t="shared" si="40"/>
        <v/>
      </c>
    </row>
    <row r="1732" spans="13:13">
      <c r="M1732" t="str">
        <f t="shared" si="40"/>
        <v/>
      </c>
    </row>
    <row r="1733" spans="13:13">
      <c r="M1733" t="str">
        <f t="shared" ref="M1733:M1796" si="41">IF(A1733="","", WEEKNUM(A1733, 2))</f>
        <v/>
      </c>
    </row>
    <row r="1734" spans="13:13">
      <c r="M1734" t="str">
        <f t="shared" si="41"/>
        <v/>
      </c>
    </row>
    <row r="1735" spans="13:13">
      <c r="M1735" t="str">
        <f t="shared" si="41"/>
        <v/>
      </c>
    </row>
    <row r="1736" spans="13:13">
      <c r="M1736" t="str">
        <f t="shared" si="41"/>
        <v/>
      </c>
    </row>
    <row r="1737" spans="13:13">
      <c r="M1737" t="str">
        <f t="shared" si="41"/>
        <v/>
      </c>
    </row>
    <row r="1738" spans="13:13">
      <c r="M1738" t="str">
        <f t="shared" si="41"/>
        <v/>
      </c>
    </row>
    <row r="1739" spans="13:13">
      <c r="M1739" t="str">
        <f t="shared" si="41"/>
        <v/>
      </c>
    </row>
    <row r="1740" spans="13:13">
      <c r="M1740" t="str">
        <f t="shared" si="41"/>
        <v/>
      </c>
    </row>
    <row r="1741" spans="13:13">
      <c r="M1741" t="str">
        <f t="shared" si="41"/>
        <v/>
      </c>
    </row>
    <row r="1742" spans="13:13">
      <c r="M1742" t="str">
        <f t="shared" si="41"/>
        <v/>
      </c>
    </row>
    <row r="1743" spans="13:13">
      <c r="M1743" t="str">
        <f t="shared" si="41"/>
        <v/>
      </c>
    </row>
    <row r="1744" spans="13:13">
      <c r="M1744" t="str">
        <f t="shared" si="41"/>
        <v/>
      </c>
    </row>
    <row r="1745" spans="13:13">
      <c r="M1745" t="str">
        <f t="shared" si="41"/>
        <v/>
      </c>
    </row>
    <row r="1746" spans="13:13">
      <c r="M1746" t="str">
        <f t="shared" si="41"/>
        <v/>
      </c>
    </row>
    <row r="1747" spans="13:13">
      <c r="M1747" t="str">
        <f t="shared" si="41"/>
        <v/>
      </c>
    </row>
    <row r="1748" spans="13:13">
      <c r="M1748" t="str">
        <f t="shared" si="41"/>
        <v/>
      </c>
    </row>
    <row r="1749" spans="13:13">
      <c r="M1749" t="str">
        <f t="shared" si="41"/>
        <v/>
      </c>
    </row>
    <row r="1750" spans="13:13">
      <c r="M1750" t="str">
        <f t="shared" si="41"/>
        <v/>
      </c>
    </row>
    <row r="1751" spans="13:13">
      <c r="M1751" t="str">
        <f t="shared" si="41"/>
        <v/>
      </c>
    </row>
    <row r="1752" spans="13:13">
      <c r="M1752" t="str">
        <f t="shared" si="41"/>
        <v/>
      </c>
    </row>
    <row r="1753" spans="13:13">
      <c r="M1753" t="str">
        <f t="shared" si="41"/>
        <v/>
      </c>
    </row>
    <row r="1754" spans="13:13">
      <c r="M1754" t="str">
        <f t="shared" si="41"/>
        <v/>
      </c>
    </row>
    <row r="1755" spans="13:13">
      <c r="M1755" t="str">
        <f t="shared" si="41"/>
        <v/>
      </c>
    </row>
    <row r="1756" spans="13:13">
      <c r="M1756" t="str">
        <f t="shared" si="41"/>
        <v/>
      </c>
    </row>
    <row r="1757" spans="13:13">
      <c r="M1757" t="str">
        <f t="shared" si="41"/>
        <v/>
      </c>
    </row>
    <row r="1758" spans="13:13">
      <c r="M1758" t="str">
        <f t="shared" si="41"/>
        <v/>
      </c>
    </row>
    <row r="1759" spans="13:13">
      <c r="M1759" t="str">
        <f t="shared" si="41"/>
        <v/>
      </c>
    </row>
    <row r="1760" spans="13:13">
      <c r="M1760" t="str">
        <f t="shared" si="41"/>
        <v/>
      </c>
    </row>
    <row r="1761" spans="13:13">
      <c r="M1761" t="str">
        <f t="shared" si="41"/>
        <v/>
      </c>
    </row>
    <row r="1762" spans="13:13">
      <c r="M1762" t="str">
        <f t="shared" si="41"/>
        <v/>
      </c>
    </row>
    <row r="1763" spans="13:13">
      <c r="M1763" t="str">
        <f t="shared" si="41"/>
        <v/>
      </c>
    </row>
    <row r="1764" spans="13:13">
      <c r="M1764" t="str">
        <f t="shared" si="41"/>
        <v/>
      </c>
    </row>
    <row r="1765" spans="13:13">
      <c r="M1765" t="str">
        <f t="shared" si="41"/>
        <v/>
      </c>
    </row>
    <row r="1766" spans="13:13">
      <c r="M1766" t="str">
        <f t="shared" si="41"/>
        <v/>
      </c>
    </row>
    <row r="1767" spans="13:13">
      <c r="M1767" t="str">
        <f t="shared" si="41"/>
        <v/>
      </c>
    </row>
    <row r="1768" spans="13:13">
      <c r="M1768" t="str">
        <f t="shared" si="41"/>
        <v/>
      </c>
    </row>
    <row r="1769" spans="13:13">
      <c r="M1769" t="str">
        <f t="shared" si="41"/>
        <v/>
      </c>
    </row>
    <row r="1770" spans="13:13">
      <c r="M1770" t="str">
        <f t="shared" si="41"/>
        <v/>
      </c>
    </row>
    <row r="1771" spans="13:13">
      <c r="M1771" t="str">
        <f t="shared" si="41"/>
        <v/>
      </c>
    </row>
    <row r="1772" spans="13:13">
      <c r="M1772" t="str">
        <f t="shared" si="41"/>
        <v/>
      </c>
    </row>
    <row r="1773" spans="13:13">
      <c r="M1773" t="str">
        <f t="shared" si="41"/>
        <v/>
      </c>
    </row>
    <row r="1774" spans="13:13">
      <c r="M1774" t="str">
        <f t="shared" si="41"/>
        <v/>
      </c>
    </row>
    <row r="1775" spans="13:13">
      <c r="M1775" t="str">
        <f t="shared" si="41"/>
        <v/>
      </c>
    </row>
    <row r="1776" spans="13:13">
      <c r="M1776" t="str">
        <f t="shared" si="41"/>
        <v/>
      </c>
    </row>
    <row r="1777" spans="13:13">
      <c r="M1777" t="str">
        <f t="shared" si="41"/>
        <v/>
      </c>
    </row>
    <row r="1778" spans="13:13">
      <c r="M1778" t="str">
        <f t="shared" si="41"/>
        <v/>
      </c>
    </row>
    <row r="1779" spans="13:13">
      <c r="M1779" t="str">
        <f t="shared" si="41"/>
        <v/>
      </c>
    </row>
    <row r="1780" spans="13:13">
      <c r="M1780" t="str">
        <f t="shared" si="41"/>
        <v/>
      </c>
    </row>
    <row r="1781" spans="13:13">
      <c r="M1781" t="str">
        <f t="shared" si="41"/>
        <v/>
      </c>
    </row>
    <row r="1782" spans="13:13">
      <c r="M1782" t="str">
        <f t="shared" si="41"/>
        <v/>
      </c>
    </row>
    <row r="1783" spans="13:13">
      <c r="M1783" t="str">
        <f t="shared" si="41"/>
        <v/>
      </c>
    </row>
    <row r="1784" spans="13:13">
      <c r="M1784" t="str">
        <f t="shared" si="41"/>
        <v/>
      </c>
    </row>
    <row r="1785" spans="13:13">
      <c r="M1785" t="str">
        <f t="shared" si="41"/>
        <v/>
      </c>
    </row>
    <row r="1786" spans="13:13">
      <c r="M1786" t="str">
        <f t="shared" si="41"/>
        <v/>
      </c>
    </row>
    <row r="1787" spans="13:13">
      <c r="M1787" t="str">
        <f t="shared" si="41"/>
        <v/>
      </c>
    </row>
    <row r="1788" spans="13:13">
      <c r="M1788" t="str">
        <f t="shared" si="41"/>
        <v/>
      </c>
    </row>
    <row r="1789" spans="13:13">
      <c r="M1789" t="str">
        <f t="shared" si="41"/>
        <v/>
      </c>
    </row>
    <row r="1790" spans="13:13">
      <c r="M1790" t="str">
        <f t="shared" si="41"/>
        <v/>
      </c>
    </row>
    <row r="1791" spans="13:13">
      <c r="M1791" t="str">
        <f t="shared" si="41"/>
        <v/>
      </c>
    </row>
    <row r="1792" spans="13:13">
      <c r="M1792" t="str">
        <f t="shared" si="41"/>
        <v/>
      </c>
    </row>
    <row r="1793" spans="13:13">
      <c r="M1793" t="str">
        <f t="shared" si="41"/>
        <v/>
      </c>
    </row>
    <row r="1794" spans="13:13">
      <c r="M1794" t="str">
        <f t="shared" si="41"/>
        <v/>
      </c>
    </row>
    <row r="1795" spans="13:13">
      <c r="M1795" t="str">
        <f t="shared" si="41"/>
        <v/>
      </c>
    </row>
    <row r="1796" spans="13:13">
      <c r="M1796" t="str">
        <f t="shared" si="41"/>
        <v/>
      </c>
    </row>
    <row r="1797" spans="13:13">
      <c r="M1797" t="str">
        <f t="shared" ref="M1797:M1860" si="42">IF(A1797="","", WEEKNUM(A1797, 2))</f>
        <v/>
      </c>
    </row>
    <row r="1798" spans="13:13">
      <c r="M1798" t="str">
        <f t="shared" si="42"/>
        <v/>
      </c>
    </row>
    <row r="1799" spans="13:13">
      <c r="M1799" t="str">
        <f t="shared" si="42"/>
        <v/>
      </c>
    </row>
    <row r="1800" spans="13:13">
      <c r="M1800" t="str">
        <f t="shared" si="42"/>
        <v/>
      </c>
    </row>
    <row r="1801" spans="13:13">
      <c r="M1801" t="str">
        <f t="shared" si="42"/>
        <v/>
      </c>
    </row>
    <row r="1802" spans="13:13">
      <c r="M1802" t="str">
        <f t="shared" si="42"/>
        <v/>
      </c>
    </row>
    <row r="1803" spans="13:13">
      <c r="M1803" t="str">
        <f t="shared" si="42"/>
        <v/>
      </c>
    </row>
    <row r="1804" spans="13:13">
      <c r="M1804" t="str">
        <f t="shared" si="42"/>
        <v/>
      </c>
    </row>
    <row r="1805" spans="13:13">
      <c r="M1805" t="str">
        <f t="shared" si="42"/>
        <v/>
      </c>
    </row>
    <row r="1806" spans="13:13">
      <c r="M1806" t="str">
        <f t="shared" si="42"/>
        <v/>
      </c>
    </row>
    <row r="1807" spans="13:13">
      <c r="M1807" t="str">
        <f t="shared" si="42"/>
        <v/>
      </c>
    </row>
    <row r="1808" spans="13:13">
      <c r="M1808" t="str">
        <f t="shared" si="42"/>
        <v/>
      </c>
    </row>
    <row r="1809" spans="13:13">
      <c r="M1809" t="str">
        <f t="shared" si="42"/>
        <v/>
      </c>
    </row>
    <row r="1810" spans="13:13">
      <c r="M1810" t="str">
        <f t="shared" si="42"/>
        <v/>
      </c>
    </row>
    <row r="1811" spans="13:13">
      <c r="M1811" t="str">
        <f t="shared" si="42"/>
        <v/>
      </c>
    </row>
    <row r="1812" spans="13:13">
      <c r="M1812" t="str">
        <f t="shared" si="42"/>
        <v/>
      </c>
    </row>
    <row r="1813" spans="13:13">
      <c r="M1813" t="str">
        <f t="shared" si="42"/>
        <v/>
      </c>
    </row>
    <row r="1814" spans="13:13">
      <c r="M1814" t="str">
        <f t="shared" si="42"/>
        <v/>
      </c>
    </row>
    <row r="1815" spans="13:13">
      <c r="M1815" t="str">
        <f t="shared" si="42"/>
        <v/>
      </c>
    </row>
    <row r="1816" spans="13:13">
      <c r="M1816" t="str">
        <f t="shared" si="42"/>
        <v/>
      </c>
    </row>
    <row r="1817" spans="13:13">
      <c r="M1817" t="str">
        <f t="shared" si="42"/>
        <v/>
      </c>
    </row>
    <row r="1818" spans="13:13">
      <c r="M1818" t="str">
        <f t="shared" si="42"/>
        <v/>
      </c>
    </row>
    <row r="1819" spans="13:13">
      <c r="M1819" t="str">
        <f t="shared" si="42"/>
        <v/>
      </c>
    </row>
    <row r="1820" spans="13:13">
      <c r="M1820" t="str">
        <f t="shared" si="42"/>
        <v/>
      </c>
    </row>
    <row r="1821" spans="13:13">
      <c r="M1821" t="str">
        <f t="shared" si="42"/>
        <v/>
      </c>
    </row>
    <row r="1822" spans="13:13">
      <c r="M1822" t="str">
        <f t="shared" si="42"/>
        <v/>
      </c>
    </row>
    <row r="1823" spans="13:13">
      <c r="M1823" t="str">
        <f t="shared" si="42"/>
        <v/>
      </c>
    </row>
    <row r="1824" spans="13:13">
      <c r="M1824" t="str">
        <f t="shared" si="42"/>
        <v/>
      </c>
    </row>
    <row r="1825" spans="13:13">
      <c r="M1825" t="str">
        <f t="shared" si="42"/>
        <v/>
      </c>
    </row>
    <row r="1826" spans="13:13">
      <c r="M1826" t="str">
        <f t="shared" si="42"/>
        <v/>
      </c>
    </row>
    <row r="1827" spans="13:13">
      <c r="M1827" t="str">
        <f t="shared" si="42"/>
        <v/>
      </c>
    </row>
    <row r="1828" spans="13:13">
      <c r="M1828" t="str">
        <f t="shared" si="42"/>
        <v/>
      </c>
    </row>
    <row r="1829" spans="13:13">
      <c r="M1829" t="str">
        <f t="shared" si="42"/>
        <v/>
      </c>
    </row>
    <row r="1830" spans="13:13">
      <c r="M1830" t="str">
        <f t="shared" si="42"/>
        <v/>
      </c>
    </row>
    <row r="1831" spans="13:13">
      <c r="M1831" t="str">
        <f t="shared" si="42"/>
        <v/>
      </c>
    </row>
    <row r="1832" spans="13:13">
      <c r="M1832" t="str">
        <f t="shared" si="42"/>
        <v/>
      </c>
    </row>
    <row r="1833" spans="13:13">
      <c r="M1833" t="str">
        <f t="shared" si="42"/>
        <v/>
      </c>
    </row>
    <row r="1834" spans="13:13">
      <c r="M1834" t="str">
        <f t="shared" si="42"/>
        <v/>
      </c>
    </row>
    <row r="1835" spans="13:13">
      <c r="M1835" t="str">
        <f t="shared" si="42"/>
        <v/>
      </c>
    </row>
    <row r="1836" spans="13:13">
      <c r="M1836" t="str">
        <f t="shared" si="42"/>
        <v/>
      </c>
    </row>
    <row r="1837" spans="13:13">
      <c r="M1837" t="str">
        <f t="shared" si="42"/>
        <v/>
      </c>
    </row>
    <row r="1838" spans="13:13">
      <c r="M1838" t="str">
        <f t="shared" si="42"/>
        <v/>
      </c>
    </row>
    <row r="1839" spans="13:13">
      <c r="M1839" t="str">
        <f t="shared" si="42"/>
        <v/>
      </c>
    </row>
    <row r="1840" spans="13:13">
      <c r="M1840" t="str">
        <f t="shared" si="42"/>
        <v/>
      </c>
    </row>
    <row r="1841" spans="13:13">
      <c r="M1841" t="str">
        <f t="shared" si="42"/>
        <v/>
      </c>
    </row>
    <row r="1842" spans="13:13">
      <c r="M1842" t="str">
        <f t="shared" si="42"/>
        <v/>
      </c>
    </row>
    <row r="1843" spans="13:13">
      <c r="M1843" t="str">
        <f t="shared" si="42"/>
        <v/>
      </c>
    </row>
    <row r="1844" spans="13:13">
      <c r="M1844" t="str">
        <f t="shared" si="42"/>
        <v/>
      </c>
    </row>
    <row r="1845" spans="13:13">
      <c r="M1845" t="str">
        <f t="shared" si="42"/>
        <v/>
      </c>
    </row>
    <row r="1846" spans="13:13">
      <c r="M1846" t="str">
        <f t="shared" si="42"/>
        <v/>
      </c>
    </row>
    <row r="1847" spans="13:13">
      <c r="M1847" t="str">
        <f t="shared" si="42"/>
        <v/>
      </c>
    </row>
    <row r="1848" spans="13:13">
      <c r="M1848" t="str">
        <f t="shared" si="42"/>
        <v/>
      </c>
    </row>
    <row r="1849" spans="13:13">
      <c r="M1849" t="str">
        <f t="shared" si="42"/>
        <v/>
      </c>
    </row>
    <row r="1850" spans="13:13">
      <c r="M1850" t="str">
        <f t="shared" si="42"/>
        <v/>
      </c>
    </row>
    <row r="1851" spans="13:13">
      <c r="M1851" t="str">
        <f t="shared" si="42"/>
        <v/>
      </c>
    </row>
    <row r="1852" spans="13:13">
      <c r="M1852" t="str">
        <f t="shared" si="42"/>
        <v/>
      </c>
    </row>
    <row r="1853" spans="13:13">
      <c r="M1853" t="str">
        <f t="shared" si="42"/>
        <v/>
      </c>
    </row>
    <row r="1854" spans="13:13">
      <c r="M1854" t="str">
        <f t="shared" si="42"/>
        <v/>
      </c>
    </row>
    <row r="1855" spans="13:13">
      <c r="M1855" t="str">
        <f t="shared" si="42"/>
        <v/>
      </c>
    </row>
    <row r="1856" spans="13:13">
      <c r="M1856" t="str">
        <f t="shared" si="42"/>
        <v/>
      </c>
    </row>
    <row r="1857" spans="13:13">
      <c r="M1857" t="str">
        <f t="shared" si="42"/>
        <v/>
      </c>
    </row>
    <row r="1858" spans="13:13">
      <c r="M1858" t="str">
        <f t="shared" si="42"/>
        <v/>
      </c>
    </row>
    <row r="1859" spans="13:13">
      <c r="M1859" t="str">
        <f t="shared" si="42"/>
        <v/>
      </c>
    </row>
    <row r="1860" spans="13:13">
      <c r="M1860" t="str">
        <f t="shared" si="42"/>
        <v/>
      </c>
    </row>
    <row r="1861" spans="13:13">
      <c r="M1861" t="str">
        <f t="shared" ref="M1861:M1924" si="43">IF(A1861="","", WEEKNUM(A1861, 2))</f>
        <v/>
      </c>
    </row>
    <row r="1862" spans="13:13">
      <c r="M1862" t="str">
        <f t="shared" si="43"/>
        <v/>
      </c>
    </row>
    <row r="1863" spans="13:13">
      <c r="M1863" t="str">
        <f t="shared" si="43"/>
        <v/>
      </c>
    </row>
    <row r="1864" spans="13:13">
      <c r="M1864" t="str">
        <f t="shared" si="43"/>
        <v/>
      </c>
    </row>
    <row r="1865" spans="13:13">
      <c r="M1865" t="str">
        <f t="shared" si="43"/>
        <v/>
      </c>
    </row>
    <row r="1866" spans="13:13">
      <c r="M1866" t="str">
        <f t="shared" si="43"/>
        <v/>
      </c>
    </row>
    <row r="1867" spans="13:13">
      <c r="M1867" t="str">
        <f t="shared" si="43"/>
        <v/>
      </c>
    </row>
    <row r="1868" spans="13:13">
      <c r="M1868" t="str">
        <f t="shared" si="43"/>
        <v/>
      </c>
    </row>
    <row r="1869" spans="13:13">
      <c r="M1869" t="str">
        <f t="shared" si="43"/>
        <v/>
      </c>
    </row>
    <row r="1870" spans="13:13">
      <c r="M1870" t="str">
        <f t="shared" si="43"/>
        <v/>
      </c>
    </row>
    <row r="1871" spans="13:13">
      <c r="M1871" t="str">
        <f t="shared" si="43"/>
        <v/>
      </c>
    </row>
    <row r="1872" spans="13:13">
      <c r="M1872" t="str">
        <f t="shared" si="43"/>
        <v/>
      </c>
    </row>
    <row r="1873" spans="13:13">
      <c r="M1873" t="str">
        <f t="shared" si="43"/>
        <v/>
      </c>
    </row>
    <row r="1874" spans="13:13">
      <c r="M1874" t="str">
        <f t="shared" si="43"/>
        <v/>
      </c>
    </row>
    <row r="1875" spans="13:13">
      <c r="M1875" t="str">
        <f t="shared" si="43"/>
        <v/>
      </c>
    </row>
    <row r="1876" spans="13:13">
      <c r="M1876" t="str">
        <f t="shared" si="43"/>
        <v/>
      </c>
    </row>
    <row r="1877" spans="13:13">
      <c r="M1877" t="str">
        <f t="shared" si="43"/>
        <v/>
      </c>
    </row>
    <row r="1878" spans="13:13">
      <c r="M1878" t="str">
        <f t="shared" si="43"/>
        <v/>
      </c>
    </row>
    <row r="1879" spans="13:13">
      <c r="M1879" t="str">
        <f t="shared" si="43"/>
        <v/>
      </c>
    </row>
    <row r="1880" spans="13:13">
      <c r="M1880" t="str">
        <f t="shared" si="43"/>
        <v/>
      </c>
    </row>
    <row r="1881" spans="13:13">
      <c r="M1881" t="str">
        <f t="shared" si="43"/>
        <v/>
      </c>
    </row>
    <row r="1882" spans="13:13">
      <c r="M1882" t="str">
        <f t="shared" si="43"/>
        <v/>
      </c>
    </row>
    <row r="1883" spans="13:13">
      <c r="M1883" t="str">
        <f t="shared" si="43"/>
        <v/>
      </c>
    </row>
    <row r="1884" spans="13:13">
      <c r="M1884" t="str">
        <f t="shared" si="43"/>
        <v/>
      </c>
    </row>
    <row r="1885" spans="13:13">
      <c r="M1885" t="str">
        <f t="shared" si="43"/>
        <v/>
      </c>
    </row>
    <row r="1886" spans="13:13">
      <c r="M1886" t="str">
        <f t="shared" si="43"/>
        <v/>
      </c>
    </row>
    <row r="1887" spans="13:13">
      <c r="M1887" t="str">
        <f t="shared" si="43"/>
        <v/>
      </c>
    </row>
    <row r="1888" spans="13:13">
      <c r="M1888" t="str">
        <f t="shared" si="43"/>
        <v/>
      </c>
    </row>
    <row r="1889" spans="13:13">
      <c r="M1889" t="str">
        <f t="shared" si="43"/>
        <v/>
      </c>
    </row>
    <row r="1890" spans="13:13">
      <c r="M1890" t="str">
        <f t="shared" si="43"/>
        <v/>
      </c>
    </row>
    <row r="1891" spans="13:13">
      <c r="M1891" t="str">
        <f t="shared" si="43"/>
        <v/>
      </c>
    </row>
    <row r="1892" spans="13:13">
      <c r="M1892" t="str">
        <f t="shared" si="43"/>
        <v/>
      </c>
    </row>
    <row r="1893" spans="13:13">
      <c r="M1893" t="str">
        <f t="shared" si="43"/>
        <v/>
      </c>
    </row>
    <row r="1894" spans="13:13">
      <c r="M1894" t="str">
        <f t="shared" si="43"/>
        <v/>
      </c>
    </row>
    <row r="1895" spans="13:13">
      <c r="M1895" t="str">
        <f t="shared" si="43"/>
        <v/>
      </c>
    </row>
    <row r="1896" spans="13:13">
      <c r="M1896" t="str">
        <f t="shared" si="43"/>
        <v/>
      </c>
    </row>
    <row r="1897" spans="13:13">
      <c r="M1897" t="str">
        <f t="shared" si="43"/>
        <v/>
      </c>
    </row>
    <row r="1898" spans="13:13">
      <c r="M1898" t="str">
        <f t="shared" si="43"/>
        <v/>
      </c>
    </row>
    <row r="1899" spans="13:13">
      <c r="M1899" t="str">
        <f t="shared" si="43"/>
        <v/>
      </c>
    </row>
    <row r="1900" spans="13:13">
      <c r="M1900" t="str">
        <f t="shared" si="43"/>
        <v/>
      </c>
    </row>
    <row r="1901" spans="13:13">
      <c r="M1901" t="str">
        <f t="shared" si="43"/>
        <v/>
      </c>
    </row>
    <row r="1902" spans="13:13">
      <c r="M1902" t="str">
        <f t="shared" si="43"/>
        <v/>
      </c>
    </row>
    <row r="1903" spans="13:13">
      <c r="M1903" t="str">
        <f t="shared" si="43"/>
        <v/>
      </c>
    </row>
    <row r="1904" spans="13:13">
      <c r="M1904" t="str">
        <f t="shared" si="43"/>
        <v/>
      </c>
    </row>
    <row r="1905" spans="13:13">
      <c r="M1905" t="str">
        <f t="shared" si="43"/>
        <v/>
      </c>
    </row>
    <row r="1906" spans="13:13">
      <c r="M1906" t="str">
        <f t="shared" si="43"/>
        <v/>
      </c>
    </row>
    <row r="1907" spans="13:13">
      <c r="M1907" t="str">
        <f t="shared" si="43"/>
        <v/>
      </c>
    </row>
    <row r="1908" spans="13:13">
      <c r="M1908" t="str">
        <f t="shared" si="43"/>
        <v/>
      </c>
    </row>
    <row r="1909" spans="13:13">
      <c r="M1909" t="str">
        <f t="shared" si="43"/>
        <v/>
      </c>
    </row>
    <row r="1910" spans="13:13">
      <c r="M1910" t="str">
        <f t="shared" si="43"/>
        <v/>
      </c>
    </row>
    <row r="1911" spans="13:13">
      <c r="M1911" t="str">
        <f t="shared" si="43"/>
        <v/>
      </c>
    </row>
    <row r="1912" spans="13:13">
      <c r="M1912" t="str">
        <f t="shared" si="43"/>
        <v/>
      </c>
    </row>
    <row r="1913" spans="13:13">
      <c r="M1913" t="str">
        <f t="shared" si="43"/>
        <v/>
      </c>
    </row>
    <row r="1914" spans="13:13">
      <c r="M1914" t="str">
        <f t="shared" si="43"/>
        <v/>
      </c>
    </row>
    <row r="1915" spans="13:13">
      <c r="M1915" t="str">
        <f t="shared" si="43"/>
        <v/>
      </c>
    </row>
    <row r="1916" spans="13:13">
      <c r="M1916" t="str">
        <f t="shared" si="43"/>
        <v/>
      </c>
    </row>
    <row r="1917" spans="13:13">
      <c r="M1917" t="str">
        <f t="shared" si="43"/>
        <v/>
      </c>
    </row>
    <row r="1918" spans="13:13">
      <c r="M1918" t="str">
        <f t="shared" si="43"/>
        <v/>
      </c>
    </row>
    <row r="1919" spans="13:13">
      <c r="M1919" t="str">
        <f t="shared" si="43"/>
        <v/>
      </c>
    </row>
    <row r="1920" spans="13:13">
      <c r="M1920" t="str">
        <f t="shared" si="43"/>
        <v/>
      </c>
    </row>
    <row r="1921" spans="13:13">
      <c r="M1921" t="str">
        <f t="shared" si="43"/>
        <v/>
      </c>
    </row>
    <row r="1922" spans="13:13">
      <c r="M1922" t="str">
        <f t="shared" si="43"/>
        <v/>
      </c>
    </row>
    <row r="1923" spans="13:13">
      <c r="M1923" t="str">
        <f t="shared" si="43"/>
        <v/>
      </c>
    </row>
    <row r="1924" spans="13:13">
      <c r="M1924" t="str">
        <f t="shared" si="43"/>
        <v/>
      </c>
    </row>
    <row r="1925" spans="13:13">
      <c r="M1925" t="str">
        <f t="shared" ref="M1925:M1988" si="44">IF(A1925="","", WEEKNUM(A1925, 2))</f>
        <v/>
      </c>
    </row>
    <row r="1926" spans="13:13">
      <c r="M1926" t="str">
        <f t="shared" si="44"/>
        <v/>
      </c>
    </row>
    <row r="1927" spans="13:13">
      <c r="M1927" t="str">
        <f t="shared" si="44"/>
        <v/>
      </c>
    </row>
    <row r="1928" spans="13:13">
      <c r="M1928" t="str">
        <f t="shared" si="44"/>
        <v/>
      </c>
    </row>
    <row r="1929" spans="13:13">
      <c r="M1929" t="str">
        <f t="shared" si="44"/>
        <v/>
      </c>
    </row>
    <row r="1930" spans="13:13">
      <c r="M1930" t="str">
        <f t="shared" si="44"/>
        <v/>
      </c>
    </row>
    <row r="1931" spans="13:13">
      <c r="M1931" t="str">
        <f t="shared" si="44"/>
        <v/>
      </c>
    </row>
    <row r="1932" spans="13:13">
      <c r="M1932" t="str">
        <f t="shared" si="44"/>
        <v/>
      </c>
    </row>
    <row r="1933" spans="13:13">
      <c r="M1933" t="str">
        <f t="shared" si="44"/>
        <v/>
      </c>
    </row>
    <row r="1934" spans="13:13">
      <c r="M1934" t="str">
        <f t="shared" si="44"/>
        <v/>
      </c>
    </row>
    <row r="1935" spans="13:13">
      <c r="M1935" t="str">
        <f t="shared" si="44"/>
        <v/>
      </c>
    </row>
    <row r="1936" spans="13:13">
      <c r="M1936" t="str">
        <f t="shared" si="44"/>
        <v/>
      </c>
    </row>
    <row r="1937" spans="13:13">
      <c r="M1937" t="str">
        <f t="shared" si="44"/>
        <v/>
      </c>
    </row>
    <row r="1938" spans="13:13">
      <c r="M1938" t="str">
        <f t="shared" si="44"/>
        <v/>
      </c>
    </row>
    <row r="1939" spans="13:13">
      <c r="M1939" t="str">
        <f t="shared" si="44"/>
        <v/>
      </c>
    </row>
    <row r="1940" spans="13:13">
      <c r="M1940" t="str">
        <f t="shared" si="44"/>
        <v/>
      </c>
    </row>
    <row r="1941" spans="13:13">
      <c r="M1941" t="str">
        <f t="shared" si="44"/>
        <v/>
      </c>
    </row>
    <row r="1942" spans="13:13">
      <c r="M1942" t="str">
        <f t="shared" si="44"/>
        <v/>
      </c>
    </row>
    <row r="1943" spans="13:13">
      <c r="M1943" t="str">
        <f t="shared" si="44"/>
        <v/>
      </c>
    </row>
    <row r="1944" spans="13:13">
      <c r="M1944" t="str">
        <f t="shared" si="44"/>
        <v/>
      </c>
    </row>
    <row r="1945" spans="13:13">
      <c r="M1945" t="str">
        <f t="shared" si="44"/>
        <v/>
      </c>
    </row>
    <row r="1946" spans="13:13">
      <c r="M1946" t="str">
        <f t="shared" si="44"/>
        <v/>
      </c>
    </row>
    <row r="1947" spans="13:13">
      <c r="M1947" t="str">
        <f t="shared" si="44"/>
        <v/>
      </c>
    </row>
    <row r="1948" spans="13:13">
      <c r="M1948" t="str">
        <f t="shared" si="44"/>
        <v/>
      </c>
    </row>
    <row r="1949" spans="13:13">
      <c r="M1949" t="str">
        <f t="shared" si="44"/>
        <v/>
      </c>
    </row>
    <row r="1950" spans="13:13">
      <c r="M1950" t="str">
        <f t="shared" si="44"/>
        <v/>
      </c>
    </row>
    <row r="1951" spans="13:13">
      <c r="M1951" t="str">
        <f t="shared" si="44"/>
        <v/>
      </c>
    </row>
    <row r="1952" spans="13:13">
      <c r="M1952" t="str">
        <f t="shared" si="44"/>
        <v/>
      </c>
    </row>
    <row r="1953" spans="13:13">
      <c r="M1953" t="str">
        <f t="shared" si="44"/>
        <v/>
      </c>
    </row>
    <row r="1954" spans="13:13">
      <c r="M1954" t="str">
        <f t="shared" si="44"/>
        <v/>
      </c>
    </row>
    <row r="1955" spans="13:13">
      <c r="M1955" t="str">
        <f t="shared" si="44"/>
        <v/>
      </c>
    </row>
    <row r="1956" spans="13:13">
      <c r="M1956" t="str">
        <f t="shared" si="44"/>
        <v/>
      </c>
    </row>
    <row r="1957" spans="13:13">
      <c r="M1957" t="str">
        <f t="shared" si="44"/>
        <v/>
      </c>
    </row>
    <row r="1958" spans="13:13">
      <c r="M1958" t="str">
        <f t="shared" si="44"/>
        <v/>
      </c>
    </row>
    <row r="1959" spans="13:13">
      <c r="M1959" t="str">
        <f t="shared" si="44"/>
        <v/>
      </c>
    </row>
    <row r="1960" spans="13:13">
      <c r="M1960" t="str">
        <f t="shared" si="44"/>
        <v/>
      </c>
    </row>
    <row r="1961" spans="13:13">
      <c r="M1961" t="str">
        <f t="shared" si="44"/>
        <v/>
      </c>
    </row>
    <row r="1962" spans="13:13">
      <c r="M1962" t="str">
        <f t="shared" si="44"/>
        <v/>
      </c>
    </row>
    <row r="1963" spans="13:13">
      <c r="M1963" t="str">
        <f t="shared" si="44"/>
        <v/>
      </c>
    </row>
    <row r="1964" spans="13:13">
      <c r="M1964" t="str">
        <f t="shared" si="44"/>
        <v/>
      </c>
    </row>
    <row r="1965" spans="13:13">
      <c r="M1965" t="str">
        <f t="shared" si="44"/>
        <v/>
      </c>
    </row>
    <row r="1966" spans="13:13">
      <c r="M1966" t="str">
        <f t="shared" si="44"/>
        <v/>
      </c>
    </row>
    <row r="1967" spans="13:13">
      <c r="M1967" t="str">
        <f t="shared" si="44"/>
        <v/>
      </c>
    </row>
    <row r="1968" spans="13:13">
      <c r="M1968" t="str">
        <f t="shared" si="44"/>
        <v/>
      </c>
    </row>
    <row r="1969" spans="13:13">
      <c r="M1969" t="str">
        <f t="shared" si="44"/>
        <v/>
      </c>
    </row>
    <row r="1970" spans="13:13">
      <c r="M1970" t="str">
        <f t="shared" si="44"/>
        <v/>
      </c>
    </row>
    <row r="1971" spans="13:13">
      <c r="M1971" t="str">
        <f t="shared" si="44"/>
        <v/>
      </c>
    </row>
    <row r="1972" spans="13:13">
      <c r="M1972" t="str">
        <f t="shared" si="44"/>
        <v/>
      </c>
    </row>
    <row r="1973" spans="13:13">
      <c r="M1973" t="str">
        <f t="shared" si="44"/>
        <v/>
      </c>
    </row>
    <row r="1974" spans="13:13">
      <c r="M1974" t="str">
        <f t="shared" si="44"/>
        <v/>
      </c>
    </row>
    <row r="1975" spans="13:13">
      <c r="M1975" t="str">
        <f t="shared" si="44"/>
        <v/>
      </c>
    </row>
    <row r="1976" spans="13:13">
      <c r="M1976" t="str">
        <f t="shared" si="44"/>
        <v/>
      </c>
    </row>
    <row r="1977" spans="13:13">
      <c r="M1977" t="str">
        <f t="shared" si="44"/>
        <v/>
      </c>
    </row>
    <row r="1978" spans="13:13">
      <c r="M1978" t="str">
        <f t="shared" si="44"/>
        <v/>
      </c>
    </row>
    <row r="1979" spans="13:13">
      <c r="M1979" t="str">
        <f t="shared" si="44"/>
        <v/>
      </c>
    </row>
    <row r="1980" spans="13:13">
      <c r="M1980" t="str">
        <f t="shared" si="44"/>
        <v/>
      </c>
    </row>
    <row r="1981" spans="13:13">
      <c r="M1981" t="str">
        <f t="shared" si="44"/>
        <v/>
      </c>
    </row>
    <row r="1982" spans="13:13">
      <c r="M1982" t="str">
        <f t="shared" si="44"/>
        <v/>
      </c>
    </row>
    <row r="1983" spans="13:13">
      <c r="M1983" t="str">
        <f t="shared" si="44"/>
        <v/>
      </c>
    </row>
    <row r="1984" spans="13:13">
      <c r="M1984" t="str">
        <f t="shared" si="44"/>
        <v/>
      </c>
    </row>
    <row r="1985" spans="13:13">
      <c r="M1985" t="str">
        <f t="shared" si="44"/>
        <v/>
      </c>
    </row>
    <row r="1986" spans="13:13">
      <c r="M1986" t="str">
        <f t="shared" si="44"/>
        <v/>
      </c>
    </row>
    <row r="1987" spans="13:13">
      <c r="M1987" t="str">
        <f t="shared" si="44"/>
        <v/>
      </c>
    </row>
    <row r="1988" spans="13:13">
      <c r="M1988" t="str">
        <f t="shared" si="44"/>
        <v/>
      </c>
    </row>
    <row r="1989" spans="13:13">
      <c r="M1989" t="str">
        <f t="shared" ref="M1989:M2000" si="45">IF(A1989="","", WEEKNUM(A1989, 2))</f>
        <v/>
      </c>
    </row>
    <row r="1990" spans="13:13">
      <c r="M1990" t="str">
        <f t="shared" si="45"/>
        <v/>
      </c>
    </row>
    <row r="1991" spans="13:13">
      <c r="M1991" t="str">
        <f t="shared" si="45"/>
        <v/>
      </c>
    </row>
    <row r="1992" spans="13:13">
      <c r="M1992" t="str">
        <f t="shared" si="45"/>
        <v/>
      </c>
    </row>
    <row r="1993" spans="13:13">
      <c r="M1993" t="str">
        <f t="shared" si="45"/>
        <v/>
      </c>
    </row>
    <row r="1994" spans="13:13">
      <c r="M1994" t="str">
        <f t="shared" si="45"/>
        <v/>
      </c>
    </row>
    <row r="1995" spans="13:13">
      <c r="M1995" t="str">
        <f t="shared" si="45"/>
        <v/>
      </c>
    </row>
    <row r="1996" spans="13:13">
      <c r="M1996" t="str">
        <f t="shared" si="45"/>
        <v/>
      </c>
    </row>
    <row r="1997" spans="13:13">
      <c r="M1997" t="str">
        <f t="shared" si="45"/>
        <v/>
      </c>
    </row>
    <row r="1998" spans="13:13">
      <c r="M1998" t="str">
        <f t="shared" si="45"/>
        <v/>
      </c>
    </row>
    <row r="1999" spans="13:13">
      <c r="M1999" t="str">
        <f t="shared" si="45"/>
        <v/>
      </c>
    </row>
    <row r="2000" spans="13:13">
      <c r="M2000" t="str">
        <f t="shared" si="45"/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00"/>
  <sheetViews>
    <sheetView topLeftCell="A219" workbookViewId="0"/>
  </sheetViews>
  <sheetFormatPr baseColWidth="10" defaultRowHeight="13.8"/>
  <sheetData>
    <row r="1" spans="1:11" ht="17.399999999999999">
      <c r="A1" s="17844" t="s">
        <v>64</v>
      </c>
    </row>
    <row r="2" spans="1:11">
      <c r="A2" t="s">
        <v>31</v>
      </c>
      <c r="C2" t="s">
        <v>6</v>
      </c>
      <c r="E2" t="s">
        <v>7</v>
      </c>
      <c r="G2" t="s">
        <v>32</v>
      </c>
      <c r="I2" t="s">
        <v>24</v>
      </c>
    </row>
    <row r="4" spans="1:11" ht="27.6">
      <c r="A4" s="1" t="s">
        <v>75</v>
      </c>
      <c r="B4" s="1" t="s">
        <v>0</v>
      </c>
      <c r="C4" s="1" t="s">
        <v>74</v>
      </c>
      <c r="D4" s="1" t="s">
        <v>27</v>
      </c>
      <c r="E4" s="1" t="s">
        <v>28</v>
      </c>
      <c r="F4" s="17654" t="s">
        <v>67</v>
      </c>
      <c r="G4" s="1" t="s">
        <v>17</v>
      </c>
      <c r="H4" s="1" t="s">
        <v>18</v>
      </c>
      <c r="I4" s="1" t="s">
        <v>106</v>
      </c>
      <c r="J4" s="1" t="s">
        <v>36</v>
      </c>
      <c r="K4" s="1" t="s">
        <v>408</v>
      </c>
    </row>
    <row r="5" spans="1:11">
      <c r="A5" s="2">
        <v>46180</v>
      </c>
      <c r="B5" t="s">
        <v>1</v>
      </c>
      <c r="C5" s="2">
        <v>46181</v>
      </c>
      <c r="D5" t="s">
        <v>65</v>
      </c>
      <c r="E5" t="e">
        <f>VLOOKUP(#REF!,Catalogos!$I$4:$J$64,2,FALSE)</f>
        <v>#REF!</v>
      </c>
      <c r="F5" s="6">
        <v>200</v>
      </c>
      <c r="G5" s="4">
        <v>27</v>
      </c>
      <c r="H5" s="4">
        <f t="shared" ref="H5:H70" si="0">IFERROR(F5*G5,0)</f>
        <v>5400</v>
      </c>
      <c r="I5" t="e">
        <f>VLOOKUP(#REF!,Catalogos!$B$3:$C$10,2,FALSE)</f>
        <v>#REF!</v>
      </c>
      <c r="K5">
        <v>24</v>
      </c>
    </row>
    <row r="6" spans="1:11">
      <c r="A6" s="2">
        <v>46180</v>
      </c>
      <c r="B6" t="s">
        <v>1</v>
      </c>
      <c r="C6" s="2">
        <v>46181</v>
      </c>
      <c r="D6" t="s">
        <v>69</v>
      </c>
      <c r="E6" t="e">
        <f>VLOOKUP(#REF!,Catalogos!$I$4:$J$64,2,FALSE)</f>
        <v>#REF!</v>
      </c>
      <c r="F6" s="6">
        <v>300</v>
      </c>
      <c r="G6" s="4">
        <v>27</v>
      </c>
      <c r="H6" s="4">
        <f t="shared" si="0"/>
        <v>8100</v>
      </c>
      <c r="I6" t="e">
        <f>VLOOKUP(#REF!,Catalogos!$B$3:$C$10,2,FALSE)</f>
        <v>#REF!</v>
      </c>
      <c r="K6">
        <v>24</v>
      </c>
    </row>
    <row r="7" spans="1:11">
      <c r="A7" s="2">
        <v>46180</v>
      </c>
      <c r="B7" t="s">
        <v>1</v>
      </c>
      <c r="C7" s="2">
        <v>46181</v>
      </c>
      <c r="D7" t="s">
        <v>56</v>
      </c>
      <c r="E7" t="e">
        <f>VLOOKUP(#REF!,Catalogos!$I$4:$J$64,2,FALSE)</f>
        <v>#REF!</v>
      </c>
      <c r="F7" s="6">
        <v>30</v>
      </c>
      <c r="G7" s="4">
        <v>27</v>
      </c>
      <c r="H7" s="4">
        <f t="shared" si="0"/>
        <v>810</v>
      </c>
      <c r="I7" t="e">
        <f>VLOOKUP(#REF!,Catalogos!$B$3:$C$10,2,FALSE)</f>
        <v>#REF!</v>
      </c>
      <c r="K7">
        <v>24</v>
      </c>
    </row>
    <row r="8" spans="1:11">
      <c r="A8" s="2">
        <v>46180</v>
      </c>
      <c r="B8" t="s">
        <v>1</v>
      </c>
      <c r="C8" s="2">
        <v>46181</v>
      </c>
      <c r="D8" t="s">
        <v>70</v>
      </c>
      <c r="E8" t="e">
        <f>VLOOKUP(#REF!,Catalogos!$I$4:$J$64,2,FALSE)</f>
        <v>#REF!</v>
      </c>
      <c r="F8" s="6">
        <v>20</v>
      </c>
      <c r="G8" s="4">
        <v>27</v>
      </c>
      <c r="H8" s="4">
        <f t="shared" si="0"/>
        <v>540</v>
      </c>
      <c r="I8" t="e">
        <f>VLOOKUP(#REF!,Catalogos!$B$3:$C$10,2,FALSE)</f>
        <v>#REF!</v>
      </c>
      <c r="K8">
        <v>24</v>
      </c>
    </row>
    <row r="9" spans="1:11">
      <c r="A9" s="2">
        <v>46180</v>
      </c>
      <c r="B9" t="s">
        <v>1</v>
      </c>
      <c r="C9" s="2">
        <v>46181</v>
      </c>
      <c r="D9" t="s">
        <v>85</v>
      </c>
      <c r="E9" t="e">
        <f>VLOOKUP(#REF!,Catalogos!$I$4:$J$64,2,FALSE)</f>
        <v>#REF!</v>
      </c>
      <c r="F9" s="6">
        <v>30</v>
      </c>
      <c r="G9" s="4">
        <v>27</v>
      </c>
      <c r="H9" s="4">
        <f t="shared" si="0"/>
        <v>810</v>
      </c>
      <c r="I9" t="e">
        <f>VLOOKUP(#REF!,Catalogos!$B$3:$C$10,2,FALSE)</f>
        <v>#REF!</v>
      </c>
      <c r="K9">
        <v>24</v>
      </c>
    </row>
    <row r="10" spans="1:11">
      <c r="A10" s="2">
        <v>46180</v>
      </c>
      <c r="B10" t="s">
        <v>1</v>
      </c>
      <c r="C10" s="2">
        <v>46181</v>
      </c>
      <c r="D10" t="s">
        <v>48</v>
      </c>
      <c r="E10" t="e">
        <f>VLOOKUP(#REF!,Catalogos!$I$4:$J$64,2,FALSE)</f>
        <v>#REF!</v>
      </c>
      <c r="F10" s="6">
        <v>30</v>
      </c>
      <c r="G10" s="4">
        <v>27</v>
      </c>
      <c r="H10" s="4">
        <f t="shared" si="0"/>
        <v>810</v>
      </c>
      <c r="I10" t="e">
        <f>VLOOKUP(#REF!,Catalogos!$B$3:$C$10,2,FALSE)</f>
        <v>#REF!</v>
      </c>
      <c r="K10">
        <v>24</v>
      </c>
    </row>
    <row r="11" spans="1:11">
      <c r="A11" s="2">
        <v>46180</v>
      </c>
      <c r="B11" t="s">
        <v>1</v>
      </c>
      <c r="C11" s="2">
        <v>46181</v>
      </c>
      <c r="D11" t="s">
        <v>102</v>
      </c>
      <c r="E11" t="e">
        <f>VLOOKUP(#REF!,Catalogos!$I$4:$J$64,2,FALSE)</f>
        <v>#REF!</v>
      </c>
      <c r="F11" s="6">
        <v>30</v>
      </c>
      <c r="G11" s="4">
        <v>27</v>
      </c>
      <c r="H11" s="4">
        <f t="shared" si="0"/>
        <v>810</v>
      </c>
      <c r="I11" t="e">
        <f>VLOOKUP(#REF!,Catalogos!$B$3:$C$10,2,FALSE)</f>
        <v>#REF!</v>
      </c>
      <c r="K11">
        <v>24</v>
      </c>
    </row>
    <row r="12" spans="1:11">
      <c r="A12" s="2">
        <v>46180</v>
      </c>
      <c r="B12" t="s">
        <v>2</v>
      </c>
      <c r="C12" s="2">
        <v>46181</v>
      </c>
      <c r="D12" t="s">
        <v>56</v>
      </c>
      <c r="E12" t="e">
        <f>VLOOKUP(#REF!,Catalogos!$I$4:$J$64,2,FALSE)</f>
        <v>#REF!</v>
      </c>
      <c r="F12" s="6">
        <v>50</v>
      </c>
      <c r="G12" s="4">
        <v>27</v>
      </c>
      <c r="H12" s="4">
        <f t="shared" si="0"/>
        <v>1350</v>
      </c>
      <c r="I12" t="e">
        <f>VLOOKUP(#REF!,Catalogos!$B$3:$C$10,2,FALSE)</f>
        <v>#REF!</v>
      </c>
      <c r="K12">
        <v>24</v>
      </c>
    </row>
    <row r="13" spans="1:11">
      <c r="A13" s="2">
        <v>46180</v>
      </c>
      <c r="B13" t="s">
        <v>2</v>
      </c>
      <c r="C13" s="2">
        <v>46181</v>
      </c>
      <c r="D13" t="s">
        <v>85</v>
      </c>
      <c r="E13" t="e">
        <f>VLOOKUP(#REF!,Catalogos!$I$4:$J$64,2,FALSE)</f>
        <v>#REF!</v>
      </c>
      <c r="F13" s="6">
        <v>50</v>
      </c>
      <c r="G13" s="4">
        <v>27</v>
      </c>
      <c r="H13" s="4">
        <f t="shared" si="0"/>
        <v>1350</v>
      </c>
      <c r="I13" t="e">
        <f>VLOOKUP(#REF!,Catalogos!$B$3:$C$10,2,FALSE)</f>
        <v>#REF!</v>
      </c>
      <c r="K13">
        <v>24</v>
      </c>
    </row>
    <row r="14" spans="1:11">
      <c r="A14" s="2">
        <v>46180</v>
      </c>
      <c r="B14" t="s">
        <v>2</v>
      </c>
      <c r="C14" s="2">
        <v>46181</v>
      </c>
      <c r="D14" t="s">
        <v>60</v>
      </c>
      <c r="E14" t="e">
        <f>VLOOKUP(#REF!,Catalogos!$I$4:$J$64,2,FALSE)</f>
        <v>#REF!</v>
      </c>
      <c r="F14" s="6">
        <v>60</v>
      </c>
      <c r="G14" s="4">
        <v>27</v>
      </c>
      <c r="H14" s="4">
        <f t="shared" si="0"/>
        <v>1620</v>
      </c>
      <c r="I14" t="e">
        <f>VLOOKUP(#REF!,Catalogos!$B$3:$C$10,2,FALSE)</f>
        <v>#REF!</v>
      </c>
      <c r="K14">
        <v>24</v>
      </c>
    </row>
    <row r="15" spans="1:11">
      <c r="A15" s="2">
        <v>46181</v>
      </c>
      <c r="B15" t="s">
        <v>111</v>
      </c>
      <c r="D15" t="s">
        <v>56</v>
      </c>
      <c r="E15" t="e">
        <f>VLOOKUP(#REF!,Catalogos!$I$4:$J$64,2,FALSE)</f>
        <v>#REF!</v>
      </c>
      <c r="F15" s="6">
        <v>100</v>
      </c>
      <c r="G15" s="4">
        <v>27</v>
      </c>
      <c r="H15" s="4">
        <f>IFERROR(F15*G15,0)</f>
        <v>2700</v>
      </c>
      <c r="I15" t="e">
        <f>VLOOKUP(#REF!,Catalogos!$B$3:$C$10,2,FALSE)</f>
        <v>#REF!</v>
      </c>
      <c r="K15">
        <v>24</v>
      </c>
    </row>
    <row r="16" spans="1:11">
      <c r="A16" s="2">
        <v>46181</v>
      </c>
      <c r="B16" t="s">
        <v>3</v>
      </c>
      <c r="C16" s="2">
        <v>46181</v>
      </c>
      <c r="D16" t="s">
        <v>76</v>
      </c>
      <c r="E16" t="e">
        <f>VLOOKUP(#REF!,Catalogos!$I$4:$J$64,2,FALSE)</f>
        <v>#REF!</v>
      </c>
      <c r="F16" s="6">
        <v>250</v>
      </c>
      <c r="G16" s="4">
        <v>27</v>
      </c>
      <c r="H16" s="4">
        <f t="shared" si="0"/>
        <v>6750</v>
      </c>
      <c r="I16" t="e">
        <f>VLOOKUP(#REF!,Catalogos!$B$3:$C$10,2,FALSE)</f>
        <v>#REF!</v>
      </c>
      <c r="K16">
        <v>24</v>
      </c>
    </row>
    <row r="17" spans="1:11">
      <c r="A17" s="2">
        <v>46181</v>
      </c>
      <c r="B17" t="s">
        <v>3</v>
      </c>
      <c r="C17" s="2">
        <v>46181</v>
      </c>
      <c r="D17" t="s">
        <v>78</v>
      </c>
      <c r="E17" t="e">
        <f>VLOOKUP(#REF!,Catalogos!$I$4:$J$64,2,FALSE)</f>
        <v>#REF!</v>
      </c>
      <c r="F17" s="6">
        <v>150</v>
      </c>
      <c r="G17" s="4">
        <v>27</v>
      </c>
      <c r="H17" s="4">
        <f t="shared" si="0"/>
        <v>4050</v>
      </c>
      <c r="I17" t="e">
        <f>VLOOKUP(#REF!,Catalogos!$B$3:$C$10,2,FALSE)</f>
        <v>#REF!</v>
      </c>
      <c r="K17">
        <v>24</v>
      </c>
    </row>
    <row r="18" spans="1:11">
      <c r="A18" s="2">
        <v>46181</v>
      </c>
      <c r="B18" t="s">
        <v>3</v>
      </c>
      <c r="C18" s="2">
        <v>46181</v>
      </c>
      <c r="D18" t="s">
        <v>79</v>
      </c>
      <c r="E18" t="e">
        <f>VLOOKUP(#REF!,Catalogos!$I$4:$J$64,2,FALSE)</f>
        <v>#REF!</v>
      </c>
      <c r="F18" s="6">
        <v>40</v>
      </c>
      <c r="G18" s="4">
        <v>27</v>
      </c>
      <c r="H18" s="4">
        <f t="shared" si="0"/>
        <v>1080</v>
      </c>
      <c r="I18" t="e">
        <f>VLOOKUP(#REF!,Catalogos!$B$3:$C$10,2,FALSE)</f>
        <v>#REF!</v>
      </c>
      <c r="K18">
        <v>24</v>
      </c>
    </row>
    <row r="19" spans="1:11">
      <c r="A19" s="2">
        <v>46181</v>
      </c>
      <c r="B19" t="s">
        <v>3</v>
      </c>
      <c r="C19" s="2">
        <v>46181</v>
      </c>
      <c r="D19" t="s">
        <v>81</v>
      </c>
      <c r="E19" t="e">
        <f>VLOOKUP(#REF!,Catalogos!$I$4:$J$64,2,FALSE)</f>
        <v>#REF!</v>
      </c>
      <c r="F19" s="6">
        <v>60</v>
      </c>
      <c r="G19" s="4">
        <v>27</v>
      </c>
      <c r="H19" s="4">
        <f t="shared" si="0"/>
        <v>1620</v>
      </c>
      <c r="I19" t="e">
        <f>VLOOKUP(#REF!,Catalogos!$B$3:$C$10,2,FALSE)</f>
        <v>#REF!</v>
      </c>
      <c r="K19">
        <v>24</v>
      </c>
    </row>
    <row r="20" spans="1:11">
      <c r="A20" s="2">
        <v>46181</v>
      </c>
      <c r="B20" t="s">
        <v>3</v>
      </c>
      <c r="C20" s="2">
        <v>46181</v>
      </c>
      <c r="D20" t="s">
        <v>83</v>
      </c>
      <c r="E20" t="e">
        <f>VLOOKUP(#REF!,Catalogos!$I$4:$J$64,2,FALSE)</f>
        <v>#REF!</v>
      </c>
      <c r="F20" s="6">
        <v>100</v>
      </c>
      <c r="G20" s="4">
        <v>27</v>
      </c>
      <c r="H20" s="4">
        <f t="shared" si="0"/>
        <v>2700</v>
      </c>
      <c r="I20" t="e">
        <f>VLOOKUP(#REF!,Catalogos!$B$3:$C$10,2,FALSE)</f>
        <v>#REF!</v>
      </c>
      <c r="K20">
        <v>24</v>
      </c>
    </row>
    <row r="21" spans="1:11">
      <c r="A21" s="2">
        <v>46181</v>
      </c>
      <c r="B21" t="s">
        <v>3</v>
      </c>
      <c r="C21" s="2">
        <v>46181</v>
      </c>
      <c r="D21" t="s">
        <v>86</v>
      </c>
      <c r="E21" t="e">
        <f>VLOOKUP(#REF!,Catalogos!$I$4:$J$64,2,FALSE)</f>
        <v>#REF!</v>
      </c>
      <c r="F21" s="6">
        <v>100</v>
      </c>
      <c r="G21" s="4">
        <v>27</v>
      </c>
      <c r="H21" s="4">
        <f t="shared" si="0"/>
        <v>2700</v>
      </c>
      <c r="I21" t="e">
        <f>VLOOKUP(#REF!,Catalogos!$B$3:$C$10,2,FALSE)</f>
        <v>#REF!</v>
      </c>
      <c r="K21">
        <v>24</v>
      </c>
    </row>
    <row r="22" spans="1:11">
      <c r="A22" s="2">
        <v>46181</v>
      </c>
      <c r="B22" t="s">
        <v>3</v>
      </c>
      <c r="C22" s="2">
        <v>46181</v>
      </c>
      <c r="D22" t="s">
        <v>102</v>
      </c>
      <c r="E22" t="e">
        <f>VLOOKUP(#REF!,Catalogos!$I$4:$J$64,2,FALSE)</f>
        <v>#REF!</v>
      </c>
      <c r="F22" s="6">
        <v>20</v>
      </c>
      <c r="G22" s="4">
        <v>27</v>
      </c>
      <c r="H22" s="4">
        <f t="shared" si="0"/>
        <v>540</v>
      </c>
      <c r="I22" t="e">
        <f>VLOOKUP(#REF!,Catalogos!$B$3:$C$10,2,FALSE)</f>
        <v>#REF!</v>
      </c>
      <c r="K22">
        <v>24</v>
      </c>
    </row>
    <row r="23" spans="1:11">
      <c r="A23" s="2">
        <v>46181</v>
      </c>
      <c r="B23" t="s">
        <v>3</v>
      </c>
      <c r="C23" s="2">
        <v>46181</v>
      </c>
      <c r="D23" t="s">
        <v>88</v>
      </c>
      <c r="E23" t="e">
        <f>VLOOKUP(#REF!,Catalogos!$I$4:$J$64,2,FALSE)</f>
        <v>#REF!</v>
      </c>
      <c r="F23" s="6">
        <v>50</v>
      </c>
      <c r="G23" s="4">
        <v>27</v>
      </c>
      <c r="H23" s="4">
        <f t="shared" si="0"/>
        <v>1350</v>
      </c>
      <c r="I23" t="e">
        <f>VLOOKUP(#REF!,Catalogos!$B$3:$C$10,2,FALSE)</f>
        <v>#REF!</v>
      </c>
      <c r="K23">
        <v>24</v>
      </c>
    </row>
    <row r="24" spans="1:11">
      <c r="A24" s="2">
        <v>46181</v>
      </c>
      <c r="B24" t="s">
        <v>3</v>
      </c>
      <c r="C24" s="2">
        <v>46181</v>
      </c>
      <c r="D24" t="s">
        <v>90</v>
      </c>
      <c r="E24" t="e">
        <f>VLOOKUP(#REF!,Catalogos!$I$4:$J$64,2,FALSE)</f>
        <v>#REF!</v>
      </c>
      <c r="F24" s="6">
        <v>50</v>
      </c>
      <c r="G24" s="4">
        <v>27</v>
      </c>
      <c r="H24" s="4">
        <f t="shared" si="0"/>
        <v>1350</v>
      </c>
      <c r="I24" t="e">
        <f>VLOOKUP(#REF!,Catalogos!$B$3:$C$10,2,FALSE)</f>
        <v>#REF!</v>
      </c>
      <c r="K24">
        <v>24</v>
      </c>
    </row>
    <row r="25" spans="1:11">
      <c r="A25" s="2">
        <v>46181</v>
      </c>
      <c r="B25" t="s">
        <v>3</v>
      </c>
      <c r="C25" s="2">
        <v>46181</v>
      </c>
      <c r="D25" t="s">
        <v>92</v>
      </c>
      <c r="E25" t="e">
        <f>VLOOKUP(#REF!,Catalogos!$I$4:$J$64,2,FALSE)</f>
        <v>#REF!</v>
      </c>
      <c r="F25" s="6">
        <v>50</v>
      </c>
      <c r="G25" s="4">
        <v>27</v>
      </c>
      <c r="H25" s="4">
        <f t="shared" si="0"/>
        <v>1350</v>
      </c>
      <c r="I25" t="e">
        <f>VLOOKUP(#REF!,Catalogos!$B$3:$C$10,2,FALSE)</f>
        <v>#REF!</v>
      </c>
      <c r="K25">
        <v>24</v>
      </c>
    </row>
    <row r="26" spans="1:11">
      <c r="A26" s="2">
        <v>46181</v>
      </c>
      <c r="B26" t="s">
        <v>3</v>
      </c>
      <c r="C26" s="2">
        <v>46181</v>
      </c>
      <c r="D26" t="s">
        <v>94</v>
      </c>
      <c r="E26" t="e">
        <f>VLOOKUP(#REF!,Catalogos!$I$4:$J$64,2,FALSE)</f>
        <v>#REF!</v>
      </c>
      <c r="F26" s="6">
        <v>20</v>
      </c>
      <c r="G26" s="4">
        <v>27</v>
      </c>
      <c r="H26" s="4">
        <f t="shared" si="0"/>
        <v>540</v>
      </c>
      <c r="I26" t="e">
        <f>VLOOKUP(#REF!,Catalogos!$B$3:$C$10,2,FALSE)</f>
        <v>#REF!</v>
      </c>
      <c r="K26">
        <v>24</v>
      </c>
    </row>
    <row r="27" spans="1:11">
      <c r="A27" s="2">
        <v>46181</v>
      </c>
      <c r="B27" t="s">
        <v>3</v>
      </c>
      <c r="C27" s="2">
        <v>46181</v>
      </c>
      <c r="D27" t="s">
        <v>96</v>
      </c>
      <c r="E27" t="e">
        <f>VLOOKUP(#REF!,Catalogos!$I$4:$J$64,2,FALSE)</f>
        <v>#REF!</v>
      </c>
      <c r="F27" s="6">
        <v>50</v>
      </c>
      <c r="G27" s="4">
        <v>27</v>
      </c>
      <c r="H27" s="4">
        <f t="shared" si="0"/>
        <v>1350</v>
      </c>
      <c r="I27" t="e">
        <f>VLOOKUP(#REF!,Catalogos!$B$3:$C$10,2,FALSE)</f>
        <v>#REF!</v>
      </c>
      <c r="K27">
        <v>24</v>
      </c>
    </row>
    <row r="28" spans="1:11">
      <c r="A28" s="2">
        <v>46181</v>
      </c>
      <c r="B28" t="s">
        <v>3</v>
      </c>
      <c r="C28" s="2">
        <v>46181</v>
      </c>
      <c r="D28" t="s">
        <v>98</v>
      </c>
      <c r="E28" t="e">
        <f>VLOOKUP(#REF!,Catalogos!$I$4:$J$64,2,FALSE)</f>
        <v>#REF!</v>
      </c>
      <c r="F28" s="6">
        <v>40</v>
      </c>
      <c r="G28" s="4">
        <v>27</v>
      </c>
      <c r="H28" s="4">
        <f t="shared" si="0"/>
        <v>1080</v>
      </c>
      <c r="I28" t="e">
        <f>VLOOKUP(#REF!,Catalogos!$B$3:$C$10,2,FALSE)</f>
        <v>#REF!</v>
      </c>
      <c r="K28">
        <v>24</v>
      </c>
    </row>
    <row r="29" spans="1:11">
      <c r="A29" s="2">
        <v>46181</v>
      </c>
      <c r="B29" t="s">
        <v>3</v>
      </c>
      <c r="C29" s="2">
        <v>46181</v>
      </c>
      <c r="D29" t="s">
        <v>100</v>
      </c>
      <c r="E29" t="e">
        <f>VLOOKUP(#REF!,Catalogos!$I$4:$J$64,2,FALSE)</f>
        <v>#REF!</v>
      </c>
      <c r="F29" s="6">
        <v>10</v>
      </c>
      <c r="G29" s="4">
        <v>27</v>
      </c>
      <c r="H29" s="4">
        <f t="shared" si="0"/>
        <v>270</v>
      </c>
      <c r="I29" t="e">
        <f>VLOOKUP(#REF!,Catalogos!$B$3:$C$10,2,FALSE)</f>
        <v>#REF!</v>
      </c>
      <c r="K29">
        <v>24</v>
      </c>
    </row>
    <row r="30" spans="1:11">
      <c r="A30" s="2">
        <v>46182</v>
      </c>
      <c r="B30" t="s">
        <v>3</v>
      </c>
      <c r="C30" s="2">
        <v>46182</v>
      </c>
      <c r="D30" t="s">
        <v>76</v>
      </c>
      <c r="E30" t="e">
        <f>VLOOKUP(#REF!,Catalogos!$I$4:$J$64,2,FALSE)</f>
        <v>#REF!</v>
      </c>
      <c r="F30" s="6">
        <v>250</v>
      </c>
      <c r="G30" s="4">
        <v>27</v>
      </c>
      <c r="H30" s="4">
        <f t="shared" si="0"/>
        <v>6750</v>
      </c>
      <c r="I30" t="e">
        <f>VLOOKUP(#REF!,Catalogos!$B$3:$C$10,2,FALSE)</f>
        <v>#REF!</v>
      </c>
      <c r="K30">
        <v>24</v>
      </c>
    </row>
    <row r="31" spans="1:11">
      <c r="A31" s="2">
        <v>46182</v>
      </c>
      <c r="B31" t="s">
        <v>3</v>
      </c>
      <c r="C31" s="2">
        <v>46182</v>
      </c>
      <c r="D31" t="s">
        <v>79</v>
      </c>
      <c r="E31" t="e">
        <f>VLOOKUP(#REF!,Catalogos!$I$4:$J$64,2,FALSE)</f>
        <v>#REF!</v>
      </c>
      <c r="F31" s="6">
        <v>40</v>
      </c>
      <c r="G31" s="4">
        <v>27</v>
      </c>
      <c r="H31" s="4">
        <f t="shared" si="0"/>
        <v>1080</v>
      </c>
      <c r="I31" t="e">
        <f>VLOOKUP(#REF!,Catalogos!$B$3:$C$10,2,FALSE)</f>
        <v>#REF!</v>
      </c>
      <c r="K31">
        <v>24</v>
      </c>
    </row>
    <row r="32" spans="1:11">
      <c r="A32" s="2">
        <v>46182</v>
      </c>
      <c r="B32" t="s">
        <v>3</v>
      </c>
      <c r="C32" s="2">
        <v>46182</v>
      </c>
      <c r="D32" t="s">
        <v>81</v>
      </c>
      <c r="E32" t="e">
        <f>VLOOKUP(#REF!,Catalogos!$I$4:$J$64,2,FALSE)</f>
        <v>#REF!</v>
      </c>
      <c r="F32" s="6">
        <v>60</v>
      </c>
      <c r="G32" s="4">
        <v>27</v>
      </c>
      <c r="H32" s="4">
        <f t="shared" si="0"/>
        <v>1620</v>
      </c>
      <c r="I32" t="e">
        <f>VLOOKUP(#REF!,Catalogos!$B$3:$C$10,2,FALSE)</f>
        <v>#REF!</v>
      </c>
      <c r="K32">
        <v>24</v>
      </c>
    </row>
    <row r="33" spans="1:11">
      <c r="A33" s="2">
        <v>46182</v>
      </c>
      <c r="B33" t="s">
        <v>3</v>
      </c>
      <c r="C33" s="2">
        <v>46182</v>
      </c>
      <c r="D33" t="s">
        <v>83</v>
      </c>
      <c r="E33" t="e">
        <f>VLOOKUP(#REF!,Catalogos!$I$4:$J$64,2,FALSE)</f>
        <v>#REF!</v>
      </c>
      <c r="F33" s="6">
        <v>100</v>
      </c>
      <c r="G33" s="4">
        <v>27</v>
      </c>
      <c r="H33" s="4">
        <f t="shared" si="0"/>
        <v>2700</v>
      </c>
      <c r="I33" t="e">
        <f>VLOOKUP(#REF!,Catalogos!$B$3:$C$10,2,FALSE)</f>
        <v>#REF!</v>
      </c>
      <c r="K33">
        <v>24</v>
      </c>
    </row>
    <row r="34" spans="1:11">
      <c r="A34" s="2">
        <v>46182</v>
      </c>
      <c r="B34" t="s">
        <v>3</v>
      </c>
      <c r="C34" s="2">
        <v>46182</v>
      </c>
      <c r="D34" t="s">
        <v>86</v>
      </c>
      <c r="E34" t="e">
        <f>VLOOKUP(#REF!,Catalogos!$I$4:$J$64,2,FALSE)</f>
        <v>#REF!</v>
      </c>
      <c r="F34" s="6">
        <v>100</v>
      </c>
      <c r="G34" s="4">
        <v>27</v>
      </c>
      <c r="H34" s="4">
        <f t="shared" si="0"/>
        <v>2700</v>
      </c>
      <c r="I34" t="e">
        <f>VLOOKUP(#REF!,Catalogos!$B$3:$C$10,2,FALSE)</f>
        <v>#REF!</v>
      </c>
      <c r="K34">
        <v>24</v>
      </c>
    </row>
    <row r="35" spans="1:11">
      <c r="A35" s="2">
        <v>46182</v>
      </c>
      <c r="B35" t="s">
        <v>3</v>
      </c>
      <c r="C35" s="2">
        <v>46182</v>
      </c>
      <c r="D35" t="s">
        <v>102</v>
      </c>
      <c r="E35" t="e">
        <f>VLOOKUP(#REF!,Catalogos!$I$4:$J$64,2,FALSE)</f>
        <v>#REF!</v>
      </c>
      <c r="F35" s="6">
        <v>20</v>
      </c>
      <c r="G35" s="4">
        <v>27</v>
      </c>
      <c r="H35" s="4">
        <f t="shared" si="0"/>
        <v>540</v>
      </c>
      <c r="I35" t="e">
        <f>VLOOKUP(#REF!,Catalogos!$B$3:$C$10,2,FALSE)</f>
        <v>#REF!</v>
      </c>
      <c r="K35">
        <v>24</v>
      </c>
    </row>
    <row r="36" spans="1:11">
      <c r="A36" s="2">
        <v>46182</v>
      </c>
      <c r="B36" t="s">
        <v>3</v>
      </c>
      <c r="C36" s="2">
        <v>46182</v>
      </c>
      <c r="D36" t="s">
        <v>88</v>
      </c>
      <c r="E36" t="e">
        <f>VLOOKUP(#REF!,Catalogos!$I$4:$J$64,2,FALSE)</f>
        <v>#REF!</v>
      </c>
      <c r="F36" s="6">
        <v>50</v>
      </c>
      <c r="G36" s="4">
        <v>27</v>
      </c>
      <c r="H36" s="4">
        <f t="shared" si="0"/>
        <v>1350</v>
      </c>
      <c r="I36" t="e">
        <f>VLOOKUP(#REF!,Catalogos!$B$3:$C$10,2,FALSE)</f>
        <v>#REF!</v>
      </c>
      <c r="K36">
        <v>24</v>
      </c>
    </row>
    <row r="37" spans="1:11">
      <c r="A37" s="2">
        <v>46182</v>
      </c>
      <c r="B37" t="s">
        <v>3</v>
      </c>
      <c r="C37" s="2">
        <v>46182</v>
      </c>
      <c r="D37" t="s">
        <v>90</v>
      </c>
      <c r="E37" t="e">
        <f>VLOOKUP(#REF!,Catalogos!$I$4:$J$64,2,FALSE)</f>
        <v>#REF!</v>
      </c>
      <c r="F37" s="6">
        <v>50</v>
      </c>
      <c r="G37" s="4">
        <v>27</v>
      </c>
      <c r="H37" s="4">
        <f t="shared" si="0"/>
        <v>1350</v>
      </c>
      <c r="I37" t="e">
        <f>VLOOKUP(#REF!,Catalogos!$B$3:$C$10,2,FALSE)</f>
        <v>#REF!</v>
      </c>
      <c r="K37">
        <v>24</v>
      </c>
    </row>
    <row r="38" spans="1:11">
      <c r="A38" s="2">
        <v>46182</v>
      </c>
      <c r="B38" t="s">
        <v>3</v>
      </c>
      <c r="C38" s="2">
        <v>46182</v>
      </c>
      <c r="D38" t="s">
        <v>92</v>
      </c>
      <c r="E38" t="e">
        <f>VLOOKUP(#REF!,Catalogos!$I$4:$J$64,2,FALSE)</f>
        <v>#REF!</v>
      </c>
      <c r="F38" s="6">
        <v>50</v>
      </c>
      <c r="G38" s="4">
        <v>27</v>
      </c>
      <c r="H38" s="4">
        <f t="shared" si="0"/>
        <v>1350</v>
      </c>
      <c r="I38" t="e">
        <f>VLOOKUP(#REF!,Catalogos!$B$3:$C$10,2,FALSE)</f>
        <v>#REF!</v>
      </c>
      <c r="K38">
        <v>24</v>
      </c>
    </row>
    <row r="39" spans="1:11">
      <c r="A39" s="2">
        <v>46182</v>
      </c>
      <c r="B39" t="s">
        <v>3</v>
      </c>
      <c r="C39" s="2">
        <v>46182</v>
      </c>
      <c r="D39" t="s">
        <v>96</v>
      </c>
      <c r="E39" t="e">
        <f>VLOOKUP(#REF!,Catalogos!$I$4:$J$64,2,FALSE)</f>
        <v>#REF!</v>
      </c>
      <c r="F39" s="6">
        <v>40</v>
      </c>
      <c r="G39" s="4">
        <v>27</v>
      </c>
      <c r="H39" s="4">
        <f t="shared" si="0"/>
        <v>1080</v>
      </c>
      <c r="I39" t="e">
        <f>VLOOKUP(#REF!,Catalogos!$B$3:$C$10,2,FALSE)</f>
        <v>#REF!</v>
      </c>
      <c r="K39">
        <v>24</v>
      </c>
    </row>
    <row r="40" spans="1:11">
      <c r="A40" s="2">
        <v>46182</v>
      </c>
      <c r="B40" t="s">
        <v>3</v>
      </c>
      <c r="C40" s="2">
        <v>46182</v>
      </c>
      <c r="D40" t="s">
        <v>98</v>
      </c>
      <c r="E40" t="e">
        <f>VLOOKUP(#REF!,Catalogos!$I$4:$J$64,2,FALSE)</f>
        <v>#REF!</v>
      </c>
      <c r="F40" s="6">
        <v>30</v>
      </c>
      <c r="G40" s="4">
        <v>27</v>
      </c>
      <c r="H40" s="4">
        <f t="shared" si="0"/>
        <v>810</v>
      </c>
      <c r="I40" t="e">
        <f>VLOOKUP(#REF!,Catalogos!$B$3:$C$10,2,FALSE)</f>
        <v>#REF!</v>
      </c>
      <c r="K40">
        <v>24</v>
      </c>
    </row>
    <row r="41" spans="1:11">
      <c r="A41" s="2">
        <v>46182</v>
      </c>
      <c r="B41" t="s">
        <v>2</v>
      </c>
      <c r="C41" s="2">
        <v>46182</v>
      </c>
      <c r="D41" t="s">
        <v>56</v>
      </c>
      <c r="E41" t="e">
        <f>VLOOKUP(#REF!,Catalogos!$I$4:$J$64,2,FALSE)</f>
        <v>#REF!</v>
      </c>
      <c r="F41" s="6">
        <v>50</v>
      </c>
      <c r="G41" s="4">
        <v>27</v>
      </c>
      <c r="H41" s="4">
        <f t="shared" si="0"/>
        <v>1350</v>
      </c>
      <c r="I41" t="e">
        <f>VLOOKUP(#REF!,Catalogos!$B$3:$C$10,2,FALSE)</f>
        <v>#REF!</v>
      </c>
      <c r="K41">
        <v>24</v>
      </c>
    </row>
    <row r="42" spans="1:11">
      <c r="A42" s="2">
        <v>46182</v>
      </c>
      <c r="B42" t="s">
        <v>2</v>
      </c>
      <c r="C42" s="2">
        <v>46182</v>
      </c>
      <c r="D42" t="s">
        <v>85</v>
      </c>
      <c r="E42" t="e">
        <f>VLOOKUP(#REF!,Catalogos!$I$4:$J$64,2,FALSE)</f>
        <v>#REF!</v>
      </c>
      <c r="F42" s="6">
        <v>50</v>
      </c>
      <c r="G42" s="4">
        <v>27</v>
      </c>
      <c r="H42" s="4">
        <f t="shared" si="0"/>
        <v>1350</v>
      </c>
      <c r="I42" t="e">
        <f>VLOOKUP(#REF!,Catalogos!$B$3:$C$10,2,FALSE)</f>
        <v>#REF!</v>
      </c>
      <c r="K42">
        <v>24</v>
      </c>
    </row>
    <row r="43" spans="1:11">
      <c r="A43" s="2">
        <v>46182</v>
      </c>
      <c r="B43" t="s">
        <v>2</v>
      </c>
      <c r="C43" s="2">
        <v>46182</v>
      </c>
      <c r="D43" t="s">
        <v>60</v>
      </c>
      <c r="E43" t="e">
        <f>VLOOKUP(#REF!,Catalogos!$I$4:$J$64,2,FALSE)</f>
        <v>#REF!</v>
      </c>
      <c r="F43" s="6">
        <v>60</v>
      </c>
      <c r="G43" s="4">
        <v>27</v>
      </c>
      <c r="H43" s="4">
        <f t="shared" si="0"/>
        <v>1620</v>
      </c>
      <c r="I43" t="e">
        <f>VLOOKUP(#REF!,Catalogos!$B$3:$C$10,2,FALSE)</f>
        <v>#REF!</v>
      </c>
      <c r="K43">
        <v>24</v>
      </c>
    </row>
    <row r="44" spans="1:11">
      <c r="A44" s="2">
        <v>46182</v>
      </c>
      <c r="B44" t="s">
        <v>2</v>
      </c>
      <c r="C44" s="2">
        <v>46182</v>
      </c>
      <c r="D44" t="s">
        <v>104</v>
      </c>
      <c r="E44" t="e">
        <f>VLOOKUP(#REF!,Catalogos!$I$4:$J$64,2,FALSE)</f>
        <v>#REF!</v>
      </c>
      <c r="F44" s="6">
        <v>50</v>
      </c>
      <c r="G44" s="4">
        <v>27</v>
      </c>
      <c r="H44" s="4">
        <f t="shared" si="0"/>
        <v>1350</v>
      </c>
      <c r="I44" t="e">
        <f>VLOOKUP(#REF!,Catalogos!$B$3:$C$10,2,FALSE)</f>
        <v>#REF!</v>
      </c>
      <c r="K44">
        <v>24</v>
      </c>
    </row>
    <row r="45" spans="1:11">
      <c r="A45" s="2">
        <v>46182</v>
      </c>
      <c r="B45" t="s">
        <v>111</v>
      </c>
      <c r="D45" t="s">
        <v>56</v>
      </c>
      <c r="E45" t="e">
        <f>VLOOKUP(#REF!,Catalogos!$I$4:$J$64,2,FALSE)</f>
        <v>#REF!</v>
      </c>
      <c r="F45" s="6">
        <v>100</v>
      </c>
      <c r="G45" s="4">
        <v>27</v>
      </c>
      <c r="H45" s="4">
        <f>IFERROR(F45*G45,0)</f>
        <v>2700</v>
      </c>
      <c r="I45" t="e">
        <f>VLOOKUP(#REF!,Catalogos!$B$3:$C$10,2,FALSE)</f>
        <v>#REF!</v>
      </c>
      <c r="K45">
        <v>24</v>
      </c>
    </row>
    <row r="46" spans="1:11">
      <c r="A46" s="2">
        <v>46183</v>
      </c>
      <c r="B46" t="s">
        <v>1</v>
      </c>
      <c r="C46" s="2">
        <v>46183</v>
      </c>
      <c r="D46" t="s">
        <v>69</v>
      </c>
      <c r="E46" t="e">
        <f>VLOOKUP(#REF!,Catalogos!$I$4:$J$64,2,FALSE)</f>
        <v>#REF!</v>
      </c>
      <c r="F46" s="6">
        <v>250</v>
      </c>
      <c r="G46" s="4">
        <v>27</v>
      </c>
      <c r="H46" s="4">
        <f t="shared" si="0"/>
        <v>6750</v>
      </c>
      <c r="I46" t="e">
        <f>VLOOKUP(#REF!,Catalogos!$B$3:$C$10,2,FALSE)</f>
        <v>#REF!</v>
      </c>
      <c r="K46">
        <v>24</v>
      </c>
    </row>
    <row r="47" spans="1:11">
      <c r="A47" s="2">
        <v>46183</v>
      </c>
      <c r="B47" t="s">
        <v>1</v>
      </c>
      <c r="C47" s="2">
        <v>46183</v>
      </c>
      <c r="D47" t="s">
        <v>56</v>
      </c>
      <c r="E47" t="e">
        <f>VLOOKUP(#REF!,Catalogos!$I$4:$J$64,2,FALSE)</f>
        <v>#REF!</v>
      </c>
      <c r="F47" s="6">
        <v>30</v>
      </c>
      <c r="G47" s="4">
        <v>27</v>
      </c>
      <c r="H47" s="4">
        <f t="shared" si="0"/>
        <v>810</v>
      </c>
      <c r="I47" t="e">
        <f>VLOOKUP(#REF!,Catalogos!$B$3:$C$10,2,FALSE)</f>
        <v>#REF!</v>
      </c>
      <c r="K47">
        <v>24</v>
      </c>
    </row>
    <row r="48" spans="1:11">
      <c r="A48" s="2">
        <v>46183</v>
      </c>
      <c r="B48" t="s">
        <v>1</v>
      </c>
      <c r="C48" s="2">
        <v>46183</v>
      </c>
      <c r="D48" t="s">
        <v>70</v>
      </c>
      <c r="E48" t="e">
        <f>VLOOKUP(#REF!,Catalogos!$I$4:$J$64,2,FALSE)</f>
        <v>#REF!</v>
      </c>
      <c r="F48" s="6">
        <v>20</v>
      </c>
      <c r="G48" s="4">
        <v>27</v>
      </c>
      <c r="H48" s="4">
        <f t="shared" si="0"/>
        <v>540</v>
      </c>
      <c r="I48" t="e">
        <f>VLOOKUP(#REF!,Catalogos!$B$3:$C$10,2,FALSE)</f>
        <v>#REF!</v>
      </c>
      <c r="K48">
        <v>24</v>
      </c>
    </row>
    <row r="49" spans="1:11">
      <c r="A49" s="2">
        <v>46183</v>
      </c>
      <c r="B49" t="s">
        <v>1</v>
      </c>
      <c r="C49" s="2">
        <v>46183</v>
      </c>
      <c r="D49" t="s">
        <v>96</v>
      </c>
      <c r="E49" t="e">
        <f>VLOOKUP(#REF!,Catalogos!$I$4:$J$64,2,FALSE)</f>
        <v>#REF!</v>
      </c>
      <c r="F49" s="6">
        <v>20</v>
      </c>
      <c r="G49" s="4">
        <v>27</v>
      </c>
      <c r="H49" s="4">
        <f t="shared" si="0"/>
        <v>540</v>
      </c>
      <c r="I49" t="e">
        <f>VLOOKUP(#REF!,Catalogos!$B$3:$C$10,2,FALSE)</f>
        <v>#REF!</v>
      </c>
      <c r="K49">
        <v>24</v>
      </c>
    </row>
    <row r="50" spans="1:11">
      <c r="A50" s="2">
        <v>46184</v>
      </c>
      <c r="B50" t="s">
        <v>2</v>
      </c>
      <c r="C50" s="2">
        <v>46184</v>
      </c>
      <c r="D50" t="s">
        <v>60</v>
      </c>
      <c r="E50" t="e">
        <f>VLOOKUP(#REF!,Catalogos!$I$4:$J$64,2,FALSE)</f>
        <v>#REF!</v>
      </c>
      <c r="F50" s="6">
        <v>80</v>
      </c>
      <c r="G50" s="4">
        <v>27</v>
      </c>
      <c r="H50" s="4">
        <f t="shared" si="0"/>
        <v>2160</v>
      </c>
      <c r="I50" t="e">
        <f>VLOOKUP(#REF!,Catalogos!$B$3:$C$10,2,FALSE)</f>
        <v>#REF!</v>
      </c>
      <c r="K50">
        <v>24</v>
      </c>
    </row>
    <row r="51" spans="1:11">
      <c r="A51" s="2">
        <v>46184</v>
      </c>
      <c r="B51" t="s">
        <v>2</v>
      </c>
      <c r="C51" s="2">
        <v>46184</v>
      </c>
      <c r="D51" t="s">
        <v>94</v>
      </c>
      <c r="E51" t="e">
        <f>VLOOKUP(#REF!,Catalogos!$I$4:$J$64,2,FALSE)</f>
        <v>#REF!</v>
      </c>
      <c r="F51" s="6">
        <v>80</v>
      </c>
      <c r="G51" s="4">
        <v>27</v>
      </c>
      <c r="H51" s="4">
        <f t="shared" si="0"/>
        <v>2160</v>
      </c>
      <c r="I51" t="e">
        <f>VLOOKUP(#REF!,Catalogos!$B$3:$C$10,2,FALSE)</f>
        <v>#REF!</v>
      </c>
      <c r="K51">
        <v>24</v>
      </c>
    </row>
    <row r="52" spans="1:11">
      <c r="A52" s="2">
        <v>46184</v>
      </c>
      <c r="B52" t="s">
        <v>2</v>
      </c>
      <c r="C52" s="2">
        <v>46184</v>
      </c>
      <c r="D52" t="s">
        <v>56</v>
      </c>
      <c r="E52" t="e">
        <f>VLOOKUP(#REF!,Catalogos!$I$4:$J$64,2,FALSE)</f>
        <v>#REF!</v>
      </c>
      <c r="F52" s="6">
        <v>70</v>
      </c>
      <c r="G52" s="4">
        <v>27</v>
      </c>
      <c r="H52" s="4">
        <f t="shared" si="0"/>
        <v>1890</v>
      </c>
      <c r="I52" t="e">
        <f>VLOOKUP(#REF!,Catalogos!$B$3:$C$10,2,FALSE)</f>
        <v>#REF!</v>
      </c>
      <c r="K52">
        <v>24</v>
      </c>
    </row>
    <row r="53" spans="1:11">
      <c r="A53" s="2">
        <v>46184</v>
      </c>
      <c r="B53" t="s">
        <v>2</v>
      </c>
      <c r="C53" s="2">
        <v>46184</v>
      </c>
      <c r="D53" t="s">
        <v>104</v>
      </c>
      <c r="E53" t="e">
        <f>VLOOKUP(#REF!,Catalogos!$I$4:$J$64,2,FALSE)</f>
        <v>#REF!</v>
      </c>
      <c r="F53" s="6">
        <v>40</v>
      </c>
      <c r="G53" s="4">
        <v>27</v>
      </c>
      <c r="H53" s="4">
        <f t="shared" si="0"/>
        <v>1080</v>
      </c>
      <c r="I53" t="e">
        <f>VLOOKUP(#REF!,Catalogos!$B$3:$C$10,2,FALSE)</f>
        <v>#REF!</v>
      </c>
      <c r="K53">
        <v>24</v>
      </c>
    </row>
    <row r="54" spans="1:11">
      <c r="A54" s="2">
        <v>46184</v>
      </c>
      <c r="B54" t="s">
        <v>2</v>
      </c>
      <c r="C54" s="2">
        <v>46184</v>
      </c>
      <c r="D54" t="s">
        <v>65</v>
      </c>
      <c r="E54" t="e">
        <f>VLOOKUP(#REF!,Catalogos!$I$4:$J$64,2,FALSE)</f>
        <v>#REF!</v>
      </c>
      <c r="F54" s="6">
        <v>150</v>
      </c>
      <c r="G54" s="4">
        <v>27</v>
      </c>
      <c r="H54" s="4">
        <f t="shared" si="0"/>
        <v>4050</v>
      </c>
      <c r="I54" t="e">
        <f>VLOOKUP(#REF!,Catalogos!$B$3:$C$10,2,FALSE)</f>
        <v>#REF!</v>
      </c>
      <c r="K54">
        <v>24</v>
      </c>
    </row>
    <row r="55" spans="1:11">
      <c r="A55" s="2">
        <v>46184</v>
      </c>
      <c r="B55" t="s">
        <v>2</v>
      </c>
      <c r="C55" s="2">
        <v>46184</v>
      </c>
      <c r="D55" t="s">
        <v>102</v>
      </c>
      <c r="E55" t="e">
        <f>VLOOKUP(#REF!,Catalogos!$I$4:$J$64,2,FALSE)</f>
        <v>#REF!</v>
      </c>
      <c r="F55" s="6">
        <v>30</v>
      </c>
      <c r="G55" s="4">
        <v>27</v>
      </c>
      <c r="H55" s="4">
        <f t="shared" si="0"/>
        <v>810</v>
      </c>
      <c r="I55" t="e">
        <f>VLOOKUP(#REF!,Catalogos!$B$3:$C$10,2,FALSE)</f>
        <v>#REF!</v>
      </c>
      <c r="K55">
        <v>24</v>
      </c>
    </row>
    <row r="56" spans="1:11">
      <c r="A56" s="2">
        <v>46184</v>
      </c>
      <c r="B56" t="s">
        <v>2</v>
      </c>
      <c r="C56" s="2">
        <v>46184</v>
      </c>
      <c r="D56" t="s">
        <v>100</v>
      </c>
      <c r="E56" t="e">
        <f>VLOOKUP(#REF!,Catalogos!$I$4:$J$64,2,FALSE)</f>
        <v>#REF!</v>
      </c>
      <c r="F56" s="6">
        <v>10</v>
      </c>
      <c r="G56" s="4">
        <v>27</v>
      </c>
      <c r="H56" s="4">
        <f t="shared" si="0"/>
        <v>270</v>
      </c>
      <c r="I56" t="e">
        <f>VLOOKUP(#REF!,Catalogos!$B$3:$C$10,2,FALSE)</f>
        <v>#REF!</v>
      </c>
      <c r="K56">
        <v>24</v>
      </c>
    </row>
    <row r="57" spans="1:11">
      <c r="A57" s="2">
        <v>46184</v>
      </c>
      <c r="B57" t="s">
        <v>111</v>
      </c>
      <c r="D57" t="s">
        <v>56</v>
      </c>
      <c r="E57" t="e">
        <f>VLOOKUP(#REF!,Catalogos!$I$4:$J$64,2,FALSE)</f>
        <v>#REF!</v>
      </c>
      <c r="F57" s="6">
        <v>50</v>
      </c>
      <c r="G57" s="4">
        <v>27</v>
      </c>
      <c r="H57" s="4">
        <f t="shared" si="0"/>
        <v>1350</v>
      </c>
      <c r="I57" t="e">
        <f>VLOOKUP(#REF!,Catalogos!$B$3:$C$10,2,FALSE)</f>
        <v>#REF!</v>
      </c>
      <c r="K57">
        <v>24</v>
      </c>
    </row>
    <row r="58" spans="1:11">
      <c r="A58" s="2">
        <v>46184</v>
      </c>
      <c r="B58" t="s">
        <v>111</v>
      </c>
      <c r="D58" t="s">
        <v>57</v>
      </c>
      <c r="E58" t="e">
        <f>VLOOKUP(#REF!,Catalogos!$I$4:$J$64,2,FALSE)</f>
        <v>#REF!</v>
      </c>
      <c r="F58" s="6">
        <v>10</v>
      </c>
      <c r="G58" s="4">
        <v>27</v>
      </c>
      <c r="H58" s="4">
        <f t="shared" si="0"/>
        <v>270</v>
      </c>
      <c r="I58" t="e">
        <f>VLOOKUP(#REF!,Catalogos!$B$3:$C$10,2,FALSE)</f>
        <v>#REF!</v>
      </c>
      <c r="K58">
        <v>24</v>
      </c>
    </row>
    <row r="59" spans="1:11">
      <c r="A59" s="2">
        <v>46184</v>
      </c>
      <c r="B59" t="s">
        <v>111</v>
      </c>
      <c r="D59" t="s">
        <v>102</v>
      </c>
      <c r="E59" t="e">
        <f>VLOOKUP(#REF!,Catalogos!$I$4:$J$64,2,FALSE)</f>
        <v>#REF!</v>
      </c>
      <c r="F59" s="6">
        <v>10</v>
      </c>
      <c r="G59" s="4">
        <v>27</v>
      </c>
      <c r="H59" s="4">
        <f t="shared" si="0"/>
        <v>270</v>
      </c>
      <c r="I59" t="e">
        <f>VLOOKUP(#REF!,Catalogos!$B$3:$C$10,2,FALSE)</f>
        <v>#REF!</v>
      </c>
      <c r="K59">
        <v>24</v>
      </c>
    </row>
    <row r="60" spans="1:11">
      <c r="A60" s="2">
        <v>46185</v>
      </c>
      <c r="B60" t="s">
        <v>1</v>
      </c>
      <c r="C60" s="2">
        <v>46185</v>
      </c>
      <c r="D60" t="s">
        <v>69</v>
      </c>
      <c r="E60" t="e">
        <f>VLOOKUP(#REF!,Catalogos!$I$4:$J$64,2,FALSE)</f>
        <v>#REF!</v>
      </c>
      <c r="F60" s="6">
        <v>250</v>
      </c>
      <c r="G60" s="4">
        <v>27</v>
      </c>
      <c r="H60" s="4">
        <f t="shared" si="0"/>
        <v>6750</v>
      </c>
      <c r="I60" t="e">
        <f>VLOOKUP(#REF!,Catalogos!$B$3:$C$10,2,FALSE)</f>
        <v>#REF!</v>
      </c>
      <c r="K60">
        <v>24</v>
      </c>
    </row>
    <row r="61" spans="1:11">
      <c r="A61" s="2">
        <v>46185</v>
      </c>
      <c r="B61" t="s">
        <v>1</v>
      </c>
      <c r="C61" s="2">
        <v>46185</v>
      </c>
      <c r="D61" t="s">
        <v>65</v>
      </c>
      <c r="E61" t="e">
        <f>VLOOKUP(#REF!,Catalogos!$I$4:$J$64,2,FALSE)</f>
        <v>#REF!</v>
      </c>
      <c r="F61" s="6">
        <v>150</v>
      </c>
      <c r="G61" s="4">
        <v>27</v>
      </c>
      <c r="H61" s="4">
        <f t="shared" si="0"/>
        <v>4050</v>
      </c>
      <c r="I61" t="e">
        <f>VLOOKUP(#REF!,Catalogos!$B$3:$C$10,2,FALSE)</f>
        <v>#REF!</v>
      </c>
      <c r="K61">
        <v>24</v>
      </c>
    </row>
    <row r="62" spans="1:11">
      <c r="A62" s="2">
        <v>46185</v>
      </c>
      <c r="B62" t="s">
        <v>1</v>
      </c>
      <c r="C62" s="2">
        <v>46185</v>
      </c>
      <c r="D62" t="s">
        <v>48</v>
      </c>
      <c r="E62" t="e">
        <f>VLOOKUP(#REF!,Catalogos!$I$4:$J$64,2,FALSE)</f>
        <v>#REF!</v>
      </c>
      <c r="F62" s="6">
        <v>40</v>
      </c>
      <c r="G62" s="4">
        <v>27</v>
      </c>
      <c r="H62" s="4">
        <f t="shared" si="0"/>
        <v>1080</v>
      </c>
      <c r="I62" t="e">
        <f>VLOOKUP(#REF!,Catalogos!$B$3:$C$10,2,FALSE)</f>
        <v>#REF!</v>
      </c>
      <c r="K62">
        <v>24</v>
      </c>
    </row>
    <row r="63" spans="1:11">
      <c r="A63" s="2">
        <v>46185</v>
      </c>
      <c r="B63" t="s">
        <v>1</v>
      </c>
      <c r="C63" s="2">
        <v>46185</v>
      </c>
      <c r="D63" t="s">
        <v>85</v>
      </c>
      <c r="E63" t="e">
        <f>VLOOKUP(#REF!,Catalogos!$I$4:$J$64,2,FALSE)</f>
        <v>#REF!</v>
      </c>
      <c r="F63" s="6">
        <v>30</v>
      </c>
      <c r="G63" s="4">
        <v>27</v>
      </c>
      <c r="H63" s="4">
        <f t="shared" si="0"/>
        <v>810</v>
      </c>
      <c r="I63" t="e">
        <f>VLOOKUP(#REF!,Catalogos!$B$3:$C$10,2,FALSE)</f>
        <v>#REF!</v>
      </c>
      <c r="K63">
        <v>24</v>
      </c>
    </row>
    <row r="64" spans="1:11">
      <c r="A64" s="2">
        <v>46185</v>
      </c>
      <c r="B64" t="s">
        <v>1</v>
      </c>
      <c r="C64" s="2">
        <v>46185</v>
      </c>
      <c r="D64" t="s">
        <v>56</v>
      </c>
      <c r="E64" t="e">
        <f>VLOOKUP(#REF!,Catalogos!$I$4:$J$64,2,FALSE)</f>
        <v>#REF!</v>
      </c>
      <c r="F64" s="6">
        <v>30</v>
      </c>
      <c r="G64" s="4">
        <v>27</v>
      </c>
      <c r="H64" s="4">
        <f t="shared" si="0"/>
        <v>810</v>
      </c>
      <c r="I64" t="e">
        <f>VLOOKUP(#REF!,Catalogos!$B$3:$C$10,2,FALSE)</f>
        <v>#REF!</v>
      </c>
      <c r="K64">
        <v>24</v>
      </c>
    </row>
    <row r="65" spans="1:11">
      <c r="A65" s="2">
        <v>46185</v>
      </c>
      <c r="B65" t="s">
        <v>1</v>
      </c>
      <c r="C65" s="2">
        <v>46185</v>
      </c>
      <c r="D65" t="s">
        <v>70</v>
      </c>
      <c r="E65" t="e">
        <f>VLOOKUP(#REF!,Catalogos!$I$4:$J$64,2,FALSE)</f>
        <v>#REF!</v>
      </c>
      <c r="F65" s="6">
        <v>20</v>
      </c>
      <c r="G65" s="4">
        <v>27</v>
      </c>
      <c r="H65" s="4">
        <f t="shared" si="0"/>
        <v>540</v>
      </c>
      <c r="I65" t="e">
        <f>VLOOKUP(#REF!,Catalogos!$B$3:$C$10,2,FALSE)</f>
        <v>#REF!</v>
      </c>
      <c r="K65">
        <v>24</v>
      </c>
    </row>
    <row r="66" spans="1:11">
      <c r="A66" s="2">
        <v>46185</v>
      </c>
      <c r="B66" t="s">
        <v>1</v>
      </c>
      <c r="C66" s="2">
        <v>46185</v>
      </c>
      <c r="D66" t="s">
        <v>96</v>
      </c>
      <c r="E66" t="e">
        <f>VLOOKUP(#REF!,Catalogos!$I$4:$J$64,2,FALSE)</f>
        <v>#REF!</v>
      </c>
      <c r="F66" s="6">
        <v>20</v>
      </c>
      <c r="G66" s="4">
        <v>27</v>
      </c>
      <c r="H66" s="4">
        <f t="shared" si="0"/>
        <v>540</v>
      </c>
      <c r="I66" t="e">
        <f>VLOOKUP(#REF!,Catalogos!$B$3:$C$10,2,FALSE)</f>
        <v>#REF!</v>
      </c>
      <c r="K66">
        <v>24</v>
      </c>
    </row>
    <row r="67" spans="1:11">
      <c r="A67" s="2">
        <v>46185</v>
      </c>
      <c r="B67" t="s">
        <v>3</v>
      </c>
      <c r="C67" s="2">
        <v>46185</v>
      </c>
      <c r="D67" t="s">
        <v>76</v>
      </c>
      <c r="E67" t="e">
        <f>VLOOKUP(#REF!,Catalogos!$I$4:$J$64,2,FALSE)</f>
        <v>#REF!</v>
      </c>
      <c r="F67" s="6">
        <v>250</v>
      </c>
      <c r="G67" s="4">
        <v>27</v>
      </c>
      <c r="H67" s="4">
        <f t="shared" si="0"/>
        <v>6750</v>
      </c>
      <c r="I67" t="e">
        <f>VLOOKUP(#REF!,Catalogos!$B$3:$C$10,2,FALSE)</f>
        <v>#REF!</v>
      </c>
      <c r="K67">
        <v>24</v>
      </c>
    </row>
    <row r="68" spans="1:11">
      <c r="A68" s="2">
        <v>46185</v>
      </c>
      <c r="B68" t="s">
        <v>3</v>
      </c>
      <c r="C68" s="2">
        <v>46185</v>
      </c>
      <c r="D68" t="s">
        <v>79</v>
      </c>
      <c r="E68" t="e">
        <f>VLOOKUP(#REF!,Catalogos!$I$4:$J$64,2,FALSE)</f>
        <v>#REF!</v>
      </c>
      <c r="F68" s="6">
        <v>40</v>
      </c>
      <c r="G68" s="4">
        <v>27</v>
      </c>
      <c r="H68" s="4">
        <f t="shared" si="0"/>
        <v>1080</v>
      </c>
      <c r="I68" t="e">
        <f>VLOOKUP(#REF!,Catalogos!$B$3:$C$10,2,FALSE)</f>
        <v>#REF!</v>
      </c>
      <c r="K68">
        <v>24</v>
      </c>
    </row>
    <row r="69" spans="1:11">
      <c r="A69" s="2">
        <v>46185</v>
      </c>
      <c r="B69" t="s">
        <v>3</v>
      </c>
      <c r="C69" s="2">
        <v>46185</v>
      </c>
      <c r="D69" t="s">
        <v>81</v>
      </c>
      <c r="E69" t="e">
        <f>VLOOKUP(#REF!,Catalogos!$I$4:$J$64,2,FALSE)</f>
        <v>#REF!</v>
      </c>
      <c r="F69" s="6">
        <v>60</v>
      </c>
      <c r="G69" s="4">
        <v>27</v>
      </c>
      <c r="H69" s="4">
        <f t="shared" si="0"/>
        <v>1620</v>
      </c>
      <c r="I69" t="e">
        <f>VLOOKUP(#REF!,Catalogos!$B$3:$C$10,2,FALSE)</f>
        <v>#REF!</v>
      </c>
      <c r="K69">
        <v>24</v>
      </c>
    </row>
    <row r="70" spans="1:11">
      <c r="A70" s="2">
        <v>46185</v>
      </c>
      <c r="B70" t="s">
        <v>3</v>
      </c>
      <c r="C70" s="2">
        <v>46185</v>
      </c>
      <c r="D70" t="s">
        <v>86</v>
      </c>
      <c r="E70" t="e">
        <f>VLOOKUP(#REF!,Catalogos!$I$4:$J$64,2,FALSE)</f>
        <v>#REF!</v>
      </c>
      <c r="F70" s="6">
        <v>100</v>
      </c>
      <c r="G70" s="4">
        <v>27</v>
      </c>
      <c r="H70" s="4">
        <f t="shared" si="0"/>
        <v>2700</v>
      </c>
      <c r="I70" t="e">
        <f>VLOOKUP(#REF!,Catalogos!$B$3:$C$10,2,FALSE)</f>
        <v>#REF!</v>
      </c>
      <c r="K70">
        <v>24</v>
      </c>
    </row>
    <row r="71" spans="1:11">
      <c r="A71" s="2">
        <v>46185</v>
      </c>
      <c r="B71" t="s">
        <v>3</v>
      </c>
      <c r="C71" s="2">
        <v>46185</v>
      </c>
      <c r="D71" t="s">
        <v>102</v>
      </c>
      <c r="E71" t="e">
        <f>VLOOKUP(#REF!,Catalogos!$I$4:$J$64,2,FALSE)</f>
        <v>#REF!</v>
      </c>
      <c r="F71" s="6">
        <v>20</v>
      </c>
      <c r="G71" s="4">
        <v>27</v>
      </c>
      <c r="H71" s="4">
        <f t="shared" ref="H71:H134" si="1">IFERROR(F71*G71,0)</f>
        <v>540</v>
      </c>
      <c r="I71" t="e">
        <f>VLOOKUP(#REF!,Catalogos!$B$3:$C$10,2,FALSE)</f>
        <v>#REF!</v>
      </c>
      <c r="K71">
        <v>24</v>
      </c>
    </row>
    <row r="72" spans="1:11">
      <c r="A72" s="2">
        <v>46185</v>
      </c>
      <c r="B72" t="s">
        <v>3</v>
      </c>
      <c r="C72" s="2">
        <v>46185</v>
      </c>
      <c r="D72" t="s">
        <v>88</v>
      </c>
      <c r="E72" t="e">
        <f>VLOOKUP(#REF!,Catalogos!$I$4:$J$64,2,FALSE)</f>
        <v>#REF!</v>
      </c>
      <c r="F72" s="6">
        <v>50</v>
      </c>
      <c r="G72" s="4">
        <v>27</v>
      </c>
      <c r="H72" s="4">
        <f t="shared" si="1"/>
        <v>1350</v>
      </c>
      <c r="I72" t="e">
        <f>VLOOKUP(#REF!,Catalogos!$B$3:$C$10,2,FALSE)</f>
        <v>#REF!</v>
      </c>
      <c r="K72">
        <v>24</v>
      </c>
    </row>
    <row r="73" spans="1:11">
      <c r="A73" s="2">
        <v>46185</v>
      </c>
      <c r="B73" t="s">
        <v>3</v>
      </c>
      <c r="C73" s="2">
        <v>46185</v>
      </c>
      <c r="D73" t="s">
        <v>90</v>
      </c>
      <c r="E73" t="e">
        <f>VLOOKUP(#REF!,Catalogos!$I$4:$J$64,2,FALSE)</f>
        <v>#REF!</v>
      </c>
      <c r="F73" s="6">
        <v>50</v>
      </c>
      <c r="G73" s="4">
        <v>27</v>
      </c>
      <c r="H73" s="4">
        <f t="shared" si="1"/>
        <v>1350</v>
      </c>
      <c r="I73" t="e">
        <f>VLOOKUP(#REF!,Catalogos!$B$3:$C$10,2,FALSE)</f>
        <v>#REF!</v>
      </c>
      <c r="K73">
        <v>24</v>
      </c>
    </row>
    <row r="74" spans="1:11">
      <c r="A74" s="2">
        <v>46185</v>
      </c>
      <c r="B74" t="s">
        <v>3</v>
      </c>
      <c r="C74" s="2">
        <v>46185</v>
      </c>
      <c r="D74" t="s">
        <v>92</v>
      </c>
      <c r="E74" t="e">
        <f>VLOOKUP(#REF!,Catalogos!$I$4:$J$64,2,FALSE)</f>
        <v>#REF!</v>
      </c>
      <c r="F74" s="6">
        <v>50</v>
      </c>
      <c r="G74" s="4">
        <v>27</v>
      </c>
      <c r="H74" s="4">
        <f t="shared" si="1"/>
        <v>1350</v>
      </c>
      <c r="I74" t="e">
        <f>VLOOKUP(#REF!,Catalogos!$B$3:$C$10,2,FALSE)</f>
        <v>#REF!</v>
      </c>
      <c r="K74">
        <v>24</v>
      </c>
    </row>
    <row r="75" spans="1:11">
      <c r="A75" s="2">
        <v>46187</v>
      </c>
      <c r="B75" t="s">
        <v>1</v>
      </c>
      <c r="C75" s="2">
        <v>46188</v>
      </c>
      <c r="D75" t="s">
        <v>76</v>
      </c>
      <c r="E75" t="e">
        <f>VLOOKUP(#REF!,Catalogos!$I$4:$J$64,2,FALSE)</f>
        <v>#REF!</v>
      </c>
      <c r="F75" s="6">
        <v>250</v>
      </c>
      <c r="G75" s="4">
        <v>27</v>
      </c>
      <c r="H75" s="4">
        <f t="shared" si="1"/>
        <v>6750</v>
      </c>
      <c r="I75" t="e">
        <f>VLOOKUP(#REF!,Catalogos!$B$3:$C$10,2,FALSE)</f>
        <v>#REF!</v>
      </c>
      <c r="K75">
        <v>25</v>
      </c>
    </row>
    <row r="76" spans="1:11">
      <c r="A76" s="2">
        <v>46187</v>
      </c>
      <c r="B76" t="s">
        <v>1</v>
      </c>
      <c r="C76" s="2">
        <v>46188</v>
      </c>
      <c r="D76" t="s">
        <v>86</v>
      </c>
      <c r="E76" t="e">
        <f>VLOOKUP(#REF!,Catalogos!$I$4:$J$64,2,FALSE)</f>
        <v>#REF!</v>
      </c>
      <c r="F76" s="6">
        <v>100</v>
      </c>
      <c r="G76" s="4">
        <v>27</v>
      </c>
      <c r="H76" s="4">
        <f t="shared" si="1"/>
        <v>2700</v>
      </c>
      <c r="I76" t="e">
        <f>VLOOKUP(#REF!,Catalogos!$B$3:$C$10,2,FALSE)</f>
        <v>#REF!</v>
      </c>
      <c r="K76">
        <v>25</v>
      </c>
    </row>
    <row r="77" spans="1:11">
      <c r="A77" s="2">
        <v>46187</v>
      </c>
      <c r="B77" t="s">
        <v>1</v>
      </c>
      <c r="C77" s="2">
        <v>46188</v>
      </c>
      <c r="D77" t="s">
        <v>88</v>
      </c>
      <c r="E77" t="e">
        <f>VLOOKUP(#REF!,Catalogos!$I$4:$J$64,2,FALSE)</f>
        <v>#REF!</v>
      </c>
      <c r="F77" s="6">
        <v>50</v>
      </c>
      <c r="G77" s="4">
        <v>27</v>
      </c>
      <c r="H77" s="4">
        <f t="shared" si="1"/>
        <v>1350</v>
      </c>
      <c r="I77" t="e">
        <f>VLOOKUP(#REF!,Catalogos!$B$3:$C$10,2,FALSE)</f>
        <v>#REF!</v>
      </c>
      <c r="K77">
        <v>25</v>
      </c>
    </row>
    <row r="78" spans="1:11">
      <c r="A78" s="2">
        <v>46187</v>
      </c>
      <c r="B78" t="s">
        <v>1</v>
      </c>
      <c r="C78" s="2">
        <v>46188</v>
      </c>
      <c r="D78" t="s">
        <v>102</v>
      </c>
      <c r="E78" t="e">
        <f>VLOOKUP(#REF!,Catalogos!$I$4:$J$64,2,FALSE)</f>
        <v>#REF!</v>
      </c>
      <c r="F78" s="6">
        <v>20</v>
      </c>
      <c r="G78" s="4">
        <v>27</v>
      </c>
      <c r="H78" s="4">
        <f t="shared" si="1"/>
        <v>540</v>
      </c>
      <c r="I78" t="e">
        <f>VLOOKUP(#REF!,Catalogos!$B$3:$C$10,2,FALSE)</f>
        <v>#REF!</v>
      </c>
      <c r="K78">
        <v>25</v>
      </c>
    </row>
    <row r="79" spans="1:11">
      <c r="A79" s="2">
        <v>46187</v>
      </c>
      <c r="B79" t="s">
        <v>1</v>
      </c>
      <c r="C79" s="2">
        <v>46188</v>
      </c>
      <c r="D79" t="s">
        <v>90</v>
      </c>
      <c r="E79" t="e">
        <f>VLOOKUP(#REF!,Catalogos!$I$4:$J$64,2,FALSE)</f>
        <v>#REF!</v>
      </c>
      <c r="F79" s="6">
        <v>50</v>
      </c>
      <c r="G79" s="4">
        <v>27</v>
      </c>
      <c r="H79" s="4">
        <f t="shared" si="1"/>
        <v>1350</v>
      </c>
      <c r="I79" t="e">
        <f>VLOOKUP(#REF!,Catalogos!$B$3:$C$10,2,FALSE)</f>
        <v>#REF!</v>
      </c>
      <c r="K79">
        <v>25</v>
      </c>
    </row>
    <row r="80" spans="1:11">
      <c r="A80" s="2">
        <v>46187</v>
      </c>
      <c r="B80" t="s">
        <v>1</v>
      </c>
      <c r="C80" s="2">
        <v>46188</v>
      </c>
      <c r="D80" t="s">
        <v>79</v>
      </c>
      <c r="E80" t="e">
        <f>VLOOKUP(#REF!,Catalogos!$I$4:$J$64,2,FALSE)</f>
        <v>#REF!</v>
      </c>
      <c r="F80" s="6">
        <v>40</v>
      </c>
      <c r="G80" s="4">
        <v>27</v>
      </c>
      <c r="H80" s="4">
        <f t="shared" si="1"/>
        <v>1080</v>
      </c>
      <c r="I80" t="e">
        <f>VLOOKUP(#REF!,Catalogos!$B$3:$C$10,2,FALSE)</f>
        <v>#REF!</v>
      </c>
      <c r="K80">
        <v>25</v>
      </c>
    </row>
    <row r="81" spans="1:11">
      <c r="A81" s="2">
        <v>46187</v>
      </c>
      <c r="B81" t="s">
        <v>1</v>
      </c>
      <c r="C81" s="2">
        <v>46188</v>
      </c>
      <c r="D81" t="s">
        <v>56</v>
      </c>
      <c r="E81" t="e">
        <f>VLOOKUP(#REF!,Catalogos!$I$4:$J$64,2,FALSE)</f>
        <v>#REF!</v>
      </c>
      <c r="F81" s="6">
        <v>60</v>
      </c>
      <c r="G81" s="4">
        <v>27</v>
      </c>
      <c r="H81" s="4">
        <f t="shared" si="1"/>
        <v>1620</v>
      </c>
      <c r="I81" t="e">
        <f>VLOOKUP(#REF!,Catalogos!$B$3:$C$10,2,FALSE)</f>
        <v>#REF!</v>
      </c>
      <c r="K81">
        <v>25</v>
      </c>
    </row>
    <row r="82" spans="1:11">
      <c r="A82" s="2">
        <v>46187</v>
      </c>
      <c r="B82" t="s">
        <v>1</v>
      </c>
      <c r="C82" s="2">
        <v>46188</v>
      </c>
      <c r="D82" t="s">
        <v>92</v>
      </c>
      <c r="E82" t="e">
        <f>VLOOKUP(#REF!,Catalogos!$I$4:$J$64,2,FALSE)</f>
        <v>#REF!</v>
      </c>
      <c r="F82" s="6">
        <v>50</v>
      </c>
      <c r="G82" s="4">
        <v>27</v>
      </c>
      <c r="H82" s="4">
        <f t="shared" si="1"/>
        <v>1350</v>
      </c>
      <c r="I82" t="e">
        <f>VLOOKUP(#REF!,Catalogos!$B$3:$C$10,2,FALSE)</f>
        <v>#REF!</v>
      </c>
      <c r="K82">
        <v>25</v>
      </c>
    </row>
    <row r="83" spans="1:11">
      <c r="A83" s="2">
        <v>46187</v>
      </c>
      <c r="B83" t="s">
        <v>2</v>
      </c>
      <c r="C83" s="2">
        <v>46188</v>
      </c>
      <c r="D83" t="s">
        <v>65</v>
      </c>
      <c r="E83" t="e">
        <f>VLOOKUP(#REF!,Catalogos!$I$4:$J$64,2,FALSE)</f>
        <v>#REF!</v>
      </c>
      <c r="F83" s="6">
        <v>90</v>
      </c>
      <c r="G83" s="4">
        <v>27</v>
      </c>
      <c r="H83" s="4">
        <f t="shared" si="1"/>
        <v>2430</v>
      </c>
      <c r="I83" t="e">
        <f>VLOOKUP(#REF!,Catalogos!$B$3:$C$10,2,FALSE)</f>
        <v>#REF!</v>
      </c>
      <c r="K83">
        <v>25</v>
      </c>
    </row>
    <row r="84" spans="1:11">
      <c r="A84" s="2">
        <v>46187</v>
      </c>
      <c r="B84" t="s">
        <v>2</v>
      </c>
      <c r="C84" s="2">
        <v>46188</v>
      </c>
      <c r="D84" t="s">
        <v>85</v>
      </c>
      <c r="E84" t="e">
        <f>VLOOKUP(#REF!,Catalogos!$I$4:$J$64,2,FALSE)</f>
        <v>#REF!</v>
      </c>
      <c r="F84" s="6">
        <v>40</v>
      </c>
      <c r="G84" s="4">
        <v>27</v>
      </c>
      <c r="H84" s="4">
        <f t="shared" si="1"/>
        <v>1080</v>
      </c>
      <c r="I84" t="e">
        <f>VLOOKUP(#REF!,Catalogos!$B$3:$C$10,2,FALSE)</f>
        <v>#REF!</v>
      </c>
      <c r="K84">
        <v>25</v>
      </c>
    </row>
    <row r="85" spans="1:11">
      <c r="A85" s="2">
        <v>46187</v>
      </c>
      <c r="B85" t="s">
        <v>2</v>
      </c>
      <c r="C85" s="2">
        <v>46188</v>
      </c>
      <c r="D85" t="s">
        <v>70</v>
      </c>
      <c r="E85" t="e">
        <f>VLOOKUP(#REF!,Catalogos!$I$4:$J$64,2,FALSE)</f>
        <v>#REF!</v>
      </c>
      <c r="F85" s="6">
        <v>40</v>
      </c>
      <c r="G85" s="4">
        <v>27</v>
      </c>
      <c r="H85" s="4">
        <f t="shared" si="1"/>
        <v>1080</v>
      </c>
      <c r="I85" t="e">
        <f>VLOOKUP(#REF!,Catalogos!$B$3:$C$10,2,FALSE)</f>
        <v>#REF!</v>
      </c>
      <c r="K85">
        <v>25</v>
      </c>
    </row>
    <row r="86" spans="1:11">
      <c r="A86" s="2">
        <v>46188</v>
      </c>
      <c r="B86" t="s">
        <v>111</v>
      </c>
      <c r="D86" t="s">
        <v>56</v>
      </c>
      <c r="E86" t="e">
        <f>VLOOKUP(#REF!,Catalogos!$I$4:$J$64,2,FALSE)</f>
        <v>#REF!</v>
      </c>
      <c r="F86" s="6">
        <v>70</v>
      </c>
      <c r="G86" s="4">
        <v>27</v>
      </c>
      <c r="H86" s="4">
        <f t="shared" si="1"/>
        <v>1890</v>
      </c>
      <c r="I86" t="e">
        <f>VLOOKUP(#REF!,Catalogos!$B$3:$C$10,2,FALSE)</f>
        <v>#REF!</v>
      </c>
      <c r="K86">
        <v>25</v>
      </c>
    </row>
    <row r="87" spans="1:11">
      <c r="A87" s="2">
        <v>46188</v>
      </c>
      <c r="B87" t="s">
        <v>111</v>
      </c>
      <c r="D87" t="s">
        <v>69</v>
      </c>
      <c r="E87" t="e">
        <f>VLOOKUP(#REF!,Catalogos!$I$4:$J$64,2,FALSE)</f>
        <v>#REF!</v>
      </c>
      <c r="F87" s="6">
        <v>200</v>
      </c>
      <c r="G87" s="4">
        <v>27</v>
      </c>
      <c r="H87" s="4">
        <f t="shared" si="1"/>
        <v>5400</v>
      </c>
      <c r="I87" t="e">
        <f>VLOOKUP(#REF!,Catalogos!$B$3:$C$10,2,FALSE)</f>
        <v>#REF!</v>
      </c>
      <c r="K87">
        <v>25</v>
      </c>
    </row>
    <row r="88" spans="1:11">
      <c r="A88" s="2">
        <v>46188</v>
      </c>
      <c r="B88" t="s">
        <v>111</v>
      </c>
      <c r="D88" t="s">
        <v>104</v>
      </c>
      <c r="E88" t="e">
        <f>VLOOKUP(#REF!,Catalogos!$I$4:$J$64,2,FALSE)</f>
        <v>#REF!</v>
      </c>
      <c r="F88" s="6">
        <v>40</v>
      </c>
      <c r="G88" s="4">
        <v>27</v>
      </c>
      <c r="H88" s="4">
        <f t="shared" si="1"/>
        <v>1080</v>
      </c>
      <c r="I88" t="e">
        <f>VLOOKUP(#REF!,Catalogos!$B$3:$C$10,2,FALSE)</f>
        <v>#REF!</v>
      </c>
      <c r="K88">
        <v>25</v>
      </c>
    </row>
    <row r="89" spans="1:11">
      <c r="A89" s="2">
        <v>46188</v>
      </c>
      <c r="B89" t="s">
        <v>2</v>
      </c>
      <c r="C89" s="2">
        <v>46189</v>
      </c>
      <c r="D89" t="s">
        <v>102</v>
      </c>
      <c r="E89" t="e">
        <f>VLOOKUP(#REF!,Catalogos!$I$4:$J$64,2,FALSE)</f>
        <v>#REF!</v>
      </c>
      <c r="F89" s="6">
        <v>25</v>
      </c>
      <c r="G89" s="4">
        <v>27</v>
      </c>
      <c r="H89" s="4">
        <f t="shared" si="1"/>
        <v>675</v>
      </c>
      <c r="I89" t="e">
        <f>VLOOKUP(#REF!,Catalogos!$B$3:$C$10,2,FALSE)</f>
        <v>#REF!</v>
      </c>
      <c r="K89">
        <v>25</v>
      </c>
    </row>
    <row r="90" spans="1:11">
      <c r="A90" s="2">
        <v>46188</v>
      </c>
      <c r="B90" t="s">
        <v>2</v>
      </c>
      <c r="C90" s="2">
        <v>46189</v>
      </c>
      <c r="D90" t="s">
        <v>60</v>
      </c>
      <c r="E90" t="e">
        <f>VLOOKUP(#REF!,Catalogos!$I$4:$J$64,2,FALSE)</f>
        <v>#REF!</v>
      </c>
      <c r="F90" s="6">
        <v>60</v>
      </c>
      <c r="G90" s="4">
        <v>27</v>
      </c>
      <c r="H90" s="4">
        <f t="shared" si="1"/>
        <v>1620</v>
      </c>
      <c r="I90" t="e">
        <f>VLOOKUP(#REF!,Catalogos!$B$3:$C$10,2,FALSE)</f>
        <v>#REF!</v>
      </c>
      <c r="K90">
        <v>25</v>
      </c>
    </row>
    <row r="91" spans="1:11">
      <c r="A91" s="2">
        <v>46188</v>
      </c>
      <c r="B91" t="s">
        <v>2</v>
      </c>
      <c r="C91" s="2">
        <v>46189</v>
      </c>
      <c r="D91" t="s">
        <v>88</v>
      </c>
      <c r="E91" t="e">
        <f>VLOOKUP(#REF!,Catalogos!$I$4:$J$64,2,FALSE)</f>
        <v>#REF!</v>
      </c>
      <c r="F91" s="6">
        <v>50</v>
      </c>
      <c r="G91" s="4">
        <v>27</v>
      </c>
      <c r="H91" s="4">
        <f t="shared" si="1"/>
        <v>1350</v>
      </c>
      <c r="I91" t="e">
        <f>VLOOKUP(#REF!,Catalogos!$B$3:$C$10,2,FALSE)</f>
        <v>#REF!</v>
      </c>
      <c r="K91">
        <v>25</v>
      </c>
    </row>
    <row r="92" spans="1:11">
      <c r="A92" s="2">
        <v>46188</v>
      </c>
      <c r="B92" t="s">
        <v>2</v>
      </c>
      <c r="C92" s="2">
        <v>46189</v>
      </c>
      <c r="D92" t="s">
        <v>69</v>
      </c>
      <c r="E92" t="e">
        <f>VLOOKUP(#REF!,Catalogos!$I$4:$J$64,2,FALSE)</f>
        <v>#REF!</v>
      </c>
      <c r="F92" s="6">
        <v>250</v>
      </c>
      <c r="G92" s="4">
        <v>27</v>
      </c>
      <c r="H92" s="4">
        <f t="shared" si="1"/>
        <v>6750</v>
      </c>
      <c r="I92" t="e">
        <f>VLOOKUP(#REF!,Catalogos!$B$3:$C$10,2,FALSE)</f>
        <v>#REF!</v>
      </c>
      <c r="K92">
        <v>25</v>
      </c>
    </row>
    <row r="93" spans="1:11">
      <c r="A93" s="2">
        <v>46188</v>
      </c>
      <c r="B93" t="s">
        <v>2</v>
      </c>
      <c r="C93" s="2">
        <v>46189</v>
      </c>
      <c r="D93" t="s">
        <v>70</v>
      </c>
      <c r="E93" t="e">
        <f>VLOOKUP(#REF!,Catalogos!$I$4:$J$64,2,FALSE)</f>
        <v>#REF!</v>
      </c>
      <c r="F93" s="6">
        <v>70</v>
      </c>
      <c r="G93" s="4">
        <v>27</v>
      </c>
      <c r="H93" s="4">
        <f t="shared" si="1"/>
        <v>1890</v>
      </c>
      <c r="I93" t="e">
        <f>VLOOKUP(#REF!,Catalogos!$B$3:$C$10,2,FALSE)</f>
        <v>#REF!</v>
      </c>
      <c r="K93">
        <v>25</v>
      </c>
    </row>
    <row r="94" spans="1:11">
      <c r="A94" s="2">
        <v>46188</v>
      </c>
      <c r="B94" t="s">
        <v>2</v>
      </c>
      <c r="C94" s="2">
        <v>46189</v>
      </c>
      <c r="D94" t="s">
        <v>56</v>
      </c>
      <c r="E94" t="e">
        <f>VLOOKUP(#REF!,Catalogos!$I$4:$J$64,2,FALSE)</f>
        <v>#REF!</v>
      </c>
      <c r="F94" s="6">
        <v>50</v>
      </c>
      <c r="G94" s="4">
        <v>27</v>
      </c>
      <c r="H94" s="4">
        <f t="shared" si="1"/>
        <v>1350</v>
      </c>
      <c r="I94" t="e">
        <f>VLOOKUP(#REF!,Catalogos!$B$3:$C$10,2,FALSE)</f>
        <v>#REF!</v>
      </c>
      <c r="K94">
        <v>25</v>
      </c>
    </row>
    <row r="95" spans="1:11">
      <c r="A95" s="2">
        <v>46188</v>
      </c>
      <c r="B95" t="s">
        <v>1</v>
      </c>
      <c r="C95" s="2">
        <v>46189</v>
      </c>
      <c r="D95" t="s">
        <v>76</v>
      </c>
      <c r="E95" t="e">
        <f>VLOOKUP(#REF!,Catalogos!$I$4:$J$64,2,FALSE)</f>
        <v>#REF!</v>
      </c>
      <c r="F95" s="6">
        <v>250</v>
      </c>
      <c r="G95" s="4">
        <v>27</v>
      </c>
      <c r="H95" s="4">
        <f t="shared" si="1"/>
        <v>6750</v>
      </c>
      <c r="I95" t="e">
        <f>VLOOKUP(#REF!,Catalogos!$B$3:$C$10,2,FALSE)</f>
        <v>#REF!</v>
      </c>
      <c r="K95">
        <v>25</v>
      </c>
    </row>
    <row r="96" spans="1:11">
      <c r="A96" s="2">
        <v>46188</v>
      </c>
      <c r="B96" t="s">
        <v>1</v>
      </c>
      <c r="C96" s="2">
        <v>46189</v>
      </c>
      <c r="D96" t="s">
        <v>86</v>
      </c>
      <c r="E96" t="e">
        <f>VLOOKUP(#REF!,Catalogos!$I$4:$J$64,2,FALSE)</f>
        <v>#REF!</v>
      </c>
      <c r="F96" s="6">
        <v>200</v>
      </c>
      <c r="G96" s="4">
        <v>27</v>
      </c>
      <c r="H96" s="4">
        <f t="shared" si="1"/>
        <v>5400</v>
      </c>
      <c r="I96" t="e">
        <f>VLOOKUP(#REF!,Catalogos!$B$3:$C$10,2,FALSE)</f>
        <v>#REF!</v>
      </c>
      <c r="K96">
        <v>25</v>
      </c>
    </row>
    <row r="97" spans="1:11">
      <c r="A97" s="2">
        <v>46188</v>
      </c>
      <c r="B97" t="s">
        <v>1</v>
      </c>
      <c r="C97" s="2">
        <v>46189</v>
      </c>
      <c r="D97" t="s">
        <v>102</v>
      </c>
      <c r="E97" t="e">
        <f>VLOOKUP(#REF!,Catalogos!$I$4:$J$64,2,FALSE)</f>
        <v>#REF!</v>
      </c>
      <c r="F97" s="6">
        <v>20</v>
      </c>
      <c r="G97" s="4">
        <v>27</v>
      </c>
      <c r="H97" s="4">
        <f t="shared" si="1"/>
        <v>540</v>
      </c>
      <c r="I97" t="e">
        <f>VLOOKUP(#REF!,Catalogos!$B$3:$C$10,2,FALSE)</f>
        <v>#REF!</v>
      </c>
      <c r="K97">
        <v>25</v>
      </c>
    </row>
    <row r="98" spans="1:11">
      <c r="A98" s="2">
        <v>46188</v>
      </c>
      <c r="B98" t="s">
        <v>1</v>
      </c>
      <c r="C98" s="2">
        <v>46189</v>
      </c>
      <c r="D98" t="s">
        <v>88</v>
      </c>
      <c r="E98" t="e">
        <f>VLOOKUP(#REF!,Catalogos!$I$4:$J$64,2,FALSE)</f>
        <v>#REF!</v>
      </c>
      <c r="F98" s="6">
        <v>50</v>
      </c>
      <c r="G98" s="4">
        <v>27</v>
      </c>
      <c r="H98" s="4">
        <f t="shared" si="1"/>
        <v>1350</v>
      </c>
      <c r="I98" t="e">
        <f>VLOOKUP(#REF!,Catalogos!$B$3:$C$10,2,FALSE)</f>
        <v>#REF!</v>
      </c>
      <c r="K98">
        <v>25</v>
      </c>
    </row>
    <row r="99" spans="1:11">
      <c r="A99" s="2">
        <v>46188</v>
      </c>
      <c r="B99" t="s">
        <v>1</v>
      </c>
      <c r="C99" s="2">
        <v>46189</v>
      </c>
      <c r="D99" t="s">
        <v>85</v>
      </c>
      <c r="E99" t="e">
        <f>VLOOKUP(#REF!,Catalogos!$I$4:$J$64,2,FALSE)</f>
        <v>#REF!</v>
      </c>
      <c r="F99" s="6">
        <v>50</v>
      </c>
      <c r="G99" s="4">
        <v>27</v>
      </c>
      <c r="H99" s="4">
        <f t="shared" si="1"/>
        <v>1350</v>
      </c>
      <c r="I99" t="e">
        <f>VLOOKUP(#REF!,Catalogos!$B$3:$C$10,2,FALSE)</f>
        <v>#REF!</v>
      </c>
      <c r="K99">
        <v>25</v>
      </c>
    </row>
    <row r="100" spans="1:11">
      <c r="A100" s="2">
        <v>46188</v>
      </c>
      <c r="B100" t="s">
        <v>1</v>
      </c>
      <c r="C100" s="2">
        <v>46189</v>
      </c>
      <c r="D100" t="s">
        <v>79</v>
      </c>
      <c r="E100" t="e">
        <f>VLOOKUP(#REF!,Catalogos!$I$4:$J$64,2,FALSE)</f>
        <v>#REF!</v>
      </c>
      <c r="F100" s="6">
        <v>40</v>
      </c>
      <c r="G100" s="4">
        <v>27</v>
      </c>
      <c r="H100" s="4">
        <f t="shared" si="1"/>
        <v>1080</v>
      </c>
      <c r="I100" t="e">
        <f>VLOOKUP(#REF!,Catalogos!$B$3:$C$10,2,FALSE)</f>
        <v>#REF!</v>
      </c>
      <c r="K100">
        <v>25</v>
      </c>
    </row>
    <row r="101" spans="1:11">
      <c r="A101" s="2">
        <v>46188</v>
      </c>
      <c r="B101" t="s">
        <v>1</v>
      </c>
      <c r="C101" s="2">
        <v>46189</v>
      </c>
      <c r="D101" t="s">
        <v>56</v>
      </c>
      <c r="E101" t="e">
        <f>VLOOKUP(#REF!,Catalogos!$I$4:$J$64,2,FALSE)</f>
        <v>#REF!</v>
      </c>
      <c r="F101" s="6">
        <v>50</v>
      </c>
      <c r="G101" s="4">
        <v>27</v>
      </c>
      <c r="H101" s="4">
        <f t="shared" si="1"/>
        <v>1350</v>
      </c>
      <c r="I101" t="e">
        <f>VLOOKUP(#REF!,Catalogos!$B$3:$C$10,2,FALSE)</f>
        <v>#REF!</v>
      </c>
      <c r="K101">
        <v>25</v>
      </c>
    </row>
    <row r="102" spans="1:11">
      <c r="A102" s="2">
        <v>46188</v>
      </c>
      <c r="B102" t="s">
        <v>1</v>
      </c>
      <c r="C102" s="2">
        <v>46189</v>
      </c>
      <c r="D102" t="s">
        <v>92</v>
      </c>
      <c r="E102" t="e">
        <f>VLOOKUP(#REF!,Catalogos!$I$4:$J$64,2,FALSE)</f>
        <v>#REF!</v>
      </c>
      <c r="F102" s="6">
        <v>50</v>
      </c>
      <c r="G102" s="4">
        <v>27</v>
      </c>
      <c r="H102" s="4">
        <f t="shared" si="1"/>
        <v>1350</v>
      </c>
      <c r="I102" t="e">
        <f>VLOOKUP(#REF!,Catalogos!$B$3:$C$10,2,FALSE)</f>
        <v>#REF!</v>
      </c>
      <c r="K102">
        <v>25</v>
      </c>
    </row>
    <row r="103" spans="1:11">
      <c r="A103" s="2">
        <v>46189</v>
      </c>
      <c r="B103" t="s">
        <v>2</v>
      </c>
      <c r="C103" s="2">
        <v>46190</v>
      </c>
      <c r="D103" t="s">
        <v>62</v>
      </c>
      <c r="E103" t="e">
        <f>VLOOKUP(#REF!,Catalogos!$I$4:$J$64,2,FALSE)</f>
        <v>#REF!</v>
      </c>
      <c r="F103" s="6">
        <v>50</v>
      </c>
      <c r="G103" s="4">
        <v>27</v>
      </c>
      <c r="H103" s="4">
        <f t="shared" si="1"/>
        <v>1350</v>
      </c>
      <c r="I103" t="e">
        <f>VLOOKUP(#REF!,Catalogos!$B$3:$C$10,2,FALSE)</f>
        <v>#REF!</v>
      </c>
      <c r="K103">
        <v>25</v>
      </c>
    </row>
    <row r="104" spans="1:11">
      <c r="A104" s="2">
        <v>46189</v>
      </c>
      <c r="B104" t="s">
        <v>2</v>
      </c>
      <c r="C104" s="2">
        <v>46190</v>
      </c>
      <c r="D104" t="s">
        <v>85</v>
      </c>
      <c r="E104" t="e">
        <f>VLOOKUP(#REF!,Catalogos!$I$4:$J$64,2,FALSE)</f>
        <v>#REF!</v>
      </c>
      <c r="F104" s="6">
        <v>30</v>
      </c>
      <c r="G104" s="4">
        <v>27</v>
      </c>
      <c r="H104" s="4">
        <f t="shared" si="1"/>
        <v>810</v>
      </c>
      <c r="I104" t="e">
        <f>VLOOKUP(#REF!,Catalogos!$B$3:$C$10,2,FALSE)</f>
        <v>#REF!</v>
      </c>
      <c r="K104">
        <v>25</v>
      </c>
    </row>
    <row r="105" spans="1:11">
      <c r="A105" s="2">
        <v>46189</v>
      </c>
      <c r="B105" t="s">
        <v>2</v>
      </c>
      <c r="C105" s="2">
        <v>46190</v>
      </c>
      <c r="D105" t="s">
        <v>104</v>
      </c>
      <c r="E105" t="e">
        <f>VLOOKUP(#REF!,Catalogos!$I$4:$J$64,2,FALSE)</f>
        <v>#REF!</v>
      </c>
      <c r="F105" s="6">
        <v>50</v>
      </c>
      <c r="G105" s="4">
        <v>27</v>
      </c>
      <c r="H105" s="4">
        <f t="shared" si="1"/>
        <v>1350</v>
      </c>
      <c r="I105" t="e">
        <f>VLOOKUP(#REF!,Catalogos!$B$3:$C$10,2,FALSE)</f>
        <v>#REF!</v>
      </c>
      <c r="K105">
        <v>25</v>
      </c>
    </row>
    <row r="106" spans="1:11">
      <c r="A106" s="2">
        <v>46189</v>
      </c>
      <c r="B106" t="s">
        <v>2</v>
      </c>
      <c r="C106" s="2">
        <v>46190</v>
      </c>
      <c r="D106" t="s">
        <v>65</v>
      </c>
      <c r="E106" t="e">
        <f>VLOOKUP(#REF!,Catalogos!$I$4:$J$64,2,FALSE)</f>
        <v>#REF!</v>
      </c>
      <c r="F106" s="6">
        <v>130</v>
      </c>
      <c r="G106" s="4">
        <v>27</v>
      </c>
      <c r="H106" s="4">
        <f t="shared" si="1"/>
        <v>3510</v>
      </c>
      <c r="I106" t="e">
        <f>VLOOKUP(#REF!,Catalogos!$B$3:$C$10,2,FALSE)</f>
        <v>#REF!</v>
      </c>
      <c r="K106">
        <v>25</v>
      </c>
    </row>
    <row r="107" spans="1:11">
      <c r="A107" s="2">
        <v>46189</v>
      </c>
      <c r="B107" t="s">
        <v>2</v>
      </c>
      <c r="C107" s="2">
        <v>46190</v>
      </c>
      <c r="D107" t="s">
        <v>102</v>
      </c>
      <c r="E107" t="e">
        <f>VLOOKUP(#REF!,Catalogos!$I$4:$J$64,2,FALSE)</f>
        <v>#REF!</v>
      </c>
      <c r="F107" s="6">
        <v>20</v>
      </c>
      <c r="G107" s="4">
        <v>27</v>
      </c>
      <c r="H107" s="4">
        <f t="shared" si="1"/>
        <v>540</v>
      </c>
      <c r="I107" t="e">
        <f>VLOOKUP(#REF!,Catalogos!$B$3:$C$10,2,FALSE)</f>
        <v>#REF!</v>
      </c>
      <c r="K107">
        <v>25</v>
      </c>
    </row>
    <row r="108" spans="1:11">
      <c r="A108" s="2">
        <v>46189</v>
      </c>
      <c r="B108" t="s">
        <v>2</v>
      </c>
      <c r="C108" s="2">
        <v>46190</v>
      </c>
      <c r="D108" t="s">
        <v>100</v>
      </c>
      <c r="E108" t="e">
        <f>VLOOKUP(#REF!,Catalogos!$I$4:$J$64,2,FALSE)</f>
        <v>#REF!</v>
      </c>
      <c r="F108" s="6">
        <v>160</v>
      </c>
      <c r="G108" s="4">
        <v>27</v>
      </c>
      <c r="H108" s="4">
        <f t="shared" si="1"/>
        <v>4320</v>
      </c>
      <c r="I108" t="e">
        <f>VLOOKUP(#REF!,Catalogos!$B$3:$C$10,2,FALSE)</f>
        <v>#REF!</v>
      </c>
      <c r="K108">
        <v>25</v>
      </c>
    </row>
    <row r="109" spans="1:11">
      <c r="A109" s="2">
        <v>46189</v>
      </c>
      <c r="B109" t="s">
        <v>2</v>
      </c>
      <c r="C109" s="2">
        <v>46190</v>
      </c>
      <c r="D109" t="s">
        <v>60</v>
      </c>
      <c r="E109" t="e">
        <f>VLOOKUP(#REF!,Catalogos!$I$4:$J$64,2,FALSE)</f>
        <v>#REF!</v>
      </c>
      <c r="F109" s="6">
        <v>70</v>
      </c>
      <c r="G109" s="4">
        <v>27</v>
      </c>
      <c r="H109" s="4">
        <f t="shared" si="1"/>
        <v>1890</v>
      </c>
      <c r="I109" t="e">
        <f>VLOOKUP(#REF!,Catalogos!$B$3:$C$10,2,FALSE)</f>
        <v>#REF!</v>
      </c>
      <c r="K109">
        <v>25</v>
      </c>
    </row>
    <row r="110" spans="1:11">
      <c r="A110" s="2">
        <v>46189</v>
      </c>
      <c r="B110" t="s">
        <v>2</v>
      </c>
      <c r="C110" s="2">
        <v>46190</v>
      </c>
      <c r="D110" t="s">
        <v>69</v>
      </c>
      <c r="E110" t="e">
        <f>VLOOKUP(#REF!,Catalogos!$I$4:$J$64,2,FALSE)</f>
        <v>#REF!</v>
      </c>
      <c r="F110" s="6">
        <v>250</v>
      </c>
      <c r="G110" s="4">
        <v>27</v>
      </c>
      <c r="H110" s="4">
        <f t="shared" si="1"/>
        <v>6750</v>
      </c>
      <c r="I110" t="e">
        <f>VLOOKUP(#REF!,Catalogos!$B$3:$C$10,2,FALSE)</f>
        <v>#REF!</v>
      </c>
      <c r="K110">
        <v>25</v>
      </c>
    </row>
    <row r="111" spans="1:11">
      <c r="A111" s="2">
        <v>46189</v>
      </c>
      <c r="B111" t="s">
        <v>2</v>
      </c>
      <c r="C111" s="2">
        <v>46190</v>
      </c>
      <c r="D111" t="s">
        <v>62</v>
      </c>
      <c r="E111" t="e">
        <f>VLOOKUP(#REF!,Catalogos!$I$4:$J$64,2,FALSE)</f>
        <v>#REF!</v>
      </c>
      <c r="F111" s="6">
        <v>150</v>
      </c>
      <c r="G111" s="4">
        <v>27</v>
      </c>
      <c r="H111" s="4">
        <f t="shared" si="1"/>
        <v>4050</v>
      </c>
      <c r="I111" t="e">
        <f>VLOOKUP(#REF!,Catalogos!$B$3:$C$10,2,FALSE)</f>
        <v>#REF!</v>
      </c>
      <c r="K111">
        <v>25</v>
      </c>
    </row>
    <row r="112" spans="1:11">
      <c r="A112" s="2">
        <v>46190</v>
      </c>
      <c r="B112" t="s">
        <v>1</v>
      </c>
      <c r="C112" s="2">
        <v>46190</v>
      </c>
      <c r="D112" t="s">
        <v>76</v>
      </c>
      <c r="E112" t="e">
        <f>VLOOKUP(#REF!,Catalogos!$I$4:$J$64,2,FALSE)</f>
        <v>#REF!</v>
      </c>
      <c r="F112" s="6">
        <v>250</v>
      </c>
      <c r="G112" s="4">
        <v>27</v>
      </c>
      <c r="H112" s="4">
        <f t="shared" si="1"/>
        <v>6750</v>
      </c>
      <c r="I112" t="e">
        <f>VLOOKUP(#REF!,Catalogos!$B$3:$C$10,2,FALSE)</f>
        <v>#REF!</v>
      </c>
      <c r="K112">
        <v>25</v>
      </c>
    </row>
    <row r="113" spans="1:11">
      <c r="A113" s="2">
        <v>46190</v>
      </c>
      <c r="B113" t="s">
        <v>1</v>
      </c>
      <c r="C113" s="2">
        <v>46190</v>
      </c>
      <c r="D113" t="s">
        <v>86</v>
      </c>
      <c r="E113" t="e">
        <f>VLOOKUP(#REF!,Catalogos!$I$4:$J$64,2,FALSE)</f>
        <v>#REF!</v>
      </c>
      <c r="F113" s="6">
        <v>100</v>
      </c>
      <c r="G113" s="4">
        <v>27</v>
      </c>
      <c r="H113" s="4">
        <f t="shared" si="1"/>
        <v>2700</v>
      </c>
      <c r="I113" t="e">
        <f>VLOOKUP(#REF!,Catalogos!$B$3:$C$10,2,FALSE)</f>
        <v>#REF!</v>
      </c>
      <c r="K113">
        <v>25</v>
      </c>
    </row>
    <row r="114" spans="1:11">
      <c r="A114" s="2">
        <v>46190</v>
      </c>
      <c r="B114" t="s">
        <v>1</v>
      </c>
      <c r="C114" s="2">
        <v>46190</v>
      </c>
      <c r="D114" t="s">
        <v>102</v>
      </c>
      <c r="E114" t="e">
        <f>VLOOKUP(#REF!,Catalogos!$I$4:$J$64,2,FALSE)</f>
        <v>#REF!</v>
      </c>
      <c r="F114" s="6">
        <v>20</v>
      </c>
      <c r="G114" s="4">
        <v>27</v>
      </c>
      <c r="H114" s="4">
        <f t="shared" si="1"/>
        <v>540</v>
      </c>
      <c r="I114" t="e">
        <f>VLOOKUP(#REF!,Catalogos!$B$3:$C$10,2,FALSE)</f>
        <v>#REF!</v>
      </c>
      <c r="K114">
        <v>25</v>
      </c>
    </row>
    <row r="115" spans="1:11">
      <c r="A115" s="2">
        <v>46190</v>
      </c>
      <c r="B115" t="s">
        <v>1</v>
      </c>
      <c r="C115" s="2">
        <v>46190</v>
      </c>
      <c r="D115" t="s">
        <v>88</v>
      </c>
      <c r="E115" t="e">
        <f>VLOOKUP(#REF!,Catalogos!$I$4:$J$64,2,FALSE)</f>
        <v>#REF!</v>
      </c>
      <c r="F115" s="6">
        <v>50</v>
      </c>
      <c r="G115" s="4">
        <v>27</v>
      </c>
      <c r="H115" s="4">
        <f t="shared" si="1"/>
        <v>1350</v>
      </c>
      <c r="I115" t="e">
        <f>VLOOKUP(#REF!,Catalogos!$B$3:$C$10,2,FALSE)</f>
        <v>#REF!</v>
      </c>
      <c r="K115">
        <v>25</v>
      </c>
    </row>
    <row r="116" spans="1:11">
      <c r="A116" s="2">
        <v>46190</v>
      </c>
      <c r="B116" t="s">
        <v>1</v>
      </c>
      <c r="C116" s="2">
        <v>46190</v>
      </c>
      <c r="D116" t="s">
        <v>85</v>
      </c>
      <c r="E116" t="e">
        <f>VLOOKUP(#REF!,Catalogos!$I$4:$J$64,2,FALSE)</f>
        <v>#REF!</v>
      </c>
      <c r="F116" s="6">
        <v>50</v>
      </c>
      <c r="G116" s="4">
        <v>27</v>
      </c>
      <c r="H116" s="4">
        <f t="shared" si="1"/>
        <v>1350</v>
      </c>
      <c r="I116" t="e">
        <f>VLOOKUP(#REF!,Catalogos!$B$3:$C$10,2,FALSE)</f>
        <v>#REF!</v>
      </c>
      <c r="K116">
        <v>25</v>
      </c>
    </row>
    <row r="117" spans="1:11">
      <c r="A117" s="2">
        <v>46190</v>
      </c>
      <c r="B117" t="s">
        <v>1</v>
      </c>
      <c r="C117" s="2">
        <v>46190</v>
      </c>
      <c r="D117" t="s">
        <v>79</v>
      </c>
      <c r="E117" t="e">
        <f>VLOOKUP(#REF!,Catalogos!$I$4:$J$64,2,FALSE)</f>
        <v>#REF!</v>
      </c>
      <c r="F117" s="6">
        <v>30</v>
      </c>
      <c r="G117" s="4">
        <v>27</v>
      </c>
      <c r="H117" s="4">
        <f t="shared" si="1"/>
        <v>810</v>
      </c>
      <c r="I117" t="e">
        <f>VLOOKUP(#REF!,Catalogos!$B$3:$C$10,2,FALSE)</f>
        <v>#REF!</v>
      </c>
      <c r="K117">
        <v>25</v>
      </c>
    </row>
    <row r="118" spans="1:11">
      <c r="A118" s="2">
        <v>46190</v>
      </c>
      <c r="B118" t="s">
        <v>1</v>
      </c>
      <c r="C118" s="2">
        <v>46190</v>
      </c>
      <c r="D118" t="s">
        <v>56</v>
      </c>
      <c r="E118" t="e">
        <f>VLOOKUP(#REF!,Catalogos!$I$4:$J$64,2,FALSE)</f>
        <v>#REF!</v>
      </c>
      <c r="F118" s="6">
        <v>80</v>
      </c>
      <c r="G118" s="4">
        <v>27</v>
      </c>
      <c r="H118" s="4">
        <f t="shared" si="1"/>
        <v>2160</v>
      </c>
      <c r="I118" t="e">
        <f>VLOOKUP(#REF!,Catalogos!$B$3:$C$10,2,FALSE)</f>
        <v>#REF!</v>
      </c>
      <c r="K118">
        <v>25</v>
      </c>
    </row>
    <row r="119" spans="1:11">
      <c r="A119" s="2">
        <v>46190</v>
      </c>
      <c r="B119" t="s">
        <v>1</v>
      </c>
      <c r="C119" s="2">
        <v>46190</v>
      </c>
      <c r="D119" t="s">
        <v>92</v>
      </c>
      <c r="E119" t="e">
        <f>VLOOKUP(#REF!,Catalogos!$I$4:$J$64,2,FALSE)</f>
        <v>#REF!</v>
      </c>
      <c r="F119" s="6">
        <v>50</v>
      </c>
      <c r="G119" s="4">
        <v>27</v>
      </c>
      <c r="H119" s="4">
        <f t="shared" si="1"/>
        <v>1350</v>
      </c>
      <c r="I119" t="e">
        <f>VLOOKUP(#REF!,Catalogos!$B$3:$C$10,2,FALSE)</f>
        <v>#REF!</v>
      </c>
      <c r="K119">
        <v>25</v>
      </c>
    </row>
    <row r="120" spans="1:11">
      <c r="A120" s="2">
        <v>46190</v>
      </c>
      <c r="B120" t="s">
        <v>111</v>
      </c>
      <c r="C120" s="2">
        <v>46190</v>
      </c>
      <c r="D120" t="s">
        <v>56</v>
      </c>
      <c r="E120" t="e">
        <f>VLOOKUP(#REF!,Catalogos!$I$4:$J$64,2,FALSE)</f>
        <v>#REF!</v>
      </c>
      <c r="F120" s="6">
        <v>70</v>
      </c>
      <c r="G120" s="4">
        <v>27</v>
      </c>
      <c r="H120" s="4">
        <f t="shared" si="1"/>
        <v>1890</v>
      </c>
      <c r="I120" t="e">
        <f>VLOOKUP(#REF!,Catalogos!$B$3:$C$10,2,FALSE)</f>
        <v>#REF!</v>
      </c>
      <c r="K120">
        <v>25</v>
      </c>
    </row>
    <row r="121" spans="1:11">
      <c r="A121" s="2">
        <v>46190</v>
      </c>
      <c r="B121" t="s">
        <v>111</v>
      </c>
      <c r="C121" s="2">
        <v>46190</v>
      </c>
      <c r="D121" t="s">
        <v>56</v>
      </c>
      <c r="E121" t="e">
        <f>VLOOKUP(#REF!,Catalogos!$I$4:$J$64,2,FALSE)</f>
        <v>#REF!</v>
      </c>
      <c r="F121" s="6">
        <v>70</v>
      </c>
      <c r="G121" s="4">
        <v>27</v>
      </c>
      <c r="H121" s="4">
        <f t="shared" si="1"/>
        <v>1890</v>
      </c>
      <c r="I121" t="e">
        <f>VLOOKUP(#REF!,Catalogos!$B$3:$C$10,2,FALSE)</f>
        <v>#REF!</v>
      </c>
      <c r="K121">
        <v>25</v>
      </c>
    </row>
    <row r="122" spans="1:11">
      <c r="A122" s="2">
        <v>46190</v>
      </c>
      <c r="B122" t="s">
        <v>111</v>
      </c>
      <c r="C122" s="2">
        <v>46190</v>
      </c>
      <c r="D122" t="s">
        <v>69</v>
      </c>
      <c r="E122" t="e">
        <f>VLOOKUP(#REF!,Catalogos!$I$4:$J$64,2,FALSE)</f>
        <v>#REF!</v>
      </c>
      <c r="F122" s="6">
        <v>200</v>
      </c>
      <c r="G122" s="4">
        <v>27</v>
      </c>
      <c r="H122" s="4">
        <f t="shared" si="1"/>
        <v>5400</v>
      </c>
      <c r="I122" t="e">
        <f>VLOOKUP(#REF!,Catalogos!$B$3:$C$10,2,FALSE)</f>
        <v>#REF!</v>
      </c>
      <c r="K122">
        <v>25</v>
      </c>
    </row>
    <row r="123" spans="1:11">
      <c r="A123" s="2">
        <v>46190</v>
      </c>
      <c r="B123" t="s">
        <v>111</v>
      </c>
      <c r="C123" s="2">
        <v>46190</v>
      </c>
      <c r="D123" t="s">
        <v>104</v>
      </c>
      <c r="E123" t="e">
        <f>VLOOKUP(#REF!,Catalogos!$I$4:$J$64,2,FALSE)</f>
        <v>#REF!</v>
      </c>
      <c r="F123" s="6">
        <v>20</v>
      </c>
      <c r="G123" s="4">
        <v>27</v>
      </c>
      <c r="H123" s="4">
        <f t="shared" si="1"/>
        <v>540</v>
      </c>
      <c r="I123" t="e">
        <f>VLOOKUP(#REF!,Catalogos!$B$3:$C$10,2,FALSE)</f>
        <v>#REF!</v>
      </c>
      <c r="K123">
        <v>25</v>
      </c>
    </row>
    <row r="124" spans="1:11">
      <c r="A124" s="2">
        <v>46190</v>
      </c>
      <c r="B124" t="s">
        <v>1</v>
      </c>
      <c r="C124" s="2">
        <v>46191</v>
      </c>
      <c r="D124" t="s">
        <v>76</v>
      </c>
      <c r="E124" t="e">
        <f>VLOOKUP(#REF!,Catalogos!$I$4:$J$64,2,FALSE)</f>
        <v>#REF!</v>
      </c>
      <c r="F124" s="6">
        <v>250</v>
      </c>
      <c r="G124" s="4">
        <v>27</v>
      </c>
      <c r="H124" s="4">
        <f t="shared" si="1"/>
        <v>6750</v>
      </c>
      <c r="I124" t="e">
        <f>VLOOKUP(#REF!,Catalogos!$B$3:$C$10,2,FALSE)</f>
        <v>#REF!</v>
      </c>
      <c r="K124">
        <v>25</v>
      </c>
    </row>
    <row r="125" spans="1:11">
      <c r="A125" s="2">
        <v>46190</v>
      </c>
      <c r="B125" t="s">
        <v>1</v>
      </c>
      <c r="C125" s="2">
        <v>46191</v>
      </c>
      <c r="D125" t="s">
        <v>86</v>
      </c>
      <c r="E125" t="e">
        <f>VLOOKUP(#REF!,Catalogos!$I$4:$J$64,2,FALSE)</f>
        <v>#REF!</v>
      </c>
      <c r="F125" s="6">
        <v>100</v>
      </c>
      <c r="G125" s="4">
        <v>27</v>
      </c>
      <c r="H125" s="4">
        <f t="shared" si="1"/>
        <v>2700</v>
      </c>
      <c r="I125" t="e">
        <f>VLOOKUP(#REF!,Catalogos!$B$3:$C$10,2,FALSE)</f>
        <v>#REF!</v>
      </c>
      <c r="K125">
        <v>25</v>
      </c>
    </row>
    <row r="126" spans="1:11">
      <c r="A126" s="2">
        <v>46190</v>
      </c>
      <c r="B126" t="s">
        <v>1</v>
      </c>
      <c r="C126" s="2">
        <v>46191</v>
      </c>
      <c r="D126" t="s">
        <v>102</v>
      </c>
      <c r="E126" t="e">
        <f>VLOOKUP(#REF!,Catalogos!$I$4:$J$64,2,FALSE)</f>
        <v>#REF!</v>
      </c>
      <c r="F126" s="6">
        <v>20</v>
      </c>
      <c r="G126" s="4">
        <v>27</v>
      </c>
      <c r="H126" s="4">
        <f t="shared" si="1"/>
        <v>540</v>
      </c>
      <c r="I126" t="e">
        <f>VLOOKUP(#REF!,Catalogos!$B$3:$C$10,2,FALSE)</f>
        <v>#REF!</v>
      </c>
      <c r="K126">
        <v>25</v>
      </c>
    </row>
    <row r="127" spans="1:11">
      <c r="A127" s="2">
        <v>46190</v>
      </c>
      <c r="B127" t="s">
        <v>1</v>
      </c>
      <c r="C127" s="2">
        <v>46191</v>
      </c>
      <c r="D127" t="s">
        <v>88</v>
      </c>
      <c r="E127" t="e">
        <f>VLOOKUP(#REF!,Catalogos!$I$4:$J$64,2,FALSE)</f>
        <v>#REF!</v>
      </c>
      <c r="F127" s="6">
        <v>40</v>
      </c>
      <c r="G127" s="4">
        <v>27</v>
      </c>
      <c r="H127" s="4">
        <f t="shared" si="1"/>
        <v>1080</v>
      </c>
      <c r="I127" t="e">
        <f>VLOOKUP(#REF!,Catalogos!$B$3:$C$10,2,FALSE)</f>
        <v>#REF!</v>
      </c>
      <c r="K127">
        <v>25</v>
      </c>
    </row>
    <row r="128" spans="1:11">
      <c r="A128" s="2">
        <v>46190</v>
      </c>
      <c r="B128" t="s">
        <v>1</v>
      </c>
      <c r="C128" s="2">
        <v>46191</v>
      </c>
      <c r="D128" t="s">
        <v>85</v>
      </c>
      <c r="E128" t="e">
        <f>VLOOKUP(#REF!,Catalogos!$I$4:$J$64,2,FALSE)</f>
        <v>#REF!</v>
      </c>
      <c r="F128" s="6">
        <v>40</v>
      </c>
      <c r="G128" s="4">
        <v>27</v>
      </c>
      <c r="H128" s="4">
        <f t="shared" si="1"/>
        <v>1080</v>
      </c>
      <c r="I128" t="e">
        <f>VLOOKUP(#REF!,Catalogos!$B$3:$C$10,2,FALSE)</f>
        <v>#REF!</v>
      </c>
      <c r="K128">
        <v>25</v>
      </c>
    </row>
    <row r="129" spans="1:11">
      <c r="A129" s="2">
        <v>46190</v>
      </c>
      <c r="B129" t="s">
        <v>1</v>
      </c>
      <c r="C129" s="2">
        <v>46191</v>
      </c>
      <c r="D129" t="s">
        <v>79</v>
      </c>
      <c r="E129" t="e">
        <f>VLOOKUP(#REF!,Catalogos!$I$4:$J$64,2,FALSE)</f>
        <v>#REF!</v>
      </c>
      <c r="F129" s="6">
        <v>30</v>
      </c>
      <c r="G129" s="4">
        <v>27</v>
      </c>
      <c r="H129" s="4">
        <f t="shared" si="1"/>
        <v>810</v>
      </c>
      <c r="I129" t="e">
        <f>VLOOKUP(#REF!,Catalogos!$B$3:$C$10,2,FALSE)</f>
        <v>#REF!</v>
      </c>
      <c r="K129">
        <v>25</v>
      </c>
    </row>
    <row r="130" spans="1:11">
      <c r="A130" s="2">
        <v>46190</v>
      </c>
      <c r="B130" t="s">
        <v>1</v>
      </c>
      <c r="C130" s="2">
        <v>46191</v>
      </c>
      <c r="D130" t="s">
        <v>56</v>
      </c>
      <c r="E130" t="e">
        <f>VLOOKUP(#REF!,Catalogos!$I$4:$J$64,2,FALSE)</f>
        <v>#REF!</v>
      </c>
      <c r="F130" s="6">
        <v>70</v>
      </c>
      <c r="G130" s="4">
        <v>27</v>
      </c>
      <c r="H130" s="4">
        <f t="shared" si="1"/>
        <v>1890</v>
      </c>
      <c r="I130" t="e">
        <f>VLOOKUP(#REF!,Catalogos!$B$3:$C$10,2,FALSE)</f>
        <v>#REF!</v>
      </c>
      <c r="K130">
        <v>25</v>
      </c>
    </row>
    <row r="131" spans="1:11">
      <c r="A131" s="2">
        <v>46190</v>
      </c>
      <c r="B131" t="s">
        <v>1</v>
      </c>
      <c r="C131" s="2">
        <v>46191</v>
      </c>
      <c r="D131" t="s">
        <v>92</v>
      </c>
      <c r="E131" t="e">
        <f>VLOOKUP(#REF!,Catalogos!$I$4:$J$64,2,FALSE)</f>
        <v>#REF!</v>
      </c>
      <c r="F131" s="6">
        <v>40</v>
      </c>
      <c r="G131" s="4">
        <v>27</v>
      </c>
      <c r="H131" s="4">
        <f t="shared" si="1"/>
        <v>1080</v>
      </c>
      <c r="I131" t="e">
        <f>VLOOKUP(#REF!,Catalogos!$B$3:$C$10,2,FALSE)</f>
        <v>#REF!</v>
      </c>
      <c r="K131">
        <v>25</v>
      </c>
    </row>
    <row r="132" spans="1:11">
      <c r="A132" s="2">
        <v>46190</v>
      </c>
      <c r="B132" t="s">
        <v>2</v>
      </c>
      <c r="C132" s="2">
        <v>46191</v>
      </c>
      <c r="D132" t="s">
        <v>94</v>
      </c>
      <c r="E132" t="e">
        <f>VLOOKUP(#REF!,Catalogos!$I$4:$J$64,2,FALSE)</f>
        <v>#REF!</v>
      </c>
      <c r="F132" s="6">
        <v>80</v>
      </c>
      <c r="G132" s="4">
        <v>27</v>
      </c>
      <c r="H132" s="4">
        <f t="shared" si="1"/>
        <v>2160</v>
      </c>
      <c r="I132" t="e">
        <f>VLOOKUP(#REF!,Catalogos!$B$3:$C$10,2,FALSE)</f>
        <v>#REF!</v>
      </c>
      <c r="K132">
        <v>25</v>
      </c>
    </row>
    <row r="133" spans="1:11">
      <c r="A133" s="2">
        <v>46191</v>
      </c>
      <c r="B133" t="s">
        <v>124</v>
      </c>
      <c r="C133" s="2">
        <v>38887</v>
      </c>
      <c r="D133" t="s">
        <v>96</v>
      </c>
      <c r="E133" t="e">
        <f>VLOOKUP(#REF!,Catalogos!$I$4:$J$64,2,FALSE)</f>
        <v>#REF!</v>
      </c>
      <c r="F133" s="6">
        <v>100</v>
      </c>
      <c r="G133" s="4">
        <v>27</v>
      </c>
      <c r="H133" s="4">
        <f t="shared" si="1"/>
        <v>2700</v>
      </c>
      <c r="I133" t="e">
        <f>VLOOKUP(#REF!,Catalogos!$B$3:$C$10,2,FALSE)</f>
        <v>#REF!</v>
      </c>
      <c r="K133">
        <v>26</v>
      </c>
    </row>
    <row r="134" spans="1:11">
      <c r="A134" s="2">
        <v>46191</v>
      </c>
      <c r="B134" t="s">
        <v>124</v>
      </c>
      <c r="C134" s="2">
        <v>38887</v>
      </c>
      <c r="D134" t="s">
        <v>160</v>
      </c>
      <c r="E134" t="e">
        <f>VLOOKUP(#REF!,Catalogos!$I$4:$J$64,2,FALSE)</f>
        <v>#REF!</v>
      </c>
      <c r="F134" s="6">
        <v>200</v>
      </c>
      <c r="G134" s="4">
        <v>27</v>
      </c>
      <c r="H134" s="4">
        <f t="shared" si="1"/>
        <v>5400</v>
      </c>
      <c r="I134" t="e">
        <f>VLOOKUP(#REF!,Catalogos!$B$3:$C$10,2,FALSE)</f>
        <v>#REF!</v>
      </c>
      <c r="K134">
        <v>26</v>
      </c>
    </row>
    <row r="135" spans="1:11">
      <c r="A135" s="2">
        <v>46191</v>
      </c>
      <c r="B135" t="s">
        <v>124</v>
      </c>
      <c r="C135" s="2">
        <v>38887</v>
      </c>
      <c r="D135" t="s">
        <v>117</v>
      </c>
      <c r="E135" t="e">
        <f>VLOOKUP(#REF!,Catalogos!$I$4:$J$64,2,FALSE)</f>
        <v>#REF!</v>
      </c>
      <c r="F135" s="6">
        <v>100</v>
      </c>
      <c r="G135" s="4">
        <v>27</v>
      </c>
      <c r="H135" s="4">
        <f t="shared" ref="H135:H198" si="2">IFERROR(F135*G135,0)</f>
        <v>2700</v>
      </c>
      <c r="I135" t="e">
        <f>VLOOKUP(#REF!,Catalogos!$B$3:$C$10,2,FALSE)</f>
        <v>#REF!</v>
      </c>
      <c r="K135">
        <v>26</v>
      </c>
    </row>
    <row r="136" spans="1:11">
      <c r="A136" s="2">
        <v>46191</v>
      </c>
      <c r="B136" t="s">
        <v>124</v>
      </c>
      <c r="C136" s="2">
        <v>38887</v>
      </c>
      <c r="D136" t="s">
        <v>162</v>
      </c>
      <c r="E136" t="e">
        <f>VLOOKUP(#REF!,Catalogos!$I$4:$J$64,2,FALSE)</f>
        <v>#REF!</v>
      </c>
      <c r="F136" s="6">
        <v>100</v>
      </c>
      <c r="G136" s="4">
        <v>27</v>
      </c>
      <c r="H136" s="4">
        <f t="shared" si="2"/>
        <v>2700</v>
      </c>
      <c r="I136" t="e">
        <f>VLOOKUP(#REF!,Catalogos!$B$3:$C$10,2,FALSE)</f>
        <v>#REF!</v>
      </c>
      <c r="K136">
        <v>26</v>
      </c>
    </row>
    <row r="137" spans="1:11">
      <c r="A137" s="2">
        <v>46191</v>
      </c>
      <c r="B137" t="s">
        <v>2</v>
      </c>
      <c r="C137" s="2">
        <v>38887</v>
      </c>
      <c r="D137" t="s">
        <v>56</v>
      </c>
      <c r="E137" t="e">
        <f>VLOOKUP(#REF!,Catalogos!$I$4:$J$64,2,FALSE)</f>
        <v>#REF!</v>
      </c>
      <c r="F137" s="6">
        <v>80</v>
      </c>
      <c r="G137" s="4">
        <v>27</v>
      </c>
      <c r="H137" s="4">
        <f t="shared" si="2"/>
        <v>2160</v>
      </c>
      <c r="I137" t="e">
        <f>VLOOKUP(#REF!,Catalogos!$B$3:$C$10,2,FALSE)</f>
        <v>#REF!</v>
      </c>
      <c r="K137">
        <v>26</v>
      </c>
    </row>
    <row r="138" spans="1:11">
      <c r="A138" s="2">
        <v>46191</v>
      </c>
      <c r="B138" t="s">
        <v>2</v>
      </c>
      <c r="C138" s="2">
        <v>38887</v>
      </c>
      <c r="D138" t="s">
        <v>88</v>
      </c>
      <c r="E138" t="e">
        <f>VLOOKUP(#REF!,Catalogos!$I$4:$J$64,2,FALSE)</f>
        <v>#REF!</v>
      </c>
      <c r="F138" s="6">
        <v>50</v>
      </c>
      <c r="G138" s="4">
        <v>27</v>
      </c>
      <c r="H138" s="4">
        <f t="shared" si="2"/>
        <v>1350</v>
      </c>
      <c r="I138" t="e">
        <f>VLOOKUP(#REF!,Catalogos!$B$3:$C$10,2,FALSE)</f>
        <v>#REF!</v>
      </c>
      <c r="K138">
        <v>26</v>
      </c>
    </row>
    <row r="139" spans="1:11">
      <c r="A139" s="2">
        <v>46191</v>
      </c>
      <c r="B139" t="s">
        <v>2</v>
      </c>
      <c r="C139" s="2">
        <v>38887</v>
      </c>
      <c r="D139" t="s">
        <v>90</v>
      </c>
      <c r="E139" t="e">
        <f>VLOOKUP(#REF!,Catalogos!$I$4:$J$64,2,FALSE)</f>
        <v>#REF!</v>
      </c>
      <c r="F139" s="6">
        <v>30</v>
      </c>
      <c r="G139" s="4">
        <v>27</v>
      </c>
      <c r="H139" s="4">
        <f t="shared" si="2"/>
        <v>810</v>
      </c>
      <c r="I139" t="e">
        <f>VLOOKUP(#REF!,Catalogos!$B$3:$C$10,2,FALSE)</f>
        <v>#REF!</v>
      </c>
      <c r="K139">
        <v>26</v>
      </c>
    </row>
    <row r="140" spans="1:11">
      <c r="A140" s="2">
        <v>46191</v>
      </c>
      <c r="B140" t="s">
        <v>2</v>
      </c>
      <c r="C140" s="2">
        <v>38887</v>
      </c>
      <c r="D140" t="s">
        <v>70</v>
      </c>
      <c r="E140" t="e">
        <f>VLOOKUP(#REF!,Catalogos!$I$4:$J$64,2,FALSE)</f>
        <v>#REF!</v>
      </c>
      <c r="F140" s="6">
        <v>50</v>
      </c>
      <c r="G140" s="4">
        <v>27</v>
      </c>
      <c r="H140" s="4">
        <f t="shared" si="2"/>
        <v>1350</v>
      </c>
      <c r="I140" t="e">
        <f>VLOOKUP(#REF!,Catalogos!$B$3:$C$10,2,FALSE)</f>
        <v>#REF!</v>
      </c>
      <c r="K140">
        <v>26</v>
      </c>
    </row>
    <row r="141" spans="1:11">
      <c r="A141" s="2">
        <v>46191</v>
      </c>
      <c r="B141" t="s">
        <v>2</v>
      </c>
      <c r="C141" s="2">
        <v>38887</v>
      </c>
      <c r="D141" t="s">
        <v>62</v>
      </c>
      <c r="E141" t="e">
        <f>VLOOKUP(#REF!,Catalogos!$I$4:$J$64,2,FALSE)</f>
        <v>#REF!</v>
      </c>
      <c r="F141" s="6">
        <v>50</v>
      </c>
      <c r="G141" s="4">
        <v>27</v>
      </c>
      <c r="H141" s="4">
        <f t="shared" si="2"/>
        <v>1350</v>
      </c>
      <c r="I141" t="e">
        <f>VLOOKUP(#REF!,Catalogos!$B$3:$C$10,2,FALSE)</f>
        <v>#REF!</v>
      </c>
      <c r="K141">
        <v>26</v>
      </c>
    </row>
    <row r="142" spans="1:11">
      <c r="A142" s="2">
        <v>46191</v>
      </c>
      <c r="B142" t="s">
        <v>2</v>
      </c>
      <c r="C142" s="2">
        <v>38887</v>
      </c>
      <c r="D142" t="s">
        <v>69</v>
      </c>
      <c r="E142" t="e">
        <f>VLOOKUP(#REF!,Catalogos!$I$4:$J$64,2,FALSE)</f>
        <v>#REF!</v>
      </c>
      <c r="F142" s="6">
        <v>200</v>
      </c>
      <c r="G142" s="4">
        <v>27</v>
      </c>
      <c r="H142" s="4">
        <f t="shared" si="2"/>
        <v>5400</v>
      </c>
      <c r="I142" t="e">
        <f>VLOOKUP(#REF!,Catalogos!$B$3:$C$10,2,FALSE)</f>
        <v>#REF!</v>
      </c>
      <c r="K142">
        <v>26</v>
      </c>
    </row>
    <row r="143" spans="1:11">
      <c r="A143" s="2">
        <v>46191</v>
      </c>
      <c r="B143" t="s">
        <v>2</v>
      </c>
      <c r="C143" s="2">
        <v>38887</v>
      </c>
      <c r="D143" t="s">
        <v>65</v>
      </c>
      <c r="E143" t="e">
        <f>VLOOKUP(#REF!,Catalogos!$I$4:$J$64,2,FALSE)</f>
        <v>#REF!</v>
      </c>
      <c r="F143" s="6">
        <v>130</v>
      </c>
      <c r="G143" s="4">
        <v>27</v>
      </c>
      <c r="H143" s="4">
        <f t="shared" si="2"/>
        <v>3510</v>
      </c>
      <c r="I143" t="e">
        <f>VLOOKUP(#REF!,Catalogos!$B$3:$C$10,2,FALSE)</f>
        <v>#REF!</v>
      </c>
      <c r="K143">
        <v>26</v>
      </c>
    </row>
    <row r="144" spans="1:11">
      <c r="A144" s="2">
        <v>46191</v>
      </c>
      <c r="B144" t="s">
        <v>2</v>
      </c>
      <c r="C144" s="2">
        <v>38887</v>
      </c>
      <c r="D144" t="s">
        <v>102</v>
      </c>
      <c r="E144" t="e">
        <f>VLOOKUP(#REF!,Catalogos!$I$4:$J$64,2,FALSE)</f>
        <v>#REF!</v>
      </c>
      <c r="F144" s="6">
        <v>20</v>
      </c>
      <c r="G144" s="4">
        <v>27</v>
      </c>
      <c r="H144" s="4">
        <f t="shared" si="2"/>
        <v>540</v>
      </c>
      <c r="I144" t="e">
        <f>VLOOKUP(#REF!,Catalogos!$B$3:$C$10,2,FALSE)</f>
        <v>#REF!</v>
      </c>
      <c r="K144">
        <v>26</v>
      </c>
    </row>
    <row r="145" spans="1:11">
      <c r="A145" s="2">
        <v>46191</v>
      </c>
      <c r="B145" t="s">
        <v>2</v>
      </c>
      <c r="C145" s="2">
        <v>38887</v>
      </c>
      <c r="D145" t="s">
        <v>100</v>
      </c>
      <c r="E145" t="e">
        <f>VLOOKUP(#REF!,Catalogos!$I$4:$J$64,2,FALSE)</f>
        <v>#REF!</v>
      </c>
      <c r="F145" s="6">
        <v>10</v>
      </c>
      <c r="G145" s="4">
        <v>27</v>
      </c>
      <c r="H145" s="4">
        <f t="shared" si="2"/>
        <v>270</v>
      </c>
      <c r="I145" t="e">
        <f>VLOOKUP(#REF!,Catalogos!$B$3:$C$10,2,FALSE)</f>
        <v>#REF!</v>
      </c>
      <c r="K145">
        <v>26</v>
      </c>
    </row>
    <row r="146" spans="1:11">
      <c r="A146" s="2">
        <v>46191</v>
      </c>
      <c r="B146" t="s">
        <v>2</v>
      </c>
      <c r="C146" s="2">
        <v>38887</v>
      </c>
      <c r="D146" t="s">
        <v>60</v>
      </c>
      <c r="E146" t="e">
        <f>VLOOKUP(#REF!,Catalogos!$I$4:$J$64,2,FALSE)</f>
        <v>#REF!</v>
      </c>
      <c r="F146" s="6">
        <v>80</v>
      </c>
      <c r="G146" s="4">
        <v>27</v>
      </c>
      <c r="H146" s="4">
        <f t="shared" si="2"/>
        <v>2160</v>
      </c>
      <c r="I146" t="e">
        <f>VLOOKUP(#REF!,Catalogos!$B$3:$C$10,2,FALSE)</f>
        <v>#REF!</v>
      </c>
      <c r="K146">
        <v>26</v>
      </c>
    </row>
    <row r="147" spans="1:11">
      <c r="A147" s="2">
        <v>46192</v>
      </c>
      <c r="B147" t="s">
        <v>1</v>
      </c>
      <c r="C147" s="2">
        <v>46192</v>
      </c>
      <c r="D147" t="s">
        <v>86</v>
      </c>
      <c r="E147" t="e">
        <f>VLOOKUP(#REF!,Catalogos!$I$4:$J$64,2,FALSE)</f>
        <v>#REF!</v>
      </c>
      <c r="F147" s="6">
        <v>100</v>
      </c>
      <c r="G147" s="4">
        <v>27</v>
      </c>
      <c r="H147" s="4">
        <f t="shared" si="2"/>
        <v>2700</v>
      </c>
      <c r="I147" t="e">
        <f>VLOOKUP(#REF!,Catalogos!$B$3:$C$10,2,FALSE)</f>
        <v>#REF!</v>
      </c>
      <c r="K147">
        <v>25</v>
      </c>
    </row>
    <row r="148" spans="1:11">
      <c r="A148" s="2">
        <v>46192</v>
      </c>
      <c r="B148" t="s">
        <v>1</v>
      </c>
      <c r="C148" s="2">
        <v>46192</v>
      </c>
      <c r="D148" t="s">
        <v>102</v>
      </c>
      <c r="E148" t="e">
        <f>VLOOKUP(#REF!,Catalogos!$I$4:$J$64,2,FALSE)</f>
        <v>#REF!</v>
      </c>
      <c r="F148" s="6">
        <v>20</v>
      </c>
      <c r="G148" s="4">
        <v>27</v>
      </c>
      <c r="H148" s="4">
        <f t="shared" si="2"/>
        <v>540</v>
      </c>
      <c r="I148" t="e">
        <f>VLOOKUP(#REF!,Catalogos!$B$3:$C$10,2,FALSE)</f>
        <v>#REF!</v>
      </c>
      <c r="K148">
        <v>25</v>
      </c>
    </row>
    <row r="149" spans="1:11">
      <c r="A149" s="2">
        <v>46192</v>
      </c>
      <c r="B149" t="s">
        <v>1</v>
      </c>
      <c r="C149" s="2">
        <v>46192</v>
      </c>
      <c r="D149" t="s">
        <v>163</v>
      </c>
      <c r="E149" t="e">
        <f>VLOOKUP(#REF!,Catalogos!$I$4:$J$64,2,FALSE)</f>
        <v>#REF!</v>
      </c>
      <c r="F149" s="6">
        <v>60</v>
      </c>
      <c r="G149" s="4">
        <v>27</v>
      </c>
      <c r="H149" s="4">
        <f t="shared" si="2"/>
        <v>1620</v>
      </c>
      <c r="I149" t="e">
        <f>VLOOKUP(#REF!,Catalogos!$B$3:$C$10,2,FALSE)</f>
        <v>#REF!</v>
      </c>
      <c r="K149">
        <v>25</v>
      </c>
    </row>
    <row r="150" spans="1:11">
      <c r="A150" s="2">
        <v>46192</v>
      </c>
      <c r="B150" t="s">
        <v>1</v>
      </c>
      <c r="C150" s="2">
        <v>46192</v>
      </c>
      <c r="D150" t="s">
        <v>85</v>
      </c>
      <c r="E150" t="e">
        <f>VLOOKUP(#REF!,Catalogos!$I$4:$J$64,2,FALSE)</f>
        <v>#REF!</v>
      </c>
      <c r="F150" s="6">
        <v>80</v>
      </c>
      <c r="G150" s="4">
        <v>27</v>
      </c>
      <c r="H150" s="4">
        <f t="shared" si="2"/>
        <v>2160</v>
      </c>
      <c r="I150" t="e">
        <f>VLOOKUP(#REF!,Catalogos!$B$3:$C$10,2,FALSE)</f>
        <v>#REF!</v>
      </c>
      <c r="K150">
        <v>25</v>
      </c>
    </row>
    <row r="151" spans="1:11">
      <c r="A151" s="2">
        <v>46192</v>
      </c>
      <c r="B151" t="s">
        <v>1</v>
      </c>
      <c r="C151" s="2">
        <v>46192</v>
      </c>
      <c r="D151" t="s">
        <v>79</v>
      </c>
      <c r="E151" t="e">
        <f>VLOOKUP(#REF!,Catalogos!$I$4:$J$64,2,FALSE)</f>
        <v>#REF!</v>
      </c>
      <c r="F151" s="6">
        <v>40</v>
      </c>
      <c r="G151" s="4">
        <v>27</v>
      </c>
      <c r="H151" s="4">
        <f t="shared" si="2"/>
        <v>1080</v>
      </c>
      <c r="I151" t="e">
        <f>VLOOKUP(#REF!,Catalogos!$B$3:$C$10,2,FALSE)</f>
        <v>#REF!</v>
      </c>
      <c r="K151">
        <v>25</v>
      </c>
    </row>
    <row r="152" spans="1:11">
      <c r="A152" s="2">
        <v>46192</v>
      </c>
      <c r="B152" t="s">
        <v>1</v>
      </c>
      <c r="C152" s="2">
        <v>46192</v>
      </c>
      <c r="D152" t="s">
        <v>56</v>
      </c>
      <c r="E152" t="e">
        <f>VLOOKUP(#REF!,Catalogos!$I$4:$J$64,2,FALSE)</f>
        <v>#REF!</v>
      </c>
      <c r="F152" s="6">
        <v>80</v>
      </c>
      <c r="G152" s="4">
        <v>27</v>
      </c>
      <c r="H152" s="4">
        <f t="shared" si="2"/>
        <v>2160</v>
      </c>
      <c r="I152" t="e">
        <f>VLOOKUP(#REF!,Catalogos!$B$3:$C$10,2,FALSE)</f>
        <v>#REF!</v>
      </c>
      <c r="K152">
        <v>25</v>
      </c>
    </row>
    <row r="153" spans="1:11">
      <c r="A153" s="2">
        <v>46192</v>
      </c>
      <c r="B153" t="s">
        <v>1</v>
      </c>
      <c r="C153" s="2">
        <v>46192</v>
      </c>
      <c r="D153" t="s">
        <v>60</v>
      </c>
      <c r="E153" t="e">
        <f>VLOOKUP(#REF!,Catalogos!$I$4:$J$64,2,FALSE)</f>
        <v>#REF!</v>
      </c>
      <c r="F153" s="6">
        <v>50</v>
      </c>
      <c r="G153" s="4">
        <v>27</v>
      </c>
      <c r="H153" s="4">
        <f t="shared" si="2"/>
        <v>1350</v>
      </c>
      <c r="I153" t="e">
        <f>VLOOKUP(#REF!,Catalogos!$B$3:$C$10,2,FALSE)</f>
        <v>#REF!</v>
      </c>
      <c r="K153">
        <v>25</v>
      </c>
    </row>
    <row r="154" spans="1:11">
      <c r="A154" s="2">
        <v>46192</v>
      </c>
      <c r="B154" t="s">
        <v>111</v>
      </c>
      <c r="D154" t="s">
        <v>56</v>
      </c>
      <c r="E154" t="e">
        <f>VLOOKUP(#REF!,Catalogos!$I$4:$J$64,2,FALSE)</f>
        <v>#REF!</v>
      </c>
      <c r="F154" s="6">
        <v>60</v>
      </c>
      <c r="G154" s="4">
        <v>27</v>
      </c>
      <c r="H154" s="4">
        <f t="shared" si="2"/>
        <v>1620</v>
      </c>
      <c r="I154" t="e">
        <f>VLOOKUP(#REF!,Catalogos!$B$3:$C$10,2,FALSE)</f>
        <v>#REF!</v>
      </c>
      <c r="K154">
        <v>25</v>
      </c>
    </row>
    <row r="155" spans="1:11">
      <c r="A155" s="2">
        <v>46192</v>
      </c>
      <c r="B155" t="s">
        <v>111</v>
      </c>
      <c r="D155" t="s">
        <v>56</v>
      </c>
      <c r="E155" t="e">
        <f>VLOOKUP(#REF!,Catalogos!$I$4:$J$64,2,FALSE)</f>
        <v>#REF!</v>
      </c>
      <c r="F155" s="6">
        <v>50</v>
      </c>
      <c r="G155" s="4">
        <v>27</v>
      </c>
      <c r="H155" s="4">
        <f t="shared" si="2"/>
        <v>1350</v>
      </c>
      <c r="I155" t="e">
        <f>VLOOKUP(#REF!,Catalogos!$B$3:$C$10,2,FALSE)</f>
        <v>#REF!</v>
      </c>
      <c r="K155">
        <v>25</v>
      </c>
    </row>
    <row r="156" spans="1:11">
      <c r="A156" s="2">
        <v>46194</v>
      </c>
      <c r="B156" t="s">
        <v>2</v>
      </c>
      <c r="C156" s="2">
        <v>46195</v>
      </c>
      <c r="D156" t="s">
        <v>215</v>
      </c>
      <c r="E156" t="e">
        <f>VLOOKUP(#REF!,Catalogos!$I$4:$J$64,2,FALSE)</f>
        <v>#REF!</v>
      </c>
      <c r="F156" s="6">
        <v>240</v>
      </c>
      <c r="G156" s="4">
        <v>27</v>
      </c>
      <c r="H156" s="4">
        <f t="shared" si="2"/>
        <v>6480</v>
      </c>
      <c r="I156" t="e">
        <f>VLOOKUP(#REF!,Catalogos!$B$3:$C$10,2,FALSE)</f>
        <v>#REF!</v>
      </c>
      <c r="K156">
        <v>26</v>
      </c>
    </row>
    <row r="157" spans="1:11">
      <c r="A157" s="2">
        <v>46194</v>
      </c>
      <c r="B157" t="s">
        <v>2</v>
      </c>
      <c r="C157" s="2">
        <v>46195</v>
      </c>
      <c r="D157" t="s">
        <v>217</v>
      </c>
      <c r="E157" t="e">
        <f>VLOOKUP(#REF!,Catalogos!$I$4:$J$64,2,FALSE)</f>
        <v>#REF!</v>
      </c>
      <c r="F157" s="6">
        <v>20</v>
      </c>
      <c r="G157" s="4">
        <v>27</v>
      </c>
      <c r="H157" s="4">
        <f t="shared" si="2"/>
        <v>540</v>
      </c>
      <c r="I157" t="e">
        <f>VLOOKUP(#REF!,Catalogos!$B$3:$C$10,2,FALSE)</f>
        <v>#REF!</v>
      </c>
      <c r="K157">
        <v>26</v>
      </c>
    </row>
    <row r="158" spans="1:11">
      <c r="A158" s="2">
        <v>46194</v>
      </c>
      <c r="B158" t="s">
        <v>2</v>
      </c>
      <c r="C158" s="2">
        <v>46195</v>
      </c>
      <c r="D158" t="s">
        <v>210</v>
      </c>
      <c r="E158" t="e">
        <f>VLOOKUP(#REF!,Catalogos!$I$4:$J$64,2,FALSE)</f>
        <v>#REF!</v>
      </c>
      <c r="F158" s="6">
        <v>30</v>
      </c>
      <c r="G158" s="4">
        <v>27</v>
      </c>
      <c r="H158" s="4">
        <f t="shared" si="2"/>
        <v>810</v>
      </c>
      <c r="I158" t="e">
        <f>VLOOKUP(#REF!,Catalogos!$B$3:$C$10,2,FALSE)</f>
        <v>#REF!</v>
      </c>
      <c r="K158">
        <v>26</v>
      </c>
    </row>
    <row r="159" spans="1:11">
      <c r="A159" s="2">
        <v>46194</v>
      </c>
      <c r="B159" t="s">
        <v>2</v>
      </c>
      <c r="C159" s="2">
        <v>46195</v>
      </c>
      <c r="D159" t="s">
        <v>211</v>
      </c>
      <c r="E159" t="e">
        <f>VLOOKUP(#REF!,Catalogos!$I$4:$J$64,2,FALSE)</f>
        <v>#REF!</v>
      </c>
      <c r="F159" s="6">
        <v>80</v>
      </c>
      <c r="G159" s="4">
        <v>27</v>
      </c>
      <c r="H159" s="4">
        <f t="shared" si="2"/>
        <v>2160</v>
      </c>
      <c r="I159" t="e">
        <f>VLOOKUP(#REF!,Catalogos!$B$3:$C$10,2,FALSE)</f>
        <v>#REF!</v>
      </c>
      <c r="K159">
        <v>26</v>
      </c>
    </row>
    <row r="160" spans="1:11">
      <c r="A160" s="2">
        <v>46194</v>
      </c>
      <c r="B160" t="s">
        <v>2</v>
      </c>
      <c r="C160" s="2">
        <v>46195</v>
      </c>
      <c r="D160" t="s">
        <v>236</v>
      </c>
      <c r="E160" t="e">
        <f>VLOOKUP(#REF!,Catalogos!$I$4:$J$64,2,FALSE)</f>
        <v>#REF!</v>
      </c>
      <c r="F160" s="6">
        <v>40</v>
      </c>
      <c r="G160" s="4">
        <v>27</v>
      </c>
      <c r="H160" s="4">
        <f t="shared" si="2"/>
        <v>1080</v>
      </c>
      <c r="I160" t="e">
        <f>VLOOKUP(#REF!,Catalogos!$B$3:$C$10,2,FALSE)</f>
        <v>#REF!</v>
      </c>
      <c r="K160">
        <v>26</v>
      </c>
    </row>
    <row r="161" spans="1:11">
      <c r="A161" s="2">
        <v>46194</v>
      </c>
      <c r="B161" t="s">
        <v>2</v>
      </c>
      <c r="C161" s="2">
        <v>46195</v>
      </c>
      <c r="D161" t="s">
        <v>223</v>
      </c>
      <c r="E161" t="e">
        <f>VLOOKUP(#REF!,Catalogos!$I$4:$J$64,2,FALSE)</f>
        <v>#REF!</v>
      </c>
      <c r="F161" s="6">
        <v>24</v>
      </c>
      <c r="G161" s="4">
        <v>27</v>
      </c>
      <c r="H161" s="4">
        <f t="shared" si="2"/>
        <v>648</v>
      </c>
      <c r="I161" t="e">
        <f>VLOOKUP(#REF!,Catalogos!$B$3:$C$10,2,FALSE)</f>
        <v>#REF!</v>
      </c>
      <c r="K161">
        <v>26</v>
      </c>
    </row>
    <row r="162" spans="1:11">
      <c r="A162" s="2">
        <v>46194</v>
      </c>
      <c r="B162" t="s">
        <v>2</v>
      </c>
      <c r="C162" s="2">
        <v>46195</v>
      </c>
      <c r="D162" t="s">
        <v>231</v>
      </c>
      <c r="E162" t="e">
        <f>VLOOKUP(#REF!,Catalogos!$I$4:$J$64,2,FALSE)</f>
        <v>#REF!</v>
      </c>
      <c r="F162" s="6">
        <v>60</v>
      </c>
      <c r="G162" s="4">
        <v>27</v>
      </c>
      <c r="H162" s="4">
        <f t="shared" si="2"/>
        <v>1620</v>
      </c>
      <c r="I162" t="e">
        <f>VLOOKUP(#REF!,Catalogos!$B$3:$C$10,2,FALSE)</f>
        <v>#REF!</v>
      </c>
      <c r="K162">
        <v>26</v>
      </c>
    </row>
    <row r="163" spans="1:11">
      <c r="A163" s="2">
        <v>46194</v>
      </c>
      <c r="B163" t="s">
        <v>2</v>
      </c>
      <c r="C163" s="2">
        <v>46195</v>
      </c>
      <c r="D163" t="s">
        <v>225</v>
      </c>
      <c r="E163" t="e">
        <f>VLOOKUP(#REF!,Catalogos!$I$4:$J$64,2,FALSE)</f>
        <v>#REF!</v>
      </c>
      <c r="F163" s="6">
        <v>24</v>
      </c>
      <c r="G163" s="4">
        <v>27</v>
      </c>
      <c r="H163" s="4">
        <f t="shared" si="2"/>
        <v>648</v>
      </c>
      <c r="I163" t="e">
        <f>VLOOKUP(#REF!,Catalogos!$B$3:$C$10,2,FALSE)</f>
        <v>#REF!</v>
      </c>
      <c r="K163">
        <v>26</v>
      </c>
    </row>
    <row r="164" spans="1:11">
      <c r="A164" s="2">
        <v>46194</v>
      </c>
      <c r="B164" t="s">
        <v>2</v>
      </c>
      <c r="C164" s="2">
        <v>46195</v>
      </c>
      <c r="D164" t="s">
        <v>234</v>
      </c>
      <c r="E164" t="e">
        <f>VLOOKUP(#REF!,Catalogos!$I$4:$J$64,2,FALSE)</f>
        <v>#REF!</v>
      </c>
      <c r="F164" s="6">
        <v>60</v>
      </c>
      <c r="G164" s="4">
        <v>27</v>
      </c>
      <c r="H164" s="4">
        <f t="shared" si="2"/>
        <v>1620</v>
      </c>
      <c r="I164" t="e">
        <f>VLOOKUP(#REF!,Catalogos!$B$3:$C$10,2,FALSE)</f>
        <v>#REF!</v>
      </c>
      <c r="K164">
        <v>26</v>
      </c>
    </row>
    <row r="165" spans="1:11">
      <c r="A165" s="2">
        <v>46194</v>
      </c>
      <c r="B165" t="s">
        <v>2</v>
      </c>
      <c r="C165" s="2">
        <v>46196</v>
      </c>
      <c r="D165" t="s">
        <v>215</v>
      </c>
      <c r="E165" t="e">
        <f>VLOOKUP(#REF!,Catalogos!$I$4:$J$64,2,FALSE)</f>
        <v>#REF!</v>
      </c>
      <c r="F165" s="6">
        <v>240</v>
      </c>
      <c r="G165" s="4">
        <v>27</v>
      </c>
      <c r="H165" s="4">
        <f t="shared" si="2"/>
        <v>6480</v>
      </c>
      <c r="I165" t="e">
        <f>VLOOKUP(#REF!,Catalogos!$B$3:$C$10,2,FALSE)</f>
        <v>#REF!</v>
      </c>
      <c r="K165">
        <v>26</v>
      </c>
    </row>
    <row r="166" spans="1:11">
      <c r="A166" s="2">
        <v>46194</v>
      </c>
      <c r="B166" t="s">
        <v>2</v>
      </c>
      <c r="C166" s="2">
        <v>46196</v>
      </c>
      <c r="D166" t="s">
        <v>217</v>
      </c>
      <c r="E166" t="e">
        <f>VLOOKUP(#REF!,Catalogos!$I$4:$J$64,2,FALSE)</f>
        <v>#REF!</v>
      </c>
      <c r="F166" s="6">
        <v>20</v>
      </c>
      <c r="G166" s="4">
        <v>27</v>
      </c>
      <c r="H166" s="4">
        <f t="shared" si="2"/>
        <v>540</v>
      </c>
      <c r="I166" t="e">
        <f>VLOOKUP(#REF!,Catalogos!$B$3:$C$10,2,FALSE)</f>
        <v>#REF!</v>
      </c>
      <c r="K166">
        <v>26</v>
      </c>
    </row>
    <row r="167" spans="1:11">
      <c r="A167" s="2">
        <v>46194</v>
      </c>
      <c r="B167" t="s">
        <v>2</v>
      </c>
      <c r="C167" s="2">
        <v>46196</v>
      </c>
      <c r="D167" t="s">
        <v>210</v>
      </c>
      <c r="E167" t="e">
        <f>VLOOKUP(#REF!,Catalogos!$I$4:$J$64,2,FALSE)</f>
        <v>#REF!</v>
      </c>
      <c r="F167" s="6">
        <v>30</v>
      </c>
      <c r="G167" s="4">
        <v>27</v>
      </c>
      <c r="H167" s="4">
        <f t="shared" si="2"/>
        <v>810</v>
      </c>
      <c r="I167" t="e">
        <f>VLOOKUP(#REF!,Catalogos!$B$3:$C$10,2,FALSE)</f>
        <v>#REF!</v>
      </c>
      <c r="K167">
        <v>26</v>
      </c>
    </row>
    <row r="168" spans="1:11">
      <c r="A168" s="2">
        <v>46194</v>
      </c>
      <c r="B168" t="s">
        <v>2</v>
      </c>
      <c r="C168" s="2">
        <v>46196</v>
      </c>
      <c r="D168" t="s">
        <v>211</v>
      </c>
      <c r="E168" t="e">
        <f>VLOOKUP(#REF!,Catalogos!$I$4:$J$64,2,FALSE)</f>
        <v>#REF!</v>
      </c>
      <c r="F168" s="6">
        <v>80</v>
      </c>
      <c r="G168" s="4">
        <v>27</v>
      </c>
      <c r="H168" s="4">
        <f t="shared" si="2"/>
        <v>2160</v>
      </c>
      <c r="I168" t="e">
        <f>VLOOKUP(#REF!,Catalogos!$B$3:$C$10,2,FALSE)</f>
        <v>#REF!</v>
      </c>
      <c r="K168">
        <v>26</v>
      </c>
    </row>
    <row r="169" spans="1:11">
      <c r="A169" s="2">
        <v>46194</v>
      </c>
      <c r="B169" t="s">
        <v>2</v>
      </c>
      <c r="C169" s="2">
        <v>46196</v>
      </c>
      <c r="D169" t="s">
        <v>236</v>
      </c>
      <c r="E169" t="e">
        <f>VLOOKUP(#REF!,Catalogos!$I$4:$J$64,2,FALSE)</f>
        <v>#REF!</v>
      </c>
      <c r="F169" s="6">
        <v>40</v>
      </c>
      <c r="G169" s="4">
        <v>27</v>
      </c>
      <c r="H169" s="4">
        <f t="shared" si="2"/>
        <v>1080</v>
      </c>
      <c r="I169" t="e">
        <f>VLOOKUP(#REF!,Catalogos!$B$3:$C$10,2,FALSE)</f>
        <v>#REF!</v>
      </c>
      <c r="K169">
        <v>26</v>
      </c>
    </row>
    <row r="170" spans="1:11">
      <c r="A170" s="2">
        <v>46194</v>
      </c>
      <c r="B170" t="s">
        <v>2</v>
      </c>
      <c r="C170" s="2">
        <v>46196</v>
      </c>
      <c r="D170" t="s">
        <v>223</v>
      </c>
      <c r="E170" t="e">
        <f>VLOOKUP(#REF!,Catalogos!$I$4:$J$64,2,FALSE)</f>
        <v>#REF!</v>
      </c>
      <c r="F170" s="6">
        <v>24</v>
      </c>
      <c r="G170" s="4">
        <v>27</v>
      </c>
      <c r="H170" s="4">
        <f t="shared" si="2"/>
        <v>648</v>
      </c>
      <c r="I170" t="e">
        <f>VLOOKUP(#REF!,Catalogos!$B$3:$C$10,2,FALSE)</f>
        <v>#REF!</v>
      </c>
      <c r="K170">
        <v>26</v>
      </c>
    </row>
    <row r="171" spans="1:11">
      <c r="A171" s="2">
        <v>46194</v>
      </c>
      <c r="B171" t="s">
        <v>2</v>
      </c>
      <c r="C171" s="2">
        <v>46196</v>
      </c>
      <c r="D171" t="s">
        <v>231</v>
      </c>
      <c r="E171" t="e">
        <f>VLOOKUP(#REF!,Catalogos!$I$4:$J$64,2,FALSE)</f>
        <v>#REF!</v>
      </c>
      <c r="F171" s="6">
        <v>60</v>
      </c>
      <c r="G171" s="4">
        <v>27</v>
      </c>
      <c r="H171" s="4">
        <f t="shared" si="2"/>
        <v>1620</v>
      </c>
      <c r="I171" t="e">
        <f>VLOOKUP(#REF!,Catalogos!$B$3:$C$10,2,FALSE)</f>
        <v>#REF!</v>
      </c>
      <c r="K171">
        <v>26</v>
      </c>
    </row>
    <row r="172" spans="1:11">
      <c r="A172" s="2">
        <v>46194</v>
      </c>
      <c r="B172" t="s">
        <v>2</v>
      </c>
      <c r="C172" s="2">
        <v>46196</v>
      </c>
      <c r="D172" t="s">
        <v>225</v>
      </c>
      <c r="E172" t="e">
        <f>VLOOKUP(#REF!,Catalogos!$I$4:$J$64,2,FALSE)</f>
        <v>#REF!</v>
      </c>
      <c r="F172" s="6">
        <v>24</v>
      </c>
      <c r="G172" s="4">
        <v>27</v>
      </c>
      <c r="H172" s="4">
        <f t="shared" si="2"/>
        <v>648</v>
      </c>
      <c r="I172" t="e">
        <f>VLOOKUP(#REF!,Catalogos!$B$3:$C$10,2,FALSE)</f>
        <v>#REF!</v>
      </c>
      <c r="K172">
        <v>26</v>
      </c>
    </row>
    <row r="173" spans="1:11">
      <c r="A173" s="2">
        <v>46194</v>
      </c>
      <c r="B173" t="s">
        <v>2</v>
      </c>
      <c r="C173" s="2">
        <v>46196</v>
      </c>
      <c r="D173" t="s">
        <v>234</v>
      </c>
      <c r="E173" t="e">
        <f>VLOOKUP(#REF!,Catalogos!$I$4:$J$64,2,FALSE)</f>
        <v>#REF!</v>
      </c>
      <c r="F173" s="6">
        <v>60</v>
      </c>
      <c r="G173" s="4">
        <v>27</v>
      </c>
      <c r="H173" s="4">
        <f t="shared" si="2"/>
        <v>1620</v>
      </c>
      <c r="I173" t="e">
        <f>VLOOKUP(#REF!,Catalogos!$B$3:$C$10,2,FALSE)</f>
        <v>#REF!</v>
      </c>
      <c r="K173">
        <v>26</v>
      </c>
    </row>
    <row r="174" spans="1:11">
      <c r="A174" s="2">
        <v>46194</v>
      </c>
      <c r="B174" t="s">
        <v>2</v>
      </c>
      <c r="C174" s="2">
        <v>46197</v>
      </c>
      <c r="D174" t="s">
        <v>215</v>
      </c>
      <c r="E174" t="e">
        <f>VLOOKUP(#REF!,Catalogos!$I$4:$J$64,2,FALSE)</f>
        <v>#REF!</v>
      </c>
      <c r="F174" s="6">
        <v>240</v>
      </c>
      <c r="G174" s="4">
        <v>27</v>
      </c>
      <c r="H174" s="4">
        <f t="shared" si="2"/>
        <v>6480</v>
      </c>
      <c r="I174" t="e">
        <f>VLOOKUP(#REF!,Catalogos!$B$3:$C$10,2,FALSE)</f>
        <v>#REF!</v>
      </c>
      <c r="K174">
        <v>26</v>
      </c>
    </row>
    <row r="175" spans="1:11">
      <c r="A175" s="2">
        <v>46194</v>
      </c>
      <c r="B175" t="s">
        <v>2</v>
      </c>
      <c r="C175" s="2">
        <v>46197</v>
      </c>
      <c r="D175" t="s">
        <v>217</v>
      </c>
      <c r="E175" t="e">
        <f>VLOOKUP(#REF!,Catalogos!$I$4:$J$64,2,FALSE)</f>
        <v>#REF!</v>
      </c>
      <c r="F175" s="6">
        <v>20</v>
      </c>
      <c r="G175" s="4">
        <v>27</v>
      </c>
      <c r="H175" s="4">
        <f t="shared" si="2"/>
        <v>540</v>
      </c>
      <c r="I175" t="e">
        <f>VLOOKUP(#REF!,Catalogos!$B$3:$C$10,2,FALSE)</f>
        <v>#REF!</v>
      </c>
      <c r="K175">
        <v>26</v>
      </c>
    </row>
    <row r="176" spans="1:11">
      <c r="A176" s="2">
        <v>46194</v>
      </c>
      <c r="B176" t="s">
        <v>2</v>
      </c>
      <c r="C176" s="2">
        <v>46197</v>
      </c>
      <c r="D176" t="s">
        <v>210</v>
      </c>
      <c r="E176" t="e">
        <f>VLOOKUP(#REF!,Catalogos!$I$4:$J$64,2,FALSE)</f>
        <v>#REF!</v>
      </c>
      <c r="F176" s="6">
        <v>30</v>
      </c>
      <c r="G176" s="4">
        <v>27</v>
      </c>
      <c r="H176" s="4">
        <f t="shared" si="2"/>
        <v>810</v>
      </c>
      <c r="I176" t="e">
        <f>VLOOKUP(#REF!,Catalogos!$B$3:$C$10,2,FALSE)</f>
        <v>#REF!</v>
      </c>
      <c r="K176">
        <v>26</v>
      </c>
    </row>
    <row r="177" spans="1:11">
      <c r="A177" s="2">
        <v>46194</v>
      </c>
      <c r="B177" t="s">
        <v>2</v>
      </c>
      <c r="C177" s="2">
        <v>46197</v>
      </c>
      <c r="D177" t="s">
        <v>211</v>
      </c>
      <c r="E177" t="e">
        <f>VLOOKUP(#REF!,Catalogos!$I$4:$J$64,2,FALSE)</f>
        <v>#REF!</v>
      </c>
      <c r="F177" s="6">
        <v>80</v>
      </c>
      <c r="G177" s="4">
        <v>27</v>
      </c>
      <c r="H177" s="4">
        <f t="shared" si="2"/>
        <v>2160</v>
      </c>
      <c r="I177" t="e">
        <f>VLOOKUP(#REF!,Catalogos!$B$3:$C$10,2,FALSE)</f>
        <v>#REF!</v>
      </c>
      <c r="K177">
        <v>26</v>
      </c>
    </row>
    <row r="178" spans="1:11">
      <c r="A178" s="2">
        <v>46194</v>
      </c>
      <c r="B178" t="s">
        <v>2</v>
      </c>
      <c r="C178" s="2">
        <v>46197</v>
      </c>
      <c r="D178" t="s">
        <v>236</v>
      </c>
      <c r="E178" t="e">
        <f>VLOOKUP(#REF!,Catalogos!$I$4:$J$64,2,FALSE)</f>
        <v>#REF!</v>
      </c>
      <c r="F178" s="6">
        <v>40</v>
      </c>
      <c r="G178" s="4">
        <v>27</v>
      </c>
      <c r="H178" s="4">
        <f t="shared" si="2"/>
        <v>1080</v>
      </c>
      <c r="I178" t="e">
        <f>VLOOKUP(#REF!,Catalogos!$B$3:$C$10,2,FALSE)</f>
        <v>#REF!</v>
      </c>
      <c r="K178">
        <v>26</v>
      </c>
    </row>
    <row r="179" spans="1:11">
      <c r="A179" s="2">
        <v>46194</v>
      </c>
      <c r="B179" t="s">
        <v>2</v>
      </c>
      <c r="C179" s="2">
        <v>46197</v>
      </c>
      <c r="D179" t="s">
        <v>223</v>
      </c>
      <c r="E179" t="e">
        <f>VLOOKUP(#REF!,Catalogos!$I$4:$J$64,2,FALSE)</f>
        <v>#REF!</v>
      </c>
      <c r="F179" s="6">
        <v>24</v>
      </c>
      <c r="G179" s="4">
        <v>27</v>
      </c>
      <c r="H179" s="4">
        <f t="shared" si="2"/>
        <v>648</v>
      </c>
      <c r="I179" t="e">
        <f>VLOOKUP(#REF!,Catalogos!$B$3:$C$10,2,FALSE)</f>
        <v>#REF!</v>
      </c>
      <c r="K179">
        <v>26</v>
      </c>
    </row>
    <row r="180" spans="1:11">
      <c r="A180" s="2">
        <v>46194</v>
      </c>
      <c r="B180" t="s">
        <v>2</v>
      </c>
      <c r="C180" s="2">
        <v>46197</v>
      </c>
      <c r="D180" t="s">
        <v>231</v>
      </c>
      <c r="E180" t="e">
        <f>VLOOKUP(#REF!,Catalogos!$I$4:$J$64,2,FALSE)</f>
        <v>#REF!</v>
      </c>
      <c r="F180" s="6">
        <v>60</v>
      </c>
      <c r="G180" s="4">
        <v>27</v>
      </c>
      <c r="H180" s="4">
        <f t="shared" si="2"/>
        <v>1620</v>
      </c>
      <c r="I180" t="e">
        <f>VLOOKUP(#REF!,Catalogos!$B$3:$C$10,2,FALSE)</f>
        <v>#REF!</v>
      </c>
      <c r="K180">
        <v>26</v>
      </c>
    </row>
    <row r="181" spans="1:11">
      <c r="A181" s="2">
        <v>46194</v>
      </c>
      <c r="B181" t="s">
        <v>2</v>
      </c>
      <c r="C181" s="2">
        <v>46197</v>
      </c>
      <c r="D181" t="s">
        <v>225</v>
      </c>
      <c r="E181" t="e">
        <f>VLOOKUP(#REF!,Catalogos!$I$4:$J$64,2,FALSE)</f>
        <v>#REF!</v>
      </c>
      <c r="F181" s="6">
        <v>24</v>
      </c>
      <c r="G181" s="4">
        <v>27</v>
      </c>
      <c r="H181" s="4">
        <f t="shared" si="2"/>
        <v>648</v>
      </c>
      <c r="I181" t="e">
        <f>VLOOKUP(#REF!,Catalogos!$B$3:$C$10,2,FALSE)</f>
        <v>#REF!</v>
      </c>
      <c r="K181">
        <v>26</v>
      </c>
    </row>
    <row r="182" spans="1:11">
      <c r="A182" s="2">
        <v>46194</v>
      </c>
      <c r="B182" t="s">
        <v>2</v>
      </c>
      <c r="C182" s="2">
        <v>46197</v>
      </c>
      <c r="D182" t="s">
        <v>234</v>
      </c>
      <c r="E182" t="e">
        <f>VLOOKUP(#REF!,Catalogos!$I$4:$J$64,2,FALSE)</f>
        <v>#REF!</v>
      </c>
      <c r="F182" s="6">
        <v>60</v>
      </c>
      <c r="G182" s="4">
        <v>27</v>
      </c>
      <c r="H182" s="4">
        <f t="shared" si="2"/>
        <v>1620</v>
      </c>
      <c r="I182" t="e">
        <f>VLOOKUP(#REF!,Catalogos!$B$3:$C$10,2,FALSE)</f>
        <v>#REF!</v>
      </c>
      <c r="K182">
        <v>26</v>
      </c>
    </row>
    <row r="183" spans="1:11">
      <c r="A183" s="2">
        <v>46194</v>
      </c>
      <c r="B183" t="s">
        <v>2</v>
      </c>
      <c r="C183" s="2">
        <v>46198</v>
      </c>
      <c r="D183" t="s">
        <v>215</v>
      </c>
      <c r="E183" t="e">
        <f>VLOOKUP(#REF!,Catalogos!$I$4:$J$64,2,FALSE)</f>
        <v>#REF!</v>
      </c>
      <c r="F183" s="6">
        <v>240</v>
      </c>
      <c r="G183" s="4">
        <v>27</v>
      </c>
      <c r="H183" s="4">
        <f t="shared" si="2"/>
        <v>6480</v>
      </c>
      <c r="I183" t="e">
        <f>VLOOKUP(#REF!,Catalogos!$B$3:$C$10,2,FALSE)</f>
        <v>#REF!</v>
      </c>
      <c r="K183">
        <v>26</v>
      </c>
    </row>
    <row r="184" spans="1:11">
      <c r="A184" s="2">
        <v>46194</v>
      </c>
      <c r="B184" t="s">
        <v>2</v>
      </c>
      <c r="C184" s="2">
        <v>46198</v>
      </c>
      <c r="D184" t="s">
        <v>217</v>
      </c>
      <c r="E184" t="e">
        <f>VLOOKUP(#REF!,Catalogos!$I$4:$J$64,2,FALSE)</f>
        <v>#REF!</v>
      </c>
      <c r="F184" s="6">
        <v>20</v>
      </c>
      <c r="G184" s="4">
        <v>27</v>
      </c>
      <c r="H184" s="4">
        <f t="shared" si="2"/>
        <v>540</v>
      </c>
      <c r="I184" t="e">
        <f>VLOOKUP(#REF!,Catalogos!$B$3:$C$10,2,FALSE)</f>
        <v>#REF!</v>
      </c>
      <c r="K184">
        <v>26</v>
      </c>
    </row>
    <row r="185" spans="1:11">
      <c r="A185" s="2">
        <v>46194</v>
      </c>
      <c r="B185" t="s">
        <v>2</v>
      </c>
      <c r="C185" s="2">
        <v>46198</v>
      </c>
      <c r="D185" t="s">
        <v>210</v>
      </c>
      <c r="E185" t="e">
        <f>VLOOKUP(#REF!,Catalogos!$I$4:$J$64,2,FALSE)</f>
        <v>#REF!</v>
      </c>
      <c r="F185" s="6">
        <v>30</v>
      </c>
      <c r="G185" s="4">
        <v>27</v>
      </c>
      <c r="H185" s="4">
        <f t="shared" si="2"/>
        <v>810</v>
      </c>
      <c r="I185" t="e">
        <f>VLOOKUP(#REF!,Catalogos!$B$3:$C$10,2,FALSE)</f>
        <v>#REF!</v>
      </c>
      <c r="K185">
        <v>26</v>
      </c>
    </row>
    <row r="186" spans="1:11">
      <c r="A186" s="2">
        <v>46194</v>
      </c>
      <c r="B186" t="s">
        <v>2</v>
      </c>
      <c r="C186" s="2">
        <v>46198</v>
      </c>
      <c r="D186" t="s">
        <v>211</v>
      </c>
      <c r="E186" t="e">
        <f>VLOOKUP(#REF!,Catalogos!$I$4:$J$64,2,FALSE)</f>
        <v>#REF!</v>
      </c>
      <c r="F186" s="6">
        <v>80</v>
      </c>
      <c r="G186" s="4">
        <v>27</v>
      </c>
      <c r="H186" s="4">
        <f t="shared" si="2"/>
        <v>2160</v>
      </c>
      <c r="I186" t="e">
        <f>VLOOKUP(#REF!,Catalogos!$B$3:$C$10,2,FALSE)</f>
        <v>#REF!</v>
      </c>
      <c r="K186">
        <v>26</v>
      </c>
    </row>
    <row r="187" spans="1:11">
      <c r="A187" s="2">
        <v>46194</v>
      </c>
      <c r="B187" t="s">
        <v>2</v>
      </c>
      <c r="C187" s="2">
        <v>46198</v>
      </c>
      <c r="D187" t="s">
        <v>236</v>
      </c>
      <c r="E187" t="e">
        <f>VLOOKUP(#REF!,Catalogos!$I$4:$J$64,2,FALSE)</f>
        <v>#REF!</v>
      </c>
      <c r="F187" s="6">
        <v>40</v>
      </c>
      <c r="G187" s="4">
        <v>27</v>
      </c>
      <c r="H187" s="4">
        <f t="shared" si="2"/>
        <v>1080</v>
      </c>
      <c r="I187" t="e">
        <f>VLOOKUP(#REF!,Catalogos!$B$3:$C$10,2,FALSE)</f>
        <v>#REF!</v>
      </c>
      <c r="K187">
        <v>26</v>
      </c>
    </row>
    <row r="188" spans="1:11">
      <c r="A188" s="2">
        <v>46194</v>
      </c>
      <c r="B188" t="s">
        <v>2</v>
      </c>
      <c r="C188" s="2">
        <v>46198</v>
      </c>
      <c r="D188" t="s">
        <v>223</v>
      </c>
      <c r="E188" t="e">
        <f>VLOOKUP(#REF!,Catalogos!$I$4:$J$64,2,FALSE)</f>
        <v>#REF!</v>
      </c>
      <c r="F188" s="6">
        <v>24</v>
      </c>
      <c r="G188" s="4">
        <v>27</v>
      </c>
      <c r="H188" s="4">
        <f t="shared" si="2"/>
        <v>648</v>
      </c>
      <c r="I188" t="e">
        <f>VLOOKUP(#REF!,Catalogos!$B$3:$C$10,2,FALSE)</f>
        <v>#REF!</v>
      </c>
      <c r="K188">
        <v>26</v>
      </c>
    </row>
    <row r="189" spans="1:11">
      <c r="A189" s="2">
        <v>46194</v>
      </c>
      <c r="B189" t="s">
        <v>2</v>
      </c>
      <c r="C189" s="2">
        <v>46198</v>
      </c>
      <c r="D189" t="s">
        <v>231</v>
      </c>
      <c r="E189" t="e">
        <f>VLOOKUP(#REF!,Catalogos!$I$4:$J$64,2,FALSE)</f>
        <v>#REF!</v>
      </c>
      <c r="F189" s="6">
        <v>60</v>
      </c>
      <c r="G189" s="4">
        <v>27</v>
      </c>
      <c r="H189" s="4">
        <f t="shared" si="2"/>
        <v>1620</v>
      </c>
      <c r="I189" t="e">
        <f>VLOOKUP(#REF!,Catalogos!$B$3:$C$10,2,FALSE)</f>
        <v>#REF!</v>
      </c>
      <c r="K189">
        <v>26</v>
      </c>
    </row>
    <row r="190" spans="1:11">
      <c r="A190" s="2">
        <v>46194</v>
      </c>
      <c r="B190" t="s">
        <v>2</v>
      </c>
      <c r="C190" s="2">
        <v>46198</v>
      </c>
      <c r="D190" t="s">
        <v>225</v>
      </c>
      <c r="E190" t="e">
        <f>VLOOKUP(#REF!,Catalogos!$I$4:$J$64,2,FALSE)</f>
        <v>#REF!</v>
      </c>
      <c r="F190" s="6">
        <v>24</v>
      </c>
      <c r="G190" s="4">
        <v>27</v>
      </c>
      <c r="H190" s="4">
        <f t="shared" si="2"/>
        <v>648</v>
      </c>
      <c r="I190" t="e">
        <f>VLOOKUP(#REF!,Catalogos!$B$3:$C$10,2,FALSE)</f>
        <v>#REF!</v>
      </c>
      <c r="K190">
        <v>26</v>
      </c>
    </row>
    <row r="191" spans="1:11">
      <c r="A191" s="2">
        <v>46194</v>
      </c>
      <c r="B191" t="s">
        <v>2</v>
      </c>
      <c r="C191" s="2">
        <v>46198</v>
      </c>
      <c r="D191" t="s">
        <v>234</v>
      </c>
      <c r="E191" t="e">
        <f>VLOOKUP(#REF!,Catalogos!$I$4:$J$64,2,FALSE)</f>
        <v>#REF!</v>
      </c>
      <c r="F191" s="6">
        <v>60</v>
      </c>
      <c r="G191" s="4">
        <v>27</v>
      </c>
      <c r="H191" s="4">
        <f t="shared" si="2"/>
        <v>1620</v>
      </c>
      <c r="I191" t="e">
        <f>VLOOKUP(#REF!,Catalogos!$B$3:$C$10,2,FALSE)</f>
        <v>#REF!</v>
      </c>
      <c r="K191">
        <v>26</v>
      </c>
    </row>
    <row r="192" spans="1:11">
      <c r="A192" s="2">
        <v>46194</v>
      </c>
      <c r="B192" t="s">
        <v>2</v>
      </c>
      <c r="C192" s="2">
        <v>46199</v>
      </c>
      <c r="D192" t="s">
        <v>215</v>
      </c>
      <c r="E192" t="e">
        <f>VLOOKUP(#REF!,Catalogos!$I$4:$J$64,2,FALSE)</f>
        <v>#REF!</v>
      </c>
      <c r="F192" s="6">
        <v>240</v>
      </c>
      <c r="G192" s="4">
        <v>27</v>
      </c>
      <c r="H192" s="4">
        <f t="shared" si="2"/>
        <v>6480</v>
      </c>
      <c r="I192" t="e">
        <f>VLOOKUP(#REF!,Catalogos!$B$3:$C$10,2,FALSE)</f>
        <v>#REF!</v>
      </c>
      <c r="K192">
        <v>26</v>
      </c>
    </row>
    <row r="193" spans="1:11">
      <c r="A193" s="2">
        <v>46194</v>
      </c>
      <c r="B193" t="s">
        <v>2</v>
      </c>
      <c r="C193" s="2">
        <v>46199</v>
      </c>
      <c r="D193" t="s">
        <v>217</v>
      </c>
      <c r="E193" t="e">
        <f>VLOOKUP(#REF!,Catalogos!$I$4:$J$64,2,FALSE)</f>
        <v>#REF!</v>
      </c>
      <c r="F193" s="6">
        <v>20</v>
      </c>
      <c r="G193" s="4">
        <v>27</v>
      </c>
      <c r="H193" s="4">
        <f t="shared" si="2"/>
        <v>540</v>
      </c>
      <c r="I193" t="e">
        <f>VLOOKUP(#REF!,Catalogos!$B$3:$C$10,2,FALSE)</f>
        <v>#REF!</v>
      </c>
      <c r="K193">
        <v>26</v>
      </c>
    </row>
    <row r="194" spans="1:11">
      <c r="A194" s="2">
        <v>46194</v>
      </c>
      <c r="B194" t="s">
        <v>2</v>
      </c>
      <c r="C194" s="2">
        <v>46199</v>
      </c>
      <c r="D194" t="s">
        <v>210</v>
      </c>
      <c r="E194" t="e">
        <f>VLOOKUP(#REF!,Catalogos!$I$4:$J$64,2,FALSE)</f>
        <v>#REF!</v>
      </c>
      <c r="F194" s="6">
        <v>30</v>
      </c>
      <c r="G194" s="4">
        <v>27</v>
      </c>
      <c r="H194" s="4">
        <f t="shared" si="2"/>
        <v>810</v>
      </c>
      <c r="I194" t="e">
        <f>VLOOKUP(#REF!,Catalogos!$B$3:$C$10,2,FALSE)</f>
        <v>#REF!</v>
      </c>
      <c r="K194">
        <v>26</v>
      </c>
    </row>
    <row r="195" spans="1:11">
      <c r="A195" s="2">
        <v>46194</v>
      </c>
      <c r="B195" t="s">
        <v>2</v>
      </c>
      <c r="C195" s="2">
        <v>46199</v>
      </c>
      <c r="D195" t="s">
        <v>211</v>
      </c>
      <c r="E195" t="e">
        <f>VLOOKUP(#REF!,Catalogos!$I$4:$J$64,2,FALSE)</f>
        <v>#REF!</v>
      </c>
      <c r="F195" s="6">
        <v>80</v>
      </c>
      <c r="G195" s="4">
        <v>27</v>
      </c>
      <c r="H195" s="4">
        <f t="shared" si="2"/>
        <v>2160</v>
      </c>
      <c r="I195" t="e">
        <f>VLOOKUP(#REF!,Catalogos!$B$3:$C$10,2,FALSE)</f>
        <v>#REF!</v>
      </c>
      <c r="K195">
        <v>26</v>
      </c>
    </row>
    <row r="196" spans="1:11">
      <c r="A196" s="2">
        <v>46194</v>
      </c>
      <c r="B196" t="s">
        <v>2</v>
      </c>
      <c r="C196" s="2">
        <v>46199</v>
      </c>
      <c r="D196" t="s">
        <v>236</v>
      </c>
      <c r="E196" t="e">
        <f>VLOOKUP(#REF!,Catalogos!$I$4:$J$64,2,FALSE)</f>
        <v>#REF!</v>
      </c>
      <c r="F196" s="6">
        <v>40</v>
      </c>
      <c r="G196" s="4">
        <v>27</v>
      </c>
      <c r="H196" s="4">
        <f t="shared" si="2"/>
        <v>1080</v>
      </c>
      <c r="I196" t="e">
        <f>VLOOKUP(#REF!,Catalogos!$B$3:$C$10,2,FALSE)</f>
        <v>#REF!</v>
      </c>
      <c r="K196">
        <v>26</v>
      </c>
    </row>
    <row r="197" spans="1:11">
      <c r="A197" s="2">
        <v>46194</v>
      </c>
      <c r="B197" t="s">
        <v>2</v>
      </c>
      <c r="C197" s="2">
        <v>46199</v>
      </c>
      <c r="D197" t="s">
        <v>223</v>
      </c>
      <c r="E197" t="e">
        <f>VLOOKUP(#REF!,Catalogos!$I$4:$J$64,2,FALSE)</f>
        <v>#REF!</v>
      </c>
      <c r="F197" s="6">
        <v>24</v>
      </c>
      <c r="G197" s="4">
        <v>27</v>
      </c>
      <c r="H197" s="4">
        <f t="shared" si="2"/>
        <v>648</v>
      </c>
      <c r="I197" t="e">
        <f>VLOOKUP(#REF!,Catalogos!$B$3:$C$10,2,FALSE)</f>
        <v>#REF!</v>
      </c>
      <c r="K197">
        <v>26</v>
      </c>
    </row>
    <row r="198" spans="1:11">
      <c r="A198" s="2">
        <v>46194</v>
      </c>
      <c r="B198" t="s">
        <v>2</v>
      </c>
      <c r="C198" s="2">
        <v>46199</v>
      </c>
      <c r="D198" t="s">
        <v>231</v>
      </c>
      <c r="E198" t="e">
        <f>VLOOKUP(#REF!,Catalogos!$I$4:$J$64,2,FALSE)</f>
        <v>#REF!</v>
      </c>
      <c r="F198" s="6">
        <v>60</v>
      </c>
      <c r="G198" s="4">
        <v>27</v>
      </c>
      <c r="H198" s="4">
        <f t="shared" si="2"/>
        <v>1620</v>
      </c>
      <c r="I198" t="e">
        <f>VLOOKUP(#REF!,Catalogos!$B$3:$C$10,2,FALSE)</f>
        <v>#REF!</v>
      </c>
      <c r="K198">
        <v>26</v>
      </c>
    </row>
    <row r="199" spans="1:11">
      <c r="A199" s="2">
        <v>46194</v>
      </c>
      <c r="B199" t="s">
        <v>2</v>
      </c>
      <c r="C199" s="2">
        <v>46199</v>
      </c>
      <c r="D199" t="s">
        <v>225</v>
      </c>
      <c r="E199" t="e">
        <f>VLOOKUP(#REF!,Catalogos!$I$4:$J$64,2,FALSE)</f>
        <v>#REF!</v>
      </c>
      <c r="F199" s="6">
        <v>24</v>
      </c>
      <c r="G199" s="4">
        <v>27</v>
      </c>
      <c r="H199" s="4">
        <f t="shared" ref="H199:H262" si="3">IFERROR(F199*G199,0)</f>
        <v>648</v>
      </c>
      <c r="I199" t="e">
        <f>VLOOKUP(#REF!,Catalogos!$B$3:$C$10,2,FALSE)</f>
        <v>#REF!</v>
      </c>
      <c r="K199">
        <v>26</v>
      </c>
    </row>
    <row r="200" spans="1:11">
      <c r="A200" s="2">
        <v>46194</v>
      </c>
      <c r="B200" t="s">
        <v>2</v>
      </c>
      <c r="C200" s="2">
        <v>46199</v>
      </c>
      <c r="D200" t="s">
        <v>234</v>
      </c>
      <c r="E200" t="e">
        <f>VLOOKUP(#REF!,Catalogos!$I$4:$J$64,2,FALSE)</f>
        <v>#REF!</v>
      </c>
      <c r="F200" s="6">
        <v>60</v>
      </c>
      <c r="G200" s="4">
        <v>27</v>
      </c>
      <c r="H200" s="4">
        <f t="shared" si="3"/>
        <v>1620</v>
      </c>
      <c r="I200" t="e">
        <f>VLOOKUP(#REF!,Catalogos!$B$3:$C$10,2,FALSE)</f>
        <v>#REF!</v>
      </c>
      <c r="K200">
        <v>26</v>
      </c>
    </row>
    <row r="201" spans="1:11">
      <c r="A201" s="2">
        <v>46194</v>
      </c>
      <c r="B201" t="s">
        <v>124</v>
      </c>
      <c r="C201" s="2">
        <v>46195</v>
      </c>
      <c r="D201" t="s">
        <v>240</v>
      </c>
      <c r="E201" t="e">
        <f>VLOOKUP(#REF!,Catalogos!$I$4:$J$64,2,FALSE)</f>
        <v>#REF!</v>
      </c>
      <c r="F201" s="6">
        <v>300</v>
      </c>
      <c r="G201" s="4">
        <v>27</v>
      </c>
      <c r="H201" s="4">
        <f t="shared" si="3"/>
        <v>8100</v>
      </c>
      <c r="I201" t="e">
        <f>VLOOKUP(#REF!,Catalogos!$B$3:$C$10,2,FALSE)</f>
        <v>#REF!</v>
      </c>
      <c r="K201">
        <v>26</v>
      </c>
    </row>
    <row r="202" spans="1:11">
      <c r="A202" s="2">
        <v>46194</v>
      </c>
      <c r="B202" t="s">
        <v>124</v>
      </c>
      <c r="C202" s="2">
        <v>46195</v>
      </c>
      <c r="D202" t="s">
        <v>209</v>
      </c>
      <c r="E202" t="e">
        <f>VLOOKUP(#REF!,Catalogos!$I$4:$J$64,2,FALSE)</f>
        <v>#REF!</v>
      </c>
      <c r="F202" s="6">
        <v>100</v>
      </c>
      <c r="G202" s="4">
        <v>27</v>
      </c>
      <c r="H202" s="4">
        <f t="shared" si="3"/>
        <v>2700</v>
      </c>
      <c r="I202" t="e">
        <f>VLOOKUP(#REF!,Catalogos!$B$3:$C$10,2,FALSE)</f>
        <v>#REF!</v>
      </c>
      <c r="K202">
        <v>26</v>
      </c>
    </row>
    <row r="203" spans="1:11">
      <c r="A203" s="2">
        <v>46194</v>
      </c>
      <c r="B203" t="s">
        <v>124</v>
      </c>
      <c r="C203" s="2">
        <v>46195</v>
      </c>
      <c r="D203" t="s">
        <v>248</v>
      </c>
      <c r="E203" t="e">
        <f>VLOOKUP(#REF!,Catalogos!$I$4:$J$64,2,FALSE)</f>
        <v>#REF!</v>
      </c>
      <c r="F203" s="6">
        <v>100</v>
      </c>
      <c r="G203" s="4">
        <v>27</v>
      </c>
      <c r="H203" s="4">
        <f t="shared" si="3"/>
        <v>2700</v>
      </c>
      <c r="I203" t="e">
        <f>VLOOKUP(#REF!,Catalogos!$B$3:$C$10,2,FALSE)</f>
        <v>#REF!</v>
      </c>
      <c r="K203">
        <v>26</v>
      </c>
    </row>
    <row r="204" spans="1:11">
      <c r="A204" s="2">
        <v>46194</v>
      </c>
      <c r="B204" t="s">
        <v>124</v>
      </c>
      <c r="C204" s="2">
        <v>46195</v>
      </c>
      <c r="D204" t="s">
        <v>241</v>
      </c>
      <c r="E204" t="e">
        <f>VLOOKUP(#REF!,Catalogos!$I$4:$J$64,2,FALSE)</f>
        <v>#REF!</v>
      </c>
      <c r="F204" s="6">
        <v>100</v>
      </c>
      <c r="G204" s="4">
        <v>27</v>
      </c>
      <c r="H204" s="4">
        <f t="shared" si="3"/>
        <v>2700</v>
      </c>
      <c r="I204" t="e">
        <f>VLOOKUP(#REF!,Catalogos!$B$3:$C$10,2,FALSE)</f>
        <v>#REF!</v>
      </c>
      <c r="K204">
        <v>26</v>
      </c>
    </row>
    <row r="205" spans="1:11">
      <c r="A205" s="2">
        <v>46194</v>
      </c>
      <c r="B205" t="s">
        <v>124</v>
      </c>
      <c r="C205" s="2">
        <v>46196</v>
      </c>
      <c r="D205" t="s">
        <v>240</v>
      </c>
      <c r="E205" t="e">
        <f>VLOOKUP(#REF!,Catalogos!$I$4:$J$64,2,FALSE)</f>
        <v>#REF!</v>
      </c>
      <c r="F205" s="6">
        <v>300</v>
      </c>
      <c r="G205" s="4">
        <v>27</v>
      </c>
      <c r="H205" s="4">
        <f t="shared" ref="H205:H208" si="4">IFERROR(F205*G205,0)</f>
        <v>8100</v>
      </c>
      <c r="I205" t="e">
        <f>VLOOKUP(#REF!,Catalogos!$B$3:$C$10,2,FALSE)</f>
        <v>#REF!</v>
      </c>
      <c r="K205">
        <v>26</v>
      </c>
    </row>
    <row r="206" spans="1:11">
      <c r="A206" s="2">
        <v>46194</v>
      </c>
      <c r="B206" t="s">
        <v>124</v>
      </c>
      <c r="C206" s="2">
        <v>46196</v>
      </c>
      <c r="D206" t="s">
        <v>209</v>
      </c>
      <c r="E206" t="e">
        <f>VLOOKUP(#REF!,Catalogos!$I$4:$J$64,2,FALSE)</f>
        <v>#REF!</v>
      </c>
      <c r="F206" s="6">
        <v>100</v>
      </c>
      <c r="G206" s="4">
        <v>27</v>
      </c>
      <c r="H206" s="4">
        <f t="shared" si="4"/>
        <v>2700</v>
      </c>
      <c r="I206" t="e">
        <f>VLOOKUP(#REF!,Catalogos!$B$3:$C$10,2,FALSE)</f>
        <v>#REF!</v>
      </c>
      <c r="K206">
        <v>26</v>
      </c>
    </row>
    <row r="207" spans="1:11">
      <c r="A207" s="2">
        <v>46194</v>
      </c>
      <c r="B207" t="s">
        <v>124</v>
      </c>
      <c r="C207" s="2">
        <v>46197</v>
      </c>
      <c r="D207" t="s">
        <v>240</v>
      </c>
      <c r="E207" t="e">
        <f>VLOOKUP(#REF!,Catalogos!$I$4:$J$64,2,FALSE)</f>
        <v>#REF!</v>
      </c>
      <c r="F207" s="6">
        <v>300</v>
      </c>
      <c r="G207" s="4">
        <v>27</v>
      </c>
      <c r="H207" s="4">
        <f t="shared" si="4"/>
        <v>8100</v>
      </c>
      <c r="I207" t="e">
        <f>VLOOKUP(#REF!,Catalogos!$B$3:$C$10,2,FALSE)</f>
        <v>#REF!</v>
      </c>
      <c r="K207">
        <v>26</v>
      </c>
    </row>
    <row r="208" spans="1:11">
      <c r="A208" s="2">
        <v>46194</v>
      </c>
      <c r="B208" t="s">
        <v>124</v>
      </c>
      <c r="C208" s="2">
        <v>46197</v>
      </c>
      <c r="D208" t="s">
        <v>209</v>
      </c>
      <c r="E208" t="e">
        <f>VLOOKUP(#REF!,Catalogos!$I$4:$J$64,2,FALSE)</f>
        <v>#REF!</v>
      </c>
      <c r="F208" s="6">
        <v>100</v>
      </c>
      <c r="G208" s="4">
        <v>27</v>
      </c>
      <c r="H208" s="4">
        <f t="shared" si="4"/>
        <v>2700</v>
      </c>
      <c r="I208" t="e">
        <f>VLOOKUP(#REF!,Catalogos!$B$3:$C$10,2,FALSE)</f>
        <v>#REF!</v>
      </c>
      <c r="K208">
        <v>26</v>
      </c>
    </row>
    <row r="209" spans="1:11">
      <c r="A209" s="2">
        <v>46194</v>
      </c>
      <c r="B209" t="s">
        <v>124</v>
      </c>
      <c r="C209" s="2">
        <v>46197</v>
      </c>
      <c r="D209" t="s">
        <v>241</v>
      </c>
      <c r="E209" t="e">
        <f>VLOOKUP(#REF!,Catalogos!$I$4:$J$64,2,FALSE)</f>
        <v>#REF!</v>
      </c>
      <c r="F209" s="6">
        <v>100</v>
      </c>
      <c r="G209" s="4">
        <v>27</v>
      </c>
      <c r="H209" s="4">
        <f t="shared" si="3"/>
        <v>2700</v>
      </c>
      <c r="I209" t="e">
        <f>VLOOKUP(#REF!,Catalogos!$B$3:$C$10,2,FALSE)</f>
        <v>#REF!</v>
      </c>
      <c r="K209">
        <v>26</v>
      </c>
    </row>
    <row r="210" spans="1:11">
      <c r="A210" s="2">
        <v>46194</v>
      </c>
      <c r="B210" t="s">
        <v>124</v>
      </c>
      <c r="C210" s="2">
        <v>46198</v>
      </c>
      <c r="D210" t="s">
        <v>240</v>
      </c>
      <c r="E210" t="e">
        <f>VLOOKUP(#REF!,Catalogos!$I$4:$J$64,2,FALSE)</f>
        <v>#REF!</v>
      </c>
      <c r="F210" s="6">
        <v>300</v>
      </c>
      <c r="G210" s="4">
        <v>27</v>
      </c>
      <c r="H210" s="4">
        <f t="shared" si="3"/>
        <v>8100</v>
      </c>
      <c r="I210" t="e">
        <f>VLOOKUP(#REF!,Catalogos!$B$3:$C$10,2,FALSE)</f>
        <v>#REF!</v>
      </c>
      <c r="K210">
        <v>26</v>
      </c>
    </row>
    <row r="211" spans="1:11">
      <c r="A211" s="2">
        <v>46194</v>
      </c>
      <c r="B211" t="s">
        <v>124</v>
      </c>
      <c r="C211" s="2">
        <v>46198</v>
      </c>
      <c r="D211" t="s">
        <v>209</v>
      </c>
      <c r="E211" t="e">
        <f>VLOOKUP(#REF!,Catalogos!$I$4:$J$64,2,FALSE)</f>
        <v>#REF!</v>
      </c>
      <c r="F211" s="6">
        <v>100</v>
      </c>
      <c r="G211" s="4">
        <v>27</v>
      </c>
      <c r="H211" s="4">
        <f t="shared" si="3"/>
        <v>2700</v>
      </c>
      <c r="I211" t="e">
        <f>VLOOKUP(#REF!,Catalogos!$B$3:$C$10,2,FALSE)</f>
        <v>#REF!</v>
      </c>
      <c r="K211">
        <v>26</v>
      </c>
    </row>
    <row r="212" spans="1:11">
      <c r="A212" s="2">
        <v>46194</v>
      </c>
      <c r="B212" t="s">
        <v>124</v>
      </c>
      <c r="C212" s="2">
        <v>46198</v>
      </c>
      <c r="D212" t="s">
        <v>248</v>
      </c>
      <c r="E212" t="e">
        <f>VLOOKUP(#REF!,Catalogos!$I$4:$J$64,2,FALSE)</f>
        <v>#REF!</v>
      </c>
      <c r="F212" s="6">
        <v>100</v>
      </c>
      <c r="G212" s="4">
        <v>27</v>
      </c>
      <c r="H212" s="4">
        <f t="shared" si="3"/>
        <v>2700</v>
      </c>
      <c r="I212" t="e">
        <f>VLOOKUP(#REF!,Catalogos!$B$3:$C$10,2,FALSE)</f>
        <v>#REF!</v>
      </c>
      <c r="K212">
        <v>26</v>
      </c>
    </row>
    <row r="213" spans="1:11">
      <c r="A213" s="2">
        <v>46194</v>
      </c>
      <c r="B213" t="s">
        <v>124</v>
      </c>
      <c r="C213" s="2">
        <v>46199</v>
      </c>
      <c r="D213" t="s">
        <v>240</v>
      </c>
      <c r="E213" t="e">
        <f>VLOOKUP(#REF!,Catalogos!$I$4:$J$64,2,FALSE)</f>
        <v>#REF!</v>
      </c>
      <c r="F213" s="6">
        <v>300</v>
      </c>
      <c r="G213" s="4">
        <v>27</v>
      </c>
      <c r="H213" s="4">
        <f t="shared" si="3"/>
        <v>8100</v>
      </c>
      <c r="I213" t="e">
        <f>VLOOKUP(#REF!,Catalogos!$B$3:$C$10,2,FALSE)</f>
        <v>#REF!</v>
      </c>
      <c r="K213">
        <v>26</v>
      </c>
    </row>
    <row r="214" spans="1:11">
      <c r="A214" s="2">
        <v>46194</v>
      </c>
      <c r="B214" t="s">
        <v>124</v>
      </c>
      <c r="C214" s="2">
        <v>46199</v>
      </c>
      <c r="D214" t="s">
        <v>209</v>
      </c>
      <c r="E214" t="e">
        <f>VLOOKUP(#REF!,Catalogos!$I$4:$J$64,2,FALSE)</f>
        <v>#REF!</v>
      </c>
      <c r="F214" s="6">
        <v>100</v>
      </c>
      <c r="G214" s="4">
        <v>27</v>
      </c>
      <c r="H214" s="4">
        <f t="shared" si="3"/>
        <v>2700</v>
      </c>
      <c r="I214" t="e">
        <f>VLOOKUP(#REF!,Catalogos!$B$3:$C$10,2,FALSE)</f>
        <v>#REF!</v>
      </c>
      <c r="K214">
        <v>26</v>
      </c>
    </row>
    <row r="215" spans="1:11">
      <c r="A215" s="2">
        <v>46194</v>
      </c>
      <c r="B215" t="s">
        <v>124</v>
      </c>
      <c r="C215" s="2">
        <v>46199</v>
      </c>
      <c r="D215" t="s">
        <v>241</v>
      </c>
      <c r="E215" t="e">
        <f>VLOOKUP(#REF!,Catalogos!$I$4:$J$64,2,FALSE)</f>
        <v>#REF!</v>
      </c>
      <c r="F215" s="6">
        <v>100</v>
      </c>
      <c r="G215" s="4">
        <v>27</v>
      </c>
      <c r="H215" s="4">
        <f t="shared" si="3"/>
        <v>2700</v>
      </c>
      <c r="I215" t="e">
        <f>VLOOKUP(#REF!,Catalogos!$B$3:$C$10,2,FALSE)</f>
        <v>#REF!</v>
      </c>
      <c r="K215">
        <v>26</v>
      </c>
    </row>
    <row r="216" spans="1:11">
      <c r="A216" s="2">
        <v>46194</v>
      </c>
      <c r="B216" t="s">
        <v>124</v>
      </c>
      <c r="C216" s="2">
        <v>46200</v>
      </c>
      <c r="D216" t="s">
        <v>209</v>
      </c>
      <c r="E216" t="e">
        <f>VLOOKUP(#REF!,Catalogos!$I$4:$J$64,2,FALSE)</f>
        <v>#REF!</v>
      </c>
      <c r="F216" s="6">
        <v>100</v>
      </c>
      <c r="G216" s="4">
        <v>27</v>
      </c>
      <c r="H216" s="4">
        <f t="shared" si="3"/>
        <v>2700</v>
      </c>
      <c r="I216" t="e">
        <f>VLOOKUP(#REF!,Catalogos!$B$3:$C$10,2,FALSE)</f>
        <v>#REF!</v>
      </c>
      <c r="K216">
        <v>26</v>
      </c>
    </row>
    <row r="217" spans="1:11">
      <c r="A217" s="2">
        <v>46194</v>
      </c>
      <c r="B217" t="s">
        <v>1</v>
      </c>
      <c r="C217" s="2">
        <v>46195</v>
      </c>
      <c r="D217" t="s">
        <v>215</v>
      </c>
      <c r="E217" t="e">
        <f>VLOOKUP(#REF!,Catalogos!$I$4:$J$64,2,FALSE)</f>
        <v>#REF!</v>
      </c>
      <c r="F217" s="6">
        <v>250</v>
      </c>
      <c r="G217" s="4">
        <v>27</v>
      </c>
      <c r="H217" s="4">
        <f t="shared" si="3"/>
        <v>6750</v>
      </c>
      <c r="I217" t="e">
        <f>VLOOKUP(#REF!,Catalogos!$B$3:$C$10,2,FALSE)</f>
        <v>#REF!</v>
      </c>
      <c r="K217">
        <v>26</v>
      </c>
    </row>
    <row r="218" spans="1:11">
      <c r="A218" s="2">
        <v>46194</v>
      </c>
      <c r="B218" t="s">
        <v>1</v>
      </c>
      <c r="C218" s="2">
        <v>46195</v>
      </c>
      <c r="D218" t="s">
        <v>211</v>
      </c>
      <c r="E218" t="e">
        <f>VLOOKUP(#REF!,Catalogos!$I$4:$J$64,2,FALSE)</f>
        <v>#REF!</v>
      </c>
      <c r="F218" s="6">
        <v>120</v>
      </c>
      <c r="G218" s="4">
        <v>27</v>
      </c>
      <c r="H218" s="4">
        <f t="shared" si="3"/>
        <v>3240</v>
      </c>
      <c r="I218" t="e">
        <f>VLOOKUP(#REF!,Catalogos!$B$3:$C$10,2,FALSE)</f>
        <v>#REF!</v>
      </c>
      <c r="K218">
        <v>26</v>
      </c>
    </row>
    <row r="219" spans="1:11">
      <c r="A219" s="2">
        <v>46194</v>
      </c>
      <c r="B219" t="s">
        <v>1</v>
      </c>
      <c r="C219" s="2">
        <v>46195</v>
      </c>
      <c r="D219" t="s">
        <v>221</v>
      </c>
      <c r="E219" t="e">
        <f>VLOOKUP(#REF!,Catalogos!$I$4:$J$64,2,FALSE)</f>
        <v>#REF!</v>
      </c>
      <c r="F219" s="6">
        <v>50</v>
      </c>
      <c r="G219" s="4">
        <v>27</v>
      </c>
      <c r="H219" s="4">
        <f t="shared" si="3"/>
        <v>1350</v>
      </c>
      <c r="I219" t="e">
        <f>VLOOKUP(#REF!,Catalogos!$B$3:$C$10,2,FALSE)</f>
        <v>#REF!</v>
      </c>
      <c r="K219">
        <v>26</v>
      </c>
    </row>
    <row r="220" spans="1:11">
      <c r="A220" s="2">
        <v>46194</v>
      </c>
      <c r="B220" t="s">
        <v>1</v>
      </c>
      <c r="C220" s="2">
        <v>46195</v>
      </c>
      <c r="D220" t="s">
        <v>221</v>
      </c>
      <c r="E220" t="e">
        <f>VLOOKUP(#REF!,Catalogos!$I$4:$J$64,2,FALSE)</f>
        <v>#REF!</v>
      </c>
      <c r="F220" s="6">
        <v>50</v>
      </c>
      <c r="G220" s="4">
        <v>27</v>
      </c>
      <c r="H220" s="4">
        <f t="shared" si="3"/>
        <v>1350</v>
      </c>
      <c r="I220" t="e">
        <f>VLOOKUP(#REF!,Catalogos!$B$3:$C$10,2,FALSE)</f>
        <v>#REF!</v>
      </c>
      <c r="K220">
        <v>26</v>
      </c>
    </row>
    <row r="221" spans="1:11">
      <c r="A221" s="2">
        <v>46194</v>
      </c>
      <c r="B221" t="s">
        <v>1</v>
      </c>
      <c r="C221" s="2">
        <v>46195</v>
      </c>
      <c r="D221" t="s">
        <v>224</v>
      </c>
      <c r="E221" t="e">
        <f>VLOOKUP(#REF!,Catalogos!$I$4:$J$64,2,FALSE)</f>
        <v>#REF!</v>
      </c>
      <c r="F221" s="6">
        <v>50</v>
      </c>
      <c r="G221" s="4">
        <v>27</v>
      </c>
      <c r="H221" s="4">
        <f t="shared" si="3"/>
        <v>1350</v>
      </c>
      <c r="I221" t="e">
        <f>VLOOKUP(#REF!,Catalogos!$B$3:$C$10,2,FALSE)</f>
        <v>#REF!</v>
      </c>
      <c r="K221">
        <v>26</v>
      </c>
    </row>
    <row r="222" spans="1:11">
      <c r="A222" s="2">
        <v>46194</v>
      </c>
      <c r="B222" t="s">
        <v>1</v>
      </c>
      <c r="C222" s="2">
        <v>46195</v>
      </c>
      <c r="D222" t="s">
        <v>227</v>
      </c>
      <c r="E222" t="e">
        <f>VLOOKUP(#REF!,Catalogos!$I$4:$J$64,2,FALSE)</f>
        <v>#REF!</v>
      </c>
      <c r="F222" s="6">
        <v>30</v>
      </c>
      <c r="G222" s="4">
        <v>27</v>
      </c>
      <c r="H222" s="4">
        <f t="shared" si="3"/>
        <v>810</v>
      </c>
      <c r="I222" t="e">
        <f>VLOOKUP(#REF!,Catalogos!$B$3:$C$10,2,FALSE)</f>
        <v>#REF!</v>
      </c>
      <c r="K222">
        <v>26</v>
      </c>
    </row>
    <row r="223" spans="1:11">
      <c r="A223" s="2">
        <v>46194</v>
      </c>
      <c r="B223" t="s">
        <v>1</v>
      </c>
      <c r="C223" s="2">
        <v>46195</v>
      </c>
      <c r="D223" t="s">
        <v>210</v>
      </c>
      <c r="E223" t="e">
        <f>VLOOKUP(#REF!,Catalogos!$I$4:$J$64,2,FALSE)</f>
        <v>#REF!</v>
      </c>
      <c r="F223" s="6">
        <v>60</v>
      </c>
      <c r="G223" s="4">
        <v>27</v>
      </c>
      <c r="H223" s="4">
        <f t="shared" si="3"/>
        <v>1620</v>
      </c>
      <c r="I223" t="e">
        <f>VLOOKUP(#REF!,Catalogos!$B$3:$C$10,2,FALSE)</f>
        <v>#REF!</v>
      </c>
      <c r="K223">
        <v>26</v>
      </c>
    </row>
    <row r="224" spans="1:11">
      <c r="A224" s="2">
        <v>46194</v>
      </c>
      <c r="B224" t="s">
        <v>1</v>
      </c>
      <c r="C224" s="2">
        <v>46195</v>
      </c>
      <c r="D224" t="s">
        <v>234</v>
      </c>
      <c r="E224" t="e">
        <f>VLOOKUP(#REF!,Catalogos!$I$4:$J$64,2,FALSE)</f>
        <v>#REF!</v>
      </c>
      <c r="F224" s="6">
        <v>50</v>
      </c>
      <c r="G224" s="4">
        <v>27</v>
      </c>
      <c r="H224" s="4">
        <f t="shared" si="3"/>
        <v>1350</v>
      </c>
      <c r="I224" t="e">
        <f>VLOOKUP(#REF!,Catalogos!$B$3:$C$10,2,FALSE)</f>
        <v>#REF!</v>
      </c>
      <c r="K224">
        <v>26</v>
      </c>
    </row>
    <row r="225" spans="1:11">
      <c r="A225" s="2">
        <v>46194</v>
      </c>
      <c r="B225" t="s">
        <v>1</v>
      </c>
      <c r="C225" s="2">
        <v>46196</v>
      </c>
      <c r="D225" t="s">
        <v>211</v>
      </c>
      <c r="E225" t="e">
        <f>VLOOKUP(#REF!,Catalogos!$I$4:$J$64,2,FALSE)</f>
        <v>#REF!</v>
      </c>
      <c r="F225" s="6">
        <v>120</v>
      </c>
      <c r="G225" s="4">
        <v>27</v>
      </c>
      <c r="H225" s="4">
        <f t="shared" si="3"/>
        <v>3240</v>
      </c>
      <c r="I225" t="e">
        <f>VLOOKUP(#REF!,Catalogos!$B$3:$C$10,2,FALSE)</f>
        <v>#REF!</v>
      </c>
      <c r="K225">
        <v>26</v>
      </c>
    </row>
    <row r="226" spans="1:11">
      <c r="A226" s="2">
        <v>46194</v>
      </c>
      <c r="B226" t="s">
        <v>1</v>
      </c>
      <c r="C226" s="2">
        <v>46196</v>
      </c>
      <c r="D226" t="s">
        <v>221</v>
      </c>
      <c r="E226" t="e">
        <f>VLOOKUP(#REF!,Catalogos!$I$4:$J$64,2,FALSE)</f>
        <v>#REF!</v>
      </c>
      <c r="F226" s="6">
        <v>40</v>
      </c>
      <c r="G226" s="4">
        <v>27</v>
      </c>
      <c r="H226" s="4">
        <f t="shared" si="3"/>
        <v>1080</v>
      </c>
      <c r="I226" t="e">
        <f>VLOOKUP(#REF!,Catalogos!$B$3:$C$10,2,FALSE)</f>
        <v>#REF!</v>
      </c>
      <c r="K226">
        <v>26</v>
      </c>
    </row>
    <row r="227" spans="1:11">
      <c r="A227" s="2">
        <v>46194</v>
      </c>
      <c r="B227" t="s">
        <v>1</v>
      </c>
      <c r="C227" s="2">
        <v>46196</v>
      </c>
      <c r="D227" t="s">
        <v>221</v>
      </c>
      <c r="E227" t="e">
        <f>VLOOKUP(#REF!,Catalogos!$I$4:$J$64,2,FALSE)</f>
        <v>#REF!</v>
      </c>
      <c r="F227" s="6">
        <v>40</v>
      </c>
      <c r="G227" s="4">
        <v>27</v>
      </c>
      <c r="H227" s="4">
        <f t="shared" si="3"/>
        <v>1080</v>
      </c>
      <c r="I227" t="e">
        <f>VLOOKUP(#REF!,Catalogos!$B$3:$C$10,2,FALSE)</f>
        <v>#REF!</v>
      </c>
      <c r="K227">
        <v>26</v>
      </c>
    </row>
    <row r="228" spans="1:11">
      <c r="A228" s="2">
        <v>46194</v>
      </c>
      <c r="B228" t="s">
        <v>1</v>
      </c>
      <c r="C228" s="2">
        <v>46196</v>
      </c>
      <c r="D228" t="s">
        <v>224</v>
      </c>
      <c r="E228" t="e">
        <f>VLOOKUP(#REF!,Catalogos!$I$4:$J$64,2,FALSE)</f>
        <v>#REF!</v>
      </c>
      <c r="F228" s="6">
        <v>50</v>
      </c>
      <c r="G228" s="4">
        <v>27</v>
      </c>
      <c r="H228" s="4">
        <f t="shared" si="3"/>
        <v>1350</v>
      </c>
      <c r="I228" t="e">
        <f>VLOOKUP(#REF!,Catalogos!$B$3:$C$10,2,FALSE)</f>
        <v>#REF!</v>
      </c>
      <c r="K228">
        <v>26</v>
      </c>
    </row>
    <row r="229" spans="1:11">
      <c r="A229" s="2">
        <v>46194</v>
      </c>
      <c r="B229" t="s">
        <v>1</v>
      </c>
      <c r="C229" s="2">
        <v>46196</v>
      </c>
      <c r="D229" t="s">
        <v>227</v>
      </c>
      <c r="E229" t="e">
        <f>VLOOKUP(#REF!,Catalogos!$I$4:$J$64,2,FALSE)</f>
        <v>#REF!</v>
      </c>
      <c r="F229" s="6">
        <v>30</v>
      </c>
      <c r="G229" s="4">
        <v>27</v>
      </c>
      <c r="H229" s="4">
        <f t="shared" si="3"/>
        <v>810</v>
      </c>
      <c r="I229" t="e">
        <f>VLOOKUP(#REF!,Catalogos!$B$3:$C$10,2,FALSE)</f>
        <v>#REF!</v>
      </c>
      <c r="K229">
        <v>26</v>
      </c>
    </row>
    <row r="230" spans="1:11">
      <c r="A230" s="2">
        <v>46194</v>
      </c>
      <c r="B230" t="s">
        <v>1</v>
      </c>
      <c r="C230" s="2">
        <v>46196</v>
      </c>
      <c r="D230" t="s">
        <v>210</v>
      </c>
      <c r="E230" t="e">
        <f>VLOOKUP(#REF!,Catalogos!$I$4:$J$64,2,FALSE)</f>
        <v>#REF!</v>
      </c>
      <c r="F230" s="6">
        <v>50</v>
      </c>
      <c r="G230" s="4">
        <v>27</v>
      </c>
      <c r="H230" s="4">
        <f t="shared" si="3"/>
        <v>1350</v>
      </c>
      <c r="I230" t="e">
        <f>VLOOKUP(#REF!,Catalogos!$B$3:$C$10,2,FALSE)</f>
        <v>#REF!</v>
      </c>
      <c r="K230">
        <v>26</v>
      </c>
    </row>
    <row r="231" spans="1:11">
      <c r="A231" s="2">
        <v>46194</v>
      </c>
      <c r="B231" t="s">
        <v>1</v>
      </c>
      <c r="C231" s="2">
        <v>46196</v>
      </c>
      <c r="D231" t="s">
        <v>234</v>
      </c>
      <c r="E231" t="e">
        <f>VLOOKUP(#REF!,Catalogos!$I$4:$J$64,2,FALSE)</f>
        <v>#REF!</v>
      </c>
      <c r="F231" s="6">
        <v>50</v>
      </c>
      <c r="G231" s="4">
        <v>27</v>
      </c>
      <c r="H231" s="4">
        <f t="shared" si="3"/>
        <v>1350</v>
      </c>
      <c r="I231" t="e">
        <f>VLOOKUP(#REF!,Catalogos!$B$3:$C$10,2,FALSE)</f>
        <v>#REF!</v>
      </c>
      <c r="K231">
        <v>26</v>
      </c>
    </row>
    <row r="232" spans="1:11">
      <c r="A232" s="2">
        <v>46194</v>
      </c>
      <c r="B232" t="s">
        <v>1</v>
      </c>
      <c r="C232" s="2">
        <v>46197</v>
      </c>
      <c r="D232" t="s">
        <v>215</v>
      </c>
      <c r="E232" t="e">
        <f>VLOOKUP(#REF!,Catalogos!$I$4:$J$64,2,FALSE)</f>
        <v>#REF!</v>
      </c>
      <c r="F232" s="6">
        <v>250</v>
      </c>
      <c r="G232" s="4">
        <v>27</v>
      </c>
      <c r="H232" s="4">
        <f t="shared" si="3"/>
        <v>6750</v>
      </c>
      <c r="I232" t="e">
        <f>VLOOKUP(#REF!,Catalogos!$B$3:$C$10,2,FALSE)</f>
        <v>#REF!</v>
      </c>
      <c r="K232">
        <v>26</v>
      </c>
    </row>
    <row r="233" spans="1:11">
      <c r="A233" s="2">
        <v>46194</v>
      </c>
      <c r="B233" t="s">
        <v>1</v>
      </c>
      <c r="C233" s="2">
        <v>46197</v>
      </c>
      <c r="D233" t="s">
        <v>211</v>
      </c>
      <c r="E233" t="e">
        <f>VLOOKUP(#REF!,Catalogos!$I$4:$J$64,2,FALSE)</f>
        <v>#REF!</v>
      </c>
      <c r="F233" s="6">
        <v>120</v>
      </c>
      <c r="G233" s="4">
        <v>27</v>
      </c>
      <c r="H233" s="4">
        <f t="shared" si="3"/>
        <v>3240</v>
      </c>
      <c r="I233" t="e">
        <f>VLOOKUP(#REF!,Catalogos!$B$3:$C$10,2,FALSE)</f>
        <v>#REF!</v>
      </c>
      <c r="K233">
        <v>26</v>
      </c>
    </row>
    <row r="234" spans="1:11">
      <c r="A234" s="2">
        <v>46194</v>
      </c>
      <c r="B234" t="s">
        <v>1</v>
      </c>
      <c r="C234" s="2">
        <v>46197</v>
      </c>
      <c r="D234" t="s">
        <v>221</v>
      </c>
      <c r="E234" t="e">
        <f>VLOOKUP(#REF!,Catalogos!$I$4:$J$64,2,FALSE)</f>
        <v>#REF!</v>
      </c>
      <c r="F234" s="6">
        <v>40</v>
      </c>
      <c r="G234" s="4">
        <v>27</v>
      </c>
      <c r="H234" s="4">
        <f t="shared" si="3"/>
        <v>1080</v>
      </c>
      <c r="I234" t="e">
        <f>VLOOKUP(#REF!,Catalogos!$B$3:$C$10,2,FALSE)</f>
        <v>#REF!</v>
      </c>
      <c r="K234">
        <v>26</v>
      </c>
    </row>
    <row r="235" spans="1:11">
      <c r="A235" s="2">
        <v>46194</v>
      </c>
      <c r="B235" t="s">
        <v>1</v>
      </c>
      <c r="C235" s="2">
        <v>46197</v>
      </c>
      <c r="D235" t="s">
        <v>221</v>
      </c>
      <c r="E235" t="e">
        <f>VLOOKUP(#REF!,Catalogos!$I$4:$J$64,2,FALSE)</f>
        <v>#REF!</v>
      </c>
      <c r="F235" s="6">
        <v>40</v>
      </c>
      <c r="G235" s="4">
        <v>27</v>
      </c>
      <c r="H235" s="4">
        <f t="shared" si="3"/>
        <v>1080</v>
      </c>
      <c r="I235" t="e">
        <f>VLOOKUP(#REF!,Catalogos!$B$3:$C$10,2,FALSE)</f>
        <v>#REF!</v>
      </c>
      <c r="K235">
        <v>26</v>
      </c>
    </row>
    <row r="236" spans="1:11">
      <c r="A236" s="2">
        <v>46194</v>
      </c>
      <c r="B236" t="s">
        <v>1</v>
      </c>
      <c r="C236" s="2">
        <v>46197</v>
      </c>
      <c r="D236" t="s">
        <v>224</v>
      </c>
      <c r="E236" t="e">
        <f>VLOOKUP(#REF!,Catalogos!$I$4:$J$64,2,FALSE)</f>
        <v>#REF!</v>
      </c>
      <c r="F236" s="6">
        <v>50</v>
      </c>
      <c r="G236" s="4">
        <v>27</v>
      </c>
      <c r="H236" s="4">
        <f t="shared" si="3"/>
        <v>1350</v>
      </c>
      <c r="I236" t="e">
        <f>VLOOKUP(#REF!,Catalogos!$B$3:$C$10,2,FALSE)</f>
        <v>#REF!</v>
      </c>
      <c r="K236">
        <v>26</v>
      </c>
    </row>
    <row r="237" spans="1:11">
      <c r="A237" s="2">
        <v>46194</v>
      </c>
      <c r="B237" t="s">
        <v>1</v>
      </c>
      <c r="C237" s="2">
        <v>46197</v>
      </c>
      <c r="D237" t="s">
        <v>227</v>
      </c>
      <c r="E237" t="e">
        <f>VLOOKUP(#REF!,Catalogos!$I$4:$J$64,2,FALSE)</f>
        <v>#REF!</v>
      </c>
      <c r="F237" s="6">
        <v>20</v>
      </c>
      <c r="G237" s="4">
        <v>27</v>
      </c>
      <c r="H237" s="4">
        <f t="shared" si="3"/>
        <v>540</v>
      </c>
      <c r="I237" t="e">
        <f>VLOOKUP(#REF!,Catalogos!$B$3:$C$10,2,FALSE)</f>
        <v>#REF!</v>
      </c>
      <c r="K237">
        <v>26</v>
      </c>
    </row>
    <row r="238" spans="1:11">
      <c r="A238" s="2">
        <v>46194</v>
      </c>
      <c r="B238" t="s">
        <v>1</v>
      </c>
      <c r="C238" s="2">
        <v>46197</v>
      </c>
      <c r="D238" t="s">
        <v>210</v>
      </c>
      <c r="E238" t="e">
        <f>VLOOKUP(#REF!,Catalogos!$I$4:$J$64,2,FALSE)</f>
        <v>#REF!</v>
      </c>
      <c r="F238" s="6">
        <v>50</v>
      </c>
      <c r="G238" s="4">
        <v>27</v>
      </c>
      <c r="H238" s="4">
        <f t="shared" si="3"/>
        <v>1350</v>
      </c>
      <c r="I238" t="e">
        <f>VLOOKUP(#REF!,Catalogos!$B$3:$C$10,2,FALSE)</f>
        <v>#REF!</v>
      </c>
      <c r="K238">
        <v>26</v>
      </c>
    </row>
    <row r="239" spans="1:11">
      <c r="A239" s="2">
        <v>46194</v>
      </c>
      <c r="B239" t="s">
        <v>1</v>
      </c>
      <c r="C239" s="2">
        <v>46197</v>
      </c>
      <c r="D239" t="s">
        <v>234</v>
      </c>
      <c r="E239" t="e">
        <f>VLOOKUP(#REF!,Catalogos!$I$4:$J$64,2,FALSE)</f>
        <v>#REF!</v>
      </c>
      <c r="F239" s="6">
        <v>50</v>
      </c>
      <c r="G239" s="4">
        <v>27</v>
      </c>
      <c r="H239" s="4">
        <f t="shared" si="3"/>
        <v>1350</v>
      </c>
      <c r="I239" t="e">
        <f>VLOOKUP(#REF!,Catalogos!$B$3:$C$10,2,FALSE)</f>
        <v>#REF!</v>
      </c>
      <c r="K239">
        <v>26</v>
      </c>
    </row>
    <row r="240" spans="1:11">
      <c r="A240" s="2">
        <v>46194</v>
      </c>
      <c r="B240" t="s">
        <v>1</v>
      </c>
      <c r="C240" s="2">
        <v>46198</v>
      </c>
      <c r="D240" t="s">
        <v>215</v>
      </c>
      <c r="E240" t="e">
        <f>VLOOKUP(#REF!,Catalogos!$I$4:$J$64,2,FALSE)</f>
        <v>#REF!</v>
      </c>
      <c r="F240" s="6">
        <v>250</v>
      </c>
      <c r="G240" s="4">
        <v>27</v>
      </c>
      <c r="H240" s="4">
        <f t="shared" si="3"/>
        <v>6750</v>
      </c>
      <c r="I240" t="e">
        <f>VLOOKUP(#REF!,Catalogos!$B$3:$C$10,2,FALSE)</f>
        <v>#REF!</v>
      </c>
      <c r="K240">
        <v>26</v>
      </c>
    </row>
    <row r="241" spans="1:11">
      <c r="A241" s="2">
        <v>46194</v>
      </c>
      <c r="B241" t="s">
        <v>1</v>
      </c>
      <c r="C241" s="2">
        <v>46198</v>
      </c>
      <c r="D241" t="s">
        <v>211</v>
      </c>
      <c r="E241" t="e">
        <f>VLOOKUP(#REF!,Catalogos!$I$4:$J$64,2,FALSE)</f>
        <v>#REF!</v>
      </c>
      <c r="F241" s="6">
        <v>120</v>
      </c>
      <c r="G241" s="4">
        <v>27</v>
      </c>
      <c r="H241" s="4">
        <f t="shared" si="3"/>
        <v>3240</v>
      </c>
      <c r="I241" t="e">
        <f>VLOOKUP(#REF!,Catalogos!$B$3:$C$10,2,FALSE)</f>
        <v>#REF!</v>
      </c>
      <c r="K241">
        <v>26</v>
      </c>
    </row>
    <row r="242" spans="1:11">
      <c r="A242" s="2">
        <v>46194</v>
      </c>
      <c r="B242" t="s">
        <v>1</v>
      </c>
      <c r="C242" s="2">
        <v>46198</v>
      </c>
      <c r="D242" t="s">
        <v>221</v>
      </c>
      <c r="E242" t="e">
        <f>VLOOKUP(#REF!,Catalogos!$I$4:$J$64,2,FALSE)</f>
        <v>#REF!</v>
      </c>
      <c r="F242" s="6">
        <v>40</v>
      </c>
      <c r="G242" s="4">
        <v>27</v>
      </c>
      <c r="H242" s="4">
        <f t="shared" si="3"/>
        <v>1080</v>
      </c>
      <c r="I242" t="e">
        <f>VLOOKUP(#REF!,Catalogos!$B$3:$C$10,2,FALSE)</f>
        <v>#REF!</v>
      </c>
      <c r="K242">
        <v>26</v>
      </c>
    </row>
    <row r="243" spans="1:11">
      <c r="A243" s="2">
        <v>46194</v>
      </c>
      <c r="B243" t="s">
        <v>1</v>
      </c>
      <c r="C243" s="2">
        <v>46198</v>
      </c>
      <c r="D243" t="s">
        <v>221</v>
      </c>
      <c r="E243" t="e">
        <f>VLOOKUP(#REF!,Catalogos!$I$4:$J$64,2,FALSE)</f>
        <v>#REF!</v>
      </c>
      <c r="F243" s="6">
        <v>40</v>
      </c>
      <c r="G243" s="4">
        <v>27</v>
      </c>
      <c r="H243" s="4">
        <f t="shared" si="3"/>
        <v>1080</v>
      </c>
      <c r="I243" t="e">
        <f>VLOOKUP(#REF!,Catalogos!$B$3:$C$10,2,FALSE)</f>
        <v>#REF!</v>
      </c>
      <c r="K243">
        <v>26</v>
      </c>
    </row>
    <row r="244" spans="1:11">
      <c r="A244" s="2">
        <v>46194</v>
      </c>
      <c r="B244" t="s">
        <v>1</v>
      </c>
      <c r="C244" s="2">
        <v>46198</v>
      </c>
      <c r="D244" t="s">
        <v>224</v>
      </c>
      <c r="E244" t="e">
        <f>VLOOKUP(#REF!,Catalogos!$I$4:$J$64,2,FALSE)</f>
        <v>#REF!</v>
      </c>
      <c r="F244" s="6">
        <v>50</v>
      </c>
      <c r="G244" s="4">
        <v>27</v>
      </c>
      <c r="H244" s="4">
        <f t="shared" si="3"/>
        <v>1350</v>
      </c>
      <c r="I244" t="e">
        <f>VLOOKUP(#REF!,Catalogos!$B$3:$C$10,2,FALSE)</f>
        <v>#REF!</v>
      </c>
      <c r="K244">
        <v>26</v>
      </c>
    </row>
    <row r="245" spans="1:11">
      <c r="A245" s="2">
        <v>46194</v>
      </c>
      <c r="B245" t="s">
        <v>1</v>
      </c>
      <c r="C245" s="2">
        <v>46198</v>
      </c>
      <c r="D245" t="s">
        <v>227</v>
      </c>
      <c r="E245" t="e">
        <f>VLOOKUP(#REF!,Catalogos!$I$4:$J$64,2,FALSE)</f>
        <v>#REF!</v>
      </c>
      <c r="F245" s="6">
        <v>20</v>
      </c>
      <c r="G245" s="4">
        <v>27</v>
      </c>
      <c r="H245" s="4">
        <f t="shared" si="3"/>
        <v>540</v>
      </c>
      <c r="I245" t="e">
        <f>VLOOKUP(#REF!,Catalogos!$B$3:$C$10,2,FALSE)</f>
        <v>#REF!</v>
      </c>
      <c r="K245">
        <v>26</v>
      </c>
    </row>
    <row r="246" spans="1:11">
      <c r="A246" s="2">
        <v>46194</v>
      </c>
      <c r="B246" t="s">
        <v>1</v>
      </c>
      <c r="C246" s="2">
        <v>46198</v>
      </c>
      <c r="D246" t="s">
        <v>210</v>
      </c>
      <c r="E246" t="e">
        <f>VLOOKUP(#REF!,Catalogos!$I$4:$J$64,2,FALSE)</f>
        <v>#REF!</v>
      </c>
      <c r="F246" s="6">
        <v>50</v>
      </c>
      <c r="G246" s="4">
        <v>27</v>
      </c>
      <c r="H246" s="4">
        <f t="shared" si="3"/>
        <v>1350</v>
      </c>
      <c r="I246" t="e">
        <f>VLOOKUP(#REF!,Catalogos!$B$3:$C$10,2,FALSE)</f>
        <v>#REF!</v>
      </c>
      <c r="K246">
        <v>26</v>
      </c>
    </row>
    <row r="247" spans="1:11">
      <c r="A247" s="2">
        <v>46194</v>
      </c>
      <c r="B247" t="s">
        <v>1</v>
      </c>
      <c r="C247" s="2">
        <v>46198</v>
      </c>
      <c r="D247" t="s">
        <v>234</v>
      </c>
      <c r="E247" t="e">
        <f>VLOOKUP(#REF!,Catalogos!$I$4:$J$64,2,FALSE)</f>
        <v>#REF!</v>
      </c>
      <c r="F247" s="6">
        <v>50</v>
      </c>
      <c r="G247" s="4">
        <v>27</v>
      </c>
      <c r="H247" s="4">
        <f t="shared" si="3"/>
        <v>1350</v>
      </c>
      <c r="I247" t="e">
        <f>VLOOKUP(#REF!,Catalogos!$B$3:$C$10,2,FALSE)</f>
        <v>#REF!</v>
      </c>
      <c r="K247">
        <v>26</v>
      </c>
    </row>
    <row r="248" spans="1:11">
      <c r="A248" s="2">
        <v>46194</v>
      </c>
      <c r="B248" t="s">
        <v>1</v>
      </c>
      <c r="C248" s="2">
        <v>46199</v>
      </c>
      <c r="D248" t="s">
        <v>215</v>
      </c>
      <c r="E248" t="e">
        <f>VLOOKUP(#REF!,Catalogos!$I$4:$J$64,2,FALSE)</f>
        <v>#REF!</v>
      </c>
      <c r="F248" s="6">
        <v>250</v>
      </c>
      <c r="G248" s="4">
        <v>27</v>
      </c>
      <c r="H248" s="4">
        <f t="shared" si="3"/>
        <v>6750</v>
      </c>
      <c r="I248" t="e">
        <f>VLOOKUP(#REF!,Catalogos!$B$3:$C$10,2,FALSE)</f>
        <v>#REF!</v>
      </c>
      <c r="K248">
        <v>26</v>
      </c>
    </row>
    <row r="249" spans="1:11">
      <c r="A249" s="2">
        <v>46194</v>
      </c>
      <c r="B249" t="s">
        <v>1</v>
      </c>
      <c r="C249" s="2">
        <v>46199</v>
      </c>
      <c r="D249" t="s">
        <v>211</v>
      </c>
      <c r="E249" t="e">
        <f>VLOOKUP(#REF!,Catalogos!$I$4:$J$64,2,FALSE)</f>
        <v>#REF!</v>
      </c>
      <c r="F249" s="6">
        <v>120</v>
      </c>
      <c r="G249" s="4">
        <v>27</v>
      </c>
      <c r="H249" s="4">
        <f t="shared" si="3"/>
        <v>3240</v>
      </c>
      <c r="I249" t="e">
        <f>VLOOKUP(#REF!,Catalogos!$B$3:$C$10,2,FALSE)</f>
        <v>#REF!</v>
      </c>
      <c r="K249">
        <v>26</v>
      </c>
    </row>
    <row r="250" spans="1:11">
      <c r="A250" s="2">
        <v>46194</v>
      </c>
      <c r="B250" t="s">
        <v>1</v>
      </c>
      <c r="C250" s="2">
        <v>46199</v>
      </c>
      <c r="D250" t="s">
        <v>221</v>
      </c>
      <c r="E250" t="e">
        <f>VLOOKUP(#REF!,Catalogos!$I$4:$J$64,2,FALSE)</f>
        <v>#REF!</v>
      </c>
      <c r="F250" s="6">
        <v>40</v>
      </c>
      <c r="G250" s="4">
        <v>27</v>
      </c>
      <c r="H250" s="4">
        <f t="shared" si="3"/>
        <v>1080</v>
      </c>
      <c r="I250" t="e">
        <f>VLOOKUP(#REF!,Catalogos!$B$3:$C$10,2,FALSE)</f>
        <v>#REF!</v>
      </c>
      <c r="K250">
        <v>26</v>
      </c>
    </row>
    <row r="251" spans="1:11">
      <c r="A251" s="2">
        <v>46194</v>
      </c>
      <c r="B251" t="s">
        <v>1</v>
      </c>
      <c r="C251" s="2">
        <v>46199</v>
      </c>
      <c r="D251" t="s">
        <v>221</v>
      </c>
      <c r="E251" t="e">
        <f>VLOOKUP(#REF!,Catalogos!$I$4:$J$64,2,FALSE)</f>
        <v>#REF!</v>
      </c>
      <c r="F251" s="6">
        <v>40</v>
      </c>
      <c r="G251" s="4">
        <v>27</v>
      </c>
      <c r="H251" s="4">
        <f t="shared" si="3"/>
        <v>1080</v>
      </c>
      <c r="I251" t="e">
        <f>VLOOKUP(#REF!,Catalogos!$B$3:$C$10,2,FALSE)</f>
        <v>#REF!</v>
      </c>
      <c r="K251">
        <v>26</v>
      </c>
    </row>
    <row r="252" spans="1:11">
      <c r="A252" s="2">
        <v>46194</v>
      </c>
      <c r="B252" t="s">
        <v>1</v>
      </c>
      <c r="C252" s="2">
        <v>46199</v>
      </c>
      <c r="D252" t="s">
        <v>224</v>
      </c>
      <c r="E252" t="e">
        <f>VLOOKUP(#REF!,Catalogos!$I$4:$J$64,2,FALSE)</f>
        <v>#REF!</v>
      </c>
      <c r="F252" s="6">
        <v>50</v>
      </c>
      <c r="G252" s="4">
        <v>27</v>
      </c>
      <c r="H252" s="4">
        <f t="shared" si="3"/>
        <v>1350</v>
      </c>
      <c r="I252" t="e">
        <f>VLOOKUP(#REF!,Catalogos!$B$3:$C$10,2,FALSE)</f>
        <v>#REF!</v>
      </c>
      <c r="K252">
        <v>26</v>
      </c>
    </row>
    <row r="253" spans="1:11">
      <c r="A253" s="2">
        <v>46194</v>
      </c>
      <c r="B253" t="s">
        <v>1</v>
      </c>
      <c r="C253" s="2">
        <v>46199</v>
      </c>
      <c r="D253" t="s">
        <v>227</v>
      </c>
      <c r="E253" t="e">
        <f>VLOOKUP(#REF!,Catalogos!$I$4:$J$64,2,FALSE)</f>
        <v>#REF!</v>
      </c>
      <c r="F253" s="6">
        <v>20</v>
      </c>
      <c r="G253" s="4">
        <v>27</v>
      </c>
      <c r="H253" s="4">
        <f t="shared" si="3"/>
        <v>540</v>
      </c>
      <c r="I253" t="e">
        <f>VLOOKUP(#REF!,Catalogos!$B$3:$C$10,2,FALSE)</f>
        <v>#REF!</v>
      </c>
      <c r="K253">
        <v>26</v>
      </c>
    </row>
    <row r="254" spans="1:11">
      <c r="A254" s="2">
        <v>46194</v>
      </c>
      <c r="B254" t="s">
        <v>1</v>
      </c>
      <c r="C254" s="2">
        <v>46199</v>
      </c>
      <c r="D254" t="s">
        <v>210</v>
      </c>
      <c r="E254" t="e">
        <f>VLOOKUP(#REF!,Catalogos!$I$4:$J$64,2,FALSE)</f>
        <v>#REF!</v>
      </c>
      <c r="F254" s="6">
        <v>50</v>
      </c>
      <c r="G254" s="4">
        <v>27</v>
      </c>
      <c r="H254" s="4">
        <f t="shared" si="3"/>
        <v>1350</v>
      </c>
      <c r="I254" t="e">
        <f>VLOOKUP(#REF!,Catalogos!$B$3:$C$10,2,FALSE)</f>
        <v>#REF!</v>
      </c>
      <c r="K254">
        <v>26</v>
      </c>
    </row>
    <row r="255" spans="1:11">
      <c r="A255" s="2">
        <v>46194</v>
      </c>
      <c r="B255" t="s">
        <v>1</v>
      </c>
      <c r="C255" s="2">
        <v>46199</v>
      </c>
      <c r="D255" t="s">
        <v>234</v>
      </c>
      <c r="E255" t="e">
        <f>VLOOKUP(#REF!,Catalogos!$I$4:$J$64,2,FALSE)</f>
        <v>#REF!</v>
      </c>
      <c r="F255" s="6">
        <v>50</v>
      </c>
      <c r="G255" s="4">
        <v>27</v>
      </c>
      <c r="H255" s="4">
        <f t="shared" si="3"/>
        <v>1350</v>
      </c>
      <c r="I255" t="e">
        <f>VLOOKUP(#REF!,Catalogos!$B$3:$C$10,2,FALSE)</f>
        <v>#REF!</v>
      </c>
      <c r="K255">
        <v>26</v>
      </c>
    </row>
    <row r="256" spans="1:11">
      <c r="A256" s="2">
        <v>46194</v>
      </c>
      <c r="B256" t="s">
        <v>111</v>
      </c>
      <c r="C256" s="2">
        <v>46195</v>
      </c>
      <c r="D256" t="s">
        <v>209</v>
      </c>
      <c r="E256" t="e">
        <f>VLOOKUP(#REF!,Catalogos!$I$4:$J$64,2,FALSE)</f>
        <v>#REF!</v>
      </c>
      <c r="F256" s="6">
        <v>50</v>
      </c>
      <c r="G256" s="4">
        <v>27</v>
      </c>
      <c r="H256" s="4">
        <f t="shared" si="3"/>
        <v>1350</v>
      </c>
      <c r="I256" t="e">
        <f>VLOOKUP(#REF!,Catalogos!$B$3:$C$10,2,FALSE)</f>
        <v>#REF!</v>
      </c>
      <c r="K256">
        <v>26</v>
      </c>
    </row>
    <row r="257" spans="1:11">
      <c r="A257" s="2">
        <v>46194</v>
      </c>
      <c r="B257" t="s">
        <v>111</v>
      </c>
      <c r="C257" s="2">
        <v>46195</v>
      </c>
      <c r="D257" t="s">
        <v>209</v>
      </c>
      <c r="E257" t="e">
        <f>VLOOKUP(#REF!,Catalogos!$I$4:$J$64,2,FALSE)</f>
        <v>#REF!</v>
      </c>
      <c r="F257" s="6">
        <v>50</v>
      </c>
      <c r="G257" s="4">
        <v>27</v>
      </c>
      <c r="H257" s="4">
        <f t="shared" si="3"/>
        <v>1350</v>
      </c>
      <c r="I257" t="e">
        <f>VLOOKUP(#REF!,Catalogos!$B$3:$C$10,2,FALSE)</f>
        <v>#REF!</v>
      </c>
      <c r="K257">
        <v>26</v>
      </c>
    </row>
    <row r="258" spans="1:11">
      <c r="A258" s="2">
        <v>46194</v>
      </c>
      <c r="B258" t="s">
        <v>111</v>
      </c>
      <c r="C258" s="2">
        <v>46195</v>
      </c>
      <c r="D258" t="s">
        <v>250</v>
      </c>
      <c r="E258" t="e">
        <f>VLOOKUP(#REF!,Catalogos!$I$4:$J$64,2,FALSE)</f>
        <v>#REF!</v>
      </c>
      <c r="F258" s="6">
        <v>10</v>
      </c>
      <c r="G258" s="4">
        <v>27</v>
      </c>
      <c r="H258" s="4">
        <f t="shared" si="3"/>
        <v>270</v>
      </c>
      <c r="I258" t="e">
        <f>VLOOKUP(#REF!,Catalogos!$B$3:$C$10,2,FALSE)</f>
        <v>#REF!</v>
      </c>
      <c r="K258">
        <v>26</v>
      </c>
    </row>
    <row r="259" spans="1:11">
      <c r="A259" s="2">
        <v>46194</v>
      </c>
      <c r="B259" t="s">
        <v>111</v>
      </c>
      <c r="C259" s="2">
        <v>46195</v>
      </c>
      <c r="D259" t="s">
        <v>246</v>
      </c>
      <c r="E259" t="e">
        <f>VLOOKUP(#REF!,Catalogos!$I$4:$J$64,2,FALSE)</f>
        <v>#REF!</v>
      </c>
      <c r="F259" s="6">
        <v>8</v>
      </c>
      <c r="G259" s="4">
        <v>27</v>
      </c>
      <c r="H259" s="4">
        <f t="shared" si="3"/>
        <v>216</v>
      </c>
      <c r="I259" t="e">
        <f>VLOOKUP(#REF!,Catalogos!$B$3:$C$10,2,FALSE)</f>
        <v>#REF!</v>
      </c>
      <c r="K259">
        <v>26</v>
      </c>
    </row>
    <row r="260" spans="1:11">
      <c r="A260" s="2">
        <v>46194</v>
      </c>
      <c r="B260" t="s">
        <v>111</v>
      </c>
      <c r="C260" s="2">
        <v>46196</v>
      </c>
      <c r="D260" t="s">
        <v>209</v>
      </c>
      <c r="E260" t="e">
        <f>VLOOKUP(#REF!,Catalogos!$I$4:$J$64,2,FALSE)</f>
        <v>#REF!</v>
      </c>
      <c r="F260" s="6">
        <v>50</v>
      </c>
      <c r="G260" s="4">
        <v>27</v>
      </c>
      <c r="H260" s="4">
        <f t="shared" si="3"/>
        <v>1350</v>
      </c>
      <c r="I260" t="e">
        <f>VLOOKUP(#REF!,Catalogos!$B$3:$C$10,2,FALSE)</f>
        <v>#REF!</v>
      </c>
      <c r="K260">
        <v>26</v>
      </c>
    </row>
    <row r="261" spans="1:11">
      <c r="A261" s="2">
        <v>46194</v>
      </c>
      <c r="B261" t="s">
        <v>111</v>
      </c>
      <c r="C261" s="2">
        <v>46196</v>
      </c>
      <c r="D261" t="s">
        <v>209</v>
      </c>
      <c r="E261" t="e">
        <f>VLOOKUP(#REF!,Catalogos!$I$4:$J$64,2,FALSE)</f>
        <v>#REF!</v>
      </c>
      <c r="F261" s="6">
        <v>40</v>
      </c>
      <c r="G261" s="4">
        <v>27</v>
      </c>
      <c r="H261" s="4">
        <f t="shared" si="3"/>
        <v>1080</v>
      </c>
      <c r="I261" t="e">
        <f>VLOOKUP(#REF!,Catalogos!$B$3:$C$10,2,FALSE)</f>
        <v>#REF!</v>
      </c>
      <c r="K261">
        <v>26</v>
      </c>
    </row>
    <row r="262" spans="1:11">
      <c r="A262" s="2">
        <v>46194</v>
      </c>
      <c r="B262" t="s">
        <v>111</v>
      </c>
      <c r="C262" s="2">
        <v>46196</v>
      </c>
      <c r="D262" t="s">
        <v>250</v>
      </c>
      <c r="E262" t="e">
        <f>VLOOKUP(#REF!,Catalogos!$I$4:$J$64,2,FALSE)</f>
        <v>#REF!</v>
      </c>
      <c r="F262" s="6">
        <v>10</v>
      </c>
      <c r="G262" s="4">
        <v>27</v>
      </c>
      <c r="H262" s="4">
        <f t="shared" si="3"/>
        <v>270</v>
      </c>
      <c r="I262" t="e">
        <f>VLOOKUP(#REF!,Catalogos!$B$3:$C$10,2,FALSE)</f>
        <v>#REF!</v>
      </c>
      <c r="K262">
        <v>26</v>
      </c>
    </row>
    <row r="263" spans="1:11">
      <c r="A263" s="2">
        <v>46194</v>
      </c>
      <c r="B263" t="s">
        <v>111</v>
      </c>
      <c r="C263" s="2">
        <v>46196</v>
      </c>
      <c r="D263" t="s">
        <v>246</v>
      </c>
      <c r="E263" t="e">
        <f>VLOOKUP(#REF!,Catalogos!$I$4:$J$64,2,FALSE)</f>
        <v>#REF!</v>
      </c>
      <c r="F263" s="6">
        <v>5</v>
      </c>
      <c r="G263" s="4">
        <v>27</v>
      </c>
      <c r="H263" s="4">
        <f t="shared" ref="H263:H283" si="5">IFERROR(F263*G263,0)</f>
        <v>135</v>
      </c>
      <c r="I263" t="e">
        <f>VLOOKUP(#REF!,Catalogos!$B$3:$C$10,2,FALSE)</f>
        <v>#REF!</v>
      </c>
      <c r="K263">
        <v>26</v>
      </c>
    </row>
    <row r="264" spans="1:11">
      <c r="A264" s="2">
        <v>46194</v>
      </c>
      <c r="B264" t="s">
        <v>111</v>
      </c>
      <c r="C264" s="2">
        <v>46197</v>
      </c>
      <c r="D264" t="s">
        <v>209</v>
      </c>
      <c r="E264" t="e">
        <f>VLOOKUP(#REF!,Catalogos!$I$4:$J$64,2,FALSE)</f>
        <v>#REF!</v>
      </c>
      <c r="F264" s="6">
        <v>50</v>
      </c>
      <c r="G264" s="4">
        <v>27</v>
      </c>
      <c r="H264" s="4">
        <f t="shared" si="5"/>
        <v>1350</v>
      </c>
      <c r="I264" t="e">
        <f>VLOOKUP(#REF!,Catalogos!$B$3:$C$10,2,FALSE)</f>
        <v>#REF!</v>
      </c>
      <c r="K264">
        <v>26</v>
      </c>
    </row>
    <row r="265" spans="1:11">
      <c r="A265" s="2">
        <v>46194</v>
      </c>
      <c r="B265" t="s">
        <v>111</v>
      </c>
      <c r="C265" s="2">
        <v>46197</v>
      </c>
      <c r="D265" t="s">
        <v>209</v>
      </c>
      <c r="E265" t="e">
        <f>VLOOKUP(#REF!,Catalogos!$I$4:$J$64,2,FALSE)</f>
        <v>#REF!</v>
      </c>
      <c r="F265" s="6">
        <v>40</v>
      </c>
      <c r="G265" s="4">
        <v>27</v>
      </c>
      <c r="H265" s="4">
        <f t="shared" si="5"/>
        <v>1080</v>
      </c>
      <c r="I265" t="e">
        <f>VLOOKUP(#REF!,Catalogos!$B$3:$C$10,2,FALSE)</f>
        <v>#REF!</v>
      </c>
      <c r="K265">
        <v>26</v>
      </c>
    </row>
    <row r="266" spans="1:11">
      <c r="A266" s="2">
        <v>46194</v>
      </c>
      <c r="B266" t="s">
        <v>111</v>
      </c>
      <c r="C266" s="2">
        <v>46197</v>
      </c>
      <c r="D266" t="s">
        <v>250</v>
      </c>
      <c r="E266" t="e">
        <f>VLOOKUP(#REF!,Catalogos!$I$4:$J$64,2,FALSE)</f>
        <v>#REF!</v>
      </c>
      <c r="F266" s="6">
        <v>10</v>
      </c>
      <c r="G266" s="4">
        <v>27</v>
      </c>
      <c r="H266" s="4">
        <f t="shared" si="5"/>
        <v>270</v>
      </c>
      <c r="I266" t="e">
        <f>VLOOKUP(#REF!,Catalogos!$B$3:$C$10,2,FALSE)</f>
        <v>#REF!</v>
      </c>
      <c r="K266">
        <v>26</v>
      </c>
    </row>
    <row r="267" spans="1:11">
      <c r="A267" s="2">
        <v>46194</v>
      </c>
      <c r="B267" t="s">
        <v>111</v>
      </c>
      <c r="C267" s="2">
        <v>46197</v>
      </c>
      <c r="D267" t="s">
        <v>246</v>
      </c>
      <c r="E267" t="e">
        <f>VLOOKUP(#REF!,Catalogos!$I$4:$J$64,2,FALSE)</f>
        <v>#REF!</v>
      </c>
      <c r="F267" s="6">
        <v>8</v>
      </c>
      <c r="G267" s="4">
        <v>27</v>
      </c>
      <c r="H267" s="4">
        <f t="shared" si="5"/>
        <v>216</v>
      </c>
      <c r="I267" t="e">
        <f>VLOOKUP(#REF!,Catalogos!$B$3:$C$10,2,FALSE)</f>
        <v>#REF!</v>
      </c>
      <c r="K267">
        <v>26</v>
      </c>
    </row>
    <row r="268" spans="1:11">
      <c r="A268" s="2">
        <v>46194</v>
      </c>
      <c r="B268" t="s">
        <v>111</v>
      </c>
      <c r="C268" s="2">
        <v>46198</v>
      </c>
      <c r="D268" t="s">
        <v>209</v>
      </c>
      <c r="E268" t="e">
        <f>VLOOKUP(#REF!,Catalogos!$I$4:$J$64,2,FALSE)</f>
        <v>#REF!</v>
      </c>
      <c r="F268" s="6">
        <v>60</v>
      </c>
      <c r="G268" s="4">
        <v>27</v>
      </c>
      <c r="H268" s="4">
        <f t="shared" si="5"/>
        <v>1620</v>
      </c>
      <c r="I268" t="e">
        <f>VLOOKUP(#REF!,Catalogos!$B$3:$C$10,2,FALSE)</f>
        <v>#REF!</v>
      </c>
      <c r="K268">
        <v>26</v>
      </c>
    </row>
    <row r="269" spans="1:11">
      <c r="A269" s="2">
        <v>46194</v>
      </c>
      <c r="B269" t="s">
        <v>111</v>
      </c>
      <c r="C269" s="2">
        <v>46198</v>
      </c>
      <c r="D269" t="s">
        <v>209</v>
      </c>
      <c r="E269" t="e">
        <f>VLOOKUP(#REF!,Catalogos!$I$4:$J$64,2,FALSE)</f>
        <v>#REF!</v>
      </c>
      <c r="F269" s="6">
        <v>60</v>
      </c>
      <c r="G269" s="4">
        <v>27</v>
      </c>
      <c r="H269" s="4">
        <f t="shared" si="5"/>
        <v>1620</v>
      </c>
      <c r="I269" t="e">
        <f>VLOOKUP(#REF!,Catalogos!$B$3:$C$10,2,FALSE)</f>
        <v>#REF!</v>
      </c>
      <c r="K269">
        <v>26</v>
      </c>
    </row>
    <row r="270" spans="1:11">
      <c r="A270" s="2">
        <v>46194</v>
      </c>
      <c r="B270" t="s">
        <v>111</v>
      </c>
      <c r="C270" s="2">
        <v>46198</v>
      </c>
      <c r="D270" t="s">
        <v>246</v>
      </c>
      <c r="E270" t="e">
        <f>VLOOKUP(#REF!,Catalogos!$I$4:$J$64,2,FALSE)</f>
        <v>#REF!</v>
      </c>
      <c r="F270" s="6">
        <v>5</v>
      </c>
      <c r="G270" s="4">
        <v>27</v>
      </c>
      <c r="H270" s="4">
        <f t="shared" si="5"/>
        <v>135</v>
      </c>
      <c r="I270" t="e">
        <f>VLOOKUP(#REF!,Catalogos!$B$3:$C$10,2,FALSE)</f>
        <v>#REF!</v>
      </c>
      <c r="K270">
        <v>26</v>
      </c>
    </row>
    <row r="271" spans="1:11">
      <c r="A271" s="2">
        <v>46194</v>
      </c>
      <c r="B271" t="s">
        <v>111</v>
      </c>
      <c r="C271" s="2">
        <v>46199</v>
      </c>
      <c r="D271" t="s">
        <v>209</v>
      </c>
      <c r="E271" t="e">
        <f>VLOOKUP(#REF!,Catalogos!$I$4:$J$64,2,FALSE)</f>
        <v>#REF!</v>
      </c>
      <c r="F271" s="6">
        <v>50</v>
      </c>
      <c r="G271" s="4">
        <v>27</v>
      </c>
      <c r="H271" s="4">
        <f t="shared" si="5"/>
        <v>1350</v>
      </c>
      <c r="I271" t="e">
        <f>VLOOKUP(#REF!,Catalogos!$B$3:$C$10,2,FALSE)</f>
        <v>#REF!</v>
      </c>
      <c r="K271">
        <v>26</v>
      </c>
    </row>
    <row r="272" spans="1:11">
      <c r="A272" s="2">
        <v>46194</v>
      </c>
      <c r="B272" t="s">
        <v>111</v>
      </c>
      <c r="C272" s="2">
        <v>46199</v>
      </c>
      <c r="D272" t="s">
        <v>209</v>
      </c>
      <c r="E272" t="e">
        <f>VLOOKUP(#REF!,Catalogos!$I$4:$J$64,2,FALSE)</f>
        <v>#REF!</v>
      </c>
      <c r="F272" s="6">
        <v>50</v>
      </c>
      <c r="G272" s="4">
        <v>27</v>
      </c>
      <c r="H272" s="4">
        <f t="shared" si="5"/>
        <v>1350</v>
      </c>
      <c r="I272" t="e">
        <f>VLOOKUP(#REF!,Catalogos!$B$3:$C$10,2,FALSE)</f>
        <v>#REF!</v>
      </c>
      <c r="K272">
        <v>26</v>
      </c>
    </row>
    <row r="273" spans="1:11">
      <c r="A273" s="2">
        <v>46194</v>
      </c>
      <c r="B273" t="s">
        <v>111</v>
      </c>
      <c r="C273" s="2">
        <v>46199</v>
      </c>
      <c r="D273" t="s">
        <v>250</v>
      </c>
      <c r="E273" t="e">
        <f>VLOOKUP(#REF!,Catalogos!$I$4:$J$64,2,FALSE)</f>
        <v>#REF!</v>
      </c>
      <c r="F273" s="6">
        <v>10</v>
      </c>
      <c r="G273" s="4">
        <v>27</v>
      </c>
      <c r="H273" s="4">
        <f t="shared" si="5"/>
        <v>270</v>
      </c>
      <c r="I273" t="e">
        <f>VLOOKUP(#REF!,Catalogos!$B$3:$C$10,2,FALSE)</f>
        <v>#REF!</v>
      </c>
      <c r="K273">
        <v>26</v>
      </c>
    </row>
    <row r="274" spans="1:11">
      <c r="A274" s="2">
        <v>46194</v>
      </c>
      <c r="B274" t="s">
        <v>111</v>
      </c>
      <c r="C274" s="2">
        <v>46199</v>
      </c>
      <c r="D274" t="s">
        <v>246</v>
      </c>
      <c r="E274" t="e">
        <f>VLOOKUP(#REF!,Catalogos!$I$4:$J$64,2,FALSE)</f>
        <v>#REF!</v>
      </c>
      <c r="F274" s="6">
        <v>8</v>
      </c>
      <c r="G274" s="4">
        <v>27</v>
      </c>
      <c r="H274" s="4">
        <f t="shared" si="5"/>
        <v>216</v>
      </c>
      <c r="I274" t="e">
        <f>VLOOKUP(#REF!,Catalogos!$B$3:$C$10,2,FALSE)</f>
        <v>#REF!</v>
      </c>
      <c r="K274">
        <v>26</v>
      </c>
    </row>
    <row r="275" spans="1:11">
      <c r="A275" s="2">
        <v>46194</v>
      </c>
      <c r="B275" t="s">
        <v>115</v>
      </c>
      <c r="C275" s="2">
        <v>46196</v>
      </c>
      <c r="D275" t="s">
        <v>245</v>
      </c>
      <c r="E275" t="e">
        <f>VLOOKUP(#REF!,Catalogos!$I$4:$J$64,2,FALSE)</f>
        <v>#REF!</v>
      </c>
      <c r="F275" s="6">
        <v>300</v>
      </c>
      <c r="G275" s="4">
        <v>27</v>
      </c>
      <c r="H275" s="4">
        <f t="shared" si="5"/>
        <v>8100</v>
      </c>
      <c r="I275" t="e">
        <f>VLOOKUP(#REF!,Catalogos!$B$3:$C$10,2,FALSE)</f>
        <v>#REF!</v>
      </c>
      <c r="K275">
        <v>26</v>
      </c>
    </row>
    <row r="276" spans="1:11">
      <c r="A276" s="2">
        <v>46194</v>
      </c>
      <c r="B276" t="s">
        <v>115</v>
      </c>
      <c r="C276" s="2">
        <v>46197</v>
      </c>
      <c r="D276" t="s">
        <v>347</v>
      </c>
      <c r="E276" t="e">
        <f>VLOOKUP(#REF!,Catalogos!$I$4:$J$64,2,FALSE)</f>
        <v>#REF!</v>
      </c>
      <c r="F276" s="6">
        <v>600</v>
      </c>
      <c r="G276" s="4">
        <v>27</v>
      </c>
      <c r="H276" s="4">
        <f t="shared" si="5"/>
        <v>16200</v>
      </c>
      <c r="I276" t="e">
        <f>VLOOKUP(#REF!,Catalogos!$B$3:$C$10,2,FALSE)</f>
        <v>#REF!</v>
      </c>
      <c r="K276">
        <v>26</v>
      </c>
    </row>
    <row r="277" spans="1:11">
      <c r="A277" s="2">
        <v>46194</v>
      </c>
      <c r="B277" t="s">
        <v>115</v>
      </c>
      <c r="C277" s="2">
        <v>46197</v>
      </c>
      <c r="D277" t="s">
        <v>349</v>
      </c>
      <c r="E277" t="e">
        <f>VLOOKUP(#REF!,Catalogos!$I$4:$J$64,2,FALSE)</f>
        <v>#REF!</v>
      </c>
      <c r="F277" s="6">
        <v>400</v>
      </c>
      <c r="G277" s="4">
        <v>27</v>
      </c>
      <c r="H277" s="4">
        <f t="shared" si="5"/>
        <v>10800</v>
      </c>
      <c r="I277" t="e">
        <f>VLOOKUP(#REF!,Catalogos!$B$3:$C$10,2,FALSE)</f>
        <v>#REF!</v>
      </c>
      <c r="K277">
        <v>26</v>
      </c>
    </row>
    <row r="278" spans="1:11">
      <c r="A278" s="2">
        <v>46194</v>
      </c>
      <c r="B278" t="s">
        <v>115</v>
      </c>
      <c r="C278" s="2">
        <v>46198</v>
      </c>
      <c r="D278" t="s">
        <v>245</v>
      </c>
      <c r="E278" t="e">
        <f>VLOOKUP(#REF!,Catalogos!$I$4:$J$64,2,FALSE)</f>
        <v>#REF!</v>
      </c>
      <c r="F278" s="6">
        <v>300</v>
      </c>
      <c r="G278" s="4">
        <v>27</v>
      </c>
      <c r="H278" s="4">
        <f t="shared" si="5"/>
        <v>8100</v>
      </c>
      <c r="I278" t="e">
        <f>VLOOKUP(#REF!,Catalogos!$B$3:$C$10,2,FALSE)</f>
        <v>#REF!</v>
      </c>
      <c r="K278">
        <v>26</v>
      </c>
    </row>
    <row r="279" spans="1:11">
      <c r="A279" s="2">
        <v>46194</v>
      </c>
      <c r="B279" t="s">
        <v>2</v>
      </c>
      <c r="C279" s="2">
        <v>46195</v>
      </c>
      <c r="D279" t="s">
        <v>235</v>
      </c>
      <c r="E279" t="e">
        <f>VLOOKUP(#REF!,Catalogos!$I$4:$J$64,2,FALSE)</f>
        <v>#REF!</v>
      </c>
      <c r="F279" s="6">
        <v>30</v>
      </c>
      <c r="G279" s="4">
        <v>27</v>
      </c>
      <c r="H279" s="4">
        <f t="shared" si="5"/>
        <v>810</v>
      </c>
      <c r="I279" t="e">
        <f>VLOOKUP(#REF!,Catalogos!$B$3:$C$10,2,FALSE)</f>
        <v>#REF!</v>
      </c>
      <c r="K279">
        <v>26</v>
      </c>
    </row>
    <row r="280" spans="1:11">
      <c r="A280" s="2">
        <v>46194</v>
      </c>
      <c r="B280" t="s">
        <v>2</v>
      </c>
      <c r="C280" s="2">
        <v>46196</v>
      </c>
      <c r="D280" t="s">
        <v>235</v>
      </c>
      <c r="E280" t="e">
        <f>VLOOKUP(#REF!,Catalogos!$I$4:$J$64,2,FALSE)</f>
        <v>#REF!</v>
      </c>
      <c r="F280" s="6">
        <v>30</v>
      </c>
      <c r="G280" s="4">
        <v>27</v>
      </c>
      <c r="H280" s="4">
        <f t="shared" si="5"/>
        <v>810</v>
      </c>
      <c r="I280" t="e">
        <f>VLOOKUP(#REF!,Catalogos!$B$3:$C$10,2,FALSE)</f>
        <v>#REF!</v>
      </c>
      <c r="K280">
        <v>26</v>
      </c>
    </row>
    <row r="281" spans="1:11">
      <c r="A281" s="2">
        <v>46194</v>
      </c>
      <c r="B281" t="s">
        <v>2</v>
      </c>
      <c r="C281" s="2">
        <v>46197</v>
      </c>
      <c r="D281" t="s">
        <v>235</v>
      </c>
      <c r="E281" t="e">
        <f>VLOOKUP(#REF!,Catalogos!$I$4:$J$64,2,FALSE)</f>
        <v>#REF!</v>
      </c>
      <c r="F281" s="6">
        <v>30</v>
      </c>
      <c r="G281" s="4">
        <v>27</v>
      </c>
      <c r="H281" s="4">
        <f t="shared" si="5"/>
        <v>810</v>
      </c>
      <c r="I281" t="e">
        <f>VLOOKUP(#REF!,Catalogos!$B$3:$C$10,2,FALSE)</f>
        <v>#REF!</v>
      </c>
      <c r="K281">
        <v>26</v>
      </c>
    </row>
    <row r="282" spans="1:11">
      <c r="A282" s="2">
        <v>46194</v>
      </c>
      <c r="B282" t="s">
        <v>2</v>
      </c>
      <c r="C282" s="2">
        <v>46198</v>
      </c>
      <c r="D282" t="s">
        <v>235</v>
      </c>
      <c r="E282" t="e">
        <f>VLOOKUP(#REF!,Catalogos!$I$4:$J$64,2,FALSE)</f>
        <v>#REF!</v>
      </c>
      <c r="F282" s="6">
        <v>30</v>
      </c>
      <c r="G282" s="4">
        <v>27</v>
      </c>
      <c r="H282" s="4">
        <f t="shared" si="5"/>
        <v>810</v>
      </c>
      <c r="I282" t="e">
        <f>VLOOKUP(#REF!,Catalogos!$B$3:$C$10,2,FALSE)</f>
        <v>#REF!</v>
      </c>
      <c r="K282">
        <v>26</v>
      </c>
    </row>
    <row r="283" spans="1:11">
      <c r="A283" s="2">
        <v>46194</v>
      </c>
      <c r="B283" t="s">
        <v>2</v>
      </c>
      <c r="C283" s="2">
        <v>46199</v>
      </c>
      <c r="D283" t="s">
        <v>235</v>
      </c>
      <c r="E283" t="e">
        <f>VLOOKUP(#REF!,Catalogos!$I$4:$J$64,2,FALSE)</f>
        <v>#REF!</v>
      </c>
      <c r="F283" s="6">
        <v>30</v>
      </c>
      <c r="G283" s="4">
        <v>27</v>
      </c>
      <c r="H283" s="4">
        <f t="shared" si="5"/>
        <v>810</v>
      </c>
      <c r="I283" t="e">
        <f>VLOOKUP(#REF!,Catalogos!$B$3:$C$10,2,FALSE)</f>
        <v>#REF!</v>
      </c>
      <c r="K283">
        <v>26</v>
      </c>
    </row>
    <row r="284" spans="1:11">
      <c r="A284" s="2">
        <v>46202</v>
      </c>
      <c r="B284" t="s">
        <v>654</v>
      </c>
      <c r="C284" s="2">
        <v>46202</v>
      </c>
      <c r="D284" t="s">
        <v>817</v>
      </c>
      <c r="E284" t="e">
        <f>VLOOKUP(D284,Catalogos!$I$4:$J$64,2,FALSE)</f>
        <v>#N/A</v>
      </c>
      <c r="F284" s="6">
        <v>300</v>
      </c>
      <c r="G284" s="4">
        <v>23.95</v>
      </c>
      <c r="H284" s="4">
        <f t="shared" ref="H284:H315" si="6">F284*G284</f>
        <v>7185</v>
      </c>
      <c r="K284">
        <v>27</v>
      </c>
    </row>
    <row r="285" spans="1:11">
      <c r="A285" s="2">
        <v>46202</v>
      </c>
      <c r="B285" t="s">
        <v>654</v>
      </c>
      <c r="C285" s="2">
        <v>46202</v>
      </c>
      <c r="D285" t="s">
        <v>818</v>
      </c>
      <c r="E285" t="e">
        <f>VLOOKUP(D285,Catalogos!$I$4:$J$64,2,FALSE)</f>
        <v>#N/A</v>
      </c>
      <c r="F285" s="6">
        <v>100</v>
      </c>
      <c r="G285" s="4">
        <v>23.95</v>
      </c>
      <c r="H285" s="4">
        <f t="shared" si="6"/>
        <v>2395</v>
      </c>
      <c r="I285" t="s">
        <v>814</v>
      </c>
      <c r="K285">
        <v>27</v>
      </c>
    </row>
    <row r="286" spans="1:11">
      <c r="A286" s="2">
        <v>46202</v>
      </c>
      <c r="B286" t="s">
        <v>654</v>
      </c>
      <c r="C286" s="2">
        <v>46202</v>
      </c>
      <c r="D286" t="s">
        <v>819</v>
      </c>
      <c r="E286" t="e">
        <f>VLOOKUP(D286,Catalogos!$I$4:$J$64,2,FALSE)</f>
        <v>#N/A</v>
      </c>
      <c r="F286" s="6">
        <v>100</v>
      </c>
      <c r="G286" s="4">
        <v>23.95</v>
      </c>
      <c r="H286" s="4">
        <f t="shared" si="6"/>
        <v>2395</v>
      </c>
      <c r="I286" t="s">
        <v>814</v>
      </c>
      <c r="K286">
        <v>27</v>
      </c>
    </row>
    <row r="287" spans="1:11">
      <c r="A287" s="2">
        <v>46202</v>
      </c>
      <c r="B287" t="s">
        <v>654</v>
      </c>
      <c r="C287" s="2">
        <v>46202</v>
      </c>
      <c r="D287" t="s">
        <v>820</v>
      </c>
      <c r="E287" t="e">
        <f>VLOOKUP(D287,Catalogos!$I$4:$J$64,2,FALSE)</f>
        <v>#N/A</v>
      </c>
      <c r="F287" s="6">
        <v>100</v>
      </c>
      <c r="G287" s="4">
        <v>23.95</v>
      </c>
      <c r="H287" s="4">
        <f t="shared" si="6"/>
        <v>2395</v>
      </c>
      <c r="I287" t="s">
        <v>814</v>
      </c>
      <c r="K287">
        <v>27</v>
      </c>
    </row>
    <row r="288" spans="1:11">
      <c r="A288" s="2">
        <v>46202</v>
      </c>
      <c r="B288" t="s">
        <v>654</v>
      </c>
      <c r="C288" s="2">
        <v>46203</v>
      </c>
      <c r="D288" t="s">
        <v>817</v>
      </c>
      <c r="E288" t="e">
        <f>VLOOKUP(D288,Catalogos!$I$4:$J$64,2,FALSE)</f>
        <v>#N/A</v>
      </c>
      <c r="F288" s="6">
        <v>300</v>
      </c>
      <c r="G288" s="4">
        <v>23.95</v>
      </c>
      <c r="H288" s="4">
        <f t="shared" si="6"/>
        <v>7185</v>
      </c>
      <c r="I288" t="s">
        <v>814</v>
      </c>
      <c r="K288">
        <v>27</v>
      </c>
    </row>
    <row r="289" spans="1:11">
      <c r="A289" s="2">
        <v>46202</v>
      </c>
      <c r="B289" t="s">
        <v>654</v>
      </c>
      <c r="C289" s="2">
        <v>46203</v>
      </c>
      <c r="D289" t="s">
        <v>821</v>
      </c>
      <c r="E289" t="e">
        <f>VLOOKUP(D289,Catalogos!$I$4:$J$64,2,FALSE)</f>
        <v>#N/A</v>
      </c>
      <c r="F289" s="6">
        <v>50</v>
      </c>
      <c r="G289" s="4">
        <v>23.95</v>
      </c>
      <c r="H289" s="4">
        <f t="shared" si="6"/>
        <v>1197.5</v>
      </c>
      <c r="I289" t="s">
        <v>814</v>
      </c>
      <c r="K289">
        <v>27</v>
      </c>
    </row>
    <row r="290" spans="1:11">
      <c r="A290" s="2">
        <v>46202</v>
      </c>
      <c r="B290" t="s">
        <v>654</v>
      </c>
      <c r="C290" s="2">
        <v>46203</v>
      </c>
      <c r="D290" t="s">
        <v>819</v>
      </c>
      <c r="E290" t="e">
        <f>VLOOKUP(D290,Catalogos!$I$4:$J$64,2,FALSE)</f>
        <v>#N/A</v>
      </c>
      <c r="F290" s="6">
        <v>100</v>
      </c>
      <c r="G290" s="4">
        <v>23.95</v>
      </c>
      <c r="H290" s="4">
        <f t="shared" si="6"/>
        <v>2395</v>
      </c>
      <c r="I290" t="s">
        <v>814</v>
      </c>
      <c r="K290">
        <v>27</v>
      </c>
    </row>
    <row r="291" spans="1:11">
      <c r="A291" s="2">
        <v>46202</v>
      </c>
      <c r="B291" t="s">
        <v>654</v>
      </c>
      <c r="C291" s="2">
        <v>46203</v>
      </c>
      <c r="D291" t="s">
        <v>820</v>
      </c>
      <c r="E291" t="e">
        <f>VLOOKUP(D291,Catalogos!$I$4:$J$64,2,FALSE)</f>
        <v>#N/A</v>
      </c>
      <c r="F291" s="6">
        <v>100</v>
      </c>
      <c r="G291" s="4">
        <v>23.95</v>
      </c>
      <c r="H291" s="4">
        <f t="shared" si="6"/>
        <v>2395</v>
      </c>
      <c r="I291" t="s">
        <v>814</v>
      </c>
      <c r="K291">
        <v>27</v>
      </c>
    </row>
    <row r="292" spans="1:11">
      <c r="A292" s="2">
        <v>46202</v>
      </c>
      <c r="B292" t="s">
        <v>654</v>
      </c>
      <c r="C292" s="2">
        <v>46204</v>
      </c>
      <c r="D292" t="s">
        <v>817</v>
      </c>
      <c r="E292" t="e">
        <f>VLOOKUP(D292,Catalogos!$I$4:$J$64,2,FALSE)</f>
        <v>#N/A</v>
      </c>
      <c r="F292" s="6">
        <v>300</v>
      </c>
      <c r="G292" s="4">
        <v>23.95</v>
      </c>
      <c r="H292" s="4">
        <f t="shared" si="6"/>
        <v>7185</v>
      </c>
      <c r="I292" t="s">
        <v>814</v>
      </c>
      <c r="K292">
        <v>27</v>
      </c>
    </row>
    <row r="293" spans="1:11">
      <c r="A293" s="2">
        <v>46202</v>
      </c>
      <c r="B293" t="s">
        <v>654</v>
      </c>
      <c r="C293" s="2">
        <v>46204</v>
      </c>
      <c r="D293" t="s">
        <v>819</v>
      </c>
      <c r="E293" t="e">
        <f>VLOOKUP(D293,Catalogos!$I$4:$J$64,2,FALSE)</f>
        <v>#N/A</v>
      </c>
      <c r="F293" s="6">
        <v>100</v>
      </c>
      <c r="G293" s="4">
        <v>23.95</v>
      </c>
      <c r="H293" s="4">
        <f t="shared" si="6"/>
        <v>2395</v>
      </c>
      <c r="I293" t="s">
        <v>814</v>
      </c>
      <c r="J293" t="s">
        <v>815</v>
      </c>
      <c r="K293">
        <v>27</v>
      </c>
    </row>
    <row r="294" spans="1:11">
      <c r="A294" s="2">
        <v>46202</v>
      </c>
      <c r="B294" t="s">
        <v>654</v>
      </c>
      <c r="C294" s="2">
        <v>46204</v>
      </c>
      <c r="D294" t="s">
        <v>820</v>
      </c>
      <c r="E294" t="e">
        <f>VLOOKUP(D294,Catalogos!$I$4:$J$64,2,FALSE)</f>
        <v>#N/A</v>
      </c>
      <c r="F294" s="6">
        <v>100</v>
      </c>
      <c r="G294" s="4">
        <v>23.95</v>
      </c>
      <c r="H294" s="4">
        <f t="shared" si="6"/>
        <v>2395</v>
      </c>
      <c r="I294" t="s">
        <v>814</v>
      </c>
      <c r="K294">
        <v>27</v>
      </c>
    </row>
    <row r="295" spans="1:11">
      <c r="A295" s="2">
        <v>46202</v>
      </c>
      <c r="B295" t="s">
        <v>654</v>
      </c>
      <c r="C295" s="2">
        <v>46205</v>
      </c>
      <c r="D295" t="s">
        <v>817</v>
      </c>
      <c r="E295" t="e">
        <f>VLOOKUP(D295,Catalogos!$I$4:$J$64,2,FALSE)</f>
        <v>#N/A</v>
      </c>
      <c r="F295" s="6">
        <v>300</v>
      </c>
      <c r="G295" s="4">
        <v>23.95</v>
      </c>
      <c r="H295" s="4">
        <f t="shared" si="6"/>
        <v>7185</v>
      </c>
      <c r="I295" t="s">
        <v>814</v>
      </c>
      <c r="K295">
        <v>27</v>
      </c>
    </row>
    <row r="296" spans="1:11">
      <c r="A296" s="2">
        <v>46202</v>
      </c>
      <c r="B296" t="s">
        <v>654</v>
      </c>
      <c r="C296" s="2">
        <v>46205</v>
      </c>
      <c r="D296" t="s">
        <v>821</v>
      </c>
      <c r="E296" t="e">
        <f>VLOOKUP(D296,Catalogos!$I$4:$J$64,2,FALSE)</f>
        <v>#N/A</v>
      </c>
      <c r="F296" s="6">
        <v>50</v>
      </c>
      <c r="G296" s="4">
        <v>23.95</v>
      </c>
      <c r="H296" s="4">
        <f t="shared" si="6"/>
        <v>1197.5</v>
      </c>
      <c r="I296" t="s">
        <v>814</v>
      </c>
      <c r="K296">
        <v>27</v>
      </c>
    </row>
    <row r="297" spans="1:11">
      <c r="A297" s="2">
        <v>46202</v>
      </c>
      <c r="B297" t="s">
        <v>654</v>
      </c>
      <c r="C297" s="2">
        <v>46205</v>
      </c>
      <c r="D297" t="s">
        <v>818</v>
      </c>
      <c r="E297" t="e">
        <f>VLOOKUP(D297,Catalogos!$I$4:$J$64,2,FALSE)</f>
        <v>#N/A</v>
      </c>
      <c r="F297" s="6">
        <v>100</v>
      </c>
      <c r="G297" s="4">
        <v>23.95</v>
      </c>
      <c r="H297" s="4">
        <f t="shared" si="6"/>
        <v>2395</v>
      </c>
      <c r="I297" t="s">
        <v>814</v>
      </c>
      <c r="K297">
        <v>27</v>
      </c>
    </row>
    <row r="298" spans="1:11">
      <c r="A298" s="2">
        <v>46202</v>
      </c>
      <c r="B298" t="s">
        <v>654</v>
      </c>
      <c r="C298" s="2">
        <v>46205</v>
      </c>
      <c r="D298" t="s">
        <v>819</v>
      </c>
      <c r="E298" t="e">
        <f>VLOOKUP(D298,Catalogos!$I$4:$J$64,2,FALSE)</f>
        <v>#N/A</v>
      </c>
      <c r="F298" s="6">
        <v>100</v>
      </c>
      <c r="G298" s="4">
        <v>23.95</v>
      </c>
      <c r="H298" s="4">
        <f t="shared" si="6"/>
        <v>2395</v>
      </c>
      <c r="I298" t="s">
        <v>814</v>
      </c>
      <c r="K298">
        <v>27</v>
      </c>
    </row>
    <row r="299" spans="1:11">
      <c r="A299" s="2">
        <v>46202</v>
      </c>
      <c r="B299" t="s">
        <v>654</v>
      </c>
      <c r="C299" s="2">
        <v>46205</v>
      </c>
      <c r="D299" t="s">
        <v>820</v>
      </c>
      <c r="E299" t="e">
        <f>VLOOKUP(D299,Catalogos!$I$4:$J$64,2,FALSE)</f>
        <v>#N/A</v>
      </c>
      <c r="F299" s="6">
        <v>100</v>
      </c>
      <c r="G299" s="4">
        <v>23.95</v>
      </c>
      <c r="H299" s="4">
        <f t="shared" si="6"/>
        <v>2395</v>
      </c>
      <c r="I299" t="s">
        <v>814</v>
      </c>
      <c r="K299">
        <v>27</v>
      </c>
    </row>
    <row r="300" spans="1:11">
      <c r="A300" s="2">
        <v>46202</v>
      </c>
      <c r="B300" t="s">
        <v>654</v>
      </c>
      <c r="C300" s="2">
        <v>46206</v>
      </c>
      <c r="D300" t="s">
        <v>817</v>
      </c>
      <c r="E300" t="e">
        <f>VLOOKUP(D300,Catalogos!$I$4:$J$64,2,FALSE)</f>
        <v>#N/A</v>
      </c>
      <c r="F300" s="6">
        <v>300</v>
      </c>
      <c r="G300" s="4">
        <v>23.95</v>
      </c>
      <c r="H300" s="4">
        <f t="shared" si="6"/>
        <v>7185</v>
      </c>
      <c r="I300" t="s">
        <v>814</v>
      </c>
      <c r="K300">
        <v>27</v>
      </c>
    </row>
    <row r="301" spans="1:11">
      <c r="A301" s="2">
        <v>46202</v>
      </c>
      <c r="B301" t="s">
        <v>654</v>
      </c>
      <c r="C301" s="2">
        <v>46206</v>
      </c>
      <c r="D301" t="s">
        <v>819</v>
      </c>
      <c r="E301" t="e">
        <f>VLOOKUP(D301,Catalogos!$I$4:$J$64,2,FALSE)</f>
        <v>#N/A</v>
      </c>
      <c r="F301" s="6">
        <v>100</v>
      </c>
      <c r="G301" s="4">
        <v>23.95</v>
      </c>
      <c r="H301" s="4">
        <f t="shared" si="6"/>
        <v>2395</v>
      </c>
      <c r="I301" t="s">
        <v>814</v>
      </c>
      <c r="K301">
        <v>27</v>
      </c>
    </row>
    <row r="302" spans="1:11">
      <c r="A302" s="2">
        <v>46202</v>
      </c>
      <c r="B302" t="s">
        <v>654</v>
      </c>
      <c r="C302" s="2">
        <v>46206</v>
      </c>
      <c r="D302" t="s">
        <v>820</v>
      </c>
      <c r="E302" t="e">
        <f>VLOOKUP(D302,Catalogos!$I$4:$J$64,2,FALSE)</f>
        <v>#N/A</v>
      </c>
      <c r="F302" s="6">
        <v>100</v>
      </c>
      <c r="G302" s="4">
        <v>23.95</v>
      </c>
      <c r="H302" s="4">
        <f t="shared" si="6"/>
        <v>2395</v>
      </c>
      <c r="I302" t="s">
        <v>814</v>
      </c>
      <c r="K302">
        <v>27</v>
      </c>
    </row>
    <row r="303" spans="1:11">
      <c r="A303" s="2">
        <v>46202</v>
      </c>
      <c r="B303" t="s">
        <v>654</v>
      </c>
      <c r="C303" s="2">
        <v>46207</v>
      </c>
      <c r="D303" t="s">
        <v>817</v>
      </c>
      <c r="E303" t="e">
        <f>VLOOKUP(D303,Catalogos!$I$4:$J$64,2,FALSE)</f>
        <v>#N/A</v>
      </c>
      <c r="F303" s="6">
        <v>100</v>
      </c>
      <c r="G303" s="4">
        <v>23.95</v>
      </c>
      <c r="H303" s="4">
        <f t="shared" si="6"/>
        <v>2395</v>
      </c>
      <c r="I303" t="s">
        <v>814</v>
      </c>
      <c r="K303">
        <v>27</v>
      </c>
    </row>
    <row r="304" spans="1:11">
      <c r="A304" s="2">
        <v>46202</v>
      </c>
      <c r="B304" t="s">
        <v>654</v>
      </c>
      <c r="C304" s="2">
        <v>46207</v>
      </c>
      <c r="D304" t="s">
        <v>821</v>
      </c>
      <c r="E304" t="e">
        <f>VLOOKUP(D304,Catalogos!$I$4:$J$64,2,FALSE)</f>
        <v>#N/A</v>
      </c>
      <c r="F304" s="6">
        <v>50</v>
      </c>
      <c r="G304" s="4">
        <v>23.95</v>
      </c>
      <c r="H304" s="4">
        <f t="shared" si="6"/>
        <v>1197.5</v>
      </c>
      <c r="I304" t="s">
        <v>814</v>
      </c>
      <c r="K304">
        <v>27</v>
      </c>
    </row>
    <row r="305" spans="1:11">
      <c r="A305" s="2">
        <v>46202</v>
      </c>
      <c r="B305" t="s">
        <v>654</v>
      </c>
      <c r="C305" s="2">
        <v>46207</v>
      </c>
      <c r="D305" t="s">
        <v>819</v>
      </c>
      <c r="E305" t="e">
        <f>VLOOKUP(D305,Catalogos!$I$4:$J$64,2,FALSE)</f>
        <v>#N/A</v>
      </c>
      <c r="F305" s="6">
        <v>100</v>
      </c>
      <c r="G305" s="4">
        <v>23.95</v>
      </c>
      <c r="H305" s="4">
        <f t="shared" si="6"/>
        <v>2395</v>
      </c>
      <c r="I305" t="s">
        <v>814</v>
      </c>
      <c r="K305">
        <v>27</v>
      </c>
    </row>
    <row r="306" spans="1:11">
      <c r="A306" s="2">
        <v>46202</v>
      </c>
      <c r="B306" t="s">
        <v>654</v>
      </c>
      <c r="C306" s="2">
        <v>46207</v>
      </c>
      <c r="D306" t="s">
        <v>820</v>
      </c>
      <c r="E306" t="e">
        <f>VLOOKUP(D306,Catalogos!$I$4:$J$64,2,FALSE)</f>
        <v>#N/A</v>
      </c>
      <c r="F306" s="6">
        <v>100</v>
      </c>
      <c r="G306" s="4">
        <v>23.95</v>
      </c>
      <c r="H306" s="4">
        <f t="shared" si="6"/>
        <v>2395</v>
      </c>
      <c r="I306" t="s">
        <v>814</v>
      </c>
      <c r="K306">
        <v>27</v>
      </c>
    </row>
    <row r="307" spans="1:11">
      <c r="A307" s="2">
        <v>46202</v>
      </c>
      <c r="B307" t="s">
        <v>654</v>
      </c>
      <c r="C307" s="2">
        <v>46208</v>
      </c>
      <c r="D307" t="s">
        <v>817</v>
      </c>
      <c r="E307" t="e">
        <f>VLOOKUP(D307,Catalogos!$I$4:$J$64,2,FALSE)</f>
        <v>#N/A</v>
      </c>
      <c r="F307" s="6">
        <v>100</v>
      </c>
      <c r="G307">
        <v>23.95</v>
      </c>
      <c r="H307">
        <f t="shared" si="6"/>
        <v>2395</v>
      </c>
      <c r="I307" t="s">
        <v>814</v>
      </c>
      <c r="J307" t="s">
        <v>815</v>
      </c>
      <c r="K307">
        <v>27</v>
      </c>
    </row>
    <row r="308" spans="1:11">
      <c r="A308" s="2">
        <v>46202</v>
      </c>
      <c r="B308" t="s">
        <v>654</v>
      </c>
      <c r="C308" s="2">
        <v>46208</v>
      </c>
      <c r="D308" t="s">
        <v>819</v>
      </c>
      <c r="E308" t="e">
        <f>VLOOKUP(D308,Catalogos!$I$4:$J$64,2,FALSE)</f>
        <v>#N/A</v>
      </c>
      <c r="F308" s="6">
        <v>100</v>
      </c>
      <c r="G308">
        <v>23.95</v>
      </c>
      <c r="H308">
        <f t="shared" si="6"/>
        <v>2395</v>
      </c>
      <c r="I308" t="s">
        <v>814</v>
      </c>
      <c r="K308">
        <v>27</v>
      </c>
    </row>
    <row r="309" spans="1:11">
      <c r="A309" s="2">
        <v>46202</v>
      </c>
      <c r="B309" t="s">
        <v>1</v>
      </c>
      <c r="C309" s="2">
        <v>46202</v>
      </c>
      <c r="D309" t="s">
        <v>215</v>
      </c>
      <c r="E309" t="str">
        <f>VLOOKUP(D309,Catalogos!$I$4:$J$64,2,FALSE)</f>
        <v>PR-02</v>
      </c>
      <c r="F309" s="6">
        <v>250</v>
      </c>
      <c r="G309">
        <v>23.95</v>
      </c>
      <c r="H309">
        <f t="shared" si="6"/>
        <v>5987.5</v>
      </c>
      <c r="I309" t="s">
        <v>822</v>
      </c>
      <c r="K309">
        <v>27</v>
      </c>
    </row>
    <row r="310" spans="1:11">
      <c r="A310" s="2">
        <v>46202</v>
      </c>
      <c r="B310" t="s">
        <v>1</v>
      </c>
      <c r="C310" s="2">
        <v>46203</v>
      </c>
      <c r="D310" t="s">
        <v>215</v>
      </c>
      <c r="E310" t="str">
        <f>VLOOKUP(D310,Catalogos!$I$4:$J$64,2,FALSE)</f>
        <v>PR-02</v>
      </c>
      <c r="F310" s="6">
        <v>200</v>
      </c>
      <c r="G310">
        <v>23.95</v>
      </c>
      <c r="H310">
        <f t="shared" si="6"/>
        <v>4790</v>
      </c>
      <c r="I310" t="s">
        <v>822</v>
      </c>
      <c r="K310">
        <v>27</v>
      </c>
    </row>
    <row r="311" spans="1:11">
      <c r="A311" s="2">
        <v>46202</v>
      </c>
      <c r="B311" t="s">
        <v>1</v>
      </c>
      <c r="C311" s="2">
        <v>46204</v>
      </c>
      <c r="D311" t="s">
        <v>215</v>
      </c>
      <c r="E311" t="str">
        <f>VLOOKUP(D311,Catalogos!$I$4:$J$64,2,FALSE)</f>
        <v>PR-02</v>
      </c>
      <c r="F311" s="6">
        <v>250</v>
      </c>
      <c r="G311">
        <v>23.95</v>
      </c>
      <c r="H311">
        <f t="shared" si="6"/>
        <v>5987.5</v>
      </c>
      <c r="I311" t="s">
        <v>822</v>
      </c>
      <c r="K311">
        <v>27</v>
      </c>
    </row>
    <row r="312" spans="1:11">
      <c r="A312" s="2">
        <v>46202</v>
      </c>
      <c r="B312" t="s">
        <v>1</v>
      </c>
      <c r="C312" s="2">
        <v>46205</v>
      </c>
      <c r="D312" t="s">
        <v>215</v>
      </c>
      <c r="E312" t="str">
        <f>VLOOKUP(D312,Catalogos!$I$4:$J$64,2,FALSE)</f>
        <v>PR-02</v>
      </c>
      <c r="F312" s="6">
        <v>200</v>
      </c>
      <c r="G312">
        <v>23.95</v>
      </c>
      <c r="H312">
        <f t="shared" si="6"/>
        <v>4790</v>
      </c>
      <c r="I312" t="s">
        <v>822</v>
      </c>
      <c r="K312">
        <v>27</v>
      </c>
    </row>
    <row r="313" spans="1:11">
      <c r="A313" s="2">
        <v>46202</v>
      </c>
      <c r="B313" t="s">
        <v>1</v>
      </c>
      <c r="C313" s="2">
        <v>46206</v>
      </c>
      <c r="D313" t="s">
        <v>215</v>
      </c>
      <c r="E313" t="str">
        <f>VLOOKUP(D313,Catalogos!$I$4:$J$64,2,FALSE)</f>
        <v>PR-02</v>
      </c>
      <c r="F313" s="6">
        <v>250</v>
      </c>
      <c r="G313">
        <v>23.95</v>
      </c>
      <c r="H313">
        <f t="shared" si="6"/>
        <v>5987.5</v>
      </c>
      <c r="I313" t="s">
        <v>822</v>
      </c>
      <c r="K313">
        <v>27</v>
      </c>
    </row>
    <row r="314" spans="1:11">
      <c r="A314" s="2">
        <v>46202</v>
      </c>
      <c r="B314" t="s">
        <v>1</v>
      </c>
      <c r="C314" s="2">
        <v>46207</v>
      </c>
      <c r="D314" t="s">
        <v>215</v>
      </c>
      <c r="E314" t="str">
        <f>VLOOKUP(D314,Catalogos!$I$4:$J$64,2,FALSE)</f>
        <v>PR-02</v>
      </c>
      <c r="F314" s="6">
        <v>150</v>
      </c>
      <c r="G314">
        <v>23.95</v>
      </c>
      <c r="H314">
        <f t="shared" si="6"/>
        <v>3592.5</v>
      </c>
      <c r="I314" t="s">
        <v>822</v>
      </c>
      <c r="K314">
        <v>27</v>
      </c>
    </row>
    <row r="315" spans="1:11">
      <c r="A315" s="2">
        <v>46202</v>
      </c>
      <c r="B315" t="s">
        <v>1</v>
      </c>
      <c r="C315" s="2">
        <v>46202</v>
      </c>
      <c r="D315" t="s">
        <v>211</v>
      </c>
      <c r="E315" t="str">
        <f>VLOOKUP(D315,Catalogos!$I$4:$J$64,2,FALSE)</f>
        <v>VG-01</v>
      </c>
      <c r="F315" s="6">
        <v>120</v>
      </c>
      <c r="G315">
        <v>23.95</v>
      </c>
      <c r="H315">
        <f t="shared" si="6"/>
        <v>2874</v>
      </c>
      <c r="I315" t="s">
        <v>822</v>
      </c>
      <c r="J315" t="s">
        <v>823</v>
      </c>
      <c r="K315">
        <v>27</v>
      </c>
    </row>
    <row r="316" spans="1:11">
      <c r="A316" s="2">
        <v>46202</v>
      </c>
      <c r="B316" t="s">
        <v>1</v>
      </c>
      <c r="C316" s="2">
        <v>46203</v>
      </c>
      <c r="D316" t="s">
        <v>211</v>
      </c>
      <c r="E316" t="str">
        <f>VLOOKUP(D316,Catalogos!$I$4:$J$64,2,FALSE)</f>
        <v>VG-01</v>
      </c>
      <c r="F316" s="6">
        <v>120</v>
      </c>
      <c r="G316">
        <v>23.95</v>
      </c>
      <c r="H316">
        <f t="shared" ref="H316:H347" si="7">F316*G316</f>
        <v>2874</v>
      </c>
      <c r="I316" t="s">
        <v>822</v>
      </c>
      <c r="J316" t="s">
        <v>823</v>
      </c>
      <c r="K316">
        <v>27</v>
      </c>
    </row>
    <row r="317" spans="1:11">
      <c r="A317" s="2">
        <v>46202</v>
      </c>
      <c r="B317" t="s">
        <v>1</v>
      </c>
      <c r="C317" s="2">
        <v>46204</v>
      </c>
      <c r="D317" t="s">
        <v>211</v>
      </c>
      <c r="E317" t="str">
        <f>VLOOKUP(D317,Catalogos!$I$4:$J$64,2,FALSE)</f>
        <v>VG-01</v>
      </c>
      <c r="F317" s="6">
        <v>120</v>
      </c>
      <c r="G317">
        <v>23.95</v>
      </c>
      <c r="H317">
        <f t="shared" si="7"/>
        <v>2874</v>
      </c>
      <c r="I317" t="s">
        <v>822</v>
      </c>
      <c r="J317" t="s">
        <v>823</v>
      </c>
      <c r="K317">
        <v>27</v>
      </c>
    </row>
    <row r="318" spans="1:11">
      <c r="A318" s="2">
        <v>46202</v>
      </c>
      <c r="B318" t="s">
        <v>1</v>
      </c>
      <c r="C318" s="2">
        <v>46205</v>
      </c>
      <c r="D318" t="s">
        <v>211</v>
      </c>
      <c r="E318" t="str">
        <f>VLOOKUP(D318,Catalogos!$I$4:$J$64,2,FALSE)</f>
        <v>VG-01</v>
      </c>
      <c r="F318" s="6">
        <v>120</v>
      </c>
      <c r="G318">
        <v>23.95</v>
      </c>
      <c r="H318">
        <f t="shared" si="7"/>
        <v>2874</v>
      </c>
      <c r="I318" t="s">
        <v>822</v>
      </c>
      <c r="J318" t="s">
        <v>823</v>
      </c>
      <c r="K318">
        <v>27</v>
      </c>
    </row>
    <row r="319" spans="1:11">
      <c r="A319" s="2">
        <v>46202</v>
      </c>
      <c r="B319" t="s">
        <v>1</v>
      </c>
      <c r="C319" s="2">
        <v>46206</v>
      </c>
      <c r="D319" t="s">
        <v>211</v>
      </c>
      <c r="E319" t="str">
        <f>VLOOKUP(D319,Catalogos!$I$4:$J$64,2,FALSE)</f>
        <v>VG-01</v>
      </c>
      <c r="F319" s="6">
        <v>100</v>
      </c>
      <c r="G319">
        <v>23.95</v>
      </c>
      <c r="H319">
        <f t="shared" si="7"/>
        <v>2395</v>
      </c>
      <c r="I319" t="s">
        <v>822</v>
      </c>
      <c r="J319" t="s">
        <v>823</v>
      </c>
      <c r="K319">
        <v>27</v>
      </c>
    </row>
    <row r="320" spans="1:11">
      <c r="A320" s="2">
        <v>46202</v>
      </c>
      <c r="B320" t="s">
        <v>1</v>
      </c>
      <c r="C320" s="2">
        <v>46207</v>
      </c>
      <c r="D320" t="s">
        <v>211</v>
      </c>
      <c r="E320" t="str">
        <f>VLOOKUP(D320,Catalogos!$I$4:$J$64,2,FALSE)</f>
        <v>VG-01</v>
      </c>
      <c r="F320" s="6">
        <v>80</v>
      </c>
      <c r="G320">
        <v>23.95</v>
      </c>
      <c r="H320">
        <f t="shared" si="7"/>
        <v>1916</v>
      </c>
      <c r="I320" t="s">
        <v>822</v>
      </c>
      <c r="J320" t="s">
        <v>823</v>
      </c>
      <c r="K320">
        <v>27</v>
      </c>
    </row>
    <row r="321" spans="1:11">
      <c r="A321" s="2">
        <v>46202</v>
      </c>
      <c r="B321" t="s">
        <v>1</v>
      </c>
      <c r="C321" s="2">
        <v>46202</v>
      </c>
      <c r="D321" t="s">
        <v>219</v>
      </c>
      <c r="E321" t="str">
        <f>VLOOKUP(D321,Catalogos!$I$4:$J$64,2,FALSE)</f>
        <v>DR-01</v>
      </c>
      <c r="F321" s="6">
        <v>50</v>
      </c>
      <c r="G321">
        <v>23.95</v>
      </c>
      <c r="H321">
        <f t="shared" si="7"/>
        <v>1197.5</v>
      </c>
      <c r="I321" t="s">
        <v>822</v>
      </c>
      <c r="K321">
        <v>27</v>
      </c>
    </row>
    <row r="322" spans="1:11">
      <c r="A322" s="2">
        <v>46202</v>
      </c>
      <c r="B322" t="s">
        <v>1</v>
      </c>
      <c r="C322" s="2">
        <v>46203</v>
      </c>
      <c r="D322" t="s">
        <v>219</v>
      </c>
      <c r="E322" t="str">
        <f>VLOOKUP(D322,Catalogos!$I$4:$J$64,2,FALSE)</f>
        <v>DR-01</v>
      </c>
      <c r="F322" s="6">
        <v>40</v>
      </c>
      <c r="G322">
        <v>23.95</v>
      </c>
      <c r="H322">
        <f t="shared" si="7"/>
        <v>958</v>
      </c>
      <c r="I322" t="s">
        <v>822</v>
      </c>
      <c r="K322">
        <v>27</v>
      </c>
    </row>
    <row r="323" spans="1:11">
      <c r="A323" s="2">
        <v>46202</v>
      </c>
      <c r="B323" t="s">
        <v>1</v>
      </c>
      <c r="C323" s="2">
        <v>46204</v>
      </c>
      <c r="D323" t="s">
        <v>219</v>
      </c>
      <c r="E323" t="str">
        <f>VLOOKUP(D323,Catalogos!$I$4:$J$64,2,FALSE)</f>
        <v>DR-01</v>
      </c>
      <c r="F323" s="6">
        <v>40</v>
      </c>
      <c r="G323">
        <v>23.95</v>
      </c>
      <c r="H323">
        <f t="shared" si="7"/>
        <v>958</v>
      </c>
      <c r="I323" t="s">
        <v>822</v>
      </c>
      <c r="K323">
        <v>27</v>
      </c>
    </row>
    <row r="324" spans="1:11">
      <c r="A324" s="2">
        <v>46202</v>
      </c>
      <c r="B324" t="s">
        <v>1</v>
      </c>
      <c r="C324" s="2">
        <v>46205</v>
      </c>
      <c r="D324" t="s">
        <v>219</v>
      </c>
      <c r="E324" t="str">
        <f>VLOOKUP(D324,Catalogos!$I$4:$J$64,2,FALSE)</f>
        <v>DR-01</v>
      </c>
      <c r="F324" s="6">
        <v>40</v>
      </c>
      <c r="G324">
        <v>23.95</v>
      </c>
      <c r="H324">
        <f t="shared" si="7"/>
        <v>958</v>
      </c>
      <c r="I324" t="s">
        <v>822</v>
      </c>
      <c r="K324">
        <v>27</v>
      </c>
    </row>
    <row r="325" spans="1:11">
      <c r="A325" s="2">
        <v>46202</v>
      </c>
      <c r="B325" t="s">
        <v>1</v>
      </c>
      <c r="C325" s="2">
        <v>46206</v>
      </c>
      <c r="D325" t="s">
        <v>219</v>
      </c>
      <c r="E325" t="str">
        <f>VLOOKUP(D325,Catalogos!$I$4:$J$64,2,FALSE)</f>
        <v>DR-01</v>
      </c>
      <c r="F325" s="6">
        <v>30</v>
      </c>
      <c r="G325">
        <v>23.95</v>
      </c>
      <c r="H325">
        <f t="shared" si="7"/>
        <v>718.5</v>
      </c>
      <c r="I325" t="s">
        <v>822</v>
      </c>
      <c r="K325">
        <v>27</v>
      </c>
    </row>
    <row r="326" spans="1:11">
      <c r="A326" s="2">
        <v>46202</v>
      </c>
      <c r="B326" t="s">
        <v>1</v>
      </c>
      <c r="C326" s="2">
        <v>46207</v>
      </c>
      <c r="D326" t="s">
        <v>219</v>
      </c>
      <c r="E326" t="str">
        <f>VLOOKUP(D326,Catalogos!$I$4:$J$64,2,FALSE)</f>
        <v>DR-01</v>
      </c>
      <c r="F326" s="6">
        <v>30</v>
      </c>
      <c r="G326">
        <v>23.95</v>
      </c>
      <c r="H326">
        <f t="shared" si="7"/>
        <v>718.5</v>
      </c>
      <c r="I326" t="s">
        <v>822</v>
      </c>
      <c r="K326">
        <v>27</v>
      </c>
    </row>
    <row r="327" spans="1:11">
      <c r="A327" s="2">
        <v>46202</v>
      </c>
      <c r="B327" t="s">
        <v>1</v>
      </c>
      <c r="C327" s="2">
        <v>46202</v>
      </c>
      <c r="D327" t="s">
        <v>219</v>
      </c>
      <c r="E327" t="str">
        <f>VLOOKUP(D327,Catalogos!$I$4:$J$64,2,FALSE)</f>
        <v>DR-01</v>
      </c>
      <c r="F327" s="6">
        <v>50</v>
      </c>
      <c r="G327">
        <v>23.95</v>
      </c>
      <c r="H327">
        <f t="shared" si="7"/>
        <v>1197.5</v>
      </c>
      <c r="I327" t="s">
        <v>822</v>
      </c>
      <c r="K327">
        <v>27</v>
      </c>
    </row>
    <row r="328" spans="1:11">
      <c r="A328" s="2">
        <v>46202</v>
      </c>
      <c r="B328" t="s">
        <v>1</v>
      </c>
      <c r="C328" s="2">
        <v>46203</v>
      </c>
      <c r="D328" t="s">
        <v>219</v>
      </c>
      <c r="E328" t="str">
        <f>VLOOKUP(D328,Catalogos!$I$4:$J$64,2,FALSE)</f>
        <v>DR-01</v>
      </c>
      <c r="F328" s="6">
        <v>40</v>
      </c>
      <c r="G328">
        <v>23.95</v>
      </c>
      <c r="H328">
        <f t="shared" si="7"/>
        <v>958</v>
      </c>
      <c r="I328" t="s">
        <v>822</v>
      </c>
      <c r="K328">
        <v>27</v>
      </c>
    </row>
    <row r="329" spans="1:11">
      <c r="A329" s="2">
        <v>46202</v>
      </c>
      <c r="B329" t="s">
        <v>1</v>
      </c>
      <c r="C329" s="2">
        <v>46204</v>
      </c>
      <c r="D329" t="s">
        <v>219</v>
      </c>
      <c r="E329" t="str">
        <f>VLOOKUP(D329,Catalogos!$I$4:$J$64,2,FALSE)</f>
        <v>DR-01</v>
      </c>
      <c r="F329" s="6">
        <v>40</v>
      </c>
      <c r="G329">
        <v>23.95</v>
      </c>
      <c r="H329">
        <f t="shared" si="7"/>
        <v>958</v>
      </c>
      <c r="I329" t="s">
        <v>822</v>
      </c>
      <c r="K329">
        <v>27</v>
      </c>
    </row>
    <row r="330" spans="1:11">
      <c r="A330" s="2">
        <v>46202</v>
      </c>
      <c r="B330" t="s">
        <v>1</v>
      </c>
      <c r="C330" s="2">
        <v>46205</v>
      </c>
      <c r="D330" t="s">
        <v>219</v>
      </c>
      <c r="E330" t="str">
        <f>VLOOKUP(D330,Catalogos!$I$4:$J$64,2,FALSE)</f>
        <v>DR-01</v>
      </c>
      <c r="F330" s="6">
        <v>40</v>
      </c>
      <c r="G330">
        <v>23.95</v>
      </c>
      <c r="H330">
        <f t="shared" si="7"/>
        <v>958</v>
      </c>
      <c r="I330" t="s">
        <v>822</v>
      </c>
      <c r="K330">
        <v>27</v>
      </c>
    </row>
    <row r="331" spans="1:11">
      <c r="A331" s="2">
        <v>46202</v>
      </c>
      <c r="B331" t="s">
        <v>1</v>
      </c>
      <c r="C331" s="2">
        <v>46206</v>
      </c>
      <c r="D331" t="s">
        <v>219</v>
      </c>
      <c r="E331" t="str">
        <f>VLOOKUP(D331,Catalogos!$I$4:$J$64,2,FALSE)</f>
        <v>DR-01</v>
      </c>
      <c r="F331" s="6">
        <v>30</v>
      </c>
      <c r="G331">
        <v>23.95</v>
      </c>
      <c r="H331">
        <f t="shared" si="7"/>
        <v>718.5</v>
      </c>
      <c r="I331" t="s">
        <v>822</v>
      </c>
      <c r="K331">
        <v>27</v>
      </c>
    </row>
    <row r="332" spans="1:11">
      <c r="A332" s="2">
        <v>46202</v>
      </c>
      <c r="B332" t="s">
        <v>1</v>
      </c>
      <c r="C332" s="2">
        <v>46207</v>
      </c>
      <c r="D332" t="s">
        <v>219</v>
      </c>
      <c r="E332" t="str">
        <f>VLOOKUP(D332,Catalogos!$I$4:$J$64,2,FALSE)</f>
        <v>DR-01</v>
      </c>
      <c r="F332" s="6">
        <v>30</v>
      </c>
      <c r="G332">
        <v>23.95</v>
      </c>
      <c r="H332">
        <f t="shared" si="7"/>
        <v>718.5</v>
      </c>
      <c r="I332" t="s">
        <v>822</v>
      </c>
      <c r="K332">
        <v>27</v>
      </c>
    </row>
    <row r="333" spans="1:11">
      <c r="A333" s="2">
        <v>46202</v>
      </c>
      <c r="B333" t="s">
        <v>1</v>
      </c>
      <c r="C333" s="2">
        <v>46202</v>
      </c>
      <c r="D333" t="s">
        <v>223</v>
      </c>
      <c r="E333" t="str">
        <f>VLOOKUP(D333,Catalogos!$I$4:$J$64,2,FALSE)</f>
        <v>NM-01</v>
      </c>
      <c r="F333" s="6">
        <v>50</v>
      </c>
      <c r="G333">
        <v>23.95</v>
      </c>
      <c r="H333">
        <f t="shared" si="7"/>
        <v>1197.5</v>
      </c>
      <c r="I333" t="s">
        <v>822</v>
      </c>
      <c r="K333">
        <v>27</v>
      </c>
    </row>
    <row r="334" spans="1:11">
      <c r="A334" s="2">
        <v>46202</v>
      </c>
      <c r="B334" t="s">
        <v>1</v>
      </c>
      <c r="C334" s="2">
        <v>46203</v>
      </c>
      <c r="D334" t="s">
        <v>223</v>
      </c>
      <c r="E334" t="str">
        <f>VLOOKUP(D334,Catalogos!$I$4:$J$64,2,FALSE)</f>
        <v>NM-01</v>
      </c>
      <c r="F334" s="6">
        <v>40</v>
      </c>
      <c r="G334">
        <v>23.95</v>
      </c>
      <c r="H334">
        <f t="shared" si="7"/>
        <v>958</v>
      </c>
      <c r="I334" t="s">
        <v>822</v>
      </c>
      <c r="K334">
        <v>27</v>
      </c>
    </row>
    <row r="335" spans="1:11">
      <c r="A335" s="2">
        <v>46202</v>
      </c>
      <c r="B335" t="s">
        <v>1</v>
      </c>
      <c r="C335" s="2">
        <v>46204</v>
      </c>
      <c r="D335" t="s">
        <v>223</v>
      </c>
      <c r="E335" t="str">
        <f>VLOOKUP(D335,Catalogos!$I$4:$J$64,2,FALSE)</f>
        <v>NM-01</v>
      </c>
      <c r="F335" s="6">
        <v>40</v>
      </c>
      <c r="G335">
        <v>23.95</v>
      </c>
      <c r="H335">
        <f t="shared" si="7"/>
        <v>958</v>
      </c>
      <c r="I335" t="s">
        <v>822</v>
      </c>
      <c r="K335">
        <v>27</v>
      </c>
    </row>
    <row r="336" spans="1:11">
      <c r="A336" s="2">
        <v>46202</v>
      </c>
      <c r="B336" t="s">
        <v>1</v>
      </c>
      <c r="C336" s="2">
        <v>46205</v>
      </c>
      <c r="D336" t="s">
        <v>223</v>
      </c>
      <c r="E336" t="str">
        <f>VLOOKUP(D336,Catalogos!$I$4:$J$64,2,FALSE)</f>
        <v>NM-01</v>
      </c>
      <c r="F336" s="6">
        <v>30</v>
      </c>
      <c r="G336">
        <v>23.95</v>
      </c>
      <c r="H336">
        <f t="shared" si="7"/>
        <v>718.5</v>
      </c>
      <c r="I336" t="s">
        <v>822</v>
      </c>
      <c r="K336">
        <v>27</v>
      </c>
    </row>
    <row r="337" spans="1:11">
      <c r="A337" s="2">
        <v>46202</v>
      </c>
      <c r="B337" t="s">
        <v>1</v>
      </c>
      <c r="C337" s="2">
        <v>46206</v>
      </c>
      <c r="D337" t="s">
        <v>223</v>
      </c>
      <c r="E337" t="str">
        <f>VLOOKUP(D337,Catalogos!$I$4:$J$64,2,FALSE)</f>
        <v>NM-01</v>
      </c>
      <c r="F337" s="6">
        <v>30</v>
      </c>
      <c r="G337">
        <v>23.95</v>
      </c>
      <c r="H337">
        <f t="shared" si="7"/>
        <v>718.5</v>
      </c>
      <c r="I337" t="s">
        <v>822</v>
      </c>
      <c r="K337">
        <v>27</v>
      </c>
    </row>
    <row r="338" spans="1:11">
      <c r="A338" s="2">
        <v>46202</v>
      </c>
      <c r="B338" t="s">
        <v>1</v>
      </c>
      <c r="C338" s="2">
        <v>46207</v>
      </c>
      <c r="D338" t="s">
        <v>223</v>
      </c>
      <c r="E338" t="str">
        <f>VLOOKUP(D338,Catalogos!$I$4:$J$64,2,FALSE)</f>
        <v>NM-01</v>
      </c>
      <c r="F338" s="6">
        <v>30</v>
      </c>
      <c r="G338">
        <v>23.95</v>
      </c>
      <c r="H338">
        <f t="shared" si="7"/>
        <v>718.5</v>
      </c>
      <c r="I338" t="s">
        <v>822</v>
      </c>
      <c r="K338">
        <v>27</v>
      </c>
    </row>
    <row r="339" spans="1:11">
      <c r="A339" s="2">
        <v>46202</v>
      </c>
      <c r="B339" t="s">
        <v>1</v>
      </c>
      <c r="C339" s="2">
        <v>46202</v>
      </c>
      <c r="D339" t="s">
        <v>224</v>
      </c>
      <c r="E339" t="str">
        <f>VLOOKUP(D339,Catalogos!$I$4:$J$64,2,FALSE)</f>
        <v>NM-02</v>
      </c>
      <c r="F339" s="6">
        <v>50</v>
      </c>
      <c r="G339">
        <v>23.95</v>
      </c>
      <c r="H339">
        <f t="shared" si="7"/>
        <v>1197.5</v>
      </c>
      <c r="I339" t="s">
        <v>822</v>
      </c>
      <c r="K339">
        <v>27</v>
      </c>
    </row>
    <row r="340" spans="1:11">
      <c r="A340" s="2">
        <v>46202</v>
      </c>
      <c r="B340" t="s">
        <v>1</v>
      </c>
      <c r="C340" s="2">
        <v>46203</v>
      </c>
      <c r="D340" t="s">
        <v>224</v>
      </c>
      <c r="E340" t="str">
        <f>VLOOKUP(D340,Catalogos!$I$4:$J$64,2,FALSE)</f>
        <v>NM-02</v>
      </c>
      <c r="F340" s="6">
        <v>40</v>
      </c>
      <c r="G340">
        <v>23.95</v>
      </c>
      <c r="H340">
        <f t="shared" si="7"/>
        <v>958</v>
      </c>
      <c r="I340" t="s">
        <v>822</v>
      </c>
      <c r="K340">
        <v>27</v>
      </c>
    </row>
    <row r="341" spans="1:11">
      <c r="A341" s="2">
        <v>46202</v>
      </c>
      <c r="B341" t="s">
        <v>1</v>
      </c>
      <c r="C341" s="2">
        <v>46204</v>
      </c>
      <c r="D341" t="s">
        <v>224</v>
      </c>
      <c r="E341" t="str">
        <f>VLOOKUP(D341,Catalogos!$I$4:$J$64,2,FALSE)</f>
        <v>NM-02</v>
      </c>
      <c r="F341" s="6">
        <v>40</v>
      </c>
      <c r="G341">
        <v>23.95</v>
      </c>
      <c r="H341">
        <f t="shared" si="7"/>
        <v>958</v>
      </c>
      <c r="I341" t="s">
        <v>822</v>
      </c>
      <c r="K341">
        <v>27</v>
      </c>
    </row>
    <row r="342" spans="1:11">
      <c r="A342" s="2">
        <v>46202</v>
      </c>
      <c r="B342" t="s">
        <v>1</v>
      </c>
      <c r="C342" s="2">
        <v>46205</v>
      </c>
      <c r="D342" t="s">
        <v>224</v>
      </c>
      <c r="E342" t="str">
        <f>VLOOKUP(D342,Catalogos!$I$4:$J$64,2,FALSE)</f>
        <v>NM-02</v>
      </c>
      <c r="F342" s="6">
        <v>30</v>
      </c>
      <c r="G342">
        <v>23.95</v>
      </c>
      <c r="H342">
        <f t="shared" si="7"/>
        <v>718.5</v>
      </c>
      <c r="I342" t="s">
        <v>822</v>
      </c>
      <c r="K342">
        <v>27</v>
      </c>
    </row>
    <row r="343" spans="1:11">
      <c r="A343" s="2">
        <v>46202</v>
      </c>
      <c r="B343" t="s">
        <v>1</v>
      </c>
      <c r="C343" s="2">
        <v>46206</v>
      </c>
      <c r="D343" t="s">
        <v>224</v>
      </c>
      <c r="E343" t="str">
        <f>VLOOKUP(D343,Catalogos!$I$4:$J$64,2,FALSE)</f>
        <v>NM-02</v>
      </c>
      <c r="F343" s="6">
        <v>30</v>
      </c>
      <c r="G343">
        <v>23.95</v>
      </c>
      <c r="H343">
        <f t="shared" si="7"/>
        <v>718.5</v>
      </c>
      <c r="I343" t="s">
        <v>822</v>
      </c>
      <c r="K343">
        <v>27</v>
      </c>
    </row>
    <row r="344" spans="1:11">
      <c r="A344" s="2">
        <v>46202</v>
      </c>
      <c r="B344" t="s">
        <v>1</v>
      </c>
      <c r="C344" s="2">
        <v>46207</v>
      </c>
      <c r="D344" t="s">
        <v>224</v>
      </c>
      <c r="E344" t="str">
        <f>VLOOKUP(D344,Catalogos!$I$4:$J$64,2,FALSE)</f>
        <v>NM-02</v>
      </c>
      <c r="F344" s="6">
        <v>30</v>
      </c>
      <c r="G344">
        <v>23.95</v>
      </c>
      <c r="H344">
        <f t="shared" si="7"/>
        <v>718.5</v>
      </c>
      <c r="I344" t="s">
        <v>822</v>
      </c>
      <c r="K344">
        <v>27</v>
      </c>
    </row>
    <row r="345" spans="1:11">
      <c r="A345" s="2">
        <v>46202</v>
      </c>
      <c r="B345" t="s">
        <v>1</v>
      </c>
      <c r="C345" s="2">
        <v>46202</v>
      </c>
      <c r="D345" t="s">
        <v>216</v>
      </c>
      <c r="E345" t="str">
        <f>VLOOKUP(D345,Catalogos!$I$4:$J$64,2,FALSE)</f>
        <v>BR-01</v>
      </c>
      <c r="F345" s="6">
        <v>30</v>
      </c>
      <c r="G345">
        <v>23.95</v>
      </c>
      <c r="H345">
        <f t="shared" si="7"/>
        <v>718.5</v>
      </c>
      <c r="I345" t="s">
        <v>822</v>
      </c>
      <c r="K345">
        <v>27</v>
      </c>
    </row>
    <row r="346" spans="1:11">
      <c r="A346" s="2">
        <v>46202</v>
      </c>
      <c r="B346" t="s">
        <v>1</v>
      </c>
      <c r="C346" s="2">
        <v>46203</v>
      </c>
      <c r="D346" t="s">
        <v>216</v>
      </c>
      <c r="E346" t="str">
        <f>VLOOKUP(D346,Catalogos!$I$4:$J$64,2,FALSE)</f>
        <v>BR-01</v>
      </c>
      <c r="F346" s="6">
        <v>30</v>
      </c>
      <c r="G346">
        <v>23.95</v>
      </c>
      <c r="H346">
        <f t="shared" si="7"/>
        <v>718.5</v>
      </c>
      <c r="I346" t="s">
        <v>822</v>
      </c>
      <c r="K346">
        <v>27</v>
      </c>
    </row>
    <row r="347" spans="1:11">
      <c r="A347" s="2">
        <v>46202</v>
      </c>
      <c r="B347" t="s">
        <v>1</v>
      </c>
      <c r="C347" s="2">
        <v>46204</v>
      </c>
      <c r="D347" t="s">
        <v>216</v>
      </c>
      <c r="E347" t="str">
        <f>VLOOKUP(D347,Catalogos!$I$4:$J$64,2,FALSE)</f>
        <v>BR-01</v>
      </c>
      <c r="F347" s="6">
        <v>30</v>
      </c>
      <c r="G347">
        <v>23.95</v>
      </c>
      <c r="H347">
        <f t="shared" si="7"/>
        <v>718.5</v>
      </c>
      <c r="I347" t="s">
        <v>822</v>
      </c>
      <c r="K347">
        <v>27</v>
      </c>
    </row>
    <row r="348" spans="1:11">
      <c r="A348" s="2">
        <v>46202</v>
      </c>
      <c r="B348" t="s">
        <v>1</v>
      </c>
      <c r="C348" s="2">
        <v>46205</v>
      </c>
      <c r="D348" t="s">
        <v>216</v>
      </c>
      <c r="E348" t="str">
        <f>VLOOKUP(D348,Catalogos!$I$4:$J$64,2,FALSE)</f>
        <v>BR-01</v>
      </c>
      <c r="F348" s="6">
        <v>20</v>
      </c>
      <c r="G348">
        <v>23.95</v>
      </c>
      <c r="H348">
        <f t="shared" ref="H348:H379" si="8">F348*G348</f>
        <v>479</v>
      </c>
      <c r="I348" t="s">
        <v>822</v>
      </c>
      <c r="K348">
        <v>27</v>
      </c>
    </row>
    <row r="349" spans="1:11">
      <c r="A349" s="2">
        <v>46202</v>
      </c>
      <c r="B349" t="s">
        <v>1</v>
      </c>
      <c r="C349" s="2">
        <v>46206</v>
      </c>
      <c r="D349" t="s">
        <v>216</v>
      </c>
      <c r="E349" t="str">
        <f>VLOOKUP(D349,Catalogos!$I$4:$J$64,2,FALSE)</f>
        <v>BR-01</v>
      </c>
      <c r="F349" s="6">
        <v>20</v>
      </c>
      <c r="G349">
        <v>23.95</v>
      </c>
      <c r="H349">
        <f t="shared" si="8"/>
        <v>479</v>
      </c>
      <c r="I349" t="s">
        <v>822</v>
      </c>
      <c r="K349">
        <v>27</v>
      </c>
    </row>
    <row r="350" spans="1:11">
      <c r="A350" s="2">
        <v>46202</v>
      </c>
      <c r="B350" t="s">
        <v>1</v>
      </c>
      <c r="C350" s="2">
        <v>46207</v>
      </c>
      <c r="D350" t="s">
        <v>216</v>
      </c>
      <c r="E350" t="str">
        <f>VLOOKUP(D350,Catalogos!$I$4:$J$64,2,FALSE)</f>
        <v>BR-01</v>
      </c>
      <c r="F350" s="6">
        <v>20</v>
      </c>
      <c r="G350">
        <v>23.95</v>
      </c>
      <c r="H350">
        <f t="shared" si="8"/>
        <v>479</v>
      </c>
      <c r="I350" t="s">
        <v>822</v>
      </c>
      <c r="K350">
        <v>27</v>
      </c>
    </row>
    <row r="351" spans="1:11">
      <c r="A351" s="2">
        <v>46202</v>
      </c>
      <c r="B351" t="s">
        <v>1</v>
      </c>
      <c r="C351" s="2">
        <v>46202</v>
      </c>
      <c r="D351" t="s">
        <v>210</v>
      </c>
      <c r="E351" t="str">
        <f>VLOOKUP(D351,Catalogos!$I$4:$J$64,2,FALSE)</f>
        <v>RT-02</v>
      </c>
      <c r="F351" s="6">
        <v>60</v>
      </c>
      <c r="G351">
        <v>23.95</v>
      </c>
      <c r="H351">
        <f t="shared" si="8"/>
        <v>1437</v>
      </c>
      <c r="I351" t="s">
        <v>822</v>
      </c>
      <c r="K351">
        <v>27</v>
      </c>
    </row>
    <row r="352" spans="1:11">
      <c r="A352" s="2">
        <v>46202</v>
      </c>
      <c r="B352" t="s">
        <v>1</v>
      </c>
      <c r="C352" s="2">
        <v>46203</v>
      </c>
      <c r="D352" t="s">
        <v>210</v>
      </c>
      <c r="E352" t="str">
        <f>VLOOKUP(D352,Catalogos!$I$4:$J$64,2,FALSE)</f>
        <v>RT-02</v>
      </c>
      <c r="F352" s="6">
        <v>50</v>
      </c>
      <c r="G352">
        <v>23.95</v>
      </c>
      <c r="H352">
        <f t="shared" si="8"/>
        <v>1197.5</v>
      </c>
      <c r="I352" t="s">
        <v>822</v>
      </c>
      <c r="K352">
        <v>27</v>
      </c>
    </row>
    <row r="353" spans="1:11">
      <c r="A353" s="2">
        <v>46202</v>
      </c>
      <c r="B353" t="s">
        <v>1</v>
      </c>
      <c r="C353" s="2">
        <v>46204</v>
      </c>
      <c r="D353" t="s">
        <v>210</v>
      </c>
      <c r="E353" t="str">
        <f>VLOOKUP(D353,Catalogos!$I$4:$J$64,2,FALSE)</f>
        <v>RT-02</v>
      </c>
      <c r="F353" s="6">
        <v>50</v>
      </c>
      <c r="G353">
        <v>23.95</v>
      </c>
      <c r="H353">
        <f t="shared" si="8"/>
        <v>1197.5</v>
      </c>
      <c r="I353" t="s">
        <v>822</v>
      </c>
      <c r="K353">
        <v>27</v>
      </c>
    </row>
    <row r="354" spans="1:11">
      <c r="A354" s="2">
        <v>46202</v>
      </c>
      <c r="B354" t="s">
        <v>1</v>
      </c>
      <c r="C354" s="2">
        <v>46205</v>
      </c>
      <c r="D354" t="s">
        <v>210</v>
      </c>
      <c r="E354" t="str">
        <f>VLOOKUP(D354,Catalogos!$I$4:$J$64,2,FALSE)</f>
        <v>RT-02</v>
      </c>
      <c r="F354" s="6">
        <v>50</v>
      </c>
      <c r="G354">
        <v>23.95</v>
      </c>
      <c r="H354">
        <f t="shared" si="8"/>
        <v>1197.5</v>
      </c>
      <c r="I354" t="s">
        <v>822</v>
      </c>
      <c r="K354">
        <v>27</v>
      </c>
    </row>
    <row r="355" spans="1:11">
      <c r="A355" s="2">
        <v>46202</v>
      </c>
      <c r="B355" t="s">
        <v>1</v>
      </c>
      <c r="C355" s="2">
        <v>46206</v>
      </c>
      <c r="D355" t="s">
        <v>210</v>
      </c>
      <c r="E355" t="str">
        <f>VLOOKUP(D355,Catalogos!$I$4:$J$64,2,FALSE)</f>
        <v>RT-02</v>
      </c>
      <c r="F355" s="6">
        <v>50</v>
      </c>
      <c r="G355">
        <v>23.95</v>
      </c>
      <c r="H355">
        <f t="shared" si="8"/>
        <v>1197.5</v>
      </c>
      <c r="I355" t="s">
        <v>822</v>
      </c>
      <c r="K355">
        <v>27</v>
      </c>
    </row>
    <row r="356" spans="1:11">
      <c r="A356" s="2">
        <v>46202</v>
      </c>
      <c r="B356" t="s">
        <v>1</v>
      </c>
      <c r="C356" s="2">
        <v>46207</v>
      </c>
      <c r="D356" t="s">
        <v>210</v>
      </c>
      <c r="E356" t="str">
        <f>VLOOKUP(D356,Catalogos!$I$4:$J$64,2,FALSE)</f>
        <v>RT-02</v>
      </c>
      <c r="F356" s="6">
        <v>40</v>
      </c>
      <c r="G356">
        <v>23.95</v>
      </c>
      <c r="H356">
        <f t="shared" si="8"/>
        <v>958</v>
      </c>
      <c r="I356" t="s">
        <v>822</v>
      </c>
      <c r="K356">
        <v>27</v>
      </c>
    </row>
    <row r="357" spans="1:11">
      <c r="A357" s="2">
        <v>46202</v>
      </c>
      <c r="B357" t="s">
        <v>1</v>
      </c>
      <c r="C357" s="2">
        <v>46202</v>
      </c>
      <c r="D357" t="s">
        <v>234</v>
      </c>
      <c r="E357" t="str">
        <f>VLOOKUP(D357,Catalogos!$I$4:$J$64,2,FALSE)</f>
        <v>PT-02</v>
      </c>
      <c r="F357" s="6">
        <v>50</v>
      </c>
      <c r="G357">
        <v>23.95</v>
      </c>
      <c r="H357">
        <f t="shared" si="8"/>
        <v>1197.5</v>
      </c>
      <c r="I357" t="s">
        <v>822</v>
      </c>
      <c r="K357">
        <v>27</v>
      </c>
    </row>
    <row r="358" spans="1:11">
      <c r="A358" s="2">
        <v>46202</v>
      </c>
      <c r="B358" t="s">
        <v>1</v>
      </c>
      <c r="C358" s="2">
        <v>46203</v>
      </c>
      <c r="D358" t="s">
        <v>234</v>
      </c>
      <c r="E358" t="str">
        <f>VLOOKUP(D358,Catalogos!$I$4:$J$64,2,FALSE)</f>
        <v>PT-02</v>
      </c>
      <c r="F358" s="6">
        <v>50</v>
      </c>
      <c r="G358">
        <v>23.95</v>
      </c>
      <c r="H358">
        <f t="shared" si="8"/>
        <v>1197.5</v>
      </c>
      <c r="I358" t="s">
        <v>822</v>
      </c>
      <c r="K358">
        <v>27</v>
      </c>
    </row>
    <row r="359" spans="1:11">
      <c r="A359" s="2">
        <v>46202</v>
      </c>
      <c r="B359" t="s">
        <v>1</v>
      </c>
      <c r="C359" s="2">
        <v>46204</v>
      </c>
      <c r="D359" t="s">
        <v>234</v>
      </c>
      <c r="E359" t="str">
        <f>VLOOKUP(D359,Catalogos!$I$4:$J$64,2,FALSE)</f>
        <v>PT-02</v>
      </c>
      <c r="F359" s="6">
        <v>50</v>
      </c>
      <c r="G359">
        <v>23.95</v>
      </c>
      <c r="H359">
        <f t="shared" si="8"/>
        <v>1197.5</v>
      </c>
      <c r="I359" t="s">
        <v>822</v>
      </c>
      <c r="K359">
        <v>27</v>
      </c>
    </row>
    <row r="360" spans="1:11">
      <c r="A360" s="2">
        <v>46202</v>
      </c>
      <c r="B360" t="s">
        <v>1</v>
      </c>
      <c r="C360" s="2">
        <v>46205</v>
      </c>
      <c r="D360" t="s">
        <v>234</v>
      </c>
      <c r="E360" t="str">
        <f>VLOOKUP(D360,Catalogos!$I$4:$J$64,2,FALSE)</f>
        <v>PT-02</v>
      </c>
      <c r="F360" s="6">
        <v>50</v>
      </c>
      <c r="G360">
        <v>23.95</v>
      </c>
      <c r="H360">
        <f t="shared" si="8"/>
        <v>1197.5</v>
      </c>
      <c r="I360" t="s">
        <v>822</v>
      </c>
      <c r="K360">
        <v>27</v>
      </c>
    </row>
    <row r="361" spans="1:11">
      <c r="A361" s="2">
        <v>46202</v>
      </c>
      <c r="B361" t="s">
        <v>1</v>
      </c>
      <c r="C361" s="2">
        <v>46206</v>
      </c>
      <c r="D361" t="s">
        <v>234</v>
      </c>
      <c r="E361" t="str">
        <f>VLOOKUP(D361,Catalogos!$I$4:$J$64,2,FALSE)</f>
        <v>PT-02</v>
      </c>
      <c r="F361" s="6">
        <v>50</v>
      </c>
      <c r="G361">
        <v>23.95</v>
      </c>
      <c r="H361">
        <f t="shared" si="8"/>
        <v>1197.5</v>
      </c>
      <c r="I361" t="s">
        <v>822</v>
      </c>
      <c r="K361">
        <v>27</v>
      </c>
    </row>
    <row r="362" spans="1:11">
      <c r="A362" s="2">
        <v>46202</v>
      </c>
      <c r="B362" t="s">
        <v>111</v>
      </c>
      <c r="C362" s="2">
        <v>46202</v>
      </c>
      <c r="D362" t="s">
        <v>209</v>
      </c>
      <c r="E362" t="str">
        <f>VLOOKUP(D362,Catalogos!$I$4:$J$64,2,FALSE)</f>
        <v>RT-01</v>
      </c>
      <c r="F362" s="6">
        <v>100</v>
      </c>
      <c r="G362">
        <v>23.95</v>
      </c>
      <c r="H362">
        <f t="shared" si="8"/>
        <v>2395</v>
      </c>
      <c r="I362" t="s">
        <v>814</v>
      </c>
      <c r="K362">
        <v>27</v>
      </c>
    </row>
    <row r="363" spans="1:11">
      <c r="A363" s="2">
        <v>46202</v>
      </c>
      <c r="B363" t="s">
        <v>111</v>
      </c>
      <c r="C363" s="2">
        <v>46203</v>
      </c>
      <c r="D363" t="s">
        <v>209</v>
      </c>
      <c r="E363" t="str">
        <f>VLOOKUP(D363,Catalogos!$I$4:$J$64,2,FALSE)</f>
        <v>RT-01</v>
      </c>
      <c r="F363" s="6">
        <v>30</v>
      </c>
      <c r="G363">
        <v>23.95</v>
      </c>
      <c r="H363">
        <f t="shared" si="8"/>
        <v>718.5</v>
      </c>
      <c r="I363" t="s">
        <v>814</v>
      </c>
      <c r="K363">
        <v>27</v>
      </c>
    </row>
    <row r="364" spans="1:11">
      <c r="A364" s="2">
        <v>46202</v>
      </c>
      <c r="B364" t="s">
        <v>111</v>
      </c>
      <c r="C364" s="2">
        <v>46204</v>
      </c>
      <c r="D364" t="s">
        <v>209</v>
      </c>
      <c r="E364" t="str">
        <f>VLOOKUP(D364,Catalogos!$I$4:$J$64,2,FALSE)</f>
        <v>RT-01</v>
      </c>
      <c r="F364" s="6">
        <v>30</v>
      </c>
      <c r="G364">
        <v>23.95</v>
      </c>
      <c r="H364">
        <f t="shared" si="8"/>
        <v>718.5</v>
      </c>
      <c r="I364" t="s">
        <v>814</v>
      </c>
      <c r="K364">
        <v>27</v>
      </c>
    </row>
    <row r="365" spans="1:11">
      <c r="A365" s="2">
        <v>46202</v>
      </c>
      <c r="B365" t="s">
        <v>111</v>
      </c>
      <c r="C365" s="2">
        <v>46205</v>
      </c>
      <c r="D365" t="s">
        <v>209</v>
      </c>
      <c r="E365" t="str">
        <f>VLOOKUP(D365,Catalogos!$I$4:$J$64,2,FALSE)</f>
        <v>RT-01</v>
      </c>
      <c r="F365" s="6">
        <v>60</v>
      </c>
      <c r="G365">
        <v>23.95</v>
      </c>
      <c r="H365">
        <f t="shared" si="8"/>
        <v>1437</v>
      </c>
      <c r="I365" t="s">
        <v>814</v>
      </c>
      <c r="K365">
        <v>27</v>
      </c>
    </row>
    <row r="366" spans="1:11">
      <c r="A366" s="2">
        <v>46202</v>
      </c>
      <c r="B366" t="s">
        <v>111</v>
      </c>
      <c r="C366" s="2">
        <v>46206</v>
      </c>
      <c r="D366" t="s">
        <v>209</v>
      </c>
      <c r="E366" t="str">
        <f>VLOOKUP(D366,Catalogos!$I$4:$J$64,2,FALSE)</f>
        <v>RT-01</v>
      </c>
      <c r="F366" s="6">
        <v>50</v>
      </c>
      <c r="G366">
        <v>23.95</v>
      </c>
      <c r="H366">
        <f t="shared" si="8"/>
        <v>1197.5</v>
      </c>
      <c r="I366" t="s">
        <v>814</v>
      </c>
      <c r="K366">
        <v>27</v>
      </c>
    </row>
    <row r="367" spans="1:11">
      <c r="A367" s="2">
        <v>46202</v>
      </c>
      <c r="B367" t="s">
        <v>111</v>
      </c>
      <c r="C367" s="2">
        <v>46203</v>
      </c>
      <c r="D367" t="s">
        <v>209</v>
      </c>
      <c r="E367" t="str">
        <f>VLOOKUP(D367,Catalogos!$I$4:$J$64,2,FALSE)</f>
        <v>RT-01</v>
      </c>
      <c r="F367" s="6">
        <v>50</v>
      </c>
      <c r="G367">
        <v>23.95</v>
      </c>
      <c r="H367">
        <f t="shared" si="8"/>
        <v>1197.5</v>
      </c>
      <c r="I367" t="s">
        <v>814</v>
      </c>
      <c r="K367">
        <v>27</v>
      </c>
    </row>
    <row r="368" spans="1:11">
      <c r="A368" s="2">
        <v>46202</v>
      </c>
      <c r="B368" t="s">
        <v>111</v>
      </c>
      <c r="C368" s="2">
        <v>46204</v>
      </c>
      <c r="D368" t="s">
        <v>209</v>
      </c>
      <c r="E368" t="str">
        <f>VLOOKUP(D368,Catalogos!$I$4:$J$64,2,FALSE)</f>
        <v>RT-01</v>
      </c>
      <c r="F368" s="6">
        <v>50</v>
      </c>
      <c r="G368">
        <v>23.95</v>
      </c>
      <c r="H368">
        <f t="shared" si="8"/>
        <v>1197.5</v>
      </c>
      <c r="I368" t="s">
        <v>814</v>
      </c>
      <c r="K368">
        <v>27</v>
      </c>
    </row>
    <row r="369" spans="1:11">
      <c r="A369" s="2">
        <v>46202</v>
      </c>
      <c r="B369" t="s">
        <v>111</v>
      </c>
      <c r="C369" s="2">
        <v>46205</v>
      </c>
      <c r="D369" t="s">
        <v>209</v>
      </c>
      <c r="E369" t="str">
        <f>VLOOKUP(D369,Catalogos!$I$4:$J$64,2,FALSE)</f>
        <v>RT-01</v>
      </c>
      <c r="F369" s="6">
        <v>60</v>
      </c>
      <c r="G369">
        <v>23.95</v>
      </c>
      <c r="H369">
        <f t="shared" si="8"/>
        <v>1437</v>
      </c>
      <c r="I369" t="s">
        <v>814</v>
      </c>
      <c r="K369">
        <v>27</v>
      </c>
    </row>
    <row r="370" spans="1:11">
      <c r="A370" s="2">
        <v>46202</v>
      </c>
      <c r="B370" t="s">
        <v>111</v>
      </c>
      <c r="C370" s="2">
        <v>46206</v>
      </c>
      <c r="D370" t="s">
        <v>209</v>
      </c>
      <c r="E370" t="str">
        <f>VLOOKUP(D370,Catalogos!$I$4:$J$64,2,FALSE)</f>
        <v>RT-01</v>
      </c>
      <c r="F370" s="6">
        <v>50</v>
      </c>
      <c r="G370">
        <v>23.95</v>
      </c>
      <c r="H370">
        <f t="shared" si="8"/>
        <v>1197.5</v>
      </c>
      <c r="I370" t="s">
        <v>814</v>
      </c>
      <c r="K370">
        <v>27</v>
      </c>
    </row>
    <row r="371" spans="1:11">
      <c r="A371" s="2">
        <v>46202</v>
      </c>
      <c r="B371" t="s">
        <v>111</v>
      </c>
      <c r="C371" s="2">
        <v>46207</v>
      </c>
      <c r="D371" t="s">
        <v>209</v>
      </c>
      <c r="E371" t="str">
        <f>VLOOKUP(D371,Catalogos!$I$4:$J$64,2,FALSE)</f>
        <v>RT-01</v>
      </c>
      <c r="F371" s="6">
        <v>100</v>
      </c>
      <c r="G371">
        <v>23.95</v>
      </c>
      <c r="H371">
        <f t="shared" si="8"/>
        <v>2395</v>
      </c>
      <c r="I371" t="s">
        <v>814</v>
      </c>
      <c r="J371" t="s">
        <v>815</v>
      </c>
      <c r="K371">
        <v>27</v>
      </c>
    </row>
    <row r="372" spans="1:11">
      <c r="A372" s="2">
        <v>46202</v>
      </c>
      <c r="B372" t="s">
        <v>111</v>
      </c>
      <c r="C372" s="2">
        <v>46203</v>
      </c>
      <c r="D372" t="s">
        <v>250</v>
      </c>
      <c r="E372" t="str">
        <f>VLOOKUP(D372,Catalogos!$I$4:$J$64,2,FALSE)</f>
        <v>HB-01</v>
      </c>
      <c r="F372" s="6">
        <v>10</v>
      </c>
      <c r="G372">
        <v>23.95</v>
      </c>
      <c r="H372">
        <f t="shared" si="8"/>
        <v>239.5</v>
      </c>
      <c r="I372" t="s">
        <v>814</v>
      </c>
      <c r="K372">
        <v>27</v>
      </c>
    </row>
    <row r="373" spans="1:11">
      <c r="A373" s="2">
        <v>46202</v>
      </c>
      <c r="B373" t="s">
        <v>111</v>
      </c>
      <c r="C373" s="2">
        <v>46204</v>
      </c>
      <c r="D373" t="s">
        <v>250</v>
      </c>
      <c r="E373" t="str">
        <f>VLOOKUP(D373,Catalogos!$I$4:$J$64,2,FALSE)</f>
        <v>HB-01</v>
      </c>
      <c r="F373" s="6">
        <v>10</v>
      </c>
      <c r="G373">
        <v>23.95</v>
      </c>
      <c r="H373">
        <f t="shared" si="8"/>
        <v>239.5</v>
      </c>
      <c r="I373" t="s">
        <v>814</v>
      </c>
      <c r="K373">
        <v>27</v>
      </c>
    </row>
    <row r="374" spans="1:11">
      <c r="A374" s="2">
        <v>46202</v>
      </c>
      <c r="B374" t="s">
        <v>111</v>
      </c>
      <c r="C374" s="2">
        <v>46205</v>
      </c>
      <c r="D374" t="s">
        <v>250</v>
      </c>
      <c r="E374" t="str">
        <f>VLOOKUP(D374,Catalogos!$I$4:$J$64,2,FALSE)</f>
        <v>HB-01</v>
      </c>
      <c r="F374" s="6">
        <v>5</v>
      </c>
      <c r="G374">
        <v>23.95</v>
      </c>
      <c r="H374">
        <f t="shared" si="8"/>
        <v>119.75</v>
      </c>
      <c r="I374" t="s">
        <v>814</v>
      </c>
      <c r="K374">
        <v>27</v>
      </c>
    </row>
    <row r="375" spans="1:11">
      <c r="A375" s="2">
        <v>46202</v>
      </c>
      <c r="B375" t="s">
        <v>111</v>
      </c>
      <c r="C375" s="2">
        <v>46206</v>
      </c>
      <c r="D375" t="s">
        <v>250</v>
      </c>
      <c r="E375" t="str">
        <f>VLOOKUP(D375,Catalogos!$I$4:$J$64,2,FALSE)</f>
        <v>HB-01</v>
      </c>
      <c r="F375" s="6">
        <v>10</v>
      </c>
      <c r="G375">
        <v>23.95</v>
      </c>
      <c r="H375">
        <f t="shared" si="8"/>
        <v>239.5</v>
      </c>
      <c r="I375" t="s">
        <v>814</v>
      </c>
      <c r="K375">
        <v>27</v>
      </c>
    </row>
    <row r="376" spans="1:11">
      <c r="A376" s="2">
        <v>46202</v>
      </c>
      <c r="B376" t="s">
        <v>111</v>
      </c>
      <c r="C376" s="2">
        <v>46202</v>
      </c>
      <c r="D376" t="s">
        <v>237</v>
      </c>
      <c r="E376" t="str">
        <f>VLOOKUP(D376,Catalogos!$I$4:$J$64,2,FALSE)</f>
        <v>BD-01</v>
      </c>
      <c r="F376" s="6">
        <v>5</v>
      </c>
      <c r="G376">
        <v>23.95</v>
      </c>
      <c r="H376">
        <f t="shared" si="8"/>
        <v>119.75</v>
      </c>
      <c r="I376" t="s">
        <v>814</v>
      </c>
      <c r="K376">
        <v>27</v>
      </c>
    </row>
    <row r="377" spans="1:11">
      <c r="A377" s="2">
        <v>46202</v>
      </c>
      <c r="B377" t="s">
        <v>111</v>
      </c>
      <c r="C377" s="2">
        <v>46203</v>
      </c>
      <c r="D377" t="s">
        <v>237</v>
      </c>
      <c r="E377" t="str">
        <f>VLOOKUP(D377,Catalogos!$I$4:$J$64,2,FALSE)</f>
        <v>BD-01</v>
      </c>
      <c r="F377" s="6">
        <v>5</v>
      </c>
      <c r="G377">
        <v>23.95</v>
      </c>
      <c r="H377">
        <f t="shared" si="8"/>
        <v>119.75</v>
      </c>
      <c r="I377" t="s">
        <v>814</v>
      </c>
      <c r="K377">
        <v>27</v>
      </c>
    </row>
    <row r="378" spans="1:11">
      <c r="A378" s="2">
        <v>46202</v>
      </c>
      <c r="B378" t="s">
        <v>111</v>
      </c>
      <c r="C378" s="2">
        <v>46204</v>
      </c>
      <c r="D378" t="s">
        <v>237</v>
      </c>
      <c r="E378" t="str">
        <f>VLOOKUP(D378,Catalogos!$I$4:$J$64,2,FALSE)</f>
        <v>BD-01</v>
      </c>
      <c r="F378" s="6">
        <v>5</v>
      </c>
      <c r="G378">
        <v>23.95</v>
      </c>
      <c r="H378">
        <f t="shared" si="8"/>
        <v>119.75</v>
      </c>
      <c r="I378" t="s">
        <v>814</v>
      </c>
      <c r="K378">
        <v>27</v>
      </c>
    </row>
    <row r="379" spans="1:11">
      <c r="A379" s="2">
        <v>46202</v>
      </c>
      <c r="B379" t="s">
        <v>111</v>
      </c>
      <c r="C379" s="2">
        <v>46205</v>
      </c>
      <c r="D379" t="s">
        <v>237</v>
      </c>
      <c r="E379" t="str">
        <f>VLOOKUP(D379,Catalogos!$I$4:$J$64,2,FALSE)</f>
        <v>BD-01</v>
      </c>
      <c r="F379" s="6">
        <v>5</v>
      </c>
      <c r="G379">
        <v>23.95</v>
      </c>
      <c r="H379">
        <f t="shared" si="8"/>
        <v>119.75</v>
      </c>
      <c r="I379" t="s">
        <v>814</v>
      </c>
      <c r="K379">
        <v>27</v>
      </c>
    </row>
    <row r="380" spans="1:11">
      <c r="A380" s="2">
        <v>46202</v>
      </c>
      <c r="B380" t="s">
        <v>111</v>
      </c>
      <c r="C380" s="2">
        <v>46206</v>
      </c>
      <c r="D380" t="s">
        <v>237</v>
      </c>
      <c r="E380" t="str">
        <f>VLOOKUP(D380,Catalogos!$I$4:$J$64,2,FALSE)</f>
        <v>BD-01</v>
      </c>
      <c r="F380" s="6">
        <v>5</v>
      </c>
      <c r="G380">
        <v>23.95</v>
      </c>
      <c r="H380">
        <f t="shared" ref="H380:H387" si="9">F380*G380</f>
        <v>119.75</v>
      </c>
      <c r="I380" t="s">
        <v>814</v>
      </c>
      <c r="K380">
        <v>27</v>
      </c>
    </row>
    <row r="381" spans="1:11">
      <c r="A381" s="2">
        <v>46202</v>
      </c>
      <c r="B381" t="s">
        <v>111</v>
      </c>
      <c r="C381" s="2">
        <v>46203</v>
      </c>
      <c r="D381" t="s">
        <v>816</v>
      </c>
      <c r="E381" t="e">
        <f>VLOOKUP(D381,Catalogos!$I$4:$J$64,2,FALSE)</f>
        <v>#N/A</v>
      </c>
      <c r="F381" s="6">
        <v>100</v>
      </c>
      <c r="G381">
        <v>23.95</v>
      </c>
      <c r="H381">
        <f t="shared" si="9"/>
        <v>2395</v>
      </c>
      <c r="I381" t="s">
        <v>814</v>
      </c>
      <c r="K381">
        <v>27</v>
      </c>
    </row>
    <row r="382" spans="1:11">
      <c r="A382" s="2">
        <v>46202</v>
      </c>
      <c r="B382" t="s">
        <v>111</v>
      </c>
      <c r="C382" s="2">
        <v>46204</v>
      </c>
      <c r="D382" t="s">
        <v>816</v>
      </c>
      <c r="E382" t="e">
        <f>VLOOKUP(D382,Catalogos!$I$4:$J$64,2,FALSE)</f>
        <v>#N/A</v>
      </c>
      <c r="F382" s="6">
        <v>70</v>
      </c>
      <c r="G382">
        <v>23.95</v>
      </c>
      <c r="H382">
        <f t="shared" si="9"/>
        <v>1676.5</v>
      </c>
      <c r="I382" t="s">
        <v>814</v>
      </c>
      <c r="K382">
        <v>27</v>
      </c>
    </row>
    <row r="383" spans="1:11">
      <c r="A383" s="2">
        <v>46202</v>
      </c>
      <c r="B383" t="s">
        <v>111</v>
      </c>
      <c r="C383" s="2">
        <v>46205</v>
      </c>
      <c r="D383" t="s">
        <v>816</v>
      </c>
      <c r="E383" t="e">
        <f>VLOOKUP(D383,Catalogos!$I$4:$J$64,2,FALSE)</f>
        <v>#N/A</v>
      </c>
      <c r="F383" s="6">
        <v>100</v>
      </c>
      <c r="G383">
        <v>23.95</v>
      </c>
      <c r="H383">
        <f t="shared" si="9"/>
        <v>2395</v>
      </c>
      <c r="I383" t="s">
        <v>814</v>
      </c>
      <c r="K383">
        <v>27</v>
      </c>
    </row>
    <row r="384" spans="1:11">
      <c r="A384" s="2">
        <v>46202</v>
      </c>
      <c r="B384" t="s">
        <v>111</v>
      </c>
      <c r="C384" s="2">
        <v>46206</v>
      </c>
      <c r="D384" t="s">
        <v>816</v>
      </c>
      <c r="E384" t="e">
        <f>VLOOKUP(D384,Catalogos!$I$4:$J$64,2,FALSE)</f>
        <v>#N/A</v>
      </c>
      <c r="F384" s="6">
        <v>100</v>
      </c>
      <c r="G384">
        <v>23.95</v>
      </c>
      <c r="H384">
        <f t="shared" si="9"/>
        <v>2395</v>
      </c>
      <c r="I384" t="s">
        <v>814</v>
      </c>
      <c r="K384">
        <v>27</v>
      </c>
    </row>
    <row r="385" spans="1:11">
      <c r="A385" s="2">
        <v>46202</v>
      </c>
      <c r="B385" t="s">
        <v>111</v>
      </c>
      <c r="C385" s="2">
        <v>46207</v>
      </c>
      <c r="D385" t="s">
        <v>816</v>
      </c>
      <c r="E385" t="e">
        <f>VLOOKUP(D385,Catalogos!$I$4:$J$64,2,FALSE)</f>
        <v>#N/A</v>
      </c>
      <c r="F385" s="6">
        <v>100</v>
      </c>
      <c r="G385">
        <v>23.95</v>
      </c>
      <c r="H385">
        <f t="shared" si="9"/>
        <v>2395</v>
      </c>
      <c r="I385" t="s">
        <v>814</v>
      </c>
      <c r="J385" t="s">
        <v>815</v>
      </c>
      <c r="K385">
        <v>27</v>
      </c>
    </row>
    <row r="386" spans="1:11">
      <c r="A386" s="2">
        <v>46202</v>
      </c>
      <c r="B386" t="s">
        <v>111</v>
      </c>
      <c r="C386" s="2">
        <v>46204</v>
      </c>
      <c r="D386" t="s">
        <v>222</v>
      </c>
      <c r="E386" t="str">
        <f>VLOOKUP(D386,Catalogos!$I$4:$J$64,2,FALSE)</f>
        <v>VC-01</v>
      </c>
      <c r="F386" s="6">
        <v>70</v>
      </c>
      <c r="G386">
        <v>23.95</v>
      </c>
      <c r="H386">
        <f t="shared" si="9"/>
        <v>1676.5</v>
      </c>
      <c r="I386" t="s">
        <v>814</v>
      </c>
      <c r="K386">
        <v>27</v>
      </c>
    </row>
    <row r="387" spans="1:11">
      <c r="A387" s="2">
        <v>46202</v>
      </c>
      <c r="B387" t="s">
        <v>111</v>
      </c>
      <c r="C387" s="2">
        <v>46206</v>
      </c>
      <c r="D387" t="s">
        <v>222</v>
      </c>
      <c r="E387" t="str">
        <f>VLOOKUP(D387,Catalogos!$I$4:$J$64,2,FALSE)</f>
        <v>VC-01</v>
      </c>
      <c r="F387" s="6">
        <v>70</v>
      </c>
      <c r="G387">
        <v>23.95</v>
      </c>
      <c r="H387">
        <f t="shared" si="9"/>
        <v>1676.5</v>
      </c>
      <c r="I387" t="s">
        <v>814</v>
      </c>
      <c r="K387">
        <v>27</v>
      </c>
    </row>
    <row r="389" spans="1:11">
      <c r="K389" t="str">
        <f t="shared" ref="K389:K452" si="10">IF(A389="","", WEEKNUM(A389, 2))</f>
        <v/>
      </c>
    </row>
    <row r="390" spans="1:11">
      <c r="K390" t="str">
        <f t="shared" si="10"/>
        <v/>
      </c>
    </row>
    <row r="391" spans="1:11">
      <c r="K391" t="str">
        <f t="shared" si="10"/>
        <v/>
      </c>
    </row>
    <row r="392" spans="1:11">
      <c r="K392" t="str">
        <f t="shared" si="10"/>
        <v/>
      </c>
    </row>
    <row r="393" spans="1:11">
      <c r="K393" t="str">
        <f t="shared" si="10"/>
        <v/>
      </c>
    </row>
    <row r="394" spans="1:11">
      <c r="K394" t="str">
        <f t="shared" si="10"/>
        <v/>
      </c>
    </row>
    <row r="395" spans="1:11">
      <c r="K395" t="str">
        <f t="shared" si="10"/>
        <v/>
      </c>
    </row>
    <row r="396" spans="1:11">
      <c r="K396" t="str">
        <f t="shared" si="10"/>
        <v/>
      </c>
    </row>
    <row r="397" spans="1:11">
      <c r="K397" t="str">
        <f t="shared" si="10"/>
        <v/>
      </c>
    </row>
    <row r="398" spans="1:11">
      <c r="K398" t="str">
        <f t="shared" si="10"/>
        <v/>
      </c>
    </row>
    <row r="399" spans="1:11">
      <c r="K399" t="str">
        <f t="shared" si="10"/>
        <v/>
      </c>
    </row>
    <row r="400" spans="1:11">
      <c r="K400" t="str">
        <f t="shared" si="10"/>
        <v/>
      </c>
    </row>
    <row r="401" spans="11:11">
      <c r="K401" t="str">
        <f t="shared" si="10"/>
        <v/>
      </c>
    </row>
    <row r="402" spans="11:11">
      <c r="K402" t="str">
        <f t="shared" si="10"/>
        <v/>
      </c>
    </row>
    <row r="403" spans="11:11">
      <c r="K403" t="str">
        <f t="shared" si="10"/>
        <v/>
      </c>
    </row>
    <row r="404" spans="11:11">
      <c r="K404" t="str">
        <f t="shared" si="10"/>
        <v/>
      </c>
    </row>
    <row r="405" spans="11:11">
      <c r="K405" t="str">
        <f t="shared" si="10"/>
        <v/>
      </c>
    </row>
    <row r="406" spans="11:11">
      <c r="K406" t="str">
        <f t="shared" si="10"/>
        <v/>
      </c>
    </row>
    <row r="407" spans="11:11">
      <c r="K407" t="str">
        <f t="shared" si="10"/>
        <v/>
      </c>
    </row>
    <row r="408" spans="11:11">
      <c r="K408" t="str">
        <f t="shared" si="10"/>
        <v/>
      </c>
    </row>
    <row r="409" spans="11:11">
      <c r="K409" t="str">
        <f t="shared" si="10"/>
        <v/>
      </c>
    </row>
    <row r="410" spans="11:11">
      <c r="K410" t="str">
        <f t="shared" si="10"/>
        <v/>
      </c>
    </row>
    <row r="411" spans="11:11">
      <c r="K411" t="str">
        <f t="shared" si="10"/>
        <v/>
      </c>
    </row>
    <row r="412" spans="11:11">
      <c r="K412" t="str">
        <f t="shared" si="10"/>
        <v/>
      </c>
    </row>
    <row r="413" spans="11:11">
      <c r="K413" t="str">
        <f t="shared" si="10"/>
        <v/>
      </c>
    </row>
    <row r="414" spans="11:11">
      <c r="K414" t="str">
        <f t="shared" si="10"/>
        <v/>
      </c>
    </row>
    <row r="415" spans="11:11">
      <c r="K415" t="str">
        <f t="shared" si="10"/>
        <v/>
      </c>
    </row>
    <row r="416" spans="11:11">
      <c r="K416" t="str">
        <f t="shared" si="10"/>
        <v/>
      </c>
    </row>
    <row r="417" spans="11:11">
      <c r="K417" t="str">
        <f t="shared" si="10"/>
        <v/>
      </c>
    </row>
    <row r="418" spans="11:11">
      <c r="K418" t="str">
        <f t="shared" si="10"/>
        <v/>
      </c>
    </row>
    <row r="419" spans="11:11">
      <c r="K419" t="str">
        <f t="shared" si="10"/>
        <v/>
      </c>
    </row>
    <row r="420" spans="11:11">
      <c r="K420" t="str">
        <f t="shared" si="10"/>
        <v/>
      </c>
    </row>
    <row r="421" spans="11:11">
      <c r="K421" t="str">
        <f t="shared" si="10"/>
        <v/>
      </c>
    </row>
    <row r="422" spans="11:11">
      <c r="K422" t="str">
        <f t="shared" si="10"/>
        <v/>
      </c>
    </row>
    <row r="423" spans="11:11">
      <c r="K423" t="str">
        <f t="shared" si="10"/>
        <v/>
      </c>
    </row>
    <row r="424" spans="11:11">
      <c r="K424" t="str">
        <f t="shared" si="10"/>
        <v/>
      </c>
    </row>
    <row r="425" spans="11:11">
      <c r="K425" t="str">
        <f t="shared" si="10"/>
        <v/>
      </c>
    </row>
    <row r="426" spans="11:11">
      <c r="K426" t="str">
        <f t="shared" si="10"/>
        <v/>
      </c>
    </row>
    <row r="427" spans="11:11">
      <c r="K427" t="str">
        <f t="shared" si="10"/>
        <v/>
      </c>
    </row>
    <row r="428" spans="11:11">
      <c r="K428" t="str">
        <f t="shared" si="10"/>
        <v/>
      </c>
    </row>
    <row r="429" spans="11:11">
      <c r="K429" t="str">
        <f t="shared" si="10"/>
        <v/>
      </c>
    </row>
    <row r="430" spans="11:11">
      <c r="K430" t="str">
        <f t="shared" si="10"/>
        <v/>
      </c>
    </row>
    <row r="431" spans="11:11">
      <c r="K431" t="str">
        <f t="shared" si="10"/>
        <v/>
      </c>
    </row>
    <row r="432" spans="11:11">
      <c r="K432" t="str">
        <f t="shared" si="10"/>
        <v/>
      </c>
    </row>
    <row r="433" spans="11:11">
      <c r="K433" t="str">
        <f t="shared" si="10"/>
        <v/>
      </c>
    </row>
    <row r="434" spans="11:11">
      <c r="K434" t="str">
        <f t="shared" si="10"/>
        <v/>
      </c>
    </row>
    <row r="435" spans="11:11">
      <c r="K435" t="str">
        <f t="shared" si="10"/>
        <v/>
      </c>
    </row>
    <row r="436" spans="11:11">
      <c r="K436" t="str">
        <f t="shared" si="10"/>
        <v/>
      </c>
    </row>
    <row r="437" spans="11:11">
      <c r="K437" t="str">
        <f t="shared" si="10"/>
        <v/>
      </c>
    </row>
    <row r="438" spans="11:11">
      <c r="K438" t="str">
        <f t="shared" si="10"/>
        <v/>
      </c>
    </row>
    <row r="439" spans="11:11">
      <c r="K439" t="str">
        <f t="shared" si="10"/>
        <v/>
      </c>
    </row>
    <row r="440" spans="11:11">
      <c r="K440" t="str">
        <f t="shared" si="10"/>
        <v/>
      </c>
    </row>
    <row r="441" spans="11:11">
      <c r="K441" t="str">
        <f t="shared" si="10"/>
        <v/>
      </c>
    </row>
    <row r="442" spans="11:11">
      <c r="K442" t="str">
        <f t="shared" si="10"/>
        <v/>
      </c>
    </row>
    <row r="443" spans="11:11">
      <c r="K443" t="str">
        <f t="shared" si="10"/>
        <v/>
      </c>
    </row>
    <row r="444" spans="11:11">
      <c r="K444" t="str">
        <f t="shared" si="10"/>
        <v/>
      </c>
    </row>
    <row r="445" spans="11:11">
      <c r="K445" t="str">
        <f t="shared" si="10"/>
        <v/>
      </c>
    </row>
    <row r="446" spans="11:11">
      <c r="K446" t="str">
        <f t="shared" si="10"/>
        <v/>
      </c>
    </row>
    <row r="447" spans="11:11">
      <c r="K447" t="str">
        <f t="shared" si="10"/>
        <v/>
      </c>
    </row>
    <row r="448" spans="11:11">
      <c r="K448" t="str">
        <f t="shared" si="10"/>
        <v/>
      </c>
    </row>
    <row r="449" spans="11:11">
      <c r="K449" t="str">
        <f t="shared" si="10"/>
        <v/>
      </c>
    </row>
    <row r="450" spans="11:11">
      <c r="K450" t="str">
        <f t="shared" si="10"/>
        <v/>
      </c>
    </row>
    <row r="451" spans="11:11">
      <c r="K451" t="str">
        <f t="shared" si="10"/>
        <v/>
      </c>
    </row>
    <row r="452" spans="11:11">
      <c r="K452" t="str">
        <f t="shared" si="10"/>
        <v/>
      </c>
    </row>
    <row r="453" spans="11:11">
      <c r="K453" t="str">
        <f t="shared" ref="K453:K516" si="11">IF(A453="","", WEEKNUM(A453, 2))</f>
        <v/>
      </c>
    </row>
    <row r="454" spans="11:11">
      <c r="K454" t="str">
        <f t="shared" si="11"/>
        <v/>
      </c>
    </row>
    <row r="455" spans="11:11">
      <c r="K455" t="str">
        <f t="shared" si="11"/>
        <v/>
      </c>
    </row>
    <row r="456" spans="11:11">
      <c r="K456" t="str">
        <f t="shared" si="11"/>
        <v/>
      </c>
    </row>
    <row r="457" spans="11:11">
      <c r="K457" t="str">
        <f t="shared" si="11"/>
        <v/>
      </c>
    </row>
    <row r="458" spans="11:11">
      <c r="K458" t="str">
        <f t="shared" si="11"/>
        <v/>
      </c>
    </row>
    <row r="459" spans="11:11">
      <c r="K459" t="str">
        <f t="shared" si="11"/>
        <v/>
      </c>
    </row>
    <row r="460" spans="11:11">
      <c r="K460" t="str">
        <f t="shared" si="11"/>
        <v/>
      </c>
    </row>
    <row r="461" spans="11:11">
      <c r="K461" t="str">
        <f t="shared" si="11"/>
        <v/>
      </c>
    </row>
    <row r="462" spans="11:11">
      <c r="K462" t="str">
        <f t="shared" si="11"/>
        <v/>
      </c>
    </row>
    <row r="463" spans="11:11">
      <c r="K463" t="str">
        <f t="shared" si="11"/>
        <v/>
      </c>
    </row>
    <row r="464" spans="11:11">
      <c r="K464" t="str">
        <f t="shared" si="11"/>
        <v/>
      </c>
    </row>
    <row r="465" spans="11:11">
      <c r="K465" t="str">
        <f t="shared" si="11"/>
        <v/>
      </c>
    </row>
    <row r="466" spans="11:11">
      <c r="K466" t="str">
        <f t="shared" si="11"/>
        <v/>
      </c>
    </row>
    <row r="467" spans="11:11">
      <c r="K467" t="str">
        <f t="shared" si="11"/>
        <v/>
      </c>
    </row>
    <row r="468" spans="11:11">
      <c r="K468" t="str">
        <f t="shared" si="11"/>
        <v/>
      </c>
    </row>
    <row r="469" spans="11:11">
      <c r="K469" t="str">
        <f t="shared" si="11"/>
        <v/>
      </c>
    </row>
    <row r="470" spans="11:11">
      <c r="K470" t="str">
        <f t="shared" si="11"/>
        <v/>
      </c>
    </row>
    <row r="471" spans="11:11">
      <c r="K471" t="str">
        <f t="shared" si="11"/>
        <v/>
      </c>
    </row>
    <row r="472" spans="11:11">
      <c r="K472" t="str">
        <f t="shared" si="11"/>
        <v/>
      </c>
    </row>
    <row r="473" spans="11:11">
      <c r="K473" t="str">
        <f t="shared" si="11"/>
        <v/>
      </c>
    </row>
    <row r="474" spans="11:11">
      <c r="K474" t="str">
        <f t="shared" si="11"/>
        <v/>
      </c>
    </row>
    <row r="475" spans="11:11">
      <c r="K475" t="str">
        <f t="shared" si="11"/>
        <v/>
      </c>
    </row>
    <row r="476" spans="11:11">
      <c r="K476" t="str">
        <f t="shared" si="11"/>
        <v/>
      </c>
    </row>
    <row r="477" spans="11:11">
      <c r="K477" t="str">
        <f t="shared" si="11"/>
        <v/>
      </c>
    </row>
    <row r="478" spans="11:11">
      <c r="K478" t="str">
        <f t="shared" si="11"/>
        <v/>
      </c>
    </row>
    <row r="479" spans="11:11">
      <c r="K479" t="str">
        <f t="shared" si="11"/>
        <v/>
      </c>
    </row>
    <row r="480" spans="11:11">
      <c r="K480" t="str">
        <f t="shared" si="11"/>
        <v/>
      </c>
    </row>
    <row r="481" spans="11:11">
      <c r="K481" t="str">
        <f t="shared" si="11"/>
        <v/>
      </c>
    </row>
    <row r="482" spans="11:11">
      <c r="K482" t="str">
        <f t="shared" si="11"/>
        <v/>
      </c>
    </row>
    <row r="483" spans="11:11">
      <c r="K483" t="str">
        <f t="shared" si="11"/>
        <v/>
      </c>
    </row>
    <row r="484" spans="11:11">
      <c r="K484" t="str">
        <f t="shared" si="11"/>
        <v/>
      </c>
    </row>
    <row r="485" spans="11:11">
      <c r="K485" t="str">
        <f t="shared" si="11"/>
        <v/>
      </c>
    </row>
    <row r="486" spans="11:11">
      <c r="K486" t="str">
        <f t="shared" si="11"/>
        <v/>
      </c>
    </row>
    <row r="487" spans="11:11">
      <c r="K487" t="str">
        <f t="shared" si="11"/>
        <v/>
      </c>
    </row>
    <row r="488" spans="11:11">
      <c r="K488" t="str">
        <f t="shared" si="11"/>
        <v/>
      </c>
    </row>
    <row r="489" spans="11:11">
      <c r="K489" t="str">
        <f t="shared" si="11"/>
        <v/>
      </c>
    </row>
    <row r="490" spans="11:11">
      <c r="K490" t="str">
        <f t="shared" si="11"/>
        <v/>
      </c>
    </row>
    <row r="491" spans="11:11">
      <c r="K491" t="str">
        <f t="shared" si="11"/>
        <v/>
      </c>
    </row>
    <row r="492" spans="11:11">
      <c r="K492" t="str">
        <f t="shared" si="11"/>
        <v/>
      </c>
    </row>
    <row r="493" spans="11:11">
      <c r="K493" t="str">
        <f t="shared" si="11"/>
        <v/>
      </c>
    </row>
    <row r="494" spans="11:11">
      <c r="K494" t="str">
        <f t="shared" si="11"/>
        <v/>
      </c>
    </row>
    <row r="495" spans="11:11">
      <c r="K495" t="str">
        <f t="shared" si="11"/>
        <v/>
      </c>
    </row>
    <row r="496" spans="11:11">
      <c r="K496" t="str">
        <f t="shared" si="11"/>
        <v/>
      </c>
    </row>
    <row r="497" spans="11:11">
      <c r="K497" t="str">
        <f t="shared" si="11"/>
        <v/>
      </c>
    </row>
    <row r="498" spans="11:11">
      <c r="K498" t="str">
        <f t="shared" si="11"/>
        <v/>
      </c>
    </row>
    <row r="499" spans="11:11">
      <c r="K499" t="str">
        <f t="shared" si="11"/>
        <v/>
      </c>
    </row>
    <row r="500" spans="11:11">
      <c r="K500" t="str">
        <f t="shared" si="11"/>
        <v/>
      </c>
    </row>
    <row r="501" spans="11:11">
      <c r="K501" t="str">
        <f t="shared" si="11"/>
        <v/>
      </c>
    </row>
    <row r="502" spans="11:11">
      <c r="K502" t="str">
        <f t="shared" si="11"/>
        <v/>
      </c>
    </row>
    <row r="503" spans="11:11">
      <c r="K503" t="str">
        <f t="shared" si="11"/>
        <v/>
      </c>
    </row>
    <row r="504" spans="11:11">
      <c r="K504" t="str">
        <f t="shared" si="11"/>
        <v/>
      </c>
    </row>
    <row r="505" spans="11:11">
      <c r="K505" t="str">
        <f t="shared" si="11"/>
        <v/>
      </c>
    </row>
    <row r="506" spans="11:11">
      <c r="K506" t="str">
        <f t="shared" si="11"/>
        <v/>
      </c>
    </row>
    <row r="507" spans="11:11">
      <c r="K507" t="str">
        <f t="shared" si="11"/>
        <v/>
      </c>
    </row>
    <row r="508" spans="11:11">
      <c r="K508" t="str">
        <f t="shared" si="11"/>
        <v/>
      </c>
    </row>
    <row r="509" spans="11:11">
      <c r="K509" t="str">
        <f t="shared" si="11"/>
        <v/>
      </c>
    </row>
    <row r="510" spans="11:11">
      <c r="K510" t="str">
        <f t="shared" si="11"/>
        <v/>
      </c>
    </row>
    <row r="511" spans="11:11">
      <c r="K511" t="str">
        <f t="shared" si="11"/>
        <v/>
      </c>
    </row>
    <row r="512" spans="11:11">
      <c r="K512" t="str">
        <f t="shared" si="11"/>
        <v/>
      </c>
    </row>
    <row r="513" spans="11:11">
      <c r="K513" t="str">
        <f t="shared" si="11"/>
        <v/>
      </c>
    </row>
    <row r="514" spans="11:11">
      <c r="K514" t="str">
        <f t="shared" si="11"/>
        <v/>
      </c>
    </row>
    <row r="515" spans="11:11">
      <c r="K515" t="str">
        <f t="shared" si="11"/>
        <v/>
      </c>
    </row>
    <row r="516" spans="11:11">
      <c r="K516" t="str">
        <f t="shared" si="11"/>
        <v/>
      </c>
    </row>
    <row r="517" spans="11:11">
      <c r="K517" t="str">
        <f t="shared" ref="K517:K580" si="12">IF(A517="","", WEEKNUM(A517, 2))</f>
        <v/>
      </c>
    </row>
    <row r="518" spans="11:11">
      <c r="K518" t="str">
        <f t="shared" si="12"/>
        <v/>
      </c>
    </row>
    <row r="519" spans="11:11">
      <c r="K519" t="str">
        <f t="shared" si="12"/>
        <v/>
      </c>
    </row>
    <row r="520" spans="11:11">
      <c r="K520" t="str">
        <f t="shared" si="12"/>
        <v/>
      </c>
    </row>
    <row r="521" spans="11:11">
      <c r="K521" t="str">
        <f t="shared" si="12"/>
        <v/>
      </c>
    </row>
    <row r="522" spans="11:11">
      <c r="K522" t="str">
        <f t="shared" si="12"/>
        <v/>
      </c>
    </row>
    <row r="523" spans="11:11">
      <c r="K523" t="str">
        <f t="shared" si="12"/>
        <v/>
      </c>
    </row>
    <row r="524" spans="11:11">
      <c r="K524" t="str">
        <f t="shared" si="12"/>
        <v/>
      </c>
    </row>
    <row r="525" spans="11:11">
      <c r="K525" t="str">
        <f t="shared" si="12"/>
        <v/>
      </c>
    </row>
    <row r="526" spans="11:11">
      <c r="K526" t="str">
        <f t="shared" si="12"/>
        <v/>
      </c>
    </row>
    <row r="527" spans="11:11">
      <c r="K527" t="str">
        <f t="shared" si="12"/>
        <v/>
      </c>
    </row>
    <row r="528" spans="11:11">
      <c r="K528" t="str">
        <f t="shared" si="12"/>
        <v/>
      </c>
    </row>
    <row r="529" spans="11:11">
      <c r="K529" t="str">
        <f t="shared" si="12"/>
        <v/>
      </c>
    </row>
    <row r="530" spans="11:11">
      <c r="K530" t="str">
        <f t="shared" si="12"/>
        <v/>
      </c>
    </row>
    <row r="531" spans="11:11">
      <c r="K531" t="str">
        <f t="shared" si="12"/>
        <v/>
      </c>
    </row>
    <row r="532" spans="11:11">
      <c r="K532" t="str">
        <f t="shared" si="12"/>
        <v/>
      </c>
    </row>
    <row r="533" spans="11:11">
      <c r="K533" t="str">
        <f t="shared" si="12"/>
        <v/>
      </c>
    </row>
    <row r="534" spans="11:11">
      <c r="K534" t="str">
        <f t="shared" si="12"/>
        <v/>
      </c>
    </row>
    <row r="535" spans="11:11">
      <c r="K535" t="str">
        <f t="shared" si="12"/>
        <v/>
      </c>
    </row>
    <row r="536" spans="11:11">
      <c r="K536" t="str">
        <f t="shared" si="12"/>
        <v/>
      </c>
    </row>
    <row r="537" spans="11:11">
      <c r="K537" t="str">
        <f t="shared" si="12"/>
        <v/>
      </c>
    </row>
    <row r="538" spans="11:11">
      <c r="K538" t="str">
        <f t="shared" si="12"/>
        <v/>
      </c>
    </row>
    <row r="539" spans="11:11">
      <c r="K539" t="str">
        <f t="shared" si="12"/>
        <v/>
      </c>
    </row>
    <row r="540" spans="11:11">
      <c r="K540" t="str">
        <f t="shared" si="12"/>
        <v/>
      </c>
    </row>
    <row r="541" spans="11:11">
      <c r="K541" t="str">
        <f t="shared" si="12"/>
        <v/>
      </c>
    </row>
    <row r="542" spans="11:11">
      <c r="K542" t="str">
        <f t="shared" si="12"/>
        <v/>
      </c>
    </row>
    <row r="543" spans="11:11">
      <c r="K543" t="str">
        <f t="shared" si="12"/>
        <v/>
      </c>
    </row>
    <row r="544" spans="11:11">
      <c r="K544" t="str">
        <f t="shared" si="12"/>
        <v/>
      </c>
    </row>
    <row r="545" spans="11:11">
      <c r="K545" t="str">
        <f t="shared" si="12"/>
        <v/>
      </c>
    </row>
    <row r="546" spans="11:11">
      <c r="K546" t="str">
        <f t="shared" si="12"/>
        <v/>
      </c>
    </row>
    <row r="547" spans="11:11">
      <c r="K547" t="str">
        <f t="shared" si="12"/>
        <v/>
      </c>
    </row>
    <row r="548" spans="11:11">
      <c r="K548" t="str">
        <f t="shared" si="12"/>
        <v/>
      </c>
    </row>
    <row r="549" spans="11:11">
      <c r="K549" t="str">
        <f t="shared" si="12"/>
        <v/>
      </c>
    </row>
    <row r="550" spans="11:11">
      <c r="K550" t="str">
        <f t="shared" si="12"/>
        <v/>
      </c>
    </row>
    <row r="551" spans="11:11">
      <c r="K551" t="str">
        <f t="shared" si="12"/>
        <v/>
      </c>
    </row>
    <row r="552" spans="11:11">
      <c r="K552" t="str">
        <f t="shared" si="12"/>
        <v/>
      </c>
    </row>
    <row r="553" spans="11:11">
      <c r="K553" t="str">
        <f t="shared" si="12"/>
        <v/>
      </c>
    </row>
    <row r="554" spans="11:11">
      <c r="K554" t="str">
        <f t="shared" si="12"/>
        <v/>
      </c>
    </row>
    <row r="555" spans="11:11">
      <c r="K555" t="str">
        <f t="shared" si="12"/>
        <v/>
      </c>
    </row>
    <row r="556" spans="11:11">
      <c r="K556" t="str">
        <f t="shared" si="12"/>
        <v/>
      </c>
    </row>
    <row r="557" spans="11:11">
      <c r="K557" t="str">
        <f t="shared" si="12"/>
        <v/>
      </c>
    </row>
    <row r="558" spans="11:11">
      <c r="K558" t="str">
        <f t="shared" si="12"/>
        <v/>
      </c>
    </row>
    <row r="559" spans="11:11">
      <c r="K559" t="str">
        <f t="shared" si="12"/>
        <v/>
      </c>
    </row>
    <row r="560" spans="11:11">
      <c r="K560" t="str">
        <f t="shared" si="12"/>
        <v/>
      </c>
    </row>
    <row r="561" spans="11:11">
      <c r="K561" t="str">
        <f t="shared" si="12"/>
        <v/>
      </c>
    </row>
    <row r="562" spans="11:11">
      <c r="K562" t="str">
        <f t="shared" si="12"/>
        <v/>
      </c>
    </row>
    <row r="563" spans="11:11">
      <c r="K563" t="str">
        <f t="shared" si="12"/>
        <v/>
      </c>
    </row>
    <row r="564" spans="11:11">
      <c r="K564" t="str">
        <f t="shared" si="12"/>
        <v/>
      </c>
    </row>
    <row r="565" spans="11:11">
      <c r="K565" t="str">
        <f t="shared" si="12"/>
        <v/>
      </c>
    </row>
    <row r="566" spans="11:11">
      <c r="K566" t="str">
        <f t="shared" si="12"/>
        <v/>
      </c>
    </row>
    <row r="567" spans="11:11">
      <c r="K567" t="str">
        <f t="shared" si="12"/>
        <v/>
      </c>
    </row>
    <row r="568" spans="11:11">
      <c r="K568" t="str">
        <f t="shared" si="12"/>
        <v/>
      </c>
    </row>
    <row r="569" spans="11:11">
      <c r="K569" t="str">
        <f t="shared" si="12"/>
        <v/>
      </c>
    </row>
    <row r="570" spans="11:11">
      <c r="K570" t="str">
        <f t="shared" si="12"/>
        <v/>
      </c>
    </row>
    <row r="571" spans="11:11">
      <c r="K571" t="str">
        <f t="shared" si="12"/>
        <v/>
      </c>
    </row>
    <row r="572" spans="11:11">
      <c r="K572" t="str">
        <f t="shared" si="12"/>
        <v/>
      </c>
    </row>
    <row r="573" spans="11:11">
      <c r="K573" t="str">
        <f t="shared" si="12"/>
        <v/>
      </c>
    </row>
    <row r="574" spans="11:11">
      <c r="K574" t="str">
        <f t="shared" si="12"/>
        <v/>
      </c>
    </row>
    <row r="575" spans="11:11">
      <c r="K575" t="str">
        <f t="shared" si="12"/>
        <v/>
      </c>
    </row>
    <row r="576" spans="11:11">
      <c r="K576" t="str">
        <f t="shared" si="12"/>
        <v/>
      </c>
    </row>
    <row r="577" spans="11:11">
      <c r="K577" t="str">
        <f t="shared" si="12"/>
        <v/>
      </c>
    </row>
    <row r="578" spans="11:11">
      <c r="K578" t="str">
        <f t="shared" si="12"/>
        <v/>
      </c>
    </row>
    <row r="579" spans="11:11">
      <c r="K579" t="str">
        <f t="shared" si="12"/>
        <v/>
      </c>
    </row>
    <row r="580" spans="11:11">
      <c r="K580" t="str">
        <f t="shared" si="12"/>
        <v/>
      </c>
    </row>
    <row r="581" spans="11:11">
      <c r="K581" t="str">
        <f t="shared" ref="K581:K644" si="13">IF(A581="","", WEEKNUM(A581, 2))</f>
        <v/>
      </c>
    </row>
    <row r="582" spans="11:11">
      <c r="K582" t="str">
        <f t="shared" si="13"/>
        <v/>
      </c>
    </row>
    <row r="583" spans="11:11">
      <c r="K583" t="str">
        <f t="shared" si="13"/>
        <v/>
      </c>
    </row>
    <row r="584" spans="11:11">
      <c r="K584" t="str">
        <f t="shared" si="13"/>
        <v/>
      </c>
    </row>
    <row r="585" spans="11:11">
      <c r="K585" t="str">
        <f t="shared" si="13"/>
        <v/>
      </c>
    </row>
    <row r="586" spans="11:11">
      <c r="K586" t="str">
        <f t="shared" si="13"/>
        <v/>
      </c>
    </row>
    <row r="587" spans="11:11">
      <c r="K587" t="str">
        <f t="shared" si="13"/>
        <v/>
      </c>
    </row>
    <row r="588" spans="11:11">
      <c r="K588" t="str">
        <f t="shared" si="13"/>
        <v/>
      </c>
    </row>
    <row r="589" spans="11:11">
      <c r="K589" t="str">
        <f t="shared" si="13"/>
        <v/>
      </c>
    </row>
    <row r="590" spans="11:11">
      <c r="K590" t="str">
        <f t="shared" si="13"/>
        <v/>
      </c>
    </row>
    <row r="591" spans="11:11">
      <c r="K591" t="str">
        <f t="shared" si="13"/>
        <v/>
      </c>
    </row>
    <row r="592" spans="11:11">
      <c r="K592" t="str">
        <f t="shared" si="13"/>
        <v/>
      </c>
    </row>
    <row r="593" spans="11:11">
      <c r="K593" t="str">
        <f t="shared" si="13"/>
        <v/>
      </c>
    </row>
    <row r="594" spans="11:11">
      <c r="K594" t="str">
        <f t="shared" si="13"/>
        <v/>
      </c>
    </row>
    <row r="595" spans="11:11">
      <c r="K595" t="str">
        <f t="shared" si="13"/>
        <v/>
      </c>
    </row>
    <row r="596" spans="11:11">
      <c r="K596" t="str">
        <f t="shared" si="13"/>
        <v/>
      </c>
    </row>
    <row r="597" spans="11:11">
      <c r="K597" t="str">
        <f t="shared" si="13"/>
        <v/>
      </c>
    </row>
    <row r="598" spans="11:11">
      <c r="K598" t="str">
        <f t="shared" si="13"/>
        <v/>
      </c>
    </row>
    <row r="599" spans="11:11">
      <c r="K599" t="str">
        <f t="shared" si="13"/>
        <v/>
      </c>
    </row>
    <row r="600" spans="11:11">
      <c r="K600" t="str">
        <f t="shared" si="13"/>
        <v/>
      </c>
    </row>
    <row r="601" spans="11:11">
      <c r="K601" t="str">
        <f t="shared" si="13"/>
        <v/>
      </c>
    </row>
    <row r="602" spans="11:11">
      <c r="K602" t="str">
        <f t="shared" si="13"/>
        <v/>
      </c>
    </row>
    <row r="603" spans="11:11">
      <c r="K603" t="str">
        <f t="shared" si="13"/>
        <v/>
      </c>
    </row>
    <row r="604" spans="11:11">
      <c r="K604" t="str">
        <f t="shared" si="13"/>
        <v/>
      </c>
    </row>
    <row r="605" spans="11:11">
      <c r="K605" t="str">
        <f t="shared" si="13"/>
        <v/>
      </c>
    </row>
    <row r="606" spans="11:11">
      <c r="K606" t="str">
        <f t="shared" si="13"/>
        <v/>
      </c>
    </row>
    <row r="607" spans="11:11">
      <c r="K607" t="str">
        <f t="shared" si="13"/>
        <v/>
      </c>
    </row>
    <row r="608" spans="11:11">
      <c r="K608" t="str">
        <f t="shared" si="13"/>
        <v/>
      </c>
    </row>
    <row r="609" spans="11:11">
      <c r="K609" t="str">
        <f t="shared" si="13"/>
        <v/>
      </c>
    </row>
    <row r="610" spans="11:11">
      <c r="K610" t="str">
        <f t="shared" si="13"/>
        <v/>
      </c>
    </row>
    <row r="611" spans="11:11">
      <c r="K611" t="str">
        <f t="shared" si="13"/>
        <v/>
      </c>
    </row>
    <row r="612" spans="11:11">
      <c r="K612" t="str">
        <f t="shared" si="13"/>
        <v/>
      </c>
    </row>
    <row r="613" spans="11:11">
      <c r="K613" t="str">
        <f t="shared" si="13"/>
        <v/>
      </c>
    </row>
    <row r="614" spans="11:11">
      <c r="K614" t="str">
        <f t="shared" si="13"/>
        <v/>
      </c>
    </row>
    <row r="615" spans="11:11">
      <c r="K615" t="str">
        <f t="shared" si="13"/>
        <v/>
      </c>
    </row>
    <row r="616" spans="11:11">
      <c r="K616" t="str">
        <f t="shared" si="13"/>
        <v/>
      </c>
    </row>
    <row r="617" spans="11:11">
      <c r="K617" t="str">
        <f t="shared" si="13"/>
        <v/>
      </c>
    </row>
    <row r="618" spans="11:11">
      <c r="K618" t="str">
        <f t="shared" si="13"/>
        <v/>
      </c>
    </row>
    <row r="619" spans="11:11">
      <c r="K619" t="str">
        <f t="shared" si="13"/>
        <v/>
      </c>
    </row>
    <row r="620" spans="11:11">
      <c r="K620" t="str">
        <f t="shared" si="13"/>
        <v/>
      </c>
    </row>
    <row r="621" spans="11:11">
      <c r="K621" t="str">
        <f t="shared" si="13"/>
        <v/>
      </c>
    </row>
    <row r="622" spans="11:11">
      <c r="K622" t="str">
        <f t="shared" si="13"/>
        <v/>
      </c>
    </row>
    <row r="623" spans="11:11">
      <c r="K623" t="str">
        <f t="shared" si="13"/>
        <v/>
      </c>
    </row>
    <row r="624" spans="11:11">
      <c r="K624" t="str">
        <f t="shared" si="13"/>
        <v/>
      </c>
    </row>
    <row r="625" spans="11:11">
      <c r="K625" t="str">
        <f t="shared" si="13"/>
        <v/>
      </c>
    </row>
    <row r="626" spans="11:11">
      <c r="K626" t="str">
        <f t="shared" si="13"/>
        <v/>
      </c>
    </row>
    <row r="627" spans="11:11">
      <c r="K627" t="str">
        <f t="shared" si="13"/>
        <v/>
      </c>
    </row>
    <row r="628" spans="11:11">
      <c r="K628" t="str">
        <f t="shared" si="13"/>
        <v/>
      </c>
    </row>
    <row r="629" spans="11:11">
      <c r="K629" t="str">
        <f t="shared" si="13"/>
        <v/>
      </c>
    </row>
    <row r="630" spans="11:11">
      <c r="K630" t="str">
        <f t="shared" si="13"/>
        <v/>
      </c>
    </row>
    <row r="631" spans="11:11">
      <c r="K631" t="str">
        <f t="shared" si="13"/>
        <v/>
      </c>
    </row>
    <row r="632" spans="11:11">
      <c r="K632" t="str">
        <f t="shared" si="13"/>
        <v/>
      </c>
    </row>
    <row r="633" spans="11:11">
      <c r="K633" t="str">
        <f t="shared" si="13"/>
        <v/>
      </c>
    </row>
    <row r="634" spans="11:11">
      <c r="K634" t="str">
        <f t="shared" si="13"/>
        <v/>
      </c>
    </row>
    <row r="635" spans="11:11">
      <c r="K635" t="str">
        <f t="shared" si="13"/>
        <v/>
      </c>
    </row>
    <row r="636" spans="11:11">
      <c r="K636" t="str">
        <f t="shared" si="13"/>
        <v/>
      </c>
    </row>
    <row r="637" spans="11:11">
      <c r="K637" t="str">
        <f t="shared" si="13"/>
        <v/>
      </c>
    </row>
    <row r="638" spans="11:11">
      <c r="K638" t="str">
        <f t="shared" si="13"/>
        <v/>
      </c>
    </row>
    <row r="639" spans="11:11">
      <c r="K639" t="str">
        <f t="shared" si="13"/>
        <v/>
      </c>
    </row>
    <row r="640" spans="11:11">
      <c r="K640" t="str">
        <f t="shared" si="13"/>
        <v/>
      </c>
    </row>
    <row r="641" spans="11:11">
      <c r="K641" t="str">
        <f t="shared" si="13"/>
        <v/>
      </c>
    </row>
    <row r="642" spans="11:11">
      <c r="K642" t="str">
        <f t="shared" si="13"/>
        <v/>
      </c>
    </row>
    <row r="643" spans="11:11">
      <c r="K643" t="str">
        <f t="shared" si="13"/>
        <v/>
      </c>
    </row>
    <row r="644" spans="11:11">
      <c r="K644" t="str">
        <f t="shared" si="13"/>
        <v/>
      </c>
    </row>
    <row r="645" spans="11:11">
      <c r="K645" t="str">
        <f t="shared" ref="K645:K708" si="14">IF(A645="","", WEEKNUM(A645, 2))</f>
        <v/>
      </c>
    </row>
    <row r="646" spans="11:11">
      <c r="K646" t="str">
        <f t="shared" si="14"/>
        <v/>
      </c>
    </row>
    <row r="647" spans="11:11">
      <c r="K647" t="str">
        <f t="shared" si="14"/>
        <v/>
      </c>
    </row>
    <row r="648" spans="11:11">
      <c r="K648" t="str">
        <f t="shared" si="14"/>
        <v/>
      </c>
    </row>
    <row r="649" spans="11:11">
      <c r="K649" t="str">
        <f t="shared" si="14"/>
        <v/>
      </c>
    </row>
    <row r="650" spans="11:11">
      <c r="K650" t="str">
        <f t="shared" si="14"/>
        <v/>
      </c>
    </row>
    <row r="651" spans="11:11">
      <c r="K651" t="str">
        <f t="shared" si="14"/>
        <v/>
      </c>
    </row>
    <row r="652" spans="11:11">
      <c r="K652" t="str">
        <f t="shared" si="14"/>
        <v/>
      </c>
    </row>
    <row r="653" spans="11:11">
      <c r="K653" t="str">
        <f t="shared" si="14"/>
        <v/>
      </c>
    </row>
    <row r="654" spans="11:11">
      <c r="K654" t="str">
        <f t="shared" si="14"/>
        <v/>
      </c>
    </row>
    <row r="655" spans="11:11">
      <c r="K655" t="str">
        <f t="shared" si="14"/>
        <v/>
      </c>
    </row>
    <row r="656" spans="11:11">
      <c r="K656" t="str">
        <f t="shared" si="14"/>
        <v/>
      </c>
    </row>
    <row r="657" spans="11:11">
      <c r="K657" t="str">
        <f t="shared" si="14"/>
        <v/>
      </c>
    </row>
    <row r="658" spans="11:11">
      <c r="K658" t="str">
        <f t="shared" si="14"/>
        <v/>
      </c>
    </row>
    <row r="659" spans="11:11">
      <c r="K659" t="str">
        <f t="shared" si="14"/>
        <v/>
      </c>
    </row>
    <row r="660" spans="11:11">
      <c r="K660" t="str">
        <f t="shared" si="14"/>
        <v/>
      </c>
    </row>
    <row r="661" spans="11:11">
      <c r="K661" t="str">
        <f t="shared" si="14"/>
        <v/>
      </c>
    </row>
    <row r="662" spans="11:11">
      <c r="K662" t="str">
        <f t="shared" si="14"/>
        <v/>
      </c>
    </row>
    <row r="663" spans="11:11">
      <c r="K663" t="str">
        <f t="shared" si="14"/>
        <v/>
      </c>
    </row>
    <row r="664" spans="11:11">
      <c r="K664" t="str">
        <f t="shared" si="14"/>
        <v/>
      </c>
    </row>
    <row r="665" spans="11:11">
      <c r="K665" t="str">
        <f t="shared" si="14"/>
        <v/>
      </c>
    </row>
    <row r="666" spans="11:11">
      <c r="K666" t="str">
        <f t="shared" si="14"/>
        <v/>
      </c>
    </row>
    <row r="667" spans="11:11">
      <c r="K667" t="str">
        <f t="shared" si="14"/>
        <v/>
      </c>
    </row>
    <row r="668" spans="11:11">
      <c r="K668" t="str">
        <f t="shared" si="14"/>
        <v/>
      </c>
    </row>
    <row r="669" spans="11:11">
      <c r="K669" t="str">
        <f t="shared" si="14"/>
        <v/>
      </c>
    </row>
    <row r="670" spans="11:11">
      <c r="K670" t="str">
        <f t="shared" si="14"/>
        <v/>
      </c>
    </row>
    <row r="671" spans="11:11">
      <c r="K671" t="str">
        <f t="shared" si="14"/>
        <v/>
      </c>
    </row>
    <row r="672" spans="11:11">
      <c r="K672" t="str">
        <f t="shared" si="14"/>
        <v/>
      </c>
    </row>
    <row r="673" spans="11:11">
      <c r="K673" t="str">
        <f t="shared" si="14"/>
        <v/>
      </c>
    </row>
    <row r="674" spans="11:11">
      <c r="K674" t="str">
        <f t="shared" si="14"/>
        <v/>
      </c>
    </row>
    <row r="675" spans="11:11">
      <c r="K675" t="str">
        <f t="shared" si="14"/>
        <v/>
      </c>
    </row>
    <row r="676" spans="11:11">
      <c r="K676" t="str">
        <f t="shared" si="14"/>
        <v/>
      </c>
    </row>
    <row r="677" spans="11:11">
      <c r="K677" t="str">
        <f t="shared" si="14"/>
        <v/>
      </c>
    </row>
    <row r="678" spans="11:11">
      <c r="K678" t="str">
        <f t="shared" si="14"/>
        <v/>
      </c>
    </row>
    <row r="679" spans="11:11">
      <c r="K679" t="str">
        <f t="shared" si="14"/>
        <v/>
      </c>
    </row>
    <row r="680" spans="11:11">
      <c r="K680" t="str">
        <f t="shared" si="14"/>
        <v/>
      </c>
    </row>
    <row r="681" spans="11:11">
      <c r="K681" t="str">
        <f t="shared" si="14"/>
        <v/>
      </c>
    </row>
    <row r="682" spans="11:11">
      <c r="K682" t="str">
        <f t="shared" si="14"/>
        <v/>
      </c>
    </row>
    <row r="683" spans="11:11">
      <c r="K683" t="str">
        <f t="shared" si="14"/>
        <v/>
      </c>
    </row>
    <row r="684" spans="11:11">
      <c r="K684" t="str">
        <f t="shared" si="14"/>
        <v/>
      </c>
    </row>
    <row r="685" spans="11:11">
      <c r="K685" t="str">
        <f t="shared" si="14"/>
        <v/>
      </c>
    </row>
    <row r="686" spans="11:11">
      <c r="K686" t="str">
        <f t="shared" si="14"/>
        <v/>
      </c>
    </row>
    <row r="687" spans="11:11">
      <c r="K687" t="str">
        <f t="shared" si="14"/>
        <v/>
      </c>
    </row>
    <row r="688" spans="11:11">
      <c r="K688" t="str">
        <f t="shared" si="14"/>
        <v/>
      </c>
    </row>
    <row r="689" spans="11:11">
      <c r="K689" t="str">
        <f t="shared" si="14"/>
        <v/>
      </c>
    </row>
    <row r="690" spans="11:11">
      <c r="K690" t="str">
        <f t="shared" si="14"/>
        <v/>
      </c>
    </row>
    <row r="691" spans="11:11">
      <c r="K691" t="str">
        <f t="shared" si="14"/>
        <v/>
      </c>
    </row>
    <row r="692" spans="11:11">
      <c r="K692" t="str">
        <f t="shared" si="14"/>
        <v/>
      </c>
    </row>
    <row r="693" spans="11:11">
      <c r="K693" t="str">
        <f t="shared" si="14"/>
        <v/>
      </c>
    </row>
    <row r="694" spans="11:11">
      <c r="K694" t="str">
        <f t="shared" si="14"/>
        <v/>
      </c>
    </row>
    <row r="695" spans="11:11">
      <c r="K695" t="str">
        <f t="shared" si="14"/>
        <v/>
      </c>
    </row>
    <row r="696" spans="11:11">
      <c r="K696" t="str">
        <f t="shared" si="14"/>
        <v/>
      </c>
    </row>
    <row r="697" spans="11:11">
      <c r="K697" t="str">
        <f t="shared" si="14"/>
        <v/>
      </c>
    </row>
    <row r="698" spans="11:11">
      <c r="K698" t="str">
        <f t="shared" si="14"/>
        <v/>
      </c>
    </row>
    <row r="699" spans="11:11">
      <c r="K699" t="str">
        <f t="shared" si="14"/>
        <v/>
      </c>
    </row>
    <row r="700" spans="11:11">
      <c r="K700" t="str">
        <f t="shared" si="14"/>
        <v/>
      </c>
    </row>
    <row r="701" spans="11:11">
      <c r="K701" t="str">
        <f t="shared" si="14"/>
        <v/>
      </c>
    </row>
    <row r="702" spans="11:11">
      <c r="K702" t="str">
        <f t="shared" si="14"/>
        <v/>
      </c>
    </row>
    <row r="703" spans="11:11">
      <c r="K703" t="str">
        <f t="shared" si="14"/>
        <v/>
      </c>
    </row>
    <row r="704" spans="11:11">
      <c r="K704" t="str">
        <f t="shared" si="14"/>
        <v/>
      </c>
    </row>
    <row r="705" spans="11:11">
      <c r="K705" t="str">
        <f t="shared" si="14"/>
        <v/>
      </c>
    </row>
    <row r="706" spans="11:11">
      <c r="K706" t="str">
        <f t="shared" si="14"/>
        <v/>
      </c>
    </row>
    <row r="707" spans="11:11">
      <c r="K707" t="str">
        <f t="shared" si="14"/>
        <v/>
      </c>
    </row>
    <row r="708" spans="11:11">
      <c r="K708" t="str">
        <f t="shared" si="14"/>
        <v/>
      </c>
    </row>
    <row r="709" spans="11:11">
      <c r="K709" t="str">
        <f t="shared" ref="K709:K772" si="15">IF(A709="","", WEEKNUM(A709, 2))</f>
        <v/>
      </c>
    </row>
    <row r="710" spans="11:11">
      <c r="K710" t="str">
        <f t="shared" si="15"/>
        <v/>
      </c>
    </row>
    <row r="711" spans="11:11">
      <c r="K711" t="str">
        <f t="shared" si="15"/>
        <v/>
      </c>
    </row>
    <row r="712" spans="11:11">
      <c r="K712" t="str">
        <f t="shared" si="15"/>
        <v/>
      </c>
    </row>
    <row r="713" spans="11:11">
      <c r="K713" t="str">
        <f t="shared" si="15"/>
        <v/>
      </c>
    </row>
    <row r="714" spans="11:11">
      <c r="K714" t="str">
        <f t="shared" si="15"/>
        <v/>
      </c>
    </row>
    <row r="715" spans="11:11">
      <c r="K715" t="str">
        <f t="shared" si="15"/>
        <v/>
      </c>
    </row>
    <row r="716" spans="11:11">
      <c r="K716" t="str">
        <f t="shared" si="15"/>
        <v/>
      </c>
    </row>
    <row r="717" spans="11:11">
      <c r="K717" t="str">
        <f t="shared" si="15"/>
        <v/>
      </c>
    </row>
    <row r="718" spans="11:11">
      <c r="K718" t="str">
        <f t="shared" si="15"/>
        <v/>
      </c>
    </row>
    <row r="719" spans="11:11">
      <c r="K719" t="str">
        <f t="shared" si="15"/>
        <v/>
      </c>
    </row>
    <row r="720" spans="11:11">
      <c r="K720" t="str">
        <f t="shared" si="15"/>
        <v/>
      </c>
    </row>
    <row r="721" spans="11:11">
      <c r="K721" t="str">
        <f t="shared" si="15"/>
        <v/>
      </c>
    </row>
    <row r="722" spans="11:11">
      <c r="K722" t="str">
        <f t="shared" si="15"/>
        <v/>
      </c>
    </row>
    <row r="723" spans="11:11">
      <c r="K723" t="str">
        <f t="shared" si="15"/>
        <v/>
      </c>
    </row>
    <row r="724" spans="11:11">
      <c r="K724" t="str">
        <f t="shared" si="15"/>
        <v/>
      </c>
    </row>
    <row r="725" spans="11:11">
      <c r="K725" t="str">
        <f t="shared" si="15"/>
        <v/>
      </c>
    </row>
    <row r="726" spans="11:11">
      <c r="K726" t="str">
        <f t="shared" si="15"/>
        <v/>
      </c>
    </row>
    <row r="727" spans="11:11">
      <c r="K727" t="str">
        <f t="shared" si="15"/>
        <v/>
      </c>
    </row>
    <row r="728" spans="11:11">
      <c r="K728" t="str">
        <f t="shared" si="15"/>
        <v/>
      </c>
    </row>
    <row r="729" spans="11:11">
      <c r="K729" t="str">
        <f t="shared" si="15"/>
        <v/>
      </c>
    </row>
    <row r="730" spans="11:11">
      <c r="K730" t="str">
        <f t="shared" si="15"/>
        <v/>
      </c>
    </row>
    <row r="731" spans="11:11">
      <c r="K731" t="str">
        <f t="shared" si="15"/>
        <v/>
      </c>
    </row>
    <row r="732" spans="11:11">
      <c r="K732" t="str">
        <f t="shared" si="15"/>
        <v/>
      </c>
    </row>
    <row r="733" spans="11:11">
      <c r="K733" t="str">
        <f t="shared" si="15"/>
        <v/>
      </c>
    </row>
    <row r="734" spans="11:11">
      <c r="K734" t="str">
        <f t="shared" si="15"/>
        <v/>
      </c>
    </row>
    <row r="735" spans="11:11">
      <c r="K735" t="str">
        <f t="shared" si="15"/>
        <v/>
      </c>
    </row>
    <row r="736" spans="11:11">
      <c r="K736" t="str">
        <f t="shared" si="15"/>
        <v/>
      </c>
    </row>
    <row r="737" spans="11:11">
      <c r="K737" t="str">
        <f t="shared" si="15"/>
        <v/>
      </c>
    </row>
    <row r="738" spans="11:11">
      <c r="K738" t="str">
        <f t="shared" si="15"/>
        <v/>
      </c>
    </row>
    <row r="739" spans="11:11">
      <c r="K739" t="str">
        <f t="shared" si="15"/>
        <v/>
      </c>
    </row>
    <row r="740" spans="11:11">
      <c r="K740" t="str">
        <f t="shared" si="15"/>
        <v/>
      </c>
    </row>
    <row r="741" spans="11:11">
      <c r="K741" t="str">
        <f t="shared" si="15"/>
        <v/>
      </c>
    </row>
    <row r="742" spans="11:11">
      <c r="K742" t="str">
        <f t="shared" si="15"/>
        <v/>
      </c>
    </row>
    <row r="743" spans="11:11">
      <c r="K743" t="str">
        <f t="shared" si="15"/>
        <v/>
      </c>
    </row>
    <row r="744" spans="11:11">
      <c r="K744" t="str">
        <f t="shared" si="15"/>
        <v/>
      </c>
    </row>
    <row r="745" spans="11:11">
      <c r="K745" t="str">
        <f t="shared" si="15"/>
        <v/>
      </c>
    </row>
    <row r="746" spans="11:11">
      <c r="K746" t="str">
        <f t="shared" si="15"/>
        <v/>
      </c>
    </row>
    <row r="747" spans="11:11">
      <c r="K747" t="str">
        <f t="shared" si="15"/>
        <v/>
      </c>
    </row>
    <row r="748" spans="11:11">
      <c r="K748" t="str">
        <f t="shared" si="15"/>
        <v/>
      </c>
    </row>
    <row r="749" spans="11:11">
      <c r="K749" t="str">
        <f t="shared" si="15"/>
        <v/>
      </c>
    </row>
    <row r="750" spans="11:11">
      <c r="K750" t="str">
        <f t="shared" si="15"/>
        <v/>
      </c>
    </row>
    <row r="751" spans="11:11">
      <c r="K751" t="str">
        <f t="shared" si="15"/>
        <v/>
      </c>
    </row>
    <row r="752" spans="11:11">
      <c r="K752" t="str">
        <f t="shared" si="15"/>
        <v/>
      </c>
    </row>
    <row r="753" spans="11:11">
      <c r="K753" t="str">
        <f t="shared" si="15"/>
        <v/>
      </c>
    </row>
    <row r="754" spans="11:11">
      <c r="K754" t="str">
        <f t="shared" si="15"/>
        <v/>
      </c>
    </row>
    <row r="755" spans="11:11">
      <c r="K755" t="str">
        <f t="shared" si="15"/>
        <v/>
      </c>
    </row>
    <row r="756" spans="11:11">
      <c r="K756" t="str">
        <f t="shared" si="15"/>
        <v/>
      </c>
    </row>
    <row r="757" spans="11:11">
      <c r="K757" t="str">
        <f t="shared" si="15"/>
        <v/>
      </c>
    </row>
    <row r="758" spans="11:11">
      <c r="K758" t="str">
        <f t="shared" si="15"/>
        <v/>
      </c>
    </row>
    <row r="759" spans="11:11">
      <c r="K759" t="str">
        <f t="shared" si="15"/>
        <v/>
      </c>
    </row>
    <row r="760" spans="11:11">
      <c r="K760" t="str">
        <f t="shared" si="15"/>
        <v/>
      </c>
    </row>
    <row r="761" spans="11:11">
      <c r="K761" t="str">
        <f t="shared" si="15"/>
        <v/>
      </c>
    </row>
    <row r="762" spans="11:11">
      <c r="K762" t="str">
        <f t="shared" si="15"/>
        <v/>
      </c>
    </row>
    <row r="763" spans="11:11">
      <c r="K763" t="str">
        <f t="shared" si="15"/>
        <v/>
      </c>
    </row>
    <row r="764" spans="11:11">
      <c r="K764" t="str">
        <f t="shared" si="15"/>
        <v/>
      </c>
    </row>
    <row r="765" spans="11:11">
      <c r="K765" t="str">
        <f t="shared" si="15"/>
        <v/>
      </c>
    </row>
    <row r="766" spans="11:11">
      <c r="K766" t="str">
        <f t="shared" si="15"/>
        <v/>
      </c>
    </row>
    <row r="767" spans="11:11">
      <c r="K767" t="str">
        <f t="shared" si="15"/>
        <v/>
      </c>
    </row>
    <row r="768" spans="11:11">
      <c r="K768" t="str">
        <f t="shared" si="15"/>
        <v/>
      </c>
    </row>
    <row r="769" spans="11:11">
      <c r="K769" t="str">
        <f t="shared" si="15"/>
        <v/>
      </c>
    </row>
    <row r="770" spans="11:11">
      <c r="K770" t="str">
        <f t="shared" si="15"/>
        <v/>
      </c>
    </row>
    <row r="771" spans="11:11">
      <c r="K771" t="str">
        <f t="shared" si="15"/>
        <v/>
      </c>
    </row>
    <row r="772" spans="11:11">
      <c r="K772" t="str">
        <f t="shared" si="15"/>
        <v/>
      </c>
    </row>
    <row r="773" spans="11:11">
      <c r="K773" t="str">
        <f t="shared" ref="K773:K836" si="16">IF(A773="","", WEEKNUM(A773, 2))</f>
        <v/>
      </c>
    </row>
    <row r="774" spans="11:11">
      <c r="K774" t="str">
        <f t="shared" si="16"/>
        <v/>
      </c>
    </row>
    <row r="775" spans="11:11">
      <c r="K775" t="str">
        <f t="shared" si="16"/>
        <v/>
      </c>
    </row>
    <row r="776" spans="11:11">
      <c r="K776" t="str">
        <f t="shared" si="16"/>
        <v/>
      </c>
    </row>
    <row r="777" spans="11:11">
      <c r="K777" t="str">
        <f t="shared" si="16"/>
        <v/>
      </c>
    </row>
    <row r="778" spans="11:11">
      <c r="K778" t="str">
        <f t="shared" si="16"/>
        <v/>
      </c>
    </row>
    <row r="779" spans="11:11">
      <c r="K779" t="str">
        <f t="shared" si="16"/>
        <v/>
      </c>
    </row>
    <row r="780" spans="11:11">
      <c r="K780" t="str">
        <f t="shared" si="16"/>
        <v/>
      </c>
    </row>
    <row r="781" spans="11:11">
      <c r="K781" t="str">
        <f t="shared" si="16"/>
        <v/>
      </c>
    </row>
    <row r="782" spans="11:11">
      <c r="K782" t="str">
        <f t="shared" si="16"/>
        <v/>
      </c>
    </row>
    <row r="783" spans="11:11">
      <c r="K783" t="str">
        <f t="shared" si="16"/>
        <v/>
      </c>
    </row>
    <row r="784" spans="11:11">
      <c r="K784" t="str">
        <f t="shared" si="16"/>
        <v/>
      </c>
    </row>
    <row r="785" spans="11:11">
      <c r="K785" t="str">
        <f t="shared" si="16"/>
        <v/>
      </c>
    </row>
    <row r="786" spans="11:11">
      <c r="K786" t="str">
        <f t="shared" si="16"/>
        <v/>
      </c>
    </row>
    <row r="787" spans="11:11">
      <c r="K787" t="str">
        <f t="shared" si="16"/>
        <v/>
      </c>
    </row>
    <row r="788" spans="11:11">
      <c r="K788" t="str">
        <f t="shared" si="16"/>
        <v/>
      </c>
    </row>
    <row r="789" spans="11:11">
      <c r="K789" t="str">
        <f t="shared" si="16"/>
        <v/>
      </c>
    </row>
    <row r="790" spans="11:11">
      <c r="K790" t="str">
        <f t="shared" si="16"/>
        <v/>
      </c>
    </row>
    <row r="791" spans="11:11">
      <c r="K791" t="str">
        <f t="shared" si="16"/>
        <v/>
      </c>
    </row>
    <row r="792" spans="11:11">
      <c r="K792" t="str">
        <f t="shared" si="16"/>
        <v/>
      </c>
    </row>
    <row r="793" spans="11:11">
      <c r="K793" t="str">
        <f t="shared" si="16"/>
        <v/>
      </c>
    </row>
    <row r="794" spans="11:11">
      <c r="K794" t="str">
        <f t="shared" si="16"/>
        <v/>
      </c>
    </row>
    <row r="795" spans="11:11">
      <c r="K795" t="str">
        <f t="shared" si="16"/>
        <v/>
      </c>
    </row>
    <row r="796" spans="11:11">
      <c r="K796" t="str">
        <f t="shared" si="16"/>
        <v/>
      </c>
    </row>
    <row r="797" spans="11:11">
      <c r="K797" t="str">
        <f t="shared" si="16"/>
        <v/>
      </c>
    </row>
    <row r="798" spans="11:11">
      <c r="K798" t="str">
        <f t="shared" si="16"/>
        <v/>
      </c>
    </row>
    <row r="799" spans="11:11">
      <c r="K799" t="str">
        <f t="shared" si="16"/>
        <v/>
      </c>
    </row>
    <row r="800" spans="11:11">
      <c r="K800" t="str">
        <f t="shared" si="16"/>
        <v/>
      </c>
    </row>
    <row r="801" spans="11:11">
      <c r="K801" t="str">
        <f t="shared" si="16"/>
        <v/>
      </c>
    </row>
    <row r="802" spans="11:11">
      <c r="K802" t="str">
        <f t="shared" si="16"/>
        <v/>
      </c>
    </row>
    <row r="803" spans="11:11">
      <c r="K803" t="str">
        <f t="shared" si="16"/>
        <v/>
      </c>
    </row>
    <row r="804" spans="11:11">
      <c r="K804" t="str">
        <f t="shared" si="16"/>
        <v/>
      </c>
    </row>
    <row r="805" spans="11:11">
      <c r="K805" t="str">
        <f t="shared" si="16"/>
        <v/>
      </c>
    </row>
    <row r="806" spans="11:11">
      <c r="K806" t="str">
        <f t="shared" si="16"/>
        <v/>
      </c>
    </row>
    <row r="807" spans="11:11">
      <c r="K807" t="str">
        <f t="shared" si="16"/>
        <v/>
      </c>
    </row>
    <row r="808" spans="11:11">
      <c r="K808" t="str">
        <f t="shared" si="16"/>
        <v/>
      </c>
    </row>
    <row r="809" spans="11:11">
      <c r="K809" t="str">
        <f t="shared" si="16"/>
        <v/>
      </c>
    </row>
    <row r="810" spans="11:11">
      <c r="K810" t="str">
        <f t="shared" si="16"/>
        <v/>
      </c>
    </row>
    <row r="811" spans="11:11">
      <c r="K811" t="str">
        <f t="shared" si="16"/>
        <v/>
      </c>
    </row>
    <row r="812" spans="11:11">
      <c r="K812" t="str">
        <f t="shared" si="16"/>
        <v/>
      </c>
    </row>
    <row r="813" spans="11:11">
      <c r="K813" t="str">
        <f t="shared" si="16"/>
        <v/>
      </c>
    </row>
    <row r="814" spans="11:11">
      <c r="K814" t="str">
        <f t="shared" si="16"/>
        <v/>
      </c>
    </row>
    <row r="815" spans="11:11">
      <c r="K815" t="str">
        <f t="shared" si="16"/>
        <v/>
      </c>
    </row>
    <row r="816" spans="11:11">
      <c r="K816" t="str">
        <f t="shared" si="16"/>
        <v/>
      </c>
    </row>
    <row r="817" spans="11:11">
      <c r="K817" t="str">
        <f t="shared" si="16"/>
        <v/>
      </c>
    </row>
    <row r="818" spans="11:11">
      <c r="K818" t="str">
        <f t="shared" si="16"/>
        <v/>
      </c>
    </row>
    <row r="819" spans="11:11">
      <c r="K819" t="str">
        <f t="shared" si="16"/>
        <v/>
      </c>
    </row>
    <row r="820" spans="11:11">
      <c r="K820" t="str">
        <f t="shared" si="16"/>
        <v/>
      </c>
    </row>
    <row r="821" spans="11:11">
      <c r="K821" t="str">
        <f t="shared" si="16"/>
        <v/>
      </c>
    </row>
    <row r="822" spans="11:11">
      <c r="K822" t="str">
        <f t="shared" si="16"/>
        <v/>
      </c>
    </row>
    <row r="823" spans="11:11">
      <c r="K823" t="str">
        <f t="shared" si="16"/>
        <v/>
      </c>
    </row>
    <row r="824" spans="11:11">
      <c r="K824" t="str">
        <f t="shared" si="16"/>
        <v/>
      </c>
    </row>
    <row r="825" spans="11:11">
      <c r="K825" t="str">
        <f t="shared" si="16"/>
        <v/>
      </c>
    </row>
    <row r="826" spans="11:11">
      <c r="K826" t="str">
        <f t="shared" si="16"/>
        <v/>
      </c>
    </row>
    <row r="827" spans="11:11">
      <c r="K827" t="str">
        <f t="shared" si="16"/>
        <v/>
      </c>
    </row>
    <row r="828" spans="11:11">
      <c r="K828" t="str">
        <f t="shared" si="16"/>
        <v/>
      </c>
    </row>
    <row r="829" spans="11:11">
      <c r="K829" t="str">
        <f t="shared" si="16"/>
        <v/>
      </c>
    </row>
    <row r="830" spans="11:11">
      <c r="K830" t="str">
        <f t="shared" si="16"/>
        <v/>
      </c>
    </row>
    <row r="831" spans="11:11">
      <c r="K831" t="str">
        <f t="shared" si="16"/>
        <v/>
      </c>
    </row>
    <row r="832" spans="11:11">
      <c r="K832" t="str">
        <f t="shared" si="16"/>
        <v/>
      </c>
    </row>
    <row r="833" spans="11:11">
      <c r="K833" t="str">
        <f t="shared" si="16"/>
        <v/>
      </c>
    </row>
    <row r="834" spans="11:11">
      <c r="K834" t="str">
        <f t="shared" si="16"/>
        <v/>
      </c>
    </row>
    <row r="835" spans="11:11">
      <c r="K835" t="str">
        <f t="shared" si="16"/>
        <v/>
      </c>
    </row>
    <row r="836" spans="11:11">
      <c r="K836" t="str">
        <f t="shared" si="16"/>
        <v/>
      </c>
    </row>
    <row r="837" spans="11:11">
      <c r="K837" t="str">
        <f t="shared" ref="K837:K900" si="17">IF(A837="","", WEEKNUM(A837, 2))</f>
        <v/>
      </c>
    </row>
    <row r="838" spans="11:11">
      <c r="K838" t="str">
        <f t="shared" si="17"/>
        <v/>
      </c>
    </row>
    <row r="839" spans="11:11">
      <c r="K839" t="str">
        <f t="shared" si="17"/>
        <v/>
      </c>
    </row>
    <row r="840" spans="11:11">
      <c r="K840" t="str">
        <f t="shared" si="17"/>
        <v/>
      </c>
    </row>
    <row r="841" spans="11:11">
      <c r="K841" t="str">
        <f t="shared" si="17"/>
        <v/>
      </c>
    </row>
    <row r="842" spans="11:11">
      <c r="K842" t="str">
        <f t="shared" si="17"/>
        <v/>
      </c>
    </row>
    <row r="843" spans="11:11">
      <c r="K843" t="str">
        <f t="shared" si="17"/>
        <v/>
      </c>
    </row>
    <row r="844" spans="11:11">
      <c r="K844" t="str">
        <f t="shared" si="17"/>
        <v/>
      </c>
    </row>
    <row r="845" spans="11:11">
      <c r="K845" t="str">
        <f t="shared" si="17"/>
        <v/>
      </c>
    </row>
    <row r="846" spans="11:11">
      <c r="K846" t="str">
        <f t="shared" si="17"/>
        <v/>
      </c>
    </row>
    <row r="847" spans="11:11">
      <c r="K847" t="str">
        <f t="shared" si="17"/>
        <v/>
      </c>
    </row>
    <row r="848" spans="11:11">
      <c r="K848" t="str">
        <f t="shared" si="17"/>
        <v/>
      </c>
    </row>
    <row r="849" spans="11:11">
      <c r="K849" t="str">
        <f t="shared" si="17"/>
        <v/>
      </c>
    </row>
    <row r="850" spans="11:11">
      <c r="K850" t="str">
        <f t="shared" si="17"/>
        <v/>
      </c>
    </row>
    <row r="851" spans="11:11">
      <c r="K851" t="str">
        <f t="shared" si="17"/>
        <v/>
      </c>
    </row>
    <row r="852" spans="11:11">
      <c r="K852" t="str">
        <f t="shared" si="17"/>
        <v/>
      </c>
    </row>
    <row r="853" spans="11:11">
      <c r="K853" t="str">
        <f t="shared" si="17"/>
        <v/>
      </c>
    </row>
    <row r="854" spans="11:11">
      <c r="K854" t="str">
        <f t="shared" si="17"/>
        <v/>
      </c>
    </row>
    <row r="855" spans="11:11">
      <c r="K855" t="str">
        <f t="shared" si="17"/>
        <v/>
      </c>
    </row>
    <row r="856" spans="11:11">
      <c r="K856" t="str">
        <f t="shared" si="17"/>
        <v/>
      </c>
    </row>
    <row r="857" spans="11:11">
      <c r="K857" t="str">
        <f t="shared" si="17"/>
        <v/>
      </c>
    </row>
    <row r="858" spans="11:11">
      <c r="K858" t="str">
        <f t="shared" si="17"/>
        <v/>
      </c>
    </row>
    <row r="859" spans="11:11">
      <c r="K859" t="str">
        <f t="shared" si="17"/>
        <v/>
      </c>
    </row>
    <row r="860" spans="11:11">
      <c r="K860" t="str">
        <f t="shared" si="17"/>
        <v/>
      </c>
    </row>
    <row r="861" spans="11:11">
      <c r="K861" t="str">
        <f t="shared" si="17"/>
        <v/>
      </c>
    </row>
    <row r="862" spans="11:11">
      <c r="K862" t="str">
        <f t="shared" si="17"/>
        <v/>
      </c>
    </row>
    <row r="863" spans="11:11">
      <c r="K863" t="str">
        <f t="shared" si="17"/>
        <v/>
      </c>
    </row>
    <row r="864" spans="11:11">
      <c r="K864" t="str">
        <f t="shared" si="17"/>
        <v/>
      </c>
    </row>
    <row r="865" spans="11:11">
      <c r="K865" t="str">
        <f t="shared" si="17"/>
        <v/>
      </c>
    </row>
    <row r="866" spans="11:11">
      <c r="K866" t="str">
        <f t="shared" si="17"/>
        <v/>
      </c>
    </row>
    <row r="867" spans="11:11">
      <c r="K867" t="str">
        <f t="shared" si="17"/>
        <v/>
      </c>
    </row>
    <row r="868" spans="11:11">
      <c r="K868" t="str">
        <f t="shared" si="17"/>
        <v/>
      </c>
    </row>
    <row r="869" spans="11:11">
      <c r="K869" t="str">
        <f t="shared" si="17"/>
        <v/>
      </c>
    </row>
    <row r="870" spans="11:11">
      <c r="K870" t="str">
        <f t="shared" si="17"/>
        <v/>
      </c>
    </row>
    <row r="871" spans="11:11">
      <c r="K871" t="str">
        <f t="shared" si="17"/>
        <v/>
      </c>
    </row>
    <row r="872" spans="11:11">
      <c r="K872" t="str">
        <f t="shared" si="17"/>
        <v/>
      </c>
    </row>
    <row r="873" spans="11:11">
      <c r="K873" t="str">
        <f t="shared" si="17"/>
        <v/>
      </c>
    </row>
    <row r="874" spans="11:11">
      <c r="K874" t="str">
        <f t="shared" si="17"/>
        <v/>
      </c>
    </row>
    <row r="875" spans="11:11">
      <c r="K875" t="str">
        <f t="shared" si="17"/>
        <v/>
      </c>
    </row>
    <row r="876" spans="11:11">
      <c r="K876" t="str">
        <f t="shared" si="17"/>
        <v/>
      </c>
    </row>
    <row r="877" spans="11:11">
      <c r="K877" t="str">
        <f t="shared" si="17"/>
        <v/>
      </c>
    </row>
    <row r="878" spans="11:11">
      <c r="K878" t="str">
        <f t="shared" si="17"/>
        <v/>
      </c>
    </row>
    <row r="879" spans="11:11">
      <c r="K879" t="str">
        <f t="shared" si="17"/>
        <v/>
      </c>
    </row>
    <row r="880" spans="11:11">
      <c r="K880" t="str">
        <f t="shared" si="17"/>
        <v/>
      </c>
    </row>
    <row r="881" spans="11:11">
      <c r="K881" t="str">
        <f t="shared" si="17"/>
        <v/>
      </c>
    </row>
    <row r="882" spans="11:11">
      <c r="K882" t="str">
        <f t="shared" si="17"/>
        <v/>
      </c>
    </row>
    <row r="883" spans="11:11">
      <c r="K883" t="str">
        <f t="shared" si="17"/>
        <v/>
      </c>
    </row>
    <row r="884" spans="11:11">
      <c r="K884" t="str">
        <f t="shared" si="17"/>
        <v/>
      </c>
    </row>
    <row r="885" spans="11:11">
      <c r="K885" t="str">
        <f t="shared" si="17"/>
        <v/>
      </c>
    </row>
    <row r="886" spans="11:11">
      <c r="K886" t="str">
        <f t="shared" si="17"/>
        <v/>
      </c>
    </row>
    <row r="887" spans="11:11">
      <c r="K887" t="str">
        <f t="shared" si="17"/>
        <v/>
      </c>
    </row>
    <row r="888" spans="11:11">
      <c r="K888" t="str">
        <f t="shared" si="17"/>
        <v/>
      </c>
    </row>
    <row r="889" spans="11:11">
      <c r="K889" t="str">
        <f t="shared" si="17"/>
        <v/>
      </c>
    </row>
    <row r="890" spans="11:11">
      <c r="K890" t="str">
        <f t="shared" si="17"/>
        <v/>
      </c>
    </row>
    <row r="891" spans="11:11">
      <c r="K891" t="str">
        <f t="shared" si="17"/>
        <v/>
      </c>
    </row>
    <row r="892" spans="11:11">
      <c r="K892" t="str">
        <f t="shared" si="17"/>
        <v/>
      </c>
    </row>
    <row r="893" spans="11:11">
      <c r="K893" t="str">
        <f t="shared" si="17"/>
        <v/>
      </c>
    </row>
    <row r="894" spans="11:11">
      <c r="K894" t="str">
        <f t="shared" si="17"/>
        <v/>
      </c>
    </row>
    <row r="895" spans="11:11">
      <c r="K895" t="str">
        <f t="shared" si="17"/>
        <v/>
      </c>
    </row>
    <row r="896" spans="11:11">
      <c r="K896" t="str">
        <f t="shared" si="17"/>
        <v/>
      </c>
    </row>
    <row r="897" spans="11:11">
      <c r="K897" t="str">
        <f t="shared" si="17"/>
        <v/>
      </c>
    </row>
    <row r="898" spans="11:11">
      <c r="K898" t="str">
        <f t="shared" si="17"/>
        <v/>
      </c>
    </row>
    <row r="899" spans="11:11">
      <c r="K899" t="str">
        <f t="shared" si="17"/>
        <v/>
      </c>
    </row>
    <row r="900" spans="11:11">
      <c r="K900" t="str">
        <f t="shared" si="17"/>
        <v/>
      </c>
    </row>
    <row r="901" spans="11:11">
      <c r="K901" t="str">
        <f t="shared" ref="K901:K964" si="18">IF(A901="","", WEEKNUM(A901, 2))</f>
        <v/>
      </c>
    </row>
    <row r="902" spans="11:11">
      <c r="K902" t="str">
        <f t="shared" si="18"/>
        <v/>
      </c>
    </row>
    <row r="903" spans="11:11">
      <c r="K903" t="str">
        <f t="shared" si="18"/>
        <v/>
      </c>
    </row>
    <row r="904" spans="11:11">
      <c r="K904" t="str">
        <f t="shared" si="18"/>
        <v/>
      </c>
    </row>
    <row r="905" spans="11:11">
      <c r="K905" t="str">
        <f t="shared" si="18"/>
        <v/>
      </c>
    </row>
    <row r="906" spans="11:11">
      <c r="K906" t="str">
        <f t="shared" si="18"/>
        <v/>
      </c>
    </row>
    <row r="907" spans="11:11">
      <c r="K907" t="str">
        <f t="shared" si="18"/>
        <v/>
      </c>
    </row>
    <row r="908" spans="11:11">
      <c r="K908" t="str">
        <f t="shared" si="18"/>
        <v/>
      </c>
    </row>
    <row r="909" spans="11:11">
      <c r="K909" t="str">
        <f t="shared" si="18"/>
        <v/>
      </c>
    </row>
    <row r="910" spans="11:11">
      <c r="K910" t="str">
        <f t="shared" si="18"/>
        <v/>
      </c>
    </row>
    <row r="911" spans="11:11">
      <c r="K911" t="str">
        <f t="shared" si="18"/>
        <v/>
      </c>
    </row>
    <row r="912" spans="11:11">
      <c r="K912" t="str">
        <f t="shared" si="18"/>
        <v/>
      </c>
    </row>
    <row r="913" spans="11:11">
      <c r="K913" t="str">
        <f t="shared" si="18"/>
        <v/>
      </c>
    </row>
    <row r="914" spans="11:11">
      <c r="K914" t="str">
        <f t="shared" si="18"/>
        <v/>
      </c>
    </row>
    <row r="915" spans="11:11">
      <c r="K915" t="str">
        <f t="shared" si="18"/>
        <v/>
      </c>
    </row>
    <row r="916" spans="11:11">
      <c r="K916" t="str">
        <f t="shared" si="18"/>
        <v/>
      </c>
    </row>
    <row r="917" spans="11:11">
      <c r="K917" t="str">
        <f t="shared" si="18"/>
        <v/>
      </c>
    </row>
    <row r="918" spans="11:11">
      <c r="K918" t="str">
        <f t="shared" si="18"/>
        <v/>
      </c>
    </row>
    <row r="919" spans="11:11">
      <c r="K919" t="str">
        <f t="shared" si="18"/>
        <v/>
      </c>
    </row>
    <row r="920" spans="11:11">
      <c r="K920" t="str">
        <f t="shared" si="18"/>
        <v/>
      </c>
    </row>
    <row r="921" spans="11:11">
      <c r="K921" t="str">
        <f t="shared" si="18"/>
        <v/>
      </c>
    </row>
    <row r="922" spans="11:11">
      <c r="K922" t="str">
        <f t="shared" si="18"/>
        <v/>
      </c>
    </row>
    <row r="923" spans="11:11">
      <c r="K923" t="str">
        <f t="shared" si="18"/>
        <v/>
      </c>
    </row>
    <row r="924" spans="11:11">
      <c r="K924" t="str">
        <f t="shared" si="18"/>
        <v/>
      </c>
    </row>
    <row r="925" spans="11:11">
      <c r="K925" t="str">
        <f t="shared" si="18"/>
        <v/>
      </c>
    </row>
    <row r="926" spans="11:11">
      <c r="K926" t="str">
        <f t="shared" si="18"/>
        <v/>
      </c>
    </row>
    <row r="927" spans="11:11">
      <c r="K927" t="str">
        <f t="shared" si="18"/>
        <v/>
      </c>
    </row>
    <row r="928" spans="11:11">
      <c r="K928" t="str">
        <f t="shared" si="18"/>
        <v/>
      </c>
    </row>
    <row r="929" spans="11:11">
      <c r="K929" t="str">
        <f t="shared" si="18"/>
        <v/>
      </c>
    </row>
    <row r="930" spans="11:11">
      <c r="K930" t="str">
        <f t="shared" si="18"/>
        <v/>
      </c>
    </row>
    <row r="931" spans="11:11">
      <c r="K931" t="str">
        <f t="shared" si="18"/>
        <v/>
      </c>
    </row>
    <row r="932" spans="11:11">
      <c r="K932" t="str">
        <f t="shared" si="18"/>
        <v/>
      </c>
    </row>
    <row r="933" spans="11:11">
      <c r="K933" t="str">
        <f t="shared" si="18"/>
        <v/>
      </c>
    </row>
    <row r="934" spans="11:11">
      <c r="K934" t="str">
        <f t="shared" si="18"/>
        <v/>
      </c>
    </row>
    <row r="935" spans="11:11">
      <c r="K935" t="str">
        <f t="shared" si="18"/>
        <v/>
      </c>
    </row>
    <row r="936" spans="11:11">
      <c r="K936" t="str">
        <f t="shared" si="18"/>
        <v/>
      </c>
    </row>
    <row r="937" spans="11:11">
      <c r="K937" t="str">
        <f t="shared" si="18"/>
        <v/>
      </c>
    </row>
    <row r="938" spans="11:11">
      <c r="K938" t="str">
        <f t="shared" si="18"/>
        <v/>
      </c>
    </row>
    <row r="939" spans="11:11">
      <c r="K939" t="str">
        <f t="shared" si="18"/>
        <v/>
      </c>
    </row>
    <row r="940" spans="11:11">
      <c r="K940" t="str">
        <f t="shared" si="18"/>
        <v/>
      </c>
    </row>
    <row r="941" spans="11:11">
      <c r="K941" t="str">
        <f t="shared" si="18"/>
        <v/>
      </c>
    </row>
    <row r="942" spans="11:11">
      <c r="K942" t="str">
        <f t="shared" si="18"/>
        <v/>
      </c>
    </row>
    <row r="943" spans="11:11">
      <c r="K943" t="str">
        <f t="shared" si="18"/>
        <v/>
      </c>
    </row>
    <row r="944" spans="11:11">
      <c r="K944" t="str">
        <f t="shared" si="18"/>
        <v/>
      </c>
    </row>
    <row r="945" spans="11:11">
      <c r="K945" t="str">
        <f t="shared" si="18"/>
        <v/>
      </c>
    </row>
    <row r="946" spans="11:11">
      <c r="K946" t="str">
        <f t="shared" si="18"/>
        <v/>
      </c>
    </row>
    <row r="947" spans="11:11">
      <c r="K947" t="str">
        <f t="shared" si="18"/>
        <v/>
      </c>
    </row>
    <row r="948" spans="11:11">
      <c r="K948" t="str">
        <f t="shared" si="18"/>
        <v/>
      </c>
    </row>
    <row r="949" spans="11:11">
      <c r="K949" t="str">
        <f t="shared" si="18"/>
        <v/>
      </c>
    </row>
    <row r="950" spans="11:11">
      <c r="K950" t="str">
        <f t="shared" si="18"/>
        <v/>
      </c>
    </row>
    <row r="951" spans="11:11">
      <c r="K951" t="str">
        <f t="shared" si="18"/>
        <v/>
      </c>
    </row>
    <row r="952" spans="11:11">
      <c r="K952" t="str">
        <f t="shared" si="18"/>
        <v/>
      </c>
    </row>
    <row r="953" spans="11:11">
      <c r="K953" t="str">
        <f t="shared" si="18"/>
        <v/>
      </c>
    </row>
    <row r="954" spans="11:11">
      <c r="K954" t="str">
        <f t="shared" si="18"/>
        <v/>
      </c>
    </row>
    <row r="955" spans="11:11">
      <c r="K955" t="str">
        <f t="shared" si="18"/>
        <v/>
      </c>
    </row>
    <row r="956" spans="11:11">
      <c r="K956" t="str">
        <f t="shared" si="18"/>
        <v/>
      </c>
    </row>
    <row r="957" spans="11:11">
      <c r="K957" t="str">
        <f t="shared" si="18"/>
        <v/>
      </c>
    </row>
    <row r="958" spans="11:11">
      <c r="K958" t="str">
        <f t="shared" si="18"/>
        <v/>
      </c>
    </row>
    <row r="959" spans="11:11">
      <c r="K959" t="str">
        <f t="shared" si="18"/>
        <v/>
      </c>
    </row>
    <row r="960" spans="11:11">
      <c r="K960" t="str">
        <f t="shared" si="18"/>
        <v/>
      </c>
    </row>
    <row r="961" spans="11:11">
      <c r="K961" t="str">
        <f t="shared" si="18"/>
        <v/>
      </c>
    </row>
    <row r="962" spans="11:11">
      <c r="K962" t="str">
        <f t="shared" si="18"/>
        <v/>
      </c>
    </row>
    <row r="963" spans="11:11">
      <c r="K963" t="str">
        <f t="shared" si="18"/>
        <v/>
      </c>
    </row>
    <row r="964" spans="11:11">
      <c r="K964" t="str">
        <f t="shared" si="18"/>
        <v/>
      </c>
    </row>
    <row r="965" spans="11:11">
      <c r="K965" t="str">
        <f t="shared" ref="K965:K1028" si="19">IF(A965="","", WEEKNUM(A965, 2))</f>
        <v/>
      </c>
    </row>
    <row r="966" spans="11:11">
      <c r="K966" t="str">
        <f t="shared" si="19"/>
        <v/>
      </c>
    </row>
    <row r="967" spans="11:11">
      <c r="K967" t="str">
        <f t="shared" si="19"/>
        <v/>
      </c>
    </row>
    <row r="968" spans="11:11">
      <c r="K968" t="str">
        <f t="shared" si="19"/>
        <v/>
      </c>
    </row>
    <row r="969" spans="11:11">
      <c r="K969" t="str">
        <f t="shared" si="19"/>
        <v/>
      </c>
    </row>
    <row r="970" spans="11:11">
      <c r="K970" t="str">
        <f t="shared" si="19"/>
        <v/>
      </c>
    </row>
    <row r="971" spans="11:11">
      <c r="K971" t="str">
        <f t="shared" si="19"/>
        <v/>
      </c>
    </row>
    <row r="972" spans="11:11">
      <c r="K972" t="str">
        <f t="shared" si="19"/>
        <v/>
      </c>
    </row>
    <row r="973" spans="11:11">
      <c r="K973" t="str">
        <f t="shared" si="19"/>
        <v/>
      </c>
    </row>
    <row r="974" spans="11:11">
      <c r="K974" t="str">
        <f t="shared" si="19"/>
        <v/>
      </c>
    </row>
    <row r="975" spans="11:11">
      <c r="K975" t="str">
        <f t="shared" si="19"/>
        <v/>
      </c>
    </row>
    <row r="976" spans="11:11">
      <c r="K976" t="str">
        <f t="shared" si="19"/>
        <v/>
      </c>
    </row>
    <row r="977" spans="11:11">
      <c r="K977" t="str">
        <f t="shared" si="19"/>
        <v/>
      </c>
    </row>
    <row r="978" spans="11:11">
      <c r="K978" t="str">
        <f t="shared" si="19"/>
        <v/>
      </c>
    </row>
    <row r="979" spans="11:11">
      <c r="K979" t="str">
        <f t="shared" si="19"/>
        <v/>
      </c>
    </row>
    <row r="980" spans="11:11">
      <c r="K980" t="str">
        <f t="shared" si="19"/>
        <v/>
      </c>
    </row>
    <row r="981" spans="11:11">
      <c r="K981" t="str">
        <f t="shared" si="19"/>
        <v/>
      </c>
    </row>
    <row r="982" spans="11:11">
      <c r="K982" t="str">
        <f t="shared" si="19"/>
        <v/>
      </c>
    </row>
    <row r="983" spans="11:11">
      <c r="K983" t="str">
        <f t="shared" si="19"/>
        <v/>
      </c>
    </row>
    <row r="984" spans="11:11">
      <c r="K984" t="str">
        <f t="shared" si="19"/>
        <v/>
      </c>
    </row>
    <row r="985" spans="11:11">
      <c r="K985" t="str">
        <f t="shared" si="19"/>
        <v/>
      </c>
    </row>
    <row r="986" spans="11:11">
      <c r="K986" t="str">
        <f t="shared" si="19"/>
        <v/>
      </c>
    </row>
    <row r="987" spans="11:11">
      <c r="K987" t="str">
        <f t="shared" si="19"/>
        <v/>
      </c>
    </row>
    <row r="988" spans="11:11">
      <c r="K988" t="str">
        <f t="shared" si="19"/>
        <v/>
      </c>
    </row>
    <row r="989" spans="11:11">
      <c r="K989" t="str">
        <f t="shared" si="19"/>
        <v/>
      </c>
    </row>
    <row r="990" spans="11:11">
      <c r="K990" t="str">
        <f t="shared" si="19"/>
        <v/>
      </c>
    </row>
    <row r="991" spans="11:11">
      <c r="K991" t="str">
        <f t="shared" si="19"/>
        <v/>
      </c>
    </row>
    <row r="992" spans="11:11">
      <c r="K992" t="str">
        <f t="shared" si="19"/>
        <v/>
      </c>
    </row>
    <row r="993" spans="11:11">
      <c r="K993" t="str">
        <f t="shared" si="19"/>
        <v/>
      </c>
    </row>
    <row r="994" spans="11:11">
      <c r="K994" t="str">
        <f t="shared" si="19"/>
        <v/>
      </c>
    </row>
    <row r="995" spans="11:11">
      <c r="K995" t="str">
        <f t="shared" si="19"/>
        <v/>
      </c>
    </row>
    <row r="996" spans="11:11">
      <c r="K996" t="str">
        <f t="shared" si="19"/>
        <v/>
      </c>
    </row>
    <row r="997" spans="11:11">
      <c r="K997" t="str">
        <f t="shared" si="19"/>
        <v/>
      </c>
    </row>
    <row r="998" spans="11:11">
      <c r="K998" t="str">
        <f t="shared" si="19"/>
        <v/>
      </c>
    </row>
    <row r="999" spans="11:11">
      <c r="K999" t="str">
        <f t="shared" si="19"/>
        <v/>
      </c>
    </row>
    <row r="1000" spans="11:11">
      <c r="K1000" t="str">
        <f t="shared" si="19"/>
        <v/>
      </c>
    </row>
    <row r="1001" spans="11:11">
      <c r="K1001" t="str">
        <f t="shared" si="19"/>
        <v/>
      </c>
    </row>
    <row r="1002" spans="11:11">
      <c r="K1002" t="str">
        <f t="shared" si="19"/>
        <v/>
      </c>
    </row>
    <row r="1003" spans="11:11">
      <c r="K1003" t="str">
        <f t="shared" si="19"/>
        <v/>
      </c>
    </row>
    <row r="1004" spans="11:11">
      <c r="K1004" t="str">
        <f t="shared" si="19"/>
        <v/>
      </c>
    </row>
    <row r="1005" spans="11:11">
      <c r="K1005" t="str">
        <f t="shared" si="19"/>
        <v/>
      </c>
    </row>
    <row r="1006" spans="11:11">
      <c r="K1006" t="str">
        <f t="shared" si="19"/>
        <v/>
      </c>
    </row>
    <row r="1007" spans="11:11">
      <c r="K1007" t="str">
        <f t="shared" si="19"/>
        <v/>
      </c>
    </row>
    <row r="1008" spans="11:11">
      <c r="K1008" t="str">
        <f t="shared" si="19"/>
        <v/>
      </c>
    </row>
    <row r="1009" spans="11:11">
      <c r="K1009" t="str">
        <f t="shared" si="19"/>
        <v/>
      </c>
    </row>
    <row r="1010" spans="11:11">
      <c r="K1010" t="str">
        <f t="shared" si="19"/>
        <v/>
      </c>
    </row>
    <row r="1011" spans="11:11">
      <c r="K1011" t="str">
        <f t="shared" si="19"/>
        <v/>
      </c>
    </row>
    <row r="1012" spans="11:11">
      <c r="K1012" t="str">
        <f t="shared" si="19"/>
        <v/>
      </c>
    </row>
    <row r="1013" spans="11:11">
      <c r="K1013" t="str">
        <f t="shared" si="19"/>
        <v/>
      </c>
    </row>
    <row r="1014" spans="11:11">
      <c r="K1014" t="str">
        <f t="shared" si="19"/>
        <v/>
      </c>
    </row>
    <row r="1015" spans="11:11">
      <c r="K1015" t="str">
        <f t="shared" si="19"/>
        <v/>
      </c>
    </row>
    <row r="1016" spans="11:11">
      <c r="K1016" t="str">
        <f t="shared" si="19"/>
        <v/>
      </c>
    </row>
    <row r="1017" spans="11:11">
      <c r="K1017" t="str">
        <f t="shared" si="19"/>
        <v/>
      </c>
    </row>
    <row r="1018" spans="11:11">
      <c r="K1018" t="str">
        <f t="shared" si="19"/>
        <v/>
      </c>
    </row>
    <row r="1019" spans="11:11">
      <c r="K1019" t="str">
        <f t="shared" si="19"/>
        <v/>
      </c>
    </row>
    <row r="1020" spans="11:11">
      <c r="K1020" t="str">
        <f t="shared" si="19"/>
        <v/>
      </c>
    </row>
    <row r="1021" spans="11:11">
      <c r="K1021" t="str">
        <f t="shared" si="19"/>
        <v/>
      </c>
    </row>
    <row r="1022" spans="11:11">
      <c r="K1022" t="str">
        <f t="shared" si="19"/>
        <v/>
      </c>
    </row>
    <row r="1023" spans="11:11">
      <c r="K1023" t="str">
        <f t="shared" si="19"/>
        <v/>
      </c>
    </row>
    <row r="1024" spans="11:11">
      <c r="K1024" t="str">
        <f t="shared" si="19"/>
        <v/>
      </c>
    </row>
    <row r="1025" spans="11:11">
      <c r="K1025" t="str">
        <f t="shared" si="19"/>
        <v/>
      </c>
    </row>
    <row r="1026" spans="11:11">
      <c r="K1026" t="str">
        <f t="shared" si="19"/>
        <v/>
      </c>
    </row>
    <row r="1027" spans="11:11">
      <c r="K1027" t="str">
        <f t="shared" si="19"/>
        <v/>
      </c>
    </row>
    <row r="1028" spans="11:11">
      <c r="K1028" t="str">
        <f t="shared" si="19"/>
        <v/>
      </c>
    </row>
    <row r="1029" spans="11:11">
      <c r="K1029" t="str">
        <f t="shared" ref="K1029:K1092" si="20">IF(A1029="","", WEEKNUM(A1029, 2))</f>
        <v/>
      </c>
    </row>
    <row r="1030" spans="11:11">
      <c r="K1030" t="str">
        <f t="shared" si="20"/>
        <v/>
      </c>
    </row>
    <row r="1031" spans="11:11">
      <c r="K1031" t="str">
        <f t="shared" si="20"/>
        <v/>
      </c>
    </row>
    <row r="1032" spans="11:11">
      <c r="K1032" t="str">
        <f t="shared" si="20"/>
        <v/>
      </c>
    </row>
    <row r="1033" spans="11:11">
      <c r="K1033" t="str">
        <f t="shared" si="20"/>
        <v/>
      </c>
    </row>
    <row r="1034" spans="11:11">
      <c r="K1034" t="str">
        <f t="shared" si="20"/>
        <v/>
      </c>
    </row>
    <row r="1035" spans="11:11">
      <c r="K1035" t="str">
        <f t="shared" si="20"/>
        <v/>
      </c>
    </row>
    <row r="1036" spans="11:11">
      <c r="K1036" t="str">
        <f t="shared" si="20"/>
        <v/>
      </c>
    </row>
    <row r="1037" spans="11:11">
      <c r="K1037" t="str">
        <f t="shared" si="20"/>
        <v/>
      </c>
    </row>
    <row r="1038" spans="11:11">
      <c r="K1038" t="str">
        <f t="shared" si="20"/>
        <v/>
      </c>
    </row>
    <row r="1039" spans="11:11">
      <c r="K1039" t="str">
        <f t="shared" si="20"/>
        <v/>
      </c>
    </row>
    <row r="1040" spans="11:11">
      <c r="K1040" t="str">
        <f t="shared" si="20"/>
        <v/>
      </c>
    </row>
    <row r="1041" spans="11:11">
      <c r="K1041" t="str">
        <f t="shared" si="20"/>
        <v/>
      </c>
    </row>
    <row r="1042" spans="11:11">
      <c r="K1042" t="str">
        <f t="shared" si="20"/>
        <v/>
      </c>
    </row>
    <row r="1043" spans="11:11">
      <c r="K1043" t="str">
        <f t="shared" si="20"/>
        <v/>
      </c>
    </row>
    <row r="1044" spans="11:11">
      <c r="K1044" t="str">
        <f t="shared" si="20"/>
        <v/>
      </c>
    </row>
    <row r="1045" spans="11:11">
      <c r="K1045" t="str">
        <f t="shared" si="20"/>
        <v/>
      </c>
    </row>
    <row r="1046" spans="11:11">
      <c r="K1046" t="str">
        <f t="shared" si="20"/>
        <v/>
      </c>
    </row>
    <row r="1047" spans="11:11">
      <c r="K1047" t="str">
        <f t="shared" si="20"/>
        <v/>
      </c>
    </row>
    <row r="1048" spans="11:11">
      <c r="K1048" t="str">
        <f t="shared" si="20"/>
        <v/>
      </c>
    </row>
    <row r="1049" spans="11:11">
      <c r="K1049" t="str">
        <f t="shared" si="20"/>
        <v/>
      </c>
    </row>
    <row r="1050" spans="11:11">
      <c r="K1050" t="str">
        <f t="shared" si="20"/>
        <v/>
      </c>
    </row>
    <row r="1051" spans="11:11">
      <c r="K1051" t="str">
        <f t="shared" si="20"/>
        <v/>
      </c>
    </row>
    <row r="1052" spans="11:11">
      <c r="K1052" t="str">
        <f t="shared" si="20"/>
        <v/>
      </c>
    </row>
    <row r="1053" spans="11:11">
      <c r="K1053" t="str">
        <f t="shared" si="20"/>
        <v/>
      </c>
    </row>
    <row r="1054" spans="11:11">
      <c r="K1054" t="str">
        <f t="shared" si="20"/>
        <v/>
      </c>
    </row>
    <row r="1055" spans="11:11">
      <c r="K1055" t="str">
        <f t="shared" si="20"/>
        <v/>
      </c>
    </row>
    <row r="1056" spans="11:11">
      <c r="K1056" t="str">
        <f t="shared" si="20"/>
        <v/>
      </c>
    </row>
    <row r="1057" spans="11:11">
      <c r="K1057" t="str">
        <f t="shared" si="20"/>
        <v/>
      </c>
    </row>
    <row r="1058" spans="11:11">
      <c r="K1058" t="str">
        <f t="shared" si="20"/>
        <v/>
      </c>
    </row>
    <row r="1059" spans="11:11">
      <c r="K1059" t="str">
        <f t="shared" si="20"/>
        <v/>
      </c>
    </row>
    <row r="1060" spans="11:11">
      <c r="K1060" t="str">
        <f t="shared" si="20"/>
        <v/>
      </c>
    </row>
    <row r="1061" spans="11:11">
      <c r="K1061" t="str">
        <f t="shared" si="20"/>
        <v/>
      </c>
    </row>
    <row r="1062" spans="11:11">
      <c r="K1062" t="str">
        <f t="shared" si="20"/>
        <v/>
      </c>
    </row>
    <row r="1063" spans="11:11">
      <c r="K1063" t="str">
        <f t="shared" si="20"/>
        <v/>
      </c>
    </row>
    <row r="1064" spans="11:11">
      <c r="K1064" t="str">
        <f t="shared" si="20"/>
        <v/>
      </c>
    </row>
    <row r="1065" spans="11:11">
      <c r="K1065" t="str">
        <f t="shared" si="20"/>
        <v/>
      </c>
    </row>
    <row r="1066" spans="11:11">
      <c r="K1066" t="str">
        <f t="shared" si="20"/>
        <v/>
      </c>
    </row>
    <row r="1067" spans="11:11">
      <c r="K1067" t="str">
        <f t="shared" si="20"/>
        <v/>
      </c>
    </row>
    <row r="1068" spans="11:11">
      <c r="K1068" t="str">
        <f t="shared" si="20"/>
        <v/>
      </c>
    </row>
    <row r="1069" spans="11:11">
      <c r="K1069" t="str">
        <f t="shared" si="20"/>
        <v/>
      </c>
    </row>
    <row r="1070" spans="11:11">
      <c r="K1070" t="str">
        <f t="shared" si="20"/>
        <v/>
      </c>
    </row>
    <row r="1071" spans="11:11">
      <c r="K1071" t="str">
        <f t="shared" si="20"/>
        <v/>
      </c>
    </row>
    <row r="1072" spans="11:11">
      <c r="K1072" t="str">
        <f t="shared" si="20"/>
        <v/>
      </c>
    </row>
    <row r="1073" spans="11:11">
      <c r="K1073" t="str">
        <f t="shared" si="20"/>
        <v/>
      </c>
    </row>
    <row r="1074" spans="11:11">
      <c r="K1074" t="str">
        <f t="shared" si="20"/>
        <v/>
      </c>
    </row>
    <row r="1075" spans="11:11">
      <c r="K1075" t="str">
        <f t="shared" si="20"/>
        <v/>
      </c>
    </row>
    <row r="1076" spans="11:11">
      <c r="K1076" t="str">
        <f t="shared" si="20"/>
        <v/>
      </c>
    </row>
    <row r="1077" spans="11:11">
      <c r="K1077" t="str">
        <f t="shared" si="20"/>
        <v/>
      </c>
    </row>
    <row r="1078" spans="11:11">
      <c r="K1078" t="str">
        <f t="shared" si="20"/>
        <v/>
      </c>
    </row>
    <row r="1079" spans="11:11">
      <c r="K1079" t="str">
        <f t="shared" si="20"/>
        <v/>
      </c>
    </row>
    <row r="1080" spans="11:11">
      <c r="K1080" t="str">
        <f t="shared" si="20"/>
        <v/>
      </c>
    </row>
    <row r="1081" spans="11:11">
      <c r="K1081" t="str">
        <f t="shared" si="20"/>
        <v/>
      </c>
    </row>
    <row r="1082" spans="11:11">
      <c r="K1082" t="str">
        <f t="shared" si="20"/>
        <v/>
      </c>
    </row>
    <row r="1083" spans="11:11">
      <c r="K1083" t="str">
        <f t="shared" si="20"/>
        <v/>
      </c>
    </row>
    <row r="1084" spans="11:11">
      <c r="K1084" t="str">
        <f t="shared" si="20"/>
        <v/>
      </c>
    </row>
    <row r="1085" spans="11:11">
      <c r="K1085" t="str">
        <f t="shared" si="20"/>
        <v/>
      </c>
    </row>
    <row r="1086" spans="11:11">
      <c r="K1086" t="str">
        <f t="shared" si="20"/>
        <v/>
      </c>
    </row>
    <row r="1087" spans="11:11">
      <c r="K1087" t="str">
        <f t="shared" si="20"/>
        <v/>
      </c>
    </row>
    <row r="1088" spans="11:11">
      <c r="K1088" t="str">
        <f t="shared" si="20"/>
        <v/>
      </c>
    </row>
    <row r="1089" spans="11:11">
      <c r="K1089" t="str">
        <f t="shared" si="20"/>
        <v/>
      </c>
    </row>
    <row r="1090" spans="11:11">
      <c r="K1090" t="str">
        <f t="shared" si="20"/>
        <v/>
      </c>
    </row>
    <row r="1091" spans="11:11">
      <c r="K1091" t="str">
        <f t="shared" si="20"/>
        <v/>
      </c>
    </row>
    <row r="1092" spans="11:11">
      <c r="K1092" t="str">
        <f t="shared" si="20"/>
        <v/>
      </c>
    </row>
    <row r="1093" spans="11:11">
      <c r="K1093" t="str">
        <f t="shared" ref="K1093:K1156" si="21">IF(A1093="","", WEEKNUM(A1093, 2))</f>
        <v/>
      </c>
    </row>
    <row r="1094" spans="11:11">
      <c r="K1094" t="str">
        <f t="shared" si="21"/>
        <v/>
      </c>
    </row>
    <row r="1095" spans="11:11">
      <c r="K1095" t="str">
        <f t="shared" si="21"/>
        <v/>
      </c>
    </row>
    <row r="1096" spans="11:11">
      <c r="K1096" t="str">
        <f t="shared" si="21"/>
        <v/>
      </c>
    </row>
    <row r="1097" spans="11:11">
      <c r="K1097" t="str">
        <f t="shared" si="21"/>
        <v/>
      </c>
    </row>
    <row r="1098" spans="11:11">
      <c r="K1098" t="str">
        <f t="shared" si="21"/>
        <v/>
      </c>
    </row>
    <row r="1099" spans="11:11">
      <c r="K1099" t="str">
        <f t="shared" si="21"/>
        <v/>
      </c>
    </row>
    <row r="1100" spans="11:11">
      <c r="K1100" t="str">
        <f t="shared" si="21"/>
        <v/>
      </c>
    </row>
    <row r="1101" spans="11:11">
      <c r="K1101" t="str">
        <f t="shared" si="21"/>
        <v/>
      </c>
    </row>
    <row r="1102" spans="11:11">
      <c r="K1102" t="str">
        <f t="shared" si="21"/>
        <v/>
      </c>
    </row>
    <row r="1103" spans="11:11">
      <c r="K1103" t="str">
        <f t="shared" si="21"/>
        <v/>
      </c>
    </row>
    <row r="1104" spans="11:11">
      <c r="K1104" t="str">
        <f t="shared" si="21"/>
        <v/>
      </c>
    </row>
    <row r="1105" spans="11:11">
      <c r="K1105" t="str">
        <f t="shared" si="21"/>
        <v/>
      </c>
    </row>
    <row r="1106" spans="11:11">
      <c r="K1106" t="str">
        <f t="shared" si="21"/>
        <v/>
      </c>
    </row>
    <row r="1107" spans="11:11">
      <c r="K1107" t="str">
        <f t="shared" si="21"/>
        <v/>
      </c>
    </row>
    <row r="1108" spans="11:11">
      <c r="K1108" t="str">
        <f t="shared" si="21"/>
        <v/>
      </c>
    </row>
    <row r="1109" spans="11:11">
      <c r="K1109" t="str">
        <f t="shared" si="21"/>
        <v/>
      </c>
    </row>
    <row r="1110" spans="11:11">
      <c r="K1110" t="str">
        <f t="shared" si="21"/>
        <v/>
      </c>
    </row>
    <row r="1111" spans="11:11">
      <c r="K1111" t="str">
        <f t="shared" si="21"/>
        <v/>
      </c>
    </row>
    <row r="1112" spans="11:11">
      <c r="K1112" t="str">
        <f t="shared" si="21"/>
        <v/>
      </c>
    </row>
    <row r="1113" spans="11:11">
      <c r="K1113" t="str">
        <f t="shared" si="21"/>
        <v/>
      </c>
    </row>
    <row r="1114" spans="11:11">
      <c r="K1114" t="str">
        <f t="shared" si="21"/>
        <v/>
      </c>
    </row>
    <row r="1115" spans="11:11">
      <c r="K1115" t="str">
        <f t="shared" si="21"/>
        <v/>
      </c>
    </row>
    <row r="1116" spans="11:11">
      <c r="K1116" t="str">
        <f t="shared" si="21"/>
        <v/>
      </c>
    </row>
    <row r="1117" spans="11:11">
      <c r="K1117" t="str">
        <f t="shared" si="21"/>
        <v/>
      </c>
    </row>
    <row r="1118" spans="11:11">
      <c r="K1118" t="str">
        <f t="shared" si="21"/>
        <v/>
      </c>
    </row>
    <row r="1119" spans="11:11">
      <c r="K1119" t="str">
        <f t="shared" si="21"/>
        <v/>
      </c>
    </row>
    <row r="1120" spans="11:11">
      <c r="K1120" t="str">
        <f t="shared" si="21"/>
        <v/>
      </c>
    </row>
    <row r="1121" spans="11:11">
      <c r="K1121" t="str">
        <f t="shared" si="21"/>
        <v/>
      </c>
    </row>
    <row r="1122" spans="11:11">
      <c r="K1122" t="str">
        <f t="shared" si="21"/>
        <v/>
      </c>
    </row>
    <row r="1123" spans="11:11">
      <c r="K1123" t="str">
        <f t="shared" si="21"/>
        <v/>
      </c>
    </row>
    <row r="1124" spans="11:11">
      <c r="K1124" t="str">
        <f t="shared" si="21"/>
        <v/>
      </c>
    </row>
    <row r="1125" spans="11:11">
      <c r="K1125" t="str">
        <f t="shared" si="21"/>
        <v/>
      </c>
    </row>
    <row r="1126" spans="11:11">
      <c r="K1126" t="str">
        <f t="shared" si="21"/>
        <v/>
      </c>
    </row>
    <row r="1127" spans="11:11">
      <c r="K1127" t="str">
        <f t="shared" si="21"/>
        <v/>
      </c>
    </row>
    <row r="1128" spans="11:11">
      <c r="K1128" t="str">
        <f t="shared" si="21"/>
        <v/>
      </c>
    </row>
    <row r="1129" spans="11:11">
      <c r="K1129" t="str">
        <f t="shared" si="21"/>
        <v/>
      </c>
    </row>
    <row r="1130" spans="11:11">
      <c r="K1130" t="str">
        <f t="shared" si="21"/>
        <v/>
      </c>
    </row>
    <row r="1131" spans="11:11">
      <c r="K1131" t="str">
        <f t="shared" si="21"/>
        <v/>
      </c>
    </row>
    <row r="1132" spans="11:11">
      <c r="K1132" t="str">
        <f t="shared" si="21"/>
        <v/>
      </c>
    </row>
    <row r="1133" spans="11:11">
      <c r="K1133" t="str">
        <f t="shared" si="21"/>
        <v/>
      </c>
    </row>
    <row r="1134" spans="11:11">
      <c r="K1134" t="str">
        <f t="shared" si="21"/>
        <v/>
      </c>
    </row>
    <row r="1135" spans="11:11">
      <c r="K1135" t="str">
        <f t="shared" si="21"/>
        <v/>
      </c>
    </row>
    <row r="1136" spans="11:11">
      <c r="K1136" t="str">
        <f t="shared" si="21"/>
        <v/>
      </c>
    </row>
    <row r="1137" spans="11:11">
      <c r="K1137" t="str">
        <f t="shared" si="21"/>
        <v/>
      </c>
    </row>
    <row r="1138" spans="11:11">
      <c r="K1138" t="str">
        <f t="shared" si="21"/>
        <v/>
      </c>
    </row>
    <row r="1139" spans="11:11">
      <c r="K1139" t="str">
        <f t="shared" si="21"/>
        <v/>
      </c>
    </row>
    <row r="1140" spans="11:11">
      <c r="K1140" t="str">
        <f t="shared" si="21"/>
        <v/>
      </c>
    </row>
    <row r="1141" spans="11:11">
      <c r="K1141" t="str">
        <f t="shared" si="21"/>
        <v/>
      </c>
    </row>
    <row r="1142" spans="11:11">
      <c r="K1142" t="str">
        <f t="shared" si="21"/>
        <v/>
      </c>
    </row>
    <row r="1143" spans="11:11">
      <c r="K1143" t="str">
        <f t="shared" si="21"/>
        <v/>
      </c>
    </row>
    <row r="1144" spans="11:11">
      <c r="K1144" t="str">
        <f t="shared" si="21"/>
        <v/>
      </c>
    </row>
    <row r="1145" spans="11:11">
      <c r="K1145" t="str">
        <f t="shared" si="21"/>
        <v/>
      </c>
    </row>
    <row r="1146" spans="11:11">
      <c r="K1146" t="str">
        <f t="shared" si="21"/>
        <v/>
      </c>
    </row>
    <row r="1147" spans="11:11">
      <c r="K1147" t="str">
        <f t="shared" si="21"/>
        <v/>
      </c>
    </row>
    <row r="1148" spans="11:11">
      <c r="K1148" t="str">
        <f t="shared" si="21"/>
        <v/>
      </c>
    </row>
    <row r="1149" spans="11:11">
      <c r="K1149" t="str">
        <f t="shared" si="21"/>
        <v/>
      </c>
    </row>
    <row r="1150" spans="11:11">
      <c r="K1150" t="str">
        <f t="shared" si="21"/>
        <v/>
      </c>
    </row>
    <row r="1151" spans="11:11">
      <c r="K1151" t="str">
        <f t="shared" si="21"/>
        <v/>
      </c>
    </row>
    <row r="1152" spans="11:11">
      <c r="K1152" t="str">
        <f t="shared" si="21"/>
        <v/>
      </c>
    </row>
    <row r="1153" spans="11:11">
      <c r="K1153" t="str">
        <f t="shared" si="21"/>
        <v/>
      </c>
    </row>
    <row r="1154" spans="11:11">
      <c r="K1154" t="str">
        <f t="shared" si="21"/>
        <v/>
      </c>
    </row>
    <row r="1155" spans="11:11">
      <c r="K1155" t="str">
        <f t="shared" si="21"/>
        <v/>
      </c>
    </row>
    <row r="1156" spans="11:11">
      <c r="K1156" t="str">
        <f t="shared" si="21"/>
        <v/>
      </c>
    </row>
    <row r="1157" spans="11:11">
      <c r="K1157" t="str">
        <f t="shared" ref="K1157:K1220" si="22">IF(A1157="","", WEEKNUM(A1157, 2))</f>
        <v/>
      </c>
    </row>
    <row r="1158" spans="11:11">
      <c r="K1158" t="str">
        <f t="shared" si="22"/>
        <v/>
      </c>
    </row>
    <row r="1159" spans="11:11">
      <c r="K1159" t="str">
        <f t="shared" si="22"/>
        <v/>
      </c>
    </row>
    <row r="1160" spans="11:11">
      <c r="K1160" t="str">
        <f t="shared" si="22"/>
        <v/>
      </c>
    </row>
    <row r="1161" spans="11:11">
      <c r="K1161" t="str">
        <f t="shared" si="22"/>
        <v/>
      </c>
    </row>
    <row r="1162" spans="11:11">
      <c r="K1162" t="str">
        <f t="shared" si="22"/>
        <v/>
      </c>
    </row>
    <row r="1163" spans="11:11">
      <c r="K1163" t="str">
        <f t="shared" si="22"/>
        <v/>
      </c>
    </row>
    <row r="1164" spans="11:11">
      <c r="K1164" t="str">
        <f t="shared" si="22"/>
        <v/>
      </c>
    </row>
    <row r="1165" spans="11:11">
      <c r="K1165" t="str">
        <f t="shared" si="22"/>
        <v/>
      </c>
    </row>
    <row r="1166" spans="11:11">
      <c r="K1166" t="str">
        <f t="shared" si="22"/>
        <v/>
      </c>
    </row>
    <row r="1167" spans="11:11">
      <c r="K1167" t="str">
        <f t="shared" si="22"/>
        <v/>
      </c>
    </row>
    <row r="1168" spans="11:11">
      <c r="K1168" t="str">
        <f t="shared" si="22"/>
        <v/>
      </c>
    </row>
    <row r="1169" spans="11:11">
      <c r="K1169" t="str">
        <f t="shared" si="22"/>
        <v/>
      </c>
    </row>
    <row r="1170" spans="11:11">
      <c r="K1170" t="str">
        <f t="shared" si="22"/>
        <v/>
      </c>
    </row>
    <row r="1171" spans="11:11">
      <c r="K1171" t="str">
        <f t="shared" si="22"/>
        <v/>
      </c>
    </row>
    <row r="1172" spans="11:11">
      <c r="K1172" t="str">
        <f t="shared" si="22"/>
        <v/>
      </c>
    </row>
    <row r="1173" spans="11:11">
      <c r="K1173" t="str">
        <f t="shared" si="22"/>
        <v/>
      </c>
    </row>
    <row r="1174" spans="11:11">
      <c r="K1174" t="str">
        <f t="shared" si="22"/>
        <v/>
      </c>
    </row>
    <row r="1175" spans="11:11">
      <c r="K1175" t="str">
        <f t="shared" si="22"/>
        <v/>
      </c>
    </row>
    <row r="1176" spans="11:11">
      <c r="K1176" t="str">
        <f t="shared" si="22"/>
        <v/>
      </c>
    </row>
    <row r="1177" spans="11:11">
      <c r="K1177" t="str">
        <f t="shared" si="22"/>
        <v/>
      </c>
    </row>
    <row r="1178" spans="11:11">
      <c r="K1178" t="str">
        <f t="shared" si="22"/>
        <v/>
      </c>
    </row>
    <row r="1179" spans="11:11">
      <c r="K1179" t="str">
        <f t="shared" si="22"/>
        <v/>
      </c>
    </row>
    <row r="1180" spans="11:11">
      <c r="K1180" t="str">
        <f t="shared" si="22"/>
        <v/>
      </c>
    </row>
    <row r="1181" spans="11:11">
      <c r="K1181" t="str">
        <f t="shared" si="22"/>
        <v/>
      </c>
    </row>
    <row r="1182" spans="11:11">
      <c r="K1182" t="str">
        <f t="shared" si="22"/>
        <v/>
      </c>
    </row>
    <row r="1183" spans="11:11">
      <c r="K1183" t="str">
        <f t="shared" si="22"/>
        <v/>
      </c>
    </row>
    <row r="1184" spans="11:11">
      <c r="K1184" t="str">
        <f t="shared" si="22"/>
        <v/>
      </c>
    </row>
    <row r="1185" spans="11:11">
      <c r="K1185" t="str">
        <f t="shared" si="22"/>
        <v/>
      </c>
    </row>
    <row r="1186" spans="11:11">
      <c r="K1186" t="str">
        <f t="shared" si="22"/>
        <v/>
      </c>
    </row>
    <row r="1187" spans="11:11">
      <c r="K1187" t="str">
        <f t="shared" si="22"/>
        <v/>
      </c>
    </row>
    <row r="1188" spans="11:11">
      <c r="K1188" t="str">
        <f t="shared" si="22"/>
        <v/>
      </c>
    </row>
    <row r="1189" spans="11:11">
      <c r="K1189" t="str">
        <f t="shared" si="22"/>
        <v/>
      </c>
    </row>
    <row r="1190" spans="11:11">
      <c r="K1190" t="str">
        <f t="shared" si="22"/>
        <v/>
      </c>
    </row>
    <row r="1191" spans="11:11">
      <c r="K1191" t="str">
        <f t="shared" si="22"/>
        <v/>
      </c>
    </row>
    <row r="1192" spans="11:11">
      <c r="K1192" t="str">
        <f t="shared" si="22"/>
        <v/>
      </c>
    </row>
    <row r="1193" spans="11:11">
      <c r="K1193" t="str">
        <f t="shared" si="22"/>
        <v/>
      </c>
    </row>
    <row r="1194" spans="11:11">
      <c r="K1194" t="str">
        <f t="shared" si="22"/>
        <v/>
      </c>
    </row>
    <row r="1195" spans="11:11">
      <c r="K1195" t="str">
        <f t="shared" si="22"/>
        <v/>
      </c>
    </row>
    <row r="1196" spans="11:11">
      <c r="K1196" t="str">
        <f t="shared" si="22"/>
        <v/>
      </c>
    </row>
    <row r="1197" spans="11:11">
      <c r="K1197" t="str">
        <f t="shared" si="22"/>
        <v/>
      </c>
    </row>
    <row r="1198" spans="11:11">
      <c r="K1198" t="str">
        <f t="shared" si="22"/>
        <v/>
      </c>
    </row>
    <row r="1199" spans="11:11">
      <c r="K1199" t="str">
        <f t="shared" si="22"/>
        <v/>
      </c>
    </row>
    <row r="1200" spans="11:11">
      <c r="K1200" t="str">
        <f t="shared" si="22"/>
        <v/>
      </c>
    </row>
    <row r="1201" spans="11:11">
      <c r="K1201" t="str">
        <f t="shared" si="22"/>
        <v/>
      </c>
    </row>
    <row r="1202" spans="11:11">
      <c r="K1202" t="str">
        <f t="shared" si="22"/>
        <v/>
      </c>
    </row>
    <row r="1203" spans="11:11">
      <c r="K1203" t="str">
        <f t="shared" si="22"/>
        <v/>
      </c>
    </row>
    <row r="1204" spans="11:11">
      <c r="K1204" t="str">
        <f t="shared" si="22"/>
        <v/>
      </c>
    </row>
    <row r="1205" spans="11:11">
      <c r="K1205" t="str">
        <f t="shared" si="22"/>
        <v/>
      </c>
    </row>
    <row r="1206" spans="11:11">
      <c r="K1206" t="str">
        <f t="shared" si="22"/>
        <v/>
      </c>
    </row>
    <row r="1207" spans="11:11">
      <c r="K1207" t="str">
        <f t="shared" si="22"/>
        <v/>
      </c>
    </row>
    <row r="1208" spans="11:11">
      <c r="K1208" t="str">
        <f t="shared" si="22"/>
        <v/>
      </c>
    </row>
    <row r="1209" spans="11:11">
      <c r="K1209" t="str">
        <f t="shared" si="22"/>
        <v/>
      </c>
    </row>
    <row r="1210" spans="11:11">
      <c r="K1210" t="str">
        <f t="shared" si="22"/>
        <v/>
      </c>
    </row>
    <row r="1211" spans="11:11">
      <c r="K1211" t="str">
        <f t="shared" si="22"/>
        <v/>
      </c>
    </row>
    <row r="1212" spans="11:11">
      <c r="K1212" t="str">
        <f t="shared" si="22"/>
        <v/>
      </c>
    </row>
    <row r="1213" spans="11:11">
      <c r="K1213" t="str">
        <f t="shared" si="22"/>
        <v/>
      </c>
    </row>
    <row r="1214" spans="11:11">
      <c r="K1214" t="str">
        <f t="shared" si="22"/>
        <v/>
      </c>
    </row>
    <row r="1215" spans="11:11">
      <c r="K1215" t="str">
        <f t="shared" si="22"/>
        <v/>
      </c>
    </row>
    <row r="1216" spans="11:11">
      <c r="K1216" t="str">
        <f t="shared" si="22"/>
        <v/>
      </c>
    </row>
    <row r="1217" spans="11:11">
      <c r="K1217" t="str">
        <f t="shared" si="22"/>
        <v/>
      </c>
    </row>
    <row r="1218" spans="11:11">
      <c r="K1218" t="str">
        <f t="shared" si="22"/>
        <v/>
      </c>
    </row>
    <row r="1219" spans="11:11">
      <c r="K1219" t="str">
        <f t="shared" si="22"/>
        <v/>
      </c>
    </row>
    <row r="1220" spans="11:11">
      <c r="K1220" t="str">
        <f t="shared" si="22"/>
        <v/>
      </c>
    </row>
    <row r="1221" spans="11:11">
      <c r="K1221" t="str">
        <f t="shared" ref="K1221:K1284" si="23">IF(A1221="","", WEEKNUM(A1221, 2))</f>
        <v/>
      </c>
    </row>
    <row r="1222" spans="11:11">
      <c r="K1222" t="str">
        <f t="shared" si="23"/>
        <v/>
      </c>
    </row>
    <row r="1223" spans="11:11">
      <c r="K1223" t="str">
        <f t="shared" si="23"/>
        <v/>
      </c>
    </row>
    <row r="1224" spans="11:11">
      <c r="K1224" t="str">
        <f t="shared" si="23"/>
        <v/>
      </c>
    </row>
    <row r="1225" spans="11:11">
      <c r="K1225" t="str">
        <f t="shared" si="23"/>
        <v/>
      </c>
    </row>
    <row r="1226" spans="11:11">
      <c r="K1226" t="str">
        <f t="shared" si="23"/>
        <v/>
      </c>
    </row>
    <row r="1227" spans="11:11">
      <c r="K1227" t="str">
        <f t="shared" si="23"/>
        <v/>
      </c>
    </row>
    <row r="1228" spans="11:11">
      <c r="K1228" t="str">
        <f t="shared" si="23"/>
        <v/>
      </c>
    </row>
    <row r="1229" spans="11:11">
      <c r="K1229" t="str">
        <f t="shared" si="23"/>
        <v/>
      </c>
    </row>
    <row r="1230" spans="11:11">
      <c r="K1230" t="str">
        <f t="shared" si="23"/>
        <v/>
      </c>
    </row>
    <row r="1231" spans="11:11">
      <c r="K1231" t="str">
        <f t="shared" si="23"/>
        <v/>
      </c>
    </row>
    <row r="1232" spans="11:11">
      <c r="K1232" t="str">
        <f t="shared" si="23"/>
        <v/>
      </c>
    </row>
    <row r="1233" spans="11:11">
      <c r="K1233" t="str">
        <f t="shared" si="23"/>
        <v/>
      </c>
    </row>
    <row r="1234" spans="11:11">
      <c r="K1234" t="str">
        <f t="shared" si="23"/>
        <v/>
      </c>
    </row>
    <row r="1235" spans="11:11">
      <c r="K1235" t="str">
        <f t="shared" si="23"/>
        <v/>
      </c>
    </row>
    <row r="1236" spans="11:11">
      <c r="K1236" t="str">
        <f t="shared" si="23"/>
        <v/>
      </c>
    </row>
    <row r="1237" spans="11:11">
      <c r="K1237" t="str">
        <f t="shared" si="23"/>
        <v/>
      </c>
    </row>
    <row r="1238" spans="11:11">
      <c r="K1238" t="str">
        <f t="shared" si="23"/>
        <v/>
      </c>
    </row>
    <row r="1239" spans="11:11">
      <c r="K1239" t="str">
        <f t="shared" si="23"/>
        <v/>
      </c>
    </row>
    <row r="1240" spans="11:11">
      <c r="K1240" t="str">
        <f t="shared" si="23"/>
        <v/>
      </c>
    </row>
    <row r="1241" spans="11:11">
      <c r="K1241" t="str">
        <f t="shared" si="23"/>
        <v/>
      </c>
    </row>
    <row r="1242" spans="11:11">
      <c r="K1242" t="str">
        <f t="shared" si="23"/>
        <v/>
      </c>
    </row>
    <row r="1243" spans="11:11">
      <c r="K1243" t="str">
        <f t="shared" si="23"/>
        <v/>
      </c>
    </row>
    <row r="1244" spans="11:11">
      <c r="K1244" t="str">
        <f t="shared" si="23"/>
        <v/>
      </c>
    </row>
    <row r="1245" spans="11:11">
      <c r="K1245" t="str">
        <f t="shared" si="23"/>
        <v/>
      </c>
    </row>
    <row r="1246" spans="11:11">
      <c r="K1246" t="str">
        <f t="shared" si="23"/>
        <v/>
      </c>
    </row>
    <row r="1247" spans="11:11">
      <c r="K1247" t="str">
        <f t="shared" si="23"/>
        <v/>
      </c>
    </row>
    <row r="1248" spans="11:11">
      <c r="K1248" t="str">
        <f t="shared" si="23"/>
        <v/>
      </c>
    </row>
    <row r="1249" spans="11:11">
      <c r="K1249" t="str">
        <f t="shared" si="23"/>
        <v/>
      </c>
    </row>
    <row r="1250" spans="11:11">
      <c r="K1250" t="str">
        <f t="shared" si="23"/>
        <v/>
      </c>
    </row>
    <row r="1251" spans="11:11">
      <c r="K1251" t="str">
        <f t="shared" si="23"/>
        <v/>
      </c>
    </row>
    <row r="1252" spans="11:11">
      <c r="K1252" t="str">
        <f t="shared" si="23"/>
        <v/>
      </c>
    </row>
    <row r="1253" spans="11:11">
      <c r="K1253" t="str">
        <f t="shared" si="23"/>
        <v/>
      </c>
    </row>
    <row r="1254" spans="11:11">
      <c r="K1254" t="str">
        <f t="shared" si="23"/>
        <v/>
      </c>
    </row>
    <row r="1255" spans="11:11">
      <c r="K1255" t="str">
        <f t="shared" si="23"/>
        <v/>
      </c>
    </row>
    <row r="1256" spans="11:11">
      <c r="K1256" t="str">
        <f t="shared" si="23"/>
        <v/>
      </c>
    </row>
    <row r="1257" spans="11:11">
      <c r="K1257" t="str">
        <f t="shared" si="23"/>
        <v/>
      </c>
    </row>
    <row r="1258" spans="11:11">
      <c r="K1258" t="str">
        <f t="shared" si="23"/>
        <v/>
      </c>
    </row>
    <row r="1259" spans="11:11">
      <c r="K1259" t="str">
        <f t="shared" si="23"/>
        <v/>
      </c>
    </row>
    <row r="1260" spans="11:11">
      <c r="K1260" t="str">
        <f t="shared" si="23"/>
        <v/>
      </c>
    </row>
    <row r="1261" spans="11:11">
      <c r="K1261" t="str">
        <f t="shared" si="23"/>
        <v/>
      </c>
    </row>
    <row r="1262" spans="11:11">
      <c r="K1262" t="str">
        <f t="shared" si="23"/>
        <v/>
      </c>
    </row>
    <row r="1263" spans="11:11">
      <c r="K1263" t="str">
        <f t="shared" si="23"/>
        <v/>
      </c>
    </row>
    <row r="1264" spans="11:11">
      <c r="K1264" t="str">
        <f t="shared" si="23"/>
        <v/>
      </c>
    </row>
    <row r="1265" spans="11:11">
      <c r="K1265" t="str">
        <f t="shared" si="23"/>
        <v/>
      </c>
    </row>
    <row r="1266" spans="11:11">
      <c r="K1266" t="str">
        <f t="shared" si="23"/>
        <v/>
      </c>
    </row>
    <row r="1267" spans="11:11">
      <c r="K1267" t="str">
        <f t="shared" si="23"/>
        <v/>
      </c>
    </row>
    <row r="1268" spans="11:11">
      <c r="K1268" t="str">
        <f t="shared" si="23"/>
        <v/>
      </c>
    </row>
    <row r="1269" spans="11:11">
      <c r="K1269" t="str">
        <f t="shared" si="23"/>
        <v/>
      </c>
    </row>
    <row r="1270" spans="11:11">
      <c r="K1270" t="str">
        <f t="shared" si="23"/>
        <v/>
      </c>
    </row>
    <row r="1271" spans="11:11">
      <c r="K1271" t="str">
        <f t="shared" si="23"/>
        <v/>
      </c>
    </row>
    <row r="1272" spans="11:11">
      <c r="K1272" t="str">
        <f t="shared" si="23"/>
        <v/>
      </c>
    </row>
    <row r="1273" spans="11:11">
      <c r="K1273" t="str">
        <f t="shared" si="23"/>
        <v/>
      </c>
    </row>
    <row r="1274" spans="11:11">
      <c r="K1274" t="str">
        <f t="shared" si="23"/>
        <v/>
      </c>
    </row>
    <row r="1275" spans="11:11">
      <c r="K1275" t="str">
        <f t="shared" si="23"/>
        <v/>
      </c>
    </row>
    <row r="1276" spans="11:11">
      <c r="K1276" t="str">
        <f t="shared" si="23"/>
        <v/>
      </c>
    </row>
    <row r="1277" spans="11:11">
      <c r="K1277" t="str">
        <f t="shared" si="23"/>
        <v/>
      </c>
    </row>
    <row r="1278" spans="11:11">
      <c r="K1278" t="str">
        <f t="shared" si="23"/>
        <v/>
      </c>
    </row>
    <row r="1279" spans="11:11">
      <c r="K1279" t="str">
        <f t="shared" si="23"/>
        <v/>
      </c>
    </row>
    <row r="1280" spans="11:11">
      <c r="K1280" t="str">
        <f t="shared" si="23"/>
        <v/>
      </c>
    </row>
    <row r="1281" spans="11:11">
      <c r="K1281" t="str">
        <f t="shared" si="23"/>
        <v/>
      </c>
    </row>
    <row r="1282" spans="11:11">
      <c r="K1282" t="str">
        <f t="shared" si="23"/>
        <v/>
      </c>
    </row>
    <row r="1283" spans="11:11">
      <c r="K1283" t="str">
        <f t="shared" si="23"/>
        <v/>
      </c>
    </row>
    <row r="1284" spans="11:11">
      <c r="K1284" t="str">
        <f t="shared" si="23"/>
        <v/>
      </c>
    </row>
    <row r="1285" spans="11:11">
      <c r="K1285" t="str">
        <f t="shared" ref="K1285:K1348" si="24">IF(A1285="","", WEEKNUM(A1285, 2))</f>
        <v/>
      </c>
    </row>
    <row r="1286" spans="11:11">
      <c r="K1286" t="str">
        <f t="shared" si="24"/>
        <v/>
      </c>
    </row>
    <row r="1287" spans="11:11">
      <c r="K1287" t="str">
        <f t="shared" si="24"/>
        <v/>
      </c>
    </row>
    <row r="1288" spans="11:11">
      <c r="K1288" t="str">
        <f t="shared" si="24"/>
        <v/>
      </c>
    </row>
    <row r="1289" spans="11:11">
      <c r="K1289" t="str">
        <f t="shared" si="24"/>
        <v/>
      </c>
    </row>
    <row r="1290" spans="11:11">
      <c r="K1290" t="str">
        <f t="shared" si="24"/>
        <v/>
      </c>
    </row>
    <row r="1291" spans="11:11">
      <c r="K1291" t="str">
        <f t="shared" si="24"/>
        <v/>
      </c>
    </row>
    <row r="1292" spans="11:11">
      <c r="K1292" t="str">
        <f t="shared" si="24"/>
        <v/>
      </c>
    </row>
    <row r="1293" spans="11:11">
      <c r="K1293" t="str">
        <f t="shared" si="24"/>
        <v/>
      </c>
    </row>
    <row r="1294" spans="11:11">
      <c r="K1294" t="str">
        <f t="shared" si="24"/>
        <v/>
      </c>
    </row>
    <row r="1295" spans="11:11">
      <c r="K1295" t="str">
        <f t="shared" si="24"/>
        <v/>
      </c>
    </row>
    <row r="1296" spans="11:11">
      <c r="K1296" t="str">
        <f t="shared" si="24"/>
        <v/>
      </c>
    </row>
    <row r="1297" spans="11:11">
      <c r="K1297" t="str">
        <f t="shared" si="24"/>
        <v/>
      </c>
    </row>
    <row r="1298" spans="11:11">
      <c r="K1298" t="str">
        <f t="shared" si="24"/>
        <v/>
      </c>
    </row>
    <row r="1299" spans="11:11">
      <c r="K1299" t="str">
        <f t="shared" si="24"/>
        <v/>
      </c>
    </row>
    <row r="1300" spans="11:11">
      <c r="K1300" t="str">
        <f t="shared" si="24"/>
        <v/>
      </c>
    </row>
    <row r="1301" spans="11:11">
      <c r="K1301" t="str">
        <f t="shared" si="24"/>
        <v/>
      </c>
    </row>
    <row r="1302" spans="11:11">
      <c r="K1302" t="str">
        <f t="shared" si="24"/>
        <v/>
      </c>
    </row>
    <row r="1303" spans="11:11">
      <c r="K1303" t="str">
        <f t="shared" si="24"/>
        <v/>
      </c>
    </row>
    <row r="1304" spans="11:11">
      <c r="K1304" t="str">
        <f t="shared" si="24"/>
        <v/>
      </c>
    </row>
    <row r="1305" spans="11:11">
      <c r="K1305" t="str">
        <f t="shared" si="24"/>
        <v/>
      </c>
    </row>
    <row r="1306" spans="11:11">
      <c r="K1306" t="str">
        <f t="shared" si="24"/>
        <v/>
      </c>
    </row>
    <row r="1307" spans="11:11">
      <c r="K1307" t="str">
        <f t="shared" si="24"/>
        <v/>
      </c>
    </row>
    <row r="1308" spans="11:11">
      <c r="K1308" t="str">
        <f t="shared" si="24"/>
        <v/>
      </c>
    </row>
    <row r="1309" spans="11:11">
      <c r="K1309" t="str">
        <f t="shared" si="24"/>
        <v/>
      </c>
    </row>
    <row r="1310" spans="11:11">
      <c r="K1310" t="str">
        <f t="shared" si="24"/>
        <v/>
      </c>
    </row>
    <row r="1311" spans="11:11">
      <c r="K1311" t="str">
        <f t="shared" si="24"/>
        <v/>
      </c>
    </row>
    <row r="1312" spans="11:11">
      <c r="K1312" t="str">
        <f t="shared" si="24"/>
        <v/>
      </c>
    </row>
    <row r="1313" spans="11:11">
      <c r="K1313" t="str">
        <f t="shared" si="24"/>
        <v/>
      </c>
    </row>
    <row r="1314" spans="11:11">
      <c r="K1314" t="str">
        <f t="shared" si="24"/>
        <v/>
      </c>
    </row>
    <row r="1315" spans="11:11">
      <c r="K1315" t="str">
        <f t="shared" si="24"/>
        <v/>
      </c>
    </row>
    <row r="1316" spans="11:11">
      <c r="K1316" t="str">
        <f t="shared" si="24"/>
        <v/>
      </c>
    </row>
    <row r="1317" spans="11:11">
      <c r="K1317" t="str">
        <f t="shared" si="24"/>
        <v/>
      </c>
    </row>
    <row r="1318" spans="11:11">
      <c r="K1318" t="str">
        <f t="shared" si="24"/>
        <v/>
      </c>
    </row>
    <row r="1319" spans="11:11">
      <c r="K1319" t="str">
        <f t="shared" si="24"/>
        <v/>
      </c>
    </row>
    <row r="1320" spans="11:11">
      <c r="K1320" t="str">
        <f t="shared" si="24"/>
        <v/>
      </c>
    </row>
    <row r="1321" spans="11:11">
      <c r="K1321" t="str">
        <f t="shared" si="24"/>
        <v/>
      </c>
    </row>
    <row r="1322" spans="11:11">
      <c r="K1322" t="str">
        <f t="shared" si="24"/>
        <v/>
      </c>
    </row>
    <row r="1323" spans="11:11">
      <c r="K1323" t="str">
        <f t="shared" si="24"/>
        <v/>
      </c>
    </row>
    <row r="1324" spans="11:11">
      <c r="K1324" t="str">
        <f t="shared" si="24"/>
        <v/>
      </c>
    </row>
    <row r="1325" spans="11:11">
      <c r="K1325" t="str">
        <f t="shared" si="24"/>
        <v/>
      </c>
    </row>
    <row r="1326" spans="11:11">
      <c r="K1326" t="str">
        <f t="shared" si="24"/>
        <v/>
      </c>
    </row>
    <row r="1327" spans="11:11">
      <c r="K1327" t="str">
        <f t="shared" si="24"/>
        <v/>
      </c>
    </row>
    <row r="1328" spans="11:11">
      <c r="K1328" t="str">
        <f t="shared" si="24"/>
        <v/>
      </c>
    </row>
    <row r="1329" spans="11:11">
      <c r="K1329" t="str">
        <f t="shared" si="24"/>
        <v/>
      </c>
    </row>
    <row r="1330" spans="11:11">
      <c r="K1330" t="str">
        <f t="shared" si="24"/>
        <v/>
      </c>
    </row>
    <row r="1331" spans="11:11">
      <c r="K1331" t="str">
        <f t="shared" si="24"/>
        <v/>
      </c>
    </row>
    <row r="1332" spans="11:11">
      <c r="K1332" t="str">
        <f t="shared" si="24"/>
        <v/>
      </c>
    </row>
    <row r="1333" spans="11:11">
      <c r="K1333" t="str">
        <f t="shared" si="24"/>
        <v/>
      </c>
    </row>
    <row r="1334" spans="11:11">
      <c r="K1334" t="str">
        <f t="shared" si="24"/>
        <v/>
      </c>
    </row>
    <row r="1335" spans="11:11">
      <c r="K1335" t="str">
        <f t="shared" si="24"/>
        <v/>
      </c>
    </row>
    <row r="1336" spans="11:11">
      <c r="K1336" t="str">
        <f t="shared" si="24"/>
        <v/>
      </c>
    </row>
    <row r="1337" spans="11:11">
      <c r="K1337" t="str">
        <f t="shared" si="24"/>
        <v/>
      </c>
    </row>
    <row r="1338" spans="11:11">
      <c r="K1338" t="str">
        <f t="shared" si="24"/>
        <v/>
      </c>
    </row>
    <row r="1339" spans="11:11">
      <c r="K1339" t="str">
        <f t="shared" si="24"/>
        <v/>
      </c>
    </row>
    <row r="1340" spans="11:11">
      <c r="K1340" t="str">
        <f t="shared" si="24"/>
        <v/>
      </c>
    </row>
    <row r="1341" spans="11:11">
      <c r="K1341" t="str">
        <f t="shared" si="24"/>
        <v/>
      </c>
    </row>
    <row r="1342" spans="11:11">
      <c r="K1342" t="str">
        <f t="shared" si="24"/>
        <v/>
      </c>
    </row>
    <row r="1343" spans="11:11">
      <c r="K1343" t="str">
        <f t="shared" si="24"/>
        <v/>
      </c>
    </row>
    <row r="1344" spans="11:11">
      <c r="K1344" t="str">
        <f t="shared" si="24"/>
        <v/>
      </c>
    </row>
    <row r="1345" spans="11:11">
      <c r="K1345" t="str">
        <f t="shared" si="24"/>
        <v/>
      </c>
    </row>
    <row r="1346" spans="11:11">
      <c r="K1346" t="str">
        <f t="shared" si="24"/>
        <v/>
      </c>
    </row>
    <row r="1347" spans="11:11">
      <c r="K1347" t="str">
        <f t="shared" si="24"/>
        <v/>
      </c>
    </row>
    <row r="1348" spans="11:11">
      <c r="K1348" t="str">
        <f t="shared" si="24"/>
        <v/>
      </c>
    </row>
    <row r="1349" spans="11:11">
      <c r="K1349" t="str">
        <f t="shared" ref="K1349:K1412" si="25">IF(A1349="","", WEEKNUM(A1349, 2))</f>
        <v/>
      </c>
    </row>
    <row r="1350" spans="11:11">
      <c r="K1350" t="str">
        <f t="shared" si="25"/>
        <v/>
      </c>
    </row>
    <row r="1351" spans="11:11">
      <c r="K1351" t="str">
        <f t="shared" si="25"/>
        <v/>
      </c>
    </row>
    <row r="1352" spans="11:11">
      <c r="K1352" t="str">
        <f t="shared" si="25"/>
        <v/>
      </c>
    </row>
    <row r="1353" spans="11:11">
      <c r="K1353" t="str">
        <f t="shared" si="25"/>
        <v/>
      </c>
    </row>
    <row r="1354" spans="11:11">
      <c r="K1354" t="str">
        <f t="shared" si="25"/>
        <v/>
      </c>
    </row>
    <row r="1355" spans="11:11">
      <c r="K1355" t="str">
        <f t="shared" si="25"/>
        <v/>
      </c>
    </row>
    <row r="1356" spans="11:11">
      <c r="K1356" t="str">
        <f t="shared" si="25"/>
        <v/>
      </c>
    </row>
    <row r="1357" spans="11:11">
      <c r="K1357" t="str">
        <f t="shared" si="25"/>
        <v/>
      </c>
    </row>
    <row r="1358" spans="11:11">
      <c r="K1358" t="str">
        <f t="shared" si="25"/>
        <v/>
      </c>
    </row>
    <row r="1359" spans="11:11">
      <c r="K1359" t="str">
        <f t="shared" si="25"/>
        <v/>
      </c>
    </row>
    <row r="1360" spans="11:11">
      <c r="K1360" t="str">
        <f t="shared" si="25"/>
        <v/>
      </c>
    </row>
    <row r="1361" spans="11:11">
      <c r="K1361" t="str">
        <f t="shared" si="25"/>
        <v/>
      </c>
    </row>
    <row r="1362" spans="11:11">
      <c r="K1362" t="str">
        <f t="shared" si="25"/>
        <v/>
      </c>
    </row>
    <row r="1363" spans="11:11">
      <c r="K1363" t="str">
        <f t="shared" si="25"/>
        <v/>
      </c>
    </row>
    <row r="1364" spans="11:11">
      <c r="K1364" t="str">
        <f t="shared" si="25"/>
        <v/>
      </c>
    </row>
    <row r="1365" spans="11:11">
      <c r="K1365" t="str">
        <f t="shared" si="25"/>
        <v/>
      </c>
    </row>
    <row r="1366" spans="11:11">
      <c r="K1366" t="str">
        <f t="shared" si="25"/>
        <v/>
      </c>
    </row>
    <row r="1367" spans="11:11">
      <c r="K1367" t="str">
        <f t="shared" si="25"/>
        <v/>
      </c>
    </row>
    <row r="1368" spans="11:11">
      <c r="K1368" t="str">
        <f t="shared" si="25"/>
        <v/>
      </c>
    </row>
    <row r="1369" spans="11:11">
      <c r="K1369" t="str">
        <f t="shared" si="25"/>
        <v/>
      </c>
    </row>
    <row r="1370" spans="11:11">
      <c r="K1370" t="str">
        <f t="shared" si="25"/>
        <v/>
      </c>
    </row>
    <row r="1371" spans="11:11">
      <c r="K1371" t="str">
        <f t="shared" si="25"/>
        <v/>
      </c>
    </row>
    <row r="1372" spans="11:11">
      <c r="K1372" t="str">
        <f t="shared" si="25"/>
        <v/>
      </c>
    </row>
    <row r="1373" spans="11:11">
      <c r="K1373" t="str">
        <f t="shared" si="25"/>
        <v/>
      </c>
    </row>
    <row r="1374" spans="11:11">
      <c r="K1374" t="str">
        <f t="shared" si="25"/>
        <v/>
      </c>
    </row>
    <row r="1375" spans="11:11">
      <c r="K1375" t="str">
        <f t="shared" si="25"/>
        <v/>
      </c>
    </row>
    <row r="1376" spans="11:11">
      <c r="K1376" t="str">
        <f t="shared" si="25"/>
        <v/>
      </c>
    </row>
    <row r="1377" spans="11:11">
      <c r="K1377" t="str">
        <f t="shared" si="25"/>
        <v/>
      </c>
    </row>
    <row r="1378" spans="11:11">
      <c r="K1378" t="str">
        <f t="shared" si="25"/>
        <v/>
      </c>
    </row>
    <row r="1379" spans="11:11">
      <c r="K1379" t="str">
        <f t="shared" si="25"/>
        <v/>
      </c>
    </row>
    <row r="1380" spans="11:11">
      <c r="K1380" t="str">
        <f t="shared" si="25"/>
        <v/>
      </c>
    </row>
    <row r="1381" spans="11:11">
      <c r="K1381" t="str">
        <f t="shared" si="25"/>
        <v/>
      </c>
    </row>
    <row r="1382" spans="11:11">
      <c r="K1382" t="str">
        <f t="shared" si="25"/>
        <v/>
      </c>
    </row>
    <row r="1383" spans="11:11">
      <c r="K1383" t="str">
        <f t="shared" si="25"/>
        <v/>
      </c>
    </row>
    <row r="1384" spans="11:11">
      <c r="K1384" t="str">
        <f t="shared" si="25"/>
        <v/>
      </c>
    </row>
    <row r="1385" spans="11:11">
      <c r="K1385" t="str">
        <f t="shared" si="25"/>
        <v/>
      </c>
    </row>
    <row r="1386" spans="11:11">
      <c r="K1386" t="str">
        <f t="shared" si="25"/>
        <v/>
      </c>
    </row>
    <row r="1387" spans="11:11">
      <c r="K1387" t="str">
        <f t="shared" si="25"/>
        <v/>
      </c>
    </row>
    <row r="1388" spans="11:11">
      <c r="K1388" t="str">
        <f t="shared" si="25"/>
        <v/>
      </c>
    </row>
    <row r="1389" spans="11:11">
      <c r="K1389" t="str">
        <f t="shared" si="25"/>
        <v/>
      </c>
    </row>
    <row r="1390" spans="11:11">
      <c r="K1390" t="str">
        <f t="shared" si="25"/>
        <v/>
      </c>
    </row>
    <row r="1391" spans="11:11">
      <c r="K1391" t="str">
        <f t="shared" si="25"/>
        <v/>
      </c>
    </row>
    <row r="1392" spans="11:11">
      <c r="K1392" t="str">
        <f t="shared" si="25"/>
        <v/>
      </c>
    </row>
    <row r="1393" spans="11:11">
      <c r="K1393" t="str">
        <f t="shared" si="25"/>
        <v/>
      </c>
    </row>
    <row r="1394" spans="11:11">
      <c r="K1394" t="str">
        <f t="shared" si="25"/>
        <v/>
      </c>
    </row>
    <row r="1395" spans="11:11">
      <c r="K1395" t="str">
        <f t="shared" si="25"/>
        <v/>
      </c>
    </row>
    <row r="1396" spans="11:11">
      <c r="K1396" t="str">
        <f t="shared" si="25"/>
        <v/>
      </c>
    </row>
    <row r="1397" spans="11:11">
      <c r="K1397" t="str">
        <f t="shared" si="25"/>
        <v/>
      </c>
    </row>
    <row r="1398" spans="11:11">
      <c r="K1398" t="str">
        <f t="shared" si="25"/>
        <v/>
      </c>
    </row>
    <row r="1399" spans="11:11">
      <c r="K1399" t="str">
        <f t="shared" si="25"/>
        <v/>
      </c>
    </row>
    <row r="1400" spans="11:11">
      <c r="K1400" t="str">
        <f t="shared" si="25"/>
        <v/>
      </c>
    </row>
    <row r="1401" spans="11:11">
      <c r="K1401" t="str">
        <f t="shared" si="25"/>
        <v/>
      </c>
    </row>
    <row r="1402" spans="11:11">
      <c r="K1402" t="str">
        <f t="shared" si="25"/>
        <v/>
      </c>
    </row>
    <row r="1403" spans="11:11">
      <c r="K1403" t="str">
        <f t="shared" si="25"/>
        <v/>
      </c>
    </row>
    <row r="1404" spans="11:11">
      <c r="K1404" t="str">
        <f t="shared" si="25"/>
        <v/>
      </c>
    </row>
    <row r="1405" spans="11:11">
      <c r="K1405" t="str">
        <f t="shared" si="25"/>
        <v/>
      </c>
    </row>
    <row r="1406" spans="11:11">
      <c r="K1406" t="str">
        <f t="shared" si="25"/>
        <v/>
      </c>
    </row>
    <row r="1407" spans="11:11">
      <c r="K1407" t="str">
        <f t="shared" si="25"/>
        <v/>
      </c>
    </row>
    <row r="1408" spans="11:11">
      <c r="K1408" t="str">
        <f t="shared" si="25"/>
        <v/>
      </c>
    </row>
    <row r="1409" spans="11:11">
      <c r="K1409" t="str">
        <f t="shared" si="25"/>
        <v/>
      </c>
    </row>
    <row r="1410" spans="11:11">
      <c r="K1410" t="str">
        <f t="shared" si="25"/>
        <v/>
      </c>
    </row>
    <row r="1411" spans="11:11">
      <c r="K1411" t="str">
        <f t="shared" si="25"/>
        <v/>
      </c>
    </row>
    <row r="1412" spans="11:11">
      <c r="K1412" t="str">
        <f t="shared" si="25"/>
        <v/>
      </c>
    </row>
    <row r="1413" spans="11:11">
      <c r="K1413" t="str">
        <f t="shared" ref="K1413:K1476" si="26">IF(A1413="","", WEEKNUM(A1413, 2))</f>
        <v/>
      </c>
    </row>
    <row r="1414" spans="11:11">
      <c r="K1414" t="str">
        <f t="shared" si="26"/>
        <v/>
      </c>
    </row>
    <row r="1415" spans="11:11">
      <c r="K1415" t="str">
        <f t="shared" si="26"/>
        <v/>
      </c>
    </row>
    <row r="1416" spans="11:11">
      <c r="K1416" t="str">
        <f t="shared" si="26"/>
        <v/>
      </c>
    </row>
    <row r="1417" spans="11:11">
      <c r="K1417" t="str">
        <f t="shared" si="26"/>
        <v/>
      </c>
    </row>
    <row r="1418" spans="11:11">
      <c r="K1418" t="str">
        <f t="shared" si="26"/>
        <v/>
      </c>
    </row>
    <row r="1419" spans="11:11">
      <c r="K1419" t="str">
        <f t="shared" si="26"/>
        <v/>
      </c>
    </row>
    <row r="1420" spans="11:11">
      <c r="K1420" t="str">
        <f t="shared" si="26"/>
        <v/>
      </c>
    </row>
    <row r="1421" spans="11:11">
      <c r="K1421" t="str">
        <f t="shared" si="26"/>
        <v/>
      </c>
    </row>
    <row r="1422" spans="11:11">
      <c r="K1422" t="str">
        <f t="shared" si="26"/>
        <v/>
      </c>
    </row>
    <row r="1423" spans="11:11">
      <c r="K1423" t="str">
        <f t="shared" si="26"/>
        <v/>
      </c>
    </row>
    <row r="1424" spans="11:11">
      <c r="K1424" t="str">
        <f t="shared" si="26"/>
        <v/>
      </c>
    </row>
    <row r="1425" spans="11:11">
      <c r="K1425" t="str">
        <f t="shared" si="26"/>
        <v/>
      </c>
    </row>
    <row r="1426" spans="11:11">
      <c r="K1426" t="str">
        <f t="shared" si="26"/>
        <v/>
      </c>
    </row>
    <row r="1427" spans="11:11">
      <c r="K1427" t="str">
        <f t="shared" si="26"/>
        <v/>
      </c>
    </row>
    <row r="1428" spans="11:11">
      <c r="K1428" t="str">
        <f t="shared" si="26"/>
        <v/>
      </c>
    </row>
    <row r="1429" spans="11:11">
      <c r="K1429" t="str">
        <f t="shared" si="26"/>
        <v/>
      </c>
    </row>
    <row r="1430" spans="11:11">
      <c r="K1430" t="str">
        <f t="shared" si="26"/>
        <v/>
      </c>
    </row>
    <row r="1431" spans="11:11">
      <c r="K1431" t="str">
        <f t="shared" si="26"/>
        <v/>
      </c>
    </row>
    <row r="1432" spans="11:11">
      <c r="K1432" t="str">
        <f t="shared" si="26"/>
        <v/>
      </c>
    </row>
    <row r="1433" spans="11:11">
      <c r="K1433" t="str">
        <f t="shared" si="26"/>
        <v/>
      </c>
    </row>
    <row r="1434" spans="11:11">
      <c r="K1434" t="str">
        <f t="shared" si="26"/>
        <v/>
      </c>
    </row>
    <row r="1435" spans="11:11">
      <c r="K1435" t="str">
        <f t="shared" si="26"/>
        <v/>
      </c>
    </row>
    <row r="1436" spans="11:11">
      <c r="K1436" t="str">
        <f t="shared" si="26"/>
        <v/>
      </c>
    </row>
    <row r="1437" spans="11:11">
      <c r="K1437" t="str">
        <f t="shared" si="26"/>
        <v/>
      </c>
    </row>
    <row r="1438" spans="11:11">
      <c r="K1438" t="str">
        <f t="shared" si="26"/>
        <v/>
      </c>
    </row>
    <row r="1439" spans="11:11">
      <c r="K1439" t="str">
        <f t="shared" si="26"/>
        <v/>
      </c>
    </row>
    <row r="1440" spans="11:11">
      <c r="K1440" t="str">
        <f t="shared" si="26"/>
        <v/>
      </c>
    </row>
    <row r="1441" spans="11:11">
      <c r="K1441" t="str">
        <f t="shared" si="26"/>
        <v/>
      </c>
    </row>
    <row r="1442" spans="11:11">
      <c r="K1442" t="str">
        <f t="shared" si="26"/>
        <v/>
      </c>
    </row>
    <row r="1443" spans="11:11">
      <c r="K1443" t="str">
        <f t="shared" si="26"/>
        <v/>
      </c>
    </row>
    <row r="1444" spans="11:11">
      <c r="K1444" t="str">
        <f t="shared" si="26"/>
        <v/>
      </c>
    </row>
    <row r="1445" spans="11:11">
      <c r="K1445" t="str">
        <f t="shared" si="26"/>
        <v/>
      </c>
    </row>
    <row r="1446" spans="11:11">
      <c r="K1446" t="str">
        <f t="shared" si="26"/>
        <v/>
      </c>
    </row>
    <row r="1447" spans="11:11">
      <c r="K1447" t="str">
        <f t="shared" si="26"/>
        <v/>
      </c>
    </row>
    <row r="1448" spans="11:11">
      <c r="K1448" t="str">
        <f t="shared" si="26"/>
        <v/>
      </c>
    </row>
    <row r="1449" spans="11:11">
      <c r="K1449" t="str">
        <f t="shared" si="26"/>
        <v/>
      </c>
    </row>
    <row r="1450" spans="11:11">
      <c r="K1450" t="str">
        <f t="shared" si="26"/>
        <v/>
      </c>
    </row>
    <row r="1451" spans="11:11">
      <c r="K1451" t="str">
        <f t="shared" si="26"/>
        <v/>
      </c>
    </row>
    <row r="1452" spans="11:11">
      <c r="K1452" t="str">
        <f t="shared" si="26"/>
        <v/>
      </c>
    </row>
    <row r="1453" spans="11:11">
      <c r="K1453" t="str">
        <f t="shared" si="26"/>
        <v/>
      </c>
    </row>
    <row r="1454" spans="11:11">
      <c r="K1454" t="str">
        <f t="shared" si="26"/>
        <v/>
      </c>
    </row>
    <row r="1455" spans="11:11">
      <c r="K1455" t="str">
        <f t="shared" si="26"/>
        <v/>
      </c>
    </row>
    <row r="1456" spans="11:11">
      <c r="K1456" t="str">
        <f t="shared" si="26"/>
        <v/>
      </c>
    </row>
    <row r="1457" spans="11:11">
      <c r="K1457" t="str">
        <f t="shared" si="26"/>
        <v/>
      </c>
    </row>
    <row r="1458" spans="11:11">
      <c r="K1458" t="str">
        <f t="shared" si="26"/>
        <v/>
      </c>
    </row>
    <row r="1459" spans="11:11">
      <c r="K1459" t="str">
        <f t="shared" si="26"/>
        <v/>
      </c>
    </row>
    <row r="1460" spans="11:11">
      <c r="K1460" t="str">
        <f t="shared" si="26"/>
        <v/>
      </c>
    </row>
    <row r="1461" spans="11:11">
      <c r="K1461" t="str">
        <f t="shared" si="26"/>
        <v/>
      </c>
    </row>
    <row r="1462" spans="11:11">
      <c r="K1462" t="str">
        <f t="shared" si="26"/>
        <v/>
      </c>
    </row>
    <row r="1463" spans="11:11">
      <c r="K1463" t="str">
        <f t="shared" si="26"/>
        <v/>
      </c>
    </row>
    <row r="1464" spans="11:11">
      <c r="K1464" t="str">
        <f t="shared" si="26"/>
        <v/>
      </c>
    </row>
    <row r="1465" spans="11:11">
      <c r="K1465" t="str">
        <f t="shared" si="26"/>
        <v/>
      </c>
    </row>
    <row r="1466" spans="11:11">
      <c r="K1466" t="str">
        <f t="shared" si="26"/>
        <v/>
      </c>
    </row>
    <row r="1467" spans="11:11">
      <c r="K1467" t="str">
        <f t="shared" si="26"/>
        <v/>
      </c>
    </row>
    <row r="1468" spans="11:11">
      <c r="K1468" t="str">
        <f t="shared" si="26"/>
        <v/>
      </c>
    </row>
    <row r="1469" spans="11:11">
      <c r="K1469" t="str">
        <f t="shared" si="26"/>
        <v/>
      </c>
    </row>
    <row r="1470" spans="11:11">
      <c r="K1470" t="str">
        <f t="shared" si="26"/>
        <v/>
      </c>
    </row>
    <row r="1471" spans="11:11">
      <c r="K1471" t="str">
        <f t="shared" si="26"/>
        <v/>
      </c>
    </row>
    <row r="1472" spans="11:11">
      <c r="K1472" t="str">
        <f t="shared" si="26"/>
        <v/>
      </c>
    </row>
    <row r="1473" spans="11:11">
      <c r="K1473" t="str">
        <f t="shared" si="26"/>
        <v/>
      </c>
    </row>
    <row r="1474" spans="11:11">
      <c r="K1474" t="str">
        <f t="shared" si="26"/>
        <v/>
      </c>
    </row>
    <row r="1475" spans="11:11">
      <c r="K1475" t="str">
        <f t="shared" si="26"/>
        <v/>
      </c>
    </row>
    <row r="1476" spans="11:11">
      <c r="K1476" t="str">
        <f t="shared" si="26"/>
        <v/>
      </c>
    </row>
    <row r="1477" spans="11:11">
      <c r="K1477" t="str">
        <f t="shared" ref="K1477:K1540" si="27">IF(A1477="","", WEEKNUM(A1477, 2))</f>
        <v/>
      </c>
    </row>
    <row r="1478" spans="11:11">
      <c r="K1478" t="str">
        <f t="shared" si="27"/>
        <v/>
      </c>
    </row>
    <row r="1479" spans="11:11">
      <c r="K1479" t="str">
        <f t="shared" si="27"/>
        <v/>
      </c>
    </row>
    <row r="1480" spans="11:11">
      <c r="K1480" t="str">
        <f t="shared" si="27"/>
        <v/>
      </c>
    </row>
    <row r="1481" spans="11:11">
      <c r="K1481" t="str">
        <f t="shared" si="27"/>
        <v/>
      </c>
    </row>
    <row r="1482" spans="11:11">
      <c r="K1482" t="str">
        <f t="shared" si="27"/>
        <v/>
      </c>
    </row>
    <row r="1483" spans="11:11">
      <c r="K1483" t="str">
        <f t="shared" si="27"/>
        <v/>
      </c>
    </row>
    <row r="1484" spans="11:11">
      <c r="K1484" t="str">
        <f t="shared" si="27"/>
        <v/>
      </c>
    </row>
    <row r="1485" spans="11:11">
      <c r="K1485" t="str">
        <f t="shared" si="27"/>
        <v/>
      </c>
    </row>
    <row r="1486" spans="11:11">
      <c r="K1486" t="str">
        <f t="shared" si="27"/>
        <v/>
      </c>
    </row>
    <row r="1487" spans="11:11">
      <c r="K1487" t="str">
        <f t="shared" si="27"/>
        <v/>
      </c>
    </row>
    <row r="1488" spans="11:11">
      <c r="K1488" t="str">
        <f t="shared" si="27"/>
        <v/>
      </c>
    </row>
    <row r="1489" spans="11:11">
      <c r="K1489" t="str">
        <f t="shared" si="27"/>
        <v/>
      </c>
    </row>
    <row r="1490" spans="11:11">
      <c r="K1490" t="str">
        <f t="shared" si="27"/>
        <v/>
      </c>
    </row>
    <row r="1491" spans="11:11">
      <c r="K1491" t="str">
        <f t="shared" si="27"/>
        <v/>
      </c>
    </row>
    <row r="1492" spans="11:11">
      <c r="K1492" t="str">
        <f t="shared" si="27"/>
        <v/>
      </c>
    </row>
    <row r="1493" spans="11:11">
      <c r="K1493" t="str">
        <f t="shared" si="27"/>
        <v/>
      </c>
    </row>
    <row r="1494" spans="11:11">
      <c r="K1494" t="str">
        <f t="shared" si="27"/>
        <v/>
      </c>
    </row>
    <row r="1495" spans="11:11">
      <c r="K1495" t="str">
        <f t="shared" si="27"/>
        <v/>
      </c>
    </row>
    <row r="1496" spans="11:11">
      <c r="K1496" t="str">
        <f t="shared" si="27"/>
        <v/>
      </c>
    </row>
    <row r="1497" spans="11:11">
      <c r="K1497" t="str">
        <f t="shared" si="27"/>
        <v/>
      </c>
    </row>
    <row r="1498" spans="11:11">
      <c r="K1498" t="str">
        <f t="shared" si="27"/>
        <v/>
      </c>
    </row>
    <row r="1499" spans="11:11">
      <c r="K1499" t="str">
        <f t="shared" si="27"/>
        <v/>
      </c>
    </row>
    <row r="1500" spans="11:11">
      <c r="K1500" t="str">
        <f t="shared" si="27"/>
        <v/>
      </c>
    </row>
    <row r="1501" spans="11:11">
      <c r="K1501" t="str">
        <f t="shared" si="27"/>
        <v/>
      </c>
    </row>
    <row r="1502" spans="11:11">
      <c r="K1502" t="str">
        <f t="shared" si="27"/>
        <v/>
      </c>
    </row>
    <row r="1503" spans="11:11">
      <c r="K1503" t="str">
        <f t="shared" si="27"/>
        <v/>
      </c>
    </row>
    <row r="1504" spans="11:11">
      <c r="K1504" t="str">
        <f t="shared" si="27"/>
        <v/>
      </c>
    </row>
    <row r="1505" spans="11:11">
      <c r="K1505" t="str">
        <f t="shared" si="27"/>
        <v/>
      </c>
    </row>
    <row r="1506" spans="11:11">
      <c r="K1506" t="str">
        <f t="shared" si="27"/>
        <v/>
      </c>
    </row>
    <row r="1507" spans="11:11">
      <c r="K1507" t="str">
        <f t="shared" si="27"/>
        <v/>
      </c>
    </row>
    <row r="1508" spans="11:11">
      <c r="K1508" t="str">
        <f t="shared" si="27"/>
        <v/>
      </c>
    </row>
    <row r="1509" spans="11:11">
      <c r="K1509" t="str">
        <f t="shared" si="27"/>
        <v/>
      </c>
    </row>
    <row r="1510" spans="11:11">
      <c r="K1510" t="str">
        <f t="shared" si="27"/>
        <v/>
      </c>
    </row>
    <row r="1511" spans="11:11">
      <c r="K1511" t="str">
        <f t="shared" si="27"/>
        <v/>
      </c>
    </row>
    <row r="1512" spans="11:11">
      <c r="K1512" t="str">
        <f t="shared" si="27"/>
        <v/>
      </c>
    </row>
    <row r="1513" spans="11:11">
      <c r="K1513" t="str">
        <f t="shared" si="27"/>
        <v/>
      </c>
    </row>
    <row r="1514" spans="11:11">
      <c r="K1514" t="str">
        <f t="shared" si="27"/>
        <v/>
      </c>
    </row>
    <row r="1515" spans="11:11">
      <c r="K1515" t="str">
        <f t="shared" si="27"/>
        <v/>
      </c>
    </row>
    <row r="1516" spans="11:11">
      <c r="K1516" t="str">
        <f t="shared" si="27"/>
        <v/>
      </c>
    </row>
    <row r="1517" spans="11:11">
      <c r="K1517" t="str">
        <f t="shared" si="27"/>
        <v/>
      </c>
    </row>
    <row r="1518" spans="11:11">
      <c r="K1518" t="str">
        <f t="shared" si="27"/>
        <v/>
      </c>
    </row>
    <row r="1519" spans="11:11">
      <c r="K1519" t="str">
        <f t="shared" si="27"/>
        <v/>
      </c>
    </row>
    <row r="1520" spans="11:11">
      <c r="K1520" t="str">
        <f t="shared" si="27"/>
        <v/>
      </c>
    </row>
    <row r="1521" spans="11:11">
      <c r="K1521" t="str">
        <f t="shared" si="27"/>
        <v/>
      </c>
    </row>
    <row r="1522" spans="11:11">
      <c r="K1522" t="str">
        <f t="shared" si="27"/>
        <v/>
      </c>
    </row>
    <row r="1523" spans="11:11">
      <c r="K1523" t="str">
        <f t="shared" si="27"/>
        <v/>
      </c>
    </row>
    <row r="1524" spans="11:11">
      <c r="K1524" t="str">
        <f t="shared" si="27"/>
        <v/>
      </c>
    </row>
    <row r="1525" spans="11:11">
      <c r="K1525" t="str">
        <f t="shared" si="27"/>
        <v/>
      </c>
    </row>
    <row r="1526" spans="11:11">
      <c r="K1526" t="str">
        <f t="shared" si="27"/>
        <v/>
      </c>
    </row>
    <row r="1527" spans="11:11">
      <c r="K1527" t="str">
        <f t="shared" si="27"/>
        <v/>
      </c>
    </row>
    <row r="1528" spans="11:11">
      <c r="K1528" t="str">
        <f t="shared" si="27"/>
        <v/>
      </c>
    </row>
    <row r="1529" spans="11:11">
      <c r="K1529" t="str">
        <f t="shared" si="27"/>
        <v/>
      </c>
    </row>
    <row r="1530" spans="11:11">
      <c r="K1530" t="str">
        <f t="shared" si="27"/>
        <v/>
      </c>
    </row>
    <row r="1531" spans="11:11">
      <c r="K1531" t="str">
        <f t="shared" si="27"/>
        <v/>
      </c>
    </row>
    <row r="1532" spans="11:11">
      <c r="K1532" t="str">
        <f t="shared" si="27"/>
        <v/>
      </c>
    </row>
    <row r="1533" spans="11:11">
      <c r="K1533" t="str">
        <f t="shared" si="27"/>
        <v/>
      </c>
    </row>
    <row r="1534" spans="11:11">
      <c r="K1534" t="str">
        <f t="shared" si="27"/>
        <v/>
      </c>
    </row>
    <row r="1535" spans="11:11">
      <c r="K1535" t="str">
        <f t="shared" si="27"/>
        <v/>
      </c>
    </row>
    <row r="1536" spans="11:11">
      <c r="K1536" t="str">
        <f t="shared" si="27"/>
        <v/>
      </c>
    </row>
    <row r="1537" spans="11:11">
      <c r="K1537" t="str">
        <f t="shared" si="27"/>
        <v/>
      </c>
    </row>
    <row r="1538" spans="11:11">
      <c r="K1538" t="str">
        <f t="shared" si="27"/>
        <v/>
      </c>
    </row>
    <row r="1539" spans="11:11">
      <c r="K1539" t="str">
        <f t="shared" si="27"/>
        <v/>
      </c>
    </row>
    <row r="1540" spans="11:11">
      <c r="K1540" t="str">
        <f t="shared" si="27"/>
        <v/>
      </c>
    </row>
    <row r="1541" spans="11:11">
      <c r="K1541" t="str">
        <f t="shared" ref="K1541:K1604" si="28">IF(A1541="","", WEEKNUM(A1541, 2))</f>
        <v/>
      </c>
    </row>
    <row r="1542" spans="11:11">
      <c r="K1542" t="str">
        <f t="shared" si="28"/>
        <v/>
      </c>
    </row>
    <row r="1543" spans="11:11">
      <c r="K1543" t="str">
        <f t="shared" si="28"/>
        <v/>
      </c>
    </row>
    <row r="1544" spans="11:11">
      <c r="K1544" t="str">
        <f t="shared" si="28"/>
        <v/>
      </c>
    </row>
    <row r="1545" spans="11:11">
      <c r="K1545" t="str">
        <f t="shared" si="28"/>
        <v/>
      </c>
    </row>
    <row r="1546" spans="11:11">
      <c r="K1546" t="str">
        <f t="shared" si="28"/>
        <v/>
      </c>
    </row>
    <row r="1547" spans="11:11">
      <c r="K1547" t="str">
        <f t="shared" si="28"/>
        <v/>
      </c>
    </row>
    <row r="1548" spans="11:11">
      <c r="K1548" t="str">
        <f t="shared" si="28"/>
        <v/>
      </c>
    </row>
    <row r="1549" spans="11:11">
      <c r="K1549" t="str">
        <f t="shared" si="28"/>
        <v/>
      </c>
    </row>
    <row r="1550" spans="11:11">
      <c r="K1550" t="str">
        <f t="shared" si="28"/>
        <v/>
      </c>
    </row>
    <row r="1551" spans="11:11">
      <c r="K1551" t="str">
        <f t="shared" si="28"/>
        <v/>
      </c>
    </row>
    <row r="1552" spans="11:11">
      <c r="K1552" t="str">
        <f t="shared" si="28"/>
        <v/>
      </c>
    </row>
    <row r="1553" spans="11:11">
      <c r="K1553" t="str">
        <f t="shared" si="28"/>
        <v/>
      </c>
    </row>
    <row r="1554" spans="11:11">
      <c r="K1554" t="str">
        <f t="shared" si="28"/>
        <v/>
      </c>
    </row>
    <row r="1555" spans="11:11">
      <c r="K1555" t="str">
        <f t="shared" si="28"/>
        <v/>
      </c>
    </row>
    <row r="1556" spans="11:11">
      <c r="K1556" t="str">
        <f t="shared" si="28"/>
        <v/>
      </c>
    </row>
    <row r="1557" spans="11:11">
      <c r="K1557" t="str">
        <f t="shared" si="28"/>
        <v/>
      </c>
    </row>
    <row r="1558" spans="11:11">
      <c r="K1558" t="str">
        <f t="shared" si="28"/>
        <v/>
      </c>
    </row>
    <row r="1559" spans="11:11">
      <c r="K1559" t="str">
        <f t="shared" si="28"/>
        <v/>
      </c>
    </row>
    <row r="1560" spans="11:11">
      <c r="K1560" t="str">
        <f t="shared" si="28"/>
        <v/>
      </c>
    </row>
    <row r="1561" spans="11:11">
      <c r="K1561" t="str">
        <f t="shared" si="28"/>
        <v/>
      </c>
    </row>
    <row r="1562" spans="11:11">
      <c r="K1562" t="str">
        <f t="shared" si="28"/>
        <v/>
      </c>
    </row>
    <row r="1563" spans="11:11">
      <c r="K1563" t="str">
        <f t="shared" si="28"/>
        <v/>
      </c>
    </row>
    <row r="1564" spans="11:11">
      <c r="K1564" t="str">
        <f t="shared" si="28"/>
        <v/>
      </c>
    </row>
    <row r="1565" spans="11:11">
      <c r="K1565" t="str">
        <f t="shared" si="28"/>
        <v/>
      </c>
    </row>
    <row r="1566" spans="11:11">
      <c r="K1566" t="str">
        <f t="shared" si="28"/>
        <v/>
      </c>
    </row>
    <row r="1567" spans="11:11">
      <c r="K1567" t="str">
        <f t="shared" si="28"/>
        <v/>
      </c>
    </row>
    <row r="1568" spans="11:11">
      <c r="K1568" t="str">
        <f t="shared" si="28"/>
        <v/>
      </c>
    </row>
    <row r="1569" spans="11:11">
      <c r="K1569" t="str">
        <f t="shared" si="28"/>
        <v/>
      </c>
    </row>
    <row r="1570" spans="11:11">
      <c r="K1570" t="str">
        <f t="shared" si="28"/>
        <v/>
      </c>
    </row>
    <row r="1571" spans="11:11">
      <c r="K1571" t="str">
        <f t="shared" si="28"/>
        <v/>
      </c>
    </row>
    <row r="1572" spans="11:11">
      <c r="K1572" t="str">
        <f t="shared" si="28"/>
        <v/>
      </c>
    </row>
    <row r="1573" spans="11:11">
      <c r="K1573" t="str">
        <f t="shared" si="28"/>
        <v/>
      </c>
    </row>
    <row r="1574" spans="11:11">
      <c r="K1574" t="str">
        <f t="shared" si="28"/>
        <v/>
      </c>
    </row>
    <row r="1575" spans="11:11">
      <c r="K1575" t="str">
        <f t="shared" si="28"/>
        <v/>
      </c>
    </row>
    <row r="1576" spans="11:11">
      <c r="K1576" t="str">
        <f t="shared" si="28"/>
        <v/>
      </c>
    </row>
    <row r="1577" spans="11:11">
      <c r="K1577" t="str">
        <f t="shared" si="28"/>
        <v/>
      </c>
    </row>
    <row r="1578" spans="11:11">
      <c r="K1578" t="str">
        <f t="shared" si="28"/>
        <v/>
      </c>
    </row>
    <row r="1579" spans="11:11">
      <c r="K1579" t="str">
        <f t="shared" si="28"/>
        <v/>
      </c>
    </row>
    <row r="1580" spans="11:11">
      <c r="K1580" t="str">
        <f t="shared" si="28"/>
        <v/>
      </c>
    </row>
    <row r="1581" spans="11:11">
      <c r="K1581" t="str">
        <f t="shared" si="28"/>
        <v/>
      </c>
    </row>
    <row r="1582" spans="11:11">
      <c r="K1582" t="str">
        <f t="shared" si="28"/>
        <v/>
      </c>
    </row>
    <row r="1583" spans="11:11">
      <c r="K1583" t="str">
        <f t="shared" si="28"/>
        <v/>
      </c>
    </row>
    <row r="1584" spans="11:11">
      <c r="K1584" t="str">
        <f t="shared" si="28"/>
        <v/>
      </c>
    </row>
    <row r="1585" spans="11:11">
      <c r="K1585" t="str">
        <f t="shared" si="28"/>
        <v/>
      </c>
    </row>
    <row r="1586" spans="11:11">
      <c r="K1586" t="str">
        <f t="shared" si="28"/>
        <v/>
      </c>
    </row>
    <row r="1587" spans="11:11">
      <c r="K1587" t="str">
        <f t="shared" si="28"/>
        <v/>
      </c>
    </row>
    <row r="1588" spans="11:11">
      <c r="K1588" t="str">
        <f t="shared" si="28"/>
        <v/>
      </c>
    </row>
    <row r="1589" spans="11:11">
      <c r="K1589" t="str">
        <f t="shared" si="28"/>
        <v/>
      </c>
    </row>
    <row r="1590" spans="11:11">
      <c r="K1590" t="str">
        <f t="shared" si="28"/>
        <v/>
      </c>
    </row>
    <row r="1591" spans="11:11">
      <c r="K1591" t="str">
        <f t="shared" si="28"/>
        <v/>
      </c>
    </row>
    <row r="1592" spans="11:11">
      <c r="K1592" t="str">
        <f t="shared" si="28"/>
        <v/>
      </c>
    </row>
    <row r="1593" spans="11:11">
      <c r="K1593" t="str">
        <f t="shared" si="28"/>
        <v/>
      </c>
    </row>
    <row r="1594" spans="11:11">
      <c r="K1594" t="str">
        <f t="shared" si="28"/>
        <v/>
      </c>
    </row>
    <row r="1595" spans="11:11">
      <c r="K1595" t="str">
        <f t="shared" si="28"/>
        <v/>
      </c>
    </row>
    <row r="1596" spans="11:11">
      <c r="K1596" t="str">
        <f t="shared" si="28"/>
        <v/>
      </c>
    </row>
    <row r="1597" spans="11:11">
      <c r="K1597" t="str">
        <f t="shared" si="28"/>
        <v/>
      </c>
    </row>
    <row r="1598" spans="11:11">
      <c r="K1598" t="str">
        <f t="shared" si="28"/>
        <v/>
      </c>
    </row>
    <row r="1599" spans="11:11">
      <c r="K1599" t="str">
        <f t="shared" si="28"/>
        <v/>
      </c>
    </row>
    <row r="1600" spans="11:11">
      <c r="K1600" t="str">
        <f t="shared" si="28"/>
        <v/>
      </c>
    </row>
    <row r="1601" spans="11:11">
      <c r="K1601" t="str">
        <f t="shared" si="28"/>
        <v/>
      </c>
    </row>
    <row r="1602" spans="11:11">
      <c r="K1602" t="str">
        <f t="shared" si="28"/>
        <v/>
      </c>
    </row>
    <row r="1603" spans="11:11">
      <c r="K1603" t="str">
        <f t="shared" si="28"/>
        <v/>
      </c>
    </row>
    <row r="1604" spans="11:11">
      <c r="K1604" t="str">
        <f t="shared" si="28"/>
        <v/>
      </c>
    </row>
    <row r="1605" spans="11:11">
      <c r="K1605" t="str">
        <f t="shared" ref="K1605:K1668" si="29">IF(A1605="","", WEEKNUM(A1605, 2))</f>
        <v/>
      </c>
    </row>
    <row r="1606" spans="11:11">
      <c r="K1606" t="str">
        <f t="shared" si="29"/>
        <v/>
      </c>
    </row>
    <row r="1607" spans="11:11">
      <c r="K1607" t="str">
        <f t="shared" si="29"/>
        <v/>
      </c>
    </row>
    <row r="1608" spans="11:11">
      <c r="K1608" t="str">
        <f t="shared" si="29"/>
        <v/>
      </c>
    </row>
    <row r="1609" spans="11:11">
      <c r="K1609" t="str">
        <f t="shared" si="29"/>
        <v/>
      </c>
    </row>
    <row r="1610" spans="11:11">
      <c r="K1610" t="str">
        <f t="shared" si="29"/>
        <v/>
      </c>
    </row>
    <row r="1611" spans="11:11">
      <c r="K1611" t="str">
        <f t="shared" si="29"/>
        <v/>
      </c>
    </row>
    <row r="1612" spans="11:11">
      <c r="K1612" t="str">
        <f t="shared" si="29"/>
        <v/>
      </c>
    </row>
    <row r="1613" spans="11:11">
      <c r="K1613" t="str">
        <f t="shared" si="29"/>
        <v/>
      </c>
    </row>
    <row r="1614" spans="11:11">
      <c r="K1614" t="str">
        <f t="shared" si="29"/>
        <v/>
      </c>
    </row>
    <row r="1615" spans="11:11">
      <c r="K1615" t="str">
        <f t="shared" si="29"/>
        <v/>
      </c>
    </row>
    <row r="1616" spans="11:11">
      <c r="K1616" t="str">
        <f t="shared" si="29"/>
        <v/>
      </c>
    </row>
    <row r="1617" spans="11:11">
      <c r="K1617" t="str">
        <f t="shared" si="29"/>
        <v/>
      </c>
    </row>
    <row r="1618" spans="11:11">
      <c r="K1618" t="str">
        <f t="shared" si="29"/>
        <v/>
      </c>
    </row>
    <row r="1619" spans="11:11">
      <c r="K1619" t="str">
        <f t="shared" si="29"/>
        <v/>
      </c>
    </row>
    <row r="1620" spans="11:11">
      <c r="K1620" t="str">
        <f t="shared" si="29"/>
        <v/>
      </c>
    </row>
    <row r="1621" spans="11:11">
      <c r="K1621" t="str">
        <f t="shared" si="29"/>
        <v/>
      </c>
    </row>
    <row r="1622" spans="11:11">
      <c r="K1622" t="str">
        <f t="shared" si="29"/>
        <v/>
      </c>
    </row>
    <row r="1623" spans="11:11">
      <c r="K1623" t="str">
        <f t="shared" si="29"/>
        <v/>
      </c>
    </row>
    <row r="1624" spans="11:11">
      <c r="K1624" t="str">
        <f t="shared" si="29"/>
        <v/>
      </c>
    </row>
    <row r="1625" spans="11:11">
      <c r="K1625" t="str">
        <f t="shared" si="29"/>
        <v/>
      </c>
    </row>
    <row r="1626" spans="11:11">
      <c r="K1626" t="str">
        <f t="shared" si="29"/>
        <v/>
      </c>
    </row>
    <row r="1627" spans="11:11">
      <c r="K1627" t="str">
        <f t="shared" si="29"/>
        <v/>
      </c>
    </row>
    <row r="1628" spans="11:11">
      <c r="K1628" t="str">
        <f t="shared" si="29"/>
        <v/>
      </c>
    </row>
    <row r="1629" spans="11:11">
      <c r="K1629" t="str">
        <f t="shared" si="29"/>
        <v/>
      </c>
    </row>
    <row r="1630" spans="11:11">
      <c r="K1630" t="str">
        <f t="shared" si="29"/>
        <v/>
      </c>
    </row>
    <row r="1631" spans="11:11">
      <c r="K1631" t="str">
        <f t="shared" si="29"/>
        <v/>
      </c>
    </row>
    <row r="1632" spans="11:11">
      <c r="K1632" t="str">
        <f t="shared" si="29"/>
        <v/>
      </c>
    </row>
    <row r="1633" spans="11:11">
      <c r="K1633" t="str">
        <f t="shared" si="29"/>
        <v/>
      </c>
    </row>
    <row r="1634" spans="11:11">
      <c r="K1634" t="str">
        <f t="shared" si="29"/>
        <v/>
      </c>
    </row>
    <row r="1635" spans="11:11">
      <c r="K1635" t="str">
        <f t="shared" si="29"/>
        <v/>
      </c>
    </row>
    <row r="1636" spans="11:11">
      <c r="K1636" t="str">
        <f t="shared" si="29"/>
        <v/>
      </c>
    </row>
    <row r="1637" spans="11:11">
      <c r="K1637" t="str">
        <f t="shared" si="29"/>
        <v/>
      </c>
    </row>
    <row r="1638" spans="11:11">
      <c r="K1638" t="str">
        <f t="shared" si="29"/>
        <v/>
      </c>
    </row>
    <row r="1639" spans="11:11">
      <c r="K1639" t="str">
        <f t="shared" si="29"/>
        <v/>
      </c>
    </row>
    <row r="1640" spans="11:11">
      <c r="K1640" t="str">
        <f t="shared" si="29"/>
        <v/>
      </c>
    </row>
    <row r="1641" spans="11:11">
      <c r="K1641" t="str">
        <f t="shared" si="29"/>
        <v/>
      </c>
    </row>
    <row r="1642" spans="11:11">
      <c r="K1642" t="str">
        <f t="shared" si="29"/>
        <v/>
      </c>
    </row>
    <row r="1643" spans="11:11">
      <c r="K1643" t="str">
        <f t="shared" si="29"/>
        <v/>
      </c>
    </row>
    <row r="1644" spans="11:11">
      <c r="K1644" t="str">
        <f t="shared" si="29"/>
        <v/>
      </c>
    </row>
    <row r="1645" spans="11:11">
      <c r="K1645" t="str">
        <f t="shared" si="29"/>
        <v/>
      </c>
    </row>
    <row r="1646" spans="11:11">
      <c r="K1646" t="str">
        <f t="shared" si="29"/>
        <v/>
      </c>
    </row>
    <row r="1647" spans="11:11">
      <c r="K1647" t="str">
        <f t="shared" si="29"/>
        <v/>
      </c>
    </row>
    <row r="1648" spans="11:11">
      <c r="K1648" t="str">
        <f t="shared" si="29"/>
        <v/>
      </c>
    </row>
    <row r="1649" spans="11:11">
      <c r="K1649" t="str">
        <f t="shared" si="29"/>
        <v/>
      </c>
    </row>
    <row r="1650" spans="11:11">
      <c r="K1650" t="str">
        <f t="shared" si="29"/>
        <v/>
      </c>
    </row>
    <row r="1651" spans="11:11">
      <c r="K1651" t="str">
        <f t="shared" si="29"/>
        <v/>
      </c>
    </row>
    <row r="1652" spans="11:11">
      <c r="K1652" t="str">
        <f t="shared" si="29"/>
        <v/>
      </c>
    </row>
    <row r="1653" spans="11:11">
      <c r="K1653" t="str">
        <f t="shared" si="29"/>
        <v/>
      </c>
    </row>
    <row r="1654" spans="11:11">
      <c r="K1654" t="str">
        <f t="shared" si="29"/>
        <v/>
      </c>
    </row>
    <row r="1655" spans="11:11">
      <c r="K1655" t="str">
        <f t="shared" si="29"/>
        <v/>
      </c>
    </row>
    <row r="1656" spans="11:11">
      <c r="K1656" t="str">
        <f t="shared" si="29"/>
        <v/>
      </c>
    </row>
    <row r="1657" spans="11:11">
      <c r="K1657" t="str">
        <f t="shared" si="29"/>
        <v/>
      </c>
    </row>
    <row r="1658" spans="11:11">
      <c r="K1658" t="str">
        <f t="shared" si="29"/>
        <v/>
      </c>
    </row>
    <row r="1659" spans="11:11">
      <c r="K1659" t="str">
        <f t="shared" si="29"/>
        <v/>
      </c>
    </row>
    <row r="1660" spans="11:11">
      <c r="K1660" t="str">
        <f t="shared" si="29"/>
        <v/>
      </c>
    </row>
    <row r="1661" spans="11:11">
      <c r="K1661" t="str">
        <f t="shared" si="29"/>
        <v/>
      </c>
    </row>
    <row r="1662" spans="11:11">
      <c r="K1662" t="str">
        <f t="shared" si="29"/>
        <v/>
      </c>
    </row>
    <row r="1663" spans="11:11">
      <c r="K1663" t="str">
        <f t="shared" si="29"/>
        <v/>
      </c>
    </row>
    <row r="1664" spans="11:11">
      <c r="K1664" t="str">
        <f t="shared" si="29"/>
        <v/>
      </c>
    </row>
    <row r="1665" spans="11:11">
      <c r="K1665" t="str">
        <f t="shared" si="29"/>
        <v/>
      </c>
    </row>
    <row r="1666" spans="11:11">
      <c r="K1666" t="str">
        <f t="shared" si="29"/>
        <v/>
      </c>
    </row>
    <row r="1667" spans="11:11">
      <c r="K1667" t="str">
        <f t="shared" si="29"/>
        <v/>
      </c>
    </row>
    <row r="1668" spans="11:11">
      <c r="K1668" t="str">
        <f t="shared" si="29"/>
        <v/>
      </c>
    </row>
    <row r="1669" spans="11:11">
      <c r="K1669" t="str">
        <f t="shared" ref="K1669:K1732" si="30">IF(A1669="","", WEEKNUM(A1669, 2))</f>
        <v/>
      </c>
    </row>
    <row r="1670" spans="11:11">
      <c r="K1670" t="str">
        <f t="shared" si="30"/>
        <v/>
      </c>
    </row>
    <row r="1671" spans="11:11">
      <c r="K1671" t="str">
        <f t="shared" si="30"/>
        <v/>
      </c>
    </row>
    <row r="1672" spans="11:11">
      <c r="K1672" t="str">
        <f t="shared" si="30"/>
        <v/>
      </c>
    </row>
    <row r="1673" spans="11:11">
      <c r="K1673" t="str">
        <f t="shared" si="30"/>
        <v/>
      </c>
    </row>
    <row r="1674" spans="11:11">
      <c r="K1674" t="str">
        <f t="shared" si="30"/>
        <v/>
      </c>
    </row>
    <row r="1675" spans="11:11">
      <c r="K1675" t="str">
        <f t="shared" si="30"/>
        <v/>
      </c>
    </row>
    <row r="1676" spans="11:11">
      <c r="K1676" t="str">
        <f t="shared" si="30"/>
        <v/>
      </c>
    </row>
    <row r="1677" spans="11:11">
      <c r="K1677" t="str">
        <f t="shared" si="30"/>
        <v/>
      </c>
    </row>
    <row r="1678" spans="11:11">
      <c r="K1678" t="str">
        <f t="shared" si="30"/>
        <v/>
      </c>
    </row>
    <row r="1679" spans="11:11">
      <c r="K1679" t="str">
        <f t="shared" si="30"/>
        <v/>
      </c>
    </row>
    <row r="1680" spans="11:11">
      <c r="K1680" t="str">
        <f t="shared" si="30"/>
        <v/>
      </c>
    </row>
    <row r="1681" spans="11:11">
      <c r="K1681" t="str">
        <f t="shared" si="30"/>
        <v/>
      </c>
    </row>
    <row r="1682" spans="11:11">
      <c r="K1682" t="str">
        <f t="shared" si="30"/>
        <v/>
      </c>
    </row>
    <row r="1683" spans="11:11">
      <c r="K1683" t="str">
        <f t="shared" si="30"/>
        <v/>
      </c>
    </row>
    <row r="1684" spans="11:11">
      <c r="K1684" t="str">
        <f t="shared" si="30"/>
        <v/>
      </c>
    </row>
    <row r="1685" spans="11:11">
      <c r="K1685" t="str">
        <f t="shared" si="30"/>
        <v/>
      </c>
    </row>
    <row r="1686" spans="11:11">
      <c r="K1686" t="str">
        <f t="shared" si="30"/>
        <v/>
      </c>
    </row>
    <row r="1687" spans="11:11">
      <c r="K1687" t="str">
        <f t="shared" si="30"/>
        <v/>
      </c>
    </row>
    <row r="1688" spans="11:11">
      <c r="K1688" t="str">
        <f t="shared" si="30"/>
        <v/>
      </c>
    </row>
    <row r="1689" spans="11:11">
      <c r="K1689" t="str">
        <f t="shared" si="30"/>
        <v/>
      </c>
    </row>
    <row r="1690" spans="11:11">
      <c r="K1690" t="str">
        <f t="shared" si="30"/>
        <v/>
      </c>
    </row>
    <row r="1691" spans="11:11">
      <c r="K1691" t="str">
        <f t="shared" si="30"/>
        <v/>
      </c>
    </row>
    <row r="1692" spans="11:11">
      <c r="K1692" t="str">
        <f t="shared" si="30"/>
        <v/>
      </c>
    </row>
    <row r="1693" spans="11:11">
      <c r="K1693" t="str">
        <f t="shared" si="30"/>
        <v/>
      </c>
    </row>
    <row r="1694" spans="11:11">
      <c r="K1694" t="str">
        <f t="shared" si="30"/>
        <v/>
      </c>
    </row>
    <row r="1695" spans="11:11">
      <c r="K1695" t="str">
        <f t="shared" si="30"/>
        <v/>
      </c>
    </row>
    <row r="1696" spans="11:11">
      <c r="K1696" t="str">
        <f t="shared" si="30"/>
        <v/>
      </c>
    </row>
    <row r="1697" spans="11:11">
      <c r="K1697" t="str">
        <f t="shared" si="30"/>
        <v/>
      </c>
    </row>
    <row r="1698" spans="11:11">
      <c r="K1698" t="str">
        <f t="shared" si="30"/>
        <v/>
      </c>
    </row>
    <row r="1699" spans="11:11">
      <c r="K1699" t="str">
        <f t="shared" si="30"/>
        <v/>
      </c>
    </row>
    <row r="1700" spans="11:11">
      <c r="K1700" t="str">
        <f t="shared" si="30"/>
        <v/>
      </c>
    </row>
    <row r="1701" spans="11:11">
      <c r="K1701" t="str">
        <f t="shared" si="30"/>
        <v/>
      </c>
    </row>
    <row r="1702" spans="11:11">
      <c r="K1702" t="str">
        <f t="shared" si="30"/>
        <v/>
      </c>
    </row>
    <row r="1703" spans="11:11">
      <c r="K1703" t="str">
        <f t="shared" si="30"/>
        <v/>
      </c>
    </row>
    <row r="1704" spans="11:11">
      <c r="K1704" t="str">
        <f t="shared" si="30"/>
        <v/>
      </c>
    </row>
    <row r="1705" spans="11:11">
      <c r="K1705" t="str">
        <f t="shared" si="30"/>
        <v/>
      </c>
    </row>
    <row r="1706" spans="11:11">
      <c r="K1706" t="str">
        <f t="shared" si="30"/>
        <v/>
      </c>
    </row>
    <row r="1707" spans="11:11">
      <c r="K1707" t="str">
        <f t="shared" si="30"/>
        <v/>
      </c>
    </row>
    <row r="1708" spans="11:11">
      <c r="K1708" t="str">
        <f t="shared" si="30"/>
        <v/>
      </c>
    </row>
    <row r="1709" spans="11:11">
      <c r="K1709" t="str">
        <f t="shared" si="30"/>
        <v/>
      </c>
    </row>
    <row r="1710" spans="11:11">
      <c r="K1710" t="str">
        <f t="shared" si="30"/>
        <v/>
      </c>
    </row>
    <row r="1711" spans="11:11">
      <c r="K1711" t="str">
        <f t="shared" si="30"/>
        <v/>
      </c>
    </row>
    <row r="1712" spans="11:11">
      <c r="K1712" t="str">
        <f t="shared" si="30"/>
        <v/>
      </c>
    </row>
    <row r="1713" spans="11:11">
      <c r="K1713" t="str">
        <f t="shared" si="30"/>
        <v/>
      </c>
    </row>
    <row r="1714" spans="11:11">
      <c r="K1714" t="str">
        <f t="shared" si="30"/>
        <v/>
      </c>
    </row>
    <row r="1715" spans="11:11">
      <c r="K1715" t="str">
        <f t="shared" si="30"/>
        <v/>
      </c>
    </row>
    <row r="1716" spans="11:11">
      <c r="K1716" t="str">
        <f t="shared" si="30"/>
        <v/>
      </c>
    </row>
    <row r="1717" spans="11:11">
      <c r="K1717" t="str">
        <f t="shared" si="30"/>
        <v/>
      </c>
    </row>
    <row r="1718" spans="11:11">
      <c r="K1718" t="str">
        <f t="shared" si="30"/>
        <v/>
      </c>
    </row>
    <row r="1719" spans="11:11">
      <c r="K1719" t="str">
        <f t="shared" si="30"/>
        <v/>
      </c>
    </row>
    <row r="1720" spans="11:11">
      <c r="K1720" t="str">
        <f t="shared" si="30"/>
        <v/>
      </c>
    </row>
    <row r="1721" spans="11:11">
      <c r="K1721" t="str">
        <f t="shared" si="30"/>
        <v/>
      </c>
    </row>
    <row r="1722" spans="11:11">
      <c r="K1722" t="str">
        <f t="shared" si="30"/>
        <v/>
      </c>
    </row>
    <row r="1723" spans="11:11">
      <c r="K1723" t="str">
        <f t="shared" si="30"/>
        <v/>
      </c>
    </row>
    <row r="1724" spans="11:11">
      <c r="K1724" t="str">
        <f t="shared" si="30"/>
        <v/>
      </c>
    </row>
    <row r="1725" spans="11:11">
      <c r="K1725" t="str">
        <f t="shared" si="30"/>
        <v/>
      </c>
    </row>
    <row r="1726" spans="11:11">
      <c r="K1726" t="str">
        <f t="shared" si="30"/>
        <v/>
      </c>
    </row>
    <row r="1727" spans="11:11">
      <c r="K1727" t="str">
        <f t="shared" si="30"/>
        <v/>
      </c>
    </row>
    <row r="1728" spans="11:11">
      <c r="K1728" t="str">
        <f t="shared" si="30"/>
        <v/>
      </c>
    </row>
    <row r="1729" spans="11:11">
      <c r="K1729" t="str">
        <f t="shared" si="30"/>
        <v/>
      </c>
    </row>
    <row r="1730" spans="11:11">
      <c r="K1730" t="str">
        <f t="shared" si="30"/>
        <v/>
      </c>
    </row>
    <row r="1731" spans="11:11">
      <c r="K1731" t="str">
        <f t="shared" si="30"/>
        <v/>
      </c>
    </row>
    <row r="1732" spans="11:11">
      <c r="K1732" t="str">
        <f t="shared" si="30"/>
        <v/>
      </c>
    </row>
    <row r="1733" spans="11:11">
      <c r="K1733" t="str">
        <f t="shared" ref="K1733:K1796" si="31">IF(A1733="","", WEEKNUM(A1733, 2))</f>
        <v/>
      </c>
    </row>
    <row r="1734" spans="11:11">
      <c r="K1734" t="str">
        <f t="shared" si="31"/>
        <v/>
      </c>
    </row>
    <row r="1735" spans="11:11">
      <c r="K1735" t="str">
        <f t="shared" si="31"/>
        <v/>
      </c>
    </row>
    <row r="1736" spans="11:11">
      <c r="K1736" t="str">
        <f t="shared" si="31"/>
        <v/>
      </c>
    </row>
    <row r="1737" spans="11:11">
      <c r="K1737" t="str">
        <f t="shared" si="31"/>
        <v/>
      </c>
    </row>
    <row r="1738" spans="11:11">
      <c r="K1738" t="str">
        <f t="shared" si="31"/>
        <v/>
      </c>
    </row>
    <row r="1739" spans="11:11">
      <c r="K1739" t="str">
        <f t="shared" si="31"/>
        <v/>
      </c>
    </row>
    <row r="1740" spans="11:11">
      <c r="K1740" t="str">
        <f t="shared" si="31"/>
        <v/>
      </c>
    </row>
    <row r="1741" spans="11:11">
      <c r="K1741" t="str">
        <f t="shared" si="31"/>
        <v/>
      </c>
    </row>
    <row r="1742" spans="11:11">
      <c r="K1742" t="str">
        <f t="shared" si="31"/>
        <v/>
      </c>
    </row>
    <row r="1743" spans="11:11">
      <c r="K1743" t="str">
        <f t="shared" si="31"/>
        <v/>
      </c>
    </row>
    <row r="1744" spans="11:11">
      <c r="K1744" t="str">
        <f t="shared" si="31"/>
        <v/>
      </c>
    </row>
    <row r="1745" spans="11:11">
      <c r="K1745" t="str">
        <f t="shared" si="31"/>
        <v/>
      </c>
    </row>
    <row r="1746" spans="11:11">
      <c r="K1746" t="str">
        <f t="shared" si="31"/>
        <v/>
      </c>
    </row>
    <row r="1747" spans="11:11">
      <c r="K1747" t="str">
        <f t="shared" si="31"/>
        <v/>
      </c>
    </row>
    <row r="1748" spans="11:11">
      <c r="K1748" t="str">
        <f t="shared" si="31"/>
        <v/>
      </c>
    </row>
    <row r="1749" spans="11:11">
      <c r="K1749" t="str">
        <f t="shared" si="31"/>
        <v/>
      </c>
    </row>
    <row r="1750" spans="11:11">
      <c r="K1750" t="str">
        <f t="shared" si="31"/>
        <v/>
      </c>
    </row>
    <row r="1751" spans="11:11">
      <c r="K1751" t="str">
        <f t="shared" si="31"/>
        <v/>
      </c>
    </row>
    <row r="1752" spans="11:11">
      <c r="K1752" t="str">
        <f t="shared" si="31"/>
        <v/>
      </c>
    </row>
    <row r="1753" spans="11:11">
      <c r="K1753" t="str">
        <f t="shared" si="31"/>
        <v/>
      </c>
    </row>
    <row r="1754" spans="11:11">
      <c r="K1754" t="str">
        <f t="shared" si="31"/>
        <v/>
      </c>
    </row>
    <row r="1755" spans="11:11">
      <c r="K1755" t="str">
        <f t="shared" si="31"/>
        <v/>
      </c>
    </row>
    <row r="1756" spans="11:11">
      <c r="K1756" t="str">
        <f t="shared" si="31"/>
        <v/>
      </c>
    </row>
    <row r="1757" spans="11:11">
      <c r="K1757" t="str">
        <f t="shared" si="31"/>
        <v/>
      </c>
    </row>
    <row r="1758" spans="11:11">
      <c r="K1758" t="str">
        <f t="shared" si="31"/>
        <v/>
      </c>
    </row>
    <row r="1759" spans="11:11">
      <c r="K1759" t="str">
        <f t="shared" si="31"/>
        <v/>
      </c>
    </row>
    <row r="1760" spans="11:11">
      <c r="K1760" t="str">
        <f t="shared" si="31"/>
        <v/>
      </c>
    </row>
    <row r="1761" spans="11:11">
      <c r="K1761" t="str">
        <f t="shared" si="31"/>
        <v/>
      </c>
    </row>
    <row r="1762" spans="11:11">
      <c r="K1762" t="str">
        <f t="shared" si="31"/>
        <v/>
      </c>
    </row>
    <row r="1763" spans="11:11">
      <c r="K1763" t="str">
        <f t="shared" si="31"/>
        <v/>
      </c>
    </row>
    <row r="1764" spans="11:11">
      <c r="K1764" t="str">
        <f t="shared" si="31"/>
        <v/>
      </c>
    </row>
    <row r="1765" spans="11:11">
      <c r="K1765" t="str">
        <f t="shared" si="31"/>
        <v/>
      </c>
    </row>
    <row r="1766" spans="11:11">
      <c r="K1766" t="str">
        <f t="shared" si="31"/>
        <v/>
      </c>
    </row>
    <row r="1767" spans="11:11">
      <c r="K1767" t="str">
        <f t="shared" si="31"/>
        <v/>
      </c>
    </row>
    <row r="1768" spans="11:11">
      <c r="K1768" t="str">
        <f t="shared" si="31"/>
        <v/>
      </c>
    </row>
    <row r="1769" spans="11:11">
      <c r="K1769" t="str">
        <f t="shared" si="31"/>
        <v/>
      </c>
    </row>
    <row r="1770" spans="11:11">
      <c r="K1770" t="str">
        <f t="shared" si="31"/>
        <v/>
      </c>
    </row>
    <row r="1771" spans="11:11">
      <c r="K1771" t="str">
        <f t="shared" si="31"/>
        <v/>
      </c>
    </row>
    <row r="1772" spans="11:11">
      <c r="K1772" t="str">
        <f t="shared" si="31"/>
        <v/>
      </c>
    </row>
    <row r="1773" spans="11:11">
      <c r="K1773" t="str">
        <f t="shared" si="31"/>
        <v/>
      </c>
    </row>
    <row r="1774" spans="11:11">
      <c r="K1774" t="str">
        <f t="shared" si="31"/>
        <v/>
      </c>
    </row>
    <row r="1775" spans="11:11">
      <c r="K1775" t="str">
        <f t="shared" si="31"/>
        <v/>
      </c>
    </row>
    <row r="1776" spans="11:11">
      <c r="K1776" t="str">
        <f t="shared" si="31"/>
        <v/>
      </c>
    </row>
    <row r="1777" spans="11:11">
      <c r="K1777" t="str">
        <f t="shared" si="31"/>
        <v/>
      </c>
    </row>
    <row r="1778" spans="11:11">
      <c r="K1778" t="str">
        <f t="shared" si="31"/>
        <v/>
      </c>
    </row>
    <row r="1779" spans="11:11">
      <c r="K1779" t="str">
        <f t="shared" si="31"/>
        <v/>
      </c>
    </row>
    <row r="1780" spans="11:11">
      <c r="K1780" t="str">
        <f t="shared" si="31"/>
        <v/>
      </c>
    </row>
    <row r="1781" spans="11:11">
      <c r="K1781" t="str">
        <f t="shared" si="31"/>
        <v/>
      </c>
    </row>
    <row r="1782" spans="11:11">
      <c r="K1782" t="str">
        <f t="shared" si="31"/>
        <v/>
      </c>
    </row>
    <row r="1783" spans="11:11">
      <c r="K1783" t="str">
        <f t="shared" si="31"/>
        <v/>
      </c>
    </row>
    <row r="1784" spans="11:11">
      <c r="K1784" t="str">
        <f t="shared" si="31"/>
        <v/>
      </c>
    </row>
    <row r="1785" spans="11:11">
      <c r="K1785" t="str">
        <f t="shared" si="31"/>
        <v/>
      </c>
    </row>
    <row r="1786" spans="11:11">
      <c r="K1786" t="str">
        <f t="shared" si="31"/>
        <v/>
      </c>
    </row>
    <row r="1787" spans="11:11">
      <c r="K1787" t="str">
        <f t="shared" si="31"/>
        <v/>
      </c>
    </row>
    <row r="1788" spans="11:11">
      <c r="K1788" t="str">
        <f t="shared" si="31"/>
        <v/>
      </c>
    </row>
    <row r="1789" spans="11:11">
      <c r="K1789" t="str">
        <f t="shared" si="31"/>
        <v/>
      </c>
    </row>
    <row r="1790" spans="11:11">
      <c r="K1790" t="str">
        <f t="shared" si="31"/>
        <v/>
      </c>
    </row>
    <row r="1791" spans="11:11">
      <c r="K1791" t="str">
        <f t="shared" si="31"/>
        <v/>
      </c>
    </row>
    <row r="1792" spans="11:11">
      <c r="K1792" t="str">
        <f t="shared" si="31"/>
        <v/>
      </c>
    </row>
    <row r="1793" spans="11:11">
      <c r="K1793" t="str">
        <f t="shared" si="31"/>
        <v/>
      </c>
    </row>
    <row r="1794" spans="11:11">
      <c r="K1794" t="str">
        <f t="shared" si="31"/>
        <v/>
      </c>
    </row>
    <row r="1795" spans="11:11">
      <c r="K1795" t="str">
        <f t="shared" si="31"/>
        <v/>
      </c>
    </row>
    <row r="1796" spans="11:11">
      <c r="K1796" t="str">
        <f t="shared" si="31"/>
        <v/>
      </c>
    </row>
    <row r="1797" spans="11:11">
      <c r="K1797" t="str">
        <f t="shared" ref="K1797:K1860" si="32">IF(A1797="","", WEEKNUM(A1797, 2))</f>
        <v/>
      </c>
    </row>
    <row r="1798" spans="11:11">
      <c r="K1798" t="str">
        <f t="shared" si="32"/>
        <v/>
      </c>
    </row>
    <row r="1799" spans="11:11">
      <c r="K1799" t="str">
        <f t="shared" si="32"/>
        <v/>
      </c>
    </row>
    <row r="1800" spans="11:11">
      <c r="K1800" t="str">
        <f t="shared" si="32"/>
        <v/>
      </c>
    </row>
    <row r="1801" spans="11:11">
      <c r="K1801" t="str">
        <f t="shared" si="32"/>
        <v/>
      </c>
    </row>
    <row r="1802" spans="11:11">
      <c r="K1802" t="str">
        <f t="shared" si="32"/>
        <v/>
      </c>
    </row>
    <row r="1803" spans="11:11">
      <c r="K1803" t="str">
        <f t="shared" si="32"/>
        <v/>
      </c>
    </row>
    <row r="1804" spans="11:11">
      <c r="K1804" t="str">
        <f t="shared" si="32"/>
        <v/>
      </c>
    </row>
    <row r="1805" spans="11:11">
      <c r="K1805" t="str">
        <f t="shared" si="32"/>
        <v/>
      </c>
    </row>
    <row r="1806" spans="11:11">
      <c r="K1806" t="str">
        <f t="shared" si="32"/>
        <v/>
      </c>
    </row>
    <row r="1807" spans="11:11">
      <c r="K1807" t="str">
        <f t="shared" si="32"/>
        <v/>
      </c>
    </row>
    <row r="1808" spans="11:11">
      <c r="K1808" t="str">
        <f t="shared" si="32"/>
        <v/>
      </c>
    </row>
    <row r="1809" spans="11:11">
      <c r="K1809" t="str">
        <f t="shared" si="32"/>
        <v/>
      </c>
    </row>
    <row r="1810" spans="11:11">
      <c r="K1810" t="str">
        <f t="shared" si="32"/>
        <v/>
      </c>
    </row>
    <row r="1811" spans="11:11">
      <c r="K1811" t="str">
        <f t="shared" si="32"/>
        <v/>
      </c>
    </row>
    <row r="1812" spans="11:11">
      <c r="K1812" t="str">
        <f t="shared" si="32"/>
        <v/>
      </c>
    </row>
    <row r="1813" spans="11:11">
      <c r="K1813" t="str">
        <f t="shared" si="32"/>
        <v/>
      </c>
    </row>
    <row r="1814" spans="11:11">
      <c r="K1814" t="str">
        <f t="shared" si="32"/>
        <v/>
      </c>
    </row>
    <row r="1815" spans="11:11">
      <c r="K1815" t="str">
        <f t="shared" si="32"/>
        <v/>
      </c>
    </row>
    <row r="1816" spans="11:11">
      <c r="K1816" t="str">
        <f t="shared" si="32"/>
        <v/>
      </c>
    </row>
    <row r="1817" spans="11:11">
      <c r="K1817" t="str">
        <f t="shared" si="32"/>
        <v/>
      </c>
    </row>
    <row r="1818" spans="11:11">
      <c r="K1818" t="str">
        <f t="shared" si="32"/>
        <v/>
      </c>
    </row>
    <row r="1819" spans="11:11">
      <c r="K1819" t="str">
        <f t="shared" si="32"/>
        <v/>
      </c>
    </row>
    <row r="1820" spans="11:11">
      <c r="K1820" t="str">
        <f t="shared" si="32"/>
        <v/>
      </c>
    </row>
    <row r="1821" spans="11:11">
      <c r="K1821" t="str">
        <f t="shared" si="32"/>
        <v/>
      </c>
    </row>
    <row r="1822" spans="11:11">
      <c r="K1822" t="str">
        <f t="shared" si="32"/>
        <v/>
      </c>
    </row>
    <row r="1823" spans="11:11">
      <c r="K1823" t="str">
        <f t="shared" si="32"/>
        <v/>
      </c>
    </row>
    <row r="1824" spans="11:11">
      <c r="K1824" t="str">
        <f t="shared" si="32"/>
        <v/>
      </c>
    </row>
    <row r="1825" spans="11:11">
      <c r="K1825" t="str">
        <f t="shared" si="32"/>
        <v/>
      </c>
    </row>
    <row r="1826" spans="11:11">
      <c r="K1826" t="str">
        <f t="shared" si="32"/>
        <v/>
      </c>
    </row>
    <row r="1827" spans="11:11">
      <c r="K1827" t="str">
        <f t="shared" si="32"/>
        <v/>
      </c>
    </row>
    <row r="1828" spans="11:11">
      <c r="K1828" t="str">
        <f t="shared" si="32"/>
        <v/>
      </c>
    </row>
    <row r="1829" spans="11:11">
      <c r="K1829" t="str">
        <f t="shared" si="32"/>
        <v/>
      </c>
    </row>
    <row r="1830" spans="11:11">
      <c r="K1830" t="str">
        <f t="shared" si="32"/>
        <v/>
      </c>
    </row>
    <row r="1831" spans="11:11">
      <c r="K1831" t="str">
        <f t="shared" si="32"/>
        <v/>
      </c>
    </row>
    <row r="1832" spans="11:11">
      <c r="K1832" t="str">
        <f t="shared" si="32"/>
        <v/>
      </c>
    </row>
    <row r="1833" spans="11:11">
      <c r="K1833" t="str">
        <f t="shared" si="32"/>
        <v/>
      </c>
    </row>
    <row r="1834" spans="11:11">
      <c r="K1834" t="str">
        <f t="shared" si="32"/>
        <v/>
      </c>
    </row>
    <row r="1835" spans="11:11">
      <c r="K1835" t="str">
        <f t="shared" si="32"/>
        <v/>
      </c>
    </row>
    <row r="1836" spans="11:11">
      <c r="K1836" t="str">
        <f t="shared" si="32"/>
        <v/>
      </c>
    </row>
    <row r="1837" spans="11:11">
      <c r="K1837" t="str">
        <f t="shared" si="32"/>
        <v/>
      </c>
    </row>
    <row r="1838" spans="11:11">
      <c r="K1838" t="str">
        <f t="shared" si="32"/>
        <v/>
      </c>
    </row>
    <row r="1839" spans="11:11">
      <c r="K1839" t="str">
        <f t="shared" si="32"/>
        <v/>
      </c>
    </row>
    <row r="1840" spans="11:11">
      <c r="K1840" t="str">
        <f t="shared" si="32"/>
        <v/>
      </c>
    </row>
    <row r="1841" spans="11:11">
      <c r="K1841" t="str">
        <f t="shared" si="32"/>
        <v/>
      </c>
    </row>
    <row r="1842" spans="11:11">
      <c r="K1842" t="str">
        <f t="shared" si="32"/>
        <v/>
      </c>
    </row>
    <row r="1843" spans="11:11">
      <c r="K1843" t="str">
        <f t="shared" si="32"/>
        <v/>
      </c>
    </row>
    <row r="1844" spans="11:11">
      <c r="K1844" t="str">
        <f t="shared" si="32"/>
        <v/>
      </c>
    </row>
    <row r="1845" spans="11:11">
      <c r="K1845" t="str">
        <f t="shared" si="32"/>
        <v/>
      </c>
    </row>
    <row r="1846" spans="11:11">
      <c r="K1846" t="str">
        <f t="shared" si="32"/>
        <v/>
      </c>
    </row>
    <row r="1847" spans="11:11">
      <c r="K1847" t="str">
        <f t="shared" si="32"/>
        <v/>
      </c>
    </row>
    <row r="1848" spans="11:11">
      <c r="K1848" t="str">
        <f t="shared" si="32"/>
        <v/>
      </c>
    </row>
    <row r="1849" spans="11:11">
      <c r="K1849" t="str">
        <f t="shared" si="32"/>
        <v/>
      </c>
    </row>
    <row r="1850" spans="11:11">
      <c r="K1850" t="str">
        <f t="shared" si="32"/>
        <v/>
      </c>
    </row>
    <row r="1851" spans="11:11">
      <c r="K1851" t="str">
        <f t="shared" si="32"/>
        <v/>
      </c>
    </row>
    <row r="1852" spans="11:11">
      <c r="K1852" t="str">
        <f t="shared" si="32"/>
        <v/>
      </c>
    </row>
    <row r="1853" spans="11:11">
      <c r="K1853" t="str">
        <f t="shared" si="32"/>
        <v/>
      </c>
    </row>
    <row r="1854" spans="11:11">
      <c r="K1854" t="str">
        <f t="shared" si="32"/>
        <v/>
      </c>
    </row>
    <row r="1855" spans="11:11">
      <c r="K1855" t="str">
        <f t="shared" si="32"/>
        <v/>
      </c>
    </row>
    <row r="1856" spans="11:11">
      <c r="K1856" t="str">
        <f t="shared" si="32"/>
        <v/>
      </c>
    </row>
    <row r="1857" spans="11:11">
      <c r="K1857" t="str">
        <f t="shared" si="32"/>
        <v/>
      </c>
    </row>
    <row r="1858" spans="11:11">
      <c r="K1858" t="str">
        <f t="shared" si="32"/>
        <v/>
      </c>
    </row>
    <row r="1859" spans="11:11">
      <c r="K1859" t="str">
        <f t="shared" si="32"/>
        <v/>
      </c>
    </row>
    <row r="1860" spans="11:11">
      <c r="K1860" t="str">
        <f t="shared" si="32"/>
        <v/>
      </c>
    </row>
    <row r="1861" spans="11:11">
      <c r="K1861" t="str">
        <f t="shared" ref="K1861:K1924" si="33">IF(A1861="","", WEEKNUM(A1861, 2))</f>
        <v/>
      </c>
    </row>
    <row r="1862" spans="11:11">
      <c r="K1862" t="str">
        <f t="shared" si="33"/>
        <v/>
      </c>
    </row>
    <row r="1863" spans="11:11">
      <c r="K1863" t="str">
        <f t="shared" si="33"/>
        <v/>
      </c>
    </row>
    <row r="1864" spans="11:11">
      <c r="K1864" t="str">
        <f t="shared" si="33"/>
        <v/>
      </c>
    </row>
    <row r="1865" spans="11:11">
      <c r="K1865" t="str">
        <f t="shared" si="33"/>
        <v/>
      </c>
    </row>
    <row r="1866" spans="11:11">
      <c r="K1866" t="str">
        <f t="shared" si="33"/>
        <v/>
      </c>
    </row>
    <row r="1867" spans="11:11">
      <c r="K1867" t="str">
        <f t="shared" si="33"/>
        <v/>
      </c>
    </row>
    <row r="1868" spans="11:11">
      <c r="K1868" t="str">
        <f t="shared" si="33"/>
        <v/>
      </c>
    </row>
    <row r="1869" spans="11:11">
      <c r="K1869" t="str">
        <f t="shared" si="33"/>
        <v/>
      </c>
    </row>
    <row r="1870" spans="11:11">
      <c r="K1870" t="str">
        <f t="shared" si="33"/>
        <v/>
      </c>
    </row>
    <row r="1871" spans="11:11">
      <c r="K1871" t="str">
        <f t="shared" si="33"/>
        <v/>
      </c>
    </row>
    <row r="1872" spans="11:11">
      <c r="K1872" t="str">
        <f t="shared" si="33"/>
        <v/>
      </c>
    </row>
    <row r="1873" spans="11:11">
      <c r="K1873" t="str">
        <f t="shared" si="33"/>
        <v/>
      </c>
    </row>
    <row r="1874" spans="11:11">
      <c r="K1874" t="str">
        <f t="shared" si="33"/>
        <v/>
      </c>
    </row>
    <row r="1875" spans="11:11">
      <c r="K1875" t="str">
        <f t="shared" si="33"/>
        <v/>
      </c>
    </row>
    <row r="1876" spans="11:11">
      <c r="K1876" t="str">
        <f t="shared" si="33"/>
        <v/>
      </c>
    </row>
    <row r="1877" spans="11:11">
      <c r="K1877" t="str">
        <f t="shared" si="33"/>
        <v/>
      </c>
    </row>
    <row r="1878" spans="11:11">
      <c r="K1878" t="str">
        <f t="shared" si="33"/>
        <v/>
      </c>
    </row>
    <row r="1879" spans="11:11">
      <c r="K1879" t="str">
        <f t="shared" si="33"/>
        <v/>
      </c>
    </row>
    <row r="1880" spans="11:11">
      <c r="K1880" t="str">
        <f t="shared" si="33"/>
        <v/>
      </c>
    </row>
    <row r="1881" spans="11:11">
      <c r="K1881" t="str">
        <f t="shared" si="33"/>
        <v/>
      </c>
    </row>
    <row r="1882" spans="11:11">
      <c r="K1882" t="str">
        <f t="shared" si="33"/>
        <v/>
      </c>
    </row>
    <row r="1883" spans="11:11">
      <c r="K1883" t="str">
        <f t="shared" si="33"/>
        <v/>
      </c>
    </row>
    <row r="1884" spans="11:11">
      <c r="K1884" t="str">
        <f t="shared" si="33"/>
        <v/>
      </c>
    </row>
    <row r="1885" spans="11:11">
      <c r="K1885" t="str">
        <f t="shared" si="33"/>
        <v/>
      </c>
    </row>
    <row r="1886" spans="11:11">
      <c r="K1886" t="str">
        <f t="shared" si="33"/>
        <v/>
      </c>
    </row>
    <row r="1887" spans="11:11">
      <c r="K1887" t="str">
        <f t="shared" si="33"/>
        <v/>
      </c>
    </row>
    <row r="1888" spans="11:11">
      <c r="K1888" t="str">
        <f t="shared" si="33"/>
        <v/>
      </c>
    </row>
    <row r="1889" spans="11:11">
      <c r="K1889" t="str">
        <f t="shared" si="33"/>
        <v/>
      </c>
    </row>
    <row r="1890" spans="11:11">
      <c r="K1890" t="str">
        <f t="shared" si="33"/>
        <v/>
      </c>
    </row>
    <row r="1891" spans="11:11">
      <c r="K1891" t="str">
        <f t="shared" si="33"/>
        <v/>
      </c>
    </row>
    <row r="1892" spans="11:11">
      <c r="K1892" t="str">
        <f t="shared" si="33"/>
        <v/>
      </c>
    </row>
    <row r="1893" spans="11:11">
      <c r="K1893" t="str">
        <f t="shared" si="33"/>
        <v/>
      </c>
    </row>
    <row r="1894" spans="11:11">
      <c r="K1894" t="str">
        <f t="shared" si="33"/>
        <v/>
      </c>
    </row>
    <row r="1895" spans="11:11">
      <c r="K1895" t="str">
        <f t="shared" si="33"/>
        <v/>
      </c>
    </row>
    <row r="1896" spans="11:11">
      <c r="K1896" t="str">
        <f t="shared" si="33"/>
        <v/>
      </c>
    </row>
    <row r="1897" spans="11:11">
      <c r="K1897" t="str">
        <f t="shared" si="33"/>
        <v/>
      </c>
    </row>
    <row r="1898" spans="11:11">
      <c r="K1898" t="str">
        <f t="shared" si="33"/>
        <v/>
      </c>
    </row>
    <row r="1899" spans="11:11">
      <c r="K1899" t="str">
        <f t="shared" si="33"/>
        <v/>
      </c>
    </row>
    <row r="1900" spans="11:11">
      <c r="K1900" t="str">
        <f t="shared" si="33"/>
        <v/>
      </c>
    </row>
    <row r="1901" spans="11:11">
      <c r="K1901" t="str">
        <f t="shared" si="33"/>
        <v/>
      </c>
    </row>
    <row r="1902" spans="11:11">
      <c r="K1902" t="str">
        <f t="shared" si="33"/>
        <v/>
      </c>
    </row>
    <row r="1903" spans="11:11">
      <c r="K1903" t="str">
        <f t="shared" si="33"/>
        <v/>
      </c>
    </row>
    <row r="1904" spans="11:11">
      <c r="K1904" t="str">
        <f t="shared" si="33"/>
        <v/>
      </c>
    </row>
    <row r="1905" spans="11:11">
      <c r="K1905" t="str">
        <f t="shared" si="33"/>
        <v/>
      </c>
    </row>
    <row r="1906" spans="11:11">
      <c r="K1906" t="str">
        <f t="shared" si="33"/>
        <v/>
      </c>
    </row>
    <row r="1907" spans="11:11">
      <c r="K1907" t="str">
        <f t="shared" si="33"/>
        <v/>
      </c>
    </row>
    <row r="1908" spans="11:11">
      <c r="K1908" t="str">
        <f t="shared" si="33"/>
        <v/>
      </c>
    </row>
    <row r="1909" spans="11:11">
      <c r="K1909" t="str">
        <f t="shared" si="33"/>
        <v/>
      </c>
    </row>
    <row r="1910" spans="11:11">
      <c r="K1910" t="str">
        <f t="shared" si="33"/>
        <v/>
      </c>
    </row>
    <row r="1911" spans="11:11">
      <c r="K1911" t="str">
        <f t="shared" si="33"/>
        <v/>
      </c>
    </row>
    <row r="1912" spans="11:11">
      <c r="K1912" t="str">
        <f t="shared" si="33"/>
        <v/>
      </c>
    </row>
    <row r="1913" spans="11:11">
      <c r="K1913" t="str">
        <f t="shared" si="33"/>
        <v/>
      </c>
    </row>
    <row r="1914" spans="11:11">
      <c r="K1914" t="str">
        <f t="shared" si="33"/>
        <v/>
      </c>
    </row>
    <row r="1915" spans="11:11">
      <c r="K1915" t="str">
        <f t="shared" si="33"/>
        <v/>
      </c>
    </row>
    <row r="1916" spans="11:11">
      <c r="K1916" t="str">
        <f t="shared" si="33"/>
        <v/>
      </c>
    </row>
    <row r="1917" spans="11:11">
      <c r="K1917" t="str">
        <f t="shared" si="33"/>
        <v/>
      </c>
    </row>
    <row r="1918" spans="11:11">
      <c r="K1918" t="str">
        <f t="shared" si="33"/>
        <v/>
      </c>
    </row>
    <row r="1919" spans="11:11">
      <c r="K1919" t="str">
        <f t="shared" si="33"/>
        <v/>
      </c>
    </row>
    <row r="1920" spans="11:11">
      <c r="K1920" t="str">
        <f t="shared" si="33"/>
        <v/>
      </c>
    </row>
    <row r="1921" spans="11:11">
      <c r="K1921" t="str">
        <f t="shared" si="33"/>
        <v/>
      </c>
    </row>
    <row r="1922" spans="11:11">
      <c r="K1922" t="str">
        <f t="shared" si="33"/>
        <v/>
      </c>
    </row>
    <row r="1923" spans="11:11">
      <c r="K1923" t="str">
        <f t="shared" si="33"/>
        <v/>
      </c>
    </row>
    <row r="1924" spans="11:11">
      <c r="K1924" t="str">
        <f t="shared" si="33"/>
        <v/>
      </c>
    </row>
    <row r="1925" spans="11:11">
      <c r="K1925" t="str">
        <f t="shared" ref="K1925:K1988" si="34">IF(A1925="","", WEEKNUM(A1925, 2))</f>
        <v/>
      </c>
    </row>
    <row r="1926" spans="11:11">
      <c r="K1926" t="str">
        <f t="shared" si="34"/>
        <v/>
      </c>
    </row>
    <row r="1927" spans="11:11">
      <c r="K1927" t="str">
        <f t="shared" si="34"/>
        <v/>
      </c>
    </row>
    <row r="1928" spans="11:11">
      <c r="K1928" t="str">
        <f t="shared" si="34"/>
        <v/>
      </c>
    </row>
    <row r="1929" spans="11:11">
      <c r="K1929" t="str">
        <f t="shared" si="34"/>
        <v/>
      </c>
    </row>
    <row r="1930" spans="11:11">
      <c r="K1930" t="str">
        <f t="shared" si="34"/>
        <v/>
      </c>
    </row>
    <row r="1931" spans="11:11">
      <c r="K1931" t="str">
        <f t="shared" si="34"/>
        <v/>
      </c>
    </row>
    <row r="1932" spans="11:11">
      <c r="K1932" t="str">
        <f t="shared" si="34"/>
        <v/>
      </c>
    </row>
    <row r="1933" spans="11:11">
      <c r="K1933" t="str">
        <f t="shared" si="34"/>
        <v/>
      </c>
    </row>
    <row r="1934" spans="11:11">
      <c r="K1934" t="str">
        <f t="shared" si="34"/>
        <v/>
      </c>
    </row>
    <row r="1935" spans="11:11">
      <c r="K1935" t="str">
        <f t="shared" si="34"/>
        <v/>
      </c>
    </row>
    <row r="1936" spans="11:11">
      <c r="K1936" t="str">
        <f t="shared" si="34"/>
        <v/>
      </c>
    </row>
    <row r="1937" spans="11:11">
      <c r="K1937" t="str">
        <f t="shared" si="34"/>
        <v/>
      </c>
    </row>
    <row r="1938" spans="11:11">
      <c r="K1938" t="str">
        <f t="shared" si="34"/>
        <v/>
      </c>
    </row>
    <row r="1939" spans="11:11">
      <c r="K1939" t="str">
        <f t="shared" si="34"/>
        <v/>
      </c>
    </row>
    <row r="1940" spans="11:11">
      <c r="K1940" t="str">
        <f t="shared" si="34"/>
        <v/>
      </c>
    </row>
    <row r="1941" spans="11:11">
      <c r="K1941" t="str">
        <f t="shared" si="34"/>
        <v/>
      </c>
    </row>
    <row r="1942" spans="11:11">
      <c r="K1942" t="str">
        <f t="shared" si="34"/>
        <v/>
      </c>
    </row>
    <row r="1943" spans="11:11">
      <c r="K1943" t="str">
        <f t="shared" si="34"/>
        <v/>
      </c>
    </row>
    <row r="1944" spans="11:11">
      <c r="K1944" t="str">
        <f t="shared" si="34"/>
        <v/>
      </c>
    </row>
    <row r="1945" spans="11:11">
      <c r="K1945" t="str">
        <f t="shared" si="34"/>
        <v/>
      </c>
    </row>
    <row r="1946" spans="11:11">
      <c r="K1946" t="str">
        <f t="shared" si="34"/>
        <v/>
      </c>
    </row>
    <row r="1947" spans="11:11">
      <c r="K1947" t="str">
        <f t="shared" si="34"/>
        <v/>
      </c>
    </row>
    <row r="1948" spans="11:11">
      <c r="K1948" t="str">
        <f t="shared" si="34"/>
        <v/>
      </c>
    </row>
    <row r="1949" spans="11:11">
      <c r="K1949" t="str">
        <f t="shared" si="34"/>
        <v/>
      </c>
    </row>
    <row r="1950" spans="11:11">
      <c r="K1950" t="str">
        <f t="shared" si="34"/>
        <v/>
      </c>
    </row>
    <row r="1951" spans="11:11">
      <c r="K1951" t="str">
        <f t="shared" si="34"/>
        <v/>
      </c>
    </row>
    <row r="1952" spans="11:11">
      <c r="K1952" t="str">
        <f t="shared" si="34"/>
        <v/>
      </c>
    </row>
    <row r="1953" spans="11:11">
      <c r="K1953" t="str">
        <f t="shared" si="34"/>
        <v/>
      </c>
    </row>
    <row r="1954" spans="11:11">
      <c r="K1954" t="str">
        <f t="shared" si="34"/>
        <v/>
      </c>
    </row>
    <row r="1955" spans="11:11">
      <c r="K1955" t="str">
        <f t="shared" si="34"/>
        <v/>
      </c>
    </row>
    <row r="1956" spans="11:11">
      <c r="K1956" t="str">
        <f t="shared" si="34"/>
        <v/>
      </c>
    </row>
    <row r="1957" spans="11:11">
      <c r="K1957" t="str">
        <f t="shared" si="34"/>
        <v/>
      </c>
    </row>
    <row r="1958" spans="11:11">
      <c r="K1958" t="str">
        <f t="shared" si="34"/>
        <v/>
      </c>
    </row>
    <row r="1959" spans="11:11">
      <c r="K1959" t="str">
        <f t="shared" si="34"/>
        <v/>
      </c>
    </row>
    <row r="1960" spans="11:11">
      <c r="K1960" t="str">
        <f t="shared" si="34"/>
        <v/>
      </c>
    </row>
    <row r="1961" spans="11:11">
      <c r="K1961" t="str">
        <f t="shared" si="34"/>
        <v/>
      </c>
    </row>
    <row r="1962" spans="11:11">
      <c r="K1962" t="str">
        <f t="shared" si="34"/>
        <v/>
      </c>
    </row>
    <row r="1963" spans="11:11">
      <c r="K1963" t="str">
        <f t="shared" si="34"/>
        <v/>
      </c>
    </row>
    <row r="1964" spans="11:11">
      <c r="K1964" t="str">
        <f t="shared" si="34"/>
        <v/>
      </c>
    </row>
    <row r="1965" spans="11:11">
      <c r="K1965" t="str">
        <f t="shared" si="34"/>
        <v/>
      </c>
    </row>
    <row r="1966" spans="11:11">
      <c r="K1966" t="str">
        <f t="shared" si="34"/>
        <v/>
      </c>
    </row>
    <row r="1967" spans="11:11">
      <c r="K1967" t="str">
        <f t="shared" si="34"/>
        <v/>
      </c>
    </row>
    <row r="1968" spans="11:11">
      <c r="K1968" t="str">
        <f t="shared" si="34"/>
        <v/>
      </c>
    </row>
    <row r="1969" spans="11:11">
      <c r="K1969" t="str">
        <f t="shared" si="34"/>
        <v/>
      </c>
    </row>
    <row r="1970" spans="11:11">
      <c r="K1970" t="str">
        <f t="shared" si="34"/>
        <v/>
      </c>
    </row>
    <row r="1971" spans="11:11">
      <c r="K1971" t="str">
        <f t="shared" si="34"/>
        <v/>
      </c>
    </row>
    <row r="1972" spans="11:11">
      <c r="K1972" t="str">
        <f t="shared" si="34"/>
        <v/>
      </c>
    </row>
    <row r="1973" spans="11:11">
      <c r="K1973" t="str">
        <f t="shared" si="34"/>
        <v/>
      </c>
    </row>
    <row r="1974" spans="11:11">
      <c r="K1974" t="str">
        <f t="shared" si="34"/>
        <v/>
      </c>
    </row>
    <row r="1975" spans="11:11">
      <c r="K1975" t="str">
        <f t="shared" si="34"/>
        <v/>
      </c>
    </row>
    <row r="1976" spans="11:11">
      <c r="K1976" t="str">
        <f t="shared" si="34"/>
        <v/>
      </c>
    </row>
    <row r="1977" spans="11:11">
      <c r="K1977" t="str">
        <f t="shared" si="34"/>
        <v/>
      </c>
    </row>
    <row r="1978" spans="11:11">
      <c r="K1978" t="str">
        <f t="shared" si="34"/>
        <v/>
      </c>
    </row>
    <row r="1979" spans="11:11">
      <c r="K1979" t="str">
        <f t="shared" si="34"/>
        <v/>
      </c>
    </row>
    <row r="1980" spans="11:11">
      <c r="K1980" t="str">
        <f t="shared" si="34"/>
        <v/>
      </c>
    </row>
    <row r="1981" spans="11:11">
      <c r="K1981" t="str">
        <f t="shared" si="34"/>
        <v/>
      </c>
    </row>
    <row r="1982" spans="11:11">
      <c r="K1982" t="str">
        <f t="shared" si="34"/>
        <v/>
      </c>
    </row>
    <row r="1983" spans="11:11">
      <c r="K1983" t="str">
        <f t="shared" si="34"/>
        <v/>
      </c>
    </row>
    <row r="1984" spans="11:11">
      <c r="K1984" t="str">
        <f t="shared" si="34"/>
        <v/>
      </c>
    </row>
    <row r="1985" spans="11:11">
      <c r="K1985" t="str">
        <f t="shared" si="34"/>
        <v/>
      </c>
    </row>
    <row r="1986" spans="11:11">
      <c r="K1986" t="str">
        <f t="shared" si="34"/>
        <v/>
      </c>
    </row>
    <row r="1987" spans="11:11">
      <c r="K1987" t="str">
        <f t="shared" si="34"/>
        <v/>
      </c>
    </row>
    <row r="1988" spans="11:11">
      <c r="K1988" t="str">
        <f t="shared" si="34"/>
        <v/>
      </c>
    </row>
    <row r="1989" spans="11:11">
      <c r="K1989" t="str">
        <f t="shared" ref="K1989:K2000" si="35">IF(A1989="","", WEEKNUM(A1989, 2))</f>
        <v/>
      </c>
    </row>
    <row r="1990" spans="11:11">
      <c r="K1990" t="str">
        <f t="shared" si="35"/>
        <v/>
      </c>
    </row>
    <row r="1991" spans="11:11">
      <c r="K1991" t="str">
        <f t="shared" si="35"/>
        <v/>
      </c>
    </row>
    <row r="1992" spans="11:11">
      <c r="K1992" t="str">
        <f t="shared" si="35"/>
        <v/>
      </c>
    </row>
    <row r="1993" spans="11:11">
      <c r="K1993" t="str">
        <f t="shared" si="35"/>
        <v/>
      </c>
    </row>
    <row r="1994" spans="11:11">
      <c r="K1994" t="str">
        <f t="shared" si="35"/>
        <v/>
      </c>
    </row>
    <row r="1995" spans="11:11">
      <c r="K1995" t="str">
        <f t="shared" si="35"/>
        <v/>
      </c>
    </row>
    <row r="1996" spans="11:11">
      <c r="K1996" t="str">
        <f t="shared" si="35"/>
        <v/>
      </c>
    </row>
    <row r="1997" spans="11:11">
      <c r="K1997" t="str">
        <f t="shared" si="35"/>
        <v/>
      </c>
    </row>
    <row r="1998" spans="11:11">
      <c r="K1998" t="str">
        <f t="shared" si="35"/>
        <v/>
      </c>
    </row>
    <row r="1999" spans="11:11">
      <c r="K1999" t="str">
        <f t="shared" si="35"/>
        <v/>
      </c>
    </row>
    <row r="2000" spans="11:11">
      <c r="K2000" t="str">
        <f t="shared" si="35"/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00"/>
  <sheetViews>
    <sheetView topLeftCell="A14" workbookViewId="0"/>
  </sheetViews>
  <sheetFormatPr baseColWidth="10" defaultRowHeight="13.8"/>
  <sheetData>
    <row r="1" spans="1:10" ht="17.399999999999999">
      <c r="A1" s="17845" t="s">
        <v>391</v>
      </c>
      <c r="B1" s="17846"/>
      <c r="C1" s="17847"/>
      <c r="D1" s="17848"/>
      <c r="E1" s="17849"/>
      <c r="F1" s="17850"/>
      <c r="G1" s="17851"/>
      <c r="H1" s="17852"/>
    </row>
    <row r="3" spans="1:10">
      <c r="A3" s="2481" t="s">
        <v>392</v>
      </c>
      <c r="B3" s="2482" t="s">
        <v>393</v>
      </c>
      <c r="C3" s="2483" t="s">
        <v>363</v>
      </c>
      <c r="D3" s="2484" t="s">
        <v>394</v>
      </c>
      <c r="E3" s="2485" t="s">
        <v>362</v>
      </c>
      <c r="F3" s="2486" t="s">
        <v>395</v>
      </c>
      <c r="G3" s="2487" t="s">
        <v>396</v>
      </c>
      <c r="H3" s="2488" t="s">
        <v>397</v>
      </c>
      <c r="I3" t="s">
        <v>409</v>
      </c>
      <c r="J3" t="s">
        <v>408</v>
      </c>
    </row>
    <row r="4" spans="1:10">
      <c r="A4" s="2490" t="str">
        <f>IF(D4="","", "HT-" &amp; IFERROR(VLOOKUP(C4, Catalogos!$Z$4:$AA$20, 2, FALSE), "FOL") &amp; "-" &amp; IF(B4="","00", WEEKNUM(B4,2)) &amp; "-" &amp; TEXT(ROW(A1),"000"))</f>
        <v>HT-MT-25-001</v>
      </c>
      <c r="B4" s="2489">
        <v>46188</v>
      </c>
      <c r="C4" s="2491" t="s">
        <v>1</v>
      </c>
      <c r="D4" s="2492" t="s">
        <v>386</v>
      </c>
      <c r="E4" s="2493" t="str">
        <f>IF(D4="","", IFERROR(INDEX(Catalogos!$W$4:$W$100, MATCH(D4, Catalogos!$V$4:$V$100, 0)), ""))</f>
        <v>S/N (WIRGENT)</v>
      </c>
      <c r="F4" s="2494" t="str">
        <f>IF(D4="","", IFERROR(INDEX(Catalogos!$Y$4:$Y$100, MATCH(D4, Catalogos!$V$4:$V$100, 0)), ""))</f>
        <v>Alejandro de Jesus Fuentes Tapia</v>
      </c>
      <c r="G4" s="2495">
        <v>6</v>
      </c>
      <c r="H4" s="2496"/>
      <c r="I4">
        <f>IF(E4="","", G4 * IFERROR(INDEX(Maquinaria_Inventario!$K$2:$K$100, MATCH(E4, Maquinaria_Inventario!$L$2:$L$100, 0)), 0))</f>
        <v>0</v>
      </c>
      <c r="J4">
        <f t="shared" ref="J4:J67" si="0">IF(B4="","", WEEKNUM(B4, 2))</f>
        <v>25</v>
      </c>
    </row>
    <row r="5" spans="1:10">
      <c r="A5" s="2498" t="str">
        <f>IF(D5="","", "HT-" &amp; IFERROR(VLOOKUP(C5, Catalogos!$Z$4:$AA$20, 2, FALSE), "FOL") &amp; "-" &amp; IF(B5="","00", WEEKNUM(B5,2)) &amp; "-" &amp; TEXT(ROW(A2),"000"))</f>
        <v>HT-MT-25-002</v>
      </c>
      <c r="B5" s="2497">
        <v>46188</v>
      </c>
      <c r="C5" s="2499" t="s">
        <v>1</v>
      </c>
      <c r="D5" s="2500" t="s">
        <v>368</v>
      </c>
      <c r="E5" s="2501" t="str">
        <f>IF(D5="","", IFERROR(INDEX(Catalogos!$W$4:$W$100, MATCH(D5, Catalogos!$V$4:$V$100, 0)), ""))</f>
        <v>VG-03</v>
      </c>
      <c r="F5" s="2502" t="str">
        <f>IF(D5="","", IFERROR(INDEX(Catalogos!$Y$4:$Y$100, MATCH(D5, Catalogos!$V$4:$V$100, 0)), ""))</f>
        <v>Jose de Jesus Eusebio Martinez</v>
      </c>
      <c r="G5" s="2503">
        <v>7</v>
      </c>
      <c r="H5" s="2504"/>
      <c r="I5">
        <f>IF(E5="","", G5 * IFERROR(INDEX(Maquinaria_Inventario!$K$2:$K$100, MATCH(E5, Maquinaria_Inventario!$L$2:$L$100, 0)), 0))</f>
        <v>0</v>
      </c>
      <c r="J5">
        <f t="shared" si="0"/>
        <v>25</v>
      </c>
    </row>
    <row r="6" spans="1:10">
      <c r="A6" s="2506" t="str">
        <f>IF(D6="","", "HT-" &amp; IFERROR(VLOOKUP(C6, Catalogos!$Z$4:$AA$20, 2, FALSE), "FOL") &amp; "-" &amp; IF(B6="","00", WEEKNUM(B6,2)) &amp; "-" &amp; TEXT(ROW(A3),"000"))</f>
        <v>HT-MT-25-003</v>
      </c>
      <c r="B6" s="2505">
        <v>46188</v>
      </c>
      <c r="C6" s="2507" t="s">
        <v>1</v>
      </c>
      <c r="D6" s="2508" t="s">
        <v>222</v>
      </c>
      <c r="E6" s="2509" t="str">
        <f>IF(D6="","", IFERROR(INDEX(Catalogos!$W$4:$W$100, MATCH(D6, Catalogos!$V$4:$V$100, 0)), ""))</f>
        <v>VC-01</v>
      </c>
      <c r="F6" s="2510" t="str">
        <f>IF(D6="","", IFERROR(INDEX(Catalogos!$Y$4:$Y$100, MATCH(D6, Catalogos!$V$4:$V$100, 0)), ""))</f>
        <v>Jose Manuel Reyes Flores</v>
      </c>
      <c r="G6" s="2511">
        <v>8</v>
      </c>
      <c r="H6" s="2512"/>
      <c r="I6">
        <f>IF(E6="","", G6 * IFERROR(INDEX(Maquinaria_Inventario!$K$2:$K$100, MATCH(E6, Maquinaria_Inventario!$L$2:$L$100, 0)), 0))</f>
        <v>0</v>
      </c>
      <c r="J6">
        <f t="shared" si="0"/>
        <v>25</v>
      </c>
    </row>
    <row r="7" spans="1:10">
      <c r="A7" s="2514" t="str">
        <f>IF(D7="","", "HT-" &amp; IFERROR(VLOOKUP(C7, Catalogos!$Z$4:$AA$20, 2, FALSE), "FOL") &amp; "-" &amp; IF(B7="","00", WEEKNUM(B7,2)) &amp; "-" &amp; TEXT(ROW(A4),"000"))</f>
        <v>HT-MT-25-004</v>
      </c>
      <c r="B7" s="2513">
        <v>46188</v>
      </c>
      <c r="C7" s="2515" t="s">
        <v>1</v>
      </c>
      <c r="D7" s="2516" t="s">
        <v>224</v>
      </c>
      <c r="E7" s="2517" t="str">
        <f>IF(D7="","", IFERROR(INDEX(Catalogos!$W$4:$W$100, MATCH(D7, Catalogos!$V$4:$V$100, 0)), ""))</f>
        <v>NM-02</v>
      </c>
      <c r="F7" s="2518" t="str">
        <f>IF(D7="","", IFERROR(INDEX(Catalogos!$Y$4:$Y$100, MATCH(D7, Catalogos!$V$4:$V$100, 0)), ""))</f>
        <v>Luis Fernando Mendiola Vivero</v>
      </c>
      <c r="G7" s="2519">
        <v>8</v>
      </c>
      <c r="H7" s="2520"/>
      <c r="I7">
        <f>IF(E7="","", G7 * IFERROR(INDEX(Maquinaria_Inventario!$K$2:$K$100, MATCH(E7, Maquinaria_Inventario!$L$2:$L$100, 0)), 0))</f>
        <v>0</v>
      </c>
      <c r="J7">
        <f t="shared" si="0"/>
        <v>25</v>
      </c>
    </row>
    <row r="8" spans="1:10">
      <c r="A8" s="2522" t="str">
        <f>IF(D8="","", "HT-" &amp; IFERROR(VLOOKUP(C8, Catalogos!$Z$4:$AA$20, 2, FALSE), "FOL") &amp; "-" &amp; IF(B8="","00", WEEKNUM(B8,2)) &amp; "-" &amp; TEXT(ROW(A5),"000"))</f>
        <v>HT-MT-25-005</v>
      </c>
      <c r="B8" s="2521">
        <v>46188</v>
      </c>
      <c r="C8" s="2523" t="s">
        <v>1</v>
      </c>
      <c r="D8" s="2524" t="s">
        <v>216</v>
      </c>
      <c r="E8" s="2525" t="str">
        <f>IF(D8="","", IFERROR(INDEX(Catalogos!$W$4:$W$100, MATCH(D8, Catalogos!$V$4:$V$100, 0)), ""))</f>
        <v>BR-01</v>
      </c>
      <c r="F8" s="2526" t="str">
        <f>IF(D8="","", IFERROR(INDEX(Catalogos!$Y$4:$Y$100, MATCH(D8, Catalogos!$V$4:$V$100, 0)), ""))</f>
        <v>Edgar Rosales Martinez</v>
      </c>
      <c r="G8" s="2527">
        <v>8</v>
      </c>
      <c r="H8" s="2528"/>
      <c r="I8">
        <f>IF(E8="","", G8 * IFERROR(INDEX(Maquinaria_Inventario!$K$2:$K$100, MATCH(E8, Maquinaria_Inventario!$L$2:$L$100, 0)), 0))</f>
        <v>0</v>
      </c>
      <c r="J8">
        <f t="shared" si="0"/>
        <v>25</v>
      </c>
    </row>
    <row r="9" spans="1:10">
      <c r="A9" s="2530" t="str">
        <f>IF(D9="","", "HT-" &amp; IFERROR(VLOOKUP(C9, Catalogos!$Z$4:$AA$20, 2, FALSE), "FOL") &amp; "-" &amp; IF(B9="","00", WEEKNUM(B9,2)) &amp; "-" &amp; TEXT(ROW(A6),"000"))</f>
        <v>HT-MT-25-006</v>
      </c>
      <c r="B9" s="2529">
        <v>46188</v>
      </c>
      <c r="C9" s="2531" t="s">
        <v>1</v>
      </c>
      <c r="D9" s="2532" t="s">
        <v>228</v>
      </c>
      <c r="E9" s="2533" t="str">
        <f>IF(D9="","", IFERROR(INDEX(Catalogos!$W$4:$W$100, MATCH(D9, Catalogos!$V$4:$V$100, 0)), ""))</f>
        <v>RT-05</v>
      </c>
      <c r="F9" s="2534" t="str">
        <f>IF(D9="","", IFERROR(INDEX(Catalogos!$Y$4:$Y$100, MATCH(D9, Catalogos!$V$4:$V$100, 0)), ""))</f>
        <v>Adolfo Nava Lopez</v>
      </c>
      <c r="G9" s="2535">
        <v>8</v>
      </c>
      <c r="H9" s="2536"/>
      <c r="I9">
        <f>IF(E9="","", G9 * IFERROR(INDEX(Maquinaria_Inventario!$K$2:$K$100, MATCH(E9, Maquinaria_Inventario!$L$2:$L$100, 0)), 0))</f>
        <v>0</v>
      </c>
      <c r="J9">
        <f t="shared" si="0"/>
        <v>25</v>
      </c>
    </row>
    <row r="10" spans="1:10">
      <c r="A10" s="2538" t="str">
        <f>IF(D10="","", "HT-" &amp; IFERROR(VLOOKUP(C10, Catalogos!$Z$4:$AA$20, 2, FALSE), "FOL") &amp; "-" &amp; IF(B10="","00", WEEKNUM(B10,2)) &amp; "-" &amp; TEXT(ROW(A7),"000"))</f>
        <v>HT-MT-25-007</v>
      </c>
      <c r="B10" s="2537">
        <v>46188</v>
      </c>
      <c r="C10" s="2539" t="s">
        <v>1</v>
      </c>
      <c r="D10" s="2540" t="s">
        <v>383</v>
      </c>
      <c r="E10" s="2541" t="str">
        <f>IF(D10="","", IFERROR(INDEX(Catalogos!$W$4:$W$100, MATCH(D10, Catalogos!$V$4:$V$100, 0)), ""))</f>
        <v>PT-02</v>
      </c>
      <c r="F10" s="2542" t="str">
        <f>IF(D10="","", IFERROR(INDEX(Catalogos!$Y$4:$Y$100, MATCH(D10, Catalogos!$V$4:$V$100, 0)), ""))</f>
        <v>Francisco Gomora Angeles / Elthon Eduardo</v>
      </c>
      <c r="G10" s="2543">
        <v>4</v>
      </c>
      <c r="H10" s="2544"/>
      <c r="I10">
        <f>IF(E10="","", G10 * IFERROR(INDEX(Maquinaria_Inventario!$K$2:$K$100, MATCH(E10, Maquinaria_Inventario!$L$2:$L$100, 0)), 0))</f>
        <v>0</v>
      </c>
      <c r="J10">
        <f t="shared" si="0"/>
        <v>25</v>
      </c>
    </row>
    <row r="11" spans="1:10">
      <c r="A11" s="2546" t="str">
        <f>IF(D11="","", "HT-" &amp; IFERROR(VLOOKUP(C11, Catalogos!$Z$4:$AA$20, 2, FALSE), "FOL") &amp; "-" &amp; IF(B11="","00", WEEKNUM(B11,2)) &amp; "-" &amp; TEXT(ROW(A8),"000"))</f>
        <v>HT-MT-25-008</v>
      </c>
      <c r="B11" s="2545">
        <v>46189</v>
      </c>
      <c r="C11" s="2491" t="s">
        <v>1</v>
      </c>
      <c r="D11" s="2492" t="s">
        <v>386</v>
      </c>
      <c r="E11" s="2547" t="str">
        <f>IF(D11="","", IFERROR(INDEX(Catalogos!$W$4:$W$100, MATCH(D11, Catalogos!$V$4:$V$100, 0)), ""))</f>
        <v>S/N (WIRGENT)</v>
      </c>
      <c r="F11" s="2548" t="str">
        <f>IF(D11="","", IFERROR(INDEX(Catalogos!$Y$4:$Y$100, MATCH(D11, Catalogos!$V$4:$V$100, 0)), ""))</f>
        <v>Alejandro de Jesus Fuentes Tapia</v>
      </c>
      <c r="G11" s="2549">
        <v>6</v>
      </c>
      <c r="H11" s="2550"/>
      <c r="I11">
        <f>IF(E11="","", G11 * IFERROR(INDEX(Maquinaria_Inventario!$K$2:$K$100, MATCH(E11, Maquinaria_Inventario!$L$2:$L$100, 0)), 0))</f>
        <v>0</v>
      </c>
      <c r="J11">
        <f t="shared" si="0"/>
        <v>25</v>
      </c>
    </row>
    <row r="12" spans="1:10">
      <c r="A12" s="2551" t="str">
        <f>IF(D12="","", "HT-" &amp; IFERROR(VLOOKUP(C12, Catalogos!$Z$4:$AA$20, 2, FALSE), "FOL") &amp; "-" &amp; IF(B12="","00", WEEKNUM(B12,2)) &amp; "-" &amp; TEXT(ROW(A9),"000"))</f>
        <v>HT-MT-25-009</v>
      </c>
      <c r="B12" s="2545">
        <v>46189</v>
      </c>
      <c r="C12" s="2499" t="s">
        <v>1</v>
      </c>
      <c r="D12" s="2500" t="s">
        <v>368</v>
      </c>
      <c r="E12" s="2552" t="str">
        <f>IF(D12="","", IFERROR(INDEX(Catalogos!$W$4:$W$100, MATCH(D12, Catalogos!$V$4:$V$100, 0)), ""))</f>
        <v>VG-03</v>
      </c>
      <c r="F12" s="2553" t="str">
        <f>IF(D12="","", IFERROR(INDEX(Catalogos!$Y$4:$Y$100, MATCH(D12, Catalogos!$V$4:$V$100, 0)), ""))</f>
        <v>Jose de Jesus Eusebio Martinez</v>
      </c>
      <c r="G12" s="2554">
        <v>8</v>
      </c>
      <c r="H12" s="2555"/>
      <c r="I12">
        <f>IF(E12="","", G12 * IFERROR(INDEX(Maquinaria_Inventario!$K$2:$K$100, MATCH(E12, Maquinaria_Inventario!$L$2:$L$100, 0)), 0))</f>
        <v>0</v>
      </c>
      <c r="J12">
        <f t="shared" si="0"/>
        <v>25</v>
      </c>
    </row>
    <row r="13" spans="1:10">
      <c r="A13" s="2556" t="str">
        <f>IF(D13="","", "HT-" &amp; IFERROR(VLOOKUP(C13, Catalogos!$Z$4:$AA$20, 2, FALSE), "FOL") &amp; "-" &amp; IF(B13="","00", WEEKNUM(B13,2)) &amp; "-" &amp; TEXT(ROW(A10),"000"))</f>
        <v>HT-MT-25-010</v>
      </c>
      <c r="B13" s="2545">
        <v>46189</v>
      </c>
      <c r="C13" s="2507" t="s">
        <v>1</v>
      </c>
      <c r="D13" s="2508" t="s">
        <v>222</v>
      </c>
      <c r="E13" s="2557" t="str">
        <f>IF(D13="","", IFERROR(INDEX(Catalogos!$W$4:$W$100, MATCH(D13, Catalogos!$V$4:$V$100, 0)), ""))</f>
        <v>VC-01</v>
      </c>
      <c r="F13" s="2558" t="str">
        <f>IF(D13="","", IFERROR(INDEX(Catalogos!$Y$4:$Y$100, MATCH(D13, Catalogos!$V$4:$V$100, 0)), ""))</f>
        <v>Jose Manuel Reyes Flores</v>
      </c>
      <c r="G13" s="2559">
        <v>9</v>
      </c>
      <c r="H13" s="2560"/>
      <c r="I13">
        <f>IF(E13="","", G13 * IFERROR(INDEX(Maquinaria_Inventario!$K$2:$K$100, MATCH(E13, Maquinaria_Inventario!$L$2:$L$100, 0)), 0))</f>
        <v>0</v>
      </c>
      <c r="J13">
        <f t="shared" si="0"/>
        <v>25</v>
      </c>
    </row>
    <row r="14" spans="1:10">
      <c r="A14" s="2561" t="str">
        <f>IF(D14="","", "HT-" &amp; IFERROR(VLOOKUP(C14, Catalogos!$Z$4:$AA$20, 2, FALSE), "FOL") &amp; "-" &amp; IF(B14="","00", WEEKNUM(B14,2)) &amp; "-" &amp; TEXT(ROW(A11),"000"))</f>
        <v>HT-MT-25-011</v>
      </c>
      <c r="B14" s="2545">
        <v>46189</v>
      </c>
      <c r="C14" s="2515" t="s">
        <v>1</v>
      </c>
      <c r="D14" s="2516" t="s">
        <v>224</v>
      </c>
      <c r="E14" s="2562" t="str">
        <f>IF(D14="","", IFERROR(INDEX(Catalogos!$W$4:$W$100, MATCH(D14, Catalogos!$V$4:$V$100, 0)), ""))</f>
        <v>NM-02</v>
      </c>
      <c r="F14" s="2563" t="str">
        <f>IF(D14="","", IFERROR(INDEX(Catalogos!$Y$4:$Y$100, MATCH(D14, Catalogos!$V$4:$V$100, 0)), ""))</f>
        <v>Luis Fernando Mendiola Vivero</v>
      </c>
      <c r="G14" s="2564">
        <v>9</v>
      </c>
      <c r="H14" s="2565"/>
      <c r="I14">
        <f>IF(E14="","", G14 * IFERROR(INDEX(Maquinaria_Inventario!$K$2:$K$100, MATCH(E14, Maquinaria_Inventario!$L$2:$L$100, 0)), 0))</f>
        <v>0</v>
      </c>
      <c r="J14">
        <f t="shared" si="0"/>
        <v>25</v>
      </c>
    </row>
    <row r="15" spans="1:10">
      <c r="A15" s="2566" t="str">
        <f>IF(D15="","", "HT-" &amp; IFERROR(VLOOKUP(C15, Catalogos!$Z$4:$AA$20, 2, FALSE), "FOL") &amp; "-" &amp; IF(B15="","00", WEEKNUM(B15,2)) &amp; "-" &amp; TEXT(ROW(A12),"000"))</f>
        <v>HT-MT-25-012</v>
      </c>
      <c r="B15" s="2545">
        <v>46189</v>
      </c>
      <c r="C15" s="2523" t="s">
        <v>1</v>
      </c>
      <c r="D15" s="2524" t="s">
        <v>216</v>
      </c>
      <c r="E15" s="2567" t="str">
        <f>IF(D15="","", IFERROR(INDEX(Catalogos!$W$4:$W$100, MATCH(D15, Catalogos!$V$4:$V$100, 0)), ""))</f>
        <v>BR-01</v>
      </c>
      <c r="F15" s="2568" t="str">
        <f>IF(D15="","", IFERROR(INDEX(Catalogos!$Y$4:$Y$100, MATCH(D15, Catalogos!$V$4:$V$100, 0)), ""))</f>
        <v>Edgar Rosales Martinez</v>
      </c>
      <c r="G15" s="2569">
        <v>8</v>
      </c>
      <c r="H15" s="2570"/>
      <c r="I15">
        <f>IF(E15="","", G15 * IFERROR(INDEX(Maquinaria_Inventario!$K$2:$K$100, MATCH(E15, Maquinaria_Inventario!$L$2:$L$100, 0)), 0))</f>
        <v>0</v>
      </c>
      <c r="J15">
        <f t="shared" si="0"/>
        <v>25</v>
      </c>
    </row>
    <row r="16" spans="1:10">
      <c r="A16" s="2571" t="str">
        <f>IF(D16="","", "HT-" &amp; IFERROR(VLOOKUP(C16, Catalogos!$Z$4:$AA$20, 2, FALSE), "FOL") &amp; "-" &amp; IF(B16="","00", WEEKNUM(B16,2)) &amp; "-" &amp; TEXT(ROW(A13),"000"))</f>
        <v>HT-MT-25-013</v>
      </c>
      <c r="B16" s="2545">
        <v>46189</v>
      </c>
      <c r="C16" s="2531" t="s">
        <v>1</v>
      </c>
      <c r="D16" s="2532" t="s">
        <v>228</v>
      </c>
      <c r="E16" s="2572" t="str">
        <f>IF(D16="","", IFERROR(INDEX(Catalogos!$W$4:$W$100, MATCH(D16, Catalogos!$V$4:$V$100, 0)), ""))</f>
        <v>RT-05</v>
      </c>
      <c r="F16" s="2573" t="str">
        <f>IF(D16="","", IFERROR(INDEX(Catalogos!$Y$4:$Y$100, MATCH(D16, Catalogos!$V$4:$V$100, 0)), ""))</f>
        <v>Adolfo Nava Lopez</v>
      </c>
      <c r="G16" s="2574">
        <v>8</v>
      </c>
      <c r="H16" s="2575"/>
      <c r="I16">
        <f>IF(E16="","", G16 * IFERROR(INDEX(Maquinaria_Inventario!$K$2:$K$100, MATCH(E16, Maquinaria_Inventario!$L$2:$L$100, 0)), 0))</f>
        <v>0</v>
      </c>
      <c r="J16">
        <f t="shared" si="0"/>
        <v>25</v>
      </c>
    </row>
    <row r="17" spans="1:10">
      <c r="A17" s="2576" t="str">
        <f>IF(D17="","", "HT-" &amp; IFERROR(VLOOKUP(C17, Catalogos!$Z$4:$AA$20, 2, FALSE), "FOL") &amp; "-" &amp; IF(B17="","00", WEEKNUM(B17,2)) &amp; "-" &amp; TEXT(ROW(A14),"000"))</f>
        <v>HT-MT-25-014</v>
      </c>
      <c r="B17" s="2545">
        <v>46189</v>
      </c>
      <c r="C17" s="2539" t="s">
        <v>1</v>
      </c>
      <c r="D17" s="2540" t="s">
        <v>383</v>
      </c>
      <c r="E17" s="2577" t="str">
        <f>IF(D17="","", IFERROR(INDEX(Catalogos!$W$4:$W$100, MATCH(D17, Catalogos!$V$4:$V$100, 0)), ""))</f>
        <v>PT-02</v>
      </c>
      <c r="F17" s="2578" t="str">
        <f>IF(D17="","", IFERROR(INDEX(Catalogos!$Y$4:$Y$100, MATCH(D17, Catalogos!$V$4:$V$100, 0)), ""))</f>
        <v>Francisco Gomora Angeles / Elthon Eduardo</v>
      </c>
      <c r="G17" s="2579">
        <v>4</v>
      </c>
      <c r="H17" s="2580"/>
      <c r="I17">
        <f>IF(E17="","", G17 * IFERROR(INDEX(Maquinaria_Inventario!$K$2:$K$100, MATCH(E17, Maquinaria_Inventario!$L$2:$L$100, 0)), 0))</f>
        <v>0</v>
      </c>
      <c r="J17">
        <f t="shared" si="0"/>
        <v>25</v>
      </c>
    </row>
    <row r="18" spans="1:10">
      <c r="A18" s="2582" t="str">
        <f>IF(D18="","", "HT-" &amp; IFERROR(VLOOKUP(C18, Catalogos!$Z$4:$AA$20, 2, FALSE), "FOL") &amp; "-" &amp; IF(B18="","00", WEEKNUM(B18,2)) &amp; "-" &amp; TEXT(ROW(A15),"000"))</f>
        <v>HT-MT-25-015</v>
      </c>
      <c r="B18" s="2581">
        <v>46190</v>
      </c>
      <c r="C18" s="2491" t="s">
        <v>1</v>
      </c>
      <c r="D18" s="2492" t="s">
        <v>386</v>
      </c>
      <c r="E18" s="2583" t="str">
        <f>IF(D18="","", IFERROR(INDEX(Catalogos!$W$4:$W$100, MATCH(D18, Catalogos!$V$4:$V$100, 0)), ""))</f>
        <v>S/N (WIRGENT)</v>
      </c>
      <c r="F18" s="2584" t="str">
        <f>IF(D18="","", IFERROR(INDEX(Catalogos!$Y$4:$Y$100, MATCH(D18, Catalogos!$V$4:$V$100, 0)), ""))</f>
        <v>Alejandro de Jesus Fuentes Tapia</v>
      </c>
      <c r="G18" s="2585">
        <v>5</v>
      </c>
      <c r="H18" s="2586"/>
      <c r="I18">
        <f>IF(E18="","", G18 * IFERROR(INDEX(Maquinaria_Inventario!$K$2:$K$100, MATCH(E18, Maquinaria_Inventario!$L$2:$L$100, 0)), 0))</f>
        <v>0</v>
      </c>
      <c r="J18">
        <f t="shared" si="0"/>
        <v>25</v>
      </c>
    </row>
    <row r="19" spans="1:10">
      <c r="A19" s="2587" t="str">
        <f>IF(D19="","", "HT-" &amp; IFERROR(VLOOKUP(C19, Catalogos!$Z$4:$AA$20, 2, FALSE), "FOL") &amp; "-" &amp; IF(B19="","00", WEEKNUM(B19,2)) &amp; "-" &amp; TEXT(ROW(A16),"000"))</f>
        <v>HT-MT-25-016</v>
      </c>
      <c r="B19" s="2581">
        <v>46190</v>
      </c>
      <c r="C19" s="2499" t="s">
        <v>1</v>
      </c>
      <c r="D19" s="2500" t="s">
        <v>368</v>
      </c>
      <c r="E19" s="2588" t="str">
        <f>IF(D19="","", IFERROR(INDEX(Catalogos!$W$4:$W$100, MATCH(D19, Catalogos!$V$4:$V$100, 0)), ""))</f>
        <v>VG-03</v>
      </c>
      <c r="F19" s="2589" t="str">
        <f>IF(D19="","", IFERROR(INDEX(Catalogos!$Y$4:$Y$100, MATCH(D19, Catalogos!$V$4:$V$100, 0)), ""))</f>
        <v>Jose de Jesus Eusebio Martinez</v>
      </c>
      <c r="G19" s="2590">
        <v>6</v>
      </c>
      <c r="H19" s="2591"/>
      <c r="I19">
        <f>IF(E19="","", G19 * IFERROR(INDEX(Maquinaria_Inventario!$K$2:$K$100, MATCH(E19, Maquinaria_Inventario!$L$2:$L$100, 0)), 0))</f>
        <v>0</v>
      </c>
      <c r="J19">
        <f t="shared" si="0"/>
        <v>25</v>
      </c>
    </row>
    <row r="20" spans="1:10">
      <c r="A20" s="2592" t="str">
        <f>IF(D20="","", "HT-" &amp; IFERROR(VLOOKUP(C20, Catalogos!$Z$4:$AA$20, 2, FALSE), "FOL") &amp; "-" &amp; IF(B20="","00", WEEKNUM(B20,2)) &amp; "-" &amp; TEXT(ROW(A17),"000"))</f>
        <v>HT-MT-25-017</v>
      </c>
      <c r="B20" s="2581">
        <v>46190</v>
      </c>
      <c r="C20" s="2507" t="s">
        <v>1</v>
      </c>
      <c r="D20" s="2508" t="s">
        <v>222</v>
      </c>
      <c r="E20" s="2593" t="str">
        <f>IF(D20="","", IFERROR(INDEX(Catalogos!$W$4:$W$100, MATCH(D20, Catalogos!$V$4:$V$100, 0)), ""))</f>
        <v>VC-01</v>
      </c>
      <c r="F20" s="2594" t="str">
        <f>IF(D20="","", IFERROR(INDEX(Catalogos!$Y$4:$Y$100, MATCH(D20, Catalogos!$V$4:$V$100, 0)), ""))</f>
        <v>Jose Manuel Reyes Flores</v>
      </c>
      <c r="G20" s="2595">
        <v>7</v>
      </c>
      <c r="H20" s="2596"/>
      <c r="I20">
        <f>IF(E20="","", G20 * IFERROR(INDEX(Maquinaria_Inventario!$K$2:$K$100, MATCH(E20, Maquinaria_Inventario!$L$2:$L$100, 0)), 0))</f>
        <v>0</v>
      </c>
      <c r="J20">
        <f t="shared" si="0"/>
        <v>25</v>
      </c>
    </row>
    <row r="21" spans="1:10">
      <c r="A21" s="2597" t="str">
        <f>IF(D21="","", "HT-" &amp; IFERROR(VLOOKUP(C21, Catalogos!$Z$4:$AA$20, 2, FALSE), "FOL") &amp; "-" &amp; IF(B21="","00", WEEKNUM(B21,2)) &amp; "-" &amp; TEXT(ROW(A18),"000"))</f>
        <v>HT-MT-25-018</v>
      </c>
      <c r="B21" s="2581">
        <v>46190</v>
      </c>
      <c r="C21" s="2515" t="s">
        <v>1</v>
      </c>
      <c r="D21" s="2516" t="s">
        <v>224</v>
      </c>
      <c r="E21" s="2598" t="str">
        <f>IF(D21="","", IFERROR(INDEX(Catalogos!$W$4:$W$100, MATCH(D21, Catalogos!$V$4:$V$100, 0)), ""))</f>
        <v>NM-02</v>
      </c>
      <c r="F21" s="2599" t="str">
        <f>IF(D21="","", IFERROR(INDEX(Catalogos!$Y$4:$Y$100, MATCH(D21, Catalogos!$V$4:$V$100, 0)), ""))</f>
        <v>Luis Fernando Mendiola Vivero</v>
      </c>
      <c r="G21" s="2600">
        <v>7</v>
      </c>
      <c r="H21" s="2601"/>
      <c r="I21">
        <f>IF(E21="","", G21 * IFERROR(INDEX(Maquinaria_Inventario!$K$2:$K$100, MATCH(E21, Maquinaria_Inventario!$L$2:$L$100, 0)), 0))</f>
        <v>0</v>
      </c>
      <c r="J21">
        <f t="shared" si="0"/>
        <v>25</v>
      </c>
    </row>
    <row r="22" spans="1:10">
      <c r="A22" s="2602" t="str">
        <f>IF(D22="","", "HT-" &amp; IFERROR(VLOOKUP(C22, Catalogos!$Z$4:$AA$20, 2, FALSE), "FOL") &amp; "-" &amp; IF(B22="","00", WEEKNUM(B22,2)) &amp; "-" &amp; TEXT(ROW(A19),"000"))</f>
        <v>HT-MT-25-019</v>
      </c>
      <c r="B22" s="2581">
        <v>46190</v>
      </c>
      <c r="C22" s="2523" t="s">
        <v>1</v>
      </c>
      <c r="D22" s="2524" t="s">
        <v>216</v>
      </c>
      <c r="E22" s="2603" t="str">
        <f>IF(D22="","", IFERROR(INDEX(Catalogos!$W$4:$W$100, MATCH(D22, Catalogos!$V$4:$V$100, 0)), ""))</f>
        <v>BR-01</v>
      </c>
      <c r="F22" s="2604" t="str">
        <f>IF(D22="","", IFERROR(INDEX(Catalogos!$Y$4:$Y$100, MATCH(D22, Catalogos!$V$4:$V$100, 0)), ""))</f>
        <v>Edgar Rosales Martinez</v>
      </c>
      <c r="G22" s="2605">
        <v>6</v>
      </c>
      <c r="H22" s="2606"/>
      <c r="I22">
        <f>IF(E22="","", G22 * IFERROR(INDEX(Maquinaria_Inventario!$K$2:$K$100, MATCH(E22, Maquinaria_Inventario!$L$2:$L$100, 0)), 0))</f>
        <v>0</v>
      </c>
      <c r="J22">
        <f t="shared" si="0"/>
        <v>25</v>
      </c>
    </row>
    <row r="23" spans="1:10">
      <c r="A23" s="2607" t="str">
        <f>IF(D23="","", "HT-" &amp; IFERROR(VLOOKUP(C23, Catalogos!$Z$4:$AA$20, 2, FALSE), "FOL") &amp; "-" &amp; IF(B23="","00", WEEKNUM(B23,2)) &amp; "-" &amp; TEXT(ROW(A20),"000"))</f>
        <v>HT-MT-25-020</v>
      </c>
      <c r="B23" s="2581">
        <v>46190</v>
      </c>
      <c r="C23" s="2531" t="s">
        <v>1</v>
      </c>
      <c r="D23" s="2532" t="s">
        <v>228</v>
      </c>
      <c r="E23" s="2608" t="str">
        <f>IF(D23="","", IFERROR(INDEX(Catalogos!$W$4:$W$100, MATCH(D23, Catalogos!$V$4:$V$100, 0)), ""))</f>
        <v>RT-05</v>
      </c>
      <c r="F23" s="2609" t="str">
        <f>IF(D23="","", IFERROR(INDEX(Catalogos!$Y$4:$Y$100, MATCH(D23, Catalogos!$V$4:$V$100, 0)), ""))</f>
        <v>Adolfo Nava Lopez</v>
      </c>
      <c r="G23" s="2610">
        <v>6</v>
      </c>
      <c r="H23" s="2611"/>
      <c r="I23">
        <f>IF(E23="","", G23 * IFERROR(INDEX(Maquinaria_Inventario!$K$2:$K$100, MATCH(E23, Maquinaria_Inventario!$L$2:$L$100, 0)), 0))</f>
        <v>0</v>
      </c>
      <c r="J23">
        <f t="shared" si="0"/>
        <v>25</v>
      </c>
    </row>
    <row r="24" spans="1:10">
      <c r="A24" s="2612" t="str">
        <f>IF(D24="","", "HT-" &amp; IFERROR(VLOOKUP(C24, Catalogos!$Z$4:$AA$20, 2, FALSE), "FOL") &amp; "-" &amp; IF(B24="","00", WEEKNUM(B24,2)) &amp; "-" &amp; TEXT(ROW(A21),"000"))</f>
        <v>HT-MT-25-021</v>
      </c>
      <c r="B24" s="2581">
        <v>46190</v>
      </c>
      <c r="C24" s="2539" t="s">
        <v>1</v>
      </c>
      <c r="D24" s="2540" t="s">
        <v>383</v>
      </c>
      <c r="E24" s="2613" t="str">
        <f>IF(D24="","", IFERROR(INDEX(Catalogos!$W$4:$W$100, MATCH(D24, Catalogos!$V$4:$V$100, 0)), ""))</f>
        <v>PT-02</v>
      </c>
      <c r="F24" s="2614" t="str">
        <f>IF(D24="","", IFERROR(INDEX(Catalogos!$Y$4:$Y$100, MATCH(D24, Catalogos!$V$4:$V$100, 0)), ""))</f>
        <v>Francisco Gomora Angeles / Elthon Eduardo</v>
      </c>
      <c r="G24" s="2615">
        <v>4</v>
      </c>
      <c r="H24" s="2616"/>
      <c r="I24">
        <f>IF(E24="","", G24 * IFERROR(INDEX(Maquinaria_Inventario!$K$2:$K$100, MATCH(E24, Maquinaria_Inventario!$L$2:$L$100, 0)), 0))</f>
        <v>0</v>
      </c>
      <c r="J24">
        <f t="shared" si="0"/>
        <v>25</v>
      </c>
    </row>
    <row r="25" spans="1:10">
      <c r="A25" s="2618" t="str">
        <f>IF(D25="","", "HT-" &amp; IFERROR(VLOOKUP(C25, Catalogos!$Z$4:$AA$20, 2, FALSE), "FOL") &amp; "-" &amp; IF(B25="","00", WEEKNUM(B25,2)) &amp; "-" &amp; TEXT(ROW(A22),"000"))</f>
        <v>HT-MT-25-022</v>
      </c>
      <c r="B25" s="2617">
        <v>46191</v>
      </c>
      <c r="C25" s="2491" t="s">
        <v>1</v>
      </c>
      <c r="D25" s="2492" t="s">
        <v>386</v>
      </c>
      <c r="E25" s="2619" t="str">
        <f>IF(D25="","", IFERROR(INDEX(Catalogos!$W$4:$W$100, MATCH(D25, Catalogos!$V$4:$V$100, 0)), ""))</f>
        <v>S/N (WIRGENT)</v>
      </c>
      <c r="F25" s="2620" t="str">
        <f>IF(D25="","", IFERROR(INDEX(Catalogos!$Y$4:$Y$100, MATCH(D25, Catalogos!$V$4:$V$100, 0)), ""))</f>
        <v>Alejandro de Jesus Fuentes Tapia</v>
      </c>
      <c r="G25" s="2621">
        <v>6</v>
      </c>
      <c r="H25" s="2622"/>
      <c r="I25">
        <f>IF(E25="","", G25 * IFERROR(INDEX(Maquinaria_Inventario!$K$2:$K$100, MATCH(E25, Maquinaria_Inventario!$L$2:$L$100, 0)), 0))</f>
        <v>0</v>
      </c>
      <c r="J25">
        <f t="shared" si="0"/>
        <v>25</v>
      </c>
    </row>
    <row r="26" spans="1:10">
      <c r="A26" s="2623" t="str">
        <f>IF(D26="","", "HT-" &amp; IFERROR(VLOOKUP(C26, Catalogos!$Z$4:$AA$20, 2, FALSE), "FOL") &amp; "-" &amp; IF(B26="","00", WEEKNUM(B26,2)) &amp; "-" &amp; TEXT(ROW(A23),"000"))</f>
        <v>HT-MT-25-023</v>
      </c>
      <c r="B26" s="2617">
        <v>46191</v>
      </c>
      <c r="C26" s="2499" t="s">
        <v>1</v>
      </c>
      <c r="D26" s="2500" t="s">
        <v>368</v>
      </c>
      <c r="E26" s="2624" t="str">
        <f>IF(D26="","", IFERROR(INDEX(Catalogos!$W$4:$W$100, MATCH(D26, Catalogos!$V$4:$V$100, 0)), ""))</f>
        <v>VG-03</v>
      </c>
      <c r="F26" s="2625" t="str">
        <f>IF(D26="","", IFERROR(INDEX(Catalogos!$Y$4:$Y$100, MATCH(D26, Catalogos!$V$4:$V$100, 0)), ""))</f>
        <v>Jose de Jesus Eusebio Martinez</v>
      </c>
      <c r="G26" s="2626">
        <v>7</v>
      </c>
      <c r="H26" s="2627"/>
      <c r="I26">
        <f>IF(E26="","", G26 * IFERROR(INDEX(Maquinaria_Inventario!$K$2:$K$100, MATCH(E26, Maquinaria_Inventario!$L$2:$L$100, 0)), 0))</f>
        <v>0</v>
      </c>
      <c r="J26">
        <f t="shared" si="0"/>
        <v>25</v>
      </c>
    </row>
    <row r="27" spans="1:10">
      <c r="A27" s="2628" t="str">
        <f>IF(D27="","", "HT-" &amp; IFERROR(VLOOKUP(C27, Catalogos!$Z$4:$AA$20, 2, FALSE), "FOL") &amp; "-" &amp; IF(B27="","00", WEEKNUM(B27,2)) &amp; "-" &amp; TEXT(ROW(A24),"000"))</f>
        <v>HT-MT-25-024</v>
      </c>
      <c r="B27" s="2617">
        <v>46191</v>
      </c>
      <c r="C27" s="2507" t="s">
        <v>1</v>
      </c>
      <c r="D27" s="2508" t="s">
        <v>222</v>
      </c>
      <c r="E27" s="2629" t="str">
        <f>IF(D27="","", IFERROR(INDEX(Catalogos!$W$4:$W$100, MATCH(D27, Catalogos!$V$4:$V$100, 0)), ""))</f>
        <v>VC-01</v>
      </c>
      <c r="F27" s="2630" t="str">
        <f>IF(D27="","", IFERROR(INDEX(Catalogos!$Y$4:$Y$100, MATCH(D27, Catalogos!$V$4:$V$100, 0)), ""))</f>
        <v>Jose Manuel Reyes Flores</v>
      </c>
      <c r="G27" s="2631">
        <v>8</v>
      </c>
      <c r="H27" s="2632"/>
      <c r="I27">
        <f>IF(E27="","", G27 * IFERROR(INDEX(Maquinaria_Inventario!$K$2:$K$100, MATCH(E27, Maquinaria_Inventario!$L$2:$L$100, 0)), 0))</f>
        <v>0</v>
      </c>
      <c r="J27">
        <f t="shared" si="0"/>
        <v>25</v>
      </c>
    </row>
    <row r="28" spans="1:10">
      <c r="A28" s="2633" t="str">
        <f>IF(D28="","", "HT-" &amp; IFERROR(VLOOKUP(C28, Catalogos!$Z$4:$AA$20, 2, FALSE), "FOL") &amp; "-" &amp; IF(B28="","00", WEEKNUM(B28,2)) &amp; "-" &amp; TEXT(ROW(A25),"000"))</f>
        <v>HT-MT-25-025</v>
      </c>
      <c r="B28" s="2617">
        <v>46191</v>
      </c>
      <c r="C28" s="2515" t="s">
        <v>1</v>
      </c>
      <c r="D28" s="2516" t="s">
        <v>224</v>
      </c>
      <c r="E28" s="2634" t="str">
        <f>IF(D28="","", IFERROR(INDEX(Catalogos!$W$4:$W$100, MATCH(D28, Catalogos!$V$4:$V$100, 0)), ""))</f>
        <v>NM-02</v>
      </c>
      <c r="F28" s="2635" t="str">
        <f>IF(D28="","", IFERROR(INDEX(Catalogos!$Y$4:$Y$100, MATCH(D28, Catalogos!$V$4:$V$100, 0)), ""))</f>
        <v>Luis Fernando Mendiola Vivero</v>
      </c>
      <c r="G28" s="2636">
        <v>8</v>
      </c>
      <c r="H28" s="2637"/>
      <c r="I28">
        <f>IF(E28="","", G28 * IFERROR(INDEX(Maquinaria_Inventario!$K$2:$K$100, MATCH(E28, Maquinaria_Inventario!$L$2:$L$100, 0)), 0))</f>
        <v>0</v>
      </c>
      <c r="J28">
        <f t="shared" si="0"/>
        <v>25</v>
      </c>
    </row>
    <row r="29" spans="1:10">
      <c r="A29" s="2638" t="str">
        <f>IF(D29="","", "HT-" &amp; IFERROR(VLOOKUP(C29, Catalogos!$Z$4:$AA$20, 2, FALSE), "FOL") &amp; "-" &amp; IF(B29="","00", WEEKNUM(B29,2)) &amp; "-" &amp; TEXT(ROW(A26),"000"))</f>
        <v>HT-MT-25-026</v>
      </c>
      <c r="B29" s="2617">
        <v>46191</v>
      </c>
      <c r="C29" s="2523" t="s">
        <v>1</v>
      </c>
      <c r="D29" s="2524" t="s">
        <v>216</v>
      </c>
      <c r="E29" s="2639" t="str">
        <f>IF(D29="","", IFERROR(INDEX(Catalogos!$W$4:$W$100, MATCH(D29, Catalogos!$V$4:$V$100, 0)), ""))</f>
        <v>BR-01</v>
      </c>
      <c r="F29" s="2640" t="str">
        <f>IF(D29="","", IFERROR(INDEX(Catalogos!$Y$4:$Y$100, MATCH(D29, Catalogos!$V$4:$V$100, 0)), ""))</f>
        <v>Edgar Rosales Martinez</v>
      </c>
      <c r="G29" s="2641">
        <v>6</v>
      </c>
      <c r="H29" s="2642"/>
      <c r="I29">
        <f>IF(E29="","", G29 * IFERROR(INDEX(Maquinaria_Inventario!$K$2:$K$100, MATCH(E29, Maquinaria_Inventario!$L$2:$L$100, 0)), 0))</f>
        <v>0</v>
      </c>
      <c r="J29">
        <f t="shared" si="0"/>
        <v>25</v>
      </c>
    </row>
    <row r="30" spans="1:10">
      <c r="A30" s="2643" t="str">
        <f>IF(D30="","", "HT-" &amp; IFERROR(VLOOKUP(C30, Catalogos!$Z$4:$AA$20, 2, FALSE), "FOL") &amp; "-" &amp; IF(B30="","00", WEEKNUM(B30,2)) &amp; "-" &amp; TEXT(ROW(A27),"000"))</f>
        <v>HT-MT-25-027</v>
      </c>
      <c r="B30" s="2617">
        <v>46191</v>
      </c>
      <c r="C30" s="2531" t="s">
        <v>1</v>
      </c>
      <c r="D30" s="2532" t="s">
        <v>228</v>
      </c>
      <c r="E30" s="2644" t="str">
        <f>IF(D30="","", IFERROR(INDEX(Catalogos!$W$4:$W$100, MATCH(D30, Catalogos!$V$4:$V$100, 0)), ""))</f>
        <v>RT-05</v>
      </c>
      <c r="F30" s="2645" t="str">
        <f>IF(D30="","", IFERROR(INDEX(Catalogos!$Y$4:$Y$100, MATCH(D30, Catalogos!$V$4:$V$100, 0)), ""))</f>
        <v>Adolfo Nava Lopez</v>
      </c>
      <c r="G30" s="2646">
        <v>7</v>
      </c>
      <c r="H30" s="2647"/>
      <c r="I30">
        <f>IF(E30="","", G30 * IFERROR(INDEX(Maquinaria_Inventario!$K$2:$K$100, MATCH(E30, Maquinaria_Inventario!$L$2:$L$100, 0)), 0))</f>
        <v>0</v>
      </c>
      <c r="J30">
        <f t="shared" si="0"/>
        <v>25</v>
      </c>
    </row>
    <row r="31" spans="1:10">
      <c r="A31" s="2648" t="str">
        <f>IF(D31="","", "HT-" &amp; IFERROR(VLOOKUP(C31, Catalogos!$Z$4:$AA$20, 2, FALSE), "FOL") &amp; "-" &amp; IF(B31="","00", WEEKNUM(B31,2)) &amp; "-" &amp; TEXT(ROW(A28),"000"))</f>
        <v>HT-MT-25-028</v>
      </c>
      <c r="B31" s="2617">
        <v>46191</v>
      </c>
      <c r="C31" s="2539" t="s">
        <v>1</v>
      </c>
      <c r="D31" s="2540" t="s">
        <v>383</v>
      </c>
      <c r="E31" s="2649" t="str">
        <f>IF(D31="","", IFERROR(INDEX(Catalogos!$W$4:$W$100, MATCH(D31, Catalogos!$V$4:$V$100, 0)), ""))</f>
        <v>PT-02</v>
      </c>
      <c r="F31" s="2650" t="str">
        <f>IF(D31="","", IFERROR(INDEX(Catalogos!$Y$4:$Y$100, MATCH(D31, Catalogos!$V$4:$V$100, 0)), ""))</f>
        <v>Francisco Gomora Angeles / Elthon Eduardo</v>
      </c>
      <c r="G31" s="2651">
        <v>4</v>
      </c>
      <c r="H31" s="2652"/>
      <c r="I31">
        <f>IF(E31="","", G31 * IFERROR(INDEX(Maquinaria_Inventario!$K$2:$K$100, MATCH(E31, Maquinaria_Inventario!$L$2:$L$100, 0)), 0))</f>
        <v>0</v>
      </c>
      <c r="J31">
        <f t="shared" si="0"/>
        <v>25</v>
      </c>
    </row>
    <row r="32" spans="1:10">
      <c r="A32" s="2654" t="str">
        <f>IF(D32="","", "HT-" &amp; IFERROR(VLOOKUP(C32, Catalogos!$Z$4:$AA$20, 2, FALSE), "FOL") &amp; "-" &amp; IF(B32="","00", WEEKNUM(B32,2)) &amp; "-" &amp; TEXT(ROW(A29),"000"))</f>
        <v>HT-MT-25-029</v>
      </c>
      <c r="B32" s="2653">
        <v>46192</v>
      </c>
      <c r="C32" s="2491" t="s">
        <v>1</v>
      </c>
      <c r="D32" s="2492" t="s">
        <v>386</v>
      </c>
      <c r="E32" s="2655" t="str">
        <f>IF(D32="","", IFERROR(INDEX(Catalogos!$W$4:$W$100, MATCH(D32, Catalogos!$V$4:$V$100, 0)), ""))</f>
        <v>S/N (WIRGENT)</v>
      </c>
      <c r="F32" s="2656" t="str">
        <f>IF(D32="","", IFERROR(INDEX(Catalogos!$Y$4:$Y$100, MATCH(D32, Catalogos!$V$4:$V$100, 0)), ""))</f>
        <v>Alejandro de Jesus Fuentes Tapia</v>
      </c>
      <c r="G32" s="2657">
        <v>0</v>
      </c>
      <c r="H32" s="2658"/>
      <c r="I32">
        <f>IF(E32="","", G32 * IFERROR(INDEX(Maquinaria_Inventario!$K$2:$K$100, MATCH(E32, Maquinaria_Inventario!$L$2:$L$100, 0)), 0))</f>
        <v>0</v>
      </c>
      <c r="J32">
        <f t="shared" si="0"/>
        <v>25</v>
      </c>
    </row>
    <row r="33" spans="1:10">
      <c r="A33" s="2659" t="str">
        <f>IF(D33="","", "HT-" &amp; IFERROR(VLOOKUP(C33, Catalogos!$Z$4:$AA$20, 2, FALSE), "FOL") &amp; "-" &amp; IF(B33="","00", WEEKNUM(B33,2)) &amp; "-" &amp; TEXT(ROW(A30),"000"))</f>
        <v>HT-MT-25-030</v>
      </c>
      <c r="B33" s="2653">
        <v>46192</v>
      </c>
      <c r="C33" s="2499" t="s">
        <v>1</v>
      </c>
      <c r="D33" s="2500" t="s">
        <v>368</v>
      </c>
      <c r="E33" s="2660" t="str">
        <f>IF(D33="","", IFERROR(INDEX(Catalogos!$W$4:$W$100, MATCH(D33, Catalogos!$V$4:$V$100, 0)), ""))</f>
        <v>VG-03</v>
      </c>
      <c r="F33" s="2661" t="str">
        <f>IF(D33="","", IFERROR(INDEX(Catalogos!$Y$4:$Y$100, MATCH(D33, Catalogos!$V$4:$V$100, 0)), ""))</f>
        <v>Jose de Jesus Eusebio Martinez</v>
      </c>
      <c r="G33" s="2662">
        <v>6</v>
      </c>
      <c r="H33" s="2663"/>
      <c r="I33">
        <f>IF(E33="","", G33 * IFERROR(INDEX(Maquinaria_Inventario!$K$2:$K$100, MATCH(E33, Maquinaria_Inventario!$L$2:$L$100, 0)), 0))</f>
        <v>0</v>
      </c>
      <c r="J33">
        <f t="shared" si="0"/>
        <v>25</v>
      </c>
    </row>
    <row r="34" spans="1:10">
      <c r="A34" s="2664" t="str">
        <f>IF(D34="","", "HT-" &amp; IFERROR(VLOOKUP(C34, Catalogos!$Z$4:$AA$20, 2, FALSE), "FOL") &amp; "-" &amp; IF(B34="","00", WEEKNUM(B34,2)) &amp; "-" &amp; TEXT(ROW(A31),"000"))</f>
        <v>HT-MT-25-031</v>
      </c>
      <c r="B34" s="2653">
        <v>46192</v>
      </c>
      <c r="C34" s="2507" t="s">
        <v>1</v>
      </c>
      <c r="D34" s="2508" t="s">
        <v>222</v>
      </c>
      <c r="E34" s="2665" t="str">
        <f>IF(D34="","", IFERROR(INDEX(Catalogos!$W$4:$W$100, MATCH(D34, Catalogos!$V$4:$V$100, 0)), ""))</f>
        <v>VC-01</v>
      </c>
      <c r="F34" s="2666" t="str">
        <f>IF(D34="","", IFERROR(INDEX(Catalogos!$Y$4:$Y$100, MATCH(D34, Catalogos!$V$4:$V$100, 0)), ""))</f>
        <v>Jose Manuel Reyes Flores</v>
      </c>
      <c r="G34" s="2667">
        <v>7</v>
      </c>
      <c r="H34" s="2668"/>
      <c r="I34">
        <f>IF(E34="","", G34 * IFERROR(INDEX(Maquinaria_Inventario!$K$2:$K$100, MATCH(E34, Maquinaria_Inventario!$L$2:$L$100, 0)), 0))</f>
        <v>0</v>
      </c>
      <c r="J34">
        <f t="shared" si="0"/>
        <v>25</v>
      </c>
    </row>
    <row r="35" spans="1:10">
      <c r="A35" s="2669" t="str">
        <f>IF(D35="","", "HT-" &amp; IFERROR(VLOOKUP(C35, Catalogos!$Z$4:$AA$20, 2, FALSE), "FOL") &amp; "-" &amp; IF(B35="","00", WEEKNUM(B35,2)) &amp; "-" &amp; TEXT(ROW(A32),"000"))</f>
        <v>HT-MT-25-032</v>
      </c>
      <c r="B35" s="2653">
        <v>46192</v>
      </c>
      <c r="C35" s="2515" t="s">
        <v>1</v>
      </c>
      <c r="D35" s="2516" t="s">
        <v>224</v>
      </c>
      <c r="E35" s="2670" t="str">
        <f>IF(D35="","", IFERROR(INDEX(Catalogos!$W$4:$W$100, MATCH(D35, Catalogos!$V$4:$V$100, 0)), ""))</f>
        <v>NM-02</v>
      </c>
      <c r="F35" s="2671" t="str">
        <f>IF(D35="","", IFERROR(INDEX(Catalogos!$Y$4:$Y$100, MATCH(D35, Catalogos!$V$4:$V$100, 0)), ""))</f>
        <v>Luis Fernando Mendiola Vivero</v>
      </c>
      <c r="G35" s="2672">
        <v>7</v>
      </c>
      <c r="H35" s="2673"/>
      <c r="I35">
        <f>IF(E35="","", G35 * IFERROR(INDEX(Maquinaria_Inventario!$K$2:$K$100, MATCH(E35, Maquinaria_Inventario!$L$2:$L$100, 0)), 0))</f>
        <v>0</v>
      </c>
      <c r="J35">
        <f t="shared" si="0"/>
        <v>25</v>
      </c>
    </row>
    <row r="36" spans="1:10">
      <c r="A36" s="2674" t="str">
        <f>IF(D36="","", "HT-" &amp; IFERROR(VLOOKUP(C36, Catalogos!$Z$4:$AA$20, 2, FALSE), "FOL") &amp; "-" &amp; IF(B36="","00", WEEKNUM(B36,2)) &amp; "-" &amp; TEXT(ROW(A33),"000"))</f>
        <v>HT-MT-25-033</v>
      </c>
      <c r="B36" s="2653">
        <v>46192</v>
      </c>
      <c r="C36" s="2523" t="s">
        <v>1</v>
      </c>
      <c r="D36" s="2524" t="s">
        <v>216</v>
      </c>
      <c r="E36" s="2675" t="str">
        <f>IF(D36="","", IFERROR(INDEX(Catalogos!$W$4:$W$100, MATCH(D36, Catalogos!$V$4:$V$100, 0)), ""))</f>
        <v>BR-01</v>
      </c>
      <c r="F36" s="2676" t="str">
        <f>IF(D36="","", IFERROR(INDEX(Catalogos!$Y$4:$Y$100, MATCH(D36, Catalogos!$V$4:$V$100, 0)), ""))</f>
        <v>Edgar Rosales Martinez</v>
      </c>
      <c r="G36" s="2677">
        <v>5</v>
      </c>
      <c r="H36" s="2678"/>
      <c r="I36">
        <f>IF(E36="","", G36 * IFERROR(INDEX(Maquinaria_Inventario!$K$2:$K$100, MATCH(E36, Maquinaria_Inventario!$L$2:$L$100, 0)), 0))</f>
        <v>0</v>
      </c>
      <c r="J36">
        <f t="shared" si="0"/>
        <v>25</v>
      </c>
    </row>
    <row r="37" spans="1:10">
      <c r="A37" s="2679" t="str">
        <f>IF(D37="","", "HT-" &amp; IFERROR(VLOOKUP(C37, Catalogos!$Z$4:$AA$20, 2, FALSE), "FOL") &amp; "-" &amp; IF(B37="","00", WEEKNUM(B37,2)) &amp; "-" &amp; TEXT(ROW(A34),"000"))</f>
        <v>HT-MT-25-034</v>
      </c>
      <c r="B37" s="2653">
        <v>46192</v>
      </c>
      <c r="C37" s="2531" t="s">
        <v>1</v>
      </c>
      <c r="D37" s="2532" t="s">
        <v>228</v>
      </c>
      <c r="E37" s="2680" t="str">
        <f>IF(D37="","", IFERROR(INDEX(Catalogos!$W$4:$W$100, MATCH(D37, Catalogos!$V$4:$V$100, 0)), ""))</f>
        <v>RT-05</v>
      </c>
      <c r="F37" s="2681" t="str">
        <f>IF(D37="","", IFERROR(INDEX(Catalogos!$Y$4:$Y$100, MATCH(D37, Catalogos!$V$4:$V$100, 0)), ""))</f>
        <v>Adolfo Nava Lopez</v>
      </c>
      <c r="G37" s="2682">
        <v>5</v>
      </c>
      <c r="H37" s="2683"/>
      <c r="I37">
        <f>IF(E37="","", G37 * IFERROR(INDEX(Maquinaria_Inventario!$K$2:$K$100, MATCH(E37, Maquinaria_Inventario!$L$2:$L$100, 0)), 0))</f>
        <v>0</v>
      </c>
      <c r="J37">
        <f t="shared" si="0"/>
        <v>25</v>
      </c>
    </row>
    <row r="38" spans="1:10">
      <c r="A38" s="2684" t="str">
        <f>IF(D38="","", "HT-" &amp; IFERROR(VLOOKUP(C38, Catalogos!$Z$4:$AA$20, 2, FALSE), "FOL") &amp; "-" &amp; IF(B38="","00", WEEKNUM(B38,2)) &amp; "-" &amp; TEXT(ROW(A35),"000"))</f>
        <v>HT-MT-25-035</v>
      </c>
      <c r="B38" s="2653">
        <v>46192</v>
      </c>
      <c r="C38" s="2539" t="s">
        <v>1</v>
      </c>
      <c r="D38" s="2540" t="s">
        <v>383</v>
      </c>
      <c r="E38" s="2685" t="str">
        <f>IF(D38="","", IFERROR(INDEX(Catalogos!$W$4:$W$100, MATCH(D38, Catalogos!$V$4:$V$100, 0)), ""))</f>
        <v>PT-02</v>
      </c>
      <c r="F38" s="2686" t="str">
        <f>IF(D38="","", IFERROR(INDEX(Catalogos!$Y$4:$Y$100, MATCH(D38, Catalogos!$V$4:$V$100, 0)), ""))</f>
        <v>Francisco Gomora Angeles / Elthon Eduardo</v>
      </c>
      <c r="G38" s="2687">
        <v>4</v>
      </c>
      <c r="H38" s="2688"/>
      <c r="I38">
        <f>IF(E38="","", G38 * IFERROR(INDEX(Maquinaria_Inventario!$K$2:$K$100, MATCH(E38, Maquinaria_Inventario!$L$2:$L$100, 0)), 0))</f>
        <v>0</v>
      </c>
      <c r="J38">
        <f t="shared" si="0"/>
        <v>25</v>
      </c>
    </row>
    <row r="39" spans="1:10">
      <c r="A39" s="2690" t="str">
        <f>IF(D39="","", "HT-" &amp; IFERROR(VLOOKUP(C39, Catalogos!$Z$4:$AA$20, 2, FALSE), "FOL") &amp; "-" &amp; IF(B39="","00", WEEKNUM(B39,2)) &amp; "-" &amp; TEXT(ROW(A36),"000"))</f>
        <v>HT-BT-25-036</v>
      </c>
      <c r="B39" s="2689">
        <v>46188</v>
      </c>
      <c r="C39" s="2691" t="s">
        <v>111</v>
      </c>
      <c r="D39" s="2692" t="s">
        <v>209</v>
      </c>
      <c r="E39" s="2693" t="str">
        <f>IF(D39="","", IFERROR(INDEX(Catalogos!$W$4:$W$100, MATCH(D39, Catalogos!$V$4:$V$100, 0)), ""))</f>
        <v>RT-03</v>
      </c>
      <c r="F39" s="2694">
        <f>IF(D39="","", IFERROR(INDEX(Catalogos!$Y$4:$Y$100, MATCH(D39, Catalogos!$V$4:$V$100, 0)), ""))</f>
        <v>0</v>
      </c>
      <c r="G39" s="2695">
        <v>7</v>
      </c>
      <c r="H39" s="2696"/>
      <c r="I39">
        <f>IF(E39="","", G39 * IFERROR(INDEX(Maquinaria_Inventario!$K$2:$K$100, MATCH(E39, Maquinaria_Inventario!$L$2:$L$100, 0)), 0))</f>
        <v>0</v>
      </c>
      <c r="J39">
        <f t="shared" si="0"/>
        <v>25</v>
      </c>
    </row>
    <row r="40" spans="1:10">
      <c r="A40" s="2697" t="str">
        <f>IF(D40="","", "HT-" &amp; IFERROR(VLOOKUP(C40, Catalogos!$Z$4:$AA$20, 2, FALSE), "FOL") &amp; "-" &amp; IF(B40="","00", WEEKNUM(B40,2)) &amp; "-" &amp; TEXT(ROW(A37),"000"))</f>
        <v>HT-BT-25-037</v>
      </c>
      <c r="B40" s="2689">
        <v>46188</v>
      </c>
      <c r="C40" s="2698" t="s">
        <v>111</v>
      </c>
      <c r="D40" s="2699" t="s">
        <v>226</v>
      </c>
      <c r="E40" s="2700" t="str">
        <f>IF(D40="","", IFERROR(INDEX(Catalogos!$W$4:$W$100, MATCH(D40, Catalogos!$V$4:$V$100, 0)), ""))</f>
        <v>RT-04</v>
      </c>
      <c r="F40" s="2701">
        <f>IF(D40="","", IFERROR(INDEX(Catalogos!$Y$4:$Y$100, MATCH(D40, Catalogos!$V$4:$V$100, 0)), ""))</f>
        <v>0</v>
      </c>
      <c r="G40" s="2702">
        <v>7</v>
      </c>
      <c r="H40" s="2703"/>
      <c r="I40">
        <f>IF(E40="","", G40 * IFERROR(INDEX(Maquinaria_Inventario!$K$2:$K$100, MATCH(E40, Maquinaria_Inventario!$L$2:$L$100, 0)), 0))</f>
        <v>0</v>
      </c>
      <c r="J40">
        <f t="shared" si="0"/>
        <v>25</v>
      </c>
    </row>
    <row r="41" spans="1:10">
      <c r="A41" s="2704" t="str">
        <f>IF(D41="","", "HT-" &amp; IFERROR(VLOOKUP(C41, Catalogos!$Z$4:$AA$20, 2, FALSE), "FOL") &amp; "-" &amp; IF(B41="","00", WEEKNUM(B41,2)) &amp; "-" &amp; TEXT(ROW(A38),"000"))</f>
        <v>HT-BT-25-038</v>
      </c>
      <c r="B41" s="2689">
        <v>46188</v>
      </c>
      <c r="C41" s="2705" t="s">
        <v>111</v>
      </c>
      <c r="D41" s="2706" t="s">
        <v>250</v>
      </c>
      <c r="E41" s="2707" t="str">
        <f>IF(D41="","", IFERROR(INDEX(Catalogos!$W$4:$W$100, MATCH(D41, Catalogos!$V$4:$V$100, 0)), ""))</f>
        <v>HB-01</v>
      </c>
      <c r="F41" s="2708">
        <f>IF(D41="","", IFERROR(INDEX(Catalogos!$Y$4:$Y$100, MATCH(D41, Catalogos!$V$4:$V$100, 0)), ""))</f>
        <v>0</v>
      </c>
      <c r="G41" s="2709">
        <v>4</v>
      </c>
      <c r="H41" s="2710"/>
      <c r="I41">
        <f>IF(E41="","", G41 * IFERROR(INDEX(Maquinaria_Inventario!$K$2:$K$100, MATCH(E41, Maquinaria_Inventario!$L$2:$L$100, 0)), 0))</f>
        <v>0</v>
      </c>
      <c r="J41">
        <f t="shared" si="0"/>
        <v>25</v>
      </c>
    </row>
    <row r="42" spans="1:10">
      <c r="A42" s="2712" t="str">
        <f>IF(D42="","", "HT-" &amp; IFERROR(VLOOKUP(C42, Catalogos!$Z$4:$AA$20, 2, FALSE), "FOL") &amp; "-" &amp; IF(B42="","00", WEEKNUM(B42,2)) &amp; "-" &amp; TEXT(ROW(A39),"000"))</f>
        <v>HT-BT-25-039</v>
      </c>
      <c r="B42" s="2711">
        <v>46189</v>
      </c>
      <c r="C42" s="2713" t="s">
        <v>111</v>
      </c>
      <c r="D42" s="2714" t="s">
        <v>214</v>
      </c>
      <c r="E42" s="2715" t="str">
        <f>IF(D42="","", IFERROR(INDEX(Catalogos!$W$4:$W$100, MATCH(D42, Catalogos!$V$4:$V$100, 0)), ""))</f>
        <v>PR-01</v>
      </c>
      <c r="F42" s="2716">
        <f>IF(D42="","", IFERROR(INDEX(Catalogos!$Y$4:$Y$100, MATCH(D42, Catalogos!$V$4:$V$100, 0)), ""))</f>
        <v>0</v>
      </c>
      <c r="G42" s="2717">
        <v>4</v>
      </c>
      <c r="H42" s="2718"/>
      <c r="I42">
        <f>IF(E42="","", G42 * IFERROR(INDEX(Maquinaria_Inventario!$K$2:$K$100, MATCH(E42, Maquinaria_Inventario!$L$2:$L$100, 0)), 0))</f>
        <v>0</v>
      </c>
      <c r="J42">
        <f t="shared" si="0"/>
        <v>25</v>
      </c>
    </row>
    <row r="43" spans="1:10">
      <c r="A43" s="2719" t="str">
        <f>IF(D43="","", "HT-" &amp; IFERROR(VLOOKUP(C43, Catalogos!$Z$4:$AA$20, 2, FALSE), "FOL") &amp; "-" &amp; IF(B43="","00", WEEKNUM(B43,2)) &amp; "-" &amp; TEXT(ROW(A40),"000"))</f>
        <v>HT-BT-25-040</v>
      </c>
      <c r="B43" s="2711">
        <v>46189</v>
      </c>
      <c r="C43" s="2720" t="s">
        <v>111</v>
      </c>
      <c r="D43" s="2721" t="s">
        <v>219</v>
      </c>
      <c r="E43" s="2722" t="str">
        <f>IF(D43="","", IFERROR(INDEX(Catalogos!$W$4:$W$100, MATCH(D43, Catalogos!$V$4:$V$100, 0)), ""))</f>
        <v>DR-01</v>
      </c>
      <c r="F43" s="2723" t="str">
        <f>IF(D43="","", IFERROR(INDEX(Catalogos!$Y$4:$Y$100, MATCH(D43, Catalogos!$V$4:$V$100, 0)), ""))</f>
        <v>POR ASIGNAR</v>
      </c>
      <c r="G43" s="2724">
        <v>2</v>
      </c>
      <c r="H43" s="2725"/>
      <c r="I43">
        <f>IF(E43="","", G43 * IFERROR(INDEX(Maquinaria_Inventario!$K$2:$K$100, MATCH(E43, Maquinaria_Inventario!$L$2:$L$100, 0)), 0))</f>
        <v>0</v>
      </c>
      <c r="J43">
        <f t="shared" si="0"/>
        <v>25</v>
      </c>
    </row>
    <row r="44" spans="1:10">
      <c r="A44" s="2726" t="str">
        <f>IF(D44="","", "HT-" &amp; IFERROR(VLOOKUP(C44, Catalogos!$Z$4:$AA$20, 2, FALSE), "FOL") &amp; "-" &amp; IF(B44="","00", WEEKNUM(B44,2)) &amp; "-" &amp; TEXT(ROW(A41),"000"))</f>
        <v>HT-BT-25-041</v>
      </c>
      <c r="B44" s="2711">
        <v>46189</v>
      </c>
      <c r="C44" s="2727" t="s">
        <v>111</v>
      </c>
      <c r="D44" s="2728" t="s">
        <v>250</v>
      </c>
      <c r="E44" s="2729" t="str">
        <f>IF(D44="","", IFERROR(INDEX(Catalogos!$W$4:$W$100, MATCH(D44, Catalogos!$V$4:$V$100, 0)), ""))</f>
        <v>HB-01</v>
      </c>
      <c r="F44" s="2730">
        <f>IF(D44="","", IFERROR(INDEX(Catalogos!$Y$4:$Y$100, MATCH(D44, Catalogos!$V$4:$V$100, 0)), ""))</f>
        <v>0</v>
      </c>
      <c r="G44" s="2731">
        <v>4</v>
      </c>
      <c r="H44" s="2732"/>
      <c r="I44">
        <f>IF(E44="","", G44 * IFERROR(INDEX(Maquinaria_Inventario!$K$2:$K$100, MATCH(E44, Maquinaria_Inventario!$L$2:$L$100, 0)), 0))</f>
        <v>0</v>
      </c>
      <c r="J44">
        <f t="shared" si="0"/>
        <v>25</v>
      </c>
    </row>
    <row r="45" spans="1:10">
      <c r="A45" s="2733" t="str">
        <f>IF(D45="","", "HT-" &amp; IFERROR(VLOOKUP(C45, Catalogos!$Z$4:$AA$20, 2, FALSE), "FOL") &amp; "-" &amp; IF(B45="","00", WEEKNUM(B45,2)) &amp; "-" &amp; TEXT(ROW(A42),"000"))</f>
        <v>HT-BT-25-042</v>
      </c>
      <c r="B45" s="2711">
        <v>46189</v>
      </c>
      <c r="C45" s="2734" t="s">
        <v>111</v>
      </c>
      <c r="D45" s="2735" t="s">
        <v>209</v>
      </c>
      <c r="E45" s="2736" t="str">
        <f>IF(D45="","", IFERROR(INDEX(Catalogos!$W$4:$W$100, MATCH(D45, Catalogos!$V$4:$V$100, 0)), ""))</f>
        <v>RT-03</v>
      </c>
      <c r="F45" s="2737">
        <f>IF(D45="","", IFERROR(INDEX(Catalogos!$Y$4:$Y$100, MATCH(D45, Catalogos!$V$4:$V$100, 0)), ""))</f>
        <v>0</v>
      </c>
      <c r="G45" s="2738">
        <v>7</v>
      </c>
      <c r="H45" s="2739"/>
      <c r="I45">
        <f>IF(E45="","", G45 * IFERROR(INDEX(Maquinaria_Inventario!$K$2:$K$100, MATCH(E45, Maquinaria_Inventario!$L$2:$L$100, 0)), 0))</f>
        <v>0</v>
      </c>
      <c r="J45">
        <f t="shared" si="0"/>
        <v>25</v>
      </c>
    </row>
    <row r="46" spans="1:10">
      <c r="A46" s="2740" t="str">
        <f>IF(D46="","", "HT-" &amp; IFERROR(VLOOKUP(C46, Catalogos!$Z$4:$AA$20, 2, FALSE), "FOL") &amp; "-" &amp; IF(B46="","00", WEEKNUM(B46,2)) &amp; "-" &amp; TEXT(ROW(A43),"000"))</f>
        <v>HT-BT-25-043</v>
      </c>
      <c r="B46" s="2711">
        <v>46189</v>
      </c>
      <c r="C46" s="2741" t="s">
        <v>111</v>
      </c>
      <c r="D46" s="2742" t="s">
        <v>226</v>
      </c>
      <c r="E46" s="2743" t="str">
        <f>IF(D46="","", IFERROR(INDEX(Catalogos!$W$4:$W$100, MATCH(D46, Catalogos!$V$4:$V$100, 0)), ""))</f>
        <v>RT-04</v>
      </c>
      <c r="F46" s="2744">
        <f>IF(D46="","", IFERROR(INDEX(Catalogos!$Y$4:$Y$100, MATCH(D46, Catalogos!$V$4:$V$100, 0)), ""))</f>
        <v>0</v>
      </c>
      <c r="G46" s="2745">
        <v>7</v>
      </c>
      <c r="H46" s="2746"/>
      <c r="I46">
        <f>IF(E46="","", G46 * IFERROR(INDEX(Maquinaria_Inventario!$K$2:$K$100, MATCH(E46, Maquinaria_Inventario!$L$2:$L$100, 0)), 0))</f>
        <v>0</v>
      </c>
      <c r="J46">
        <f t="shared" si="0"/>
        <v>25</v>
      </c>
    </row>
    <row r="47" spans="1:10">
      <c r="A47" s="2748" t="str">
        <f>IF(D47="","", "HT-" &amp; IFERROR(VLOOKUP(C47, Catalogos!$Z$4:$AA$20, 2, FALSE), "FOL") &amp; "-" &amp; IF(B47="","00", WEEKNUM(B47,2)) &amp; "-" &amp; TEXT(ROW(A44),"000"))</f>
        <v>HT-BT-25-044</v>
      </c>
      <c r="B47" s="2747">
        <v>46190</v>
      </c>
      <c r="C47" s="2749" t="s">
        <v>111</v>
      </c>
      <c r="D47" s="2750" t="s">
        <v>250</v>
      </c>
      <c r="E47" s="2751" t="str">
        <f>IF(D47="","", IFERROR(INDEX(Catalogos!$W$4:$W$100, MATCH(D47, Catalogos!$V$4:$V$100, 0)), ""))</f>
        <v>HB-01</v>
      </c>
      <c r="F47" s="2752">
        <f>IF(D47="","", IFERROR(INDEX(Catalogos!$Y$4:$Y$100, MATCH(D47, Catalogos!$V$4:$V$100, 0)), ""))</f>
        <v>0</v>
      </c>
      <c r="G47" s="2753">
        <v>4</v>
      </c>
      <c r="H47" s="2754"/>
      <c r="I47">
        <f>IF(E47="","", G47 * IFERROR(INDEX(Maquinaria_Inventario!$K$2:$K$100, MATCH(E47, Maquinaria_Inventario!$L$2:$L$100, 0)), 0))</f>
        <v>0</v>
      </c>
      <c r="J47">
        <f t="shared" si="0"/>
        <v>25</v>
      </c>
    </row>
    <row r="48" spans="1:10">
      <c r="A48" s="2755" t="str">
        <f>IF(D48="","", "HT-" &amp; IFERROR(VLOOKUP(C48, Catalogos!$Z$4:$AA$20, 2, FALSE), "FOL") &amp; "-" &amp; IF(B48="","00", WEEKNUM(B48,2)) &amp; "-" &amp; TEXT(ROW(A45),"000"))</f>
        <v>HT-BT-25-045</v>
      </c>
      <c r="B48" s="2747">
        <v>46190</v>
      </c>
      <c r="C48" s="2756" t="s">
        <v>111</v>
      </c>
      <c r="D48" s="2757" t="s">
        <v>209</v>
      </c>
      <c r="E48" s="2758" t="str">
        <f>IF(D48="","", IFERROR(INDEX(Catalogos!$W$4:$W$100, MATCH(D48, Catalogos!$V$4:$V$100, 0)), ""))</f>
        <v>RT-03</v>
      </c>
      <c r="F48" s="2759">
        <f>IF(D48="","", IFERROR(INDEX(Catalogos!$Y$4:$Y$100, MATCH(D48, Catalogos!$V$4:$V$100, 0)), ""))</f>
        <v>0</v>
      </c>
      <c r="G48" s="2760">
        <v>7</v>
      </c>
      <c r="H48" s="2761"/>
      <c r="I48">
        <f>IF(E48="","", G48 * IFERROR(INDEX(Maquinaria_Inventario!$K$2:$K$100, MATCH(E48, Maquinaria_Inventario!$L$2:$L$100, 0)), 0))</f>
        <v>0</v>
      </c>
      <c r="J48">
        <f t="shared" si="0"/>
        <v>25</v>
      </c>
    </row>
    <row r="49" spans="1:10">
      <c r="A49" s="2762" t="str">
        <f>IF(D49="","", "HT-" &amp; IFERROR(VLOOKUP(C49, Catalogos!$Z$4:$AA$20, 2, FALSE), "FOL") &amp; "-" &amp; IF(B49="","00", WEEKNUM(B49,2)) &amp; "-" &amp; TEXT(ROW(A46),"000"))</f>
        <v>HT-BT-25-046</v>
      </c>
      <c r="B49" s="2747">
        <v>46190</v>
      </c>
      <c r="C49" s="2763" t="s">
        <v>111</v>
      </c>
      <c r="D49" s="2764" t="s">
        <v>209</v>
      </c>
      <c r="E49" s="2765" t="str">
        <f>IF(D49="","", IFERROR(INDEX(Catalogos!$W$4:$W$100, MATCH(D49, Catalogos!$V$4:$V$100, 0)), ""))</f>
        <v>RT-03</v>
      </c>
      <c r="F49" s="2766">
        <f>IF(D49="","", IFERROR(INDEX(Catalogos!$Y$4:$Y$100, MATCH(D49, Catalogos!$V$4:$V$100, 0)), ""))</f>
        <v>0</v>
      </c>
      <c r="G49" s="2767">
        <v>7</v>
      </c>
      <c r="H49" s="2768"/>
      <c r="I49">
        <f>IF(E49="","", G49 * IFERROR(INDEX(Maquinaria_Inventario!$K$2:$K$100, MATCH(E49, Maquinaria_Inventario!$L$2:$L$100, 0)), 0))</f>
        <v>0</v>
      </c>
      <c r="J49">
        <f t="shared" si="0"/>
        <v>25</v>
      </c>
    </row>
    <row r="50" spans="1:10">
      <c r="A50" s="2770" t="str">
        <f>IF(D50="","", "HT-" &amp; IFERROR(VLOOKUP(C50, Catalogos!$Z$4:$AA$20, 2, FALSE), "FOL") &amp; "-" &amp; IF(B50="","00", WEEKNUM(B50,2)) &amp; "-" &amp; TEXT(ROW(A47),"000"))</f>
        <v>HT-BT-25-047</v>
      </c>
      <c r="B50" s="2769">
        <v>46191</v>
      </c>
      <c r="C50" s="2771" t="s">
        <v>111</v>
      </c>
      <c r="D50" s="2714" t="s">
        <v>214</v>
      </c>
      <c r="E50" s="2715" t="str">
        <f>IF(D50="","", IFERROR(INDEX(Catalogos!$W$4:$W$100, MATCH(D50, Catalogos!$V$4:$V$100, 0)), ""))</f>
        <v>PR-01</v>
      </c>
      <c r="F50" s="2716">
        <f>IF(D50="","", IFERROR(INDEX(Catalogos!$Y$4:$Y$100, MATCH(D50, Catalogos!$V$4:$V$100, 0)), ""))</f>
        <v>0</v>
      </c>
      <c r="G50" s="2717">
        <v>4</v>
      </c>
      <c r="H50" s="2772"/>
      <c r="I50">
        <f>IF(E50="","", G50 * IFERROR(INDEX(Maquinaria_Inventario!$K$2:$K$100, MATCH(E50, Maquinaria_Inventario!$L$2:$L$100, 0)), 0))</f>
        <v>0</v>
      </c>
      <c r="J50">
        <f t="shared" si="0"/>
        <v>25</v>
      </c>
    </row>
    <row r="51" spans="1:10">
      <c r="A51" s="2773" t="str">
        <f>IF(D51="","", "HT-" &amp; IFERROR(VLOOKUP(C51, Catalogos!$Z$4:$AA$20, 2, FALSE), "FOL") &amp; "-" &amp; IF(B51="","00", WEEKNUM(B51,2)) &amp; "-" &amp; TEXT(ROW(A48),"000"))</f>
        <v>HT-BT-25-048</v>
      </c>
      <c r="B51" s="2769">
        <v>46191</v>
      </c>
      <c r="C51" s="2749" t="s">
        <v>111</v>
      </c>
      <c r="D51" s="2721" t="s">
        <v>219</v>
      </c>
      <c r="E51" s="2722" t="str">
        <f>IF(D51="","", IFERROR(INDEX(Catalogos!$W$4:$W$100, MATCH(D51, Catalogos!$V$4:$V$100, 0)), ""))</f>
        <v>DR-01</v>
      </c>
      <c r="F51" s="2723" t="str">
        <f>IF(D51="","", IFERROR(INDEX(Catalogos!$Y$4:$Y$100, MATCH(D51, Catalogos!$V$4:$V$100, 0)), ""))</f>
        <v>POR ASIGNAR</v>
      </c>
      <c r="G51" s="2724">
        <v>2</v>
      </c>
      <c r="H51" s="2774"/>
      <c r="I51">
        <f>IF(E51="","", G51 * IFERROR(INDEX(Maquinaria_Inventario!$K$2:$K$100, MATCH(E51, Maquinaria_Inventario!$L$2:$L$100, 0)), 0))</f>
        <v>0</v>
      </c>
      <c r="J51">
        <f t="shared" si="0"/>
        <v>25</v>
      </c>
    </row>
    <row r="52" spans="1:10">
      <c r="A52" s="2775" t="str">
        <f>IF(D52="","", "HT-" &amp; IFERROR(VLOOKUP(C52, Catalogos!$Z$4:$AA$20, 2, FALSE), "FOL") &amp; "-" &amp; IF(B52="","00", WEEKNUM(B52,2)) &amp; "-" &amp; TEXT(ROW(A49),"000"))</f>
        <v>HT-BT-25-049</v>
      </c>
      <c r="B52" s="2769">
        <v>46191</v>
      </c>
      <c r="C52" s="2756" t="s">
        <v>111</v>
      </c>
      <c r="D52" s="2728" t="s">
        <v>250</v>
      </c>
      <c r="E52" s="2729" t="str">
        <f>IF(D52="","", IFERROR(INDEX(Catalogos!$W$4:$W$100, MATCH(D52, Catalogos!$V$4:$V$100, 0)), ""))</f>
        <v>HB-01</v>
      </c>
      <c r="F52" s="2730">
        <f>IF(D52="","", IFERROR(INDEX(Catalogos!$Y$4:$Y$100, MATCH(D52, Catalogos!$V$4:$V$100, 0)), ""))</f>
        <v>0</v>
      </c>
      <c r="G52" s="2731">
        <v>4</v>
      </c>
      <c r="H52" s="2776"/>
      <c r="I52">
        <f>IF(E52="","", G52 * IFERROR(INDEX(Maquinaria_Inventario!$K$2:$K$100, MATCH(E52, Maquinaria_Inventario!$L$2:$L$100, 0)), 0))</f>
        <v>0</v>
      </c>
      <c r="J52">
        <f t="shared" si="0"/>
        <v>25</v>
      </c>
    </row>
    <row r="53" spans="1:10">
      <c r="A53" s="2777" t="str">
        <f>IF(D53="","", "HT-" &amp; IFERROR(VLOOKUP(C53, Catalogos!$Z$4:$AA$20, 2, FALSE), "FOL") &amp; "-" &amp; IF(B53="","00", WEEKNUM(B53,2)) &amp; "-" &amp; TEXT(ROW(A50),"000"))</f>
        <v>HT-BT-25-050</v>
      </c>
      <c r="B53" s="2769">
        <v>46191</v>
      </c>
      <c r="C53" s="2763" t="s">
        <v>111</v>
      </c>
      <c r="D53" s="2735" t="s">
        <v>209</v>
      </c>
      <c r="E53" s="2736" t="str">
        <f>IF(D53="","", IFERROR(INDEX(Catalogos!$W$4:$W$100, MATCH(D53, Catalogos!$V$4:$V$100, 0)), ""))</f>
        <v>RT-03</v>
      </c>
      <c r="F53" s="2737">
        <f>IF(D53="","", IFERROR(INDEX(Catalogos!$Y$4:$Y$100, MATCH(D53, Catalogos!$V$4:$V$100, 0)), ""))</f>
        <v>0</v>
      </c>
      <c r="G53" s="2738">
        <v>7</v>
      </c>
      <c r="H53" s="2778"/>
      <c r="I53">
        <f>IF(E53="","", G53 * IFERROR(INDEX(Maquinaria_Inventario!$K$2:$K$100, MATCH(E53, Maquinaria_Inventario!$L$2:$L$100, 0)), 0))</f>
        <v>0</v>
      </c>
      <c r="J53">
        <f t="shared" si="0"/>
        <v>25</v>
      </c>
    </row>
    <row r="54" spans="1:10">
      <c r="A54" s="2779" t="str">
        <f>IF(D54="","", "HT-" &amp; IFERROR(VLOOKUP(C54, Catalogos!$Z$4:$AA$20, 2, FALSE), "FOL") &amp; "-" &amp; IF(B54="","00", WEEKNUM(B54,2)) &amp; "-" &amp; TEXT(ROW(A51),"000"))</f>
        <v>HT-BT-25-051</v>
      </c>
      <c r="B54" s="2769">
        <v>46191</v>
      </c>
      <c r="C54" s="2771" t="s">
        <v>111</v>
      </c>
      <c r="D54" s="2742" t="s">
        <v>226</v>
      </c>
      <c r="E54" s="2743" t="str">
        <f>IF(D54="","", IFERROR(INDEX(Catalogos!$W$4:$W$100, MATCH(D54, Catalogos!$V$4:$V$100, 0)), ""))</f>
        <v>RT-04</v>
      </c>
      <c r="F54" s="2744">
        <f>IF(D54="","", IFERROR(INDEX(Catalogos!$Y$4:$Y$100, MATCH(D54, Catalogos!$V$4:$V$100, 0)), ""))</f>
        <v>0</v>
      </c>
      <c r="G54" s="2745">
        <v>7</v>
      </c>
      <c r="H54" s="2780"/>
      <c r="I54">
        <f>IF(E54="","", G54 * IFERROR(INDEX(Maquinaria_Inventario!$K$2:$K$100, MATCH(E54, Maquinaria_Inventario!$L$2:$L$100, 0)), 0))</f>
        <v>0</v>
      </c>
      <c r="J54">
        <f t="shared" si="0"/>
        <v>25</v>
      </c>
    </row>
    <row r="55" spans="1:10">
      <c r="A55" s="2781" t="str">
        <f>IF(D55="","", "HT-" &amp; IFERROR(VLOOKUP(C55, Catalogos!$Z$4:$AA$20, 2, FALSE), "FOL") &amp; "-" &amp; IF(B55="","00", WEEKNUM(B55,2)) &amp; "-" &amp; TEXT(ROW(A52),"000"))</f>
        <v>HT-BT-25-052</v>
      </c>
      <c r="B55" s="3806">
        <v>46192</v>
      </c>
      <c r="C55" s="2749" t="s">
        <v>111</v>
      </c>
      <c r="D55" s="2750" t="s">
        <v>250</v>
      </c>
      <c r="E55" s="2751" t="str">
        <f>IF(D55="","", IFERROR(INDEX(Catalogos!$W$4:$W$100, MATCH(D55, Catalogos!$V$4:$V$100, 0)), ""))</f>
        <v>HB-01</v>
      </c>
      <c r="F55" s="2752">
        <f>IF(D55="","", IFERROR(INDEX(Catalogos!$Y$4:$Y$100, MATCH(D55, Catalogos!$V$4:$V$100, 0)), ""))</f>
        <v>0</v>
      </c>
      <c r="G55" s="2753">
        <v>4</v>
      </c>
      <c r="H55" s="2782"/>
      <c r="I55">
        <f>IF(E55="","", G55 * IFERROR(INDEX(Maquinaria_Inventario!$K$2:$K$100, MATCH(E55, Maquinaria_Inventario!$L$2:$L$100, 0)), 0))</f>
        <v>0</v>
      </c>
      <c r="J55">
        <f t="shared" si="0"/>
        <v>25</v>
      </c>
    </row>
    <row r="56" spans="1:10">
      <c r="A56" s="2783" t="str">
        <f>IF(D56="","", "HT-" &amp; IFERROR(VLOOKUP(C56, Catalogos!$Z$4:$AA$20, 2, FALSE), "FOL") &amp; "-" &amp; IF(B56="","00", WEEKNUM(B56,2)) &amp; "-" &amp; TEXT(ROW(A53),"000"))</f>
        <v>HT-BT-25-053</v>
      </c>
      <c r="B56" s="3806">
        <v>46192</v>
      </c>
      <c r="C56" s="2763" t="s">
        <v>111</v>
      </c>
      <c r="D56" s="2757" t="s">
        <v>209</v>
      </c>
      <c r="E56" s="2758" t="str">
        <f>IF(D56="","", IFERROR(INDEX(Catalogos!$W$4:$W$100, MATCH(D56, Catalogos!$V$4:$V$100, 0)), ""))</f>
        <v>RT-03</v>
      </c>
      <c r="F56" s="2759">
        <f>IF(D56="","", IFERROR(INDEX(Catalogos!$Y$4:$Y$100, MATCH(D56, Catalogos!$V$4:$V$100, 0)), ""))</f>
        <v>0</v>
      </c>
      <c r="G56" s="2760">
        <v>7</v>
      </c>
      <c r="H56" s="2784"/>
      <c r="I56">
        <f>IF(E56="","", G56 * IFERROR(INDEX(Maquinaria_Inventario!$K$2:$K$100, MATCH(E56, Maquinaria_Inventario!$L$2:$L$100, 0)), 0))</f>
        <v>0</v>
      </c>
      <c r="J56">
        <f t="shared" si="0"/>
        <v>25</v>
      </c>
    </row>
    <row r="57" spans="1:10">
      <c r="A57" s="2785" t="str">
        <f>IF(D57="","", "HT-" &amp; IFERROR(VLOOKUP(C57, Catalogos!$Z$4:$AA$20, 2, FALSE), "FOL") &amp; "-" &amp; IF(B57="","00", WEEKNUM(B57,2)) &amp; "-" &amp; TEXT(ROW(A54),"000"))</f>
        <v>HT-BT-25-054</v>
      </c>
      <c r="B57" s="3806">
        <v>46192</v>
      </c>
      <c r="C57" s="2771" t="s">
        <v>111</v>
      </c>
      <c r="D57" s="2764" t="s">
        <v>209</v>
      </c>
      <c r="E57" s="2765" t="str">
        <f>IF(D57="","", IFERROR(INDEX(Catalogos!$W$4:$W$100, MATCH(D57, Catalogos!$V$4:$V$100, 0)), ""))</f>
        <v>RT-03</v>
      </c>
      <c r="F57" s="2766">
        <f>IF(D57="","", IFERROR(INDEX(Catalogos!$Y$4:$Y$100, MATCH(D57, Catalogos!$V$4:$V$100, 0)), ""))</f>
        <v>0</v>
      </c>
      <c r="G57" s="2767">
        <v>7</v>
      </c>
      <c r="H57" s="2786"/>
      <c r="I57">
        <f>IF(E57="","", G57 * IFERROR(INDEX(Maquinaria_Inventario!$K$2:$K$100, MATCH(E57, Maquinaria_Inventario!$L$2:$L$100, 0)), 0))</f>
        <v>0</v>
      </c>
      <c r="J57">
        <f t="shared" si="0"/>
        <v>25</v>
      </c>
    </row>
    <row r="58" spans="1:10">
      <c r="A58" s="2788" t="str">
        <f>IF(D58="","", "HT-" &amp; IFERROR(VLOOKUP(C58, Catalogos!$Z$4:$AA$20, 2, FALSE), "FOL") &amp; "-" &amp; IF(B58="","00", WEEKNUM(B58,2)) &amp; "-" &amp; TEXT(ROW(A55),"000"))</f>
        <v>HT-LT-25-055</v>
      </c>
      <c r="B58" s="2787">
        <v>46188</v>
      </c>
      <c r="C58" s="2789" t="s">
        <v>2</v>
      </c>
      <c r="D58" s="2790" t="s">
        <v>214</v>
      </c>
      <c r="E58" s="2791" t="str">
        <f>IF(D58="","", IFERROR(INDEX(Catalogos!$W$4:$W$100, MATCH(D58, Catalogos!$V$4:$V$100, 0)), ""))</f>
        <v>PR-01</v>
      </c>
      <c r="F58" s="2792">
        <f>IF(D58="","", IFERROR(INDEX(Catalogos!$Y$4:$Y$100, MATCH(D58, Catalogos!$V$4:$V$100, 0)), ""))</f>
        <v>0</v>
      </c>
      <c r="G58" s="2793">
        <v>4</v>
      </c>
      <c r="H58" s="2794"/>
      <c r="I58">
        <f>IF(E58="","", G58 * IFERROR(INDEX(Maquinaria_Inventario!$K$2:$K$100, MATCH(E58, Maquinaria_Inventario!$L$2:$L$100, 0)), 0))</f>
        <v>0</v>
      </c>
      <c r="J58">
        <f t="shared" si="0"/>
        <v>25</v>
      </c>
    </row>
    <row r="59" spans="1:10">
      <c r="A59" s="2795" t="str">
        <f>IF(D59="","", "HT-" &amp; IFERROR(VLOOKUP(C59, Catalogos!$Z$4:$AA$20, 2, FALSE), "FOL") &amp; "-" &amp; IF(B59="","00", WEEKNUM(B59,2)) &amp; "-" &amp; TEXT(ROW(A56),"000"))</f>
        <v>HT-LT-25-056</v>
      </c>
      <c r="B59" s="2787">
        <v>46188</v>
      </c>
      <c r="C59" s="2796" t="s">
        <v>2</v>
      </c>
      <c r="D59" s="2797" t="s">
        <v>227</v>
      </c>
      <c r="E59" s="2798" t="str">
        <f>IF(D59="","", IFERROR(INDEX(Catalogos!$W$4:$W$100, MATCH(D59, Catalogos!$V$4:$V$100, 0)), ""))</f>
        <v>BR-05</v>
      </c>
      <c r="F59" s="2799">
        <f>IF(D59="","", IFERROR(INDEX(Catalogos!$Y$4:$Y$100, MATCH(D59, Catalogos!$V$4:$V$100, 0)), ""))</f>
        <v>0</v>
      </c>
      <c r="G59" s="2800">
        <v>4</v>
      </c>
      <c r="H59" s="2801"/>
      <c r="I59">
        <f>IF(E59="","", G59 * IFERROR(INDEX(Maquinaria_Inventario!$K$2:$K$100, MATCH(E59, Maquinaria_Inventario!$L$2:$L$100, 0)), 0))</f>
        <v>0</v>
      </c>
      <c r="J59">
        <f t="shared" si="0"/>
        <v>25</v>
      </c>
    </row>
    <row r="60" spans="1:10">
      <c r="A60" s="2802" t="str">
        <f>IF(D60="","", "HT-" &amp; IFERROR(VLOOKUP(C60, Catalogos!$Z$4:$AA$20, 2, FALSE), "FOL") &amp; "-" &amp; IF(B60="","00", WEEKNUM(B60,2)) &amp; "-" &amp; TEXT(ROW(A57),"000"))</f>
        <v>HT-LT-25-057</v>
      </c>
      <c r="B60" s="2787">
        <v>46188</v>
      </c>
      <c r="C60" s="2803" t="s">
        <v>2</v>
      </c>
      <c r="D60" s="2804" t="s">
        <v>209</v>
      </c>
      <c r="E60" s="2805" t="str">
        <f>IF(D60="","", IFERROR(INDEX(Catalogos!$W$4:$W$100, MATCH(D60, Catalogos!$V$4:$V$100, 0)), ""))</f>
        <v>RT-03</v>
      </c>
      <c r="F60" s="2806">
        <f>IF(D60="","", IFERROR(INDEX(Catalogos!$Y$4:$Y$100, MATCH(D60, Catalogos!$V$4:$V$100, 0)), ""))</f>
        <v>0</v>
      </c>
      <c r="G60" s="2807">
        <v>4</v>
      </c>
      <c r="H60" s="2808"/>
      <c r="I60">
        <f>IF(E60="","", G60 * IFERROR(INDEX(Maquinaria_Inventario!$K$2:$K$100, MATCH(E60, Maquinaria_Inventario!$L$2:$L$100, 0)), 0))</f>
        <v>0</v>
      </c>
      <c r="J60">
        <f t="shared" si="0"/>
        <v>25</v>
      </c>
    </row>
    <row r="61" spans="1:10">
      <c r="A61" s="2809" t="str">
        <f>IF(D61="","", "HT-" &amp; IFERROR(VLOOKUP(C61, Catalogos!$Z$4:$AA$20, 2, FALSE), "FOL") &amp; "-" &amp; IF(B61="","00", WEEKNUM(B61,2)) &amp; "-" &amp; TEXT(ROW(A58),"000"))</f>
        <v>HT-LT-25-058</v>
      </c>
      <c r="B61" s="2787">
        <v>46188</v>
      </c>
      <c r="C61" s="2810" t="s">
        <v>2</v>
      </c>
      <c r="D61" s="2811" t="s">
        <v>367</v>
      </c>
      <c r="E61" s="2812" t="str">
        <f>IF(D61="","", IFERROR(INDEX(Catalogos!$W$4:$W$100, MATCH(D61, Catalogos!$V$4:$V$100, 0)), ""))</f>
        <v>VG-02</v>
      </c>
      <c r="F61" s="2813">
        <f>IF(D61="","", IFERROR(INDEX(Catalogos!$Y$4:$Y$100, MATCH(D61, Catalogos!$V$4:$V$100, 0)), ""))</f>
        <v>0</v>
      </c>
      <c r="G61" s="2814">
        <v>5</v>
      </c>
      <c r="H61" s="2815"/>
      <c r="I61">
        <f>IF(E61="","", G61 * IFERROR(INDEX(Maquinaria_Inventario!$K$2:$K$100, MATCH(E61, Maquinaria_Inventario!$L$2:$L$100, 0)), 0))</f>
        <v>0</v>
      </c>
      <c r="J61">
        <f t="shared" si="0"/>
        <v>25</v>
      </c>
    </row>
    <row r="62" spans="1:10">
      <c r="A62" s="2816" t="str">
        <f>IF(D62="","", "HT-" &amp; IFERROR(VLOOKUP(C62, Catalogos!$Z$4:$AA$20, 2, FALSE), "FOL") &amp; "-" &amp; IF(B62="","00", WEEKNUM(B62,2)) &amp; "-" &amp; TEXT(ROW(A59),"000"))</f>
        <v>HT-LT-25-059</v>
      </c>
      <c r="B62" s="2787">
        <v>46188</v>
      </c>
      <c r="C62" s="2817" t="s">
        <v>2</v>
      </c>
      <c r="D62" s="2818" t="s">
        <v>219</v>
      </c>
      <c r="E62" s="2819" t="str">
        <f>IF(D62="","", IFERROR(INDEX(Catalogos!$W$4:$W$100, MATCH(D62, Catalogos!$V$4:$V$100, 0)), ""))</f>
        <v>DR-01</v>
      </c>
      <c r="F62" s="2820" t="str">
        <f>IF(D62="","", IFERROR(INDEX(Catalogos!$Y$4:$Y$100, MATCH(D62, Catalogos!$V$4:$V$100, 0)), ""))</f>
        <v>POR ASIGNAR</v>
      </c>
      <c r="G62" s="2821">
        <v>5</v>
      </c>
      <c r="H62" s="2822"/>
      <c r="I62">
        <f>IF(E62="","", G62 * IFERROR(INDEX(Maquinaria_Inventario!$K$2:$K$100, MATCH(E62, Maquinaria_Inventario!$L$2:$L$100, 0)), 0))</f>
        <v>0</v>
      </c>
      <c r="J62">
        <f t="shared" si="0"/>
        <v>25</v>
      </c>
    </row>
    <row r="63" spans="1:10">
      <c r="A63" s="2823" t="str">
        <f>IF(D63="","", "HT-" &amp; IFERROR(VLOOKUP(C63, Catalogos!$Z$4:$AA$20, 2, FALSE), "FOL") &amp; "-" &amp; IF(B63="","00", WEEKNUM(B63,2)) &amp; "-" &amp; TEXT(ROW(A60),"000"))</f>
        <v>HT-LT-25-060</v>
      </c>
      <c r="B63" s="2787">
        <v>46188</v>
      </c>
      <c r="C63" s="2824" t="s">
        <v>2</v>
      </c>
      <c r="D63" s="2825" t="s">
        <v>223</v>
      </c>
      <c r="E63" s="2826" t="str">
        <f>IF(D63="","", IFERROR(INDEX(Catalogos!$W$4:$W$100, MATCH(D63, Catalogos!$V$4:$V$100, 0)), ""))</f>
        <v>NM-01</v>
      </c>
      <c r="F63" s="2827" t="str">
        <f>IF(D63="","", IFERROR(INDEX(Catalogos!$Y$4:$Y$100, MATCH(D63, Catalogos!$V$4:$V$100, 0)), ""))</f>
        <v>Marco Antonio Estrada Arellano</v>
      </c>
      <c r="G63" s="2828">
        <v>4</v>
      </c>
      <c r="H63" s="2829"/>
      <c r="I63">
        <f>IF(E63="","", G63 * IFERROR(INDEX(Maquinaria_Inventario!$K$2:$K$100, MATCH(E63, Maquinaria_Inventario!$L$2:$L$100, 0)), 0))</f>
        <v>0</v>
      </c>
      <c r="J63">
        <f t="shared" si="0"/>
        <v>25</v>
      </c>
    </row>
    <row r="64" spans="1:10">
      <c r="A64" s="2830" t="str">
        <f>IF(D64="","", "HT-" &amp; IFERROR(VLOOKUP(C64, Catalogos!$Z$4:$AA$20, 2, FALSE), "FOL") &amp; "-" &amp; IF(B64="","00", WEEKNUM(B64,2)) &amp; "-" &amp; TEXT(ROW(A61),"000"))</f>
        <v>HT-LT-25-061</v>
      </c>
      <c r="B64" s="2787">
        <v>46188</v>
      </c>
      <c r="C64" s="2831" t="s">
        <v>2</v>
      </c>
      <c r="D64" s="2832" t="s">
        <v>231</v>
      </c>
      <c r="E64" s="2833" t="str">
        <f>IF(D64="","", IFERROR(INDEX(Catalogos!$W$4:$W$100, MATCH(D64, Catalogos!$V$4:$V$100, 0)), ""))</f>
        <v>CI-01</v>
      </c>
      <c r="F64" s="2834">
        <f>IF(D64="","", IFERROR(INDEX(Catalogos!$Y$4:$Y$100, MATCH(D64, Catalogos!$V$4:$V$100, 0)), ""))</f>
        <v>0</v>
      </c>
      <c r="G64" s="2835">
        <v>4</v>
      </c>
      <c r="H64" s="2836"/>
      <c r="I64">
        <f>IF(E64="","", G64 * IFERROR(INDEX(Maquinaria_Inventario!$K$2:$K$100, MATCH(E64, Maquinaria_Inventario!$L$2:$L$100, 0)), 0))</f>
        <v>0</v>
      </c>
      <c r="J64">
        <f t="shared" si="0"/>
        <v>25</v>
      </c>
    </row>
    <row r="65" spans="1:10">
      <c r="A65" s="2837" t="str">
        <f>IF(D65="","", "HT-" &amp; IFERROR(VLOOKUP(C65, Catalogos!$Z$4:$AA$20, 2, FALSE), "FOL") &amp; "-" &amp; IF(B65="","00", WEEKNUM(B65,2)) &amp; "-" &amp; TEXT(ROW(A62),"000"))</f>
        <v>HT-LT-25-062</v>
      </c>
      <c r="B65" s="2787">
        <v>46188</v>
      </c>
      <c r="C65" s="2838" t="s">
        <v>2</v>
      </c>
      <c r="D65" s="2839" t="s">
        <v>378</v>
      </c>
      <c r="E65" s="2840" t="str">
        <f>IF(D65="","", IFERROR(INDEX(Catalogos!$W$4:$W$100, MATCH(D65, Catalogos!$V$4:$V$100, 0)), ""))</f>
        <v>CPR-01</v>
      </c>
      <c r="F65" s="2841" t="str">
        <f>IF(D65="","", IFERROR(INDEX(Catalogos!$Y$4:$Y$100, MATCH(D65, Catalogos!$V$4:$V$100, 0)), ""))</f>
        <v>Eduardo Guadarrama Garcia</v>
      </c>
      <c r="G65" s="2842">
        <v>2</v>
      </c>
      <c r="H65" s="2843"/>
      <c r="I65">
        <f>IF(E65="","", G65 * IFERROR(INDEX(Maquinaria_Inventario!$K$2:$K$100, MATCH(E65, Maquinaria_Inventario!$L$2:$L$100, 0)), 0))</f>
        <v>0</v>
      </c>
      <c r="J65">
        <f t="shared" si="0"/>
        <v>25</v>
      </c>
    </row>
    <row r="66" spans="1:10">
      <c r="A66" s="2844" t="str">
        <f>IF(D66="","", "HT-" &amp; IFERROR(VLOOKUP(C66, Catalogos!$Z$4:$AA$20, 2, FALSE), "FOL") &amp; "-" &amp; IF(B66="","00", WEEKNUM(B66,2)) &amp; "-" &amp; TEXT(ROW(A63),"000"))</f>
        <v>HT-LT-25-063</v>
      </c>
      <c r="B66" s="2787">
        <v>46188</v>
      </c>
      <c r="C66" s="2845" t="s">
        <v>2</v>
      </c>
      <c r="D66" s="2846" t="s">
        <v>383</v>
      </c>
      <c r="E66" s="2847" t="str">
        <f>IF(D66="","", IFERROR(INDEX(Catalogos!$W$4:$W$100, MATCH(D66, Catalogos!$V$4:$V$100, 0)), ""))</f>
        <v>PT-02</v>
      </c>
      <c r="F66" s="2848" t="str">
        <f>IF(D66="","", IFERROR(INDEX(Catalogos!$Y$4:$Y$100, MATCH(D66, Catalogos!$V$4:$V$100, 0)), ""))</f>
        <v>Francisco Gomora Angeles / Elthon Eduardo</v>
      </c>
      <c r="G66" s="2849">
        <v>4</v>
      </c>
      <c r="H66" s="2850"/>
      <c r="I66">
        <f>IF(E66="","", G66 * IFERROR(INDEX(Maquinaria_Inventario!$K$2:$K$100, MATCH(E66, Maquinaria_Inventario!$L$2:$L$100, 0)), 0))</f>
        <v>0</v>
      </c>
      <c r="J66">
        <f t="shared" si="0"/>
        <v>25</v>
      </c>
    </row>
    <row r="67" spans="1:10">
      <c r="A67" s="2851" t="str">
        <f>IF(D67="","", "HT-" &amp; IFERROR(VLOOKUP(C67, Catalogos!$Z$4:$AA$20, 2, FALSE), "FOL") &amp; "-" &amp; IF(B67="","00", WEEKNUM(B67,2)) &amp; "-" &amp; TEXT(ROW(A64),"000"))</f>
        <v>HT-LT-25-064</v>
      </c>
      <c r="B67" s="2787">
        <v>46188</v>
      </c>
      <c r="C67" s="2852" t="s">
        <v>2</v>
      </c>
      <c r="D67" s="2853" t="s">
        <v>235</v>
      </c>
      <c r="E67" s="2854" t="str">
        <f>IF(D67="","", IFERROR(INDEX(Catalogos!$W$4:$W$100, MATCH(D67, Catalogos!$V$4:$V$100, 0)), ""))</f>
        <v>PP-01</v>
      </c>
      <c r="F67" s="2855">
        <f>IF(D67="","", IFERROR(INDEX(Catalogos!$Y$4:$Y$100, MATCH(D67, Catalogos!$V$4:$V$100, 0)), ""))</f>
        <v>0</v>
      </c>
      <c r="G67" s="2856">
        <v>4</v>
      </c>
      <c r="H67" s="2857"/>
      <c r="I67">
        <f>IF(E67="","", G67 * IFERROR(INDEX(Maquinaria_Inventario!$K$2:$K$100, MATCH(E67, Maquinaria_Inventario!$L$2:$L$100, 0)), 0))</f>
        <v>0</v>
      </c>
      <c r="J67">
        <f t="shared" si="0"/>
        <v>25</v>
      </c>
    </row>
    <row r="68" spans="1:10">
      <c r="A68" s="2859" t="str">
        <f>IF(D68="","", "HT-" &amp; IFERROR(VLOOKUP(C68, Catalogos!$Z$4:$AA$20, 2, FALSE), "FOL") &amp; "-" &amp; IF(B68="","00", WEEKNUM(B68,2)) &amp; "-" &amp; TEXT(ROW(A65),"000"))</f>
        <v>HT-LT-25-065</v>
      </c>
      <c r="B68" s="2858">
        <v>46189</v>
      </c>
      <c r="C68" s="2789" t="s">
        <v>2</v>
      </c>
      <c r="D68" s="2790" t="s">
        <v>214</v>
      </c>
      <c r="E68" s="2860" t="str">
        <f>IF(D68="","", IFERROR(INDEX(Catalogos!$W$4:$W$100, MATCH(D68, Catalogos!$V$4:$V$100, 0)), ""))</f>
        <v>PR-01</v>
      </c>
      <c r="F68" s="2861">
        <f>IF(D68="","", IFERROR(INDEX(Catalogos!$Y$4:$Y$100, MATCH(D68, Catalogos!$V$4:$V$100, 0)), ""))</f>
        <v>0</v>
      </c>
      <c r="G68" s="2862">
        <v>4</v>
      </c>
      <c r="H68" s="2863"/>
      <c r="I68">
        <f>IF(E68="","", G68 * IFERROR(INDEX(Maquinaria_Inventario!$K$2:$K$100, MATCH(E68, Maquinaria_Inventario!$L$2:$L$100, 0)), 0))</f>
        <v>0</v>
      </c>
      <c r="J68">
        <f t="shared" ref="J68:J131" si="1">IF(B68="","", WEEKNUM(B68, 2))</f>
        <v>25</v>
      </c>
    </row>
    <row r="69" spans="1:10">
      <c r="A69" s="2864" t="str">
        <f>IF(D69="","", "HT-" &amp; IFERROR(VLOOKUP(C69, Catalogos!$Z$4:$AA$20, 2, FALSE), "FOL") &amp; "-" &amp; IF(B69="","00", WEEKNUM(B69,2)) &amp; "-" &amp; TEXT(ROW(A66),"000"))</f>
        <v>HT-LT-25-066</v>
      </c>
      <c r="B69" s="2858">
        <v>46189</v>
      </c>
      <c r="C69" s="2796" t="s">
        <v>2</v>
      </c>
      <c r="D69" s="2797" t="s">
        <v>227</v>
      </c>
      <c r="E69" s="2865" t="str">
        <f>IF(D69="","", IFERROR(INDEX(Catalogos!$W$4:$W$100, MATCH(D69, Catalogos!$V$4:$V$100, 0)), ""))</f>
        <v>BR-05</v>
      </c>
      <c r="F69" s="2866">
        <f>IF(D69="","", IFERROR(INDEX(Catalogos!$Y$4:$Y$100, MATCH(D69, Catalogos!$V$4:$V$100, 0)), ""))</f>
        <v>0</v>
      </c>
      <c r="G69" s="2867">
        <v>4</v>
      </c>
      <c r="H69" s="2868"/>
      <c r="I69">
        <f>IF(E69="","", G69 * IFERROR(INDEX(Maquinaria_Inventario!$K$2:$K$100, MATCH(E69, Maquinaria_Inventario!$L$2:$L$100, 0)), 0))</f>
        <v>0</v>
      </c>
      <c r="J69">
        <f t="shared" si="1"/>
        <v>25</v>
      </c>
    </row>
    <row r="70" spans="1:10">
      <c r="A70" s="2869" t="str">
        <f>IF(D70="","", "HT-" &amp; IFERROR(VLOOKUP(C70, Catalogos!$Z$4:$AA$20, 2, FALSE), "FOL") &amp; "-" &amp; IF(B70="","00", WEEKNUM(B70,2)) &amp; "-" &amp; TEXT(ROW(A67),"000"))</f>
        <v>HT-LT-25-067</v>
      </c>
      <c r="B70" s="2858">
        <v>46189</v>
      </c>
      <c r="C70" s="2803" t="s">
        <v>2</v>
      </c>
      <c r="D70" s="2804" t="s">
        <v>209</v>
      </c>
      <c r="E70" s="2870" t="str">
        <f>IF(D70="","", IFERROR(INDEX(Catalogos!$W$4:$W$100, MATCH(D70, Catalogos!$V$4:$V$100, 0)), ""))</f>
        <v>RT-03</v>
      </c>
      <c r="F70" s="2871">
        <f>IF(D70="","", IFERROR(INDEX(Catalogos!$Y$4:$Y$100, MATCH(D70, Catalogos!$V$4:$V$100, 0)), ""))</f>
        <v>0</v>
      </c>
      <c r="G70" s="2872">
        <v>4</v>
      </c>
      <c r="H70" s="2873"/>
      <c r="I70">
        <f>IF(E70="","", G70 * IFERROR(INDEX(Maquinaria_Inventario!$K$2:$K$100, MATCH(E70, Maquinaria_Inventario!$L$2:$L$100, 0)), 0))</f>
        <v>0</v>
      </c>
      <c r="J70">
        <f t="shared" si="1"/>
        <v>25</v>
      </c>
    </row>
    <row r="71" spans="1:10">
      <c r="A71" s="2874" t="str">
        <f>IF(D71="","", "HT-" &amp; IFERROR(VLOOKUP(C71, Catalogos!$Z$4:$AA$20, 2, FALSE), "FOL") &amp; "-" &amp; IF(B71="","00", WEEKNUM(B71,2)) &amp; "-" &amp; TEXT(ROW(A68),"000"))</f>
        <v>HT-LT-25-068</v>
      </c>
      <c r="B71" s="2858">
        <v>46189</v>
      </c>
      <c r="C71" s="2810" t="s">
        <v>2</v>
      </c>
      <c r="D71" s="2811" t="s">
        <v>367</v>
      </c>
      <c r="E71" s="2875" t="str">
        <f>IF(D71="","", IFERROR(INDEX(Catalogos!$W$4:$W$100, MATCH(D71, Catalogos!$V$4:$V$100, 0)), ""))</f>
        <v>VG-02</v>
      </c>
      <c r="F71" s="2876">
        <f>IF(D71="","", IFERROR(INDEX(Catalogos!$Y$4:$Y$100, MATCH(D71, Catalogos!$V$4:$V$100, 0)), ""))</f>
        <v>0</v>
      </c>
      <c r="G71" s="2877">
        <v>4</v>
      </c>
      <c r="H71" s="2878"/>
      <c r="I71">
        <f>IF(E71="","", G71 * IFERROR(INDEX(Maquinaria_Inventario!$K$2:$K$100, MATCH(E71, Maquinaria_Inventario!$L$2:$L$100, 0)), 0))</f>
        <v>0</v>
      </c>
      <c r="J71">
        <f t="shared" si="1"/>
        <v>25</v>
      </c>
    </row>
    <row r="72" spans="1:10">
      <c r="A72" s="2879" t="str">
        <f>IF(D72="","", "HT-" &amp; IFERROR(VLOOKUP(C72, Catalogos!$Z$4:$AA$20, 2, FALSE), "FOL") &amp; "-" &amp; IF(B72="","00", WEEKNUM(B72,2)) &amp; "-" &amp; TEXT(ROW(A69),"000"))</f>
        <v>HT-LT-25-069</v>
      </c>
      <c r="B72" s="2858">
        <v>46189</v>
      </c>
      <c r="C72" s="2817" t="s">
        <v>2</v>
      </c>
      <c r="D72" s="2818" t="s">
        <v>219</v>
      </c>
      <c r="E72" s="2880" t="str">
        <f>IF(D72="","", IFERROR(INDEX(Catalogos!$W$4:$W$100, MATCH(D72, Catalogos!$V$4:$V$100, 0)), ""))</f>
        <v>DR-01</v>
      </c>
      <c r="F72" s="2881" t="str">
        <f>IF(D72="","", IFERROR(INDEX(Catalogos!$Y$4:$Y$100, MATCH(D72, Catalogos!$V$4:$V$100, 0)), ""))</f>
        <v>POR ASIGNAR</v>
      </c>
      <c r="G72" s="2882">
        <v>4</v>
      </c>
      <c r="H72" s="2883"/>
      <c r="I72">
        <f>IF(E72="","", G72 * IFERROR(INDEX(Maquinaria_Inventario!$K$2:$K$100, MATCH(E72, Maquinaria_Inventario!$L$2:$L$100, 0)), 0))</f>
        <v>0</v>
      </c>
      <c r="J72">
        <f t="shared" si="1"/>
        <v>25</v>
      </c>
    </row>
    <row r="73" spans="1:10">
      <c r="A73" s="2884" t="str">
        <f>IF(D73="","", "HT-" &amp; IFERROR(VLOOKUP(C73, Catalogos!$Z$4:$AA$20, 2, FALSE), "FOL") &amp; "-" &amp; IF(B73="","00", WEEKNUM(B73,2)) &amp; "-" &amp; TEXT(ROW(A70),"000"))</f>
        <v>HT-LT-25-070</v>
      </c>
      <c r="B73" s="2858">
        <v>46189</v>
      </c>
      <c r="C73" s="2824" t="s">
        <v>2</v>
      </c>
      <c r="D73" s="2825" t="s">
        <v>223</v>
      </c>
      <c r="E73" s="2885" t="str">
        <f>IF(D73="","", IFERROR(INDEX(Catalogos!$W$4:$W$100, MATCH(D73, Catalogos!$V$4:$V$100, 0)), ""))</f>
        <v>NM-01</v>
      </c>
      <c r="F73" s="2886" t="str">
        <f>IF(D73="","", IFERROR(INDEX(Catalogos!$Y$4:$Y$100, MATCH(D73, Catalogos!$V$4:$V$100, 0)), ""))</f>
        <v>Marco Antonio Estrada Arellano</v>
      </c>
      <c r="G73" s="2887">
        <v>4</v>
      </c>
      <c r="H73" s="2888"/>
      <c r="I73">
        <f>IF(E73="","", G73 * IFERROR(INDEX(Maquinaria_Inventario!$K$2:$K$100, MATCH(E73, Maquinaria_Inventario!$L$2:$L$100, 0)), 0))</f>
        <v>0</v>
      </c>
      <c r="J73">
        <f t="shared" si="1"/>
        <v>25</v>
      </c>
    </row>
    <row r="74" spans="1:10">
      <c r="A74" s="2889" t="str">
        <f>IF(D74="","", "HT-" &amp; IFERROR(VLOOKUP(C74, Catalogos!$Z$4:$AA$20, 2, FALSE), "FOL") &amp; "-" &amp; IF(B74="","00", WEEKNUM(B74,2)) &amp; "-" &amp; TEXT(ROW(A71),"000"))</f>
        <v>HT-LT-25-071</v>
      </c>
      <c r="B74" s="2858">
        <v>46189</v>
      </c>
      <c r="C74" s="2831" t="s">
        <v>2</v>
      </c>
      <c r="D74" s="2832" t="s">
        <v>231</v>
      </c>
      <c r="E74" s="2890" t="str">
        <f>IF(D74="","", IFERROR(INDEX(Catalogos!$W$4:$W$100, MATCH(D74, Catalogos!$V$4:$V$100, 0)), ""))</f>
        <v>CI-01</v>
      </c>
      <c r="F74" s="2891">
        <f>IF(D74="","", IFERROR(INDEX(Catalogos!$Y$4:$Y$100, MATCH(D74, Catalogos!$V$4:$V$100, 0)), ""))</f>
        <v>0</v>
      </c>
      <c r="G74" s="2892">
        <v>4</v>
      </c>
      <c r="H74" s="2893"/>
      <c r="I74">
        <f>IF(E74="","", G74 * IFERROR(INDEX(Maquinaria_Inventario!$K$2:$K$100, MATCH(E74, Maquinaria_Inventario!$L$2:$L$100, 0)), 0))</f>
        <v>0</v>
      </c>
      <c r="J74">
        <f t="shared" si="1"/>
        <v>25</v>
      </c>
    </row>
    <row r="75" spans="1:10">
      <c r="A75" s="2894" t="str">
        <f>IF(D75="","", "HT-" &amp; IFERROR(VLOOKUP(C75, Catalogos!$Z$4:$AA$20, 2, FALSE), "FOL") &amp; "-" &amp; IF(B75="","00", WEEKNUM(B75,2)) &amp; "-" &amp; TEXT(ROW(A72),"000"))</f>
        <v>HT-LT-25-072</v>
      </c>
      <c r="B75" s="2858">
        <v>46189</v>
      </c>
      <c r="C75" s="2838" t="s">
        <v>2</v>
      </c>
      <c r="D75" s="2839" t="s">
        <v>378</v>
      </c>
      <c r="E75" s="2895" t="str">
        <f>IF(D75="","", IFERROR(INDEX(Catalogos!$W$4:$W$100, MATCH(D75, Catalogos!$V$4:$V$100, 0)), ""))</f>
        <v>CPR-01</v>
      </c>
      <c r="F75" s="2896" t="str">
        <f>IF(D75="","", IFERROR(INDEX(Catalogos!$Y$4:$Y$100, MATCH(D75, Catalogos!$V$4:$V$100, 0)), ""))</f>
        <v>Eduardo Guadarrama Garcia</v>
      </c>
      <c r="G75" s="2897">
        <v>2</v>
      </c>
      <c r="H75" s="2898"/>
      <c r="I75">
        <f>IF(E75="","", G75 * IFERROR(INDEX(Maquinaria_Inventario!$K$2:$K$100, MATCH(E75, Maquinaria_Inventario!$L$2:$L$100, 0)), 0))</f>
        <v>0</v>
      </c>
      <c r="J75">
        <f t="shared" si="1"/>
        <v>25</v>
      </c>
    </row>
    <row r="76" spans="1:10">
      <c r="A76" s="2899" t="str">
        <f>IF(D76="","", "HT-" &amp; IFERROR(VLOOKUP(C76, Catalogos!$Z$4:$AA$20, 2, FALSE), "FOL") &amp; "-" &amp; IF(B76="","00", WEEKNUM(B76,2)) &amp; "-" &amp; TEXT(ROW(A73),"000"))</f>
        <v>HT-LT-25-073</v>
      </c>
      <c r="B76" s="2858">
        <v>46189</v>
      </c>
      <c r="C76" s="2845" t="s">
        <v>2</v>
      </c>
      <c r="D76" s="2846" t="s">
        <v>383</v>
      </c>
      <c r="E76" s="2900" t="str">
        <f>IF(D76="","", IFERROR(INDEX(Catalogos!$W$4:$W$100, MATCH(D76, Catalogos!$V$4:$V$100, 0)), ""))</f>
        <v>PT-02</v>
      </c>
      <c r="F76" s="2901" t="str">
        <f>IF(D76="","", IFERROR(INDEX(Catalogos!$Y$4:$Y$100, MATCH(D76, Catalogos!$V$4:$V$100, 0)), ""))</f>
        <v>Francisco Gomora Angeles / Elthon Eduardo</v>
      </c>
      <c r="G76" s="2902">
        <v>4</v>
      </c>
      <c r="H76" s="2903"/>
      <c r="I76">
        <f>IF(E76="","", G76 * IFERROR(INDEX(Maquinaria_Inventario!$K$2:$K$100, MATCH(E76, Maquinaria_Inventario!$L$2:$L$100, 0)), 0))</f>
        <v>0</v>
      </c>
      <c r="J76">
        <f t="shared" si="1"/>
        <v>25</v>
      </c>
    </row>
    <row r="77" spans="1:10">
      <c r="A77" s="2904" t="str">
        <f>IF(D77="","", "HT-" &amp; IFERROR(VLOOKUP(C77, Catalogos!$Z$4:$AA$20, 2, FALSE), "FOL") &amp; "-" &amp; IF(B77="","00", WEEKNUM(B77,2)) &amp; "-" &amp; TEXT(ROW(A74),"000"))</f>
        <v>HT-LT-25-074</v>
      </c>
      <c r="B77" s="2858">
        <v>46189</v>
      </c>
      <c r="C77" s="2852" t="s">
        <v>2</v>
      </c>
      <c r="D77" s="2853" t="s">
        <v>235</v>
      </c>
      <c r="E77" s="2905" t="str">
        <f>IF(D77="","", IFERROR(INDEX(Catalogos!$W$4:$W$100, MATCH(D77, Catalogos!$V$4:$V$100, 0)), ""))</f>
        <v>PP-01</v>
      </c>
      <c r="F77" s="2906">
        <f>IF(D77="","", IFERROR(INDEX(Catalogos!$Y$4:$Y$100, MATCH(D77, Catalogos!$V$4:$V$100, 0)), ""))</f>
        <v>0</v>
      </c>
      <c r="G77" s="2907">
        <v>4</v>
      </c>
      <c r="H77" s="2908"/>
      <c r="I77">
        <f>IF(E77="","", G77 * IFERROR(INDEX(Maquinaria_Inventario!$K$2:$K$100, MATCH(E77, Maquinaria_Inventario!$L$2:$L$100, 0)), 0))</f>
        <v>0</v>
      </c>
      <c r="J77">
        <f t="shared" si="1"/>
        <v>25</v>
      </c>
    </row>
    <row r="78" spans="1:10">
      <c r="A78" s="2910" t="str">
        <f>IF(D78="","", "HT-" &amp; IFERROR(VLOOKUP(C78, Catalogos!$Z$4:$AA$20, 2, FALSE), "FOL") &amp; "-" &amp; IF(B78="","00", WEEKNUM(B78,2)) &amp; "-" &amp; TEXT(ROW(A75),"000"))</f>
        <v>HT-LT-25-075</v>
      </c>
      <c r="B78" s="2909">
        <v>46190</v>
      </c>
      <c r="C78" s="2789" t="s">
        <v>2</v>
      </c>
      <c r="D78" s="2790" t="s">
        <v>214</v>
      </c>
      <c r="E78" s="2911" t="str">
        <f>IF(D78="","", IFERROR(INDEX(Catalogos!$W$4:$W$100, MATCH(D78, Catalogos!$V$4:$V$100, 0)), ""))</f>
        <v>PR-01</v>
      </c>
      <c r="F78" s="2912">
        <f>IF(D78="","", IFERROR(INDEX(Catalogos!$Y$4:$Y$100, MATCH(D78, Catalogos!$V$4:$V$100, 0)), ""))</f>
        <v>0</v>
      </c>
      <c r="G78" s="2913">
        <v>4</v>
      </c>
      <c r="H78" s="2914"/>
      <c r="I78">
        <f>IF(E78="","", G78 * IFERROR(INDEX(Maquinaria_Inventario!$K$2:$K$100, MATCH(E78, Maquinaria_Inventario!$L$2:$L$100, 0)), 0))</f>
        <v>0</v>
      </c>
      <c r="J78">
        <f t="shared" si="1"/>
        <v>25</v>
      </c>
    </row>
    <row r="79" spans="1:10">
      <c r="A79" s="2915" t="str">
        <f>IF(D79="","", "HT-" &amp; IFERROR(VLOOKUP(C79, Catalogos!$Z$4:$AA$20, 2, FALSE), "FOL") &amp; "-" &amp; IF(B79="","00", WEEKNUM(B79,2)) &amp; "-" &amp; TEXT(ROW(A76),"000"))</f>
        <v>HT-LT-25-076</v>
      </c>
      <c r="B79" s="2909">
        <v>46190</v>
      </c>
      <c r="C79" s="2796" t="s">
        <v>2</v>
      </c>
      <c r="D79" s="2797" t="s">
        <v>227</v>
      </c>
      <c r="E79" s="2916" t="str">
        <f>IF(D79="","", IFERROR(INDEX(Catalogos!$W$4:$W$100, MATCH(D79, Catalogos!$V$4:$V$100, 0)), ""))</f>
        <v>BR-05</v>
      </c>
      <c r="F79" s="2917">
        <f>IF(D79="","", IFERROR(INDEX(Catalogos!$Y$4:$Y$100, MATCH(D79, Catalogos!$V$4:$V$100, 0)), ""))</f>
        <v>0</v>
      </c>
      <c r="G79" s="2918">
        <v>4</v>
      </c>
      <c r="H79" s="2919"/>
      <c r="I79">
        <f>IF(E79="","", G79 * IFERROR(INDEX(Maquinaria_Inventario!$K$2:$K$100, MATCH(E79, Maquinaria_Inventario!$L$2:$L$100, 0)), 0))</f>
        <v>0</v>
      </c>
      <c r="J79">
        <f t="shared" si="1"/>
        <v>25</v>
      </c>
    </row>
    <row r="80" spans="1:10">
      <c r="A80" s="2920" t="str">
        <f>IF(D80="","", "HT-" &amp; IFERROR(VLOOKUP(C80, Catalogos!$Z$4:$AA$20, 2, FALSE), "FOL") &amp; "-" &amp; IF(B80="","00", WEEKNUM(B80,2)) &amp; "-" &amp; TEXT(ROW(A77),"000"))</f>
        <v>HT-LT-25-077</v>
      </c>
      <c r="B80" s="2909">
        <v>46190</v>
      </c>
      <c r="C80" s="2803" t="s">
        <v>2</v>
      </c>
      <c r="D80" s="2804" t="s">
        <v>209</v>
      </c>
      <c r="E80" s="2921" t="str">
        <f>IF(D80="","", IFERROR(INDEX(Catalogos!$W$4:$W$100, MATCH(D80, Catalogos!$V$4:$V$100, 0)), ""))</f>
        <v>RT-03</v>
      </c>
      <c r="F80" s="2922">
        <f>IF(D80="","", IFERROR(INDEX(Catalogos!$Y$4:$Y$100, MATCH(D80, Catalogos!$V$4:$V$100, 0)), ""))</f>
        <v>0</v>
      </c>
      <c r="G80" s="2923">
        <v>4</v>
      </c>
      <c r="H80" s="2924"/>
      <c r="I80">
        <f>IF(E80="","", G80 * IFERROR(INDEX(Maquinaria_Inventario!$K$2:$K$100, MATCH(E80, Maquinaria_Inventario!$L$2:$L$100, 0)), 0))</f>
        <v>0</v>
      </c>
      <c r="J80">
        <f t="shared" si="1"/>
        <v>25</v>
      </c>
    </row>
    <row r="81" spans="1:10">
      <c r="A81" s="2925" t="str">
        <f>IF(D81="","", "HT-" &amp; IFERROR(VLOOKUP(C81, Catalogos!$Z$4:$AA$20, 2, FALSE), "FOL") &amp; "-" &amp; IF(B81="","00", WEEKNUM(B81,2)) &amp; "-" &amp; TEXT(ROW(A78),"000"))</f>
        <v>HT-LT-25-078</v>
      </c>
      <c r="B81" s="2909">
        <v>46190</v>
      </c>
      <c r="C81" s="2810" t="s">
        <v>2</v>
      </c>
      <c r="D81" s="2811" t="s">
        <v>367</v>
      </c>
      <c r="E81" s="2926" t="str">
        <f>IF(D81="","", IFERROR(INDEX(Catalogos!$W$4:$W$100, MATCH(D81, Catalogos!$V$4:$V$100, 0)), ""))</f>
        <v>VG-02</v>
      </c>
      <c r="F81" s="2927">
        <f>IF(D81="","", IFERROR(INDEX(Catalogos!$Y$4:$Y$100, MATCH(D81, Catalogos!$V$4:$V$100, 0)), ""))</f>
        <v>0</v>
      </c>
      <c r="G81" s="2928">
        <v>4</v>
      </c>
      <c r="H81" s="2929"/>
      <c r="I81">
        <f>IF(E81="","", G81 * IFERROR(INDEX(Maquinaria_Inventario!$K$2:$K$100, MATCH(E81, Maquinaria_Inventario!$L$2:$L$100, 0)), 0))</f>
        <v>0</v>
      </c>
      <c r="J81">
        <f t="shared" si="1"/>
        <v>25</v>
      </c>
    </row>
    <row r="82" spans="1:10">
      <c r="A82" s="2930" t="str">
        <f>IF(D82="","", "HT-" &amp; IFERROR(VLOOKUP(C82, Catalogos!$Z$4:$AA$20, 2, FALSE), "FOL") &amp; "-" &amp; IF(B82="","00", WEEKNUM(B82,2)) &amp; "-" &amp; TEXT(ROW(A79),"000"))</f>
        <v>HT-LT-25-079</v>
      </c>
      <c r="B82" s="2909">
        <v>46190</v>
      </c>
      <c r="C82" s="2817" t="s">
        <v>2</v>
      </c>
      <c r="D82" s="2818" t="s">
        <v>219</v>
      </c>
      <c r="E82" s="2931" t="str">
        <f>IF(D82="","", IFERROR(INDEX(Catalogos!$W$4:$W$100, MATCH(D82, Catalogos!$V$4:$V$100, 0)), ""))</f>
        <v>DR-01</v>
      </c>
      <c r="F82" s="2932" t="str">
        <f>IF(D82="","", IFERROR(INDEX(Catalogos!$Y$4:$Y$100, MATCH(D82, Catalogos!$V$4:$V$100, 0)), ""))</f>
        <v>POR ASIGNAR</v>
      </c>
      <c r="G82" s="2933">
        <v>4</v>
      </c>
      <c r="H82" s="2934"/>
      <c r="I82">
        <f>IF(E82="","", G82 * IFERROR(INDEX(Maquinaria_Inventario!$K$2:$K$100, MATCH(E82, Maquinaria_Inventario!$L$2:$L$100, 0)), 0))</f>
        <v>0</v>
      </c>
      <c r="J82">
        <f t="shared" si="1"/>
        <v>25</v>
      </c>
    </row>
    <row r="83" spans="1:10">
      <c r="A83" s="2935" t="str">
        <f>IF(D83="","", "HT-" &amp; IFERROR(VLOOKUP(C83, Catalogos!$Z$4:$AA$20, 2, FALSE), "FOL") &amp; "-" &amp; IF(B83="","00", WEEKNUM(B83,2)) &amp; "-" &amp; TEXT(ROW(A80),"000"))</f>
        <v>HT-LT-25-080</v>
      </c>
      <c r="B83" s="2909">
        <v>46190</v>
      </c>
      <c r="C83" s="2824" t="s">
        <v>2</v>
      </c>
      <c r="D83" s="2825" t="s">
        <v>223</v>
      </c>
      <c r="E83" s="2936" t="str">
        <f>IF(D83="","", IFERROR(INDEX(Catalogos!$W$4:$W$100, MATCH(D83, Catalogos!$V$4:$V$100, 0)), ""))</f>
        <v>NM-01</v>
      </c>
      <c r="F83" s="2937" t="str">
        <f>IF(D83="","", IFERROR(INDEX(Catalogos!$Y$4:$Y$100, MATCH(D83, Catalogos!$V$4:$V$100, 0)), ""))</f>
        <v>Marco Antonio Estrada Arellano</v>
      </c>
      <c r="G83" s="2938">
        <v>4</v>
      </c>
      <c r="H83" s="2939"/>
      <c r="I83">
        <f>IF(E83="","", G83 * IFERROR(INDEX(Maquinaria_Inventario!$K$2:$K$100, MATCH(E83, Maquinaria_Inventario!$L$2:$L$100, 0)), 0))</f>
        <v>0</v>
      </c>
      <c r="J83">
        <f t="shared" si="1"/>
        <v>25</v>
      </c>
    </row>
    <row r="84" spans="1:10">
      <c r="A84" s="2940" t="str">
        <f>IF(D84="","", "HT-" &amp; IFERROR(VLOOKUP(C84, Catalogos!$Z$4:$AA$20, 2, FALSE), "FOL") &amp; "-" &amp; IF(B84="","00", WEEKNUM(B84,2)) &amp; "-" &amp; TEXT(ROW(A81),"000"))</f>
        <v>HT-LT-25-081</v>
      </c>
      <c r="B84" s="2909">
        <v>46190</v>
      </c>
      <c r="C84" s="2831" t="s">
        <v>2</v>
      </c>
      <c r="D84" s="2832" t="s">
        <v>231</v>
      </c>
      <c r="E84" s="2941" t="str">
        <f>IF(D84="","", IFERROR(INDEX(Catalogos!$W$4:$W$100, MATCH(D84, Catalogos!$V$4:$V$100, 0)), ""))</f>
        <v>CI-01</v>
      </c>
      <c r="F84" s="2942">
        <f>IF(D84="","", IFERROR(INDEX(Catalogos!$Y$4:$Y$100, MATCH(D84, Catalogos!$V$4:$V$100, 0)), ""))</f>
        <v>0</v>
      </c>
      <c r="G84" s="2943">
        <v>4</v>
      </c>
      <c r="H84" s="2944"/>
      <c r="I84">
        <f>IF(E84="","", G84 * IFERROR(INDEX(Maquinaria_Inventario!$K$2:$K$100, MATCH(E84, Maquinaria_Inventario!$L$2:$L$100, 0)), 0))</f>
        <v>0</v>
      </c>
      <c r="J84">
        <f t="shared" si="1"/>
        <v>25</v>
      </c>
    </row>
    <row r="85" spans="1:10">
      <c r="A85" s="2945" t="str">
        <f>IF(D85="","", "HT-" &amp; IFERROR(VLOOKUP(C85, Catalogos!$Z$4:$AA$20, 2, FALSE), "FOL") &amp; "-" &amp; IF(B85="","00", WEEKNUM(B85,2)) &amp; "-" &amp; TEXT(ROW(A82),"000"))</f>
        <v>HT-LT-25-082</v>
      </c>
      <c r="B85" s="2909">
        <v>46190</v>
      </c>
      <c r="C85" s="2838" t="s">
        <v>2</v>
      </c>
      <c r="D85" s="2839" t="s">
        <v>378</v>
      </c>
      <c r="E85" s="2946" t="str">
        <f>IF(D85="","", IFERROR(INDEX(Catalogos!$W$4:$W$100, MATCH(D85, Catalogos!$V$4:$V$100, 0)), ""))</f>
        <v>CPR-01</v>
      </c>
      <c r="F85" s="2947" t="str">
        <f>IF(D85="","", IFERROR(INDEX(Catalogos!$Y$4:$Y$100, MATCH(D85, Catalogos!$V$4:$V$100, 0)), ""))</f>
        <v>Eduardo Guadarrama Garcia</v>
      </c>
      <c r="G85" s="2948">
        <v>2</v>
      </c>
      <c r="H85" s="2949"/>
      <c r="I85">
        <f>IF(E85="","", G85 * IFERROR(INDEX(Maquinaria_Inventario!$K$2:$K$100, MATCH(E85, Maquinaria_Inventario!$L$2:$L$100, 0)), 0))</f>
        <v>0</v>
      </c>
      <c r="J85">
        <f t="shared" si="1"/>
        <v>25</v>
      </c>
    </row>
    <row r="86" spans="1:10">
      <c r="A86" s="2950" t="str">
        <f>IF(D86="","", "HT-" &amp; IFERROR(VLOOKUP(C86, Catalogos!$Z$4:$AA$20, 2, FALSE), "FOL") &amp; "-" &amp; IF(B86="","00", WEEKNUM(B86,2)) &amp; "-" &amp; TEXT(ROW(A83),"000"))</f>
        <v>HT-LT-25-083</v>
      </c>
      <c r="B86" s="2909">
        <v>46190</v>
      </c>
      <c r="C86" s="2845" t="s">
        <v>2</v>
      </c>
      <c r="D86" s="2846" t="s">
        <v>383</v>
      </c>
      <c r="E86" s="2951" t="str">
        <f>IF(D86="","", IFERROR(INDEX(Catalogos!$W$4:$W$100, MATCH(D86, Catalogos!$V$4:$V$100, 0)), ""))</f>
        <v>PT-02</v>
      </c>
      <c r="F86" s="2952" t="str">
        <f>IF(D86="","", IFERROR(INDEX(Catalogos!$Y$4:$Y$100, MATCH(D86, Catalogos!$V$4:$V$100, 0)), ""))</f>
        <v>Francisco Gomora Angeles / Elthon Eduardo</v>
      </c>
      <c r="G86" s="2953">
        <v>4</v>
      </c>
      <c r="H86" s="2954"/>
      <c r="I86">
        <f>IF(E86="","", G86 * IFERROR(INDEX(Maquinaria_Inventario!$K$2:$K$100, MATCH(E86, Maquinaria_Inventario!$L$2:$L$100, 0)), 0))</f>
        <v>0</v>
      </c>
      <c r="J86">
        <f t="shared" si="1"/>
        <v>25</v>
      </c>
    </row>
    <row r="87" spans="1:10">
      <c r="A87" s="2955" t="str">
        <f>IF(D87="","", "HT-" &amp; IFERROR(VLOOKUP(C87, Catalogos!$Z$4:$AA$20, 2, FALSE), "FOL") &amp; "-" &amp; IF(B87="","00", WEEKNUM(B87,2)) &amp; "-" &amp; TEXT(ROW(A84),"000"))</f>
        <v>HT-LT-25-084</v>
      </c>
      <c r="B87" s="2909">
        <v>46190</v>
      </c>
      <c r="C87" s="2852" t="s">
        <v>2</v>
      </c>
      <c r="D87" s="2853" t="s">
        <v>235</v>
      </c>
      <c r="E87" s="2956" t="str">
        <f>IF(D87="","", IFERROR(INDEX(Catalogos!$W$4:$W$100, MATCH(D87, Catalogos!$V$4:$V$100, 0)), ""))</f>
        <v>PP-01</v>
      </c>
      <c r="F87" s="2957">
        <f>IF(D87="","", IFERROR(INDEX(Catalogos!$Y$4:$Y$100, MATCH(D87, Catalogos!$V$4:$V$100, 0)), ""))</f>
        <v>0</v>
      </c>
      <c r="G87" s="2958">
        <v>4</v>
      </c>
      <c r="H87" s="2959"/>
      <c r="I87">
        <f>IF(E87="","", G87 * IFERROR(INDEX(Maquinaria_Inventario!$K$2:$K$100, MATCH(E87, Maquinaria_Inventario!$L$2:$L$100, 0)), 0))</f>
        <v>0</v>
      </c>
      <c r="J87">
        <f t="shared" si="1"/>
        <v>25</v>
      </c>
    </row>
    <row r="88" spans="1:10">
      <c r="A88" s="2961" t="str">
        <f>IF(D88="","", "HT-" &amp; IFERROR(VLOOKUP(C88, Catalogos!$Z$4:$AA$20, 2, FALSE), "FOL") &amp; "-" &amp; IF(B88="","00", WEEKNUM(B88,2)) &amp; "-" &amp; TEXT(ROW(A85),"000"))</f>
        <v>HT-LT-25-085</v>
      </c>
      <c r="B88" s="2960">
        <v>46191</v>
      </c>
      <c r="C88" s="2789" t="s">
        <v>2</v>
      </c>
      <c r="D88" s="2790" t="s">
        <v>214</v>
      </c>
      <c r="E88" s="2962" t="str">
        <f>IF(D88="","", IFERROR(INDEX(Catalogos!$W$4:$W$100, MATCH(D88, Catalogos!$V$4:$V$100, 0)), ""))</f>
        <v>PR-01</v>
      </c>
      <c r="F88" s="2963">
        <f>IF(D88="","", IFERROR(INDEX(Catalogos!$Y$4:$Y$100, MATCH(D88, Catalogos!$V$4:$V$100, 0)), ""))</f>
        <v>0</v>
      </c>
      <c r="G88" s="2964">
        <v>4</v>
      </c>
      <c r="H88" s="2965"/>
      <c r="I88">
        <f>IF(E88="","", G88 * IFERROR(INDEX(Maquinaria_Inventario!$K$2:$K$100, MATCH(E88, Maquinaria_Inventario!$L$2:$L$100, 0)), 0))</f>
        <v>0</v>
      </c>
      <c r="J88">
        <f t="shared" si="1"/>
        <v>25</v>
      </c>
    </row>
    <row r="89" spans="1:10">
      <c r="A89" s="2966" t="str">
        <f>IF(D89="","", "HT-" &amp; IFERROR(VLOOKUP(C89, Catalogos!$Z$4:$AA$20, 2, FALSE), "FOL") &amp; "-" &amp; IF(B89="","00", WEEKNUM(B89,2)) &amp; "-" &amp; TEXT(ROW(A86),"000"))</f>
        <v>HT-LT-25-086</v>
      </c>
      <c r="B89" s="2960">
        <v>46191</v>
      </c>
      <c r="C89" s="2796" t="s">
        <v>2</v>
      </c>
      <c r="D89" s="2797" t="s">
        <v>227</v>
      </c>
      <c r="E89" s="2967" t="str">
        <f>IF(D89="","", IFERROR(INDEX(Catalogos!$W$4:$W$100, MATCH(D89, Catalogos!$V$4:$V$100, 0)), ""))</f>
        <v>BR-05</v>
      </c>
      <c r="F89" s="2968">
        <f>IF(D89="","", IFERROR(INDEX(Catalogos!$Y$4:$Y$100, MATCH(D89, Catalogos!$V$4:$V$100, 0)), ""))</f>
        <v>0</v>
      </c>
      <c r="G89" s="2969">
        <v>4</v>
      </c>
      <c r="H89" s="2970"/>
      <c r="I89">
        <f>IF(E89="","", G89 * IFERROR(INDEX(Maquinaria_Inventario!$K$2:$K$100, MATCH(E89, Maquinaria_Inventario!$L$2:$L$100, 0)), 0))</f>
        <v>0</v>
      </c>
      <c r="J89">
        <f t="shared" si="1"/>
        <v>25</v>
      </c>
    </row>
    <row r="90" spans="1:10">
      <c r="A90" s="2971" t="str">
        <f>IF(D90="","", "HT-" &amp; IFERROR(VLOOKUP(C90, Catalogos!$Z$4:$AA$20, 2, FALSE), "FOL") &amp; "-" &amp; IF(B90="","00", WEEKNUM(B90,2)) &amp; "-" &amp; TEXT(ROW(A87),"000"))</f>
        <v>HT-LT-25-087</v>
      </c>
      <c r="B90" s="2960">
        <v>46191</v>
      </c>
      <c r="C90" s="2803" t="s">
        <v>2</v>
      </c>
      <c r="D90" s="2804" t="s">
        <v>209</v>
      </c>
      <c r="E90" s="2972" t="str">
        <f>IF(D90="","", IFERROR(INDEX(Catalogos!$W$4:$W$100, MATCH(D90, Catalogos!$V$4:$V$100, 0)), ""))</f>
        <v>RT-03</v>
      </c>
      <c r="F90" s="2973">
        <f>IF(D90="","", IFERROR(INDEX(Catalogos!$Y$4:$Y$100, MATCH(D90, Catalogos!$V$4:$V$100, 0)), ""))</f>
        <v>0</v>
      </c>
      <c r="G90" s="2974">
        <v>4</v>
      </c>
      <c r="H90" s="2975"/>
      <c r="I90">
        <f>IF(E90="","", G90 * IFERROR(INDEX(Maquinaria_Inventario!$K$2:$K$100, MATCH(E90, Maquinaria_Inventario!$L$2:$L$100, 0)), 0))</f>
        <v>0</v>
      </c>
      <c r="J90">
        <f t="shared" si="1"/>
        <v>25</v>
      </c>
    </row>
    <row r="91" spans="1:10">
      <c r="A91" s="2976" t="str">
        <f>IF(D91="","", "HT-" &amp; IFERROR(VLOOKUP(C91, Catalogos!$Z$4:$AA$20, 2, FALSE), "FOL") &amp; "-" &amp; IF(B91="","00", WEEKNUM(B91,2)) &amp; "-" &amp; TEXT(ROW(A88),"000"))</f>
        <v>HT-LT-25-088</v>
      </c>
      <c r="B91" s="2960">
        <v>46191</v>
      </c>
      <c r="C91" s="2810" t="s">
        <v>2</v>
      </c>
      <c r="D91" s="2811" t="s">
        <v>367</v>
      </c>
      <c r="E91" s="2977" t="str">
        <f>IF(D91="","", IFERROR(INDEX(Catalogos!$W$4:$W$100, MATCH(D91, Catalogos!$V$4:$V$100, 0)), ""))</f>
        <v>VG-02</v>
      </c>
      <c r="F91" s="2978">
        <f>IF(D91="","", IFERROR(INDEX(Catalogos!$Y$4:$Y$100, MATCH(D91, Catalogos!$V$4:$V$100, 0)), ""))</f>
        <v>0</v>
      </c>
      <c r="G91" s="2979">
        <v>4</v>
      </c>
      <c r="H91" s="2980"/>
      <c r="I91">
        <f>IF(E91="","", G91 * IFERROR(INDEX(Maquinaria_Inventario!$K$2:$K$100, MATCH(E91, Maquinaria_Inventario!$L$2:$L$100, 0)), 0))</f>
        <v>0</v>
      </c>
      <c r="J91">
        <f t="shared" si="1"/>
        <v>25</v>
      </c>
    </row>
    <row r="92" spans="1:10">
      <c r="A92" s="2981" t="str">
        <f>IF(D92="","", "HT-" &amp; IFERROR(VLOOKUP(C92, Catalogos!$Z$4:$AA$20, 2, FALSE), "FOL") &amp; "-" &amp; IF(B92="","00", WEEKNUM(B92,2)) &amp; "-" &amp; TEXT(ROW(A89),"000"))</f>
        <v>HT-LT-25-089</v>
      </c>
      <c r="B92" s="2960">
        <v>46191</v>
      </c>
      <c r="C92" s="2817" t="s">
        <v>2</v>
      </c>
      <c r="D92" s="2818" t="s">
        <v>219</v>
      </c>
      <c r="E92" s="2982" t="str">
        <f>IF(D92="","", IFERROR(INDEX(Catalogos!$W$4:$W$100, MATCH(D92, Catalogos!$V$4:$V$100, 0)), ""))</f>
        <v>DR-01</v>
      </c>
      <c r="F92" s="2983" t="str">
        <f>IF(D92="","", IFERROR(INDEX(Catalogos!$Y$4:$Y$100, MATCH(D92, Catalogos!$V$4:$V$100, 0)), ""))</f>
        <v>POR ASIGNAR</v>
      </c>
      <c r="G92" s="2984">
        <v>4</v>
      </c>
      <c r="H92" s="2985"/>
      <c r="I92">
        <f>IF(E92="","", G92 * IFERROR(INDEX(Maquinaria_Inventario!$K$2:$K$100, MATCH(E92, Maquinaria_Inventario!$L$2:$L$100, 0)), 0))</f>
        <v>0</v>
      </c>
      <c r="J92">
        <f t="shared" si="1"/>
        <v>25</v>
      </c>
    </row>
    <row r="93" spans="1:10">
      <c r="A93" s="2986" t="str">
        <f>IF(D93="","", "HT-" &amp; IFERROR(VLOOKUP(C93, Catalogos!$Z$4:$AA$20, 2, FALSE), "FOL") &amp; "-" &amp; IF(B93="","00", WEEKNUM(B93,2)) &amp; "-" &amp; TEXT(ROW(A90),"000"))</f>
        <v>HT-LT-25-090</v>
      </c>
      <c r="B93" s="2960">
        <v>46191</v>
      </c>
      <c r="C93" s="2824" t="s">
        <v>2</v>
      </c>
      <c r="D93" s="2825" t="s">
        <v>223</v>
      </c>
      <c r="E93" s="2987" t="str">
        <f>IF(D93="","", IFERROR(INDEX(Catalogos!$W$4:$W$100, MATCH(D93, Catalogos!$V$4:$V$100, 0)), ""))</f>
        <v>NM-01</v>
      </c>
      <c r="F93" s="2988" t="str">
        <f>IF(D93="","", IFERROR(INDEX(Catalogos!$Y$4:$Y$100, MATCH(D93, Catalogos!$V$4:$V$100, 0)), ""))</f>
        <v>Marco Antonio Estrada Arellano</v>
      </c>
      <c r="G93" s="2989">
        <v>4</v>
      </c>
      <c r="H93" s="2990"/>
      <c r="I93">
        <f>IF(E93="","", G93 * IFERROR(INDEX(Maquinaria_Inventario!$K$2:$K$100, MATCH(E93, Maquinaria_Inventario!$L$2:$L$100, 0)), 0))</f>
        <v>0</v>
      </c>
      <c r="J93">
        <f t="shared" si="1"/>
        <v>25</v>
      </c>
    </row>
    <row r="94" spans="1:10">
      <c r="A94" s="2991" t="str">
        <f>IF(D94="","", "HT-" &amp; IFERROR(VLOOKUP(C94, Catalogos!$Z$4:$AA$20, 2, FALSE), "FOL") &amp; "-" &amp; IF(B94="","00", WEEKNUM(B94,2)) &amp; "-" &amp; TEXT(ROW(A91),"000"))</f>
        <v>HT-LT-25-091</v>
      </c>
      <c r="B94" s="2960">
        <v>46191</v>
      </c>
      <c r="C94" s="2831" t="s">
        <v>2</v>
      </c>
      <c r="D94" s="2832" t="s">
        <v>231</v>
      </c>
      <c r="E94" s="2992" t="str">
        <f>IF(D94="","", IFERROR(INDEX(Catalogos!$W$4:$W$100, MATCH(D94, Catalogos!$V$4:$V$100, 0)), ""))</f>
        <v>CI-01</v>
      </c>
      <c r="F94" s="2993">
        <f>IF(D94="","", IFERROR(INDEX(Catalogos!$Y$4:$Y$100, MATCH(D94, Catalogos!$V$4:$V$100, 0)), ""))</f>
        <v>0</v>
      </c>
      <c r="G94" s="2994">
        <v>4</v>
      </c>
      <c r="H94" s="2995"/>
      <c r="I94">
        <f>IF(E94="","", G94 * IFERROR(INDEX(Maquinaria_Inventario!$K$2:$K$100, MATCH(E94, Maquinaria_Inventario!$L$2:$L$100, 0)), 0))</f>
        <v>0</v>
      </c>
      <c r="J94">
        <f t="shared" si="1"/>
        <v>25</v>
      </c>
    </row>
    <row r="95" spans="1:10">
      <c r="A95" s="2996" t="str">
        <f>IF(D95="","", "HT-" &amp; IFERROR(VLOOKUP(C95, Catalogos!$Z$4:$AA$20, 2, FALSE), "FOL") &amp; "-" &amp; IF(B95="","00", WEEKNUM(B95,2)) &amp; "-" &amp; TEXT(ROW(A92),"000"))</f>
        <v>HT-LT-25-092</v>
      </c>
      <c r="B95" s="2960">
        <v>46191</v>
      </c>
      <c r="C95" s="2838" t="s">
        <v>2</v>
      </c>
      <c r="D95" s="2839" t="s">
        <v>378</v>
      </c>
      <c r="E95" s="2997" t="str">
        <f>IF(D95="","", IFERROR(INDEX(Catalogos!$W$4:$W$100, MATCH(D95, Catalogos!$V$4:$V$100, 0)), ""))</f>
        <v>CPR-01</v>
      </c>
      <c r="F95" s="2998" t="str">
        <f>IF(D95="","", IFERROR(INDEX(Catalogos!$Y$4:$Y$100, MATCH(D95, Catalogos!$V$4:$V$100, 0)), ""))</f>
        <v>Eduardo Guadarrama Garcia</v>
      </c>
      <c r="G95" s="2999">
        <v>2</v>
      </c>
      <c r="H95" s="3000"/>
      <c r="I95">
        <f>IF(E95="","", G95 * IFERROR(INDEX(Maquinaria_Inventario!$K$2:$K$100, MATCH(E95, Maquinaria_Inventario!$L$2:$L$100, 0)), 0))</f>
        <v>0</v>
      </c>
      <c r="J95">
        <f t="shared" si="1"/>
        <v>25</v>
      </c>
    </row>
    <row r="96" spans="1:10">
      <c r="A96" s="3001" t="str">
        <f>IF(D96="","", "HT-" &amp; IFERROR(VLOOKUP(C96, Catalogos!$Z$4:$AA$20, 2, FALSE), "FOL") &amp; "-" &amp; IF(B96="","00", WEEKNUM(B96,2)) &amp; "-" &amp; TEXT(ROW(A93),"000"))</f>
        <v>HT-LT-25-093</v>
      </c>
      <c r="B96" s="2960">
        <v>46191</v>
      </c>
      <c r="C96" s="2845" t="s">
        <v>2</v>
      </c>
      <c r="D96" s="2846" t="s">
        <v>383</v>
      </c>
      <c r="E96" s="3002" t="str">
        <f>IF(D96="","", IFERROR(INDEX(Catalogos!$W$4:$W$100, MATCH(D96, Catalogos!$V$4:$V$100, 0)), ""))</f>
        <v>PT-02</v>
      </c>
      <c r="F96" s="3003" t="str">
        <f>IF(D96="","", IFERROR(INDEX(Catalogos!$Y$4:$Y$100, MATCH(D96, Catalogos!$V$4:$V$100, 0)), ""))</f>
        <v>Francisco Gomora Angeles / Elthon Eduardo</v>
      </c>
      <c r="G96" s="3004">
        <v>4</v>
      </c>
      <c r="H96" s="3005"/>
      <c r="I96">
        <f>IF(E96="","", G96 * IFERROR(INDEX(Maquinaria_Inventario!$K$2:$K$100, MATCH(E96, Maquinaria_Inventario!$L$2:$L$100, 0)), 0))</f>
        <v>0</v>
      </c>
      <c r="J96">
        <f t="shared" si="1"/>
        <v>25</v>
      </c>
    </row>
    <row r="97" spans="1:10">
      <c r="A97" s="3006" t="str">
        <f>IF(D97="","", "HT-" &amp; IFERROR(VLOOKUP(C97, Catalogos!$Z$4:$AA$20, 2, FALSE), "FOL") &amp; "-" &amp; IF(B97="","00", WEEKNUM(B97,2)) &amp; "-" &amp; TEXT(ROW(A94),"000"))</f>
        <v>HT-LT-25-094</v>
      </c>
      <c r="B97" s="2960">
        <v>46191</v>
      </c>
      <c r="C97" s="2852" t="s">
        <v>2</v>
      </c>
      <c r="D97" s="2853" t="s">
        <v>235</v>
      </c>
      <c r="E97" s="3007" t="str">
        <f>IF(D97="","", IFERROR(INDEX(Catalogos!$W$4:$W$100, MATCH(D97, Catalogos!$V$4:$V$100, 0)), ""))</f>
        <v>PP-01</v>
      </c>
      <c r="F97" s="3008">
        <f>IF(D97="","", IFERROR(INDEX(Catalogos!$Y$4:$Y$100, MATCH(D97, Catalogos!$V$4:$V$100, 0)), ""))</f>
        <v>0</v>
      </c>
      <c r="G97" s="3009">
        <v>4</v>
      </c>
      <c r="H97" s="3010"/>
      <c r="I97">
        <f>IF(E97="","", G97 * IFERROR(INDEX(Maquinaria_Inventario!$K$2:$K$100, MATCH(E97, Maquinaria_Inventario!$L$2:$L$100, 0)), 0))</f>
        <v>0</v>
      </c>
      <c r="J97">
        <f t="shared" si="1"/>
        <v>25</v>
      </c>
    </row>
    <row r="98" spans="1:10">
      <c r="A98" s="3012" t="str">
        <f>IF(D98="","", "HT-" &amp; IFERROR(VLOOKUP(C98, Catalogos!$Z$4:$AA$20, 2, FALSE), "FOL") &amp; "-" &amp; IF(B98="","00", WEEKNUM(B98,2)) &amp; "-" &amp; TEXT(ROW(A95),"000"))</f>
        <v>HT-LT-25-095</v>
      </c>
      <c r="B98" s="3011">
        <v>46192</v>
      </c>
      <c r="C98" s="2789" t="s">
        <v>2</v>
      </c>
      <c r="D98" s="2790" t="s">
        <v>214</v>
      </c>
      <c r="E98" s="3013" t="str">
        <f>IF(D98="","", IFERROR(INDEX(Catalogos!$W$4:$W$100, MATCH(D98, Catalogos!$V$4:$V$100, 0)), ""))</f>
        <v>PR-01</v>
      </c>
      <c r="F98" s="3014">
        <f>IF(D98="","", IFERROR(INDEX(Catalogos!$Y$4:$Y$100, MATCH(D98, Catalogos!$V$4:$V$100, 0)), ""))</f>
        <v>0</v>
      </c>
      <c r="G98" s="3015">
        <v>2</v>
      </c>
      <c r="H98" s="3016"/>
      <c r="I98">
        <f>IF(E98="","", G98 * IFERROR(INDEX(Maquinaria_Inventario!$K$2:$K$100, MATCH(E98, Maquinaria_Inventario!$L$2:$L$100, 0)), 0))</f>
        <v>0</v>
      </c>
      <c r="J98">
        <f t="shared" si="1"/>
        <v>25</v>
      </c>
    </row>
    <row r="99" spans="1:10">
      <c r="A99" s="3017" t="str">
        <f>IF(D99="","", "HT-" &amp; IFERROR(VLOOKUP(C99, Catalogos!$Z$4:$AA$20, 2, FALSE), "FOL") &amp; "-" &amp; IF(B99="","00", WEEKNUM(B99,2)) &amp; "-" &amp; TEXT(ROW(A96),"000"))</f>
        <v>HT-LT-25-096</v>
      </c>
      <c r="B99" s="3011">
        <v>46192</v>
      </c>
      <c r="C99" s="2796" t="s">
        <v>2</v>
      </c>
      <c r="D99" s="2797" t="s">
        <v>227</v>
      </c>
      <c r="E99" s="3018" t="str">
        <f>IF(D99="","", IFERROR(INDEX(Catalogos!$W$4:$W$100, MATCH(D99, Catalogos!$V$4:$V$100, 0)), ""))</f>
        <v>BR-05</v>
      </c>
      <c r="F99" s="3019">
        <f>IF(D99="","", IFERROR(INDEX(Catalogos!$Y$4:$Y$100, MATCH(D99, Catalogos!$V$4:$V$100, 0)), ""))</f>
        <v>0</v>
      </c>
      <c r="G99" s="3020">
        <v>2</v>
      </c>
      <c r="H99" s="3021"/>
      <c r="I99">
        <f>IF(E99="","", G99 * IFERROR(INDEX(Maquinaria_Inventario!$K$2:$K$100, MATCH(E99, Maquinaria_Inventario!$L$2:$L$100, 0)), 0))</f>
        <v>0</v>
      </c>
      <c r="J99">
        <f t="shared" si="1"/>
        <v>25</v>
      </c>
    </row>
    <row r="100" spans="1:10">
      <c r="A100" s="3022" t="str">
        <f>IF(D100="","", "HT-" &amp; IFERROR(VLOOKUP(C100, Catalogos!$Z$4:$AA$20, 2, FALSE), "FOL") &amp; "-" &amp; IF(B100="","00", WEEKNUM(B100,2)) &amp; "-" &amp; TEXT(ROW(A97),"000"))</f>
        <v>HT-LT-25-097</v>
      </c>
      <c r="B100" s="3011">
        <v>46192</v>
      </c>
      <c r="C100" s="2803" t="s">
        <v>2</v>
      </c>
      <c r="D100" s="2804" t="s">
        <v>209</v>
      </c>
      <c r="E100" s="3023" t="str">
        <f>IF(D100="","", IFERROR(INDEX(Catalogos!$W$4:$W$100, MATCH(D100, Catalogos!$V$4:$V$100, 0)), ""))</f>
        <v>RT-03</v>
      </c>
      <c r="F100" s="3024">
        <f>IF(D100="","", IFERROR(INDEX(Catalogos!$Y$4:$Y$100, MATCH(D100, Catalogos!$V$4:$V$100, 0)), ""))</f>
        <v>0</v>
      </c>
      <c r="G100" s="3025">
        <v>2</v>
      </c>
      <c r="H100" s="3026"/>
      <c r="I100">
        <f>IF(E100="","", G100 * IFERROR(INDEX(Maquinaria_Inventario!$K$2:$K$100, MATCH(E100, Maquinaria_Inventario!$L$2:$L$100, 0)), 0))</f>
        <v>0</v>
      </c>
      <c r="J100">
        <f t="shared" si="1"/>
        <v>25</v>
      </c>
    </row>
    <row r="101" spans="1:10">
      <c r="A101" s="3027" t="str">
        <f>IF(D101="","", "HT-" &amp; IFERROR(VLOOKUP(C101, Catalogos!$Z$4:$AA$20, 2, FALSE), "FOL") &amp; "-" &amp; IF(B101="","00", WEEKNUM(B101,2)) &amp; "-" &amp; TEXT(ROW(A98),"000"))</f>
        <v>HT-LT-25-098</v>
      </c>
      <c r="B101" s="3011">
        <v>46192</v>
      </c>
      <c r="C101" s="2810" t="s">
        <v>2</v>
      </c>
      <c r="D101" s="2811" t="s">
        <v>367</v>
      </c>
      <c r="E101" s="3028" t="str">
        <f>IF(D101="","", IFERROR(INDEX(Catalogos!$W$4:$W$100, MATCH(D101, Catalogos!$V$4:$V$100, 0)), ""))</f>
        <v>VG-02</v>
      </c>
      <c r="F101" s="3029">
        <f>IF(D101="","", IFERROR(INDEX(Catalogos!$Y$4:$Y$100, MATCH(D101, Catalogos!$V$4:$V$100, 0)), ""))</f>
        <v>0</v>
      </c>
      <c r="G101" s="3030">
        <v>2</v>
      </c>
      <c r="H101" s="3031"/>
      <c r="I101">
        <f>IF(E101="","", G101 * IFERROR(INDEX(Maquinaria_Inventario!$K$2:$K$100, MATCH(E101, Maquinaria_Inventario!$L$2:$L$100, 0)), 0))</f>
        <v>0</v>
      </c>
      <c r="J101">
        <f t="shared" si="1"/>
        <v>25</v>
      </c>
    </row>
    <row r="102" spans="1:10">
      <c r="A102" s="3032" t="str">
        <f>IF(D102="","", "HT-" &amp; IFERROR(VLOOKUP(C102, Catalogos!$Z$4:$AA$20, 2, FALSE), "FOL") &amp; "-" &amp; IF(B102="","00", WEEKNUM(B102,2)) &amp; "-" &amp; TEXT(ROW(A99),"000"))</f>
        <v>HT-LT-25-099</v>
      </c>
      <c r="B102" s="3011">
        <v>46192</v>
      </c>
      <c r="C102" s="2817" t="s">
        <v>2</v>
      </c>
      <c r="D102" s="2818" t="s">
        <v>219</v>
      </c>
      <c r="E102" s="3033" t="str">
        <f>IF(D102="","", IFERROR(INDEX(Catalogos!$W$4:$W$100, MATCH(D102, Catalogos!$V$4:$V$100, 0)), ""))</f>
        <v>DR-01</v>
      </c>
      <c r="F102" s="3034" t="str">
        <f>IF(D102="","", IFERROR(INDEX(Catalogos!$Y$4:$Y$100, MATCH(D102, Catalogos!$V$4:$V$100, 0)), ""))</f>
        <v>POR ASIGNAR</v>
      </c>
      <c r="G102" s="3035">
        <v>2</v>
      </c>
      <c r="H102" s="3036"/>
      <c r="I102">
        <f>IF(E102="","", G102 * IFERROR(INDEX(Maquinaria_Inventario!$K$2:$K$100, MATCH(E102, Maquinaria_Inventario!$L$2:$L$100, 0)), 0))</f>
        <v>0</v>
      </c>
      <c r="J102">
        <f t="shared" si="1"/>
        <v>25</v>
      </c>
    </row>
    <row r="103" spans="1:10">
      <c r="A103" s="3037" t="str">
        <f>IF(D103="","", "HT-" &amp; IFERROR(VLOOKUP(C103, Catalogos!$Z$4:$AA$20, 2, FALSE), "FOL") &amp; "-" &amp; IF(B103="","00", WEEKNUM(B103,2)) &amp; "-" &amp; TEXT(ROW(A100),"000"))</f>
        <v>HT-LT-25-100</v>
      </c>
      <c r="B103" s="3011">
        <v>46192</v>
      </c>
      <c r="C103" s="2824" t="s">
        <v>2</v>
      </c>
      <c r="D103" s="2825" t="s">
        <v>223</v>
      </c>
      <c r="E103" s="3038" t="str">
        <f>IF(D103="","", IFERROR(INDEX(Catalogos!$W$4:$W$100, MATCH(D103, Catalogos!$V$4:$V$100, 0)), ""))</f>
        <v>NM-01</v>
      </c>
      <c r="F103" s="3039" t="str">
        <f>IF(D103="","", IFERROR(INDEX(Catalogos!$Y$4:$Y$100, MATCH(D103, Catalogos!$V$4:$V$100, 0)), ""))</f>
        <v>Marco Antonio Estrada Arellano</v>
      </c>
      <c r="G103" s="3040">
        <v>2</v>
      </c>
      <c r="H103" s="3041"/>
      <c r="I103">
        <f>IF(E103="","", G103 * IFERROR(INDEX(Maquinaria_Inventario!$K$2:$K$100, MATCH(E103, Maquinaria_Inventario!$L$2:$L$100, 0)), 0))</f>
        <v>0</v>
      </c>
      <c r="J103">
        <f t="shared" si="1"/>
        <v>25</v>
      </c>
    </row>
    <row r="104" spans="1:10">
      <c r="A104" s="3042" t="str">
        <f>IF(D104="","", "HT-" &amp; IFERROR(VLOOKUP(C104, Catalogos!$Z$4:$AA$20, 2, FALSE), "FOL") &amp; "-" &amp; IF(B104="","00", WEEKNUM(B104,2)) &amp; "-" &amp; TEXT(ROW(A101),"000"))</f>
        <v>HT-LT-25-101</v>
      </c>
      <c r="B104" s="3011">
        <v>46192</v>
      </c>
      <c r="C104" s="2831" t="s">
        <v>2</v>
      </c>
      <c r="D104" s="2832" t="s">
        <v>231</v>
      </c>
      <c r="E104" s="3043" t="str">
        <f>IF(D104="","", IFERROR(INDEX(Catalogos!$W$4:$W$100, MATCH(D104, Catalogos!$V$4:$V$100, 0)), ""))</f>
        <v>CI-01</v>
      </c>
      <c r="F104" s="3044">
        <f>IF(D104="","", IFERROR(INDEX(Catalogos!$Y$4:$Y$100, MATCH(D104, Catalogos!$V$4:$V$100, 0)), ""))</f>
        <v>0</v>
      </c>
      <c r="G104" s="3045">
        <v>4</v>
      </c>
      <c r="H104" s="3046"/>
      <c r="I104">
        <f>IF(E104="","", G104 * IFERROR(INDEX(Maquinaria_Inventario!$K$2:$K$100, MATCH(E104, Maquinaria_Inventario!$L$2:$L$100, 0)), 0))</f>
        <v>0</v>
      </c>
      <c r="J104">
        <f t="shared" si="1"/>
        <v>25</v>
      </c>
    </row>
    <row r="105" spans="1:10">
      <c r="A105" s="3047" t="str">
        <f>IF(D105="","", "HT-" &amp; IFERROR(VLOOKUP(C105, Catalogos!$Z$4:$AA$20, 2, FALSE), "FOL") &amp; "-" &amp; IF(B105="","00", WEEKNUM(B105,2)) &amp; "-" &amp; TEXT(ROW(A102),"000"))</f>
        <v>HT-LT-25-102</v>
      </c>
      <c r="B105" s="3011">
        <v>46192</v>
      </c>
      <c r="C105" s="2838" t="s">
        <v>2</v>
      </c>
      <c r="D105" s="2839" t="s">
        <v>378</v>
      </c>
      <c r="E105" s="3048" t="str">
        <f>IF(D105="","", IFERROR(INDEX(Catalogos!$W$4:$W$100, MATCH(D105, Catalogos!$V$4:$V$100, 0)), ""))</f>
        <v>CPR-01</v>
      </c>
      <c r="F105" s="3049" t="str">
        <f>IF(D105="","", IFERROR(INDEX(Catalogos!$Y$4:$Y$100, MATCH(D105, Catalogos!$V$4:$V$100, 0)), ""))</f>
        <v>Eduardo Guadarrama Garcia</v>
      </c>
      <c r="G105" s="3050">
        <v>1</v>
      </c>
      <c r="H105" s="3051"/>
      <c r="I105">
        <f>IF(E105="","", G105 * IFERROR(INDEX(Maquinaria_Inventario!$K$2:$K$100, MATCH(E105, Maquinaria_Inventario!$L$2:$L$100, 0)), 0))</f>
        <v>0</v>
      </c>
      <c r="J105">
        <f t="shared" si="1"/>
        <v>25</v>
      </c>
    </row>
    <row r="106" spans="1:10">
      <c r="A106" s="3052" t="str">
        <f>IF(D106="","", "HT-" &amp; IFERROR(VLOOKUP(C106, Catalogos!$Z$4:$AA$20, 2, FALSE), "FOL") &amp; "-" &amp; IF(B106="","00", WEEKNUM(B106,2)) &amp; "-" &amp; TEXT(ROW(A103),"000"))</f>
        <v>HT-LT-25-103</v>
      </c>
      <c r="B106" s="3011">
        <v>46192</v>
      </c>
      <c r="C106" s="2845" t="s">
        <v>2</v>
      </c>
      <c r="D106" s="2846" t="s">
        <v>383</v>
      </c>
      <c r="E106" s="3053" t="str">
        <f>IF(D106="","", IFERROR(INDEX(Catalogos!$W$4:$W$100, MATCH(D106, Catalogos!$V$4:$V$100, 0)), ""))</f>
        <v>PT-02</v>
      </c>
      <c r="F106" s="3054" t="str">
        <f>IF(D106="","", IFERROR(INDEX(Catalogos!$Y$4:$Y$100, MATCH(D106, Catalogos!$V$4:$V$100, 0)), ""))</f>
        <v>Francisco Gomora Angeles / Elthon Eduardo</v>
      </c>
      <c r="G106" s="3055">
        <v>4</v>
      </c>
      <c r="H106" s="3056"/>
      <c r="I106">
        <f>IF(E106="","", G106 * IFERROR(INDEX(Maquinaria_Inventario!$K$2:$K$100, MATCH(E106, Maquinaria_Inventario!$L$2:$L$100, 0)), 0))</f>
        <v>0</v>
      </c>
      <c r="J106">
        <f t="shared" si="1"/>
        <v>25</v>
      </c>
    </row>
    <row r="107" spans="1:10">
      <c r="A107" s="3057" t="str">
        <f>IF(D107="","", "HT-" &amp; IFERROR(VLOOKUP(C107, Catalogos!$Z$4:$AA$20, 2, FALSE), "FOL") &amp; "-" &amp; IF(B107="","00", WEEKNUM(B107,2)) &amp; "-" &amp; TEXT(ROW(A104),"000"))</f>
        <v>HT-LT-25-104</v>
      </c>
      <c r="B107" s="3011">
        <v>46192</v>
      </c>
      <c r="C107" s="2852" t="s">
        <v>2</v>
      </c>
      <c r="D107" s="2853" t="s">
        <v>235</v>
      </c>
      <c r="E107" s="3058" t="str">
        <f>IF(D107="","", IFERROR(INDEX(Catalogos!$W$4:$W$100, MATCH(D107, Catalogos!$V$4:$V$100, 0)), ""))</f>
        <v>PP-01</v>
      </c>
      <c r="F107" s="3059">
        <f>IF(D107="","", IFERROR(INDEX(Catalogos!$Y$4:$Y$100, MATCH(D107, Catalogos!$V$4:$V$100, 0)), ""))</f>
        <v>0</v>
      </c>
      <c r="G107" s="3060">
        <v>4</v>
      </c>
      <c r="H107" s="3061"/>
      <c r="I107">
        <f>IF(E107="","", G107 * IFERROR(INDEX(Maquinaria_Inventario!$K$2:$K$100, MATCH(E107, Maquinaria_Inventario!$L$2:$L$100, 0)), 0))</f>
        <v>0</v>
      </c>
      <c r="J107">
        <f t="shared" si="1"/>
        <v>25</v>
      </c>
    </row>
    <row r="108" spans="1:10">
      <c r="A108" s="3063" t="str">
        <f>IF(D108="","", "HT-" &amp; IFERROR(VLOOKUP(C108, Catalogos!$Z$4:$AA$20, 2, FALSE), "FOL") &amp; "-" &amp; IF(B108="","00", WEEKNUM(B108,2)) &amp; "-" &amp; TEXT(ROW(A105),"000"))</f>
        <v/>
      </c>
      <c r="B108" s="3062"/>
      <c r="C108" s="3064"/>
      <c r="D108" s="3065"/>
      <c r="E108" s="3066" t="str">
        <f>IF(D108="","", IFERROR(INDEX(Catalogos!$W$4:$W$100, MATCH(D108, Catalogos!$V$4:$V$100, 0)), ""))</f>
        <v/>
      </c>
      <c r="F108" s="3067" t="str">
        <f>IF(D108="","", IFERROR(INDEX(Catalogos!$Y$4:$Y$100, MATCH(D108, Catalogos!$V$4:$V$100, 0)), ""))</f>
        <v/>
      </c>
      <c r="G108" s="3068"/>
      <c r="H108" s="3069"/>
      <c r="I108" t="str">
        <f>IF(E108="","", G108 * IFERROR(INDEX(Maquinaria_Inventario!$K$2:$K$100, MATCH(E108, Maquinaria_Inventario!$L$2:$L$100, 0)), 0))</f>
        <v/>
      </c>
      <c r="J108" t="str">
        <f t="shared" si="1"/>
        <v/>
      </c>
    </row>
    <row r="109" spans="1:10">
      <c r="A109" s="3071" t="str">
        <f>IF(D109="","", "HT-" &amp; IFERROR(VLOOKUP(C109, Catalogos!$Z$4:$AA$20, 2, FALSE), "FOL") &amp; "-" &amp; IF(B109="","00", WEEKNUM(B109,2)) &amp; "-" &amp; TEXT(ROW(A106),"000"))</f>
        <v/>
      </c>
      <c r="B109" s="3070"/>
      <c r="C109" s="3072"/>
      <c r="D109" s="3073"/>
      <c r="E109" s="3074" t="str">
        <f>IF(D109="","", IFERROR(INDEX(Catalogos!$W$4:$W$100, MATCH(D109, Catalogos!$V$4:$V$100, 0)), ""))</f>
        <v/>
      </c>
      <c r="F109" s="3075" t="str">
        <f>IF(D109="","", IFERROR(INDEX(Catalogos!$Y$4:$Y$100, MATCH(D109, Catalogos!$V$4:$V$100, 0)), ""))</f>
        <v/>
      </c>
      <c r="G109" s="3076"/>
      <c r="H109" s="3077"/>
      <c r="I109" t="str">
        <f>IF(E109="","", G109 * IFERROR(INDEX(Maquinaria_Inventario!$K$2:$K$100, MATCH(E109, Maquinaria_Inventario!$L$2:$L$100, 0)), 0))</f>
        <v/>
      </c>
      <c r="J109" t="str">
        <f t="shared" si="1"/>
        <v/>
      </c>
    </row>
    <row r="110" spans="1:10">
      <c r="A110" s="3079" t="str">
        <f>IF(D110="","", "HT-" &amp; IFERROR(VLOOKUP(C110, Catalogos!$Z$4:$AA$20, 2, FALSE), "FOL") &amp; "-" &amp; IF(B110="","00", WEEKNUM(B110,2)) &amp; "-" &amp; TEXT(ROW(A107),"000"))</f>
        <v/>
      </c>
      <c r="B110" s="3078"/>
      <c r="C110" s="3080"/>
      <c r="D110" s="3081"/>
      <c r="E110" s="3082" t="str">
        <f>IF(D110="","", IFERROR(INDEX(Catalogos!$W$4:$W$100, MATCH(D110, Catalogos!$V$4:$V$100, 0)), ""))</f>
        <v/>
      </c>
      <c r="F110" s="3083" t="str">
        <f>IF(D110="","", IFERROR(INDEX(Catalogos!$Y$4:$Y$100, MATCH(D110, Catalogos!$V$4:$V$100, 0)), ""))</f>
        <v/>
      </c>
      <c r="G110" s="3084"/>
      <c r="H110" s="3085"/>
      <c r="I110" t="str">
        <f>IF(E110="","", G110 * IFERROR(INDEX(Maquinaria_Inventario!$K$2:$K$100, MATCH(E110, Maquinaria_Inventario!$L$2:$L$100, 0)), 0))</f>
        <v/>
      </c>
      <c r="J110" t="str">
        <f t="shared" si="1"/>
        <v/>
      </c>
    </row>
    <row r="111" spans="1:10">
      <c r="A111" s="3087" t="str">
        <f>IF(D111="","", "HT-" &amp; IFERROR(VLOOKUP(C111, Catalogos!$Z$4:$AA$20, 2, FALSE), "FOL") &amp; "-" &amp; IF(B111="","00", WEEKNUM(B111,2)) &amp; "-" &amp; TEXT(ROW(A108),"000"))</f>
        <v/>
      </c>
      <c r="B111" s="3086"/>
      <c r="C111" s="3088"/>
      <c r="D111" s="3089"/>
      <c r="E111" s="3090" t="str">
        <f>IF(D111="","", IFERROR(INDEX(Catalogos!$W$4:$W$100, MATCH(D111, Catalogos!$V$4:$V$100, 0)), ""))</f>
        <v/>
      </c>
      <c r="F111" s="3091" t="str">
        <f>IF(D111="","", IFERROR(INDEX(Catalogos!$Y$4:$Y$100, MATCH(D111, Catalogos!$V$4:$V$100, 0)), ""))</f>
        <v/>
      </c>
      <c r="G111" s="3092"/>
      <c r="H111" s="3093"/>
      <c r="I111" t="str">
        <f>IF(E111="","", G111 * IFERROR(INDEX(Maquinaria_Inventario!$K$2:$K$100, MATCH(E111, Maquinaria_Inventario!$L$2:$L$100, 0)), 0))</f>
        <v/>
      </c>
      <c r="J111" t="str">
        <f t="shared" si="1"/>
        <v/>
      </c>
    </row>
    <row r="112" spans="1:10">
      <c r="A112" s="3095" t="str">
        <f>IF(D112="","", "HT-" &amp; IFERROR(VLOOKUP(C112, Catalogos!$Z$4:$AA$20, 2, FALSE), "FOL") &amp; "-" &amp; IF(B112="","00", WEEKNUM(B112,2)) &amp; "-" &amp; TEXT(ROW(A109),"000"))</f>
        <v/>
      </c>
      <c r="B112" s="3094"/>
      <c r="C112" s="3096"/>
      <c r="D112" s="3097"/>
      <c r="E112" s="3098" t="str">
        <f>IF(D112="","", IFERROR(INDEX(Catalogos!$W$4:$W$100, MATCH(D112, Catalogos!$V$4:$V$100, 0)), ""))</f>
        <v/>
      </c>
      <c r="F112" s="3099" t="str">
        <f>IF(D112="","", IFERROR(INDEX(Catalogos!$Y$4:$Y$100, MATCH(D112, Catalogos!$V$4:$V$100, 0)), ""))</f>
        <v/>
      </c>
      <c r="G112" s="3100"/>
      <c r="H112" s="3101"/>
      <c r="I112" t="str">
        <f>IF(E112="","", G112 * IFERROR(INDEX(Maquinaria_Inventario!$K$2:$K$100, MATCH(E112, Maquinaria_Inventario!$L$2:$L$100, 0)), 0))</f>
        <v/>
      </c>
      <c r="J112" t="str">
        <f t="shared" si="1"/>
        <v/>
      </c>
    </row>
    <row r="113" spans="1:10">
      <c r="A113" s="3103" t="str">
        <f>IF(D113="","", "HT-" &amp; IFERROR(VLOOKUP(C113, Catalogos!$Z$4:$AA$20, 2, FALSE), "FOL") &amp; "-" &amp; IF(B113="","00", WEEKNUM(B113,2)) &amp; "-" &amp; TEXT(ROW(A110),"000"))</f>
        <v/>
      </c>
      <c r="B113" s="3102"/>
      <c r="C113" s="3104"/>
      <c r="D113" s="3105"/>
      <c r="E113" s="3106" t="str">
        <f>IF(D113="","", IFERROR(INDEX(Catalogos!$W$4:$W$100, MATCH(D113, Catalogos!$V$4:$V$100, 0)), ""))</f>
        <v/>
      </c>
      <c r="F113" s="3107" t="str">
        <f>IF(D113="","", IFERROR(INDEX(Catalogos!$Y$4:$Y$100, MATCH(D113, Catalogos!$V$4:$V$100, 0)), ""))</f>
        <v/>
      </c>
      <c r="G113" s="3108"/>
      <c r="H113" s="3109"/>
      <c r="I113" t="str">
        <f>IF(E113="","", G113 * IFERROR(INDEX(Maquinaria_Inventario!$K$2:$K$100, MATCH(E113, Maquinaria_Inventario!$L$2:$L$100, 0)), 0))</f>
        <v/>
      </c>
      <c r="J113" t="str">
        <f t="shared" si="1"/>
        <v/>
      </c>
    </row>
    <row r="114" spans="1:10">
      <c r="A114" s="3111" t="str">
        <f>IF(D114="","", "HT-" &amp; IFERROR(VLOOKUP(C114, Catalogos!$Z$4:$AA$20, 2, FALSE), "FOL") &amp; "-" &amp; IF(B114="","00", WEEKNUM(B114,2)) &amp; "-" &amp; TEXT(ROW(A111),"000"))</f>
        <v/>
      </c>
      <c r="B114" s="3110"/>
      <c r="C114" s="3112"/>
      <c r="D114" s="3113"/>
      <c r="E114" s="3114" t="str">
        <f>IF(D114="","", IFERROR(INDEX(Catalogos!$W$4:$W$100, MATCH(D114, Catalogos!$V$4:$V$100, 0)), ""))</f>
        <v/>
      </c>
      <c r="F114" s="3115" t="str">
        <f>IF(D114="","", IFERROR(INDEX(Catalogos!$Y$4:$Y$100, MATCH(D114, Catalogos!$V$4:$V$100, 0)), ""))</f>
        <v/>
      </c>
      <c r="G114" s="3116"/>
      <c r="H114" s="3117"/>
      <c r="I114" t="str">
        <f>IF(E114="","", G114 * IFERROR(INDEX(Maquinaria_Inventario!$K$2:$K$100, MATCH(E114, Maquinaria_Inventario!$L$2:$L$100, 0)), 0))</f>
        <v/>
      </c>
      <c r="J114" t="str">
        <f t="shared" si="1"/>
        <v/>
      </c>
    </row>
    <row r="115" spans="1:10">
      <c r="A115" s="3119" t="str">
        <f>IF(D115="","", "HT-" &amp; IFERROR(VLOOKUP(C115, Catalogos!$Z$4:$AA$20, 2, FALSE), "FOL") &amp; "-" &amp; IF(B115="","00", WEEKNUM(B115,2)) &amp; "-" &amp; TEXT(ROW(A112),"000"))</f>
        <v/>
      </c>
      <c r="B115" s="3118"/>
      <c r="C115" s="3120"/>
      <c r="D115" s="3121"/>
      <c r="E115" s="3122" t="str">
        <f>IF(D115="","", IFERROR(INDEX(Catalogos!$W$4:$W$100, MATCH(D115, Catalogos!$V$4:$V$100, 0)), ""))</f>
        <v/>
      </c>
      <c r="F115" s="3123" t="str">
        <f>IF(D115="","", IFERROR(INDEX(Catalogos!$Y$4:$Y$100, MATCH(D115, Catalogos!$V$4:$V$100, 0)), ""))</f>
        <v/>
      </c>
      <c r="G115" s="3124"/>
      <c r="H115" s="3125"/>
      <c r="I115" t="str">
        <f>IF(E115="","", G115 * IFERROR(INDEX(Maquinaria_Inventario!$K$2:$K$100, MATCH(E115, Maquinaria_Inventario!$L$2:$L$100, 0)), 0))</f>
        <v/>
      </c>
      <c r="J115" t="str">
        <f t="shared" si="1"/>
        <v/>
      </c>
    </row>
    <row r="116" spans="1:10">
      <c r="A116" s="3127" t="str">
        <f>IF(D116="","", "HT-" &amp; IFERROR(VLOOKUP(C116, Catalogos!$Z$4:$AA$20, 2, FALSE), "FOL") &amp; "-" &amp; IF(B116="","00", WEEKNUM(B116,2)) &amp; "-" &amp; TEXT(ROW(A113),"000"))</f>
        <v/>
      </c>
      <c r="B116" s="3126"/>
      <c r="C116" s="3128"/>
      <c r="D116" s="3129"/>
      <c r="E116" s="3130" t="str">
        <f>IF(D116="","", IFERROR(INDEX(Catalogos!$W$4:$W$100, MATCH(D116, Catalogos!$V$4:$V$100, 0)), ""))</f>
        <v/>
      </c>
      <c r="F116" s="3131" t="str">
        <f>IF(D116="","", IFERROR(INDEX(Catalogos!$Y$4:$Y$100, MATCH(D116, Catalogos!$V$4:$V$100, 0)), ""))</f>
        <v/>
      </c>
      <c r="G116" s="3132"/>
      <c r="H116" s="3133"/>
      <c r="I116" t="str">
        <f>IF(E116="","", G116 * IFERROR(INDEX(Maquinaria_Inventario!$K$2:$K$100, MATCH(E116, Maquinaria_Inventario!$L$2:$L$100, 0)), 0))</f>
        <v/>
      </c>
      <c r="J116" t="str">
        <f t="shared" si="1"/>
        <v/>
      </c>
    </row>
    <row r="117" spans="1:10">
      <c r="A117" s="3135" t="str">
        <f>IF(D117="","", "HT-" &amp; IFERROR(VLOOKUP(C117, Catalogos!$Z$4:$AA$20, 2, FALSE), "FOL") &amp; "-" &amp; IF(B117="","00", WEEKNUM(B117,2)) &amp; "-" &amp; TEXT(ROW(A114),"000"))</f>
        <v/>
      </c>
      <c r="B117" s="3134"/>
      <c r="C117" s="3136"/>
      <c r="D117" s="3137"/>
      <c r="E117" s="3138" t="str">
        <f>IF(D117="","", IFERROR(INDEX(Catalogos!$W$4:$W$100, MATCH(D117, Catalogos!$V$4:$V$100, 0)), ""))</f>
        <v/>
      </c>
      <c r="F117" s="3139" t="str">
        <f>IF(D117="","", IFERROR(INDEX(Catalogos!$Y$4:$Y$100, MATCH(D117, Catalogos!$V$4:$V$100, 0)), ""))</f>
        <v/>
      </c>
      <c r="G117" s="3140"/>
      <c r="H117" s="3141"/>
      <c r="I117" t="str">
        <f>IF(E117="","", G117 * IFERROR(INDEX(Maquinaria_Inventario!$K$2:$K$100, MATCH(E117, Maquinaria_Inventario!$L$2:$L$100, 0)), 0))</f>
        <v/>
      </c>
      <c r="J117" t="str">
        <f t="shared" si="1"/>
        <v/>
      </c>
    </row>
    <row r="118" spans="1:10">
      <c r="A118" s="3143" t="str">
        <f>IF(D118="","", "HT-" &amp; IFERROR(VLOOKUP(C118, Catalogos!$Z$4:$AA$20, 2, FALSE), "FOL") &amp; "-" &amp; IF(B118="","00", WEEKNUM(B118,2)) &amp; "-" &amp; TEXT(ROW(A115),"000"))</f>
        <v/>
      </c>
      <c r="B118" s="3142"/>
      <c r="C118" s="3144"/>
      <c r="D118" s="3145"/>
      <c r="E118" s="3146" t="str">
        <f>IF(D118="","", IFERROR(INDEX(Catalogos!$W$4:$W$100, MATCH(D118, Catalogos!$V$4:$V$100, 0)), ""))</f>
        <v/>
      </c>
      <c r="F118" s="3147" t="str">
        <f>IF(D118="","", IFERROR(INDEX(Catalogos!$Y$4:$Y$100, MATCH(D118, Catalogos!$V$4:$V$100, 0)), ""))</f>
        <v/>
      </c>
      <c r="G118" s="3148"/>
      <c r="H118" s="3149"/>
      <c r="I118" t="str">
        <f>IF(E118="","", G118 * IFERROR(INDEX(Maquinaria_Inventario!$K$2:$K$100, MATCH(E118, Maquinaria_Inventario!$L$2:$L$100, 0)), 0))</f>
        <v/>
      </c>
      <c r="J118" t="str">
        <f t="shared" si="1"/>
        <v/>
      </c>
    </row>
    <row r="119" spans="1:10">
      <c r="A119" s="3151" t="str">
        <f>IF(D119="","", "HT-" &amp; IFERROR(VLOOKUP(C119, Catalogos!$Z$4:$AA$20, 2, FALSE), "FOL") &amp; "-" &amp; IF(B119="","00", WEEKNUM(B119,2)) &amp; "-" &amp; TEXT(ROW(A116),"000"))</f>
        <v/>
      </c>
      <c r="B119" s="3150"/>
      <c r="C119" s="3152"/>
      <c r="D119" s="3153"/>
      <c r="E119" s="3154" t="str">
        <f>IF(D119="","", IFERROR(INDEX(Catalogos!$W$4:$W$100, MATCH(D119, Catalogos!$V$4:$V$100, 0)), ""))</f>
        <v/>
      </c>
      <c r="F119" s="3155" t="str">
        <f>IF(D119="","", IFERROR(INDEX(Catalogos!$Y$4:$Y$100, MATCH(D119, Catalogos!$V$4:$V$100, 0)), ""))</f>
        <v/>
      </c>
      <c r="G119" s="3156"/>
      <c r="H119" s="3157"/>
      <c r="I119" t="str">
        <f>IF(E119="","", G119 * IFERROR(INDEX(Maquinaria_Inventario!$K$2:$K$100, MATCH(E119, Maquinaria_Inventario!$L$2:$L$100, 0)), 0))</f>
        <v/>
      </c>
      <c r="J119" t="str">
        <f t="shared" si="1"/>
        <v/>
      </c>
    </row>
    <row r="120" spans="1:10">
      <c r="A120" s="3159" t="str">
        <f>IF(D120="","", "HT-" &amp; IFERROR(VLOOKUP(C120, Catalogos!$Z$4:$AA$20, 2, FALSE), "FOL") &amp; "-" &amp; IF(B120="","00", WEEKNUM(B120,2)) &amp; "-" &amp; TEXT(ROW(A117),"000"))</f>
        <v/>
      </c>
      <c r="B120" s="3158"/>
      <c r="C120" s="3160"/>
      <c r="D120" s="3161"/>
      <c r="E120" s="3162" t="str">
        <f>IF(D120="","", IFERROR(INDEX(Catalogos!$W$4:$W$100, MATCH(D120, Catalogos!$V$4:$V$100, 0)), ""))</f>
        <v/>
      </c>
      <c r="F120" s="3163" t="str">
        <f>IF(D120="","", IFERROR(INDEX(Catalogos!$Y$4:$Y$100, MATCH(D120, Catalogos!$V$4:$V$100, 0)), ""))</f>
        <v/>
      </c>
      <c r="G120" s="3164"/>
      <c r="H120" s="3165"/>
      <c r="I120" t="str">
        <f>IF(E120="","", G120 * IFERROR(INDEX(Maquinaria_Inventario!$K$2:$K$100, MATCH(E120, Maquinaria_Inventario!$L$2:$L$100, 0)), 0))</f>
        <v/>
      </c>
      <c r="J120" t="str">
        <f t="shared" si="1"/>
        <v/>
      </c>
    </row>
    <row r="121" spans="1:10">
      <c r="A121" s="3167" t="str">
        <f>IF(D121="","", "HT-" &amp; IFERROR(VLOOKUP(C121, Catalogos!$Z$4:$AA$20, 2, FALSE), "FOL") &amp; "-" &amp; IF(B121="","00", WEEKNUM(B121,2)) &amp; "-" &amp; TEXT(ROW(A118),"000"))</f>
        <v/>
      </c>
      <c r="B121" s="3166"/>
      <c r="C121" s="3168"/>
      <c r="D121" s="3169"/>
      <c r="E121" s="3170" t="str">
        <f>IF(D121="","", IFERROR(INDEX(Catalogos!$W$4:$W$100, MATCH(D121, Catalogos!$V$4:$V$100, 0)), ""))</f>
        <v/>
      </c>
      <c r="F121" s="3171" t="str">
        <f>IF(D121="","", IFERROR(INDEX(Catalogos!$Y$4:$Y$100, MATCH(D121, Catalogos!$V$4:$V$100, 0)), ""))</f>
        <v/>
      </c>
      <c r="G121" s="3172"/>
      <c r="H121" s="3173"/>
      <c r="I121" t="str">
        <f>IF(E121="","", G121 * IFERROR(INDEX(Maquinaria_Inventario!$K$2:$K$100, MATCH(E121, Maquinaria_Inventario!$L$2:$L$100, 0)), 0))</f>
        <v/>
      </c>
      <c r="J121" t="str">
        <f t="shared" si="1"/>
        <v/>
      </c>
    </row>
    <row r="122" spans="1:10">
      <c r="A122" s="3175" t="str">
        <f>IF(D122="","", "HT-" &amp; IFERROR(VLOOKUP(C122, Catalogos!$Z$4:$AA$20, 2, FALSE), "FOL") &amp; "-" &amp; IF(B122="","00", WEEKNUM(B122,2)) &amp; "-" &amp; TEXT(ROW(A119),"000"))</f>
        <v/>
      </c>
      <c r="B122" s="3174"/>
      <c r="C122" s="3176"/>
      <c r="D122" s="3177"/>
      <c r="E122" s="3178" t="str">
        <f>IF(D122="","", IFERROR(INDEX(Catalogos!$W$4:$W$100, MATCH(D122, Catalogos!$V$4:$V$100, 0)), ""))</f>
        <v/>
      </c>
      <c r="F122" s="3179" t="str">
        <f>IF(D122="","", IFERROR(INDEX(Catalogos!$Y$4:$Y$100, MATCH(D122, Catalogos!$V$4:$V$100, 0)), ""))</f>
        <v/>
      </c>
      <c r="G122" s="3180"/>
      <c r="H122" s="3181"/>
      <c r="I122" t="str">
        <f>IF(E122="","", G122 * IFERROR(INDEX(Maquinaria_Inventario!$K$2:$K$100, MATCH(E122, Maquinaria_Inventario!$L$2:$L$100, 0)), 0))</f>
        <v/>
      </c>
      <c r="J122" t="str">
        <f t="shared" si="1"/>
        <v/>
      </c>
    </row>
    <row r="123" spans="1:10">
      <c r="A123" s="3183" t="str">
        <f>IF(D123="","", "HT-" &amp; IFERROR(VLOOKUP(C123, Catalogos!$Z$4:$AA$20, 2, FALSE), "FOL") &amp; "-" &amp; IF(B123="","00", WEEKNUM(B123,2)) &amp; "-" &amp; TEXT(ROW(A120),"000"))</f>
        <v/>
      </c>
      <c r="B123" s="3182"/>
      <c r="C123" s="3184"/>
      <c r="D123" s="3185"/>
      <c r="E123" s="3186" t="str">
        <f>IF(D123="","", IFERROR(INDEX(Catalogos!$W$4:$W$100, MATCH(D123, Catalogos!$V$4:$V$100, 0)), ""))</f>
        <v/>
      </c>
      <c r="F123" s="3187" t="str">
        <f>IF(D123="","", IFERROR(INDEX(Catalogos!$Y$4:$Y$100, MATCH(D123, Catalogos!$V$4:$V$100, 0)), ""))</f>
        <v/>
      </c>
      <c r="G123" s="3188"/>
      <c r="H123" s="3189"/>
      <c r="I123" t="str">
        <f>IF(E123="","", G123 * IFERROR(INDEX(Maquinaria_Inventario!$K$2:$K$100, MATCH(E123, Maquinaria_Inventario!$L$2:$L$100, 0)), 0))</f>
        <v/>
      </c>
      <c r="J123" t="str">
        <f t="shared" si="1"/>
        <v/>
      </c>
    </row>
    <row r="124" spans="1:10">
      <c r="A124" s="3191" t="str">
        <f>IF(D124="","", "HT-" &amp; IFERROR(VLOOKUP(C124, Catalogos!$Z$4:$AA$20, 2, FALSE), "FOL") &amp; "-" &amp; IF(B124="","00", WEEKNUM(B124,2)) &amp; "-" &amp; TEXT(ROW(A121),"000"))</f>
        <v/>
      </c>
      <c r="B124" s="3190"/>
      <c r="C124" s="3192"/>
      <c r="D124" s="3193"/>
      <c r="E124" s="3194" t="str">
        <f>IF(D124="","", IFERROR(INDEX(Catalogos!$W$4:$W$100, MATCH(D124, Catalogos!$V$4:$V$100, 0)), ""))</f>
        <v/>
      </c>
      <c r="F124" s="3195" t="str">
        <f>IF(D124="","", IFERROR(INDEX(Catalogos!$Y$4:$Y$100, MATCH(D124, Catalogos!$V$4:$V$100, 0)), ""))</f>
        <v/>
      </c>
      <c r="G124" s="3196"/>
      <c r="H124" s="3197"/>
      <c r="I124" t="str">
        <f>IF(E124="","", G124 * IFERROR(INDEX(Maquinaria_Inventario!$K$2:$K$100, MATCH(E124, Maquinaria_Inventario!$L$2:$L$100, 0)), 0))</f>
        <v/>
      </c>
      <c r="J124" t="str">
        <f t="shared" si="1"/>
        <v/>
      </c>
    </row>
    <row r="125" spans="1:10">
      <c r="A125" s="3199" t="str">
        <f>IF(D125="","", "HT-" &amp; IFERROR(VLOOKUP(C125, Catalogos!$Z$4:$AA$20, 2, FALSE), "FOL") &amp; "-" &amp; IF(B125="","00", WEEKNUM(B125,2)) &amp; "-" &amp; TEXT(ROW(A122),"000"))</f>
        <v/>
      </c>
      <c r="B125" s="3198"/>
      <c r="C125" s="3200"/>
      <c r="D125" s="3201"/>
      <c r="E125" s="3202" t="str">
        <f>IF(D125="","", IFERROR(INDEX(Catalogos!$W$4:$W$100, MATCH(D125, Catalogos!$V$4:$V$100, 0)), ""))</f>
        <v/>
      </c>
      <c r="F125" s="3203" t="str">
        <f>IF(D125="","", IFERROR(INDEX(Catalogos!$Y$4:$Y$100, MATCH(D125, Catalogos!$V$4:$V$100, 0)), ""))</f>
        <v/>
      </c>
      <c r="G125" s="3204"/>
      <c r="H125" s="3205"/>
      <c r="I125" t="str">
        <f>IF(E125="","", G125 * IFERROR(INDEX(Maquinaria_Inventario!$K$2:$K$100, MATCH(E125, Maquinaria_Inventario!$L$2:$L$100, 0)), 0))</f>
        <v/>
      </c>
      <c r="J125" t="str">
        <f t="shared" si="1"/>
        <v/>
      </c>
    </row>
    <row r="126" spans="1:10">
      <c r="A126" s="3207" t="str">
        <f>IF(D126="","", "HT-" &amp; IFERROR(VLOOKUP(C126, Catalogos!$Z$4:$AA$20, 2, FALSE), "FOL") &amp; "-" &amp; IF(B126="","00", WEEKNUM(B126,2)) &amp; "-" &amp; TEXT(ROW(A123),"000"))</f>
        <v/>
      </c>
      <c r="B126" s="3206"/>
      <c r="C126" s="3208"/>
      <c r="D126" s="3209"/>
      <c r="E126" s="3210" t="str">
        <f>IF(D126="","", IFERROR(INDEX(Catalogos!$W$4:$W$100, MATCH(D126, Catalogos!$V$4:$V$100, 0)), ""))</f>
        <v/>
      </c>
      <c r="F126" s="3211" t="str">
        <f>IF(D126="","", IFERROR(INDEX(Catalogos!$Y$4:$Y$100, MATCH(D126, Catalogos!$V$4:$V$100, 0)), ""))</f>
        <v/>
      </c>
      <c r="G126" s="3212"/>
      <c r="H126" s="3213"/>
      <c r="I126" t="str">
        <f>IF(E126="","", G126 * IFERROR(INDEX(Maquinaria_Inventario!$K$2:$K$100, MATCH(E126, Maquinaria_Inventario!$L$2:$L$100, 0)), 0))</f>
        <v/>
      </c>
      <c r="J126" t="str">
        <f t="shared" si="1"/>
        <v/>
      </c>
    </row>
    <row r="127" spans="1:10">
      <c r="A127" s="3215" t="str">
        <f>IF(D127="","", "HT-" &amp; IFERROR(VLOOKUP(C127, Catalogos!$Z$4:$AA$20, 2, FALSE), "FOL") &amp; "-" &amp; IF(B127="","00", WEEKNUM(B127,2)) &amp; "-" &amp; TEXT(ROW(A124),"000"))</f>
        <v/>
      </c>
      <c r="B127" s="3214"/>
      <c r="C127" s="3216"/>
      <c r="D127" s="3217"/>
      <c r="E127" s="3218" t="str">
        <f>IF(D127="","", IFERROR(INDEX(Catalogos!$W$4:$W$100, MATCH(D127, Catalogos!$V$4:$V$100, 0)), ""))</f>
        <v/>
      </c>
      <c r="F127" s="3219" t="str">
        <f>IF(D127="","", IFERROR(INDEX(Catalogos!$Y$4:$Y$100, MATCH(D127, Catalogos!$V$4:$V$100, 0)), ""))</f>
        <v/>
      </c>
      <c r="G127" s="3220"/>
      <c r="H127" s="3221"/>
      <c r="I127" t="str">
        <f>IF(E127="","", G127 * IFERROR(INDEX(Maquinaria_Inventario!$K$2:$K$100, MATCH(E127, Maquinaria_Inventario!$L$2:$L$100, 0)), 0))</f>
        <v/>
      </c>
      <c r="J127" t="str">
        <f t="shared" si="1"/>
        <v/>
      </c>
    </row>
    <row r="128" spans="1:10">
      <c r="A128" s="3223" t="str">
        <f>IF(D128="","", "HT-" &amp; IFERROR(VLOOKUP(C128, Catalogos!$Z$4:$AA$20, 2, FALSE), "FOL") &amp; "-" &amp; IF(B128="","00", WEEKNUM(B128,2)) &amp; "-" &amp; TEXT(ROW(A125),"000"))</f>
        <v/>
      </c>
      <c r="B128" s="3222"/>
      <c r="C128" s="3224"/>
      <c r="D128" s="3225"/>
      <c r="E128" s="3226" t="str">
        <f>IF(D128="","", IFERROR(INDEX(Catalogos!$W$4:$W$100, MATCH(D128, Catalogos!$V$4:$V$100, 0)), ""))</f>
        <v/>
      </c>
      <c r="F128" s="3227" t="str">
        <f>IF(D128="","", IFERROR(INDEX(Catalogos!$Y$4:$Y$100, MATCH(D128, Catalogos!$V$4:$V$100, 0)), ""))</f>
        <v/>
      </c>
      <c r="G128" s="3228"/>
      <c r="H128" s="3229"/>
      <c r="I128" t="str">
        <f>IF(E128="","", G128 * IFERROR(INDEX(Maquinaria_Inventario!$K$2:$K$100, MATCH(E128, Maquinaria_Inventario!$L$2:$L$100, 0)), 0))</f>
        <v/>
      </c>
      <c r="J128" t="str">
        <f t="shared" si="1"/>
        <v/>
      </c>
    </row>
    <row r="129" spans="1:10">
      <c r="A129" s="3231" t="str">
        <f>IF(D129="","", "HT-" &amp; IFERROR(VLOOKUP(C129, Catalogos!$Z$4:$AA$20, 2, FALSE), "FOL") &amp; "-" &amp; IF(B129="","00", WEEKNUM(B129,2)) &amp; "-" &amp; TEXT(ROW(A126),"000"))</f>
        <v/>
      </c>
      <c r="B129" s="3230"/>
      <c r="C129" s="3232"/>
      <c r="D129" s="3233"/>
      <c r="E129" s="3234" t="str">
        <f>IF(D129="","", IFERROR(INDEX(Catalogos!$W$4:$W$100, MATCH(D129, Catalogos!$V$4:$V$100, 0)), ""))</f>
        <v/>
      </c>
      <c r="F129" s="3235" t="str">
        <f>IF(D129="","", IFERROR(INDEX(Catalogos!$Y$4:$Y$100, MATCH(D129, Catalogos!$V$4:$V$100, 0)), ""))</f>
        <v/>
      </c>
      <c r="G129" s="3236"/>
      <c r="H129" s="3237"/>
      <c r="I129" t="str">
        <f>IF(E129="","", G129 * IFERROR(INDEX(Maquinaria_Inventario!$K$2:$K$100, MATCH(E129, Maquinaria_Inventario!$L$2:$L$100, 0)), 0))</f>
        <v/>
      </c>
      <c r="J129" t="str">
        <f t="shared" si="1"/>
        <v/>
      </c>
    </row>
    <row r="130" spans="1:10">
      <c r="A130" s="3239" t="str">
        <f>IF(D130="","", "HT-" &amp; IFERROR(VLOOKUP(C130, Catalogos!$Z$4:$AA$20, 2, FALSE), "FOL") &amp; "-" &amp; IF(B130="","00", WEEKNUM(B130,2)) &amp; "-" &amp; TEXT(ROW(A127),"000"))</f>
        <v/>
      </c>
      <c r="B130" s="3238"/>
      <c r="C130" s="3240"/>
      <c r="D130" s="3241"/>
      <c r="E130" s="3242" t="str">
        <f>IF(D130="","", IFERROR(INDEX(Catalogos!$W$4:$W$100, MATCH(D130, Catalogos!$V$4:$V$100, 0)), ""))</f>
        <v/>
      </c>
      <c r="F130" s="3243" t="str">
        <f>IF(D130="","", IFERROR(INDEX(Catalogos!$Y$4:$Y$100, MATCH(D130, Catalogos!$V$4:$V$100, 0)), ""))</f>
        <v/>
      </c>
      <c r="G130" s="3244"/>
      <c r="H130" s="3245"/>
      <c r="I130" t="str">
        <f>IF(E130="","", G130 * IFERROR(INDEX(Maquinaria_Inventario!$K$2:$K$100, MATCH(E130, Maquinaria_Inventario!$L$2:$L$100, 0)), 0))</f>
        <v/>
      </c>
      <c r="J130" t="str">
        <f t="shared" si="1"/>
        <v/>
      </c>
    </row>
    <row r="131" spans="1:10">
      <c r="A131" s="3247" t="str">
        <f>IF(D131="","", "HT-" &amp; IFERROR(VLOOKUP(C131, Catalogos!$Z$4:$AA$20, 2, FALSE), "FOL") &amp; "-" &amp; IF(B131="","00", WEEKNUM(B131,2)) &amp; "-" &amp; TEXT(ROW(A128),"000"))</f>
        <v/>
      </c>
      <c r="B131" s="3246"/>
      <c r="C131" s="3248"/>
      <c r="D131" s="3249"/>
      <c r="E131" s="3250" t="str">
        <f>IF(D131="","", IFERROR(INDEX(Catalogos!$W$4:$W$100, MATCH(D131, Catalogos!$V$4:$V$100, 0)), ""))</f>
        <v/>
      </c>
      <c r="F131" s="3251" t="str">
        <f>IF(D131="","", IFERROR(INDEX(Catalogos!$Y$4:$Y$100, MATCH(D131, Catalogos!$V$4:$V$100, 0)), ""))</f>
        <v/>
      </c>
      <c r="G131" s="3252"/>
      <c r="H131" s="3253"/>
      <c r="I131" t="str">
        <f>IF(E131="","", G131 * IFERROR(INDEX(Maquinaria_Inventario!$K$2:$K$100, MATCH(E131, Maquinaria_Inventario!$L$2:$L$100, 0)), 0))</f>
        <v/>
      </c>
      <c r="J131" t="str">
        <f t="shared" si="1"/>
        <v/>
      </c>
    </row>
    <row r="132" spans="1:10">
      <c r="A132" s="3255" t="str">
        <f>IF(D132="","", "HT-" &amp; IFERROR(VLOOKUP(C132, Catalogos!$Z$4:$AA$20, 2, FALSE), "FOL") &amp; "-" &amp; IF(B132="","00", WEEKNUM(B132,2)) &amp; "-" &amp; TEXT(ROW(A129),"000"))</f>
        <v/>
      </c>
      <c r="B132" s="3254"/>
      <c r="C132" s="3256"/>
      <c r="D132" s="3257"/>
      <c r="E132" s="3258" t="str">
        <f>IF(D132="","", IFERROR(INDEX(Catalogos!$W$4:$W$100, MATCH(D132, Catalogos!$V$4:$V$100, 0)), ""))</f>
        <v/>
      </c>
      <c r="F132" s="3259" t="str">
        <f>IF(D132="","", IFERROR(INDEX(Catalogos!$Y$4:$Y$100, MATCH(D132, Catalogos!$V$4:$V$100, 0)), ""))</f>
        <v/>
      </c>
      <c r="G132" s="3260"/>
      <c r="H132" s="3261"/>
      <c r="I132" t="str">
        <f>IF(E132="","", G132 * IFERROR(INDEX(Maquinaria_Inventario!$K$2:$K$100, MATCH(E132, Maquinaria_Inventario!$L$2:$L$100, 0)), 0))</f>
        <v/>
      </c>
      <c r="J132" t="str">
        <f t="shared" ref="J132:J195" si="2">IF(B132="","", WEEKNUM(B132, 2))</f>
        <v/>
      </c>
    </row>
    <row r="133" spans="1:10">
      <c r="A133" s="3263" t="str">
        <f>IF(D133="","", "HT-" &amp; IFERROR(VLOOKUP(C133, Catalogos!$Z$4:$AA$20, 2, FALSE), "FOL") &amp; "-" &amp; IF(B133="","00", WEEKNUM(B133,2)) &amp; "-" &amp; TEXT(ROW(A130),"000"))</f>
        <v/>
      </c>
      <c r="B133" s="3262"/>
      <c r="C133" s="3264"/>
      <c r="D133" s="3265"/>
      <c r="E133" s="3266" t="str">
        <f>IF(D133="","", IFERROR(INDEX(Catalogos!$W$4:$W$100, MATCH(D133, Catalogos!$V$4:$V$100, 0)), ""))</f>
        <v/>
      </c>
      <c r="F133" s="3267" t="str">
        <f>IF(D133="","", IFERROR(INDEX(Catalogos!$Y$4:$Y$100, MATCH(D133, Catalogos!$V$4:$V$100, 0)), ""))</f>
        <v/>
      </c>
      <c r="G133" s="3268"/>
      <c r="H133" s="3269"/>
      <c r="I133" t="str">
        <f>IF(E133="","", G133 * IFERROR(INDEX(Maquinaria_Inventario!$K$2:$K$100, MATCH(E133, Maquinaria_Inventario!$L$2:$L$100, 0)), 0))</f>
        <v/>
      </c>
      <c r="J133" t="str">
        <f t="shared" si="2"/>
        <v/>
      </c>
    </row>
    <row r="134" spans="1:10">
      <c r="A134" s="3271" t="str">
        <f>IF(D134="","", "HT-" &amp; IFERROR(VLOOKUP(C134, Catalogos!$Z$4:$AA$20, 2, FALSE), "FOL") &amp; "-" &amp; IF(B134="","00", WEEKNUM(B134,2)) &amp; "-" &amp; TEXT(ROW(A131),"000"))</f>
        <v/>
      </c>
      <c r="B134" s="3270"/>
      <c r="C134" s="3272"/>
      <c r="D134" s="3273"/>
      <c r="E134" s="3274" t="str">
        <f>IF(D134="","", IFERROR(INDEX(Catalogos!$W$4:$W$100, MATCH(D134, Catalogos!$V$4:$V$100, 0)), ""))</f>
        <v/>
      </c>
      <c r="F134" s="3275" t="str">
        <f>IF(D134="","", IFERROR(INDEX(Catalogos!$Y$4:$Y$100, MATCH(D134, Catalogos!$V$4:$V$100, 0)), ""))</f>
        <v/>
      </c>
      <c r="G134" s="3276"/>
      <c r="H134" s="3277"/>
      <c r="I134" t="str">
        <f>IF(E134="","", G134 * IFERROR(INDEX(Maquinaria_Inventario!$K$2:$K$100, MATCH(E134, Maquinaria_Inventario!$L$2:$L$100, 0)), 0))</f>
        <v/>
      </c>
      <c r="J134" t="str">
        <f t="shared" si="2"/>
        <v/>
      </c>
    </row>
    <row r="135" spans="1:10">
      <c r="A135" s="3279" t="str">
        <f>IF(D135="","", "HT-" &amp; IFERROR(VLOOKUP(C135, Catalogos!$Z$4:$AA$20, 2, FALSE), "FOL") &amp; "-" &amp; IF(B135="","00", WEEKNUM(B135,2)) &amp; "-" &amp; TEXT(ROW(A132),"000"))</f>
        <v/>
      </c>
      <c r="B135" s="3278"/>
      <c r="C135" s="3280"/>
      <c r="D135" s="3281"/>
      <c r="E135" s="3282" t="str">
        <f>IF(D135="","", IFERROR(INDEX(Catalogos!$W$4:$W$100, MATCH(D135, Catalogos!$V$4:$V$100, 0)), ""))</f>
        <v/>
      </c>
      <c r="F135" s="3283" t="str">
        <f>IF(D135="","", IFERROR(INDEX(Catalogos!$Y$4:$Y$100, MATCH(D135, Catalogos!$V$4:$V$100, 0)), ""))</f>
        <v/>
      </c>
      <c r="G135" s="3284"/>
      <c r="H135" s="3285"/>
      <c r="I135" t="str">
        <f>IF(E135="","", G135 * IFERROR(INDEX(Maquinaria_Inventario!$K$2:$K$100, MATCH(E135, Maquinaria_Inventario!$L$2:$L$100, 0)), 0))</f>
        <v/>
      </c>
      <c r="J135" t="str">
        <f t="shared" si="2"/>
        <v/>
      </c>
    </row>
    <row r="136" spans="1:10">
      <c r="A136" s="3287" t="str">
        <f>IF(D136="","", "HT-" &amp; IFERROR(VLOOKUP(C136, Catalogos!$Z$4:$AA$20, 2, FALSE), "FOL") &amp; "-" &amp; IF(B136="","00", WEEKNUM(B136,2)) &amp; "-" &amp; TEXT(ROW(A133),"000"))</f>
        <v/>
      </c>
      <c r="B136" s="3286"/>
      <c r="C136" s="3288"/>
      <c r="D136" s="3289"/>
      <c r="E136" s="3290" t="str">
        <f>IF(D136="","", IFERROR(INDEX(Catalogos!$W$4:$W$100, MATCH(D136, Catalogos!$V$4:$V$100, 0)), ""))</f>
        <v/>
      </c>
      <c r="F136" s="3291" t="str">
        <f>IF(D136="","", IFERROR(INDEX(Catalogos!$Y$4:$Y$100, MATCH(D136, Catalogos!$V$4:$V$100, 0)), ""))</f>
        <v/>
      </c>
      <c r="G136" s="3292"/>
      <c r="H136" s="3293"/>
      <c r="I136" t="str">
        <f>IF(E136="","", G136 * IFERROR(INDEX(Maquinaria_Inventario!$K$2:$K$100, MATCH(E136, Maquinaria_Inventario!$L$2:$L$100, 0)), 0))</f>
        <v/>
      </c>
      <c r="J136" t="str">
        <f t="shared" si="2"/>
        <v/>
      </c>
    </row>
    <row r="137" spans="1:10">
      <c r="A137" s="3295" t="str">
        <f>IF(D137="","", "HT-" &amp; IFERROR(VLOOKUP(C137, Catalogos!$Z$4:$AA$20, 2, FALSE), "FOL") &amp; "-" &amp; IF(B137="","00", WEEKNUM(B137,2)) &amp; "-" &amp; TEXT(ROW(A134),"000"))</f>
        <v/>
      </c>
      <c r="B137" s="3294"/>
      <c r="C137" s="3296"/>
      <c r="D137" s="3297"/>
      <c r="E137" s="3298" t="str">
        <f>IF(D137="","", IFERROR(INDEX(Catalogos!$W$4:$W$100, MATCH(D137, Catalogos!$V$4:$V$100, 0)), ""))</f>
        <v/>
      </c>
      <c r="F137" s="3299" t="str">
        <f>IF(D137="","", IFERROR(INDEX(Catalogos!$Y$4:$Y$100, MATCH(D137, Catalogos!$V$4:$V$100, 0)), ""))</f>
        <v/>
      </c>
      <c r="G137" s="3300"/>
      <c r="H137" s="3301"/>
      <c r="I137" t="str">
        <f>IF(E137="","", G137 * IFERROR(INDEX(Maquinaria_Inventario!$K$2:$K$100, MATCH(E137, Maquinaria_Inventario!$L$2:$L$100, 0)), 0))</f>
        <v/>
      </c>
      <c r="J137" t="str">
        <f t="shared" si="2"/>
        <v/>
      </c>
    </row>
    <row r="138" spans="1:10">
      <c r="A138" s="3303" t="str">
        <f>IF(D138="","", "HT-" &amp; IFERROR(VLOOKUP(C138, Catalogos!$Z$4:$AA$20, 2, FALSE), "FOL") &amp; "-" &amp; IF(B138="","00", WEEKNUM(B138,2)) &amp; "-" &amp; TEXT(ROW(A135),"000"))</f>
        <v/>
      </c>
      <c r="B138" s="3302"/>
      <c r="C138" s="3304"/>
      <c r="D138" s="3305"/>
      <c r="E138" s="3306" t="str">
        <f>IF(D138="","", IFERROR(INDEX(Catalogos!$W$4:$W$100, MATCH(D138, Catalogos!$V$4:$V$100, 0)), ""))</f>
        <v/>
      </c>
      <c r="F138" s="3307" t="str">
        <f>IF(D138="","", IFERROR(INDEX(Catalogos!$Y$4:$Y$100, MATCH(D138, Catalogos!$V$4:$V$100, 0)), ""))</f>
        <v/>
      </c>
      <c r="G138" s="3308"/>
      <c r="H138" s="3309"/>
      <c r="I138" t="str">
        <f>IF(E138="","", G138 * IFERROR(INDEX(Maquinaria_Inventario!$K$2:$K$100, MATCH(E138, Maquinaria_Inventario!$L$2:$L$100, 0)), 0))</f>
        <v/>
      </c>
      <c r="J138" t="str">
        <f t="shared" si="2"/>
        <v/>
      </c>
    </row>
    <row r="139" spans="1:10">
      <c r="A139" s="3311" t="str">
        <f>IF(D139="","", "HT-" &amp; IFERROR(VLOOKUP(C139, Catalogos!$Z$4:$AA$20, 2, FALSE), "FOL") &amp; "-" &amp; IF(B139="","00", WEEKNUM(B139,2)) &amp; "-" &amp; TEXT(ROW(A136),"000"))</f>
        <v/>
      </c>
      <c r="B139" s="3310"/>
      <c r="C139" s="3312"/>
      <c r="D139" s="3313"/>
      <c r="E139" s="3314" t="str">
        <f>IF(D139="","", IFERROR(INDEX(Catalogos!$W$4:$W$100, MATCH(D139, Catalogos!$V$4:$V$100, 0)), ""))</f>
        <v/>
      </c>
      <c r="F139" s="3315" t="str">
        <f>IF(D139="","", IFERROR(INDEX(Catalogos!$Y$4:$Y$100, MATCH(D139, Catalogos!$V$4:$V$100, 0)), ""))</f>
        <v/>
      </c>
      <c r="G139" s="3316"/>
      <c r="H139" s="3317"/>
      <c r="I139" t="str">
        <f>IF(E139="","", G139 * IFERROR(INDEX(Maquinaria_Inventario!$K$2:$K$100, MATCH(E139, Maquinaria_Inventario!$L$2:$L$100, 0)), 0))</f>
        <v/>
      </c>
      <c r="J139" t="str">
        <f t="shared" si="2"/>
        <v/>
      </c>
    </row>
    <row r="140" spans="1:10">
      <c r="A140" s="3319" t="str">
        <f>IF(D140="","", "HT-" &amp; IFERROR(VLOOKUP(C140, Catalogos!$Z$4:$AA$20, 2, FALSE), "FOL") &amp; "-" &amp; IF(B140="","00", WEEKNUM(B140,2)) &amp; "-" &amp; TEXT(ROW(A137),"000"))</f>
        <v/>
      </c>
      <c r="B140" s="3318"/>
      <c r="C140" s="3320"/>
      <c r="D140" s="3321"/>
      <c r="E140" s="3322" t="str">
        <f>IF(D140="","", IFERROR(INDEX(Catalogos!$W$4:$W$100, MATCH(D140, Catalogos!$V$4:$V$100, 0)), ""))</f>
        <v/>
      </c>
      <c r="F140" s="3323" t="str">
        <f>IF(D140="","", IFERROR(INDEX(Catalogos!$Y$4:$Y$100, MATCH(D140, Catalogos!$V$4:$V$100, 0)), ""))</f>
        <v/>
      </c>
      <c r="G140" s="3324"/>
      <c r="H140" s="3325"/>
      <c r="I140" t="str">
        <f>IF(E140="","", G140 * IFERROR(INDEX(Maquinaria_Inventario!$K$2:$K$100, MATCH(E140, Maquinaria_Inventario!$L$2:$L$100, 0)), 0))</f>
        <v/>
      </c>
      <c r="J140" t="str">
        <f t="shared" si="2"/>
        <v/>
      </c>
    </row>
    <row r="141" spans="1:10">
      <c r="A141" s="3327" t="str">
        <f>IF(D141="","", "HT-" &amp; IFERROR(VLOOKUP(C141, Catalogos!$Z$4:$AA$20, 2, FALSE), "FOL") &amp; "-" &amp; IF(B141="","00", WEEKNUM(B141,2)) &amp; "-" &amp; TEXT(ROW(A138),"000"))</f>
        <v/>
      </c>
      <c r="B141" s="3326"/>
      <c r="C141" s="3328"/>
      <c r="D141" s="3329"/>
      <c r="E141" s="3330" t="str">
        <f>IF(D141="","", IFERROR(INDEX(Catalogos!$W$4:$W$100, MATCH(D141, Catalogos!$V$4:$V$100, 0)), ""))</f>
        <v/>
      </c>
      <c r="F141" s="3331" t="str">
        <f>IF(D141="","", IFERROR(INDEX(Catalogos!$Y$4:$Y$100, MATCH(D141, Catalogos!$V$4:$V$100, 0)), ""))</f>
        <v/>
      </c>
      <c r="G141" s="3332"/>
      <c r="H141" s="3333"/>
      <c r="I141" t="str">
        <f>IF(E141="","", G141 * IFERROR(INDEX(Maquinaria_Inventario!$K$2:$K$100, MATCH(E141, Maquinaria_Inventario!$L$2:$L$100, 0)), 0))</f>
        <v/>
      </c>
      <c r="J141" t="str">
        <f t="shared" si="2"/>
        <v/>
      </c>
    </row>
    <row r="142" spans="1:10">
      <c r="A142" s="3335" t="str">
        <f>IF(D142="","", "HT-" &amp; IFERROR(VLOOKUP(C142, Catalogos!$Z$4:$AA$20, 2, FALSE), "FOL") &amp; "-" &amp; IF(B142="","00", WEEKNUM(B142,2)) &amp; "-" &amp; TEXT(ROW(A139),"000"))</f>
        <v/>
      </c>
      <c r="B142" s="3334"/>
      <c r="C142" s="3336"/>
      <c r="D142" s="3337"/>
      <c r="E142" s="3338" t="str">
        <f>IF(D142="","", IFERROR(INDEX(Catalogos!$W$4:$W$100, MATCH(D142, Catalogos!$V$4:$V$100, 0)), ""))</f>
        <v/>
      </c>
      <c r="F142" s="3339" t="str">
        <f>IF(D142="","", IFERROR(INDEX(Catalogos!$Y$4:$Y$100, MATCH(D142, Catalogos!$V$4:$V$100, 0)), ""))</f>
        <v/>
      </c>
      <c r="G142" s="3340"/>
      <c r="H142" s="3341"/>
      <c r="I142" t="str">
        <f>IF(E142="","", G142 * IFERROR(INDEX(Maquinaria_Inventario!$K$2:$K$100, MATCH(E142, Maquinaria_Inventario!$L$2:$L$100, 0)), 0))</f>
        <v/>
      </c>
      <c r="J142" t="str">
        <f t="shared" si="2"/>
        <v/>
      </c>
    </row>
    <row r="143" spans="1:10">
      <c r="A143" s="3343" t="str">
        <f>IF(D143="","", "HT-" &amp; IFERROR(VLOOKUP(C143, Catalogos!$Z$4:$AA$20, 2, FALSE), "FOL") &amp; "-" &amp; IF(B143="","00", WEEKNUM(B143,2)) &amp; "-" &amp; TEXT(ROW(A140),"000"))</f>
        <v/>
      </c>
      <c r="B143" s="3342"/>
      <c r="C143" s="3344"/>
      <c r="D143" s="3345"/>
      <c r="E143" s="3346" t="str">
        <f>IF(D143="","", IFERROR(INDEX(Catalogos!$W$4:$W$100, MATCH(D143, Catalogos!$V$4:$V$100, 0)), ""))</f>
        <v/>
      </c>
      <c r="F143" s="3347" t="str">
        <f>IF(D143="","", IFERROR(INDEX(Catalogos!$Y$4:$Y$100, MATCH(D143, Catalogos!$V$4:$V$100, 0)), ""))</f>
        <v/>
      </c>
      <c r="G143" s="3348"/>
      <c r="H143" s="3349"/>
      <c r="I143" t="str">
        <f>IF(E143="","", G143 * IFERROR(INDEX(Maquinaria_Inventario!$K$2:$K$100, MATCH(E143, Maquinaria_Inventario!$L$2:$L$100, 0)), 0))</f>
        <v/>
      </c>
      <c r="J143" t="str">
        <f t="shared" si="2"/>
        <v/>
      </c>
    </row>
    <row r="144" spans="1:10">
      <c r="A144" s="3351" t="str">
        <f>IF(D144="","", "HT-" &amp; IFERROR(VLOOKUP(C144, Catalogos!$Z$4:$AA$20, 2, FALSE), "FOL") &amp; "-" &amp; IF(B144="","00", WEEKNUM(B144,2)) &amp; "-" &amp; TEXT(ROW(A141),"000"))</f>
        <v/>
      </c>
      <c r="B144" s="3350"/>
      <c r="C144" s="3352"/>
      <c r="D144" s="3353"/>
      <c r="E144" s="3354" t="str">
        <f>IF(D144="","", IFERROR(INDEX(Catalogos!$W$4:$W$100, MATCH(D144, Catalogos!$V$4:$V$100, 0)), ""))</f>
        <v/>
      </c>
      <c r="F144" s="3355" t="str">
        <f>IF(D144="","", IFERROR(INDEX(Catalogos!$Y$4:$Y$100, MATCH(D144, Catalogos!$V$4:$V$100, 0)), ""))</f>
        <v/>
      </c>
      <c r="G144" s="3356"/>
      <c r="H144" s="3357"/>
      <c r="I144" t="str">
        <f>IF(E144="","", G144 * IFERROR(INDEX(Maquinaria_Inventario!$K$2:$K$100, MATCH(E144, Maquinaria_Inventario!$L$2:$L$100, 0)), 0))</f>
        <v/>
      </c>
      <c r="J144" t="str">
        <f t="shared" si="2"/>
        <v/>
      </c>
    </row>
    <row r="145" spans="1:10">
      <c r="A145" s="3359" t="str">
        <f>IF(D145="","", "HT-" &amp; IFERROR(VLOOKUP(C145, Catalogos!$Z$4:$AA$20, 2, FALSE), "FOL") &amp; "-" &amp; IF(B145="","00", WEEKNUM(B145,2)) &amp; "-" &amp; TEXT(ROW(A142),"000"))</f>
        <v/>
      </c>
      <c r="B145" s="3358"/>
      <c r="C145" s="3360"/>
      <c r="D145" s="3361"/>
      <c r="E145" s="3362" t="str">
        <f>IF(D145="","", IFERROR(INDEX(Catalogos!$W$4:$W$100, MATCH(D145, Catalogos!$V$4:$V$100, 0)), ""))</f>
        <v/>
      </c>
      <c r="F145" s="3363" t="str">
        <f>IF(D145="","", IFERROR(INDEX(Catalogos!$Y$4:$Y$100, MATCH(D145, Catalogos!$V$4:$V$100, 0)), ""))</f>
        <v/>
      </c>
      <c r="G145" s="3364"/>
      <c r="H145" s="3365"/>
      <c r="I145" t="str">
        <f>IF(E145="","", G145 * IFERROR(INDEX(Maquinaria_Inventario!$K$2:$K$100, MATCH(E145, Maquinaria_Inventario!$L$2:$L$100, 0)), 0))</f>
        <v/>
      </c>
      <c r="J145" t="str">
        <f t="shared" si="2"/>
        <v/>
      </c>
    </row>
    <row r="146" spans="1:10">
      <c r="A146" s="3367" t="str">
        <f>IF(D146="","", "HT-" &amp; IFERROR(VLOOKUP(C146, Catalogos!$Z$4:$AA$20, 2, FALSE), "FOL") &amp; "-" &amp; IF(B146="","00", WEEKNUM(B146,2)) &amp; "-" &amp; TEXT(ROW(A143),"000"))</f>
        <v/>
      </c>
      <c r="B146" s="3366"/>
      <c r="C146" s="3368"/>
      <c r="D146" s="3369"/>
      <c r="E146" s="3370" t="str">
        <f>IF(D146="","", IFERROR(INDEX(Catalogos!$W$4:$W$100, MATCH(D146, Catalogos!$V$4:$V$100, 0)), ""))</f>
        <v/>
      </c>
      <c r="F146" s="3371" t="str">
        <f>IF(D146="","", IFERROR(INDEX(Catalogos!$Y$4:$Y$100, MATCH(D146, Catalogos!$V$4:$V$100, 0)), ""))</f>
        <v/>
      </c>
      <c r="G146" s="3372"/>
      <c r="H146" s="3373"/>
      <c r="I146" t="str">
        <f>IF(E146="","", G146 * IFERROR(INDEX(Maquinaria_Inventario!$K$2:$K$100, MATCH(E146, Maquinaria_Inventario!$L$2:$L$100, 0)), 0))</f>
        <v/>
      </c>
      <c r="J146" t="str">
        <f t="shared" si="2"/>
        <v/>
      </c>
    </row>
    <row r="147" spans="1:10">
      <c r="A147" s="3375" t="str">
        <f>IF(D147="","", "HT-" &amp; IFERROR(VLOOKUP(C147, Catalogos!$Z$4:$AA$20, 2, FALSE), "FOL") &amp; "-" &amp; IF(B147="","00", WEEKNUM(B147,2)) &amp; "-" &amp; TEXT(ROW(A144),"000"))</f>
        <v/>
      </c>
      <c r="B147" s="3374"/>
      <c r="C147" s="3376"/>
      <c r="D147" s="3377"/>
      <c r="E147" s="3378" t="str">
        <f>IF(D147="","", IFERROR(INDEX(Catalogos!$W$4:$W$100, MATCH(D147, Catalogos!$V$4:$V$100, 0)), ""))</f>
        <v/>
      </c>
      <c r="F147" s="3379" t="str">
        <f>IF(D147="","", IFERROR(INDEX(Catalogos!$Y$4:$Y$100, MATCH(D147, Catalogos!$V$4:$V$100, 0)), ""))</f>
        <v/>
      </c>
      <c r="G147" s="3380"/>
      <c r="H147" s="3381"/>
      <c r="I147" t="str">
        <f>IF(E147="","", G147 * IFERROR(INDEX(Maquinaria_Inventario!$K$2:$K$100, MATCH(E147, Maquinaria_Inventario!$L$2:$L$100, 0)), 0))</f>
        <v/>
      </c>
      <c r="J147" t="str">
        <f t="shared" si="2"/>
        <v/>
      </c>
    </row>
    <row r="148" spans="1:10">
      <c r="A148" s="3383" t="str">
        <f>IF(D148="","", "HT-" &amp; IFERROR(VLOOKUP(C148, Catalogos!$Z$4:$AA$20, 2, FALSE), "FOL") &amp; "-" &amp; IF(B148="","00", WEEKNUM(B148,2)) &amp; "-" &amp; TEXT(ROW(A145),"000"))</f>
        <v/>
      </c>
      <c r="B148" s="3382"/>
      <c r="C148" s="3384"/>
      <c r="D148" s="3385"/>
      <c r="E148" s="3386" t="str">
        <f>IF(D148="","", IFERROR(INDEX(Catalogos!$W$4:$W$100, MATCH(D148, Catalogos!$V$4:$V$100, 0)), ""))</f>
        <v/>
      </c>
      <c r="F148" s="3387" t="str">
        <f>IF(D148="","", IFERROR(INDEX(Catalogos!$Y$4:$Y$100, MATCH(D148, Catalogos!$V$4:$V$100, 0)), ""))</f>
        <v/>
      </c>
      <c r="G148" s="3388"/>
      <c r="H148" s="3389"/>
      <c r="I148" t="str">
        <f>IF(E148="","", G148 * IFERROR(INDEX(Maquinaria_Inventario!$K$2:$K$100, MATCH(E148, Maquinaria_Inventario!$L$2:$L$100, 0)), 0))</f>
        <v/>
      </c>
      <c r="J148" t="str">
        <f t="shared" si="2"/>
        <v/>
      </c>
    </row>
    <row r="149" spans="1:10">
      <c r="A149" s="3391" t="str">
        <f>IF(D149="","", "HT-" &amp; IFERROR(VLOOKUP(C149, Catalogos!$Z$4:$AA$20, 2, FALSE), "FOL") &amp; "-" &amp; IF(B149="","00", WEEKNUM(B149,2)) &amp; "-" &amp; TEXT(ROW(A146),"000"))</f>
        <v/>
      </c>
      <c r="B149" s="3390"/>
      <c r="C149" s="3392"/>
      <c r="D149" s="3393"/>
      <c r="E149" s="3394" t="str">
        <f>IF(D149="","", IFERROR(INDEX(Catalogos!$W$4:$W$100, MATCH(D149, Catalogos!$V$4:$V$100, 0)), ""))</f>
        <v/>
      </c>
      <c r="F149" s="3395" t="str">
        <f>IF(D149="","", IFERROR(INDEX(Catalogos!$Y$4:$Y$100, MATCH(D149, Catalogos!$V$4:$V$100, 0)), ""))</f>
        <v/>
      </c>
      <c r="G149" s="3396"/>
      <c r="H149" s="3397"/>
      <c r="I149" t="str">
        <f>IF(E149="","", G149 * IFERROR(INDEX(Maquinaria_Inventario!$K$2:$K$100, MATCH(E149, Maquinaria_Inventario!$L$2:$L$100, 0)), 0))</f>
        <v/>
      </c>
      <c r="J149" t="str">
        <f t="shared" si="2"/>
        <v/>
      </c>
    </row>
    <row r="150" spans="1:10">
      <c r="A150" s="3399" t="str">
        <f>IF(D150="","", "HT-" &amp; IFERROR(VLOOKUP(C150, Catalogos!$Z$4:$AA$20, 2, FALSE), "FOL") &amp; "-" &amp; IF(B150="","00", WEEKNUM(B150,2)) &amp; "-" &amp; TEXT(ROW(A147),"000"))</f>
        <v/>
      </c>
      <c r="B150" s="3398"/>
      <c r="C150" s="3400"/>
      <c r="D150" s="3401"/>
      <c r="E150" s="3402" t="str">
        <f>IF(D150="","", IFERROR(INDEX(Catalogos!$W$4:$W$100, MATCH(D150, Catalogos!$V$4:$V$100, 0)), ""))</f>
        <v/>
      </c>
      <c r="F150" s="3403" t="str">
        <f>IF(D150="","", IFERROR(INDEX(Catalogos!$Y$4:$Y$100, MATCH(D150, Catalogos!$V$4:$V$100, 0)), ""))</f>
        <v/>
      </c>
      <c r="G150" s="3404"/>
      <c r="H150" s="3405"/>
      <c r="I150" t="str">
        <f>IF(E150="","", G150 * IFERROR(INDEX(Maquinaria_Inventario!$K$2:$K$100, MATCH(E150, Maquinaria_Inventario!$L$2:$L$100, 0)), 0))</f>
        <v/>
      </c>
      <c r="J150" t="str">
        <f t="shared" si="2"/>
        <v/>
      </c>
    </row>
    <row r="151" spans="1:10">
      <c r="A151" s="3407" t="str">
        <f>IF(D151="","", "HT-" &amp; IFERROR(VLOOKUP(C151, Catalogos!$Z$4:$AA$20, 2, FALSE), "FOL") &amp; "-" &amp; IF(B151="","00", WEEKNUM(B151,2)) &amp; "-" &amp; TEXT(ROW(A148),"000"))</f>
        <v/>
      </c>
      <c r="B151" s="3406"/>
      <c r="C151" s="3408"/>
      <c r="D151" s="3409"/>
      <c r="E151" s="3410" t="str">
        <f>IF(D151="","", IFERROR(INDEX(Catalogos!$W$4:$W$100, MATCH(D151, Catalogos!$V$4:$V$100, 0)), ""))</f>
        <v/>
      </c>
      <c r="F151" s="3411" t="str">
        <f>IF(D151="","", IFERROR(INDEX(Catalogos!$Y$4:$Y$100, MATCH(D151, Catalogos!$V$4:$V$100, 0)), ""))</f>
        <v/>
      </c>
      <c r="G151" s="3412"/>
      <c r="H151" s="3413"/>
      <c r="I151" t="str">
        <f>IF(E151="","", G151 * IFERROR(INDEX(Maquinaria_Inventario!$K$2:$K$100, MATCH(E151, Maquinaria_Inventario!$L$2:$L$100, 0)), 0))</f>
        <v/>
      </c>
      <c r="J151" t="str">
        <f t="shared" si="2"/>
        <v/>
      </c>
    </row>
    <row r="152" spans="1:10">
      <c r="A152" s="3415" t="str">
        <f>IF(D152="","", "HT-" &amp; IFERROR(VLOOKUP(C152, Catalogos!$Z$4:$AA$20, 2, FALSE), "FOL") &amp; "-" &amp; IF(B152="","00", WEEKNUM(B152,2)) &amp; "-" &amp; TEXT(ROW(A149),"000"))</f>
        <v/>
      </c>
      <c r="B152" s="3414"/>
      <c r="C152" s="3416"/>
      <c r="D152" s="3417"/>
      <c r="E152" s="3418" t="str">
        <f>IF(D152="","", IFERROR(INDEX(Catalogos!$W$4:$W$100, MATCH(D152, Catalogos!$V$4:$V$100, 0)), ""))</f>
        <v/>
      </c>
      <c r="F152" s="3419" t="str">
        <f>IF(D152="","", IFERROR(INDEX(Catalogos!$Y$4:$Y$100, MATCH(D152, Catalogos!$V$4:$V$100, 0)), ""))</f>
        <v/>
      </c>
      <c r="G152" s="3420"/>
      <c r="H152" s="3421"/>
      <c r="I152" t="str">
        <f>IF(E152="","", G152 * IFERROR(INDEX(Maquinaria_Inventario!$K$2:$K$100, MATCH(E152, Maquinaria_Inventario!$L$2:$L$100, 0)), 0))</f>
        <v/>
      </c>
      <c r="J152" t="str">
        <f t="shared" si="2"/>
        <v/>
      </c>
    </row>
    <row r="153" spans="1:10">
      <c r="A153" s="3423" t="str">
        <f>IF(D153="","", "HT-" &amp; IFERROR(VLOOKUP(C153, Catalogos!$Z$4:$AA$20, 2, FALSE), "FOL") &amp; "-" &amp; IF(B153="","00", WEEKNUM(B153,2)) &amp; "-" &amp; TEXT(ROW(A150),"000"))</f>
        <v/>
      </c>
      <c r="B153" s="3422"/>
      <c r="C153" s="3424"/>
      <c r="D153" s="3425"/>
      <c r="E153" s="3426" t="str">
        <f>IF(D153="","", IFERROR(INDEX(Catalogos!$W$4:$W$100, MATCH(D153, Catalogos!$V$4:$V$100, 0)), ""))</f>
        <v/>
      </c>
      <c r="F153" s="3427" t="str">
        <f>IF(D153="","", IFERROR(INDEX(Catalogos!$Y$4:$Y$100, MATCH(D153, Catalogos!$V$4:$V$100, 0)), ""))</f>
        <v/>
      </c>
      <c r="G153" s="3428"/>
      <c r="H153" s="3429"/>
      <c r="I153" t="str">
        <f>IF(E153="","", G153 * IFERROR(INDEX(Maquinaria_Inventario!$K$2:$K$100, MATCH(E153, Maquinaria_Inventario!$L$2:$L$100, 0)), 0))</f>
        <v/>
      </c>
      <c r="J153" t="str">
        <f t="shared" si="2"/>
        <v/>
      </c>
    </row>
    <row r="154" spans="1:10">
      <c r="A154" s="3431" t="str">
        <f>IF(D154="","", "HT-" &amp; IFERROR(VLOOKUP(C154, Catalogos!$Z$4:$AA$20, 2, FALSE), "FOL") &amp; "-" &amp; IF(B154="","00", WEEKNUM(B154,2)) &amp; "-" &amp; TEXT(ROW(A151),"000"))</f>
        <v/>
      </c>
      <c r="B154" s="3430"/>
      <c r="C154" s="3432"/>
      <c r="D154" s="3433"/>
      <c r="E154" s="3434" t="str">
        <f>IF(D154="","", IFERROR(INDEX(Catalogos!$W$4:$W$100, MATCH(D154, Catalogos!$V$4:$V$100, 0)), ""))</f>
        <v/>
      </c>
      <c r="F154" s="3435" t="str">
        <f>IF(D154="","", IFERROR(INDEX(Catalogos!$Y$4:$Y$100, MATCH(D154, Catalogos!$V$4:$V$100, 0)), ""))</f>
        <v/>
      </c>
      <c r="G154" s="3436"/>
      <c r="H154" s="3437"/>
      <c r="I154" t="str">
        <f>IF(E154="","", G154 * IFERROR(INDEX(Maquinaria_Inventario!$K$2:$K$100, MATCH(E154, Maquinaria_Inventario!$L$2:$L$100, 0)), 0))</f>
        <v/>
      </c>
      <c r="J154" t="str">
        <f t="shared" si="2"/>
        <v/>
      </c>
    </row>
    <row r="155" spans="1:10">
      <c r="A155" s="3439" t="str">
        <f>IF(D155="","", "HT-" &amp; IFERROR(VLOOKUP(C155, Catalogos!$Z$4:$AA$20, 2, FALSE), "FOL") &amp; "-" &amp; IF(B155="","00", WEEKNUM(B155,2)) &amp; "-" &amp; TEXT(ROW(A152),"000"))</f>
        <v/>
      </c>
      <c r="B155" s="3438"/>
      <c r="C155" s="3440"/>
      <c r="D155" s="3441"/>
      <c r="E155" s="3442" t="str">
        <f>IF(D155="","", IFERROR(INDEX(Catalogos!$W$4:$W$100, MATCH(D155, Catalogos!$V$4:$V$100, 0)), ""))</f>
        <v/>
      </c>
      <c r="F155" s="3443" t="str">
        <f>IF(D155="","", IFERROR(INDEX(Catalogos!$Y$4:$Y$100, MATCH(D155, Catalogos!$V$4:$V$100, 0)), ""))</f>
        <v/>
      </c>
      <c r="G155" s="3444"/>
      <c r="H155" s="3445"/>
      <c r="I155" t="str">
        <f>IF(E155="","", G155 * IFERROR(INDEX(Maquinaria_Inventario!$K$2:$K$100, MATCH(E155, Maquinaria_Inventario!$L$2:$L$100, 0)), 0))</f>
        <v/>
      </c>
      <c r="J155" t="str">
        <f t="shared" si="2"/>
        <v/>
      </c>
    </row>
    <row r="156" spans="1:10">
      <c r="A156" s="3447" t="str">
        <f>IF(D156="","", "HT-" &amp; IFERROR(VLOOKUP(C156, Catalogos!$Z$4:$AA$20, 2, FALSE), "FOL") &amp; "-" &amp; IF(B156="","00", WEEKNUM(B156,2)) &amp; "-" &amp; TEXT(ROW(A153),"000"))</f>
        <v/>
      </c>
      <c r="B156" s="3446"/>
      <c r="C156" s="3448"/>
      <c r="D156" s="3449"/>
      <c r="E156" s="3450" t="str">
        <f>IF(D156="","", IFERROR(INDEX(Catalogos!$W$4:$W$100, MATCH(D156, Catalogos!$V$4:$V$100, 0)), ""))</f>
        <v/>
      </c>
      <c r="F156" s="3451" t="str">
        <f>IF(D156="","", IFERROR(INDEX(Catalogos!$Y$4:$Y$100, MATCH(D156, Catalogos!$V$4:$V$100, 0)), ""))</f>
        <v/>
      </c>
      <c r="G156" s="3452"/>
      <c r="H156" s="3453"/>
      <c r="I156" t="str">
        <f>IF(E156="","", G156 * IFERROR(INDEX(Maquinaria_Inventario!$K$2:$K$100, MATCH(E156, Maquinaria_Inventario!$L$2:$L$100, 0)), 0))</f>
        <v/>
      </c>
      <c r="J156" t="str">
        <f t="shared" si="2"/>
        <v/>
      </c>
    </row>
    <row r="157" spans="1:10">
      <c r="A157" s="3455" t="str">
        <f>IF(D157="","", "HT-" &amp; IFERROR(VLOOKUP(C157, Catalogos!$Z$4:$AA$20, 2, FALSE), "FOL") &amp; "-" &amp; IF(B157="","00", WEEKNUM(B157,2)) &amp; "-" &amp; TEXT(ROW(A154),"000"))</f>
        <v/>
      </c>
      <c r="B157" s="3454"/>
      <c r="C157" s="3456"/>
      <c r="D157" s="3457"/>
      <c r="E157" s="3458" t="str">
        <f>IF(D157="","", IFERROR(INDEX(Catalogos!$W$4:$W$100, MATCH(D157, Catalogos!$V$4:$V$100, 0)), ""))</f>
        <v/>
      </c>
      <c r="F157" s="3459" t="str">
        <f>IF(D157="","", IFERROR(INDEX(Catalogos!$Y$4:$Y$100, MATCH(D157, Catalogos!$V$4:$V$100, 0)), ""))</f>
        <v/>
      </c>
      <c r="G157" s="3460"/>
      <c r="H157" s="3461"/>
      <c r="I157" t="str">
        <f>IF(E157="","", G157 * IFERROR(INDEX(Maquinaria_Inventario!$K$2:$K$100, MATCH(E157, Maquinaria_Inventario!$L$2:$L$100, 0)), 0))</f>
        <v/>
      </c>
      <c r="J157" t="str">
        <f t="shared" si="2"/>
        <v/>
      </c>
    </row>
    <row r="158" spans="1:10">
      <c r="A158" s="3463" t="str">
        <f>IF(D158="","", "HT-" &amp; IFERROR(VLOOKUP(C158, Catalogos!$Z$4:$AA$20, 2, FALSE), "FOL") &amp; "-" &amp; IF(B158="","00", WEEKNUM(B158,2)) &amp; "-" &amp; TEXT(ROW(A155),"000"))</f>
        <v/>
      </c>
      <c r="B158" s="3462"/>
      <c r="C158" s="3464"/>
      <c r="D158" s="3465"/>
      <c r="E158" s="3466" t="str">
        <f>IF(D158="","", IFERROR(INDEX(Catalogos!$W$4:$W$100, MATCH(D158, Catalogos!$V$4:$V$100, 0)), ""))</f>
        <v/>
      </c>
      <c r="F158" s="3467" t="str">
        <f>IF(D158="","", IFERROR(INDEX(Catalogos!$Y$4:$Y$100, MATCH(D158, Catalogos!$V$4:$V$100, 0)), ""))</f>
        <v/>
      </c>
      <c r="G158" s="3468"/>
      <c r="H158" s="3469"/>
      <c r="I158" t="str">
        <f>IF(E158="","", G158 * IFERROR(INDEX(Maquinaria_Inventario!$K$2:$K$100, MATCH(E158, Maquinaria_Inventario!$L$2:$L$100, 0)), 0))</f>
        <v/>
      </c>
      <c r="J158" t="str">
        <f t="shared" si="2"/>
        <v/>
      </c>
    </row>
    <row r="159" spans="1:10">
      <c r="A159" s="3471" t="str">
        <f>IF(D159="","", "HT-" &amp; IFERROR(VLOOKUP(C159, Catalogos!$Z$4:$AA$20, 2, FALSE), "FOL") &amp; "-" &amp; IF(B159="","00", WEEKNUM(B159,2)) &amp; "-" &amp; TEXT(ROW(A156),"000"))</f>
        <v/>
      </c>
      <c r="B159" s="3470"/>
      <c r="C159" s="3472"/>
      <c r="D159" s="3473"/>
      <c r="E159" s="3474" t="str">
        <f>IF(D159="","", IFERROR(INDEX(Catalogos!$W$4:$W$100, MATCH(D159, Catalogos!$V$4:$V$100, 0)), ""))</f>
        <v/>
      </c>
      <c r="F159" s="3475" t="str">
        <f>IF(D159="","", IFERROR(INDEX(Catalogos!$Y$4:$Y$100, MATCH(D159, Catalogos!$V$4:$V$100, 0)), ""))</f>
        <v/>
      </c>
      <c r="G159" s="3476"/>
      <c r="H159" s="3477"/>
      <c r="I159" t="str">
        <f>IF(E159="","", G159 * IFERROR(INDEX(Maquinaria_Inventario!$K$2:$K$100, MATCH(E159, Maquinaria_Inventario!$L$2:$L$100, 0)), 0))</f>
        <v/>
      </c>
      <c r="J159" t="str">
        <f t="shared" si="2"/>
        <v/>
      </c>
    </row>
    <row r="160" spans="1:10">
      <c r="A160" s="3479" t="str">
        <f>IF(D160="","", "HT-" &amp; IFERROR(VLOOKUP(C160, Catalogos!$Z$4:$AA$20, 2, FALSE), "FOL") &amp; "-" &amp; IF(B160="","00", WEEKNUM(B160,2)) &amp; "-" &amp; TEXT(ROW(A157),"000"))</f>
        <v/>
      </c>
      <c r="B160" s="3478"/>
      <c r="C160" s="3480"/>
      <c r="D160" s="3481"/>
      <c r="E160" s="3482" t="str">
        <f>IF(D160="","", IFERROR(INDEX(Catalogos!$W$4:$W$100, MATCH(D160, Catalogos!$V$4:$V$100, 0)), ""))</f>
        <v/>
      </c>
      <c r="F160" s="3483" t="str">
        <f>IF(D160="","", IFERROR(INDEX(Catalogos!$Y$4:$Y$100, MATCH(D160, Catalogos!$V$4:$V$100, 0)), ""))</f>
        <v/>
      </c>
      <c r="G160" s="3484"/>
      <c r="H160" s="3485"/>
      <c r="I160" t="str">
        <f>IF(E160="","", G160 * IFERROR(INDEX(Maquinaria_Inventario!$K$2:$K$100, MATCH(E160, Maquinaria_Inventario!$L$2:$L$100, 0)), 0))</f>
        <v/>
      </c>
      <c r="J160" t="str">
        <f t="shared" si="2"/>
        <v/>
      </c>
    </row>
    <row r="161" spans="1:10">
      <c r="A161" s="3487" t="str">
        <f>IF(D161="","", "HT-" &amp; IFERROR(VLOOKUP(C161, Catalogos!$Z$4:$AA$20, 2, FALSE), "FOL") &amp; "-" &amp; IF(B161="","00", WEEKNUM(B161,2)) &amp; "-" &amp; TEXT(ROW(A158),"000"))</f>
        <v/>
      </c>
      <c r="B161" s="3486"/>
      <c r="C161" s="3488"/>
      <c r="D161" s="3489"/>
      <c r="E161" s="3490" t="str">
        <f>IF(D161="","", IFERROR(INDEX(Catalogos!$W$4:$W$100, MATCH(D161, Catalogos!$V$4:$V$100, 0)), ""))</f>
        <v/>
      </c>
      <c r="F161" s="3491" t="str">
        <f>IF(D161="","", IFERROR(INDEX(Catalogos!$Y$4:$Y$100, MATCH(D161, Catalogos!$V$4:$V$100, 0)), ""))</f>
        <v/>
      </c>
      <c r="G161" s="3492"/>
      <c r="H161" s="3493"/>
      <c r="I161" t="str">
        <f>IF(E161="","", G161 * IFERROR(INDEX(Maquinaria_Inventario!$K$2:$K$100, MATCH(E161, Maquinaria_Inventario!$L$2:$L$100, 0)), 0))</f>
        <v/>
      </c>
      <c r="J161" t="str">
        <f t="shared" si="2"/>
        <v/>
      </c>
    </row>
    <row r="162" spans="1:10">
      <c r="A162" s="3495" t="str">
        <f>IF(D162="","", "HT-" &amp; IFERROR(VLOOKUP(C162, Catalogos!$Z$4:$AA$20, 2, FALSE), "FOL") &amp; "-" &amp; IF(B162="","00", WEEKNUM(B162,2)) &amp; "-" &amp; TEXT(ROW(A159),"000"))</f>
        <v/>
      </c>
      <c r="B162" s="3494"/>
      <c r="C162" s="3496"/>
      <c r="D162" s="3497"/>
      <c r="E162" s="3498" t="str">
        <f>IF(D162="","", IFERROR(INDEX(Catalogos!$W$4:$W$100, MATCH(D162, Catalogos!$V$4:$V$100, 0)), ""))</f>
        <v/>
      </c>
      <c r="F162" s="3499" t="str">
        <f>IF(D162="","", IFERROR(INDEX(Catalogos!$Y$4:$Y$100, MATCH(D162, Catalogos!$V$4:$V$100, 0)), ""))</f>
        <v/>
      </c>
      <c r="G162" s="3500"/>
      <c r="H162" s="3501"/>
      <c r="I162" t="str">
        <f>IF(E162="","", G162 * IFERROR(INDEX(Maquinaria_Inventario!$K$2:$K$100, MATCH(E162, Maquinaria_Inventario!$L$2:$L$100, 0)), 0))</f>
        <v/>
      </c>
      <c r="J162" t="str">
        <f t="shared" si="2"/>
        <v/>
      </c>
    </row>
    <row r="163" spans="1:10">
      <c r="A163" s="3503" t="str">
        <f>IF(D163="","", "HT-" &amp; IFERROR(VLOOKUP(C163, Catalogos!$Z$4:$AA$20, 2, FALSE), "FOL") &amp; "-" &amp; IF(B163="","00", WEEKNUM(B163,2)) &amp; "-" &amp; TEXT(ROW(A160),"000"))</f>
        <v/>
      </c>
      <c r="B163" s="3502"/>
      <c r="C163" s="3504"/>
      <c r="D163" s="3505"/>
      <c r="E163" s="3506" t="str">
        <f>IF(D163="","", IFERROR(INDEX(Catalogos!$W$4:$W$100, MATCH(D163, Catalogos!$V$4:$V$100, 0)), ""))</f>
        <v/>
      </c>
      <c r="F163" s="3507" t="str">
        <f>IF(D163="","", IFERROR(INDEX(Catalogos!$Y$4:$Y$100, MATCH(D163, Catalogos!$V$4:$V$100, 0)), ""))</f>
        <v/>
      </c>
      <c r="G163" s="3508"/>
      <c r="H163" s="3509"/>
      <c r="I163" t="str">
        <f>IF(E163="","", G163 * IFERROR(INDEX(Maquinaria_Inventario!$K$2:$K$100, MATCH(E163, Maquinaria_Inventario!$L$2:$L$100, 0)), 0))</f>
        <v/>
      </c>
      <c r="J163" t="str">
        <f t="shared" si="2"/>
        <v/>
      </c>
    </row>
    <row r="164" spans="1:10">
      <c r="A164" s="3511" t="str">
        <f>IF(D164="","", "HT-" &amp; IFERROR(VLOOKUP(C164, Catalogos!$Z$4:$AA$20, 2, FALSE), "FOL") &amp; "-" &amp; IF(B164="","00", WEEKNUM(B164,2)) &amp; "-" &amp; TEXT(ROW(A161),"000"))</f>
        <v/>
      </c>
      <c r="B164" s="3510"/>
      <c r="C164" s="3512"/>
      <c r="D164" s="3513"/>
      <c r="E164" s="3514" t="str">
        <f>IF(D164="","", IFERROR(INDEX(Catalogos!$W$4:$W$100, MATCH(D164, Catalogos!$V$4:$V$100, 0)), ""))</f>
        <v/>
      </c>
      <c r="F164" s="3515" t="str">
        <f>IF(D164="","", IFERROR(INDEX(Catalogos!$Y$4:$Y$100, MATCH(D164, Catalogos!$V$4:$V$100, 0)), ""))</f>
        <v/>
      </c>
      <c r="G164" s="3516"/>
      <c r="H164" s="3517"/>
      <c r="I164" t="str">
        <f>IF(E164="","", G164 * IFERROR(INDEX(Maquinaria_Inventario!$K$2:$K$100, MATCH(E164, Maquinaria_Inventario!$L$2:$L$100, 0)), 0))</f>
        <v/>
      </c>
      <c r="J164" t="str">
        <f t="shared" si="2"/>
        <v/>
      </c>
    </row>
    <row r="165" spans="1:10">
      <c r="A165" s="3519" t="str">
        <f>IF(D165="","", "HT-" &amp; IFERROR(VLOOKUP(C165, Catalogos!$Z$4:$AA$20, 2, FALSE), "FOL") &amp; "-" &amp; IF(B165="","00", WEEKNUM(B165,2)) &amp; "-" &amp; TEXT(ROW(A162),"000"))</f>
        <v/>
      </c>
      <c r="B165" s="3518"/>
      <c r="C165" s="3520"/>
      <c r="D165" s="3521"/>
      <c r="E165" s="3522" t="str">
        <f>IF(D165="","", IFERROR(INDEX(Catalogos!$W$4:$W$100, MATCH(D165, Catalogos!$V$4:$V$100, 0)), ""))</f>
        <v/>
      </c>
      <c r="F165" s="3523" t="str">
        <f>IF(D165="","", IFERROR(INDEX(Catalogos!$Y$4:$Y$100, MATCH(D165, Catalogos!$V$4:$V$100, 0)), ""))</f>
        <v/>
      </c>
      <c r="G165" s="3524"/>
      <c r="H165" s="3525"/>
      <c r="I165" t="str">
        <f>IF(E165="","", G165 * IFERROR(INDEX(Maquinaria_Inventario!$K$2:$K$100, MATCH(E165, Maquinaria_Inventario!$L$2:$L$100, 0)), 0))</f>
        <v/>
      </c>
      <c r="J165" t="str">
        <f t="shared" si="2"/>
        <v/>
      </c>
    </row>
    <row r="166" spans="1:10">
      <c r="A166" s="3527" t="str">
        <f>IF(D166="","", "HT-" &amp; IFERROR(VLOOKUP(C166, Catalogos!$Z$4:$AA$20, 2, FALSE), "FOL") &amp; "-" &amp; IF(B166="","00", WEEKNUM(B166,2)) &amp; "-" &amp; TEXT(ROW(A163),"000"))</f>
        <v/>
      </c>
      <c r="B166" s="3526"/>
      <c r="C166" s="3528"/>
      <c r="D166" s="3529"/>
      <c r="E166" s="3530" t="str">
        <f>IF(D166="","", IFERROR(INDEX(Catalogos!$W$4:$W$100, MATCH(D166, Catalogos!$V$4:$V$100, 0)), ""))</f>
        <v/>
      </c>
      <c r="F166" s="3531" t="str">
        <f>IF(D166="","", IFERROR(INDEX(Catalogos!$Y$4:$Y$100, MATCH(D166, Catalogos!$V$4:$V$100, 0)), ""))</f>
        <v/>
      </c>
      <c r="G166" s="3532"/>
      <c r="H166" s="3533"/>
      <c r="I166" t="str">
        <f>IF(E166="","", G166 * IFERROR(INDEX(Maquinaria_Inventario!$K$2:$K$100, MATCH(E166, Maquinaria_Inventario!$L$2:$L$100, 0)), 0))</f>
        <v/>
      </c>
      <c r="J166" t="str">
        <f t="shared" si="2"/>
        <v/>
      </c>
    </row>
    <row r="167" spans="1:10">
      <c r="A167" s="3535" t="str">
        <f>IF(D167="","", "HT-" &amp; IFERROR(VLOOKUP(C167, Catalogos!$Z$4:$AA$20, 2, FALSE), "FOL") &amp; "-" &amp; IF(B167="","00", WEEKNUM(B167,2)) &amp; "-" &amp; TEXT(ROW(A164),"000"))</f>
        <v/>
      </c>
      <c r="B167" s="3534"/>
      <c r="C167" s="3536"/>
      <c r="D167" s="3537"/>
      <c r="E167" s="3538" t="str">
        <f>IF(D167="","", IFERROR(INDEX(Catalogos!$W$4:$W$100, MATCH(D167, Catalogos!$V$4:$V$100, 0)), ""))</f>
        <v/>
      </c>
      <c r="F167" s="3539" t="str">
        <f>IF(D167="","", IFERROR(INDEX(Catalogos!$Y$4:$Y$100, MATCH(D167, Catalogos!$V$4:$V$100, 0)), ""))</f>
        <v/>
      </c>
      <c r="G167" s="3540"/>
      <c r="H167" s="3541"/>
      <c r="I167" t="str">
        <f>IF(E167="","", G167 * IFERROR(INDEX(Maquinaria_Inventario!$K$2:$K$100, MATCH(E167, Maquinaria_Inventario!$L$2:$L$100, 0)), 0))</f>
        <v/>
      </c>
      <c r="J167" t="str">
        <f t="shared" si="2"/>
        <v/>
      </c>
    </row>
    <row r="168" spans="1:10">
      <c r="A168" s="3543" t="str">
        <f>IF(D168="","", "HT-" &amp; IFERROR(VLOOKUP(C168, Catalogos!$Z$4:$AA$20, 2, FALSE), "FOL") &amp; "-" &amp; IF(B168="","00", WEEKNUM(B168,2)) &amp; "-" &amp; TEXT(ROW(A165),"000"))</f>
        <v/>
      </c>
      <c r="B168" s="3542"/>
      <c r="C168" s="3544"/>
      <c r="D168" s="3545"/>
      <c r="E168" s="3546" t="str">
        <f>IF(D168="","", IFERROR(INDEX(Catalogos!$W$4:$W$100, MATCH(D168, Catalogos!$V$4:$V$100, 0)), ""))</f>
        <v/>
      </c>
      <c r="F168" s="3547" t="str">
        <f>IF(D168="","", IFERROR(INDEX(Catalogos!$Y$4:$Y$100, MATCH(D168, Catalogos!$V$4:$V$100, 0)), ""))</f>
        <v/>
      </c>
      <c r="G168" s="3548"/>
      <c r="H168" s="3549"/>
      <c r="I168" t="str">
        <f>IF(E168="","", G168 * IFERROR(INDEX(Maquinaria_Inventario!$K$2:$K$100, MATCH(E168, Maquinaria_Inventario!$L$2:$L$100, 0)), 0))</f>
        <v/>
      </c>
      <c r="J168" t="str">
        <f t="shared" si="2"/>
        <v/>
      </c>
    </row>
    <row r="169" spans="1:10">
      <c r="A169" s="3551" t="str">
        <f>IF(D169="","", "HT-" &amp; IFERROR(VLOOKUP(C169, Catalogos!$Z$4:$AA$20, 2, FALSE), "FOL") &amp; "-" &amp; IF(B169="","00", WEEKNUM(B169,2)) &amp; "-" &amp; TEXT(ROW(A166),"000"))</f>
        <v/>
      </c>
      <c r="B169" s="3550"/>
      <c r="C169" s="3552"/>
      <c r="D169" s="3553"/>
      <c r="E169" s="3554" t="str">
        <f>IF(D169="","", IFERROR(INDEX(Catalogos!$W$4:$W$100, MATCH(D169, Catalogos!$V$4:$V$100, 0)), ""))</f>
        <v/>
      </c>
      <c r="F169" s="3555" t="str">
        <f>IF(D169="","", IFERROR(INDEX(Catalogos!$Y$4:$Y$100, MATCH(D169, Catalogos!$V$4:$V$100, 0)), ""))</f>
        <v/>
      </c>
      <c r="G169" s="3556"/>
      <c r="H169" s="3557"/>
      <c r="I169" t="str">
        <f>IF(E169="","", G169 * IFERROR(INDEX(Maquinaria_Inventario!$K$2:$K$100, MATCH(E169, Maquinaria_Inventario!$L$2:$L$100, 0)), 0))</f>
        <v/>
      </c>
      <c r="J169" t="str">
        <f t="shared" si="2"/>
        <v/>
      </c>
    </row>
    <row r="170" spans="1:10">
      <c r="A170" s="3559" t="str">
        <f>IF(D170="","", "HT-" &amp; IFERROR(VLOOKUP(C170, Catalogos!$Z$4:$AA$20, 2, FALSE), "FOL") &amp; "-" &amp; IF(B170="","00", WEEKNUM(B170,2)) &amp; "-" &amp; TEXT(ROW(A167),"000"))</f>
        <v/>
      </c>
      <c r="B170" s="3558"/>
      <c r="C170" s="3560"/>
      <c r="D170" s="3561"/>
      <c r="E170" s="3562" t="str">
        <f>IF(D170="","", IFERROR(INDEX(Catalogos!$W$4:$W$100, MATCH(D170, Catalogos!$V$4:$V$100, 0)), ""))</f>
        <v/>
      </c>
      <c r="F170" s="3563" t="str">
        <f>IF(D170="","", IFERROR(INDEX(Catalogos!$Y$4:$Y$100, MATCH(D170, Catalogos!$V$4:$V$100, 0)), ""))</f>
        <v/>
      </c>
      <c r="G170" s="3564"/>
      <c r="H170" s="3565"/>
      <c r="I170" t="str">
        <f>IF(E170="","", G170 * IFERROR(INDEX(Maquinaria_Inventario!$K$2:$K$100, MATCH(E170, Maquinaria_Inventario!$L$2:$L$100, 0)), 0))</f>
        <v/>
      </c>
      <c r="J170" t="str">
        <f t="shared" si="2"/>
        <v/>
      </c>
    </row>
    <row r="171" spans="1:10">
      <c r="A171" s="3567" t="str">
        <f>IF(D171="","", "HT-" &amp; IFERROR(VLOOKUP(C171, Catalogos!$Z$4:$AA$20, 2, FALSE), "FOL") &amp; "-" &amp; IF(B171="","00", WEEKNUM(B171,2)) &amp; "-" &amp; TEXT(ROW(A168),"000"))</f>
        <v/>
      </c>
      <c r="B171" s="3566"/>
      <c r="C171" s="3568"/>
      <c r="D171" s="3569"/>
      <c r="E171" s="3570" t="str">
        <f>IF(D171="","", IFERROR(INDEX(Catalogos!$W$4:$W$100, MATCH(D171, Catalogos!$V$4:$V$100, 0)), ""))</f>
        <v/>
      </c>
      <c r="F171" s="3571" t="str">
        <f>IF(D171="","", IFERROR(INDEX(Catalogos!$Y$4:$Y$100, MATCH(D171, Catalogos!$V$4:$V$100, 0)), ""))</f>
        <v/>
      </c>
      <c r="G171" s="3572"/>
      <c r="H171" s="3573"/>
      <c r="I171" t="str">
        <f>IF(E171="","", G171 * IFERROR(INDEX(Maquinaria_Inventario!$K$2:$K$100, MATCH(E171, Maquinaria_Inventario!$L$2:$L$100, 0)), 0))</f>
        <v/>
      </c>
      <c r="J171" t="str">
        <f t="shared" si="2"/>
        <v/>
      </c>
    </row>
    <row r="172" spans="1:10">
      <c r="A172" s="3575" t="str">
        <f>IF(D172="","", "HT-" &amp; IFERROR(VLOOKUP(C172, Catalogos!$Z$4:$AA$20, 2, FALSE), "FOL") &amp; "-" &amp; IF(B172="","00", WEEKNUM(B172,2)) &amp; "-" &amp; TEXT(ROW(A169),"000"))</f>
        <v/>
      </c>
      <c r="B172" s="3574"/>
      <c r="C172" s="3576"/>
      <c r="D172" s="3577"/>
      <c r="E172" s="3578" t="str">
        <f>IF(D172="","", IFERROR(INDEX(Catalogos!$W$4:$W$100, MATCH(D172, Catalogos!$V$4:$V$100, 0)), ""))</f>
        <v/>
      </c>
      <c r="F172" s="3579" t="str">
        <f>IF(D172="","", IFERROR(INDEX(Catalogos!$Y$4:$Y$100, MATCH(D172, Catalogos!$V$4:$V$100, 0)), ""))</f>
        <v/>
      </c>
      <c r="G172" s="3580"/>
      <c r="H172" s="3581"/>
      <c r="I172" t="str">
        <f>IF(E172="","", G172 * IFERROR(INDEX(Maquinaria_Inventario!$K$2:$K$100, MATCH(E172, Maquinaria_Inventario!$L$2:$L$100, 0)), 0))</f>
        <v/>
      </c>
      <c r="J172" t="str">
        <f t="shared" si="2"/>
        <v/>
      </c>
    </row>
    <row r="173" spans="1:10">
      <c r="A173" s="3583" t="str">
        <f>IF(D173="","", "HT-" &amp; IFERROR(VLOOKUP(C173, Catalogos!$Z$4:$AA$20, 2, FALSE), "FOL") &amp; "-" &amp; IF(B173="","00", WEEKNUM(B173,2)) &amp; "-" &amp; TEXT(ROW(A170),"000"))</f>
        <v/>
      </c>
      <c r="B173" s="3582"/>
      <c r="C173" s="3584"/>
      <c r="D173" s="3585"/>
      <c r="E173" s="3586" t="str">
        <f>IF(D173="","", IFERROR(INDEX(Catalogos!$W$4:$W$100, MATCH(D173, Catalogos!$V$4:$V$100, 0)), ""))</f>
        <v/>
      </c>
      <c r="F173" s="3587" t="str">
        <f>IF(D173="","", IFERROR(INDEX(Catalogos!$Y$4:$Y$100, MATCH(D173, Catalogos!$V$4:$V$100, 0)), ""))</f>
        <v/>
      </c>
      <c r="G173" s="3588"/>
      <c r="H173" s="3589"/>
      <c r="I173" t="str">
        <f>IF(E173="","", G173 * IFERROR(INDEX(Maquinaria_Inventario!$K$2:$K$100, MATCH(E173, Maquinaria_Inventario!$L$2:$L$100, 0)), 0))</f>
        <v/>
      </c>
      <c r="J173" t="str">
        <f t="shared" si="2"/>
        <v/>
      </c>
    </row>
    <row r="174" spans="1:10">
      <c r="A174" s="3591" t="str">
        <f>IF(D174="","", "HT-" &amp; IFERROR(VLOOKUP(C174, Catalogos!$Z$4:$AA$20, 2, FALSE), "FOL") &amp; "-" &amp; IF(B174="","00", WEEKNUM(B174,2)) &amp; "-" &amp; TEXT(ROW(A171),"000"))</f>
        <v/>
      </c>
      <c r="B174" s="3590"/>
      <c r="C174" s="3592"/>
      <c r="D174" s="3593"/>
      <c r="E174" s="3594" t="str">
        <f>IF(D174="","", IFERROR(INDEX(Catalogos!$W$4:$W$100, MATCH(D174, Catalogos!$V$4:$V$100, 0)), ""))</f>
        <v/>
      </c>
      <c r="F174" s="3595" t="str">
        <f>IF(D174="","", IFERROR(INDEX(Catalogos!$Y$4:$Y$100, MATCH(D174, Catalogos!$V$4:$V$100, 0)), ""))</f>
        <v/>
      </c>
      <c r="G174" s="3596"/>
      <c r="H174" s="3597"/>
      <c r="I174" t="str">
        <f>IF(E174="","", G174 * IFERROR(INDEX(Maquinaria_Inventario!$K$2:$K$100, MATCH(E174, Maquinaria_Inventario!$L$2:$L$100, 0)), 0))</f>
        <v/>
      </c>
      <c r="J174" t="str">
        <f t="shared" si="2"/>
        <v/>
      </c>
    </row>
    <row r="175" spans="1:10">
      <c r="A175" s="3599" t="str">
        <f>IF(D175="","", "HT-" &amp; IFERROR(VLOOKUP(C175, Catalogos!$Z$4:$AA$20, 2, FALSE), "FOL") &amp; "-" &amp; IF(B175="","00", WEEKNUM(B175,2)) &amp; "-" &amp; TEXT(ROW(A172),"000"))</f>
        <v/>
      </c>
      <c r="B175" s="3598"/>
      <c r="C175" s="3600"/>
      <c r="D175" s="3601"/>
      <c r="E175" s="3602" t="str">
        <f>IF(D175="","", IFERROR(INDEX(Catalogos!$W$4:$W$100, MATCH(D175, Catalogos!$V$4:$V$100, 0)), ""))</f>
        <v/>
      </c>
      <c r="F175" s="3603" t="str">
        <f>IF(D175="","", IFERROR(INDEX(Catalogos!$Y$4:$Y$100, MATCH(D175, Catalogos!$V$4:$V$100, 0)), ""))</f>
        <v/>
      </c>
      <c r="G175" s="3604"/>
      <c r="H175" s="3605"/>
      <c r="I175" t="str">
        <f>IF(E175="","", G175 * IFERROR(INDEX(Maquinaria_Inventario!$K$2:$K$100, MATCH(E175, Maquinaria_Inventario!$L$2:$L$100, 0)), 0))</f>
        <v/>
      </c>
      <c r="J175" t="str">
        <f t="shared" si="2"/>
        <v/>
      </c>
    </row>
    <row r="176" spans="1:10">
      <c r="A176" s="3607" t="str">
        <f>IF(D176="","", "HT-" &amp; IFERROR(VLOOKUP(C176, Catalogos!$Z$4:$AA$20, 2, FALSE), "FOL") &amp; "-" &amp; IF(B176="","00", WEEKNUM(B176,2)) &amp; "-" &amp; TEXT(ROW(A173),"000"))</f>
        <v/>
      </c>
      <c r="B176" s="3606"/>
      <c r="C176" s="3608"/>
      <c r="D176" s="3609"/>
      <c r="E176" s="3610" t="str">
        <f>IF(D176="","", IFERROR(INDEX(Catalogos!$W$4:$W$100, MATCH(D176, Catalogos!$V$4:$V$100, 0)), ""))</f>
        <v/>
      </c>
      <c r="F176" s="3611" t="str">
        <f>IF(D176="","", IFERROR(INDEX(Catalogos!$Y$4:$Y$100, MATCH(D176, Catalogos!$V$4:$V$100, 0)), ""))</f>
        <v/>
      </c>
      <c r="G176" s="3612"/>
      <c r="H176" s="3613"/>
      <c r="I176" t="str">
        <f>IF(E176="","", G176 * IFERROR(INDEX(Maquinaria_Inventario!$K$2:$K$100, MATCH(E176, Maquinaria_Inventario!$L$2:$L$100, 0)), 0))</f>
        <v/>
      </c>
      <c r="J176" t="str">
        <f t="shared" si="2"/>
        <v/>
      </c>
    </row>
    <row r="177" spans="1:10">
      <c r="A177" s="3615" t="str">
        <f>IF(D177="","", "HT-" &amp; IFERROR(VLOOKUP(C177, Catalogos!$Z$4:$AA$20, 2, FALSE), "FOL") &amp; "-" &amp; IF(B177="","00", WEEKNUM(B177,2)) &amp; "-" &amp; TEXT(ROW(A174),"000"))</f>
        <v/>
      </c>
      <c r="B177" s="3614"/>
      <c r="C177" s="3616"/>
      <c r="D177" s="3617"/>
      <c r="E177" s="3618" t="str">
        <f>IF(D177="","", IFERROR(INDEX(Catalogos!$W$4:$W$100, MATCH(D177, Catalogos!$V$4:$V$100, 0)), ""))</f>
        <v/>
      </c>
      <c r="F177" s="3619" t="str">
        <f>IF(D177="","", IFERROR(INDEX(Catalogos!$Y$4:$Y$100, MATCH(D177, Catalogos!$V$4:$V$100, 0)), ""))</f>
        <v/>
      </c>
      <c r="G177" s="3620"/>
      <c r="H177" s="3621"/>
      <c r="I177" t="str">
        <f>IF(E177="","", G177 * IFERROR(INDEX(Maquinaria_Inventario!$K$2:$K$100, MATCH(E177, Maquinaria_Inventario!$L$2:$L$100, 0)), 0))</f>
        <v/>
      </c>
      <c r="J177" t="str">
        <f t="shared" si="2"/>
        <v/>
      </c>
    </row>
    <row r="178" spans="1:10">
      <c r="A178" s="3623" t="str">
        <f>IF(D178="","", "HT-" &amp; IFERROR(VLOOKUP(C178, Catalogos!$Z$4:$AA$20, 2, FALSE), "FOL") &amp; "-" &amp; IF(B178="","00", WEEKNUM(B178,2)) &amp; "-" &amp; TEXT(ROW(A175),"000"))</f>
        <v/>
      </c>
      <c r="B178" s="3622"/>
      <c r="C178" s="3624"/>
      <c r="D178" s="3625"/>
      <c r="E178" s="3626" t="str">
        <f>IF(D178="","", IFERROR(INDEX(Catalogos!$W$4:$W$100, MATCH(D178, Catalogos!$V$4:$V$100, 0)), ""))</f>
        <v/>
      </c>
      <c r="F178" s="3627" t="str">
        <f>IF(D178="","", IFERROR(INDEX(Catalogos!$Y$4:$Y$100, MATCH(D178, Catalogos!$V$4:$V$100, 0)), ""))</f>
        <v/>
      </c>
      <c r="G178" s="3628"/>
      <c r="H178" s="3629"/>
      <c r="I178" t="str">
        <f>IF(E178="","", G178 * IFERROR(INDEX(Maquinaria_Inventario!$K$2:$K$100, MATCH(E178, Maquinaria_Inventario!$L$2:$L$100, 0)), 0))</f>
        <v/>
      </c>
      <c r="J178" t="str">
        <f t="shared" si="2"/>
        <v/>
      </c>
    </row>
    <row r="179" spans="1:10">
      <c r="A179" s="3631" t="str">
        <f>IF(D179="","", "HT-" &amp; IFERROR(VLOOKUP(C179, Catalogos!$Z$4:$AA$20, 2, FALSE), "FOL") &amp; "-" &amp; IF(B179="","00", WEEKNUM(B179,2)) &amp; "-" &amp; TEXT(ROW(A176),"000"))</f>
        <v/>
      </c>
      <c r="B179" s="3630"/>
      <c r="C179" s="3632"/>
      <c r="D179" s="3633"/>
      <c r="E179" s="3634" t="str">
        <f>IF(D179="","", IFERROR(INDEX(Catalogos!$W$4:$W$100, MATCH(D179, Catalogos!$V$4:$V$100, 0)), ""))</f>
        <v/>
      </c>
      <c r="F179" s="3635" t="str">
        <f>IF(D179="","", IFERROR(INDEX(Catalogos!$Y$4:$Y$100, MATCH(D179, Catalogos!$V$4:$V$100, 0)), ""))</f>
        <v/>
      </c>
      <c r="G179" s="3636"/>
      <c r="H179" s="3637"/>
      <c r="I179" t="str">
        <f>IF(E179="","", G179 * IFERROR(INDEX(Maquinaria_Inventario!$K$2:$K$100, MATCH(E179, Maquinaria_Inventario!$L$2:$L$100, 0)), 0))</f>
        <v/>
      </c>
      <c r="J179" t="str">
        <f t="shared" si="2"/>
        <v/>
      </c>
    </row>
    <row r="180" spans="1:10">
      <c r="A180" s="3639" t="str">
        <f>IF(D180="","", "HT-" &amp; IFERROR(VLOOKUP(C180, Catalogos!$Z$4:$AA$20, 2, FALSE), "FOL") &amp; "-" &amp; IF(B180="","00", WEEKNUM(B180,2)) &amp; "-" &amp; TEXT(ROW(A177),"000"))</f>
        <v/>
      </c>
      <c r="B180" s="3638"/>
      <c r="C180" s="3640"/>
      <c r="D180" s="3641"/>
      <c r="E180" s="3642" t="str">
        <f>IF(D180="","", IFERROR(INDEX(Catalogos!$W$4:$W$100, MATCH(D180, Catalogos!$V$4:$V$100, 0)), ""))</f>
        <v/>
      </c>
      <c r="F180" s="3643" t="str">
        <f>IF(D180="","", IFERROR(INDEX(Catalogos!$Y$4:$Y$100, MATCH(D180, Catalogos!$V$4:$V$100, 0)), ""))</f>
        <v/>
      </c>
      <c r="G180" s="3644"/>
      <c r="H180" s="3645"/>
      <c r="I180" t="str">
        <f>IF(E180="","", G180 * IFERROR(INDEX(Maquinaria_Inventario!$K$2:$K$100, MATCH(E180, Maquinaria_Inventario!$L$2:$L$100, 0)), 0))</f>
        <v/>
      </c>
      <c r="J180" t="str">
        <f t="shared" si="2"/>
        <v/>
      </c>
    </row>
    <row r="181" spans="1:10">
      <c r="A181" s="3647" t="str">
        <f>IF(D181="","", "HT-" &amp; IFERROR(VLOOKUP(C181, Catalogos!$Z$4:$AA$20, 2, FALSE), "FOL") &amp; "-" &amp; IF(B181="","00", WEEKNUM(B181,2)) &amp; "-" &amp; TEXT(ROW(A178),"000"))</f>
        <v/>
      </c>
      <c r="B181" s="3646"/>
      <c r="C181" s="3648"/>
      <c r="D181" s="3649"/>
      <c r="E181" s="3650" t="str">
        <f>IF(D181="","", IFERROR(INDEX(Catalogos!$W$4:$W$100, MATCH(D181, Catalogos!$V$4:$V$100, 0)), ""))</f>
        <v/>
      </c>
      <c r="F181" s="3651" t="str">
        <f>IF(D181="","", IFERROR(INDEX(Catalogos!$Y$4:$Y$100, MATCH(D181, Catalogos!$V$4:$V$100, 0)), ""))</f>
        <v/>
      </c>
      <c r="G181" s="3652"/>
      <c r="H181" s="3653"/>
      <c r="I181" t="str">
        <f>IF(E181="","", G181 * IFERROR(INDEX(Maquinaria_Inventario!$K$2:$K$100, MATCH(E181, Maquinaria_Inventario!$L$2:$L$100, 0)), 0))</f>
        <v/>
      </c>
      <c r="J181" t="str">
        <f t="shared" si="2"/>
        <v/>
      </c>
    </row>
    <row r="182" spans="1:10">
      <c r="A182" s="3655" t="str">
        <f>IF(D182="","", "HT-" &amp; IFERROR(VLOOKUP(C182, Catalogos!$Z$4:$AA$20, 2, FALSE), "FOL") &amp; "-" &amp; IF(B182="","00", WEEKNUM(B182,2)) &amp; "-" &amp; TEXT(ROW(A179),"000"))</f>
        <v/>
      </c>
      <c r="B182" s="3654"/>
      <c r="C182" s="3656"/>
      <c r="D182" s="3657"/>
      <c r="E182" s="3658" t="str">
        <f>IF(D182="","", IFERROR(INDEX(Catalogos!$W$4:$W$100, MATCH(D182, Catalogos!$V$4:$V$100, 0)), ""))</f>
        <v/>
      </c>
      <c r="F182" s="3659" t="str">
        <f>IF(D182="","", IFERROR(INDEX(Catalogos!$Y$4:$Y$100, MATCH(D182, Catalogos!$V$4:$V$100, 0)), ""))</f>
        <v/>
      </c>
      <c r="G182" s="3660"/>
      <c r="H182" s="3661"/>
      <c r="I182" t="str">
        <f>IF(E182="","", G182 * IFERROR(INDEX(Maquinaria_Inventario!$K$2:$K$100, MATCH(E182, Maquinaria_Inventario!$L$2:$L$100, 0)), 0))</f>
        <v/>
      </c>
      <c r="J182" t="str">
        <f t="shared" si="2"/>
        <v/>
      </c>
    </row>
    <row r="183" spans="1:10">
      <c r="A183" s="3663" t="str">
        <f>IF(D183="","", "HT-" &amp; IFERROR(VLOOKUP(C183, Catalogos!$Z$4:$AA$20, 2, FALSE), "FOL") &amp; "-" &amp; IF(B183="","00", WEEKNUM(B183,2)) &amp; "-" &amp; TEXT(ROW(A180),"000"))</f>
        <v/>
      </c>
      <c r="B183" s="3662"/>
      <c r="C183" s="3664"/>
      <c r="D183" s="3665"/>
      <c r="E183" s="3666" t="str">
        <f>IF(D183="","", IFERROR(INDEX(Catalogos!$W$4:$W$100, MATCH(D183, Catalogos!$V$4:$V$100, 0)), ""))</f>
        <v/>
      </c>
      <c r="F183" s="3667" t="str">
        <f>IF(D183="","", IFERROR(INDEX(Catalogos!$Y$4:$Y$100, MATCH(D183, Catalogos!$V$4:$V$100, 0)), ""))</f>
        <v/>
      </c>
      <c r="G183" s="3668"/>
      <c r="H183" s="3669"/>
      <c r="I183" t="str">
        <f>IF(E183="","", G183 * IFERROR(INDEX(Maquinaria_Inventario!$K$2:$K$100, MATCH(E183, Maquinaria_Inventario!$L$2:$L$100, 0)), 0))</f>
        <v/>
      </c>
      <c r="J183" t="str">
        <f t="shared" si="2"/>
        <v/>
      </c>
    </row>
    <row r="184" spans="1:10">
      <c r="A184" s="3671" t="str">
        <f>IF(D184="","", "HT-" &amp; IFERROR(VLOOKUP(C184, Catalogos!$Z$4:$AA$20, 2, FALSE), "FOL") &amp; "-" &amp; IF(B184="","00", WEEKNUM(B184,2)) &amp; "-" &amp; TEXT(ROW(A181),"000"))</f>
        <v/>
      </c>
      <c r="B184" s="3670"/>
      <c r="C184" s="3672"/>
      <c r="D184" s="3673"/>
      <c r="E184" s="3674" t="str">
        <f>IF(D184="","", IFERROR(INDEX(Catalogos!$W$4:$W$100, MATCH(D184, Catalogos!$V$4:$V$100, 0)), ""))</f>
        <v/>
      </c>
      <c r="F184" s="3675" t="str">
        <f>IF(D184="","", IFERROR(INDEX(Catalogos!$Y$4:$Y$100, MATCH(D184, Catalogos!$V$4:$V$100, 0)), ""))</f>
        <v/>
      </c>
      <c r="G184" s="3676"/>
      <c r="H184" s="3677"/>
      <c r="I184" t="str">
        <f>IF(E184="","", G184 * IFERROR(INDEX(Maquinaria_Inventario!$K$2:$K$100, MATCH(E184, Maquinaria_Inventario!$L$2:$L$100, 0)), 0))</f>
        <v/>
      </c>
      <c r="J184" t="str">
        <f t="shared" si="2"/>
        <v/>
      </c>
    </row>
    <row r="185" spans="1:10">
      <c r="A185" s="3679" t="str">
        <f>IF(D185="","", "HT-" &amp; IFERROR(VLOOKUP(C185, Catalogos!$Z$4:$AA$20, 2, FALSE), "FOL") &amp; "-" &amp; IF(B185="","00", WEEKNUM(B185,2)) &amp; "-" &amp; TEXT(ROW(A182),"000"))</f>
        <v/>
      </c>
      <c r="B185" s="3678"/>
      <c r="C185" s="3680"/>
      <c r="D185" s="3681"/>
      <c r="E185" s="3682" t="str">
        <f>IF(D185="","", IFERROR(INDEX(Catalogos!$W$4:$W$100, MATCH(D185, Catalogos!$V$4:$V$100, 0)), ""))</f>
        <v/>
      </c>
      <c r="F185" s="3683" t="str">
        <f>IF(D185="","", IFERROR(INDEX(Catalogos!$Y$4:$Y$100, MATCH(D185, Catalogos!$V$4:$V$100, 0)), ""))</f>
        <v/>
      </c>
      <c r="G185" s="3684"/>
      <c r="H185" s="3685"/>
      <c r="I185" t="str">
        <f>IF(E185="","", G185 * IFERROR(INDEX(Maquinaria_Inventario!$K$2:$K$100, MATCH(E185, Maquinaria_Inventario!$L$2:$L$100, 0)), 0))</f>
        <v/>
      </c>
      <c r="J185" t="str">
        <f t="shared" si="2"/>
        <v/>
      </c>
    </row>
    <row r="186" spans="1:10">
      <c r="A186" s="3687" t="str">
        <f>IF(D186="","", "HT-" &amp; IFERROR(VLOOKUP(C186, Catalogos!$Z$4:$AA$20, 2, FALSE), "FOL") &amp; "-" &amp; IF(B186="","00", WEEKNUM(B186,2)) &amp; "-" &amp; TEXT(ROW(A183),"000"))</f>
        <v/>
      </c>
      <c r="B186" s="3686"/>
      <c r="C186" s="3688"/>
      <c r="D186" s="3689"/>
      <c r="E186" s="3690" t="str">
        <f>IF(D186="","", IFERROR(INDEX(Catalogos!$W$4:$W$100, MATCH(D186, Catalogos!$V$4:$V$100, 0)), ""))</f>
        <v/>
      </c>
      <c r="F186" s="3691" t="str">
        <f>IF(D186="","", IFERROR(INDEX(Catalogos!$Y$4:$Y$100, MATCH(D186, Catalogos!$V$4:$V$100, 0)), ""))</f>
        <v/>
      </c>
      <c r="G186" s="3692"/>
      <c r="H186" s="3693"/>
      <c r="I186" t="str">
        <f>IF(E186="","", G186 * IFERROR(INDEX(Maquinaria_Inventario!$K$2:$K$100, MATCH(E186, Maquinaria_Inventario!$L$2:$L$100, 0)), 0))</f>
        <v/>
      </c>
      <c r="J186" t="str">
        <f t="shared" si="2"/>
        <v/>
      </c>
    </row>
    <row r="187" spans="1:10">
      <c r="A187" s="3695" t="str">
        <f>IF(D187="","", "HT-" &amp; IFERROR(VLOOKUP(C187, Catalogos!$Z$4:$AA$20, 2, FALSE), "FOL") &amp; "-" &amp; IF(B187="","00", WEEKNUM(B187,2)) &amp; "-" &amp; TEXT(ROW(A184),"000"))</f>
        <v/>
      </c>
      <c r="B187" s="3694"/>
      <c r="C187" s="3696"/>
      <c r="D187" s="3697"/>
      <c r="E187" s="3698" t="str">
        <f>IF(D187="","", IFERROR(INDEX(Catalogos!$W$4:$W$100, MATCH(D187, Catalogos!$V$4:$V$100, 0)), ""))</f>
        <v/>
      </c>
      <c r="F187" s="3699" t="str">
        <f>IF(D187="","", IFERROR(INDEX(Catalogos!$Y$4:$Y$100, MATCH(D187, Catalogos!$V$4:$V$100, 0)), ""))</f>
        <v/>
      </c>
      <c r="G187" s="3700"/>
      <c r="H187" s="3701"/>
      <c r="I187" t="str">
        <f>IF(E187="","", G187 * IFERROR(INDEX(Maquinaria_Inventario!$K$2:$K$100, MATCH(E187, Maquinaria_Inventario!$L$2:$L$100, 0)), 0))</f>
        <v/>
      </c>
      <c r="J187" t="str">
        <f t="shared" si="2"/>
        <v/>
      </c>
    </row>
    <row r="188" spans="1:10">
      <c r="A188" s="3703" t="str">
        <f>IF(D188="","", "HT-" &amp; IFERROR(VLOOKUP(C188, Catalogos!$Z$4:$AA$20, 2, FALSE), "FOL") &amp; "-" &amp; IF(B188="","00", WEEKNUM(B188,2)) &amp; "-" &amp; TEXT(ROW(A185),"000"))</f>
        <v/>
      </c>
      <c r="B188" s="3702"/>
      <c r="C188" s="3704"/>
      <c r="D188" s="3705"/>
      <c r="E188" s="3706" t="str">
        <f>IF(D188="","", IFERROR(INDEX(Catalogos!$W$4:$W$100, MATCH(D188, Catalogos!$V$4:$V$100, 0)), ""))</f>
        <v/>
      </c>
      <c r="F188" s="3707" t="str">
        <f>IF(D188="","", IFERROR(INDEX(Catalogos!$Y$4:$Y$100, MATCH(D188, Catalogos!$V$4:$V$100, 0)), ""))</f>
        <v/>
      </c>
      <c r="G188" s="3708"/>
      <c r="H188" s="3709"/>
      <c r="I188" t="str">
        <f>IF(E188="","", G188 * IFERROR(INDEX(Maquinaria_Inventario!$K$2:$K$100, MATCH(E188, Maquinaria_Inventario!$L$2:$L$100, 0)), 0))</f>
        <v/>
      </c>
      <c r="J188" t="str">
        <f t="shared" si="2"/>
        <v/>
      </c>
    </row>
    <row r="189" spans="1:10">
      <c r="A189" s="3711" t="str">
        <f>IF(D189="","", "HT-" &amp; IFERROR(VLOOKUP(C189, Catalogos!$Z$4:$AA$20, 2, FALSE), "FOL") &amp; "-" &amp; IF(B189="","00", WEEKNUM(B189,2)) &amp; "-" &amp; TEXT(ROW(A186),"000"))</f>
        <v/>
      </c>
      <c r="B189" s="3710"/>
      <c r="C189" s="3712"/>
      <c r="D189" s="3713"/>
      <c r="E189" s="3714" t="str">
        <f>IF(D189="","", IFERROR(INDEX(Catalogos!$W$4:$W$100, MATCH(D189, Catalogos!$V$4:$V$100, 0)), ""))</f>
        <v/>
      </c>
      <c r="F189" s="3715" t="str">
        <f>IF(D189="","", IFERROR(INDEX(Catalogos!$Y$4:$Y$100, MATCH(D189, Catalogos!$V$4:$V$100, 0)), ""))</f>
        <v/>
      </c>
      <c r="G189" s="3716"/>
      <c r="H189" s="3717"/>
      <c r="I189" t="str">
        <f>IF(E189="","", G189 * IFERROR(INDEX(Maquinaria_Inventario!$K$2:$K$100, MATCH(E189, Maquinaria_Inventario!$L$2:$L$100, 0)), 0))</f>
        <v/>
      </c>
      <c r="J189" t="str">
        <f t="shared" si="2"/>
        <v/>
      </c>
    </row>
    <row r="190" spans="1:10">
      <c r="A190" s="3719" t="str">
        <f>IF(D190="","", "HT-" &amp; IFERROR(VLOOKUP(C190, Catalogos!$Z$4:$AA$20, 2, FALSE), "FOL") &amp; "-" &amp; IF(B190="","00", WEEKNUM(B190,2)) &amp; "-" &amp; TEXT(ROW(A187),"000"))</f>
        <v/>
      </c>
      <c r="B190" s="3718"/>
      <c r="C190" s="3720"/>
      <c r="D190" s="3721"/>
      <c r="E190" s="3722" t="str">
        <f>IF(D190="","", IFERROR(INDEX(Catalogos!$W$4:$W$100, MATCH(D190, Catalogos!$V$4:$V$100, 0)), ""))</f>
        <v/>
      </c>
      <c r="F190" s="3723" t="str">
        <f>IF(D190="","", IFERROR(INDEX(Catalogos!$Y$4:$Y$100, MATCH(D190, Catalogos!$V$4:$V$100, 0)), ""))</f>
        <v/>
      </c>
      <c r="G190" s="3724"/>
      <c r="H190" s="3725"/>
      <c r="I190" t="str">
        <f>IF(E190="","", G190 * IFERROR(INDEX(Maquinaria_Inventario!$K$2:$K$100, MATCH(E190, Maquinaria_Inventario!$L$2:$L$100, 0)), 0))</f>
        <v/>
      </c>
      <c r="J190" t="str">
        <f t="shared" si="2"/>
        <v/>
      </c>
    </row>
    <row r="191" spans="1:10">
      <c r="A191" s="3727" t="str">
        <f>IF(D191="","", "HT-" &amp; IFERROR(VLOOKUP(C191, Catalogos!$Z$4:$AA$20, 2, FALSE), "FOL") &amp; "-" &amp; IF(B191="","00", WEEKNUM(B191,2)) &amp; "-" &amp; TEXT(ROW(A188),"000"))</f>
        <v/>
      </c>
      <c r="B191" s="3726"/>
      <c r="C191" s="3728"/>
      <c r="D191" s="3729"/>
      <c r="E191" s="3730" t="str">
        <f>IF(D191="","", IFERROR(INDEX(Catalogos!$W$4:$W$100, MATCH(D191, Catalogos!$V$4:$V$100, 0)), ""))</f>
        <v/>
      </c>
      <c r="F191" s="3731" t="str">
        <f>IF(D191="","", IFERROR(INDEX(Catalogos!$Y$4:$Y$100, MATCH(D191, Catalogos!$V$4:$V$100, 0)), ""))</f>
        <v/>
      </c>
      <c r="G191" s="3732"/>
      <c r="H191" s="3733"/>
      <c r="I191" t="str">
        <f>IF(E191="","", G191 * IFERROR(INDEX(Maquinaria_Inventario!$K$2:$K$100, MATCH(E191, Maquinaria_Inventario!$L$2:$L$100, 0)), 0))</f>
        <v/>
      </c>
      <c r="J191" t="str">
        <f t="shared" si="2"/>
        <v/>
      </c>
    </row>
    <row r="192" spans="1:10">
      <c r="A192" s="3735" t="str">
        <f>IF(D192="","", "HT-" &amp; IFERROR(VLOOKUP(C192, Catalogos!$Z$4:$AA$20, 2, FALSE), "FOL") &amp; "-" &amp; IF(B192="","00", WEEKNUM(B192,2)) &amp; "-" &amp; TEXT(ROW(A189),"000"))</f>
        <v/>
      </c>
      <c r="B192" s="3734"/>
      <c r="C192" s="3736"/>
      <c r="D192" s="3737"/>
      <c r="E192" s="3738" t="str">
        <f>IF(D192="","", IFERROR(INDEX(Catalogos!$W$4:$W$100, MATCH(D192, Catalogos!$V$4:$V$100, 0)), ""))</f>
        <v/>
      </c>
      <c r="F192" s="3739" t="str">
        <f>IF(D192="","", IFERROR(INDEX(Catalogos!$Y$4:$Y$100, MATCH(D192, Catalogos!$V$4:$V$100, 0)), ""))</f>
        <v/>
      </c>
      <c r="G192" s="3740"/>
      <c r="H192" s="3741"/>
      <c r="I192" t="str">
        <f>IF(E192="","", G192 * IFERROR(INDEX(Maquinaria_Inventario!$K$2:$K$100, MATCH(E192, Maquinaria_Inventario!$L$2:$L$100, 0)), 0))</f>
        <v/>
      </c>
      <c r="J192" t="str">
        <f t="shared" si="2"/>
        <v/>
      </c>
    </row>
    <row r="193" spans="1:10">
      <c r="A193" s="3743" t="str">
        <f>IF(D193="","", "HT-" &amp; IFERROR(VLOOKUP(C193, Catalogos!$Z$4:$AA$20, 2, FALSE), "FOL") &amp; "-" &amp; IF(B193="","00", WEEKNUM(B193,2)) &amp; "-" &amp; TEXT(ROW(A190),"000"))</f>
        <v/>
      </c>
      <c r="B193" s="3742"/>
      <c r="C193" s="3744"/>
      <c r="D193" s="3745"/>
      <c r="E193" s="3746" t="str">
        <f>IF(D193="","", IFERROR(INDEX(Catalogos!$W$4:$W$100, MATCH(D193, Catalogos!$V$4:$V$100, 0)), ""))</f>
        <v/>
      </c>
      <c r="F193" s="3747" t="str">
        <f>IF(D193="","", IFERROR(INDEX(Catalogos!$Y$4:$Y$100, MATCH(D193, Catalogos!$V$4:$V$100, 0)), ""))</f>
        <v/>
      </c>
      <c r="G193" s="3748"/>
      <c r="H193" s="3749"/>
      <c r="I193" t="str">
        <f>IF(E193="","", G193 * IFERROR(INDEX(Maquinaria_Inventario!$K$2:$K$100, MATCH(E193, Maquinaria_Inventario!$L$2:$L$100, 0)), 0))</f>
        <v/>
      </c>
      <c r="J193" t="str">
        <f t="shared" si="2"/>
        <v/>
      </c>
    </row>
    <row r="194" spans="1:10">
      <c r="A194" s="3751" t="str">
        <f>IF(D194="","", "HT-" &amp; IFERROR(VLOOKUP(C194, Catalogos!$Z$4:$AA$20, 2, FALSE), "FOL") &amp; "-" &amp; IF(B194="","00", WEEKNUM(B194,2)) &amp; "-" &amp; TEXT(ROW(A191),"000"))</f>
        <v/>
      </c>
      <c r="B194" s="3750"/>
      <c r="C194" s="3752"/>
      <c r="D194" s="3753"/>
      <c r="E194" s="3754" t="str">
        <f>IF(D194="","", IFERROR(INDEX(Catalogos!$W$4:$W$100, MATCH(D194, Catalogos!$V$4:$V$100, 0)), ""))</f>
        <v/>
      </c>
      <c r="F194" s="3755" t="str">
        <f>IF(D194="","", IFERROR(INDEX(Catalogos!$Y$4:$Y$100, MATCH(D194, Catalogos!$V$4:$V$100, 0)), ""))</f>
        <v/>
      </c>
      <c r="G194" s="3756"/>
      <c r="H194" s="3757"/>
      <c r="I194" t="str">
        <f>IF(E194="","", G194 * IFERROR(INDEX(Maquinaria_Inventario!$K$2:$K$100, MATCH(E194, Maquinaria_Inventario!$L$2:$L$100, 0)), 0))</f>
        <v/>
      </c>
      <c r="J194" t="str">
        <f t="shared" si="2"/>
        <v/>
      </c>
    </row>
    <row r="195" spans="1:10">
      <c r="A195" s="3759" t="str">
        <f>IF(D195="","", "HT-" &amp; IFERROR(VLOOKUP(C195, Catalogos!$Z$4:$AA$20, 2, FALSE), "FOL") &amp; "-" &amp; IF(B195="","00", WEEKNUM(B195,2)) &amp; "-" &amp; TEXT(ROW(A192),"000"))</f>
        <v/>
      </c>
      <c r="B195" s="3758"/>
      <c r="C195" s="3760"/>
      <c r="D195" s="3761"/>
      <c r="E195" s="3762" t="str">
        <f>IF(D195="","", IFERROR(INDEX(Catalogos!$W$4:$W$100, MATCH(D195, Catalogos!$V$4:$V$100, 0)), ""))</f>
        <v/>
      </c>
      <c r="F195" s="3763" t="str">
        <f>IF(D195="","", IFERROR(INDEX(Catalogos!$Y$4:$Y$100, MATCH(D195, Catalogos!$V$4:$V$100, 0)), ""))</f>
        <v/>
      </c>
      <c r="G195" s="3764"/>
      <c r="H195" s="3765"/>
      <c r="I195" t="str">
        <f>IF(E195="","", G195 * IFERROR(INDEX(Maquinaria_Inventario!$K$2:$K$100, MATCH(E195, Maquinaria_Inventario!$L$2:$L$100, 0)), 0))</f>
        <v/>
      </c>
      <c r="J195" t="str">
        <f t="shared" si="2"/>
        <v/>
      </c>
    </row>
    <row r="196" spans="1:10">
      <c r="A196" s="3767" t="str">
        <f>IF(D196="","", "HT-" &amp; IFERROR(VLOOKUP(C196, Catalogos!$Z$4:$AA$20, 2, FALSE), "FOL") &amp; "-" &amp; IF(B196="","00", WEEKNUM(B196,2)) &amp; "-" &amp; TEXT(ROW(A193),"000"))</f>
        <v/>
      </c>
      <c r="B196" s="3766"/>
      <c r="C196" s="3768"/>
      <c r="D196" s="3769"/>
      <c r="E196" s="3770" t="str">
        <f>IF(D196="","", IFERROR(INDEX(Catalogos!$W$4:$W$100, MATCH(D196, Catalogos!$V$4:$V$100, 0)), ""))</f>
        <v/>
      </c>
      <c r="F196" s="3771" t="str">
        <f>IF(D196="","", IFERROR(INDEX(Catalogos!$Y$4:$Y$100, MATCH(D196, Catalogos!$V$4:$V$100, 0)), ""))</f>
        <v/>
      </c>
      <c r="G196" s="3772"/>
      <c r="H196" s="3773"/>
      <c r="I196" t="str">
        <f>IF(E196="","", G196 * IFERROR(INDEX(Maquinaria_Inventario!$K$2:$K$100, MATCH(E196, Maquinaria_Inventario!$L$2:$L$100, 0)), 0))</f>
        <v/>
      </c>
      <c r="J196" t="str">
        <f t="shared" ref="J196:J259" si="3">IF(B196="","", WEEKNUM(B196, 2))</f>
        <v/>
      </c>
    </row>
    <row r="197" spans="1:10">
      <c r="A197" s="3775" t="str">
        <f>IF(D197="","", "HT-" &amp; IFERROR(VLOOKUP(C197, Catalogos!$Z$4:$AA$20, 2, FALSE), "FOL") &amp; "-" &amp; IF(B197="","00", WEEKNUM(B197,2)) &amp; "-" &amp; TEXT(ROW(A194),"000"))</f>
        <v/>
      </c>
      <c r="B197" s="3774"/>
      <c r="C197" s="3776"/>
      <c r="D197" s="3777"/>
      <c r="E197" s="3778" t="str">
        <f>IF(D197="","", IFERROR(INDEX(Catalogos!$W$4:$W$100, MATCH(D197, Catalogos!$V$4:$V$100, 0)), ""))</f>
        <v/>
      </c>
      <c r="F197" s="3779" t="str">
        <f>IF(D197="","", IFERROR(INDEX(Catalogos!$Y$4:$Y$100, MATCH(D197, Catalogos!$V$4:$V$100, 0)), ""))</f>
        <v/>
      </c>
      <c r="G197" s="3780"/>
      <c r="H197" s="3781"/>
      <c r="I197" t="str">
        <f>IF(E197="","", G197 * IFERROR(INDEX(Maquinaria_Inventario!$K$2:$K$100, MATCH(E197, Maquinaria_Inventario!$L$2:$L$100, 0)), 0))</f>
        <v/>
      </c>
      <c r="J197" t="str">
        <f t="shared" si="3"/>
        <v/>
      </c>
    </row>
    <row r="198" spans="1:10">
      <c r="A198" s="3783" t="str">
        <f>IF(D198="","", "HT-" &amp; IFERROR(VLOOKUP(C198, Catalogos!$Z$4:$AA$20, 2, FALSE), "FOL") &amp; "-" &amp; IF(B198="","00", WEEKNUM(B198,2)) &amp; "-" &amp; TEXT(ROW(A195),"000"))</f>
        <v/>
      </c>
      <c r="B198" s="3782"/>
      <c r="C198" s="3784"/>
      <c r="D198" s="3785"/>
      <c r="E198" s="3786" t="str">
        <f>IF(D198="","", IFERROR(INDEX(Catalogos!$W$4:$W$100, MATCH(D198, Catalogos!$V$4:$V$100, 0)), ""))</f>
        <v/>
      </c>
      <c r="F198" s="3787" t="str">
        <f>IF(D198="","", IFERROR(INDEX(Catalogos!$Y$4:$Y$100, MATCH(D198, Catalogos!$V$4:$V$100, 0)), ""))</f>
        <v/>
      </c>
      <c r="G198" s="3788"/>
      <c r="H198" s="3789"/>
      <c r="I198" t="str">
        <f>IF(E198="","", G198 * IFERROR(INDEX(Maquinaria_Inventario!$K$2:$K$100, MATCH(E198, Maquinaria_Inventario!$L$2:$L$100, 0)), 0))</f>
        <v/>
      </c>
      <c r="J198" t="str">
        <f t="shared" si="3"/>
        <v/>
      </c>
    </row>
    <row r="199" spans="1:10">
      <c r="A199" s="3791" t="str">
        <f>IF(D199="","", "HT-" &amp; IFERROR(VLOOKUP(C199, Catalogos!$Z$4:$AA$20, 2, FALSE), "FOL") &amp; "-" &amp; IF(B199="","00", WEEKNUM(B199,2)) &amp; "-" &amp; TEXT(ROW(A196),"000"))</f>
        <v/>
      </c>
      <c r="B199" s="3790"/>
      <c r="C199" s="3792"/>
      <c r="D199" s="3793"/>
      <c r="E199" s="3794" t="str">
        <f>IF(D199="","", IFERROR(INDEX(Catalogos!$W$4:$W$100, MATCH(D199, Catalogos!$V$4:$V$100, 0)), ""))</f>
        <v/>
      </c>
      <c r="F199" s="3795" t="str">
        <f>IF(D199="","", IFERROR(INDEX(Catalogos!$Y$4:$Y$100, MATCH(D199, Catalogos!$V$4:$V$100, 0)), ""))</f>
        <v/>
      </c>
      <c r="G199" s="3796"/>
      <c r="H199" s="3797"/>
      <c r="I199" t="str">
        <f>IF(E199="","", G199 * IFERROR(INDEX(Maquinaria_Inventario!$K$2:$K$100, MATCH(E199, Maquinaria_Inventario!$L$2:$L$100, 0)), 0))</f>
        <v/>
      </c>
      <c r="J199" t="str">
        <f t="shared" si="3"/>
        <v/>
      </c>
    </row>
    <row r="200" spans="1:10">
      <c r="A200" s="3799" t="str">
        <f>IF(D200="","", "HT-" &amp; IFERROR(VLOOKUP(C200, Catalogos!$Z$4:$AA$20, 2, FALSE), "FOL") &amp; "-" &amp; IF(B200="","00", WEEKNUM(B200,2)) &amp; "-" &amp; TEXT(ROW(A197),"000"))</f>
        <v/>
      </c>
      <c r="B200" s="3798"/>
      <c r="C200" s="3800"/>
      <c r="D200" s="3801"/>
      <c r="E200" s="3802" t="str">
        <f>IF(D200="","", IFERROR(INDEX(Catalogos!$W$4:$W$100, MATCH(D200, Catalogos!$V$4:$V$100, 0)), ""))</f>
        <v/>
      </c>
      <c r="F200" s="3803" t="str">
        <f>IF(D200="","", IFERROR(INDEX(Catalogos!$Y$4:$Y$100, MATCH(D200, Catalogos!$V$4:$V$100, 0)), ""))</f>
        <v/>
      </c>
      <c r="G200" s="3804"/>
      <c r="H200" s="3805"/>
      <c r="I200" t="str">
        <f>IF(E200="","", G200 * IFERROR(INDEX(Maquinaria_Inventario!$K$2:$K$100, MATCH(E200, Maquinaria_Inventario!$L$2:$L$100, 0)), 0))</f>
        <v/>
      </c>
      <c r="J200" t="str">
        <f t="shared" si="3"/>
        <v/>
      </c>
    </row>
    <row r="201" spans="1:10">
      <c r="J201" t="str">
        <f t="shared" si="3"/>
        <v/>
      </c>
    </row>
    <row r="202" spans="1:10">
      <c r="J202" t="str">
        <f t="shared" si="3"/>
        <v/>
      </c>
    </row>
    <row r="203" spans="1:10">
      <c r="J203" t="str">
        <f t="shared" si="3"/>
        <v/>
      </c>
    </row>
    <row r="204" spans="1:10">
      <c r="J204" t="str">
        <f t="shared" si="3"/>
        <v/>
      </c>
    </row>
    <row r="205" spans="1:10">
      <c r="J205" t="str">
        <f t="shared" si="3"/>
        <v/>
      </c>
    </row>
    <row r="206" spans="1:10">
      <c r="J206" t="str">
        <f t="shared" si="3"/>
        <v/>
      </c>
    </row>
    <row r="207" spans="1:10">
      <c r="J207" t="str">
        <f t="shared" si="3"/>
        <v/>
      </c>
    </row>
    <row r="208" spans="1:10">
      <c r="J208" t="str">
        <f t="shared" si="3"/>
        <v/>
      </c>
    </row>
    <row r="209" spans="10:10">
      <c r="J209" t="str">
        <f t="shared" si="3"/>
        <v/>
      </c>
    </row>
    <row r="210" spans="10:10">
      <c r="J210" t="str">
        <f t="shared" si="3"/>
        <v/>
      </c>
    </row>
    <row r="211" spans="10:10">
      <c r="J211" t="str">
        <f t="shared" si="3"/>
        <v/>
      </c>
    </row>
    <row r="212" spans="10:10">
      <c r="J212" t="str">
        <f t="shared" si="3"/>
        <v/>
      </c>
    </row>
    <row r="213" spans="10:10">
      <c r="J213" t="str">
        <f t="shared" si="3"/>
        <v/>
      </c>
    </row>
    <row r="214" spans="10:10">
      <c r="J214" t="str">
        <f t="shared" si="3"/>
        <v/>
      </c>
    </row>
    <row r="215" spans="10:10">
      <c r="J215" t="str">
        <f t="shared" si="3"/>
        <v/>
      </c>
    </row>
    <row r="216" spans="10:10">
      <c r="J216" t="str">
        <f t="shared" si="3"/>
        <v/>
      </c>
    </row>
    <row r="217" spans="10:10">
      <c r="J217" t="str">
        <f t="shared" si="3"/>
        <v/>
      </c>
    </row>
    <row r="218" spans="10:10">
      <c r="J218" t="str">
        <f t="shared" si="3"/>
        <v/>
      </c>
    </row>
    <row r="219" spans="10:10">
      <c r="J219" t="str">
        <f t="shared" si="3"/>
        <v/>
      </c>
    </row>
    <row r="220" spans="10:10">
      <c r="J220" t="str">
        <f t="shared" si="3"/>
        <v/>
      </c>
    </row>
    <row r="221" spans="10:10">
      <c r="J221" t="str">
        <f t="shared" si="3"/>
        <v/>
      </c>
    </row>
    <row r="222" spans="10:10">
      <c r="J222" t="str">
        <f t="shared" si="3"/>
        <v/>
      </c>
    </row>
    <row r="223" spans="10:10">
      <c r="J223" t="str">
        <f t="shared" si="3"/>
        <v/>
      </c>
    </row>
    <row r="224" spans="10:10">
      <c r="J224" t="str">
        <f t="shared" si="3"/>
        <v/>
      </c>
    </row>
    <row r="225" spans="10:10">
      <c r="J225" t="str">
        <f t="shared" si="3"/>
        <v/>
      </c>
    </row>
    <row r="226" spans="10:10">
      <c r="J226" t="str">
        <f t="shared" si="3"/>
        <v/>
      </c>
    </row>
    <row r="227" spans="10:10">
      <c r="J227" t="str">
        <f t="shared" si="3"/>
        <v/>
      </c>
    </row>
    <row r="228" spans="10:10">
      <c r="J228" t="str">
        <f t="shared" si="3"/>
        <v/>
      </c>
    </row>
    <row r="229" spans="10:10">
      <c r="J229" t="str">
        <f t="shared" si="3"/>
        <v/>
      </c>
    </row>
    <row r="230" spans="10:10">
      <c r="J230" t="str">
        <f t="shared" si="3"/>
        <v/>
      </c>
    </row>
    <row r="231" spans="10:10">
      <c r="J231" t="str">
        <f t="shared" si="3"/>
        <v/>
      </c>
    </row>
    <row r="232" spans="10:10">
      <c r="J232" t="str">
        <f t="shared" si="3"/>
        <v/>
      </c>
    </row>
    <row r="233" spans="10:10">
      <c r="J233" t="str">
        <f t="shared" si="3"/>
        <v/>
      </c>
    </row>
    <row r="234" spans="10:10">
      <c r="J234" t="str">
        <f t="shared" si="3"/>
        <v/>
      </c>
    </row>
    <row r="235" spans="10:10">
      <c r="J235" t="str">
        <f t="shared" si="3"/>
        <v/>
      </c>
    </row>
    <row r="236" spans="10:10">
      <c r="J236" t="str">
        <f t="shared" si="3"/>
        <v/>
      </c>
    </row>
    <row r="237" spans="10:10">
      <c r="J237" t="str">
        <f t="shared" si="3"/>
        <v/>
      </c>
    </row>
    <row r="238" spans="10:10">
      <c r="J238" t="str">
        <f t="shared" si="3"/>
        <v/>
      </c>
    </row>
    <row r="239" spans="10:10">
      <c r="J239" t="str">
        <f t="shared" si="3"/>
        <v/>
      </c>
    </row>
    <row r="240" spans="10:10">
      <c r="J240" t="str">
        <f t="shared" si="3"/>
        <v/>
      </c>
    </row>
    <row r="241" spans="10:10">
      <c r="J241" t="str">
        <f t="shared" si="3"/>
        <v/>
      </c>
    </row>
    <row r="242" spans="10:10">
      <c r="J242" t="str">
        <f t="shared" si="3"/>
        <v/>
      </c>
    </row>
    <row r="243" spans="10:10">
      <c r="J243" t="str">
        <f t="shared" si="3"/>
        <v/>
      </c>
    </row>
    <row r="244" spans="10:10">
      <c r="J244" t="str">
        <f t="shared" si="3"/>
        <v/>
      </c>
    </row>
    <row r="245" spans="10:10">
      <c r="J245" t="str">
        <f t="shared" si="3"/>
        <v/>
      </c>
    </row>
    <row r="246" spans="10:10">
      <c r="J246" t="str">
        <f t="shared" si="3"/>
        <v/>
      </c>
    </row>
    <row r="247" spans="10:10">
      <c r="J247" t="str">
        <f t="shared" si="3"/>
        <v/>
      </c>
    </row>
    <row r="248" spans="10:10">
      <c r="J248" t="str">
        <f t="shared" si="3"/>
        <v/>
      </c>
    </row>
    <row r="249" spans="10:10">
      <c r="J249" t="str">
        <f t="shared" si="3"/>
        <v/>
      </c>
    </row>
    <row r="250" spans="10:10">
      <c r="J250" t="str">
        <f t="shared" si="3"/>
        <v/>
      </c>
    </row>
    <row r="251" spans="10:10">
      <c r="J251" t="str">
        <f t="shared" si="3"/>
        <v/>
      </c>
    </row>
    <row r="252" spans="10:10">
      <c r="J252" t="str">
        <f t="shared" si="3"/>
        <v/>
      </c>
    </row>
    <row r="253" spans="10:10">
      <c r="J253" t="str">
        <f t="shared" si="3"/>
        <v/>
      </c>
    </row>
    <row r="254" spans="10:10">
      <c r="J254" t="str">
        <f t="shared" si="3"/>
        <v/>
      </c>
    </row>
    <row r="255" spans="10:10">
      <c r="J255" t="str">
        <f t="shared" si="3"/>
        <v/>
      </c>
    </row>
    <row r="256" spans="10:10">
      <c r="J256" t="str">
        <f t="shared" si="3"/>
        <v/>
      </c>
    </row>
    <row r="257" spans="10:10">
      <c r="J257" t="str">
        <f t="shared" si="3"/>
        <v/>
      </c>
    </row>
    <row r="258" spans="10:10">
      <c r="J258" t="str">
        <f t="shared" si="3"/>
        <v/>
      </c>
    </row>
    <row r="259" spans="10:10">
      <c r="J259" t="str">
        <f t="shared" si="3"/>
        <v/>
      </c>
    </row>
    <row r="260" spans="10:10">
      <c r="J260" t="str">
        <f t="shared" ref="J260:J323" si="4">IF(B260="","", WEEKNUM(B260, 2))</f>
        <v/>
      </c>
    </row>
    <row r="261" spans="10:10">
      <c r="J261" t="str">
        <f t="shared" si="4"/>
        <v/>
      </c>
    </row>
    <row r="262" spans="10:10">
      <c r="J262" t="str">
        <f t="shared" si="4"/>
        <v/>
      </c>
    </row>
    <row r="263" spans="10:10">
      <c r="J263" t="str">
        <f t="shared" si="4"/>
        <v/>
      </c>
    </row>
    <row r="264" spans="10:10">
      <c r="J264" t="str">
        <f t="shared" si="4"/>
        <v/>
      </c>
    </row>
    <row r="265" spans="10:10">
      <c r="J265" t="str">
        <f t="shared" si="4"/>
        <v/>
      </c>
    </row>
    <row r="266" spans="10:10">
      <c r="J266" t="str">
        <f t="shared" si="4"/>
        <v/>
      </c>
    </row>
    <row r="267" spans="10:10">
      <c r="J267" t="str">
        <f t="shared" si="4"/>
        <v/>
      </c>
    </row>
    <row r="268" spans="10:10">
      <c r="J268" t="str">
        <f t="shared" si="4"/>
        <v/>
      </c>
    </row>
    <row r="269" spans="10:10">
      <c r="J269" t="str">
        <f t="shared" si="4"/>
        <v/>
      </c>
    </row>
    <row r="270" spans="10:10">
      <c r="J270" t="str">
        <f t="shared" si="4"/>
        <v/>
      </c>
    </row>
    <row r="271" spans="10:10">
      <c r="J271" t="str">
        <f t="shared" si="4"/>
        <v/>
      </c>
    </row>
    <row r="272" spans="10:10">
      <c r="J272" t="str">
        <f t="shared" si="4"/>
        <v/>
      </c>
    </row>
    <row r="273" spans="10:10">
      <c r="J273" t="str">
        <f t="shared" si="4"/>
        <v/>
      </c>
    </row>
    <row r="274" spans="10:10">
      <c r="J274" t="str">
        <f t="shared" si="4"/>
        <v/>
      </c>
    </row>
    <row r="275" spans="10:10">
      <c r="J275" t="str">
        <f t="shared" si="4"/>
        <v/>
      </c>
    </row>
    <row r="276" spans="10:10">
      <c r="J276" t="str">
        <f t="shared" si="4"/>
        <v/>
      </c>
    </row>
    <row r="277" spans="10:10">
      <c r="J277" t="str">
        <f t="shared" si="4"/>
        <v/>
      </c>
    </row>
    <row r="278" spans="10:10">
      <c r="J278" t="str">
        <f t="shared" si="4"/>
        <v/>
      </c>
    </row>
    <row r="279" spans="10:10">
      <c r="J279" t="str">
        <f t="shared" si="4"/>
        <v/>
      </c>
    </row>
    <row r="280" spans="10:10">
      <c r="J280" t="str">
        <f t="shared" si="4"/>
        <v/>
      </c>
    </row>
    <row r="281" spans="10:10">
      <c r="J281" t="str">
        <f t="shared" si="4"/>
        <v/>
      </c>
    </row>
    <row r="282" spans="10:10">
      <c r="J282" t="str">
        <f t="shared" si="4"/>
        <v/>
      </c>
    </row>
    <row r="283" spans="10:10">
      <c r="J283" t="str">
        <f t="shared" si="4"/>
        <v/>
      </c>
    </row>
    <row r="284" spans="10:10">
      <c r="J284" t="str">
        <f t="shared" si="4"/>
        <v/>
      </c>
    </row>
    <row r="285" spans="10:10">
      <c r="J285" t="str">
        <f t="shared" si="4"/>
        <v/>
      </c>
    </row>
    <row r="286" spans="10:10">
      <c r="J286" t="str">
        <f t="shared" si="4"/>
        <v/>
      </c>
    </row>
    <row r="287" spans="10:10">
      <c r="J287" t="str">
        <f t="shared" si="4"/>
        <v/>
      </c>
    </row>
    <row r="288" spans="10:10">
      <c r="J288" t="str">
        <f t="shared" si="4"/>
        <v/>
      </c>
    </row>
    <row r="289" spans="10:10">
      <c r="J289" t="str">
        <f t="shared" si="4"/>
        <v/>
      </c>
    </row>
    <row r="290" spans="10:10">
      <c r="J290" t="str">
        <f t="shared" si="4"/>
        <v/>
      </c>
    </row>
    <row r="291" spans="10:10">
      <c r="J291" t="str">
        <f t="shared" si="4"/>
        <v/>
      </c>
    </row>
    <row r="292" spans="10:10">
      <c r="J292" t="str">
        <f t="shared" si="4"/>
        <v/>
      </c>
    </row>
    <row r="293" spans="10:10">
      <c r="J293" t="str">
        <f t="shared" si="4"/>
        <v/>
      </c>
    </row>
    <row r="294" spans="10:10">
      <c r="J294" t="str">
        <f t="shared" si="4"/>
        <v/>
      </c>
    </row>
    <row r="295" spans="10:10">
      <c r="J295" t="str">
        <f t="shared" si="4"/>
        <v/>
      </c>
    </row>
    <row r="296" spans="10:10">
      <c r="J296" t="str">
        <f t="shared" si="4"/>
        <v/>
      </c>
    </row>
    <row r="297" spans="10:10">
      <c r="J297" t="str">
        <f t="shared" si="4"/>
        <v/>
      </c>
    </row>
    <row r="298" spans="10:10">
      <c r="J298" t="str">
        <f t="shared" si="4"/>
        <v/>
      </c>
    </row>
    <row r="299" spans="10:10">
      <c r="J299" t="str">
        <f t="shared" si="4"/>
        <v/>
      </c>
    </row>
    <row r="300" spans="10:10">
      <c r="J300" t="str">
        <f t="shared" si="4"/>
        <v/>
      </c>
    </row>
    <row r="301" spans="10:10">
      <c r="J301" t="str">
        <f t="shared" si="4"/>
        <v/>
      </c>
    </row>
    <row r="302" spans="10:10">
      <c r="J302" t="str">
        <f t="shared" si="4"/>
        <v/>
      </c>
    </row>
    <row r="303" spans="10:10">
      <c r="J303" t="str">
        <f t="shared" si="4"/>
        <v/>
      </c>
    </row>
    <row r="304" spans="10:10">
      <c r="J304" t="str">
        <f t="shared" si="4"/>
        <v/>
      </c>
    </row>
    <row r="305" spans="10:10">
      <c r="J305" t="str">
        <f t="shared" si="4"/>
        <v/>
      </c>
    </row>
    <row r="306" spans="10:10">
      <c r="J306" t="str">
        <f t="shared" si="4"/>
        <v/>
      </c>
    </row>
    <row r="307" spans="10:10">
      <c r="J307" t="str">
        <f t="shared" si="4"/>
        <v/>
      </c>
    </row>
    <row r="308" spans="10:10">
      <c r="J308" t="str">
        <f t="shared" si="4"/>
        <v/>
      </c>
    </row>
    <row r="309" spans="10:10">
      <c r="J309" t="str">
        <f t="shared" si="4"/>
        <v/>
      </c>
    </row>
    <row r="310" spans="10:10">
      <c r="J310" t="str">
        <f t="shared" si="4"/>
        <v/>
      </c>
    </row>
    <row r="311" spans="10:10">
      <c r="J311" t="str">
        <f t="shared" si="4"/>
        <v/>
      </c>
    </row>
    <row r="312" spans="10:10">
      <c r="J312" t="str">
        <f t="shared" si="4"/>
        <v/>
      </c>
    </row>
    <row r="313" spans="10:10">
      <c r="J313" t="str">
        <f t="shared" si="4"/>
        <v/>
      </c>
    </row>
    <row r="314" spans="10:10">
      <c r="J314" t="str">
        <f t="shared" si="4"/>
        <v/>
      </c>
    </row>
    <row r="315" spans="10:10">
      <c r="J315" t="str">
        <f t="shared" si="4"/>
        <v/>
      </c>
    </row>
    <row r="316" spans="10:10">
      <c r="J316" t="str">
        <f t="shared" si="4"/>
        <v/>
      </c>
    </row>
    <row r="317" spans="10:10">
      <c r="J317" t="str">
        <f t="shared" si="4"/>
        <v/>
      </c>
    </row>
    <row r="318" spans="10:10">
      <c r="J318" t="str">
        <f t="shared" si="4"/>
        <v/>
      </c>
    </row>
    <row r="319" spans="10:10">
      <c r="J319" t="str">
        <f t="shared" si="4"/>
        <v/>
      </c>
    </row>
    <row r="320" spans="10:10">
      <c r="J320" t="str">
        <f t="shared" si="4"/>
        <v/>
      </c>
    </row>
    <row r="321" spans="10:10">
      <c r="J321" t="str">
        <f t="shared" si="4"/>
        <v/>
      </c>
    </row>
    <row r="322" spans="10:10">
      <c r="J322" t="str">
        <f t="shared" si="4"/>
        <v/>
      </c>
    </row>
    <row r="323" spans="10:10">
      <c r="J323" t="str">
        <f t="shared" si="4"/>
        <v/>
      </c>
    </row>
    <row r="324" spans="10:10">
      <c r="J324" t="str">
        <f t="shared" ref="J324:J387" si="5">IF(B324="","", WEEKNUM(B324, 2))</f>
        <v/>
      </c>
    </row>
    <row r="325" spans="10:10">
      <c r="J325" t="str">
        <f t="shared" si="5"/>
        <v/>
      </c>
    </row>
    <row r="326" spans="10:10">
      <c r="J326" t="str">
        <f t="shared" si="5"/>
        <v/>
      </c>
    </row>
    <row r="327" spans="10:10">
      <c r="J327" t="str">
        <f t="shared" si="5"/>
        <v/>
      </c>
    </row>
    <row r="328" spans="10:10">
      <c r="J328" t="str">
        <f t="shared" si="5"/>
        <v/>
      </c>
    </row>
    <row r="329" spans="10:10">
      <c r="J329" t="str">
        <f t="shared" si="5"/>
        <v/>
      </c>
    </row>
    <row r="330" spans="10:10">
      <c r="J330" t="str">
        <f t="shared" si="5"/>
        <v/>
      </c>
    </row>
    <row r="331" spans="10:10">
      <c r="J331" t="str">
        <f t="shared" si="5"/>
        <v/>
      </c>
    </row>
    <row r="332" spans="10:10">
      <c r="J332" t="str">
        <f t="shared" si="5"/>
        <v/>
      </c>
    </row>
    <row r="333" spans="10:10">
      <c r="J333" t="str">
        <f t="shared" si="5"/>
        <v/>
      </c>
    </row>
    <row r="334" spans="10:10">
      <c r="J334" t="str">
        <f t="shared" si="5"/>
        <v/>
      </c>
    </row>
    <row r="335" spans="10:10">
      <c r="J335" t="str">
        <f t="shared" si="5"/>
        <v/>
      </c>
    </row>
    <row r="336" spans="10:10">
      <c r="J336" t="str">
        <f t="shared" si="5"/>
        <v/>
      </c>
    </row>
    <row r="337" spans="10:10">
      <c r="J337" t="str">
        <f t="shared" si="5"/>
        <v/>
      </c>
    </row>
    <row r="338" spans="10:10">
      <c r="J338" t="str">
        <f t="shared" si="5"/>
        <v/>
      </c>
    </row>
    <row r="339" spans="10:10">
      <c r="J339" t="str">
        <f t="shared" si="5"/>
        <v/>
      </c>
    </row>
    <row r="340" spans="10:10">
      <c r="J340" t="str">
        <f t="shared" si="5"/>
        <v/>
      </c>
    </row>
    <row r="341" spans="10:10">
      <c r="J341" t="str">
        <f t="shared" si="5"/>
        <v/>
      </c>
    </row>
    <row r="342" spans="10:10">
      <c r="J342" t="str">
        <f t="shared" si="5"/>
        <v/>
      </c>
    </row>
    <row r="343" spans="10:10">
      <c r="J343" t="str">
        <f t="shared" si="5"/>
        <v/>
      </c>
    </row>
    <row r="344" spans="10:10">
      <c r="J344" t="str">
        <f t="shared" si="5"/>
        <v/>
      </c>
    </row>
    <row r="345" spans="10:10">
      <c r="J345" t="str">
        <f t="shared" si="5"/>
        <v/>
      </c>
    </row>
    <row r="346" spans="10:10">
      <c r="J346" t="str">
        <f t="shared" si="5"/>
        <v/>
      </c>
    </row>
    <row r="347" spans="10:10">
      <c r="J347" t="str">
        <f t="shared" si="5"/>
        <v/>
      </c>
    </row>
    <row r="348" spans="10:10">
      <c r="J348" t="str">
        <f t="shared" si="5"/>
        <v/>
      </c>
    </row>
    <row r="349" spans="10:10">
      <c r="J349" t="str">
        <f t="shared" si="5"/>
        <v/>
      </c>
    </row>
    <row r="350" spans="10:10">
      <c r="J350" t="str">
        <f t="shared" si="5"/>
        <v/>
      </c>
    </row>
    <row r="351" spans="10:10">
      <c r="J351" t="str">
        <f t="shared" si="5"/>
        <v/>
      </c>
    </row>
    <row r="352" spans="10:10">
      <c r="J352" t="str">
        <f t="shared" si="5"/>
        <v/>
      </c>
    </row>
    <row r="353" spans="10:10">
      <c r="J353" t="str">
        <f t="shared" si="5"/>
        <v/>
      </c>
    </row>
    <row r="354" spans="10:10">
      <c r="J354" t="str">
        <f t="shared" si="5"/>
        <v/>
      </c>
    </row>
    <row r="355" spans="10:10">
      <c r="J355" t="str">
        <f t="shared" si="5"/>
        <v/>
      </c>
    </row>
    <row r="356" spans="10:10">
      <c r="J356" t="str">
        <f t="shared" si="5"/>
        <v/>
      </c>
    </row>
    <row r="357" spans="10:10">
      <c r="J357" t="str">
        <f t="shared" si="5"/>
        <v/>
      </c>
    </row>
    <row r="358" spans="10:10">
      <c r="J358" t="str">
        <f t="shared" si="5"/>
        <v/>
      </c>
    </row>
    <row r="359" spans="10:10">
      <c r="J359" t="str">
        <f t="shared" si="5"/>
        <v/>
      </c>
    </row>
    <row r="360" spans="10:10">
      <c r="J360" t="str">
        <f t="shared" si="5"/>
        <v/>
      </c>
    </row>
    <row r="361" spans="10:10">
      <c r="J361" t="str">
        <f t="shared" si="5"/>
        <v/>
      </c>
    </row>
    <row r="362" spans="10:10">
      <c r="J362" t="str">
        <f t="shared" si="5"/>
        <v/>
      </c>
    </row>
    <row r="363" spans="10:10">
      <c r="J363" t="str">
        <f t="shared" si="5"/>
        <v/>
      </c>
    </row>
    <row r="364" spans="10:10">
      <c r="J364" t="str">
        <f t="shared" si="5"/>
        <v/>
      </c>
    </row>
    <row r="365" spans="10:10">
      <c r="J365" t="str">
        <f t="shared" si="5"/>
        <v/>
      </c>
    </row>
    <row r="366" spans="10:10">
      <c r="J366" t="str">
        <f t="shared" si="5"/>
        <v/>
      </c>
    </row>
    <row r="367" spans="10:10">
      <c r="J367" t="str">
        <f t="shared" si="5"/>
        <v/>
      </c>
    </row>
    <row r="368" spans="10:10">
      <c r="J368" t="str">
        <f t="shared" si="5"/>
        <v/>
      </c>
    </row>
    <row r="369" spans="10:10">
      <c r="J369" t="str">
        <f t="shared" si="5"/>
        <v/>
      </c>
    </row>
    <row r="370" spans="10:10">
      <c r="J370" t="str">
        <f t="shared" si="5"/>
        <v/>
      </c>
    </row>
    <row r="371" spans="10:10">
      <c r="J371" t="str">
        <f t="shared" si="5"/>
        <v/>
      </c>
    </row>
    <row r="372" spans="10:10">
      <c r="J372" t="str">
        <f t="shared" si="5"/>
        <v/>
      </c>
    </row>
    <row r="373" spans="10:10">
      <c r="J373" t="str">
        <f t="shared" si="5"/>
        <v/>
      </c>
    </row>
    <row r="374" spans="10:10">
      <c r="J374" t="str">
        <f t="shared" si="5"/>
        <v/>
      </c>
    </row>
    <row r="375" spans="10:10">
      <c r="J375" t="str">
        <f t="shared" si="5"/>
        <v/>
      </c>
    </row>
    <row r="376" spans="10:10">
      <c r="J376" t="str">
        <f t="shared" si="5"/>
        <v/>
      </c>
    </row>
    <row r="377" spans="10:10">
      <c r="J377" t="str">
        <f t="shared" si="5"/>
        <v/>
      </c>
    </row>
    <row r="378" spans="10:10">
      <c r="J378" t="str">
        <f t="shared" si="5"/>
        <v/>
      </c>
    </row>
    <row r="379" spans="10:10">
      <c r="J379" t="str">
        <f t="shared" si="5"/>
        <v/>
      </c>
    </row>
    <row r="380" spans="10:10">
      <c r="J380" t="str">
        <f t="shared" si="5"/>
        <v/>
      </c>
    </row>
    <row r="381" spans="10:10">
      <c r="J381" t="str">
        <f t="shared" si="5"/>
        <v/>
      </c>
    </row>
    <row r="382" spans="10:10">
      <c r="J382" t="str">
        <f t="shared" si="5"/>
        <v/>
      </c>
    </row>
    <row r="383" spans="10:10">
      <c r="J383" t="str">
        <f t="shared" si="5"/>
        <v/>
      </c>
    </row>
    <row r="384" spans="10:10">
      <c r="J384" t="str">
        <f t="shared" si="5"/>
        <v/>
      </c>
    </row>
    <row r="385" spans="10:10">
      <c r="J385" t="str">
        <f t="shared" si="5"/>
        <v/>
      </c>
    </row>
    <row r="386" spans="10:10">
      <c r="J386" t="str">
        <f t="shared" si="5"/>
        <v/>
      </c>
    </row>
    <row r="387" spans="10:10">
      <c r="J387" t="str">
        <f t="shared" si="5"/>
        <v/>
      </c>
    </row>
    <row r="388" spans="10:10">
      <c r="J388" t="str">
        <f t="shared" ref="J388:J451" si="6">IF(B388="","", WEEKNUM(B388, 2))</f>
        <v/>
      </c>
    </row>
    <row r="389" spans="10:10">
      <c r="J389" t="str">
        <f t="shared" si="6"/>
        <v/>
      </c>
    </row>
    <row r="390" spans="10:10">
      <c r="J390" t="str">
        <f t="shared" si="6"/>
        <v/>
      </c>
    </row>
    <row r="391" spans="10:10">
      <c r="J391" t="str">
        <f t="shared" si="6"/>
        <v/>
      </c>
    </row>
    <row r="392" spans="10:10">
      <c r="J392" t="str">
        <f t="shared" si="6"/>
        <v/>
      </c>
    </row>
    <row r="393" spans="10:10">
      <c r="J393" t="str">
        <f t="shared" si="6"/>
        <v/>
      </c>
    </row>
    <row r="394" spans="10:10">
      <c r="J394" t="str">
        <f t="shared" si="6"/>
        <v/>
      </c>
    </row>
    <row r="395" spans="10:10">
      <c r="J395" t="str">
        <f t="shared" si="6"/>
        <v/>
      </c>
    </row>
    <row r="396" spans="10:10">
      <c r="J396" t="str">
        <f t="shared" si="6"/>
        <v/>
      </c>
    </row>
    <row r="397" spans="10:10">
      <c r="J397" t="str">
        <f t="shared" si="6"/>
        <v/>
      </c>
    </row>
    <row r="398" spans="10:10">
      <c r="J398" t="str">
        <f t="shared" si="6"/>
        <v/>
      </c>
    </row>
    <row r="399" spans="10:10">
      <c r="J399" t="str">
        <f t="shared" si="6"/>
        <v/>
      </c>
    </row>
    <row r="400" spans="10:10">
      <c r="J400" t="str">
        <f t="shared" si="6"/>
        <v/>
      </c>
    </row>
    <row r="401" spans="10:10">
      <c r="J401" t="str">
        <f t="shared" si="6"/>
        <v/>
      </c>
    </row>
    <row r="402" spans="10:10">
      <c r="J402" t="str">
        <f t="shared" si="6"/>
        <v/>
      </c>
    </row>
    <row r="403" spans="10:10">
      <c r="J403" t="str">
        <f t="shared" si="6"/>
        <v/>
      </c>
    </row>
    <row r="404" spans="10:10">
      <c r="J404" t="str">
        <f t="shared" si="6"/>
        <v/>
      </c>
    </row>
    <row r="405" spans="10:10">
      <c r="J405" t="str">
        <f t="shared" si="6"/>
        <v/>
      </c>
    </row>
    <row r="406" spans="10:10">
      <c r="J406" t="str">
        <f t="shared" si="6"/>
        <v/>
      </c>
    </row>
    <row r="407" spans="10:10">
      <c r="J407" t="str">
        <f t="shared" si="6"/>
        <v/>
      </c>
    </row>
    <row r="408" spans="10:10">
      <c r="J408" t="str">
        <f t="shared" si="6"/>
        <v/>
      </c>
    </row>
    <row r="409" spans="10:10">
      <c r="J409" t="str">
        <f t="shared" si="6"/>
        <v/>
      </c>
    </row>
    <row r="410" spans="10:10">
      <c r="J410" t="str">
        <f t="shared" si="6"/>
        <v/>
      </c>
    </row>
    <row r="411" spans="10:10">
      <c r="J411" t="str">
        <f t="shared" si="6"/>
        <v/>
      </c>
    </row>
    <row r="412" spans="10:10">
      <c r="J412" t="str">
        <f t="shared" si="6"/>
        <v/>
      </c>
    </row>
    <row r="413" spans="10:10">
      <c r="J413" t="str">
        <f t="shared" si="6"/>
        <v/>
      </c>
    </row>
    <row r="414" spans="10:10">
      <c r="J414" t="str">
        <f t="shared" si="6"/>
        <v/>
      </c>
    </row>
    <row r="415" spans="10:10">
      <c r="J415" t="str">
        <f t="shared" si="6"/>
        <v/>
      </c>
    </row>
    <row r="416" spans="10:10">
      <c r="J416" t="str">
        <f t="shared" si="6"/>
        <v/>
      </c>
    </row>
    <row r="417" spans="10:10">
      <c r="J417" t="str">
        <f t="shared" si="6"/>
        <v/>
      </c>
    </row>
    <row r="418" spans="10:10">
      <c r="J418" t="str">
        <f t="shared" si="6"/>
        <v/>
      </c>
    </row>
    <row r="419" spans="10:10">
      <c r="J419" t="str">
        <f t="shared" si="6"/>
        <v/>
      </c>
    </row>
    <row r="420" spans="10:10">
      <c r="J420" t="str">
        <f t="shared" si="6"/>
        <v/>
      </c>
    </row>
    <row r="421" spans="10:10">
      <c r="J421" t="str">
        <f t="shared" si="6"/>
        <v/>
      </c>
    </row>
    <row r="422" spans="10:10">
      <c r="J422" t="str">
        <f t="shared" si="6"/>
        <v/>
      </c>
    </row>
    <row r="423" spans="10:10">
      <c r="J423" t="str">
        <f t="shared" si="6"/>
        <v/>
      </c>
    </row>
    <row r="424" spans="10:10">
      <c r="J424" t="str">
        <f t="shared" si="6"/>
        <v/>
      </c>
    </row>
    <row r="425" spans="10:10">
      <c r="J425" t="str">
        <f t="shared" si="6"/>
        <v/>
      </c>
    </row>
    <row r="426" spans="10:10">
      <c r="J426" t="str">
        <f t="shared" si="6"/>
        <v/>
      </c>
    </row>
    <row r="427" spans="10:10">
      <c r="J427" t="str">
        <f t="shared" si="6"/>
        <v/>
      </c>
    </row>
    <row r="428" spans="10:10">
      <c r="J428" t="str">
        <f t="shared" si="6"/>
        <v/>
      </c>
    </row>
    <row r="429" spans="10:10">
      <c r="J429" t="str">
        <f t="shared" si="6"/>
        <v/>
      </c>
    </row>
    <row r="430" spans="10:10">
      <c r="J430" t="str">
        <f t="shared" si="6"/>
        <v/>
      </c>
    </row>
    <row r="431" spans="10:10">
      <c r="J431" t="str">
        <f t="shared" si="6"/>
        <v/>
      </c>
    </row>
    <row r="432" spans="10:10">
      <c r="J432" t="str">
        <f t="shared" si="6"/>
        <v/>
      </c>
    </row>
    <row r="433" spans="10:10">
      <c r="J433" t="str">
        <f t="shared" si="6"/>
        <v/>
      </c>
    </row>
    <row r="434" spans="10:10">
      <c r="J434" t="str">
        <f t="shared" si="6"/>
        <v/>
      </c>
    </row>
    <row r="435" spans="10:10">
      <c r="J435" t="str">
        <f t="shared" si="6"/>
        <v/>
      </c>
    </row>
    <row r="436" spans="10:10">
      <c r="J436" t="str">
        <f t="shared" si="6"/>
        <v/>
      </c>
    </row>
    <row r="437" spans="10:10">
      <c r="J437" t="str">
        <f t="shared" si="6"/>
        <v/>
      </c>
    </row>
    <row r="438" spans="10:10">
      <c r="J438" t="str">
        <f t="shared" si="6"/>
        <v/>
      </c>
    </row>
    <row r="439" spans="10:10">
      <c r="J439" t="str">
        <f t="shared" si="6"/>
        <v/>
      </c>
    </row>
    <row r="440" spans="10:10">
      <c r="J440" t="str">
        <f t="shared" si="6"/>
        <v/>
      </c>
    </row>
    <row r="441" spans="10:10">
      <c r="J441" t="str">
        <f t="shared" si="6"/>
        <v/>
      </c>
    </row>
    <row r="442" spans="10:10">
      <c r="J442" t="str">
        <f t="shared" si="6"/>
        <v/>
      </c>
    </row>
    <row r="443" spans="10:10">
      <c r="J443" t="str">
        <f t="shared" si="6"/>
        <v/>
      </c>
    </row>
    <row r="444" spans="10:10">
      <c r="J444" t="str">
        <f t="shared" si="6"/>
        <v/>
      </c>
    </row>
    <row r="445" spans="10:10">
      <c r="J445" t="str">
        <f t="shared" si="6"/>
        <v/>
      </c>
    </row>
    <row r="446" spans="10:10">
      <c r="J446" t="str">
        <f t="shared" si="6"/>
        <v/>
      </c>
    </row>
    <row r="447" spans="10:10">
      <c r="J447" t="str">
        <f t="shared" si="6"/>
        <v/>
      </c>
    </row>
    <row r="448" spans="10:10">
      <c r="J448" t="str">
        <f t="shared" si="6"/>
        <v/>
      </c>
    </row>
    <row r="449" spans="10:10">
      <c r="J449" t="str">
        <f t="shared" si="6"/>
        <v/>
      </c>
    </row>
    <row r="450" spans="10:10">
      <c r="J450" t="str">
        <f t="shared" si="6"/>
        <v/>
      </c>
    </row>
    <row r="451" spans="10:10">
      <c r="J451" t="str">
        <f t="shared" si="6"/>
        <v/>
      </c>
    </row>
    <row r="452" spans="10:10">
      <c r="J452" t="str">
        <f t="shared" ref="J452:J515" si="7">IF(B452="","", WEEKNUM(B452, 2))</f>
        <v/>
      </c>
    </row>
    <row r="453" spans="10:10">
      <c r="J453" t="str">
        <f t="shared" si="7"/>
        <v/>
      </c>
    </row>
    <row r="454" spans="10:10">
      <c r="J454" t="str">
        <f t="shared" si="7"/>
        <v/>
      </c>
    </row>
    <row r="455" spans="10:10">
      <c r="J455" t="str">
        <f t="shared" si="7"/>
        <v/>
      </c>
    </row>
    <row r="456" spans="10:10">
      <c r="J456" t="str">
        <f t="shared" si="7"/>
        <v/>
      </c>
    </row>
    <row r="457" spans="10:10">
      <c r="J457" t="str">
        <f t="shared" si="7"/>
        <v/>
      </c>
    </row>
    <row r="458" spans="10:10">
      <c r="J458" t="str">
        <f t="shared" si="7"/>
        <v/>
      </c>
    </row>
    <row r="459" spans="10:10">
      <c r="J459" t="str">
        <f t="shared" si="7"/>
        <v/>
      </c>
    </row>
    <row r="460" spans="10:10">
      <c r="J460" t="str">
        <f t="shared" si="7"/>
        <v/>
      </c>
    </row>
    <row r="461" spans="10:10">
      <c r="J461" t="str">
        <f t="shared" si="7"/>
        <v/>
      </c>
    </row>
    <row r="462" spans="10:10">
      <c r="J462" t="str">
        <f t="shared" si="7"/>
        <v/>
      </c>
    </row>
    <row r="463" spans="10:10">
      <c r="J463" t="str">
        <f t="shared" si="7"/>
        <v/>
      </c>
    </row>
    <row r="464" spans="10:10">
      <c r="J464" t="str">
        <f t="shared" si="7"/>
        <v/>
      </c>
    </row>
    <row r="465" spans="10:10">
      <c r="J465" t="str">
        <f t="shared" si="7"/>
        <v/>
      </c>
    </row>
    <row r="466" spans="10:10">
      <c r="J466" t="str">
        <f t="shared" si="7"/>
        <v/>
      </c>
    </row>
    <row r="467" spans="10:10">
      <c r="J467" t="str">
        <f t="shared" si="7"/>
        <v/>
      </c>
    </row>
    <row r="468" spans="10:10">
      <c r="J468" t="str">
        <f t="shared" si="7"/>
        <v/>
      </c>
    </row>
    <row r="469" spans="10:10">
      <c r="J469" t="str">
        <f t="shared" si="7"/>
        <v/>
      </c>
    </row>
    <row r="470" spans="10:10">
      <c r="J470" t="str">
        <f t="shared" si="7"/>
        <v/>
      </c>
    </row>
    <row r="471" spans="10:10">
      <c r="J471" t="str">
        <f t="shared" si="7"/>
        <v/>
      </c>
    </row>
    <row r="472" spans="10:10">
      <c r="J472" t="str">
        <f t="shared" si="7"/>
        <v/>
      </c>
    </row>
    <row r="473" spans="10:10">
      <c r="J473" t="str">
        <f t="shared" si="7"/>
        <v/>
      </c>
    </row>
    <row r="474" spans="10:10">
      <c r="J474" t="str">
        <f t="shared" si="7"/>
        <v/>
      </c>
    </row>
    <row r="475" spans="10:10">
      <c r="J475" t="str">
        <f t="shared" si="7"/>
        <v/>
      </c>
    </row>
    <row r="476" spans="10:10">
      <c r="J476" t="str">
        <f t="shared" si="7"/>
        <v/>
      </c>
    </row>
    <row r="477" spans="10:10">
      <c r="J477" t="str">
        <f t="shared" si="7"/>
        <v/>
      </c>
    </row>
    <row r="478" spans="10:10">
      <c r="J478" t="str">
        <f t="shared" si="7"/>
        <v/>
      </c>
    </row>
    <row r="479" spans="10:10">
      <c r="J479" t="str">
        <f t="shared" si="7"/>
        <v/>
      </c>
    </row>
    <row r="480" spans="10:10">
      <c r="J480" t="str">
        <f t="shared" si="7"/>
        <v/>
      </c>
    </row>
    <row r="481" spans="10:10">
      <c r="J481" t="str">
        <f t="shared" si="7"/>
        <v/>
      </c>
    </row>
    <row r="482" spans="10:10">
      <c r="J482" t="str">
        <f t="shared" si="7"/>
        <v/>
      </c>
    </row>
    <row r="483" spans="10:10">
      <c r="J483" t="str">
        <f t="shared" si="7"/>
        <v/>
      </c>
    </row>
    <row r="484" spans="10:10">
      <c r="J484" t="str">
        <f t="shared" si="7"/>
        <v/>
      </c>
    </row>
    <row r="485" spans="10:10">
      <c r="J485" t="str">
        <f t="shared" si="7"/>
        <v/>
      </c>
    </row>
    <row r="486" spans="10:10">
      <c r="J486" t="str">
        <f t="shared" si="7"/>
        <v/>
      </c>
    </row>
    <row r="487" spans="10:10">
      <c r="J487" t="str">
        <f t="shared" si="7"/>
        <v/>
      </c>
    </row>
    <row r="488" spans="10:10">
      <c r="J488" t="str">
        <f t="shared" si="7"/>
        <v/>
      </c>
    </row>
    <row r="489" spans="10:10">
      <c r="J489" t="str">
        <f t="shared" si="7"/>
        <v/>
      </c>
    </row>
    <row r="490" spans="10:10">
      <c r="J490" t="str">
        <f t="shared" si="7"/>
        <v/>
      </c>
    </row>
    <row r="491" spans="10:10">
      <c r="J491" t="str">
        <f t="shared" si="7"/>
        <v/>
      </c>
    </row>
    <row r="492" spans="10:10">
      <c r="J492" t="str">
        <f t="shared" si="7"/>
        <v/>
      </c>
    </row>
    <row r="493" spans="10:10">
      <c r="J493" t="str">
        <f t="shared" si="7"/>
        <v/>
      </c>
    </row>
    <row r="494" spans="10:10">
      <c r="J494" t="str">
        <f t="shared" si="7"/>
        <v/>
      </c>
    </row>
    <row r="495" spans="10:10">
      <c r="J495" t="str">
        <f t="shared" si="7"/>
        <v/>
      </c>
    </row>
    <row r="496" spans="10:10">
      <c r="J496" t="str">
        <f t="shared" si="7"/>
        <v/>
      </c>
    </row>
    <row r="497" spans="10:10">
      <c r="J497" t="str">
        <f t="shared" si="7"/>
        <v/>
      </c>
    </row>
    <row r="498" spans="10:10">
      <c r="J498" t="str">
        <f t="shared" si="7"/>
        <v/>
      </c>
    </row>
    <row r="499" spans="10:10">
      <c r="J499" t="str">
        <f t="shared" si="7"/>
        <v/>
      </c>
    </row>
    <row r="500" spans="10:10">
      <c r="J500" t="str">
        <f t="shared" si="7"/>
        <v/>
      </c>
    </row>
    <row r="501" spans="10:10">
      <c r="J501" t="str">
        <f t="shared" si="7"/>
        <v/>
      </c>
    </row>
    <row r="502" spans="10:10">
      <c r="J502" t="str">
        <f t="shared" si="7"/>
        <v/>
      </c>
    </row>
    <row r="503" spans="10:10">
      <c r="J503" t="str">
        <f t="shared" si="7"/>
        <v/>
      </c>
    </row>
    <row r="504" spans="10:10">
      <c r="J504" t="str">
        <f t="shared" si="7"/>
        <v/>
      </c>
    </row>
    <row r="505" spans="10:10">
      <c r="J505" t="str">
        <f t="shared" si="7"/>
        <v/>
      </c>
    </row>
    <row r="506" spans="10:10">
      <c r="J506" t="str">
        <f t="shared" si="7"/>
        <v/>
      </c>
    </row>
    <row r="507" spans="10:10">
      <c r="J507" t="str">
        <f t="shared" si="7"/>
        <v/>
      </c>
    </row>
    <row r="508" spans="10:10">
      <c r="J508" t="str">
        <f t="shared" si="7"/>
        <v/>
      </c>
    </row>
    <row r="509" spans="10:10">
      <c r="J509" t="str">
        <f t="shared" si="7"/>
        <v/>
      </c>
    </row>
    <row r="510" spans="10:10">
      <c r="J510" t="str">
        <f t="shared" si="7"/>
        <v/>
      </c>
    </row>
    <row r="511" spans="10:10">
      <c r="J511" t="str">
        <f t="shared" si="7"/>
        <v/>
      </c>
    </row>
    <row r="512" spans="10:10">
      <c r="J512" t="str">
        <f t="shared" si="7"/>
        <v/>
      </c>
    </row>
    <row r="513" spans="10:10">
      <c r="J513" t="str">
        <f t="shared" si="7"/>
        <v/>
      </c>
    </row>
    <row r="514" spans="10:10">
      <c r="J514" t="str">
        <f t="shared" si="7"/>
        <v/>
      </c>
    </row>
    <row r="515" spans="10:10">
      <c r="J515" t="str">
        <f t="shared" si="7"/>
        <v/>
      </c>
    </row>
    <row r="516" spans="10:10">
      <c r="J516" t="str">
        <f t="shared" ref="J516:J579" si="8">IF(B516="","", WEEKNUM(B516, 2))</f>
        <v/>
      </c>
    </row>
    <row r="517" spans="10:10">
      <c r="J517" t="str">
        <f t="shared" si="8"/>
        <v/>
      </c>
    </row>
    <row r="518" spans="10:10">
      <c r="J518" t="str">
        <f t="shared" si="8"/>
        <v/>
      </c>
    </row>
    <row r="519" spans="10:10">
      <c r="J519" t="str">
        <f t="shared" si="8"/>
        <v/>
      </c>
    </row>
    <row r="520" spans="10:10">
      <c r="J520" t="str">
        <f t="shared" si="8"/>
        <v/>
      </c>
    </row>
    <row r="521" spans="10:10">
      <c r="J521" t="str">
        <f t="shared" si="8"/>
        <v/>
      </c>
    </row>
    <row r="522" spans="10:10">
      <c r="J522" t="str">
        <f t="shared" si="8"/>
        <v/>
      </c>
    </row>
    <row r="523" spans="10:10">
      <c r="J523" t="str">
        <f t="shared" si="8"/>
        <v/>
      </c>
    </row>
    <row r="524" spans="10:10">
      <c r="J524" t="str">
        <f t="shared" si="8"/>
        <v/>
      </c>
    </row>
    <row r="525" spans="10:10">
      <c r="J525" t="str">
        <f t="shared" si="8"/>
        <v/>
      </c>
    </row>
    <row r="526" spans="10:10">
      <c r="J526" t="str">
        <f t="shared" si="8"/>
        <v/>
      </c>
    </row>
    <row r="527" spans="10:10">
      <c r="J527" t="str">
        <f t="shared" si="8"/>
        <v/>
      </c>
    </row>
    <row r="528" spans="10:10">
      <c r="J528" t="str">
        <f t="shared" si="8"/>
        <v/>
      </c>
    </row>
    <row r="529" spans="10:10">
      <c r="J529" t="str">
        <f t="shared" si="8"/>
        <v/>
      </c>
    </row>
    <row r="530" spans="10:10">
      <c r="J530" t="str">
        <f t="shared" si="8"/>
        <v/>
      </c>
    </row>
    <row r="531" spans="10:10">
      <c r="J531" t="str">
        <f t="shared" si="8"/>
        <v/>
      </c>
    </row>
    <row r="532" spans="10:10">
      <c r="J532" t="str">
        <f t="shared" si="8"/>
        <v/>
      </c>
    </row>
    <row r="533" spans="10:10">
      <c r="J533" t="str">
        <f t="shared" si="8"/>
        <v/>
      </c>
    </row>
    <row r="534" spans="10:10">
      <c r="J534" t="str">
        <f t="shared" si="8"/>
        <v/>
      </c>
    </row>
    <row r="535" spans="10:10">
      <c r="J535" t="str">
        <f t="shared" si="8"/>
        <v/>
      </c>
    </row>
    <row r="536" spans="10:10">
      <c r="J536" t="str">
        <f t="shared" si="8"/>
        <v/>
      </c>
    </row>
    <row r="537" spans="10:10">
      <c r="J537" t="str">
        <f t="shared" si="8"/>
        <v/>
      </c>
    </row>
    <row r="538" spans="10:10">
      <c r="J538" t="str">
        <f t="shared" si="8"/>
        <v/>
      </c>
    </row>
    <row r="539" spans="10:10">
      <c r="J539" t="str">
        <f t="shared" si="8"/>
        <v/>
      </c>
    </row>
    <row r="540" spans="10:10">
      <c r="J540" t="str">
        <f t="shared" si="8"/>
        <v/>
      </c>
    </row>
    <row r="541" spans="10:10">
      <c r="J541" t="str">
        <f t="shared" si="8"/>
        <v/>
      </c>
    </row>
    <row r="542" spans="10:10">
      <c r="J542" t="str">
        <f t="shared" si="8"/>
        <v/>
      </c>
    </row>
    <row r="543" spans="10:10">
      <c r="J543" t="str">
        <f t="shared" si="8"/>
        <v/>
      </c>
    </row>
    <row r="544" spans="10:10">
      <c r="J544" t="str">
        <f t="shared" si="8"/>
        <v/>
      </c>
    </row>
    <row r="545" spans="10:10">
      <c r="J545" t="str">
        <f t="shared" si="8"/>
        <v/>
      </c>
    </row>
    <row r="546" spans="10:10">
      <c r="J546" t="str">
        <f t="shared" si="8"/>
        <v/>
      </c>
    </row>
    <row r="547" spans="10:10">
      <c r="J547" t="str">
        <f t="shared" si="8"/>
        <v/>
      </c>
    </row>
    <row r="548" spans="10:10">
      <c r="J548" t="str">
        <f t="shared" si="8"/>
        <v/>
      </c>
    </row>
    <row r="549" spans="10:10">
      <c r="J549" t="str">
        <f t="shared" si="8"/>
        <v/>
      </c>
    </row>
    <row r="550" spans="10:10">
      <c r="J550" t="str">
        <f t="shared" si="8"/>
        <v/>
      </c>
    </row>
    <row r="551" spans="10:10">
      <c r="J551" t="str">
        <f t="shared" si="8"/>
        <v/>
      </c>
    </row>
    <row r="552" spans="10:10">
      <c r="J552" t="str">
        <f t="shared" si="8"/>
        <v/>
      </c>
    </row>
    <row r="553" spans="10:10">
      <c r="J553" t="str">
        <f t="shared" si="8"/>
        <v/>
      </c>
    </row>
    <row r="554" spans="10:10">
      <c r="J554" t="str">
        <f t="shared" si="8"/>
        <v/>
      </c>
    </row>
    <row r="555" spans="10:10">
      <c r="J555" t="str">
        <f t="shared" si="8"/>
        <v/>
      </c>
    </row>
    <row r="556" spans="10:10">
      <c r="J556" t="str">
        <f t="shared" si="8"/>
        <v/>
      </c>
    </row>
    <row r="557" spans="10:10">
      <c r="J557" t="str">
        <f t="shared" si="8"/>
        <v/>
      </c>
    </row>
    <row r="558" spans="10:10">
      <c r="J558" t="str">
        <f t="shared" si="8"/>
        <v/>
      </c>
    </row>
    <row r="559" spans="10:10">
      <c r="J559" t="str">
        <f t="shared" si="8"/>
        <v/>
      </c>
    </row>
    <row r="560" spans="10:10">
      <c r="J560" t="str">
        <f t="shared" si="8"/>
        <v/>
      </c>
    </row>
    <row r="561" spans="10:10">
      <c r="J561" t="str">
        <f t="shared" si="8"/>
        <v/>
      </c>
    </row>
    <row r="562" spans="10:10">
      <c r="J562" t="str">
        <f t="shared" si="8"/>
        <v/>
      </c>
    </row>
    <row r="563" spans="10:10">
      <c r="J563" t="str">
        <f t="shared" si="8"/>
        <v/>
      </c>
    </row>
    <row r="564" spans="10:10">
      <c r="J564" t="str">
        <f t="shared" si="8"/>
        <v/>
      </c>
    </row>
    <row r="565" spans="10:10">
      <c r="J565" t="str">
        <f t="shared" si="8"/>
        <v/>
      </c>
    </row>
    <row r="566" spans="10:10">
      <c r="J566" t="str">
        <f t="shared" si="8"/>
        <v/>
      </c>
    </row>
    <row r="567" spans="10:10">
      <c r="J567" t="str">
        <f t="shared" si="8"/>
        <v/>
      </c>
    </row>
    <row r="568" spans="10:10">
      <c r="J568" t="str">
        <f t="shared" si="8"/>
        <v/>
      </c>
    </row>
    <row r="569" spans="10:10">
      <c r="J569" t="str">
        <f t="shared" si="8"/>
        <v/>
      </c>
    </row>
    <row r="570" spans="10:10">
      <c r="J570" t="str">
        <f t="shared" si="8"/>
        <v/>
      </c>
    </row>
    <row r="571" spans="10:10">
      <c r="J571" t="str">
        <f t="shared" si="8"/>
        <v/>
      </c>
    </row>
    <row r="572" spans="10:10">
      <c r="J572" t="str">
        <f t="shared" si="8"/>
        <v/>
      </c>
    </row>
    <row r="573" spans="10:10">
      <c r="J573" t="str">
        <f t="shared" si="8"/>
        <v/>
      </c>
    </row>
    <row r="574" spans="10:10">
      <c r="J574" t="str">
        <f t="shared" si="8"/>
        <v/>
      </c>
    </row>
    <row r="575" spans="10:10">
      <c r="J575" t="str">
        <f t="shared" si="8"/>
        <v/>
      </c>
    </row>
    <row r="576" spans="10:10">
      <c r="J576" t="str">
        <f t="shared" si="8"/>
        <v/>
      </c>
    </row>
    <row r="577" spans="10:10">
      <c r="J577" t="str">
        <f t="shared" si="8"/>
        <v/>
      </c>
    </row>
    <row r="578" spans="10:10">
      <c r="J578" t="str">
        <f t="shared" si="8"/>
        <v/>
      </c>
    </row>
    <row r="579" spans="10:10">
      <c r="J579" t="str">
        <f t="shared" si="8"/>
        <v/>
      </c>
    </row>
    <row r="580" spans="10:10">
      <c r="J580" t="str">
        <f t="shared" ref="J580:J643" si="9">IF(B580="","", WEEKNUM(B580, 2))</f>
        <v/>
      </c>
    </row>
    <row r="581" spans="10:10">
      <c r="J581" t="str">
        <f t="shared" si="9"/>
        <v/>
      </c>
    </row>
    <row r="582" spans="10:10">
      <c r="J582" t="str">
        <f t="shared" si="9"/>
        <v/>
      </c>
    </row>
    <row r="583" spans="10:10">
      <c r="J583" t="str">
        <f t="shared" si="9"/>
        <v/>
      </c>
    </row>
    <row r="584" spans="10:10">
      <c r="J584" t="str">
        <f t="shared" si="9"/>
        <v/>
      </c>
    </row>
    <row r="585" spans="10:10">
      <c r="J585" t="str">
        <f t="shared" si="9"/>
        <v/>
      </c>
    </row>
    <row r="586" spans="10:10">
      <c r="J586" t="str">
        <f t="shared" si="9"/>
        <v/>
      </c>
    </row>
    <row r="587" spans="10:10">
      <c r="J587" t="str">
        <f t="shared" si="9"/>
        <v/>
      </c>
    </row>
    <row r="588" spans="10:10">
      <c r="J588" t="str">
        <f t="shared" si="9"/>
        <v/>
      </c>
    </row>
    <row r="589" spans="10:10">
      <c r="J589" t="str">
        <f t="shared" si="9"/>
        <v/>
      </c>
    </row>
    <row r="590" spans="10:10">
      <c r="J590" t="str">
        <f t="shared" si="9"/>
        <v/>
      </c>
    </row>
    <row r="591" spans="10:10">
      <c r="J591" t="str">
        <f t="shared" si="9"/>
        <v/>
      </c>
    </row>
    <row r="592" spans="10:10">
      <c r="J592" t="str">
        <f t="shared" si="9"/>
        <v/>
      </c>
    </row>
    <row r="593" spans="10:10">
      <c r="J593" t="str">
        <f t="shared" si="9"/>
        <v/>
      </c>
    </row>
    <row r="594" spans="10:10">
      <c r="J594" t="str">
        <f t="shared" si="9"/>
        <v/>
      </c>
    </row>
    <row r="595" spans="10:10">
      <c r="J595" t="str">
        <f t="shared" si="9"/>
        <v/>
      </c>
    </row>
    <row r="596" spans="10:10">
      <c r="J596" t="str">
        <f t="shared" si="9"/>
        <v/>
      </c>
    </row>
    <row r="597" spans="10:10">
      <c r="J597" t="str">
        <f t="shared" si="9"/>
        <v/>
      </c>
    </row>
    <row r="598" spans="10:10">
      <c r="J598" t="str">
        <f t="shared" si="9"/>
        <v/>
      </c>
    </row>
    <row r="599" spans="10:10">
      <c r="J599" t="str">
        <f t="shared" si="9"/>
        <v/>
      </c>
    </row>
    <row r="600" spans="10:10">
      <c r="J600" t="str">
        <f t="shared" si="9"/>
        <v/>
      </c>
    </row>
    <row r="601" spans="10:10">
      <c r="J601" t="str">
        <f t="shared" si="9"/>
        <v/>
      </c>
    </row>
    <row r="602" spans="10:10">
      <c r="J602" t="str">
        <f t="shared" si="9"/>
        <v/>
      </c>
    </row>
    <row r="603" spans="10:10">
      <c r="J603" t="str">
        <f t="shared" si="9"/>
        <v/>
      </c>
    </row>
    <row r="604" spans="10:10">
      <c r="J604" t="str">
        <f t="shared" si="9"/>
        <v/>
      </c>
    </row>
    <row r="605" spans="10:10">
      <c r="J605" t="str">
        <f t="shared" si="9"/>
        <v/>
      </c>
    </row>
    <row r="606" spans="10:10">
      <c r="J606" t="str">
        <f t="shared" si="9"/>
        <v/>
      </c>
    </row>
    <row r="607" spans="10:10">
      <c r="J607" t="str">
        <f t="shared" si="9"/>
        <v/>
      </c>
    </row>
    <row r="608" spans="10:10">
      <c r="J608" t="str">
        <f t="shared" si="9"/>
        <v/>
      </c>
    </row>
    <row r="609" spans="10:10">
      <c r="J609" t="str">
        <f t="shared" si="9"/>
        <v/>
      </c>
    </row>
    <row r="610" spans="10:10">
      <c r="J610" t="str">
        <f t="shared" si="9"/>
        <v/>
      </c>
    </row>
    <row r="611" spans="10:10">
      <c r="J611" t="str">
        <f t="shared" si="9"/>
        <v/>
      </c>
    </row>
    <row r="612" spans="10:10">
      <c r="J612" t="str">
        <f t="shared" si="9"/>
        <v/>
      </c>
    </row>
    <row r="613" spans="10:10">
      <c r="J613" t="str">
        <f t="shared" si="9"/>
        <v/>
      </c>
    </row>
    <row r="614" spans="10:10">
      <c r="J614" t="str">
        <f t="shared" si="9"/>
        <v/>
      </c>
    </row>
    <row r="615" spans="10:10">
      <c r="J615" t="str">
        <f t="shared" si="9"/>
        <v/>
      </c>
    </row>
    <row r="616" spans="10:10">
      <c r="J616" t="str">
        <f t="shared" si="9"/>
        <v/>
      </c>
    </row>
    <row r="617" spans="10:10">
      <c r="J617" t="str">
        <f t="shared" si="9"/>
        <v/>
      </c>
    </row>
    <row r="618" spans="10:10">
      <c r="J618" t="str">
        <f t="shared" si="9"/>
        <v/>
      </c>
    </row>
    <row r="619" spans="10:10">
      <c r="J619" t="str">
        <f t="shared" si="9"/>
        <v/>
      </c>
    </row>
    <row r="620" spans="10:10">
      <c r="J620" t="str">
        <f t="shared" si="9"/>
        <v/>
      </c>
    </row>
    <row r="621" spans="10:10">
      <c r="J621" t="str">
        <f t="shared" si="9"/>
        <v/>
      </c>
    </row>
    <row r="622" spans="10:10">
      <c r="J622" t="str">
        <f t="shared" si="9"/>
        <v/>
      </c>
    </row>
    <row r="623" spans="10:10">
      <c r="J623" t="str">
        <f t="shared" si="9"/>
        <v/>
      </c>
    </row>
    <row r="624" spans="10:10">
      <c r="J624" t="str">
        <f t="shared" si="9"/>
        <v/>
      </c>
    </row>
    <row r="625" spans="10:10">
      <c r="J625" t="str">
        <f t="shared" si="9"/>
        <v/>
      </c>
    </row>
    <row r="626" spans="10:10">
      <c r="J626" t="str">
        <f t="shared" si="9"/>
        <v/>
      </c>
    </row>
    <row r="627" spans="10:10">
      <c r="J627" t="str">
        <f t="shared" si="9"/>
        <v/>
      </c>
    </row>
    <row r="628" spans="10:10">
      <c r="J628" t="str">
        <f t="shared" si="9"/>
        <v/>
      </c>
    </row>
    <row r="629" spans="10:10">
      <c r="J629" t="str">
        <f t="shared" si="9"/>
        <v/>
      </c>
    </row>
    <row r="630" spans="10:10">
      <c r="J630" t="str">
        <f t="shared" si="9"/>
        <v/>
      </c>
    </row>
    <row r="631" spans="10:10">
      <c r="J631" t="str">
        <f t="shared" si="9"/>
        <v/>
      </c>
    </row>
    <row r="632" spans="10:10">
      <c r="J632" t="str">
        <f t="shared" si="9"/>
        <v/>
      </c>
    </row>
    <row r="633" spans="10:10">
      <c r="J633" t="str">
        <f t="shared" si="9"/>
        <v/>
      </c>
    </row>
    <row r="634" spans="10:10">
      <c r="J634" t="str">
        <f t="shared" si="9"/>
        <v/>
      </c>
    </row>
    <row r="635" spans="10:10">
      <c r="J635" t="str">
        <f t="shared" si="9"/>
        <v/>
      </c>
    </row>
    <row r="636" spans="10:10">
      <c r="J636" t="str">
        <f t="shared" si="9"/>
        <v/>
      </c>
    </row>
    <row r="637" spans="10:10">
      <c r="J637" t="str">
        <f t="shared" si="9"/>
        <v/>
      </c>
    </row>
    <row r="638" spans="10:10">
      <c r="J638" t="str">
        <f t="shared" si="9"/>
        <v/>
      </c>
    </row>
    <row r="639" spans="10:10">
      <c r="J639" t="str">
        <f t="shared" si="9"/>
        <v/>
      </c>
    </row>
    <row r="640" spans="10:10">
      <c r="J640" t="str">
        <f t="shared" si="9"/>
        <v/>
      </c>
    </row>
    <row r="641" spans="10:10">
      <c r="J641" t="str">
        <f t="shared" si="9"/>
        <v/>
      </c>
    </row>
    <row r="642" spans="10:10">
      <c r="J642" t="str">
        <f t="shared" si="9"/>
        <v/>
      </c>
    </row>
    <row r="643" spans="10:10">
      <c r="J643" t="str">
        <f t="shared" si="9"/>
        <v/>
      </c>
    </row>
    <row r="644" spans="10:10">
      <c r="J644" t="str">
        <f t="shared" ref="J644:J707" si="10">IF(B644="","", WEEKNUM(B644, 2))</f>
        <v/>
      </c>
    </row>
    <row r="645" spans="10:10">
      <c r="J645" t="str">
        <f t="shared" si="10"/>
        <v/>
      </c>
    </row>
    <row r="646" spans="10:10">
      <c r="J646" t="str">
        <f t="shared" si="10"/>
        <v/>
      </c>
    </row>
    <row r="647" spans="10:10">
      <c r="J647" t="str">
        <f t="shared" si="10"/>
        <v/>
      </c>
    </row>
    <row r="648" spans="10:10">
      <c r="J648" t="str">
        <f t="shared" si="10"/>
        <v/>
      </c>
    </row>
    <row r="649" spans="10:10">
      <c r="J649" t="str">
        <f t="shared" si="10"/>
        <v/>
      </c>
    </row>
    <row r="650" spans="10:10">
      <c r="J650" t="str">
        <f t="shared" si="10"/>
        <v/>
      </c>
    </row>
    <row r="651" spans="10:10">
      <c r="J651" t="str">
        <f t="shared" si="10"/>
        <v/>
      </c>
    </row>
    <row r="652" spans="10:10">
      <c r="J652" t="str">
        <f t="shared" si="10"/>
        <v/>
      </c>
    </row>
    <row r="653" spans="10:10">
      <c r="J653" t="str">
        <f t="shared" si="10"/>
        <v/>
      </c>
    </row>
    <row r="654" spans="10:10">
      <c r="J654" t="str">
        <f t="shared" si="10"/>
        <v/>
      </c>
    </row>
    <row r="655" spans="10:10">
      <c r="J655" t="str">
        <f t="shared" si="10"/>
        <v/>
      </c>
    </row>
    <row r="656" spans="10:10">
      <c r="J656" t="str">
        <f t="shared" si="10"/>
        <v/>
      </c>
    </row>
    <row r="657" spans="10:10">
      <c r="J657" t="str">
        <f t="shared" si="10"/>
        <v/>
      </c>
    </row>
    <row r="658" spans="10:10">
      <c r="J658" t="str">
        <f t="shared" si="10"/>
        <v/>
      </c>
    </row>
    <row r="659" spans="10:10">
      <c r="J659" t="str">
        <f t="shared" si="10"/>
        <v/>
      </c>
    </row>
    <row r="660" spans="10:10">
      <c r="J660" t="str">
        <f t="shared" si="10"/>
        <v/>
      </c>
    </row>
    <row r="661" spans="10:10">
      <c r="J661" t="str">
        <f t="shared" si="10"/>
        <v/>
      </c>
    </row>
    <row r="662" spans="10:10">
      <c r="J662" t="str">
        <f t="shared" si="10"/>
        <v/>
      </c>
    </row>
    <row r="663" spans="10:10">
      <c r="J663" t="str">
        <f t="shared" si="10"/>
        <v/>
      </c>
    </row>
    <row r="664" spans="10:10">
      <c r="J664" t="str">
        <f t="shared" si="10"/>
        <v/>
      </c>
    </row>
    <row r="665" spans="10:10">
      <c r="J665" t="str">
        <f t="shared" si="10"/>
        <v/>
      </c>
    </row>
    <row r="666" spans="10:10">
      <c r="J666" t="str">
        <f t="shared" si="10"/>
        <v/>
      </c>
    </row>
    <row r="667" spans="10:10">
      <c r="J667" t="str">
        <f t="shared" si="10"/>
        <v/>
      </c>
    </row>
    <row r="668" spans="10:10">
      <c r="J668" t="str">
        <f t="shared" si="10"/>
        <v/>
      </c>
    </row>
    <row r="669" spans="10:10">
      <c r="J669" t="str">
        <f t="shared" si="10"/>
        <v/>
      </c>
    </row>
    <row r="670" spans="10:10">
      <c r="J670" t="str">
        <f t="shared" si="10"/>
        <v/>
      </c>
    </row>
    <row r="671" spans="10:10">
      <c r="J671" t="str">
        <f t="shared" si="10"/>
        <v/>
      </c>
    </row>
    <row r="672" spans="10:10">
      <c r="J672" t="str">
        <f t="shared" si="10"/>
        <v/>
      </c>
    </row>
    <row r="673" spans="10:10">
      <c r="J673" t="str">
        <f t="shared" si="10"/>
        <v/>
      </c>
    </row>
    <row r="674" spans="10:10">
      <c r="J674" t="str">
        <f t="shared" si="10"/>
        <v/>
      </c>
    </row>
    <row r="675" spans="10:10">
      <c r="J675" t="str">
        <f t="shared" si="10"/>
        <v/>
      </c>
    </row>
    <row r="676" spans="10:10">
      <c r="J676" t="str">
        <f t="shared" si="10"/>
        <v/>
      </c>
    </row>
    <row r="677" spans="10:10">
      <c r="J677" t="str">
        <f t="shared" si="10"/>
        <v/>
      </c>
    </row>
    <row r="678" spans="10:10">
      <c r="J678" t="str">
        <f t="shared" si="10"/>
        <v/>
      </c>
    </row>
    <row r="679" spans="10:10">
      <c r="J679" t="str">
        <f t="shared" si="10"/>
        <v/>
      </c>
    </row>
    <row r="680" spans="10:10">
      <c r="J680" t="str">
        <f t="shared" si="10"/>
        <v/>
      </c>
    </row>
    <row r="681" spans="10:10">
      <c r="J681" t="str">
        <f t="shared" si="10"/>
        <v/>
      </c>
    </row>
    <row r="682" spans="10:10">
      <c r="J682" t="str">
        <f t="shared" si="10"/>
        <v/>
      </c>
    </row>
    <row r="683" spans="10:10">
      <c r="J683" t="str">
        <f t="shared" si="10"/>
        <v/>
      </c>
    </row>
    <row r="684" spans="10:10">
      <c r="J684" t="str">
        <f t="shared" si="10"/>
        <v/>
      </c>
    </row>
    <row r="685" spans="10:10">
      <c r="J685" t="str">
        <f t="shared" si="10"/>
        <v/>
      </c>
    </row>
    <row r="686" spans="10:10">
      <c r="J686" t="str">
        <f t="shared" si="10"/>
        <v/>
      </c>
    </row>
    <row r="687" spans="10:10">
      <c r="J687" t="str">
        <f t="shared" si="10"/>
        <v/>
      </c>
    </row>
    <row r="688" spans="10:10">
      <c r="J688" t="str">
        <f t="shared" si="10"/>
        <v/>
      </c>
    </row>
    <row r="689" spans="10:10">
      <c r="J689" t="str">
        <f t="shared" si="10"/>
        <v/>
      </c>
    </row>
    <row r="690" spans="10:10">
      <c r="J690" t="str">
        <f t="shared" si="10"/>
        <v/>
      </c>
    </row>
    <row r="691" spans="10:10">
      <c r="J691" t="str">
        <f t="shared" si="10"/>
        <v/>
      </c>
    </row>
    <row r="692" spans="10:10">
      <c r="J692" t="str">
        <f t="shared" si="10"/>
        <v/>
      </c>
    </row>
    <row r="693" spans="10:10">
      <c r="J693" t="str">
        <f t="shared" si="10"/>
        <v/>
      </c>
    </row>
    <row r="694" spans="10:10">
      <c r="J694" t="str">
        <f t="shared" si="10"/>
        <v/>
      </c>
    </row>
    <row r="695" spans="10:10">
      <c r="J695" t="str">
        <f t="shared" si="10"/>
        <v/>
      </c>
    </row>
    <row r="696" spans="10:10">
      <c r="J696" t="str">
        <f t="shared" si="10"/>
        <v/>
      </c>
    </row>
    <row r="697" spans="10:10">
      <c r="J697" t="str">
        <f t="shared" si="10"/>
        <v/>
      </c>
    </row>
    <row r="698" spans="10:10">
      <c r="J698" t="str">
        <f t="shared" si="10"/>
        <v/>
      </c>
    </row>
    <row r="699" spans="10:10">
      <c r="J699" t="str">
        <f t="shared" si="10"/>
        <v/>
      </c>
    </row>
    <row r="700" spans="10:10">
      <c r="J700" t="str">
        <f t="shared" si="10"/>
        <v/>
      </c>
    </row>
    <row r="701" spans="10:10">
      <c r="J701" t="str">
        <f t="shared" si="10"/>
        <v/>
      </c>
    </row>
    <row r="702" spans="10:10">
      <c r="J702" t="str">
        <f t="shared" si="10"/>
        <v/>
      </c>
    </row>
    <row r="703" spans="10:10">
      <c r="J703" t="str">
        <f t="shared" si="10"/>
        <v/>
      </c>
    </row>
    <row r="704" spans="10:10">
      <c r="J704" t="str">
        <f t="shared" si="10"/>
        <v/>
      </c>
    </row>
    <row r="705" spans="10:10">
      <c r="J705" t="str">
        <f t="shared" si="10"/>
        <v/>
      </c>
    </row>
    <row r="706" spans="10:10">
      <c r="J706" t="str">
        <f t="shared" si="10"/>
        <v/>
      </c>
    </row>
    <row r="707" spans="10:10">
      <c r="J707" t="str">
        <f t="shared" si="10"/>
        <v/>
      </c>
    </row>
    <row r="708" spans="10:10">
      <c r="J708" t="str">
        <f t="shared" ref="J708:J771" si="11">IF(B708="","", WEEKNUM(B708, 2))</f>
        <v/>
      </c>
    </row>
    <row r="709" spans="10:10">
      <c r="J709" t="str">
        <f t="shared" si="11"/>
        <v/>
      </c>
    </row>
    <row r="710" spans="10:10">
      <c r="J710" t="str">
        <f t="shared" si="11"/>
        <v/>
      </c>
    </row>
    <row r="711" spans="10:10">
      <c r="J711" t="str">
        <f t="shared" si="11"/>
        <v/>
      </c>
    </row>
    <row r="712" spans="10:10">
      <c r="J712" t="str">
        <f t="shared" si="11"/>
        <v/>
      </c>
    </row>
    <row r="713" spans="10:10">
      <c r="J713" t="str">
        <f t="shared" si="11"/>
        <v/>
      </c>
    </row>
    <row r="714" spans="10:10">
      <c r="J714" t="str">
        <f t="shared" si="11"/>
        <v/>
      </c>
    </row>
    <row r="715" spans="10:10">
      <c r="J715" t="str">
        <f t="shared" si="11"/>
        <v/>
      </c>
    </row>
    <row r="716" spans="10:10">
      <c r="J716" t="str">
        <f t="shared" si="11"/>
        <v/>
      </c>
    </row>
    <row r="717" spans="10:10">
      <c r="J717" t="str">
        <f t="shared" si="11"/>
        <v/>
      </c>
    </row>
    <row r="718" spans="10:10">
      <c r="J718" t="str">
        <f t="shared" si="11"/>
        <v/>
      </c>
    </row>
    <row r="719" spans="10:10">
      <c r="J719" t="str">
        <f t="shared" si="11"/>
        <v/>
      </c>
    </row>
    <row r="720" spans="10:10">
      <c r="J720" t="str">
        <f t="shared" si="11"/>
        <v/>
      </c>
    </row>
    <row r="721" spans="10:10">
      <c r="J721" t="str">
        <f t="shared" si="11"/>
        <v/>
      </c>
    </row>
    <row r="722" spans="10:10">
      <c r="J722" t="str">
        <f t="shared" si="11"/>
        <v/>
      </c>
    </row>
    <row r="723" spans="10:10">
      <c r="J723" t="str">
        <f t="shared" si="11"/>
        <v/>
      </c>
    </row>
    <row r="724" spans="10:10">
      <c r="J724" t="str">
        <f t="shared" si="11"/>
        <v/>
      </c>
    </row>
    <row r="725" spans="10:10">
      <c r="J725" t="str">
        <f t="shared" si="11"/>
        <v/>
      </c>
    </row>
    <row r="726" spans="10:10">
      <c r="J726" t="str">
        <f t="shared" si="11"/>
        <v/>
      </c>
    </row>
    <row r="727" spans="10:10">
      <c r="J727" t="str">
        <f t="shared" si="11"/>
        <v/>
      </c>
    </row>
    <row r="728" spans="10:10">
      <c r="J728" t="str">
        <f t="shared" si="11"/>
        <v/>
      </c>
    </row>
    <row r="729" spans="10:10">
      <c r="J729" t="str">
        <f t="shared" si="11"/>
        <v/>
      </c>
    </row>
    <row r="730" spans="10:10">
      <c r="J730" t="str">
        <f t="shared" si="11"/>
        <v/>
      </c>
    </row>
    <row r="731" spans="10:10">
      <c r="J731" t="str">
        <f t="shared" si="11"/>
        <v/>
      </c>
    </row>
    <row r="732" spans="10:10">
      <c r="J732" t="str">
        <f t="shared" si="11"/>
        <v/>
      </c>
    </row>
    <row r="733" spans="10:10">
      <c r="J733" t="str">
        <f t="shared" si="11"/>
        <v/>
      </c>
    </row>
    <row r="734" spans="10:10">
      <c r="J734" t="str">
        <f t="shared" si="11"/>
        <v/>
      </c>
    </row>
    <row r="735" spans="10:10">
      <c r="J735" t="str">
        <f t="shared" si="11"/>
        <v/>
      </c>
    </row>
    <row r="736" spans="10:10">
      <c r="J736" t="str">
        <f t="shared" si="11"/>
        <v/>
      </c>
    </row>
    <row r="737" spans="10:10">
      <c r="J737" t="str">
        <f t="shared" si="11"/>
        <v/>
      </c>
    </row>
    <row r="738" spans="10:10">
      <c r="J738" t="str">
        <f t="shared" si="11"/>
        <v/>
      </c>
    </row>
    <row r="739" spans="10:10">
      <c r="J739" t="str">
        <f t="shared" si="11"/>
        <v/>
      </c>
    </row>
    <row r="740" spans="10:10">
      <c r="J740" t="str">
        <f t="shared" si="11"/>
        <v/>
      </c>
    </row>
    <row r="741" spans="10:10">
      <c r="J741" t="str">
        <f t="shared" si="11"/>
        <v/>
      </c>
    </row>
    <row r="742" spans="10:10">
      <c r="J742" t="str">
        <f t="shared" si="11"/>
        <v/>
      </c>
    </row>
    <row r="743" spans="10:10">
      <c r="J743" t="str">
        <f t="shared" si="11"/>
        <v/>
      </c>
    </row>
    <row r="744" spans="10:10">
      <c r="J744" t="str">
        <f t="shared" si="11"/>
        <v/>
      </c>
    </row>
    <row r="745" spans="10:10">
      <c r="J745" t="str">
        <f t="shared" si="11"/>
        <v/>
      </c>
    </row>
    <row r="746" spans="10:10">
      <c r="J746" t="str">
        <f t="shared" si="11"/>
        <v/>
      </c>
    </row>
    <row r="747" spans="10:10">
      <c r="J747" t="str">
        <f t="shared" si="11"/>
        <v/>
      </c>
    </row>
    <row r="748" spans="10:10">
      <c r="J748" t="str">
        <f t="shared" si="11"/>
        <v/>
      </c>
    </row>
    <row r="749" spans="10:10">
      <c r="J749" t="str">
        <f t="shared" si="11"/>
        <v/>
      </c>
    </row>
    <row r="750" spans="10:10">
      <c r="J750" t="str">
        <f t="shared" si="11"/>
        <v/>
      </c>
    </row>
    <row r="751" spans="10:10">
      <c r="J751" t="str">
        <f t="shared" si="11"/>
        <v/>
      </c>
    </row>
    <row r="752" spans="10:10">
      <c r="J752" t="str">
        <f t="shared" si="11"/>
        <v/>
      </c>
    </row>
    <row r="753" spans="10:10">
      <c r="J753" t="str">
        <f t="shared" si="11"/>
        <v/>
      </c>
    </row>
    <row r="754" spans="10:10">
      <c r="J754" t="str">
        <f t="shared" si="11"/>
        <v/>
      </c>
    </row>
    <row r="755" spans="10:10">
      <c r="J755" t="str">
        <f t="shared" si="11"/>
        <v/>
      </c>
    </row>
    <row r="756" spans="10:10">
      <c r="J756" t="str">
        <f t="shared" si="11"/>
        <v/>
      </c>
    </row>
    <row r="757" spans="10:10">
      <c r="J757" t="str">
        <f t="shared" si="11"/>
        <v/>
      </c>
    </row>
    <row r="758" spans="10:10">
      <c r="J758" t="str">
        <f t="shared" si="11"/>
        <v/>
      </c>
    </row>
    <row r="759" spans="10:10">
      <c r="J759" t="str">
        <f t="shared" si="11"/>
        <v/>
      </c>
    </row>
    <row r="760" spans="10:10">
      <c r="J760" t="str">
        <f t="shared" si="11"/>
        <v/>
      </c>
    </row>
    <row r="761" spans="10:10">
      <c r="J761" t="str">
        <f t="shared" si="11"/>
        <v/>
      </c>
    </row>
    <row r="762" spans="10:10">
      <c r="J762" t="str">
        <f t="shared" si="11"/>
        <v/>
      </c>
    </row>
    <row r="763" spans="10:10">
      <c r="J763" t="str">
        <f t="shared" si="11"/>
        <v/>
      </c>
    </row>
    <row r="764" spans="10:10">
      <c r="J764" t="str">
        <f t="shared" si="11"/>
        <v/>
      </c>
    </row>
    <row r="765" spans="10:10">
      <c r="J765" t="str">
        <f t="shared" si="11"/>
        <v/>
      </c>
    </row>
    <row r="766" spans="10:10">
      <c r="J766" t="str">
        <f t="shared" si="11"/>
        <v/>
      </c>
    </row>
    <row r="767" spans="10:10">
      <c r="J767" t="str">
        <f t="shared" si="11"/>
        <v/>
      </c>
    </row>
    <row r="768" spans="10:10">
      <c r="J768" t="str">
        <f t="shared" si="11"/>
        <v/>
      </c>
    </row>
    <row r="769" spans="10:10">
      <c r="J769" t="str">
        <f t="shared" si="11"/>
        <v/>
      </c>
    </row>
    <row r="770" spans="10:10">
      <c r="J770" t="str">
        <f t="shared" si="11"/>
        <v/>
      </c>
    </row>
    <row r="771" spans="10:10">
      <c r="J771" t="str">
        <f t="shared" si="11"/>
        <v/>
      </c>
    </row>
    <row r="772" spans="10:10">
      <c r="J772" t="str">
        <f t="shared" ref="J772:J835" si="12">IF(B772="","", WEEKNUM(B772, 2))</f>
        <v/>
      </c>
    </row>
    <row r="773" spans="10:10">
      <c r="J773" t="str">
        <f t="shared" si="12"/>
        <v/>
      </c>
    </row>
    <row r="774" spans="10:10">
      <c r="J774" t="str">
        <f t="shared" si="12"/>
        <v/>
      </c>
    </row>
    <row r="775" spans="10:10">
      <c r="J775" t="str">
        <f t="shared" si="12"/>
        <v/>
      </c>
    </row>
    <row r="776" spans="10:10">
      <c r="J776" t="str">
        <f t="shared" si="12"/>
        <v/>
      </c>
    </row>
    <row r="777" spans="10:10">
      <c r="J777" t="str">
        <f t="shared" si="12"/>
        <v/>
      </c>
    </row>
    <row r="778" spans="10:10">
      <c r="J778" t="str">
        <f t="shared" si="12"/>
        <v/>
      </c>
    </row>
    <row r="779" spans="10:10">
      <c r="J779" t="str">
        <f t="shared" si="12"/>
        <v/>
      </c>
    </row>
    <row r="780" spans="10:10">
      <c r="J780" t="str">
        <f t="shared" si="12"/>
        <v/>
      </c>
    </row>
    <row r="781" spans="10:10">
      <c r="J781" t="str">
        <f t="shared" si="12"/>
        <v/>
      </c>
    </row>
    <row r="782" spans="10:10">
      <c r="J782" t="str">
        <f t="shared" si="12"/>
        <v/>
      </c>
    </row>
    <row r="783" spans="10:10">
      <c r="J783" t="str">
        <f t="shared" si="12"/>
        <v/>
      </c>
    </row>
    <row r="784" spans="10:10">
      <c r="J784" t="str">
        <f t="shared" si="12"/>
        <v/>
      </c>
    </row>
    <row r="785" spans="10:10">
      <c r="J785" t="str">
        <f t="shared" si="12"/>
        <v/>
      </c>
    </row>
    <row r="786" spans="10:10">
      <c r="J786" t="str">
        <f t="shared" si="12"/>
        <v/>
      </c>
    </row>
    <row r="787" spans="10:10">
      <c r="J787" t="str">
        <f t="shared" si="12"/>
        <v/>
      </c>
    </row>
    <row r="788" spans="10:10">
      <c r="J788" t="str">
        <f t="shared" si="12"/>
        <v/>
      </c>
    </row>
    <row r="789" spans="10:10">
      <c r="J789" t="str">
        <f t="shared" si="12"/>
        <v/>
      </c>
    </row>
    <row r="790" spans="10:10">
      <c r="J790" t="str">
        <f t="shared" si="12"/>
        <v/>
      </c>
    </row>
    <row r="791" spans="10:10">
      <c r="J791" t="str">
        <f t="shared" si="12"/>
        <v/>
      </c>
    </row>
    <row r="792" spans="10:10">
      <c r="J792" t="str">
        <f t="shared" si="12"/>
        <v/>
      </c>
    </row>
    <row r="793" spans="10:10">
      <c r="J793" t="str">
        <f t="shared" si="12"/>
        <v/>
      </c>
    </row>
    <row r="794" spans="10:10">
      <c r="J794" t="str">
        <f t="shared" si="12"/>
        <v/>
      </c>
    </row>
    <row r="795" spans="10:10">
      <c r="J795" t="str">
        <f t="shared" si="12"/>
        <v/>
      </c>
    </row>
    <row r="796" spans="10:10">
      <c r="J796" t="str">
        <f t="shared" si="12"/>
        <v/>
      </c>
    </row>
    <row r="797" spans="10:10">
      <c r="J797" t="str">
        <f t="shared" si="12"/>
        <v/>
      </c>
    </row>
    <row r="798" spans="10:10">
      <c r="J798" t="str">
        <f t="shared" si="12"/>
        <v/>
      </c>
    </row>
    <row r="799" spans="10:10">
      <c r="J799" t="str">
        <f t="shared" si="12"/>
        <v/>
      </c>
    </row>
    <row r="800" spans="10:10">
      <c r="J800" t="str">
        <f t="shared" si="12"/>
        <v/>
      </c>
    </row>
    <row r="801" spans="10:10">
      <c r="J801" t="str">
        <f t="shared" si="12"/>
        <v/>
      </c>
    </row>
    <row r="802" spans="10:10">
      <c r="J802" t="str">
        <f t="shared" si="12"/>
        <v/>
      </c>
    </row>
    <row r="803" spans="10:10">
      <c r="J803" t="str">
        <f t="shared" si="12"/>
        <v/>
      </c>
    </row>
    <row r="804" spans="10:10">
      <c r="J804" t="str">
        <f t="shared" si="12"/>
        <v/>
      </c>
    </row>
    <row r="805" spans="10:10">
      <c r="J805" t="str">
        <f t="shared" si="12"/>
        <v/>
      </c>
    </row>
    <row r="806" spans="10:10">
      <c r="J806" t="str">
        <f t="shared" si="12"/>
        <v/>
      </c>
    </row>
    <row r="807" spans="10:10">
      <c r="J807" t="str">
        <f t="shared" si="12"/>
        <v/>
      </c>
    </row>
    <row r="808" spans="10:10">
      <c r="J808" t="str">
        <f t="shared" si="12"/>
        <v/>
      </c>
    </row>
    <row r="809" spans="10:10">
      <c r="J809" t="str">
        <f t="shared" si="12"/>
        <v/>
      </c>
    </row>
    <row r="810" spans="10:10">
      <c r="J810" t="str">
        <f t="shared" si="12"/>
        <v/>
      </c>
    </row>
    <row r="811" spans="10:10">
      <c r="J811" t="str">
        <f t="shared" si="12"/>
        <v/>
      </c>
    </row>
    <row r="812" spans="10:10">
      <c r="J812" t="str">
        <f t="shared" si="12"/>
        <v/>
      </c>
    </row>
    <row r="813" spans="10:10">
      <c r="J813" t="str">
        <f t="shared" si="12"/>
        <v/>
      </c>
    </row>
    <row r="814" spans="10:10">
      <c r="J814" t="str">
        <f t="shared" si="12"/>
        <v/>
      </c>
    </row>
    <row r="815" spans="10:10">
      <c r="J815" t="str">
        <f t="shared" si="12"/>
        <v/>
      </c>
    </row>
    <row r="816" spans="10:10">
      <c r="J816" t="str">
        <f t="shared" si="12"/>
        <v/>
      </c>
    </row>
    <row r="817" spans="10:10">
      <c r="J817" t="str">
        <f t="shared" si="12"/>
        <v/>
      </c>
    </row>
    <row r="818" spans="10:10">
      <c r="J818" t="str">
        <f t="shared" si="12"/>
        <v/>
      </c>
    </row>
    <row r="819" spans="10:10">
      <c r="J819" t="str">
        <f t="shared" si="12"/>
        <v/>
      </c>
    </row>
    <row r="820" spans="10:10">
      <c r="J820" t="str">
        <f t="shared" si="12"/>
        <v/>
      </c>
    </row>
    <row r="821" spans="10:10">
      <c r="J821" t="str">
        <f t="shared" si="12"/>
        <v/>
      </c>
    </row>
    <row r="822" spans="10:10">
      <c r="J822" t="str">
        <f t="shared" si="12"/>
        <v/>
      </c>
    </row>
    <row r="823" spans="10:10">
      <c r="J823" t="str">
        <f t="shared" si="12"/>
        <v/>
      </c>
    </row>
    <row r="824" spans="10:10">
      <c r="J824" t="str">
        <f t="shared" si="12"/>
        <v/>
      </c>
    </row>
    <row r="825" spans="10:10">
      <c r="J825" t="str">
        <f t="shared" si="12"/>
        <v/>
      </c>
    </row>
    <row r="826" spans="10:10">
      <c r="J826" t="str">
        <f t="shared" si="12"/>
        <v/>
      </c>
    </row>
    <row r="827" spans="10:10">
      <c r="J827" t="str">
        <f t="shared" si="12"/>
        <v/>
      </c>
    </row>
    <row r="828" spans="10:10">
      <c r="J828" t="str">
        <f t="shared" si="12"/>
        <v/>
      </c>
    </row>
    <row r="829" spans="10:10">
      <c r="J829" t="str">
        <f t="shared" si="12"/>
        <v/>
      </c>
    </row>
    <row r="830" spans="10:10">
      <c r="J830" t="str">
        <f t="shared" si="12"/>
        <v/>
      </c>
    </row>
    <row r="831" spans="10:10">
      <c r="J831" t="str">
        <f t="shared" si="12"/>
        <v/>
      </c>
    </row>
    <row r="832" spans="10:10">
      <c r="J832" t="str">
        <f t="shared" si="12"/>
        <v/>
      </c>
    </row>
    <row r="833" spans="10:10">
      <c r="J833" t="str">
        <f t="shared" si="12"/>
        <v/>
      </c>
    </row>
    <row r="834" spans="10:10">
      <c r="J834" t="str">
        <f t="shared" si="12"/>
        <v/>
      </c>
    </row>
    <row r="835" spans="10:10">
      <c r="J835" t="str">
        <f t="shared" si="12"/>
        <v/>
      </c>
    </row>
    <row r="836" spans="10:10">
      <c r="J836" t="str">
        <f t="shared" ref="J836:J899" si="13">IF(B836="","", WEEKNUM(B836, 2))</f>
        <v/>
      </c>
    </row>
    <row r="837" spans="10:10">
      <c r="J837" t="str">
        <f t="shared" si="13"/>
        <v/>
      </c>
    </row>
    <row r="838" spans="10:10">
      <c r="J838" t="str">
        <f t="shared" si="13"/>
        <v/>
      </c>
    </row>
    <row r="839" spans="10:10">
      <c r="J839" t="str">
        <f t="shared" si="13"/>
        <v/>
      </c>
    </row>
    <row r="840" spans="10:10">
      <c r="J840" t="str">
        <f t="shared" si="13"/>
        <v/>
      </c>
    </row>
    <row r="841" spans="10:10">
      <c r="J841" t="str">
        <f t="shared" si="13"/>
        <v/>
      </c>
    </row>
    <row r="842" spans="10:10">
      <c r="J842" t="str">
        <f t="shared" si="13"/>
        <v/>
      </c>
    </row>
    <row r="843" spans="10:10">
      <c r="J843" t="str">
        <f t="shared" si="13"/>
        <v/>
      </c>
    </row>
    <row r="844" spans="10:10">
      <c r="J844" t="str">
        <f t="shared" si="13"/>
        <v/>
      </c>
    </row>
    <row r="845" spans="10:10">
      <c r="J845" t="str">
        <f t="shared" si="13"/>
        <v/>
      </c>
    </row>
    <row r="846" spans="10:10">
      <c r="J846" t="str">
        <f t="shared" si="13"/>
        <v/>
      </c>
    </row>
    <row r="847" spans="10:10">
      <c r="J847" t="str">
        <f t="shared" si="13"/>
        <v/>
      </c>
    </row>
    <row r="848" spans="10:10">
      <c r="J848" t="str">
        <f t="shared" si="13"/>
        <v/>
      </c>
    </row>
    <row r="849" spans="10:10">
      <c r="J849" t="str">
        <f t="shared" si="13"/>
        <v/>
      </c>
    </row>
    <row r="850" spans="10:10">
      <c r="J850" t="str">
        <f t="shared" si="13"/>
        <v/>
      </c>
    </row>
    <row r="851" spans="10:10">
      <c r="J851" t="str">
        <f t="shared" si="13"/>
        <v/>
      </c>
    </row>
    <row r="852" spans="10:10">
      <c r="J852" t="str">
        <f t="shared" si="13"/>
        <v/>
      </c>
    </row>
    <row r="853" spans="10:10">
      <c r="J853" t="str">
        <f t="shared" si="13"/>
        <v/>
      </c>
    </row>
    <row r="854" spans="10:10">
      <c r="J854" t="str">
        <f t="shared" si="13"/>
        <v/>
      </c>
    </row>
    <row r="855" spans="10:10">
      <c r="J855" t="str">
        <f t="shared" si="13"/>
        <v/>
      </c>
    </row>
    <row r="856" spans="10:10">
      <c r="J856" t="str">
        <f t="shared" si="13"/>
        <v/>
      </c>
    </row>
    <row r="857" spans="10:10">
      <c r="J857" t="str">
        <f t="shared" si="13"/>
        <v/>
      </c>
    </row>
    <row r="858" spans="10:10">
      <c r="J858" t="str">
        <f t="shared" si="13"/>
        <v/>
      </c>
    </row>
    <row r="859" spans="10:10">
      <c r="J859" t="str">
        <f t="shared" si="13"/>
        <v/>
      </c>
    </row>
    <row r="860" spans="10:10">
      <c r="J860" t="str">
        <f t="shared" si="13"/>
        <v/>
      </c>
    </row>
    <row r="861" spans="10:10">
      <c r="J861" t="str">
        <f t="shared" si="13"/>
        <v/>
      </c>
    </row>
    <row r="862" spans="10:10">
      <c r="J862" t="str">
        <f t="shared" si="13"/>
        <v/>
      </c>
    </row>
    <row r="863" spans="10:10">
      <c r="J863" t="str">
        <f t="shared" si="13"/>
        <v/>
      </c>
    </row>
    <row r="864" spans="10:10">
      <c r="J864" t="str">
        <f t="shared" si="13"/>
        <v/>
      </c>
    </row>
    <row r="865" spans="10:10">
      <c r="J865" t="str">
        <f t="shared" si="13"/>
        <v/>
      </c>
    </row>
    <row r="866" spans="10:10">
      <c r="J866" t="str">
        <f t="shared" si="13"/>
        <v/>
      </c>
    </row>
    <row r="867" spans="10:10">
      <c r="J867" t="str">
        <f t="shared" si="13"/>
        <v/>
      </c>
    </row>
    <row r="868" spans="10:10">
      <c r="J868" t="str">
        <f t="shared" si="13"/>
        <v/>
      </c>
    </row>
    <row r="869" spans="10:10">
      <c r="J869" t="str">
        <f t="shared" si="13"/>
        <v/>
      </c>
    </row>
    <row r="870" spans="10:10">
      <c r="J870" t="str">
        <f t="shared" si="13"/>
        <v/>
      </c>
    </row>
    <row r="871" spans="10:10">
      <c r="J871" t="str">
        <f t="shared" si="13"/>
        <v/>
      </c>
    </row>
    <row r="872" spans="10:10">
      <c r="J872" t="str">
        <f t="shared" si="13"/>
        <v/>
      </c>
    </row>
    <row r="873" spans="10:10">
      <c r="J873" t="str">
        <f t="shared" si="13"/>
        <v/>
      </c>
    </row>
    <row r="874" spans="10:10">
      <c r="J874" t="str">
        <f t="shared" si="13"/>
        <v/>
      </c>
    </row>
    <row r="875" spans="10:10">
      <c r="J875" t="str">
        <f t="shared" si="13"/>
        <v/>
      </c>
    </row>
    <row r="876" spans="10:10">
      <c r="J876" t="str">
        <f t="shared" si="13"/>
        <v/>
      </c>
    </row>
    <row r="877" spans="10:10">
      <c r="J877" t="str">
        <f t="shared" si="13"/>
        <v/>
      </c>
    </row>
    <row r="878" spans="10:10">
      <c r="J878" t="str">
        <f t="shared" si="13"/>
        <v/>
      </c>
    </row>
    <row r="879" spans="10:10">
      <c r="J879" t="str">
        <f t="shared" si="13"/>
        <v/>
      </c>
    </row>
    <row r="880" spans="10:10">
      <c r="J880" t="str">
        <f t="shared" si="13"/>
        <v/>
      </c>
    </row>
    <row r="881" spans="10:10">
      <c r="J881" t="str">
        <f t="shared" si="13"/>
        <v/>
      </c>
    </row>
    <row r="882" spans="10:10">
      <c r="J882" t="str">
        <f t="shared" si="13"/>
        <v/>
      </c>
    </row>
    <row r="883" spans="10:10">
      <c r="J883" t="str">
        <f t="shared" si="13"/>
        <v/>
      </c>
    </row>
    <row r="884" spans="10:10">
      <c r="J884" t="str">
        <f t="shared" si="13"/>
        <v/>
      </c>
    </row>
    <row r="885" spans="10:10">
      <c r="J885" t="str">
        <f t="shared" si="13"/>
        <v/>
      </c>
    </row>
    <row r="886" spans="10:10">
      <c r="J886" t="str">
        <f t="shared" si="13"/>
        <v/>
      </c>
    </row>
    <row r="887" spans="10:10">
      <c r="J887" t="str">
        <f t="shared" si="13"/>
        <v/>
      </c>
    </row>
    <row r="888" spans="10:10">
      <c r="J888" t="str">
        <f t="shared" si="13"/>
        <v/>
      </c>
    </row>
    <row r="889" spans="10:10">
      <c r="J889" t="str">
        <f t="shared" si="13"/>
        <v/>
      </c>
    </row>
    <row r="890" spans="10:10">
      <c r="J890" t="str">
        <f t="shared" si="13"/>
        <v/>
      </c>
    </row>
    <row r="891" spans="10:10">
      <c r="J891" t="str">
        <f t="shared" si="13"/>
        <v/>
      </c>
    </row>
    <row r="892" spans="10:10">
      <c r="J892" t="str">
        <f t="shared" si="13"/>
        <v/>
      </c>
    </row>
    <row r="893" spans="10:10">
      <c r="J893" t="str">
        <f t="shared" si="13"/>
        <v/>
      </c>
    </row>
    <row r="894" spans="10:10">
      <c r="J894" t="str">
        <f t="shared" si="13"/>
        <v/>
      </c>
    </row>
    <row r="895" spans="10:10">
      <c r="J895" t="str">
        <f t="shared" si="13"/>
        <v/>
      </c>
    </row>
    <row r="896" spans="10:10">
      <c r="J896" t="str">
        <f t="shared" si="13"/>
        <v/>
      </c>
    </row>
    <row r="897" spans="10:10">
      <c r="J897" t="str">
        <f t="shared" si="13"/>
        <v/>
      </c>
    </row>
    <row r="898" spans="10:10">
      <c r="J898" t="str">
        <f t="shared" si="13"/>
        <v/>
      </c>
    </row>
    <row r="899" spans="10:10">
      <c r="J899" t="str">
        <f t="shared" si="13"/>
        <v/>
      </c>
    </row>
    <row r="900" spans="10:10">
      <c r="J900" t="str">
        <f t="shared" ref="J900:J963" si="14">IF(B900="","", WEEKNUM(B900, 2))</f>
        <v/>
      </c>
    </row>
    <row r="901" spans="10:10">
      <c r="J901" t="str">
        <f t="shared" si="14"/>
        <v/>
      </c>
    </row>
    <row r="902" spans="10:10">
      <c r="J902" t="str">
        <f t="shared" si="14"/>
        <v/>
      </c>
    </row>
    <row r="903" spans="10:10">
      <c r="J903" t="str">
        <f t="shared" si="14"/>
        <v/>
      </c>
    </row>
    <row r="904" spans="10:10">
      <c r="J904" t="str">
        <f t="shared" si="14"/>
        <v/>
      </c>
    </row>
    <row r="905" spans="10:10">
      <c r="J905" t="str">
        <f t="shared" si="14"/>
        <v/>
      </c>
    </row>
    <row r="906" spans="10:10">
      <c r="J906" t="str">
        <f t="shared" si="14"/>
        <v/>
      </c>
    </row>
    <row r="907" spans="10:10">
      <c r="J907" t="str">
        <f t="shared" si="14"/>
        <v/>
      </c>
    </row>
    <row r="908" spans="10:10">
      <c r="J908" t="str">
        <f t="shared" si="14"/>
        <v/>
      </c>
    </row>
    <row r="909" spans="10:10">
      <c r="J909" t="str">
        <f t="shared" si="14"/>
        <v/>
      </c>
    </row>
    <row r="910" spans="10:10">
      <c r="J910" t="str">
        <f t="shared" si="14"/>
        <v/>
      </c>
    </row>
    <row r="911" spans="10:10">
      <c r="J911" t="str">
        <f t="shared" si="14"/>
        <v/>
      </c>
    </row>
    <row r="912" spans="10:10">
      <c r="J912" t="str">
        <f t="shared" si="14"/>
        <v/>
      </c>
    </row>
    <row r="913" spans="10:10">
      <c r="J913" t="str">
        <f t="shared" si="14"/>
        <v/>
      </c>
    </row>
    <row r="914" spans="10:10">
      <c r="J914" t="str">
        <f t="shared" si="14"/>
        <v/>
      </c>
    </row>
    <row r="915" spans="10:10">
      <c r="J915" t="str">
        <f t="shared" si="14"/>
        <v/>
      </c>
    </row>
    <row r="916" spans="10:10">
      <c r="J916" t="str">
        <f t="shared" si="14"/>
        <v/>
      </c>
    </row>
    <row r="917" spans="10:10">
      <c r="J917" t="str">
        <f t="shared" si="14"/>
        <v/>
      </c>
    </row>
    <row r="918" spans="10:10">
      <c r="J918" t="str">
        <f t="shared" si="14"/>
        <v/>
      </c>
    </row>
    <row r="919" spans="10:10">
      <c r="J919" t="str">
        <f t="shared" si="14"/>
        <v/>
      </c>
    </row>
    <row r="920" spans="10:10">
      <c r="J920" t="str">
        <f t="shared" si="14"/>
        <v/>
      </c>
    </row>
    <row r="921" spans="10:10">
      <c r="J921" t="str">
        <f t="shared" si="14"/>
        <v/>
      </c>
    </row>
    <row r="922" spans="10:10">
      <c r="J922" t="str">
        <f t="shared" si="14"/>
        <v/>
      </c>
    </row>
    <row r="923" spans="10:10">
      <c r="J923" t="str">
        <f t="shared" si="14"/>
        <v/>
      </c>
    </row>
    <row r="924" spans="10:10">
      <c r="J924" t="str">
        <f t="shared" si="14"/>
        <v/>
      </c>
    </row>
    <row r="925" spans="10:10">
      <c r="J925" t="str">
        <f t="shared" si="14"/>
        <v/>
      </c>
    </row>
    <row r="926" spans="10:10">
      <c r="J926" t="str">
        <f t="shared" si="14"/>
        <v/>
      </c>
    </row>
    <row r="927" spans="10:10">
      <c r="J927" t="str">
        <f t="shared" si="14"/>
        <v/>
      </c>
    </row>
    <row r="928" spans="10:10">
      <c r="J928" t="str">
        <f t="shared" si="14"/>
        <v/>
      </c>
    </row>
    <row r="929" spans="10:10">
      <c r="J929" t="str">
        <f t="shared" si="14"/>
        <v/>
      </c>
    </row>
    <row r="930" spans="10:10">
      <c r="J930" t="str">
        <f t="shared" si="14"/>
        <v/>
      </c>
    </row>
    <row r="931" spans="10:10">
      <c r="J931" t="str">
        <f t="shared" si="14"/>
        <v/>
      </c>
    </row>
    <row r="932" spans="10:10">
      <c r="J932" t="str">
        <f t="shared" si="14"/>
        <v/>
      </c>
    </row>
    <row r="933" spans="10:10">
      <c r="J933" t="str">
        <f t="shared" si="14"/>
        <v/>
      </c>
    </row>
    <row r="934" spans="10:10">
      <c r="J934" t="str">
        <f t="shared" si="14"/>
        <v/>
      </c>
    </row>
    <row r="935" spans="10:10">
      <c r="J935" t="str">
        <f t="shared" si="14"/>
        <v/>
      </c>
    </row>
    <row r="936" spans="10:10">
      <c r="J936" t="str">
        <f t="shared" si="14"/>
        <v/>
      </c>
    </row>
    <row r="937" spans="10:10">
      <c r="J937" t="str">
        <f t="shared" si="14"/>
        <v/>
      </c>
    </row>
    <row r="938" spans="10:10">
      <c r="J938" t="str">
        <f t="shared" si="14"/>
        <v/>
      </c>
    </row>
    <row r="939" spans="10:10">
      <c r="J939" t="str">
        <f t="shared" si="14"/>
        <v/>
      </c>
    </row>
    <row r="940" spans="10:10">
      <c r="J940" t="str">
        <f t="shared" si="14"/>
        <v/>
      </c>
    </row>
    <row r="941" spans="10:10">
      <c r="J941" t="str">
        <f t="shared" si="14"/>
        <v/>
      </c>
    </row>
    <row r="942" spans="10:10">
      <c r="J942" t="str">
        <f t="shared" si="14"/>
        <v/>
      </c>
    </row>
    <row r="943" spans="10:10">
      <c r="J943" t="str">
        <f t="shared" si="14"/>
        <v/>
      </c>
    </row>
    <row r="944" spans="10:10">
      <c r="J944" t="str">
        <f t="shared" si="14"/>
        <v/>
      </c>
    </row>
    <row r="945" spans="10:10">
      <c r="J945" t="str">
        <f t="shared" si="14"/>
        <v/>
      </c>
    </row>
    <row r="946" spans="10:10">
      <c r="J946" t="str">
        <f t="shared" si="14"/>
        <v/>
      </c>
    </row>
    <row r="947" spans="10:10">
      <c r="J947" t="str">
        <f t="shared" si="14"/>
        <v/>
      </c>
    </row>
    <row r="948" spans="10:10">
      <c r="J948" t="str">
        <f t="shared" si="14"/>
        <v/>
      </c>
    </row>
    <row r="949" spans="10:10">
      <c r="J949" t="str">
        <f t="shared" si="14"/>
        <v/>
      </c>
    </row>
    <row r="950" spans="10:10">
      <c r="J950" t="str">
        <f t="shared" si="14"/>
        <v/>
      </c>
    </row>
    <row r="951" spans="10:10">
      <c r="J951" t="str">
        <f t="shared" si="14"/>
        <v/>
      </c>
    </row>
    <row r="952" spans="10:10">
      <c r="J952" t="str">
        <f t="shared" si="14"/>
        <v/>
      </c>
    </row>
    <row r="953" spans="10:10">
      <c r="J953" t="str">
        <f t="shared" si="14"/>
        <v/>
      </c>
    </row>
    <row r="954" spans="10:10">
      <c r="J954" t="str">
        <f t="shared" si="14"/>
        <v/>
      </c>
    </row>
    <row r="955" spans="10:10">
      <c r="J955" t="str">
        <f t="shared" si="14"/>
        <v/>
      </c>
    </row>
    <row r="956" spans="10:10">
      <c r="J956" t="str">
        <f t="shared" si="14"/>
        <v/>
      </c>
    </row>
    <row r="957" spans="10:10">
      <c r="J957" t="str">
        <f t="shared" si="14"/>
        <v/>
      </c>
    </row>
    <row r="958" spans="10:10">
      <c r="J958" t="str">
        <f t="shared" si="14"/>
        <v/>
      </c>
    </row>
    <row r="959" spans="10:10">
      <c r="J959" t="str">
        <f t="shared" si="14"/>
        <v/>
      </c>
    </row>
    <row r="960" spans="10:10">
      <c r="J960" t="str">
        <f t="shared" si="14"/>
        <v/>
      </c>
    </row>
    <row r="961" spans="10:10">
      <c r="J961" t="str">
        <f t="shared" si="14"/>
        <v/>
      </c>
    </row>
    <row r="962" spans="10:10">
      <c r="J962" t="str">
        <f t="shared" si="14"/>
        <v/>
      </c>
    </row>
    <row r="963" spans="10:10">
      <c r="J963" t="str">
        <f t="shared" si="14"/>
        <v/>
      </c>
    </row>
    <row r="964" spans="10:10">
      <c r="J964" t="str">
        <f t="shared" ref="J964:J1027" si="15">IF(B964="","", WEEKNUM(B964, 2))</f>
        <v/>
      </c>
    </row>
    <row r="965" spans="10:10">
      <c r="J965" t="str">
        <f t="shared" si="15"/>
        <v/>
      </c>
    </row>
    <row r="966" spans="10:10">
      <c r="J966" t="str">
        <f t="shared" si="15"/>
        <v/>
      </c>
    </row>
    <row r="967" spans="10:10">
      <c r="J967" t="str">
        <f t="shared" si="15"/>
        <v/>
      </c>
    </row>
    <row r="968" spans="10:10">
      <c r="J968" t="str">
        <f t="shared" si="15"/>
        <v/>
      </c>
    </row>
    <row r="969" spans="10:10">
      <c r="J969" t="str">
        <f t="shared" si="15"/>
        <v/>
      </c>
    </row>
    <row r="970" spans="10:10">
      <c r="J970" t="str">
        <f t="shared" si="15"/>
        <v/>
      </c>
    </row>
    <row r="971" spans="10:10">
      <c r="J971" t="str">
        <f t="shared" si="15"/>
        <v/>
      </c>
    </row>
    <row r="972" spans="10:10">
      <c r="J972" t="str">
        <f t="shared" si="15"/>
        <v/>
      </c>
    </row>
    <row r="973" spans="10:10">
      <c r="J973" t="str">
        <f t="shared" si="15"/>
        <v/>
      </c>
    </row>
    <row r="974" spans="10:10">
      <c r="J974" t="str">
        <f t="shared" si="15"/>
        <v/>
      </c>
    </row>
    <row r="975" spans="10:10">
      <c r="J975" t="str">
        <f t="shared" si="15"/>
        <v/>
      </c>
    </row>
    <row r="976" spans="10:10">
      <c r="J976" t="str">
        <f t="shared" si="15"/>
        <v/>
      </c>
    </row>
    <row r="977" spans="10:10">
      <c r="J977" t="str">
        <f t="shared" si="15"/>
        <v/>
      </c>
    </row>
    <row r="978" spans="10:10">
      <c r="J978" t="str">
        <f t="shared" si="15"/>
        <v/>
      </c>
    </row>
    <row r="979" spans="10:10">
      <c r="J979" t="str">
        <f t="shared" si="15"/>
        <v/>
      </c>
    </row>
    <row r="980" spans="10:10">
      <c r="J980" t="str">
        <f t="shared" si="15"/>
        <v/>
      </c>
    </row>
    <row r="981" spans="10:10">
      <c r="J981" t="str">
        <f t="shared" si="15"/>
        <v/>
      </c>
    </row>
    <row r="982" spans="10:10">
      <c r="J982" t="str">
        <f t="shared" si="15"/>
        <v/>
      </c>
    </row>
    <row r="983" spans="10:10">
      <c r="J983" t="str">
        <f t="shared" si="15"/>
        <v/>
      </c>
    </row>
    <row r="984" spans="10:10">
      <c r="J984" t="str">
        <f t="shared" si="15"/>
        <v/>
      </c>
    </row>
    <row r="985" spans="10:10">
      <c r="J985" t="str">
        <f t="shared" si="15"/>
        <v/>
      </c>
    </row>
    <row r="986" spans="10:10">
      <c r="J986" t="str">
        <f t="shared" si="15"/>
        <v/>
      </c>
    </row>
    <row r="987" spans="10:10">
      <c r="J987" t="str">
        <f t="shared" si="15"/>
        <v/>
      </c>
    </row>
    <row r="988" spans="10:10">
      <c r="J988" t="str">
        <f t="shared" si="15"/>
        <v/>
      </c>
    </row>
    <row r="989" spans="10:10">
      <c r="J989" t="str">
        <f t="shared" si="15"/>
        <v/>
      </c>
    </row>
    <row r="990" spans="10:10">
      <c r="J990" t="str">
        <f t="shared" si="15"/>
        <v/>
      </c>
    </row>
    <row r="991" spans="10:10">
      <c r="J991" t="str">
        <f t="shared" si="15"/>
        <v/>
      </c>
    </row>
    <row r="992" spans="10:10">
      <c r="J992" t="str">
        <f t="shared" si="15"/>
        <v/>
      </c>
    </row>
    <row r="993" spans="10:10">
      <c r="J993" t="str">
        <f t="shared" si="15"/>
        <v/>
      </c>
    </row>
    <row r="994" spans="10:10">
      <c r="J994" t="str">
        <f t="shared" si="15"/>
        <v/>
      </c>
    </row>
    <row r="995" spans="10:10">
      <c r="J995" t="str">
        <f t="shared" si="15"/>
        <v/>
      </c>
    </row>
    <row r="996" spans="10:10">
      <c r="J996" t="str">
        <f t="shared" si="15"/>
        <v/>
      </c>
    </row>
    <row r="997" spans="10:10">
      <c r="J997" t="str">
        <f t="shared" si="15"/>
        <v/>
      </c>
    </row>
    <row r="998" spans="10:10">
      <c r="J998" t="str">
        <f t="shared" si="15"/>
        <v/>
      </c>
    </row>
    <row r="999" spans="10:10">
      <c r="J999" t="str">
        <f t="shared" si="15"/>
        <v/>
      </c>
    </row>
    <row r="1000" spans="10:10">
      <c r="J1000" t="str">
        <f t="shared" si="15"/>
        <v/>
      </c>
    </row>
    <row r="1001" spans="10:10">
      <c r="J1001" t="str">
        <f t="shared" si="15"/>
        <v/>
      </c>
    </row>
    <row r="1002" spans="10:10">
      <c r="J1002" t="str">
        <f t="shared" si="15"/>
        <v/>
      </c>
    </row>
    <row r="1003" spans="10:10">
      <c r="J1003" t="str">
        <f t="shared" si="15"/>
        <v/>
      </c>
    </row>
    <row r="1004" spans="10:10">
      <c r="J1004" t="str">
        <f t="shared" si="15"/>
        <v/>
      </c>
    </row>
    <row r="1005" spans="10:10">
      <c r="J1005" t="str">
        <f t="shared" si="15"/>
        <v/>
      </c>
    </row>
    <row r="1006" spans="10:10">
      <c r="J1006" t="str">
        <f t="shared" si="15"/>
        <v/>
      </c>
    </row>
    <row r="1007" spans="10:10">
      <c r="J1007" t="str">
        <f t="shared" si="15"/>
        <v/>
      </c>
    </row>
    <row r="1008" spans="10:10">
      <c r="J1008" t="str">
        <f t="shared" si="15"/>
        <v/>
      </c>
    </row>
    <row r="1009" spans="10:10">
      <c r="J1009" t="str">
        <f t="shared" si="15"/>
        <v/>
      </c>
    </row>
    <row r="1010" spans="10:10">
      <c r="J1010" t="str">
        <f t="shared" si="15"/>
        <v/>
      </c>
    </row>
    <row r="1011" spans="10:10">
      <c r="J1011" t="str">
        <f t="shared" si="15"/>
        <v/>
      </c>
    </row>
    <row r="1012" spans="10:10">
      <c r="J1012" t="str">
        <f t="shared" si="15"/>
        <v/>
      </c>
    </row>
    <row r="1013" spans="10:10">
      <c r="J1013" t="str">
        <f t="shared" si="15"/>
        <v/>
      </c>
    </row>
    <row r="1014" spans="10:10">
      <c r="J1014" t="str">
        <f t="shared" si="15"/>
        <v/>
      </c>
    </row>
    <row r="1015" spans="10:10">
      <c r="J1015" t="str">
        <f t="shared" si="15"/>
        <v/>
      </c>
    </row>
    <row r="1016" spans="10:10">
      <c r="J1016" t="str">
        <f t="shared" si="15"/>
        <v/>
      </c>
    </row>
    <row r="1017" spans="10:10">
      <c r="J1017" t="str">
        <f t="shared" si="15"/>
        <v/>
      </c>
    </row>
    <row r="1018" spans="10:10">
      <c r="J1018" t="str">
        <f t="shared" si="15"/>
        <v/>
      </c>
    </row>
    <row r="1019" spans="10:10">
      <c r="J1019" t="str">
        <f t="shared" si="15"/>
        <v/>
      </c>
    </row>
    <row r="1020" spans="10:10">
      <c r="J1020" t="str">
        <f t="shared" si="15"/>
        <v/>
      </c>
    </row>
    <row r="1021" spans="10:10">
      <c r="J1021" t="str">
        <f t="shared" si="15"/>
        <v/>
      </c>
    </row>
    <row r="1022" spans="10:10">
      <c r="J1022" t="str">
        <f t="shared" si="15"/>
        <v/>
      </c>
    </row>
    <row r="1023" spans="10:10">
      <c r="J1023" t="str">
        <f t="shared" si="15"/>
        <v/>
      </c>
    </row>
    <row r="1024" spans="10:10">
      <c r="J1024" t="str">
        <f t="shared" si="15"/>
        <v/>
      </c>
    </row>
    <row r="1025" spans="10:10">
      <c r="J1025" t="str">
        <f t="shared" si="15"/>
        <v/>
      </c>
    </row>
    <row r="1026" spans="10:10">
      <c r="J1026" t="str">
        <f t="shared" si="15"/>
        <v/>
      </c>
    </row>
    <row r="1027" spans="10:10">
      <c r="J1027" t="str">
        <f t="shared" si="15"/>
        <v/>
      </c>
    </row>
    <row r="1028" spans="10:10">
      <c r="J1028" t="str">
        <f t="shared" ref="J1028:J1091" si="16">IF(B1028="","", WEEKNUM(B1028, 2))</f>
        <v/>
      </c>
    </row>
    <row r="1029" spans="10:10">
      <c r="J1029" t="str">
        <f t="shared" si="16"/>
        <v/>
      </c>
    </row>
    <row r="1030" spans="10:10">
      <c r="J1030" t="str">
        <f t="shared" si="16"/>
        <v/>
      </c>
    </row>
    <row r="1031" spans="10:10">
      <c r="J1031" t="str">
        <f t="shared" si="16"/>
        <v/>
      </c>
    </row>
    <row r="1032" spans="10:10">
      <c r="J1032" t="str">
        <f t="shared" si="16"/>
        <v/>
      </c>
    </row>
    <row r="1033" spans="10:10">
      <c r="J1033" t="str">
        <f t="shared" si="16"/>
        <v/>
      </c>
    </row>
    <row r="1034" spans="10:10">
      <c r="J1034" t="str">
        <f t="shared" si="16"/>
        <v/>
      </c>
    </row>
    <row r="1035" spans="10:10">
      <c r="J1035" t="str">
        <f t="shared" si="16"/>
        <v/>
      </c>
    </row>
    <row r="1036" spans="10:10">
      <c r="J1036" t="str">
        <f t="shared" si="16"/>
        <v/>
      </c>
    </row>
    <row r="1037" spans="10:10">
      <c r="J1037" t="str">
        <f t="shared" si="16"/>
        <v/>
      </c>
    </row>
    <row r="1038" spans="10:10">
      <c r="J1038" t="str">
        <f t="shared" si="16"/>
        <v/>
      </c>
    </row>
    <row r="1039" spans="10:10">
      <c r="J1039" t="str">
        <f t="shared" si="16"/>
        <v/>
      </c>
    </row>
    <row r="1040" spans="10:10">
      <c r="J1040" t="str">
        <f t="shared" si="16"/>
        <v/>
      </c>
    </row>
    <row r="1041" spans="10:10">
      <c r="J1041" t="str">
        <f t="shared" si="16"/>
        <v/>
      </c>
    </row>
    <row r="1042" spans="10:10">
      <c r="J1042" t="str">
        <f t="shared" si="16"/>
        <v/>
      </c>
    </row>
    <row r="1043" spans="10:10">
      <c r="J1043" t="str">
        <f t="shared" si="16"/>
        <v/>
      </c>
    </row>
    <row r="1044" spans="10:10">
      <c r="J1044" t="str">
        <f t="shared" si="16"/>
        <v/>
      </c>
    </row>
    <row r="1045" spans="10:10">
      <c r="J1045" t="str">
        <f t="shared" si="16"/>
        <v/>
      </c>
    </row>
    <row r="1046" spans="10:10">
      <c r="J1046" t="str">
        <f t="shared" si="16"/>
        <v/>
      </c>
    </row>
    <row r="1047" spans="10:10">
      <c r="J1047" t="str">
        <f t="shared" si="16"/>
        <v/>
      </c>
    </row>
    <row r="1048" spans="10:10">
      <c r="J1048" t="str">
        <f t="shared" si="16"/>
        <v/>
      </c>
    </row>
    <row r="1049" spans="10:10">
      <c r="J1049" t="str">
        <f t="shared" si="16"/>
        <v/>
      </c>
    </row>
    <row r="1050" spans="10:10">
      <c r="J1050" t="str">
        <f t="shared" si="16"/>
        <v/>
      </c>
    </row>
    <row r="1051" spans="10:10">
      <c r="J1051" t="str">
        <f t="shared" si="16"/>
        <v/>
      </c>
    </row>
    <row r="1052" spans="10:10">
      <c r="J1052" t="str">
        <f t="shared" si="16"/>
        <v/>
      </c>
    </row>
    <row r="1053" spans="10:10">
      <c r="J1053" t="str">
        <f t="shared" si="16"/>
        <v/>
      </c>
    </row>
    <row r="1054" spans="10:10">
      <c r="J1054" t="str">
        <f t="shared" si="16"/>
        <v/>
      </c>
    </row>
    <row r="1055" spans="10:10">
      <c r="J1055" t="str">
        <f t="shared" si="16"/>
        <v/>
      </c>
    </row>
    <row r="1056" spans="10:10">
      <c r="J1056" t="str">
        <f t="shared" si="16"/>
        <v/>
      </c>
    </row>
    <row r="1057" spans="10:10">
      <c r="J1057" t="str">
        <f t="shared" si="16"/>
        <v/>
      </c>
    </row>
    <row r="1058" spans="10:10">
      <c r="J1058" t="str">
        <f t="shared" si="16"/>
        <v/>
      </c>
    </row>
    <row r="1059" spans="10:10">
      <c r="J1059" t="str">
        <f t="shared" si="16"/>
        <v/>
      </c>
    </row>
    <row r="1060" spans="10:10">
      <c r="J1060" t="str">
        <f t="shared" si="16"/>
        <v/>
      </c>
    </row>
    <row r="1061" spans="10:10">
      <c r="J1061" t="str">
        <f t="shared" si="16"/>
        <v/>
      </c>
    </row>
    <row r="1062" spans="10:10">
      <c r="J1062" t="str">
        <f t="shared" si="16"/>
        <v/>
      </c>
    </row>
    <row r="1063" spans="10:10">
      <c r="J1063" t="str">
        <f t="shared" si="16"/>
        <v/>
      </c>
    </row>
    <row r="1064" spans="10:10">
      <c r="J1064" t="str">
        <f t="shared" si="16"/>
        <v/>
      </c>
    </row>
    <row r="1065" spans="10:10">
      <c r="J1065" t="str">
        <f t="shared" si="16"/>
        <v/>
      </c>
    </row>
    <row r="1066" spans="10:10">
      <c r="J1066" t="str">
        <f t="shared" si="16"/>
        <v/>
      </c>
    </row>
    <row r="1067" spans="10:10">
      <c r="J1067" t="str">
        <f t="shared" si="16"/>
        <v/>
      </c>
    </row>
    <row r="1068" spans="10:10">
      <c r="J1068" t="str">
        <f t="shared" si="16"/>
        <v/>
      </c>
    </row>
    <row r="1069" spans="10:10">
      <c r="J1069" t="str">
        <f t="shared" si="16"/>
        <v/>
      </c>
    </row>
    <row r="1070" spans="10:10">
      <c r="J1070" t="str">
        <f t="shared" si="16"/>
        <v/>
      </c>
    </row>
    <row r="1071" spans="10:10">
      <c r="J1071" t="str">
        <f t="shared" si="16"/>
        <v/>
      </c>
    </row>
    <row r="1072" spans="10:10">
      <c r="J1072" t="str">
        <f t="shared" si="16"/>
        <v/>
      </c>
    </row>
    <row r="1073" spans="10:10">
      <c r="J1073" t="str">
        <f t="shared" si="16"/>
        <v/>
      </c>
    </row>
    <row r="1074" spans="10:10">
      <c r="J1074" t="str">
        <f t="shared" si="16"/>
        <v/>
      </c>
    </row>
    <row r="1075" spans="10:10">
      <c r="J1075" t="str">
        <f t="shared" si="16"/>
        <v/>
      </c>
    </row>
    <row r="1076" spans="10:10">
      <c r="J1076" t="str">
        <f t="shared" si="16"/>
        <v/>
      </c>
    </row>
    <row r="1077" spans="10:10">
      <c r="J1077" t="str">
        <f t="shared" si="16"/>
        <v/>
      </c>
    </row>
    <row r="1078" spans="10:10">
      <c r="J1078" t="str">
        <f t="shared" si="16"/>
        <v/>
      </c>
    </row>
    <row r="1079" spans="10:10">
      <c r="J1079" t="str">
        <f t="shared" si="16"/>
        <v/>
      </c>
    </row>
    <row r="1080" spans="10:10">
      <c r="J1080" t="str">
        <f t="shared" si="16"/>
        <v/>
      </c>
    </row>
    <row r="1081" spans="10:10">
      <c r="J1081" t="str">
        <f t="shared" si="16"/>
        <v/>
      </c>
    </row>
    <row r="1082" spans="10:10">
      <c r="J1082" t="str">
        <f t="shared" si="16"/>
        <v/>
      </c>
    </row>
    <row r="1083" spans="10:10">
      <c r="J1083" t="str">
        <f t="shared" si="16"/>
        <v/>
      </c>
    </row>
    <row r="1084" spans="10:10">
      <c r="J1084" t="str">
        <f t="shared" si="16"/>
        <v/>
      </c>
    </row>
    <row r="1085" spans="10:10">
      <c r="J1085" t="str">
        <f t="shared" si="16"/>
        <v/>
      </c>
    </row>
    <row r="1086" spans="10:10">
      <c r="J1086" t="str">
        <f t="shared" si="16"/>
        <v/>
      </c>
    </row>
    <row r="1087" spans="10:10">
      <c r="J1087" t="str">
        <f t="shared" si="16"/>
        <v/>
      </c>
    </row>
    <row r="1088" spans="10:10">
      <c r="J1088" t="str">
        <f t="shared" si="16"/>
        <v/>
      </c>
    </row>
    <row r="1089" spans="10:10">
      <c r="J1089" t="str">
        <f t="shared" si="16"/>
        <v/>
      </c>
    </row>
    <row r="1090" spans="10:10">
      <c r="J1090" t="str">
        <f t="shared" si="16"/>
        <v/>
      </c>
    </row>
    <row r="1091" spans="10:10">
      <c r="J1091" t="str">
        <f t="shared" si="16"/>
        <v/>
      </c>
    </row>
    <row r="1092" spans="10:10">
      <c r="J1092" t="str">
        <f t="shared" ref="J1092:J1155" si="17">IF(B1092="","", WEEKNUM(B1092, 2))</f>
        <v/>
      </c>
    </row>
    <row r="1093" spans="10:10">
      <c r="J1093" t="str">
        <f t="shared" si="17"/>
        <v/>
      </c>
    </row>
    <row r="1094" spans="10:10">
      <c r="J1094" t="str">
        <f t="shared" si="17"/>
        <v/>
      </c>
    </row>
    <row r="1095" spans="10:10">
      <c r="J1095" t="str">
        <f t="shared" si="17"/>
        <v/>
      </c>
    </row>
    <row r="1096" spans="10:10">
      <c r="J1096" t="str">
        <f t="shared" si="17"/>
        <v/>
      </c>
    </row>
    <row r="1097" spans="10:10">
      <c r="J1097" t="str">
        <f t="shared" si="17"/>
        <v/>
      </c>
    </row>
    <row r="1098" spans="10:10">
      <c r="J1098" t="str">
        <f t="shared" si="17"/>
        <v/>
      </c>
    </row>
    <row r="1099" spans="10:10">
      <c r="J1099" t="str">
        <f t="shared" si="17"/>
        <v/>
      </c>
    </row>
    <row r="1100" spans="10:10">
      <c r="J1100" t="str">
        <f t="shared" si="17"/>
        <v/>
      </c>
    </row>
    <row r="1101" spans="10:10">
      <c r="J1101" t="str">
        <f t="shared" si="17"/>
        <v/>
      </c>
    </row>
    <row r="1102" spans="10:10">
      <c r="J1102" t="str">
        <f t="shared" si="17"/>
        <v/>
      </c>
    </row>
    <row r="1103" spans="10:10">
      <c r="J1103" t="str">
        <f t="shared" si="17"/>
        <v/>
      </c>
    </row>
    <row r="1104" spans="10:10">
      <c r="J1104" t="str">
        <f t="shared" si="17"/>
        <v/>
      </c>
    </row>
    <row r="1105" spans="10:10">
      <c r="J1105" t="str">
        <f t="shared" si="17"/>
        <v/>
      </c>
    </row>
    <row r="1106" spans="10:10">
      <c r="J1106" t="str">
        <f t="shared" si="17"/>
        <v/>
      </c>
    </row>
    <row r="1107" spans="10:10">
      <c r="J1107" t="str">
        <f t="shared" si="17"/>
        <v/>
      </c>
    </row>
    <row r="1108" spans="10:10">
      <c r="J1108" t="str">
        <f t="shared" si="17"/>
        <v/>
      </c>
    </row>
    <row r="1109" spans="10:10">
      <c r="J1109" t="str">
        <f t="shared" si="17"/>
        <v/>
      </c>
    </row>
    <row r="1110" spans="10:10">
      <c r="J1110" t="str">
        <f t="shared" si="17"/>
        <v/>
      </c>
    </row>
    <row r="1111" spans="10:10">
      <c r="J1111" t="str">
        <f t="shared" si="17"/>
        <v/>
      </c>
    </row>
    <row r="1112" spans="10:10">
      <c r="J1112" t="str">
        <f t="shared" si="17"/>
        <v/>
      </c>
    </row>
    <row r="1113" spans="10:10">
      <c r="J1113" t="str">
        <f t="shared" si="17"/>
        <v/>
      </c>
    </row>
    <row r="1114" spans="10:10">
      <c r="J1114" t="str">
        <f t="shared" si="17"/>
        <v/>
      </c>
    </row>
    <row r="1115" spans="10:10">
      <c r="J1115" t="str">
        <f t="shared" si="17"/>
        <v/>
      </c>
    </row>
    <row r="1116" spans="10:10">
      <c r="J1116" t="str">
        <f t="shared" si="17"/>
        <v/>
      </c>
    </row>
    <row r="1117" spans="10:10">
      <c r="J1117" t="str">
        <f t="shared" si="17"/>
        <v/>
      </c>
    </row>
    <row r="1118" spans="10:10">
      <c r="J1118" t="str">
        <f t="shared" si="17"/>
        <v/>
      </c>
    </row>
    <row r="1119" spans="10:10">
      <c r="J1119" t="str">
        <f t="shared" si="17"/>
        <v/>
      </c>
    </row>
    <row r="1120" spans="10:10">
      <c r="J1120" t="str">
        <f t="shared" si="17"/>
        <v/>
      </c>
    </row>
    <row r="1121" spans="10:10">
      <c r="J1121" t="str">
        <f t="shared" si="17"/>
        <v/>
      </c>
    </row>
    <row r="1122" spans="10:10">
      <c r="J1122" t="str">
        <f t="shared" si="17"/>
        <v/>
      </c>
    </row>
    <row r="1123" spans="10:10">
      <c r="J1123" t="str">
        <f t="shared" si="17"/>
        <v/>
      </c>
    </row>
    <row r="1124" spans="10:10">
      <c r="J1124" t="str">
        <f t="shared" si="17"/>
        <v/>
      </c>
    </row>
    <row r="1125" spans="10:10">
      <c r="J1125" t="str">
        <f t="shared" si="17"/>
        <v/>
      </c>
    </row>
    <row r="1126" spans="10:10">
      <c r="J1126" t="str">
        <f t="shared" si="17"/>
        <v/>
      </c>
    </row>
    <row r="1127" spans="10:10">
      <c r="J1127" t="str">
        <f t="shared" si="17"/>
        <v/>
      </c>
    </row>
    <row r="1128" spans="10:10">
      <c r="J1128" t="str">
        <f t="shared" si="17"/>
        <v/>
      </c>
    </row>
    <row r="1129" spans="10:10">
      <c r="J1129" t="str">
        <f t="shared" si="17"/>
        <v/>
      </c>
    </row>
    <row r="1130" spans="10:10">
      <c r="J1130" t="str">
        <f t="shared" si="17"/>
        <v/>
      </c>
    </row>
    <row r="1131" spans="10:10">
      <c r="J1131" t="str">
        <f t="shared" si="17"/>
        <v/>
      </c>
    </row>
    <row r="1132" spans="10:10">
      <c r="J1132" t="str">
        <f t="shared" si="17"/>
        <v/>
      </c>
    </row>
    <row r="1133" spans="10:10">
      <c r="J1133" t="str">
        <f t="shared" si="17"/>
        <v/>
      </c>
    </row>
    <row r="1134" spans="10:10">
      <c r="J1134" t="str">
        <f t="shared" si="17"/>
        <v/>
      </c>
    </row>
    <row r="1135" spans="10:10">
      <c r="J1135" t="str">
        <f t="shared" si="17"/>
        <v/>
      </c>
    </row>
    <row r="1136" spans="10:10">
      <c r="J1136" t="str">
        <f t="shared" si="17"/>
        <v/>
      </c>
    </row>
    <row r="1137" spans="10:10">
      <c r="J1137" t="str">
        <f t="shared" si="17"/>
        <v/>
      </c>
    </row>
    <row r="1138" spans="10:10">
      <c r="J1138" t="str">
        <f t="shared" si="17"/>
        <v/>
      </c>
    </row>
    <row r="1139" spans="10:10">
      <c r="J1139" t="str">
        <f t="shared" si="17"/>
        <v/>
      </c>
    </row>
    <row r="1140" spans="10:10">
      <c r="J1140" t="str">
        <f t="shared" si="17"/>
        <v/>
      </c>
    </row>
    <row r="1141" spans="10:10">
      <c r="J1141" t="str">
        <f t="shared" si="17"/>
        <v/>
      </c>
    </row>
    <row r="1142" spans="10:10">
      <c r="J1142" t="str">
        <f t="shared" si="17"/>
        <v/>
      </c>
    </row>
    <row r="1143" spans="10:10">
      <c r="J1143" t="str">
        <f t="shared" si="17"/>
        <v/>
      </c>
    </row>
    <row r="1144" spans="10:10">
      <c r="J1144" t="str">
        <f t="shared" si="17"/>
        <v/>
      </c>
    </row>
    <row r="1145" spans="10:10">
      <c r="J1145" t="str">
        <f t="shared" si="17"/>
        <v/>
      </c>
    </row>
    <row r="1146" spans="10:10">
      <c r="J1146" t="str">
        <f t="shared" si="17"/>
        <v/>
      </c>
    </row>
    <row r="1147" spans="10:10">
      <c r="J1147" t="str">
        <f t="shared" si="17"/>
        <v/>
      </c>
    </row>
    <row r="1148" spans="10:10">
      <c r="J1148" t="str">
        <f t="shared" si="17"/>
        <v/>
      </c>
    </row>
    <row r="1149" spans="10:10">
      <c r="J1149" t="str">
        <f t="shared" si="17"/>
        <v/>
      </c>
    </row>
    <row r="1150" spans="10:10">
      <c r="J1150" t="str">
        <f t="shared" si="17"/>
        <v/>
      </c>
    </row>
    <row r="1151" spans="10:10">
      <c r="J1151" t="str">
        <f t="shared" si="17"/>
        <v/>
      </c>
    </row>
    <row r="1152" spans="10:10">
      <c r="J1152" t="str">
        <f t="shared" si="17"/>
        <v/>
      </c>
    </row>
    <row r="1153" spans="10:10">
      <c r="J1153" t="str">
        <f t="shared" si="17"/>
        <v/>
      </c>
    </row>
    <row r="1154" spans="10:10">
      <c r="J1154" t="str">
        <f t="shared" si="17"/>
        <v/>
      </c>
    </row>
    <row r="1155" spans="10:10">
      <c r="J1155" t="str">
        <f t="shared" si="17"/>
        <v/>
      </c>
    </row>
    <row r="1156" spans="10:10">
      <c r="J1156" t="str">
        <f t="shared" ref="J1156:J1219" si="18">IF(B1156="","", WEEKNUM(B1156, 2))</f>
        <v/>
      </c>
    </row>
    <row r="1157" spans="10:10">
      <c r="J1157" t="str">
        <f t="shared" si="18"/>
        <v/>
      </c>
    </row>
    <row r="1158" spans="10:10">
      <c r="J1158" t="str">
        <f t="shared" si="18"/>
        <v/>
      </c>
    </row>
    <row r="1159" spans="10:10">
      <c r="J1159" t="str">
        <f t="shared" si="18"/>
        <v/>
      </c>
    </row>
    <row r="1160" spans="10:10">
      <c r="J1160" t="str">
        <f t="shared" si="18"/>
        <v/>
      </c>
    </row>
    <row r="1161" spans="10:10">
      <c r="J1161" t="str">
        <f t="shared" si="18"/>
        <v/>
      </c>
    </row>
    <row r="1162" spans="10:10">
      <c r="J1162" t="str">
        <f t="shared" si="18"/>
        <v/>
      </c>
    </row>
    <row r="1163" spans="10:10">
      <c r="J1163" t="str">
        <f t="shared" si="18"/>
        <v/>
      </c>
    </row>
    <row r="1164" spans="10:10">
      <c r="J1164" t="str">
        <f t="shared" si="18"/>
        <v/>
      </c>
    </row>
    <row r="1165" spans="10:10">
      <c r="J1165" t="str">
        <f t="shared" si="18"/>
        <v/>
      </c>
    </row>
    <row r="1166" spans="10:10">
      <c r="J1166" t="str">
        <f t="shared" si="18"/>
        <v/>
      </c>
    </row>
    <row r="1167" spans="10:10">
      <c r="J1167" t="str">
        <f t="shared" si="18"/>
        <v/>
      </c>
    </row>
    <row r="1168" spans="10:10">
      <c r="J1168" t="str">
        <f t="shared" si="18"/>
        <v/>
      </c>
    </row>
    <row r="1169" spans="10:10">
      <c r="J1169" t="str">
        <f t="shared" si="18"/>
        <v/>
      </c>
    </row>
    <row r="1170" spans="10:10">
      <c r="J1170" t="str">
        <f t="shared" si="18"/>
        <v/>
      </c>
    </row>
    <row r="1171" spans="10:10">
      <c r="J1171" t="str">
        <f t="shared" si="18"/>
        <v/>
      </c>
    </row>
    <row r="1172" spans="10:10">
      <c r="J1172" t="str">
        <f t="shared" si="18"/>
        <v/>
      </c>
    </row>
    <row r="1173" spans="10:10">
      <c r="J1173" t="str">
        <f t="shared" si="18"/>
        <v/>
      </c>
    </row>
    <row r="1174" spans="10:10">
      <c r="J1174" t="str">
        <f t="shared" si="18"/>
        <v/>
      </c>
    </row>
    <row r="1175" spans="10:10">
      <c r="J1175" t="str">
        <f t="shared" si="18"/>
        <v/>
      </c>
    </row>
    <row r="1176" spans="10:10">
      <c r="J1176" t="str">
        <f t="shared" si="18"/>
        <v/>
      </c>
    </row>
    <row r="1177" spans="10:10">
      <c r="J1177" t="str">
        <f t="shared" si="18"/>
        <v/>
      </c>
    </row>
    <row r="1178" spans="10:10">
      <c r="J1178" t="str">
        <f t="shared" si="18"/>
        <v/>
      </c>
    </row>
    <row r="1179" spans="10:10">
      <c r="J1179" t="str">
        <f t="shared" si="18"/>
        <v/>
      </c>
    </row>
    <row r="1180" spans="10:10">
      <c r="J1180" t="str">
        <f t="shared" si="18"/>
        <v/>
      </c>
    </row>
    <row r="1181" spans="10:10">
      <c r="J1181" t="str">
        <f t="shared" si="18"/>
        <v/>
      </c>
    </row>
    <row r="1182" spans="10:10">
      <c r="J1182" t="str">
        <f t="shared" si="18"/>
        <v/>
      </c>
    </row>
    <row r="1183" spans="10:10">
      <c r="J1183" t="str">
        <f t="shared" si="18"/>
        <v/>
      </c>
    </row>
    <row r="1184" spans="10:10">
      <c r="J1184" t="str">
        <f t="shared" si="18"/>
        <v/>
      </c>
    </row>
    <row r="1185" spans="10:10">
      <c r="J1185" t="str">
        <f t="shared" si="18"/>
        <v/>
      </c>
    </row>
    <row r="1186" spans="10:10">
      <c r="J1186" t="str">
        <f t="shared" si="18"/>
        <v/>
      </c>
    </row>
    <row r="1187" spans="10:10">
      <c r="J1187" t="str">
        <f t="shared" si="18"/>
        <v/>
      </c>
    </row>
    <row r="1188" spans="10:10">
      <c r="J1188" t="str">
        <f t="shared" si="18"/>
        <v/>
      </c>
    </row>
    <row r="1189" spans="10:10">
      <c r="J1189" t="str">
        <f t="shared" si="18"/>
        <v/>
      </c>
    </row>
    <row r="1190" spans="10:10">
      <c r="J1190" t="str">
        <f t="shared" si="18"/>
        <v/>
      </c>
    </row>
    <row r="1191" spans="10:10">
      <c r="J1191" t="str">
        <f t="shared" si="18"/>
        <v/>
      </c>
    </row>
    <row r="1192" spans="10:10">
      <c r="J1192" t="str">
        <f t="shared" si="18"/>
        <v/>
      </c>
    </row>
    <row r="1193" spans="10:10">
      <c r="J1193" t="str">
        <f t="shared" si="18"/>
        <v/>
      </c>
    </row>
    <row r="1194" spans="10:10">
      <c r="J1194" t="str">
        <f t="shared" si="18"/>
        <v/>
      </c>
    </row>
    <row r="1195" spans="10:10">
      <c r="J1195" t="str">
        <f t="shared" si="18"/>
        <v/>
      </c>
    </row>
    <row r="1196" spans="10:10">
      <c r="J1196" t="str">
        <f t="shared" si="18"/>
        <v/>
      </c>
    </row>
    <row r="1197" spans="10:10">
      <c r="J1197" t="str">
        <f t="shared" si="18"/>
        <v/>
      </c>
    </row>
    <row r="1198" spans="10:10">
      <c r="J1198" t="str">
        <f t="shared" si="18"/>
        <v/>
      </c>
    </row>
    <row r="1199" spans="10:10">
      <c r="J1199" t="str">
        <f t="shared" si="18"/>
        <v/>
      </c>
    </row>
    <row r="1200" spans="10:10">
      <c r="J1200" t="str">
        <f t="shared" si="18"/>
        <v/>
      </c>
    </row>
    <row r="1201" spans="10:10">
      <c r="J1201" t="str">
        <f t="shared" si="18"/>
        <v/>
      </c>
    </row>
    <row r="1202" spans="10:10">
      <c r="J1202" t="str">
        <f t="shared" si="18"/>
        <v/>
      </c>
    </row>
    <row r="1203" spans="10:10">
      <c r="J1203" t="str">
        <f t="shared" si="18"/>
        <v/>
      </c>
    </row>
    <row r="1204" spans="10:10">
      <c r="J1204" t="str">
        <f t="shared" si="18"/>
        <v/>
      </c>
    </row>
    <row r="1205" spans="10:10">
      <c r="J1205" t="str">
        <f t="shared" si="18"/>
        <v/>
      </c>
    </row>
    <row r="1206" spans="10:10">
      <c r="J1206" t="str">
        <f t="shared" si="18"/>
        <v/>
      </c>
    </row>
    <row r="1207" spans="10:10">
      <c r="J1207" t="str">
        <f t="shared" si="18"/>
        <v/>
      </c>
    </row>
    <row r="1208" spans="10:10">
      <c r="J1208" t="str">
        <f t="shared" si="18"/>
        <v/>
      </c>
    </row>
    <row r="1209" spans="10:10">
      <c r="J1209" t="str">
        <f t="shared" si="18"/>
        <v/>
      </c>
    </row>
    <row r="1210" spans="10:10">
      <c r="J1210" t="str">
        <f t="shared" si="18"/>
        <v/>
      </c>
    </row>
    <row r="1211" spans="10:10">
      <c r="J1211" t="str">
        <f t="shared" si="18"/>
        <v/>
      </c>
    </row>
    <row r="1212" spans="10:10">
      <c r="J1212" t="str">
        <f t="shared" si="18"/>
        <v/>
      </c>
    </row>
    <row r="1213" spans="10:10">
      <c r="J1213" t="str">
        <f t="shared" si="18"/>
        <v/>
      </c>
    </row>
    <row r="1214" spans="10:10">
      <c r="J1214" t="str">
        <f t="shared" si="18"/>
        <v/>
      </c>
    </row>
    <row r="1215" spans="10:10">
      <c r="J1215" t="str">
        <f t="shared" si="18"/>
        <v/>
      </c>
    </row>
    <row r="1216" spans="10:10">
      <c r="J1216" t="str">
        <f t="shared" si="18"/>
        <v/>
      </c>
    </row>
    <row r="1217" spans="10:10">
      <c r="J1217" t="str">
        <f t="shared" si="18"/>
        <v/>
      </c>
    </row>
    <row r="1218" spans="10:10">
      <c r="J1218" t="str">
        <f t="shared" si="18"/>
        <v/>
      </c>
    </row>
    <row r="1219" spans="10:10">
      <c r="J1219" t="str">
        <f t="shared" si="18"/>
        <v/>
      </c>
    </row>
    <row r="1220" spans="10:10">
      <c r="J1220" t="str">
        <f t="shared" ref="J1220:J1283" si="19">IF(B1220="","", WEEKNUM(B1220, 2))</f>
        <v/>
      </c>
    </row>
    <row r="1221" spans="10:10">
      <c r="J1221" t="str">
        <f t="shared" si="19"/>
        <v/>
      </c>
    </row>
    <row r="1222" spans="10:10">
      <c r="J1222" t="str">
        <f t="shared" si="19"/>
        <v/>
      </c>
    </row>
    <row r="1223" spans="10:10">
      <c r="J1223" t="str">
        <f t="shared" si="19"/>
        <v/>
      </c>
    </row>
    <row r="1224" spans="10:10">
      <c r="J1224" t="str">
        <f t="shared" si="19"/>
        <v/>
      </c>
    </row>
    <row r="1225" spans="10:10">
      <c r="J1225" t="str">
        <f t="shared" si="19"/>
        <v/>
      </c>
    </row>
    <row r="1226" spans="10:10">
      <c r="J1226" t="str">
        <f t="shared" si="19"/>
        <v/>
      </c>
    </row>
    <row r="1227" spans="10:10">
      <c r="J1227" t="str">
        <f t="shared" si="19"/>
        <v/>
      </c>
    </row>
    <row r="1228" spans="10:10">
      <c r="J1228" t="str">
        <f t="shared" si="19"/>
        <v/>
      </c>
    </row>
    <row r="1229" spans="10:10">
      <c r="J1229" t="str">
        <f t="shared" si="19"/>
        <v/>
      </c>
    </row>
    <row r="1230" spans="10:10">
      <c r="J1230" t="str">
        <f t="shared" si="19"/>
        <v/>
      </c>
    </row>
    <row r="1231" spans="10:10">
      <c r="J1231" t="str">
        <f t="shared" si="19"/>
        <v/>
      </c>
    </row>
    <row r="1232" spans="10:10">
      <c r="J1232" t="str">
        <f t="shared" si="19"/>
        <v/>
      </c>
    </row>
    <row r="1233" spans="10:10">
      <c r="J1233" t="str">
        <f t="shared" si="19"/>
        <v/>
      </c>
    </row>
    <row r="1234" spans="10:10">
      <c r="J1234" t="str">
        <f t="shared" si="19"/>
        <v/>
      </c>
    </row>
    <row r="1235" spans="10:10">
      <c r="J1235" t="str">
        <f t="shared" si="19"/>
        <v/>
      </c>
    </row>
    <row r="1236" spans="10:10">
      <c r="J1236" t="str">
        <f t="shared" si="19"/>
        <v/>
      </c>
    </row>
    <row r="1237" spans="10:10">
      <c r="J1237" t="str">
        <f t="shared" si="19"/>
        <v/>
      </c>
    </row>
    <row r="1238" spans="10:10">
      <c r="J1238" t="str">
        <f t="shared" si="19"/>
        <v/>
      </c>
    </row>
    <row r="1239" spans="10:10">
      <c r="J1239" t="str">
        <f t="shared" si="19"/>
        <v/>
      </c>
    </row>
    <row r="1240" spans="10:10">
      <c r="J1240" t="str">
        <f t="shared" si="19"/>
        <v/>
      </c>
    </row>
    <row r="1241" spans="10:10">
      <c r="J1241" t="str">
        <f t="shared" si="19"/>
        <v/>
      </c>
    </row>
    <row r="1242" spans="10:10">
      <c r="J1242" t="str">
        <f t="shared" si="19"/>
        <v/>
      </c>
    </row>
    <row r="1243" spans="10:10">
      <c r="J1243" t="str">
        <f t="shared" si="19"/>
        <v/>
      </c>
    </row>
    <row r="1244" spans="10:10">
      <c r="J1244" t="str">
        <f t="shared" si="19"/>
        <v/>
      </c>
    </row>
    <row r="1245" spans="10:10">
      <c r="J1245" t="str">
        <f t="shared" si="19"/>
        <v/>
      </c>
    </row>
    <row r="1246" spans="10:10">
      <c r="J1246" t="str">
        <f t="shared" si="19"/>
        <v/>
      </c>
    </row>
    <row r="1247" spans="10:10">
      <c r="J1247" t="str">
        <f t="shared" si="19"/>
        <v/>
      </c>
    </row>
    <row r="1248" spans="10:10">
      <c r="J1248" t="str">
        <f t="shared" si="19"/>
        <v/>
      </c>
    </row>
    <row r="1249" spans="10:10">
      <c r="J1249" t="str">
        <f t="shared" si="19"/>
        <v/>
      </c>
    </row>
    <row r="1250" spans="10:10">
      <c r="J1250" t="str">
        <f t="shared" si="19"/>
        <v/>
      </c>
    </row>
    <row r="1251" spans="10:10">
      <c r="J1251" t="str">
        <f t="shared" si="19"/>
        <v/>
      </c>
    </row>
    <row r="1252" spans="10:10">
      <c r="J1252" t="str">
        <f t="shared" si="19"/>
        <v/>
      </c>
    </row>
    <row r="1253" spans="10:10">
      <c r="J1253" t="str">
        <f t="shared" si="19"/>
        <v/>
      </c>
    </row>
    <row r="1254" spans="10:10">
      <c r="J1254" t="str">
        <f t="shared" si="19"/>
        <v/>
      </c>
    </row>
    <row r="1255" spans="10:10">
      <c r="J1255" t="str">
        <f t="shared" si="19"/>
        <v/>
      </c>
    </row>
    <row r="1256" spans="10:10">
      <c r="J1256" t="str">
        <f t="shared" si="19"/>
        <v/>
      </c>
    </row>
    <row r="1257" spans="10:10">
      <c r="J1257" t="str">
        <f t="shared" si="19"/>
        <v/>
      </c>
    </row>
    <row r="1258" spans="10:10">
      <c r="J1258" t="str">
        <f t="shared" si="19"/>
        <v/>
      </c>
    </row>
    <row r="1259" spans="10:10">
      <c r="J1259" t="str">
        <f t="shared" si="19"/>
        <v/>
      </c>
    </row>
    <row r="1260" spans="10:10">
      <c r="J1260" t="str">
        <f t="shared" si="19"/>
        <v/>
      </c>
    </row>
    <row r="1261" spans="10:10">
      <c r="J1261" t="str">
        <f t="shared" si="19"/>
        <v/>
      </c>
    </row>
    <row r="1262" spans="10:10">
      <c r="J1262" t="str">
        <f t="shared" si="19"/>
        <v/>
      </c>
    </row>
    <row r="1263" spans="10:10">
      <c r="J1263" t="str">
        <f t="shared" si="19"/>
        <v/>
      </c>
    </row>
    <row r="1264" spans="10:10">
      <c r="J1264" t="str">
        <f t="shared" si="19"/>
        <v/>
      </c>
    </row>
    <row r="1265" spans="10:10">
      <c r="J1265" t="str">
        <f t="shared" si="19"/>
        <v/>
      </c>
    </row>
    <row r="1266" spans="10:10">
      <c r="J1266" t="str">
        <f t="shared" si="19"/>
        <v/>
      </c>
    </row>
    <row r="1267" spans="10:10">
      <c r="J1267" t="str">
        <f t="shared" si="19"/>
        <v/>
      </c>
    </row>
    <row r="1268" spans="10:10">
      <c r="J1268" t="str">
        <f t="shared" si="19"/>
        <v/>
      </c>
    </row>
    <row r="1269" spans="10:10">
      <c r="J1269" t="str">
        <f t="shared" si="19"/>
        <v/>
      </c>
    </row>
    <row r="1270" spans="10:10">
      <c r="J1270" t="str">
        <f t="shared" si="19"/>
        <v/>
      </c>
    </row>
    <row r="1271" spans="10:10">
      <c r="J1271" t="str">
        <f t="shared" si="19"/>
        <v/>
      </c>
    </row>
    <row r="1272" spans="10:10">
      <c r="J1272" t="str">
        <f t="shared" si="19"/>
        <v/>
      </c>
    </row>
    <row r="1273" spans="10:10">
      <c r="J1273" t="str">
        <f t="shared" si="19"/>
        <v/>
      </c>
    </row>
    <row r="1274" spans="10:10">
      <c r="J1274" t="str">
        <f t="shared" si="19"/>
        <v/>
      </c>
    </row>
    <row r="1275" spans="10:10">
      <c r="J1275" t="str">
        <f t="shared" si="19"/>
        <v/>
      </c>
    </row>
    <row r="1276" spans="10:10">
      <c r="J1276" t="str">
        <f t="shared" si="19"/>
        <v/>
      </c>
    </row>
    <row r="1277" spans="10:10">
      <c r="J1277" t="str">
        <f t="shared" si="19"/>
        <v/>
      </c>
    </row>
    <row r="1278" spans="10:10">
      <c r="J1278" t="str">
        <f t="shared" si="19"/>
        <v/>
      </c>
    </row>
    <row r="1279" spans="10:10">
      <c r="J1279" t="str">
        <f t="shared" si="19"/>
        <v/>
      </c>
    </row>
    <row r="1280" spans="10:10">
      <c r="J1280" t="str">
        <f t="shared" si="19"/>
        <v/>
      </c>
    </row>
    <row r="1281" spans="10:10">
      <c r="J1281" t="str">
        <f t="shared" si="19"/>
        <v/>
      </c>
    </row>
    <row r="1282" spans="10:10">
      <c r="J1282" t="str">
        <f t="shared" si="19"/>
        <v/>
      </c>
    </row>
    <row r="1283" spans="10:10">
      <c r="J1283" t="str">
        <f t="shared" si="19"/>
        <v/>
      </c>
    </row>
    <row r="1284" spans="10:10">
      <c r="J1284" t="str">
        <f t="shared" ref="J1284:J1347" si="20">IF(B1284="","", WEEKNUM(B1284, 2))</f>
        <v/>
      </c>
    </row>
    <row r="1285" spans="10:10">
      <c r="J1285" t="str">
        <f t="shared" si="20"/>
        <v/>
      </c>
    </row>
    <row r="1286" spans="10:10">
      <c r="J1286" t="str">
        <f t="shared" si="20"/>
        <v/>
      </c>
    </row>
    <row r="1287" spans="10:10">
      <c r="J1287" t="str">
        <f t="shared" si="20"/>
        <v/>
      </c>
    </row>
    <row r="1288" spans="10:10">
      <c r="J1288" t="str">
        <f t="shared" si="20"/>
        <v/>
      </c>
    </row>
    <row r="1289" spans="10:10">
      <c r="J1289" t="str">
        <f t="shared" si="20"/>
        <v/>
      </c>
    </row>
    <row r="1290" spans="10:10">
      <c r="J1290" t="str">
        <f t="shared" si="20"/>
        <v/>
      </c>
    </row>
    <row r="1291" spans="10:10">
      <c r="J1291" t="str">
        <f t="shared" si="20"/>
        <v/>
      </c>
    </row>
    <row r="1292" spans="10:10">
      <c r="J1292" t="str">
        <f t="shared" si="20"/>
        <v/>
      </c>
    </row>
    <row r="1293" spans="10:10">
      <c r="J1293" t="str">
        <f t="shared" si="20"/>
        <v/>
      </c>
    </row>
    <row r="1294" spans="10:10">
      <c r="J1294" t="str">
        <f t="shared" si="20"/>
        <v/>
      </c>
    </row>
    <row r="1295" spans="10:10">
      <c r="J1295" t="str">
        <f t="shared" si="20"/>
        <v/>
      </c>
    </row>
    <row r="1296" spans="10:10">
      <c r="J1296" t="str">
        <f t="shared" si="20"/>
        <v/>
      </c>
    </row>
    <row r="1297" spans="10:10">
      <c r="J1297" t="str">
        <f t="shared" si="20"/>
        <v/>
      </c>
    </row>
    <row r="1298" spans="10:10">
      <c r="J1298" t="str">
        <f t="shared" si="20"/>
        <v/>
      </c>
    </row>
    <row r="1299" spans="10:10">
      <c r="J1299" t="str">
        <f t="shared" si="20"/>
        <v/>
      </c>
    </row>
    <row r="1300" spans="10:10">
      <c r="J1300" t="str">
        <f t="shared" si="20"/>
        <v/>
      </c>
    </row>
    <row r="1301" spans="10:10">
      <c r="J1301" t="str">
        <f t="shared" si="20"/>
        <v/>
      </c>
    </row>
    <row r="1302" spans="10:10">
      <c r="J1302" t="str">
        <f t="shared" si="20"/>
        <v/>
      </c>
    </row>
    <row r="1303" spans="10:10">
      <c r="J1303" t="str">
        <f t="shared" si="20"/>
        <v/>
      </c>
    </row>
    <row r="1304" spans="10:10">
      <c r="J1304" t="str">
        <f t="shared" si="20"/>
        <v/>
      </c>
    </row>
    <row r="1305" spans="10:10">
      <c r="J1305" t="str">
        <f t="shared" si="20"/>
        <v/>
      </c>
    </row>
    <row r="1306" spans="10:10">
      <c r="J1306" t="str">
        <f t="shared" si="20"/>
        <v/>
      </c>
    </row>
    <row r="1307" spans="10:10">
      <c r="J1307" t="str">
        <f t="shared" si="20"/>
        <v/>
      </c>
    </row>
    <row r="1308" spans="10:10">
      <c r="J1308" t="str">
        <f t="shared" si="20"/>
        <v/>
      </c>
    </row>
    <row r="1309" spans="10:10">
      <c r="J1309" t="str">
        <f t="shared" si="20"/>
        <v/>
      </c>
    </row>
    <row r="1310" spans="10:10">
      <c r="J1310" t="str">
        <f t="shared" si="20"/>
        <v/>
      </c>
    </row>
    <row r="1311" spans="10:10">
      <c r="J1311" t="str">
        <f t="shared" si="20"/>
        <v/>
      </c>
    </row>
    <row r="1312" spans="10:10">
      <c r="J1312" t="str">
        <f t="shared" si="20"/>
        <v/>
      </c>
    </row>
    <row r="1313" spans="10:10">
      <c r="J1313" t="str">
        <f t="shared" si="20"/>
        <v/>
      </c>
    </row>
    <row r="1314" spans="10:10">
      <c r="J1314" t="str">
        <f t="shared" si="20"/>
        <v/>
      </c>
    </row>
    <row r="1315" spans="10:10">
      <c r="J1315" t="str">
        <f t="shared" si="20"/>
        <v/>
      </c>
    </row>
    <row r="1316" spans="10:10">
      <c r="J1316" t="str">
        <f t="shared" si="20"/>
        <v/>
      </c>
    </row>
    <row r="1317" spans="10:10">
      <c r="J1317" t="str">
        <f t="shared" si="20"/>
        <v/>
      </c>
    </row>
    <row r="1318" spans="10:10">
      <c r="J1318" t="str">
        <f t="shared" si="20"/>
        <v/>
      </c>
    </row>
    <row r="1319" spans="10:10">
      <c r="J1319" t="str">
        <f t="shared" si="20"/>
        <v/>
      </c>
    </row>
    <row r="1320" spans="10:10">
      <c r="J1320" t="str">
        <f t="shared" si="20"/>
        <v/>
      </c>
    </row>
    <row r="1321" spans="10:10">
      <c r="J1321" t="str">
        <f t="shared" si="20"/>
        <v/>
      </c>
    </row>
    <row r="1322" spans="10:10">
      <c r="J1322" t="str">
        <f t="shared" si="20"/>
        <v/>
      </c>
    </row>
    <row r="1323" spans="10:10">
      <c r="J1323" t="str">
        <f t="shared" si="20"/>
        <v/>
      </c>
    </row>
    <row r="1324" spans="10:10">
      <c r="J1324" t="str">
        <f t="shared" si="20"/>
        <v/>
      </c>
    </row>
    <row r="1325" spans="10:10">
      <c r="J1325" t="str">
        <f t="shared" si="20"/>
        <v/>
      </c>
    </row>
    <row r="1326" spans="10:10">
      <c r="J1326" t="str">
        <f t="shared" si="20"/>
        <v/>
      </c>
    </row>
    <row r="1327" spans="10:10">
      <c r="J1327" t="str">
        <f t="shared" si="20"/>
        <v/>
      </c>
    </row>
    <row r="1328" spans="10:10">
      <c r="J1328" t="str">
        <f t="shared" si="20"/>
        <v/>
      </c>
    </row>
    <row r="1329" spans="10:10">
      <c r="J1329" t="str">
        <f t="shared" si="20"/>
        <v/>
      </c>
    </row>
    <row r="1330" spans="10:10">
      <c r="J1330" t="str">
        <f t="shared" si="20"/>
        <v/>
      </c>
    </row>
    <row r="1331" spans="10:10">
      <c r="J1331" t="str">
        <f t="shared" si="20"/>
        <v/>
      </c>
    </row>
    <row r="1332" spans="10:10">
      <c r="J1332" t="str">
        <f t="shared" si="20"/>
        <v/>
      </c>
    </row>
    <row r="1333" spans="10:10">
      <c r="J1333" t="str">
        <f t="shared" si="20"/>
        <v/>
      </c>
    </row>
    <row r="1334" spans="10:10">
      <c r="J1334" t="str">
        <f t="shared" si="20"/>
        <v/>
      </c>
    </row>
    <row r="1335" spans="10:10">
      <c r="J1335" t="str">
        <f t="shared" si="20"/>
        <v/>
      </c>
    </row>
    <row r="1336" spans="10:10">
      <c r="J1336" t="str">
        <f t="shared" si="20"/>
        <v/>
      </c>
    </row>
    <row r="1337" spans="10:10">
      <c r="J1337" t="str">
        <f t="shared" si="20"/>
        <v/>
      </c>
    </row>
    <row r="1338" spans="10:10">
      <c r="J1338" t="str">
        <f t="shared" si="20"/>
        <v/>
      </c>
    </row>
    <row r="1339" spans="10:10">
      <c r="J1339" t="str">
        <f t="shared" si="20"/>
        <v/>
      </c>
    </row>
    <row r="1340" spans="10:10">
      <c r="J1340" t="str">
        <f t="shared" si="20"/>
        <v/>
      </c>
    </row>
    <row r="1341" spans="10:10">
      <c r="J1341" t="str">
        <f t="shared" si="20"/>
        <v/>
      </c>
    </row>
    <row r="1342" spans="10:10">
      <c r="J1342" t="str">
        <f t="shared" si="20"/>
        <v/>
      </c>
    </row>
    <row r="1343" spans="10:10">
      <c r="J1343" t="str">
        <f t="shared" si="20"/>
        <v/>
      </c>
    </row>
    <row r="1344" spans="10:10">
      <c r="J1344" t="str">
        <f t="shared" si="20"/>
        <v/>
      </c>
    </row>
    <row r="1345" spans="10:10">
      <c r="J1345" t="str">
        <f t="shared" si="20"/>
        <v/>
      </c>
    </row>
    <row r="1346" spans="10:10">
      <c r="J1346" t="str">
        <f t="shared" si="20"/>
        <v/>
      </c>
    </row>
    <row r="1347" spans="10:10">
      <c r="J1347" t="str">
        <f t="shared" si="20"/>
        <v/>
      </c>
    </row>
    <row r="1348" spans="10:10">
      <c r="J1348" t="str">
        <f t="shared" ref="J1348:J1411" si="21">IF(B1348="","", WEEKNUM(B1348, 2))</f>
        <v/>
      </c>
    </row>
    <row r="1349" spans="10:10">
      <c r="J1349" t="str">
        <f t="shared" si="21"/>
        <v/>
      </c>
    </row>
    <row r="1350" spans="10:10">
      <c r="J1350" t="str">
        <f t="shared" si="21"/>
        <v/>
      </c>
    </row>
    <row r="1351" spans="10:10">
      <c r="J1351" t="str">
        <f t="shared" si="21"/>
        <v/>
      </c>
    </row>
    <row r="1352" spans="10:10">
      <c r="J1352" t="str">
        <f t="shared" si="21"/>
        <v/>
      </c>
    </row>
    <row r="1353" spans="10:10">
      <c r="J1353" t="str">
        <f t="shared" si="21"/>
        <v/>
      </c>
    </row>
    <row r="1354" spans="10:10">
      <c r="J1354" t="str">
        <f t="shared" si="21"/>
        <v/>
      </c>
    </row>
    <row r="1355" spans="10:10">
      <c r="J1355" t="str">
        <f t="shared" si="21"/>
        <v/>
      </c>
    </row>
    <row r="1356" spans="10:10">
      <c r="J1356" t="str">
        <f t="shared" si="21"/>
        <v/>
      </c>
    </row>
    <row r="1357" spans="10:10">
      <c r="J1357" t="str">
        <f t="shared" si="21"/>
        <v/>
      </c>
    </row>
    <row r="1358" spans="10:10">
      <c r="J1358" t="str">
        <f t="shared" si="21"/>
        <v/>
      </c>
    </row>
    <row r="1359" spans="10:10">
      <c r="J1359" t="str">
        <f t="shared" si="21"/>
        <v/>
      </c>
    </row>
    <row r="1360" spans="10:10">
      <c r="J1360" t="str">
        <f t="shared" si="21"/>
        <v/>
      </c>
    </row>
    <row r="1361" spans="10:10">
      <c r="J1361" t="str">
        <f t="shared" si="21"/>
        <v/>
      </c>
    </row>
    <row r="1362" spans="10:10">
      <c r="J1362" t="str">
        <f t="shared" si="21"/>
        <v/>
      </c>
    </row>
    <row r="1363" spans="10:10">
      <c r="J1363" t="str">
        <f t="shared" si="21"/>
        <v/>
      </c>
    </row>
    <row r="1364" spans="10:10">
      <c r="J1364" t="str">
        <f t="shared" si="21"/>
        <v/>
      </c>
    </row>
    <row r="1365" spans="10:10">
      <c r="J1365" t="str">
        <f t="shared" si="21"/>
        <v/>
      </c>
    </row>
    <row r="1366" spans="10:10">
      <c r="J1366" t="str">
        <f t="shared" si="21"/>
        <v/>
      </c>
    </row>
    <row r="1367" spans="10:10">
      <c r="J1367" t="str">
        <f t="shared" si="21"/>
        <v/>
      </c>
    </row>
    <row r="1368" spans="10:10">
      <c r="J1368" t="str">
        <f t="shared" si="21"/>
        <v/>
      </c>
    </row>
    <row r="1369" spans="10:10">
      <c r="J1369" t="str">
        <f t="shared" si="21"/>
        <v/>
      </c>
    </row>
    <row r="1370" spans="10:10">
      <c r="J1370" t="str">
        <f t="shared" si="21"/>
        <v/>
      </c>
    </row>
    <row r="1371" spans="10:10">
      <c r="J1371" t="str">
        <f t="shared" si="21"/>
        <v/>
      </c>
    </row>
    <row r="1372" spans="10:10">
      <c r="J1372" t="str">
        <f t="shared" si="21"/>
        <v/>
      </c>
    </row>
    <row r="1373" spans="10:10">
      <c r="J1373" t="str">
        <f t="shared" si="21"/>
        <v/>
      </c>
    </row>
    <row r="1374" spans="10:10">
      <c r="J1374" t="str">
        <f t="shared" si="21"/>
        <v/>
      </c>
    </row>
    <row r="1375" spans="10:10">
      <c r="J1375" t="str">
        <f t="shared" si="21"/>
        <v/>
      </c>
    </row>
    <row r="1376" spans="10:10">
      <c r="J1376" t="str">
        <f t="shared" si="21"/>
        <v/>
      </c>
    </row>
    <row r="1377" spans="10:10">
      <c r="J1377" t="str">
        <f t="shared" si="21"/>
        <v/>
      </c>
    </row>
    <row r="1378" spans="10:10">
      <c r="J1378" t="str">
        <f t="shared" si="21"/>
        <v/>
      </c>
    </row>
    <row r="1379" spans="10:10">
      <c r="J1379" t="str">
        <f t="shared" si="21"/>
        <v/>
      </c>
    </row>
    <row r="1380" spans="10:10">
      <c r="J1380" t="str">
        <f t="shared" si="21"/>
        <v/>
      </c>
    </row>
    <row r="1381" spans="10:10">
      <c r="J1381" t="str">
        <f t="shared" si="21"/>
        <v/>
      </c>
    </row>
    <row r="1382" spans="10:10">
      <c r="J1382" t="str">
        <f t="shared" si="21"/>
        <v/>
      </c>
    </row>
    <row r="1383" spans="10:10">
      <c r="J1383" t="str">
        <f t="shared" si="21"/>
        <v/>
      </c>
    </row>
    <row r="1384" spans="10:10">
      <c r="J1384" t="str">
        <f t="shared" si="21"/>
        <v/>
      </c>
    </row>
    <row r="1385" spans="10:10">
      <c r="J1385" t="str">
        <f t="shared" si="21"/>
        <v/>
      </c>
    </row>
    <row r="1386" spans="10:10">
      <c r="J1386" t="str">
        <f t="shared" si="21"/>
        <v/>
      </c>
    </row>
    <row r="1387" spans="10:10">
      <c r="J1387" t="str">
        <f t="shared" si="21"/>
        <v/>
      </c>
    </row>
    <row r="1388" spans="10:10">
      <c r="J1388" t="str">
        <f t="shared" si="21"/>
        <v/>
      </c>
    </row>
    <row r="1389" spans="10:10">
      <c r="J1389" t="str">
        <f t="shared" si="21"/>
        <v/>
      </c>
    </row>
    <row r="1390" spans="10:10">
      <c r="J1390" t="str">
        <f t="shared" si="21"/>
        <v/>
      </c>
    </row>
    <row r="1391" spans="10:10">
      <c r="J1391" t="str">
        <f t="shared" si="21"/>
        <v/>
      </c>
    </row>
    <row r="1392" spans="10:10">
      <c r="J1392" t="str">
        <f t="shared" si="21"/>
        <v/>
      </c>
    </row>
    <row r="1393" spans="10:10">
      <c r="J1393" t="str">
        <f t="shared" si="21"/>
        <v/>
      </c>
    </row>
    <row r="1394" spans="10:10">
      <c r="J1394" t="str">
        <f t="shared" si="21"/>
        <v/>
      </c>
    </row>
    <row r="1395" spans="10:10">
      <c r="J1395" t="str">
        <f t="shared" si="21"/>
        <v/>
      </c>
    </row>
    <row r="1396" spans="10:10">
      <c r="J1396" t="str">
        <f t="shared" si="21"/>
        <v/>
      </c>
    </row>
    <row r="1397" spans="10:10">
      <c r="J1397" t="str">
        <f t="shared" si="21"/>
        <v/>
      </c>
    </row>
    <row r="1398" spans="10:10">
      <c r="J1398" t="str">
        <f t="shared" si="21"/>
        <v/>
      </c>
    </row>
    <row r="1399" spans="10:10">
      <c r="J1399" t="str">
        <f t="shared" si="21"/>
        <v/>
      </c>
    </row>
    <row r="1400" spans="10:10">
      <c r="J1400" t="str">
        <f t="shared" si="21"/>
        <v/>
      </c>
    </row>
    <row r="1401" spans="10:10">
      <c r="J1401" t="str">
        <f t="shared" si="21"/>
        <v/>
      </c>
    </row>
    <row r="1402" spans="10:10">
      <c r="J1402" t="str">
        <f t="shared" si="21"/>
        <v/>
      </c>
    </row>
    <row r="1403" spans="10:10">
      <c r="J1403" t="str">
        <f t="shared" si="21"/>
        <v/>
      </c>
    </row>
    <row r="1404" spans="10:10">
      <c r="J1404" t="str">
        <f t="shared" si="21"/>
        <v/>
      </c>
    </row>
    <row r="1405" spans="10:10">
      <c r="J1405" t="str">
        <f t="shared" si="21"/>
        <v/>
      </c>
    </row>
    <row r="1406" spans="10:10">
      <c r="J1406" t="str">
        <f t="shared" si="21"/>
        <v/>
      </c>
    </row>
    <row r="1407" spans="10:10">
      <c r="J1407" t="str">
        <f t="shared" si="21"/>
        <v/>
      </c>
    </row>
    <row r="1408" spans="10:10">
      <c r="J1408" t="str">
        <f t="shared" si="21"/>
        <v/>
      </c>
    </row>
    <row r="1409" spans="10:10">
      <c r="J1409" t="str">
        <f t="shared" si="21"/>
        <v/>
      </c>
    </row>
    <row r="1410" spans="10:10">
      <c r="J1410" t="str">
        <f t="shared" si="21"/>
        <v/>
      </c>
    </row>
    <row r="1411" spans="10:10">
      <c r="J1411" t="str">
        <f t="shared" si="21"/>
        <v/>
      </c>
    </row>
    <row r="1412" spans="10:10">
      <c r="J1412" t="str">
        <f t="shared" ref="J1412:J1475" si="22">IF(B1412="","", WEEKNUM(B1412, 2))</f>
        <v/>
      </c>
    </row>
    <row r="1413" spans="10:10">
      <c r="J1413" t="str">
        <f t="shared" si="22"/>
        <v/>
      </c>
    </row>
    <row r="1414" spans="10:10">
      <c r="J1414" t="str">
        <f t="shared" si="22"/>
        <v/>
      </c>
    </row>
    <row r="1415" spans="10:10">
      <c r="J1415" t="str">
        <f t="shared" si="22"/>
        <v/>
      </c>
    </row>
    <row r="1416" spans="10:10">
      <c r="J1416" t="str">
        <f t="shared" si="22"/>
        <v/>
      </c>
    </row>
    <row r="1417" spans="10:10">
      <c r="J1417" t="str">
        <f t="shared" si="22"/>
        <v/>
      </c>
    </row>
    <row r="1418" spans="10:10">
      <c r="J1418" t="str">
        <f t="shared" si="22"/>
        <v/>
      </c>
    </row>
    <row r="1419" spans="10:10">
      <c r="J1419" t="str">
        <f t="shared" si="22"/>
        <v/>
      </c>
    </row>
    <row r="1420" spans="10:10">
      <c r="J1420" t="str">
        <f t="shared" si="22"/>
        <v/>
      </c>
    </row>
    <row r="1421" spans="10:10">
      <c r="J1421" t="str">
        <f t="shared" si="22"/>
        <v/>
      </c>
    </row>
    <row r="1422" spans="10:10">
      <c r="J1422" t="str">
        <f t="shared" si="22"/>
        <v/>
      </c>
    </row>
    <row r="1423" spans="10:10">
      <c r="J1423" t="str">
        <f t="shared" si="22"/>
        <v/>
      </c>
    </row>
    <row r="1424" spans="10:10">
      <c r="J1424" t="str">
        <f t="shared" si="22"/>
        <v/>
      </c>
    </row>
    <row r="1425" spans="10:10">
      <c r="J1425" t="str">
        <f t="shared" si="22"/>
        <v/>
      </c>
    </row>
    <row r="1426" spans="10:10">
      <c r="J1426" t="str">
        <f t="shared" si="22"/>
        <v/>
      </c>
    </row>
    <row r="1427" spans="10:10">
      <c r="J1427" t="str">
        <f t="shared" si="22"/>
        <v/>
      </c>
    </row>
    <row r="1428" spans="10:10">
      <c r="J1428" t="str">
        <f t="shared" si="22"/>
        <v/>
      </c>
    </row>
    <row r="1429" spans="10:10">
      <c r="J1429" t="str">
        <f t="shared" si="22"/>
        <v/>
      </c>
    </row>
    <row r="1430" spans="10:10">
      <c r="J1430" t="str">
        <f t="shared" si="22"/>
        <v/>
      </c>
    </row>
    <row r="1431" spans="10:10">
      <c r="J1431" t="str">
        <f t="shared" si="22"/>
        <v/>
      </c>
    </row>
    <row r="1432" spans="10:10">
      <c r="J1432" t="str">
        <f t="shared" si="22"/>
        <v/>
      </c>
    </row>
    <row r="1433" spans="10:10">
      <c r="J1433" t="str">
        <f t="shared" si="22"/>
        <v/>
      </c>
    </row>
    <row r="1434" spans="10:10">
      <c r="J1434" t="str">
        <f t="shared" si="22"/>
        <v/>
      </c>
    </row>
    <row r="1435" spans="10:10">
      <c r="J1435" t="str">
        <f t="shared" si="22"/>
        <v/>
      </c>
    </row>
    <row r="1436" spans="10:10">
      <c r="J1436" t="str">
        <f t="shared" si="22"/>
        <v/>
      </c>
    </row>
    <row r="1437" spans="10:10">
      <c r="J1437" t="str">
        <f t="shared" si="22"/>
        <v/>
      </c>
    </row>
    <row r="1438" spans="10:10">
      <c r="J1438" t="str">
        <f t="shared" si="22"/>
        <v/>
      </c>
    </row>
    <row r="1439" spans="10:10">
      <c r="J1439" t="str">
        <f t="shared" si="22"/>
        <v/>
      </c>
    </row>
    <row r="1440" spans="10:10">
      <c r="J1440" t="str">
        <f t="shared" si="22"/>
        <v/>
      </c>
    </row>
    <row r="1441" spans="10:10">
      <c r="J1441" t="str">
        <f t="shared" si="22"/>
        <v/>
      </c>
    </row>
    <row r="1442" spans="10:10">
      <c r="J1442" t="str">
        <f t="shared" si="22"/>
        <v/>
      </c>
    </row>
    <row r="1443" spans="10:10">
      <c r="J1443" t="str">
        <f t="shared" si="22"/>
        <v/>
      </c>
    </row>
    <row r="1444" spans="10:10">
      <c r="J1444" t="str">
        <f t="shared" si="22"/>
        <v/>
      </c>
    </row>
    <row r="1445" spans="10:10">
      <c r="J1445" t="str">
        <f t="shared" si="22"/>
        <v/>
      </c>
    </row>
    <row r="1446" spans="10:10">
      <c r="J1446" t="str">
        <f t="shared" si="22"/>
        <v/>
      </c>
    </row>
    <row r="1447" spans="10:10">
      <c r="J1447" t="str">
        <f t="shared" si="22"/>
        <v/>
      </c>
    </row>
    <row r="1448" spans="10:10">
      <c r="J1448" t="str">
        <f t="shared" si="22"/>
        <v/>
      </c>
    </row>
    <row r="1449" spans="10:10">
      <c r="J1449" t="str">
        <f t="shared" si="22"/>
        <v/>
      </c>
    </row>
    <row r="1450" spans="10:10">
      <c r="J1450" t="str">
        <f t="shared" si="22"/>
        <v/>
      </c>
    </row>
    <row r="1451" spans="10:10">
      <c r="J1451" t="str">
        <f t="shared" si="22"/>
        <v/>
      </c>
    </row>
    <row r="1452" spans="10:10">
      <c r="J1452" t="str">
        <f t="shared" si="22"/>
        <v/>
      </c>
    </row>
    <row r="1453" spans="10:10">
      <c r="J1453" t="str">
        <f t="shared" si="22"/>
        <v/>
      </c>
    </row>
    <row r="1454" spans="10:10">
      <c r="J1454" t="str">
        <f t="shared" si="22"/>
        <v/>
      </c>
    </row>
    <row r="1455" spans="10:10">
      <c r="J1455" t="str">
        <f t="shared" si="22"/>
        <v/>
      </c>
    </row>
    <row r="1456" spans="10:10">
      <c r="J1456" t="str">
        <f t="shared" si="22"/>
        <v/>
      </c>
    </row>
    <row r="1457" spans="10:10">
      <c r="J1457" t="str">
        <f t="shared" si="22"/>
        <v/>
      </c>
    </row>
    <row r="1458" spans="10:10">
      <c r="J1458" t="str">
        <f t="shared" si="22"/>
        <v/>
      </c>
    </row>
    <row r="1459" spans="10:10">
      <c r="J1459" t="str">
        <f t="shared" si="22"/>
        <v/>
      </c>
    </row>
    <row r="1460" spans="10:10">
      <c r="J1460" t="str">
        <f t="shared" si="22"/>
        <v/>
      </c>
    </row>
    <row r="1461" spans="10:10">
      <c r="J1461" t="str">
        <f t="shared" si="22"/>
        <v/>
      </c>
    </row>
    <row r="1462" spans="10:10">
      <c r="J1462" t="str">
        <f t="shared" si="22"/>
        <v/>
      </c>
    </row>
    <row r="1463" spans="10:10">
      <c r="J1463" t="str">
        <f t="shared" si="22"/>
        <v/>
      </c>
    </row>
    <row r="1464" spans="10:10">
      <c r="J1464" t="str">
        <f t="shared" si="22"/>
        <v/>
      </c>
    </row>
    <row r="1465" spans="10:10">
      <c r="J1465" t="str">
        <f t="shared" si="22"/>
        <v/>
      </c>
    </row>
    <row r="1466" spans="10:10">
      <c r="J1466" t="str">
        <f t="shared" si="22"/>
        <v/>
      </c>
    </row>
    <row r="1467" spans="10:10">
      <c r="J1467" t="str">
        <f t="shared" si="22"/>
        <v/>
      </c>
    </row>
    <row r="1468" spans="10:10">
      <c r="J1468" t="str">
        <f t="shared" si="22"/>
        <v/>
      </c>
    </row>
    <row r="1469" spans="10:10">
      <c r="J1469" t="str">
        <f t="shared" si="22"/>
        <v/>
      </c>
    </row>
    <row r="1470" spans="10:10">
      <c r="J1470" t="str">
        <f t="shared" si="22"/>
        <v/>
      </c>
    </row>
    <row r="1471" spans="10:10">
      <c r="J1471" t="str">
        <f t="shared" si="22"/>
        <v/>
      </c>
    </row>
    <row r="1472" spans="10:10">
      <c r="J1472" t="str">
        <f t="shared" si="22"/>
        <v/>
      </c>
    </row>
    <row r="1473" spans="10:10">
      <c r="J1473" t="str">
        <f t="shared" si="22"/>
        <v/>
      </c>
    </row>
    <row r="1474" spans="10:10">
      <c r="J1474" t="str">
        <f t="shared" si="22"/>
        <v/>
      </c>
    </row>
    <row r="1475" spans="10:10">
      <c r="J1475" t="str">
        <f t="shared" si="22"/>
        <v/>
      </c>
    </row>
    <row r="1476" spans="10:10">
      <c r="J1476" t="str">
        <f t="shared" ref="J1476:J1539" si="23">IF(B1476="","", WEEKNUM(B1476, 2))</f>
        <v/>
      </c>
    </row>
    <row r="1477" spans="10:10">
      <c r="J1477" t="str">
        <f t="shared" si="23"/>
        <v/>
      </c>
    </row>
    <row r="1478" spans="10:10">
      <c r="J1478" t="str">
        <f t="shared" si="23"/>
        <v/>
      </c>
    </row>
    <row r="1479" spans="10:10">
      <c r="J1479" t="str">
        <f t="shared" si="23"/>
        <v/>
      </c>
    </row>
    <row r="1480" spans="10:10">
      <c r="J1480" t="str">
        <f t="shared" si="23"/>
        <v/>
      </c>
    </row>
    <row r="1481" spans="10:10">
      <c r="J1481" t="str">
        <f t="shared" si="23"/>
        <v/>
      </c>
    </row>
    <row r="1482" spans="10:10">
      <c r="J1482" t="str">
        <f t="shared" si="23"/>
        <v/>
      </c>
    </row>
    <row r="1483" spans="10:10">
      <c r="J1483" t="str">
        <f t="shared" si="23"/>
        <v/>
      </c>
    </row>
    <row r="1484" spans="10:10">
      <c r="J1484" t="str">
        <f t="shared" si="23"/>
        <v/>
      </c>
    </row>
    <row r="1485" spans="10:10">
      <c r="J1485" t="str">
        <f t="shared" si="23"/>
        <v/>
      </c>
    </row>
    <row r="1486" spans="10:10">
      <c r="J1486" t="str">
        <f t="shared" si="23"/>
        <v/>
      </c>
    </row>
    <row r="1487" spans="10:10">
      <c r="J1487" t="str">
        <f t="shared" si="23"/>
        <v/>
      </c>
    </row>
    <row r="1488" spans="10:10">
      <c r="J1488" t="str">
        <f t="shared" si="23"/>
        <v/>
      </c>
    </row>
    <row r="1489" spans="10:10">
      <c r="J1489" t="str">
        <f t="shared" si="23"/>
        <v/>
      </c>
    </row>
    <row r="1490" spans="10:10">
      <c r="J1490" t="str">
        <f t="shared" si="23"/>
        <v/>
      </c>
    </row>
    <row r="1491" spans="10:10">
      <c r="J1491" t="str">
        <f t="shared" si="23"/>
        <v/>
      </c>
    </row>
    <row r="1492" spans="10:10">
      <c r="J1492" t="str">
        <f t="shared" si="23"/>
        <v/>
      </c>
    </row>
    <row r="1493" spans="10:10">
      <c r="J1493" t="str">
        <f t="shared" si="23"/>
        <v/>
      </c>
    </row>
    <row r="1494" spans="10:10">
      <c r="J1494" t="str">
        <f t="shared" si="23"/>
        <v/>
      </c>
    </row>
    <row r="1495" spans="10:10">
      <c r="J1495" t="str">
        <f t="shared" si="23"/>
        <v/>
      </c>
    </row>
    <row r="1496" spans="10:10">
      <c r="J1496" t="str">
        <f t="shared" si="23"/>
        <v/>
      </c>
    </row>
    <row r="1497" spans="10:10">
      <c r="J1497" t="str">
        <f t="shared" si="23"/>
        <v/>
      </c>
    </row>
    <row r="1498" spans="10:10">
      <c r="J1498" t="str">
        <f t="shared" si="23"/>
        <v/>
      </c>
    </row>
    <row r="1499" spans="10:10">
      <c r="J1499" t="str">
        <f t="shared" si="23"/>
        <v/>
      </c>
    </row>
    <row r="1500" spans="10:10">
      <c r="J1500" t="str">
        <f t="shared" si="23"/>
        <v/>
      </c>
    </row>
    <row r="1501" spans="10:10">
      <c r="J1501" t="str">
        <f t="shared" si="23"/>
        <v/>
      </c>
    </row>
    <row r="1502" spans="10:10">
      <c r="J1502" t="str">
        <f t="shared" si="23"/>
        <v/>
      </c>
    </row>
    <row r="1503" spans="10:10">
      <c r="J1503" t="str">
        <f t="shared" si="23"/>
        <v/>
      </c>
    </row>
    <row r="1504" spans="10:10">
      <c r="J1504" t="str">
        <f t="shared" si="23"/>
        <v/>
      </c>
    </row>
    <row r="1505" spans="10:10">
      <c r="J1505" t="str">
        <f t="shared" si="23"/>
        <v/>
      </c>
    </row>
    <row r="1506" spans="10:10">
      <c r="J1506" t="str">
        <f t="shared" si="23"/>
        <v/>
      </c>
    </row>
    <row r="1507" spans="10:10">
      <c r="J1507" t="str">
        <f t="shared" si="23"/>
        <v/>
      </c>
    </row>
    <row r="1508" spans="10:10">
      <c r="J1508" t="str">
        <f t="shared" si="23"/>
        <v/>
      </c>
    </row>
    <row r="1509" spans="10:10">
      <c r="J1509" t="str">
        <f t="shared" si="23"/>
        <v/>
      </c>
    </row>
    <row r="1510" spans="10:10">
      <c r="J1510" t="str">
        <f t="shared" si="23"/>
        <v/>
      </c>
    </row>
    <row r="1511" spans="10:10">
      <c r="J1511" t="str">
        <f t="shared" si="23"/>
        <v/>
      </c>
    </row>
    <row r="1512" spans="10:10">
      <c r="J1512" t="str">
        <f t="shared" si="23"/>
        <v/>
      </c>
    </row>
    <row r="1513" spans="10:10">
      <c r="J1513" t="str">
        <f t="shared" si="23"/>
        <v/>
      </c>
    </row>
    <row r="1514" spans="10:10">
      <c r="J1514" t="str">
        <f t="shared" si="23"/>
        <v/>
      </c>
    </row>
    <row r="1515" spans="10:10">
      <c r="J1515" t="str">
        <f t="shared" si="23"/>
        <v/>
      </c>
    </row>
    <row r="1516" spans="10:10">
      <c r="J1516" t="str">
        <f t="shared" si="23"/>
        <v/>
      </c>
    </row>
    <row r="1517" spans="10:10">
      <c r="J1517" t="str">
        <f t="shared" si="23"/>
        <v/>
      </c>
    </row>
    <row r="1518" spans="10:10">
      <c r="J1518" t="str">
        <f t="shared" si="23"/>
        <v/>
      </c>
    </row>
    <row r="1519" spans="10:10">
      <c r="J1519" t="str">
        <f t="shared" si="23"/>
        <v/>
      </c>
    </row>
    <row r="1520" spans="10:10">
      <c r="J1520" t="str">
        <f t="shared" si="23"/>
        <v/>
      </c>
    </row>
    <row r="1521" spans="10:10">
      <c r="J1521" t="str">
        <f t="shared" si="23"/>
        <v/>
      </c>
    </row>
    <row r="1522" spans="10:10">
      <c r="J1522" t="str">
        <f t="shared" si="23"/>
        <v/>
      </c>
    </row>
    <row r="1523" spans="10:10">
      <c r="J1523" t="str">
        <f t="shared" si="23"/>
        <v/>
      </c>
    </row>
    <row r="1524" spans="10:10">
      <c r="J1524" t="str">
        <f t="shared" si="23"/>
        <v/>
      </c>
    </row>
    <row r="1525" spans="10:10">
      <c r="J1525" t="str">
        <f t="shared" si="23"/>
        <v/>
      </c>
    </row>
    <row r="1526" spans="10:10">
      <c r="J1526" t="str">
        <f t="shared" si="23"/>
        <v/>
      </c>
    </row>
    <row r="1527" spans="10:10">
      <c r="J1527" t="str">
        <f t="shared" si="23"/>
        <v/>
      </c>
    </row>
    <row r="1528" spans="10:10">
      <c r="J1528" t="str">
        <f t="shared" si="23"/>
        <v/>
      </c>
    </row>
    <row r="1529" spans="10:10">
      <c r="J1529" t="str">
        <f t="shared" si="23"/>
        <v/>
      </c>
    </row>
    <row r="1530" spans="10:10">
      <c r="J1530" t="str">
        <f t="shared" si="23"/>
        <v/>
      </c>
    </row>
    <row r="1531" spans="10:10">
      <c r="J1531" t="str">
        <f t="shared" si="23"/>
        <v/>
      </c>
    </row>
    <row r="1532" spans="10:10">
      <c r="J1532" t="str">
        <f t="shared" si="23"/>
        <v/>
      </c>
    </row>
    <row r="1533" spans="10:10">
      <c r="J1533" t="str">
        <f t="shared" si="23"/>
        <v/>
      </c>
    </row>
    <row r="1534" spans="10:10">
      <c r="J1534" t="str">
        <f t="shared" si="23"/>
        <v/>
      </c>
    </row>
    <row r="1535" spans="10:10">
      <c r="J1535" t="str">
        <f t="shared" si="23"/>
        <v/>
      </c>
    </row>
    <row r="1536" spans="10:10">
      <c r="J1536" t="str">
        <f t="shared" si="23"/>
        <v/>
      </c>
    </row>
    <row r="1537" spans="10:10">
      <c r="J1537" t="str">
        <f t="shared" si="23"/>
        <v/>
      </c>
    </row>
    <row r="1538" spans="10:10">
      <c r="J1538" t="str">
        <f t="shared" si="23"/>
        <v/>
      </c>
    </row>
    <row r="1539" spans="10:10">
      <c r="J1539" t="str">
        <f t="shared" si="23"/>
        <v/>
      </c>
    </row>
    <row r="1540" spans="10:10">
      <c r="J1540" t="str">
        <f t="shared" ref="J1540:J1603" si="24">IF(B1540="","", WEEKNUM(B1540, 2))</f>
        <v/>
      </c>
    </row>
    <row r="1541" spans="10:10">
      <c r="J1541" t="str">
        <f t="shared" si="24"/>
        <v/>
      </c>
    </row>
    <row r="1542" spans="10:10">
      <c r="J1542" t="str">
        <f t="shared" si="24"/>
        <v/>
      </c>
    </row>
    <row r="1543" spans="10:10">
      <c r="J1543" t="str">
        <f t="shared" si="24"/>
        <v/>
      </c>
    </row>
    <row r="1544" spans="10:10">
      <c r="J1544" t="str">
        <f t="shared" si="24"/>
        <v/>
      </c>
    </row>
    <row r="1545" spans="10:10">
      <c r="J1545" t="str">
        <f t="shared" si="24"/>
        <v/>
      </c>
    </row>
    <row r="1546" spans="10:10">
      <c r="J1546" t="str">
        <f t="shared" si="24"/>
        <v/>
      </c>
    </row>
    <row r="1547" spans="10:10">
      <c r="J1547" t="str">
        <f t="shared" si="24"/>
        <v/>
      </c>
    </row>
    <row r="1548" spans="10:10">
      <c r="J1548" t="str">
        <f t="shared" si="24"/>
        <v/>
      </c>
    </row>
    <row r="1549" spans="10:10">
      <c r="J1549" t="str">
        <f t="shared" si="24"/>
        <v/>
      </c>
    </row>
    <row r="1550" spans="10:10">
      <c r="J1550" t="str">
        <f t="shared" si="24"/>
        <v/>
      </c>
    </row>
    <row r="1551" spans="10:10">
      <c r="J1551" t="str">
        <f t="shared" si="24"/>
        <v/>
      </c>
    </row>
    <row r="1552" spans="10:10">
      <c r="J1552" t="str">
        <f t="shared" si="24"/>
        <v/>
      </c>
    </row>
    <row r="1553" spans="10:10">
      <c r="J1553" t="str">
        <f t="shared" si="24"/>
        <v/>
      </c>
    </row>
    <row r="1554" spans="10:10">
      <c r="J1554" t="str">
        <f t="shared" si="24"/>
        <v/>
      </c>
    </row>
    <row r="1555" spans="10:10">
      <c r="J1555" t="str">
        <f t="shared" si="24"/>
        <v/>
      </c>
    </row>
    <row r="1556" spans="10:10">
      <c r="J1556" t="str">
        <f t="shared" si="24"/>
        <v/>
      </c>
    </row>
    <row r="1557" spans="10:10">
      <c r="J1557" t="str">
        <f t="shared" si="24"/>
        <v/>
      </c>
    </row>
    <row r="1558" spans="10:10">
      <c r="J1558" t="str">
        <f t="shared" si="24"/>
        <v/>
      </c>
    </row>
    <row r="1559" spans="10:10">
      <c r="J1559" t="str">
        <f t="shared" si="24"/>
        <v/>
      </c>
    </row>
    <row r="1560" spans="10:10">
      <c r="J1560" t="str">
        <f t="shared" si="24"/>
        <v/>
      </c>
    </row>
    <row r="1561" spans="10:10">
      <c r="J1561" t="str">
        <f t="shared" si="24"/>
        <v/>
      </c>
    </row>
    <row r="1562" spans="10:10">
      <c r="J1562" t="str">
        <f t="shared" si="24"/>
        <v/>
      </c>
    </row>
    <row r="1563" spans="10:10">
      <c r="J1563" t="str">
        <f t="shared" si="24"/>
        <v/>
      </c>
    </row>
    <row r="1564" spans="10:10">
      <c r="J1564" t="str">
        <f t="shared" si="24"/>
        <v/>
      </c>
    </row>
    <row r="1565" spans="10:10">
      <c r="J1565" t="str">
        <f t="shared" si="24"/>
        <v/>
      </c>
    </row>
    <row r="1566" spans="10:10">
      <c r="J1566" t="str">
        <f t="shared" si="24"/>
        <v/>
      </c>
    </row>
    <row r="1567" spans="10:10">
      <c r="J1567" t="str">
        <f t="shared" si="24"/>
        <v/>
      </c>
    </row>
    <row r="1568" spans="10:10">
      <c r="J1568" t="str">
        <f t="shared" si="24"/>
        <v/>
      </c>
    </row>
    <row r="1569" spans="10:10">
      <c r="J1569" t="str">
        <f t="shared" si="24"/>
        <v/>
      </c>
    </row>
    <row r="1570" spans="10:10">
      <c r="J1570" t="str">
        <f t="shared" si="24"/>
        <v/>
      </c>
    </row>
    <row r="1571" spans="10:10">
      <c r="J1571" t="str">
        <f t="shared" si="24"/>
        <v/>
      </c>
    </row>
    <row r="1572" spans="10:10">
      <c r="J1572" t="str">
        <f t="shared" si="24"/>
        <v/>
      </c>
    </row>
    <row r="1573" spans="10:10">
      <c r="J1573" t="str">
        <f t="shared" si="24"/>
        <v/>
      </c>
    </row>
    <row r="1574" spans="10:10">
      <c r="J1574" t="str">
        <f t="shared" si="24"/>
        <v/>
      </c>
    </row>
    <row r="1575" spans="10:10">
      <c r="J1575" t="str">
        <f t="shared" si="24"/>
        <v/>
      </c>
    </row>
    <row r="1576" spans="10:10">
      <c r="J1576" t="str">
        <f t="shared" si="24"/>
        <v/>
      </c>
    </row>
    <row r="1577" spans="10:10">
      <c r="J1577" t="str">
        <f t="shared" si="24"/>
        <v/>
      </c>
    </row>
    <row r="1578" spans="10:10">
      <c r="J1578" t="str">
        <f t="shared" si="24"/>
        <v/>
      </c>
    </row>
    <row r="1579" spans="10:10">
      <c r="J1579" t="str">
        <f t="shared" si="24"/>
        <v/>
      </c>
    </row>
    <row r="1580" spans="10:10">
      <c r="J1580" t="str">
        <f t="shared" si="24"/>
        <v/>
      </c>
    </row>
    <row r="1581" spans="10:10">
      <c r="J1581" t="str">
        <f t="shared" si="24"/>
        <v/>
      </c>
    </row>
    <row r="1582" spans="10:10">
      <c r="J1582" t="str">
        <f t="shared" si="24"/>
        <v/>
      </c>
    </row>
    <row r="1583" spans="10:10">
      <c r="J1583" t="str">
        <f t="shared" si="24"/>
        <v/>
      </c>
    </row>
    <row r="1584" spans="10:10">
      <c r="J1584" t="str">
        <f t="shared" si="24"/>
        <v/>
      </c>
    </row>
    <row r="1585" spans="10:10">
      <c r="J1585" t="str">
        <f t="shared" si="24"/>
        <v/>
      </c>
    </row>
    <row r="1586" spans="10:10">
      <c r="J1586" t="str">
        <f t="shared" si="24"/>
        <v/>
      </c>
    </row>
    <row r="1587" spans="10:10">
      <c r="J1587" t="str">
        <f t="shared" si="24"/>
        <v/>
      </c>
    </row>
    <row r="1588" spans="10:10">
      <c r="J1588" t="str">
        <f t="shared" si="24"/>
        <v/>
      </c>
    </row>
    <row r="1589" spans="10:10">
      <c r="J1589" t="str">
        <f t="shared" si="24"/>
        <v/>
      </c>
    </row>
    <row r="1590" spans="10:10">
      <c r="J1590" t="str">
        <f t="shared" si="24"/>
        <v/>
      </c>
    </row>
    <row r="1591" spans="10:10">
      <c r="J1591" t="str">
        <f t="shared" si="24"/>
        <v/>
      </c>
    </row>
    <row r="1592" spans="10:10">
      <c r="J1592" t="str">
        <f t="shared" si="24"/>
        <v/>
      </c>
    </row>
    <row r="1593" spans="10:10">
      <c r="J1593" t="str">
        <f t="shared" si="24"/>
        <v/>
      </c>
    </row>
    <row r="1594" spans="10:10">
      <c r="J1594" t="str">
        <f t="shared" si="24"/>
        <v/>
      </c>
    </row>
    <row r="1595" spans="10:10">
      <c r="J1595" t="str">
        <f t="shared" si="24"/>
        <v/>
      </c>
    </row>
    <row r="1596" spans="10:10">
      <c r="J1596" t="str">
        <f t="shared" si="24"/>
        <v/>
      </c>
    </row>
    <row r="1597" spans="10:10">
      <c r="J1597" t="str">
        <f t="shared" si="24"/>
        <v/>
      </c>
    </row>
    <row r="1598" spans="10:10">
      <c r="J1598" t="str">
        <f t="shared" si="24"/>
        <v/>
      </c>
    </row>
    <row r="1599" spans="10:10">
      <c r="J1599" t="str">
        <f t="shared" si="24"/>
        <v/>
      </c>
    </row>
    <row r="1600" spans="10:10">
      <c r="J1600" t="str">
        <f t="shared" si="24"/>
        <v/>
      </c>
    </row>
    <row r="1601" spans="10:10">
      <c r="J1601" t="str">
        <f t="shared" si="24"/>
        <v/>
      </c>
    </row>
    <row r="1602" spans="10:10">
      <c r="J1602" t="str">
        <f t="shared" si="24"/>
        <v/>
      </c>
    </row>
    <row r="1603" spans="10:10">
      <c r="J1603" t="str">
        <f t="shared" si="24"/>
        <v/>
      </c>
    </row>
    <row r="1604" spans="10:10">
      <c r="J1604" t="str">
        <f t="shared" ref="J1604:J1667" si="25">IF(B1604="","", WEEKNUM(B1604, 2))</f>
        <v/>
      </c>
    </row>
    <row r="1605" spans="10:10">
      <c r="J1605" t="str">
        <f t="shared" si="25"/>
        <v/>
      </c>
    </row>
    <row r="1606" spans="10:10">
      <c r="J1606" t="str">
        <f t="shared" si="25"/>
        <v/>
      </c>
    </row>
    <row r="1607" spans="10:10">
      <c r="J1607" t="str">
        <f t="shared" si="25"/>
        <v/>
      </c>
    </row>
    <row r="1608" spans="10:10">
      <c r="J1608" t="str">
        <f t="shared" si="25"/>
        <v/>
      </c>
    </row>
    <row r="1609" spans="10:10">
      <c r="J1609" t="str">
        <f t="shared" si="25"/>
        <v/>
      </c>
    </row>
    <row r="1610" spans="10:10">
      <c r="J1610" t="str">
        <f t="shared" si="25"/>
        <v/>
      </c>
    </row>
    <row r="1611" spans="10:10">
      <c r="J1611" t="str">
        <f t="shared" si="25"/>
        <v/>
      </c>
    </row>
    <row r="1612" spans="10:10">
      <c r="J1612" t="str">
        <f t="shared" si="25"/>
        <v/>
      </c>
    </row>
    <row r="1613" spans="10:10">
      <c r="J1613" t="str">
        <f t="shared" si="25"/>
        <v/>
      </c>
    </row>
    <row r="1614" spans="10:10">
      <c r="J1614" t="str">
        <f t="shared" si="25"/>
        <v/>
      </c>
    </row>
    <row r="1615" spans="10:10">
      <c r="J1615" t="str">
        <f t="shared" si="25"/>
        <v/>
      </c>
    </row>
    <row r="1616" spans="10:10">
      <c r="J1616" t="str">
        <f t="shared" si="25"/>
        <v/>
      </c>
    </row>
    <row r="1617" spans="10:10">
      <c r="J1617" t="str">
        <f t="shared" si="25"/>
        <v/>
      </c>
    </row>
    <row r="1618" spans="10:10">
      <c r="J1618" t="str">
        <f t="shared" si="25"/>
        <v/>
      </c>
    </row>
    <row r="1619" spans="10:10">
      <c r="J1619" t="str">
        <f t="shared" si="25"/>
        <v/>
      </c>
    </row>
    <row r="1620" spans="10:10">
      <c r="J1620" t="str">
        <f t="shared" si="25"/>
        <v/>
      </c>
    </row>
    <row r="1621" spans="10:10">
      <c r="J1621" t="str">
        <f t="shared" si="25"/>
        <v/>
      </c>
    </row>
    <row r="1622" spans="10:10">
      <c r="J1622" t="str">
        <f t="shared" si="25"/>
        <v/>
      </c>
    </row>
    <row r="1623" spans="10:10">
      <c r="J1623" t="str">
        <f t="shared" si="25"/>
        <v/>
      </c>
    </row>
    <row r="1624" spans="10:10">
      <c r="J1624" t="str">
        <f t="shared" si="25"/>
        <v/>
      </c>
    </row>
    <row r="1625" spans="10:10">
      <c r="J1625" t="str">
        <f t="shared" si="25"/>
        <v/>
      </c>
    </row>
    <row r="1626" spans="10:10">
      <c r="J1626" t="str">
        <f t="shared" si="25"/>
        <v/>
      </c>
    </row>
    <row r="1627" spans="10:10">
      <c r="J1627" t="str">
        <f t="shared" si="25"/>
        <v/>
      </c>
    </row>
    <row r="1628" spans="10:10">
      <c r="J1628" t="str">
        <f t="shared" si="25"/>
        <v/>
      </c>
    </row>
    <row r="1629" spans="10:10">
      <c r="J1629" t="str">
        <f t="shared" si="25"/>
        <v/>
      </c>
    </row>
    <row r="1630" spans="10:10">
      <c r="J1630" t="str">
        <f t="shared" si="25"/>
        <v/>
      </c>
    </row>
    <row r="1631" spans="10:10">
      <c r="J1631" t="str">
        <f t="shared" si="25"/>
        <v/>
      </c>
    </row>
    <row r="1632" spans="10:10">
      <c r="J1632" t="str">
        <f t="shared" si="25"/>
        <v/>
      </c>
    </row>
    <row r="1633" spans="10:10">
      <c r="J1633" t="str">
        <f t="shared" si="25"/>
        <v/>
      </c>
    </row>
    <row r="1634" spans="10:10">
      <c r="J1634" t="str">
        <f t="shared" si="25"/>
        <v/>
      </c>
    </row>
    <row r="1635" spans="10:10">
      <c r="J1635" t="str">
        <f t="shared" si="25"/>
        <v/>
      </c>
    </row>
    <row r="1636" spans="10:10">
      <c r="J1636" t="str">
        <f t="shared" si="25"/>
        <v/>
      </c>
    </row>
    <row r="1637" spans="10:10">
      <c r="J1637" t="str">
        <f t="shared" si="25"/>
        <v/>
      </c>
    </row>
    <row r="1638" spans="10:10">
      <c r="J1638" t="str">
        <f t="shared" si="25"/>
        <v/>
      </c>
    </row>
    <row r="1639" spans="10:10">
      <c r="J1639" t="str">
        <f t="shared" si="25"/>
        <v/>
      </c>
    </row>
    <row r="1640" spans="10:10">
      <c r="J1640" t="str">
        <f t="shared" si="25"/>
        <v/>
      </c>
    </row>
    <row r="1641" spans="10:10">
      <c r="J1641" t="str">
        <f t="shared" si="25"/>
        <v/>
      </c>
    </row>
    <row r="1642" spans="10:10">
      <c r="J1642" t="str">
        <f t="shared" si="25"/>
        <v/>
      </c>
    </row>
    <row r="1643" spans="10:10">
      <c r="J1643" t="str">
        <f t="shared" si="25"/>
        <v/>
      </c>
    </row>
    <row r="1644" spans="10:10">
      <c r="J1644" t="str">
        <f t="shared" si="25"/>
        <v/>
      </c>
    </row>
    <row r="1645" spans="10:10">
      <c r="J1645" t="str">
        <f t="shared" si="25"/>
        <v/>
      </c>
    </row>
    <row r="1646" spans="10:10">
      <c r="J1646" t="str">
        <f t="shared" si="25"/>
        <v/>
      </c>
    </row>
    <row r="1647" spans="10:10">
      <c r="J1647" t="str">
        <f t="shared" si="25"/>
        <v/>
      </c>
    </row>
    <row r="1648" spans="10:10">
      <c r="J1648" t="str">
        <f t="shared" si="25"/>
        <v/>
      </c>
    </row>
    <row r="1649" spans="10:10">
      <c r="J1649" t="str">
        <f t="shared" si="25"/>
        <v/>
      </c>
    </row>
    <row r="1650" spans="10:10">
      <c r="J1650" t="str">
        <f t="shared" si="25"/>
        <v/>
      </c>
    </row>
    <row r="1651" spans="10:10">
      <c r="J1651" t="str">
        <f t="shared" si="25"/>
        <v/>
      </c>
    </row>
    <row r="1652" spans="10:10">
      <c r="J1652" t="str">
        <f t="shared" si="25"/>
        <v/>
      </c>
    </row>
    <row r="1653" spans="10:10">
      <c r="J1653" t="str">
        <f t="shared" si="25"/>
        <v/>
      </c>
    </row>
    <row r="1654" spans="10:10">
      <c r="J1654" t="str">
        <f t="shared" si="25"/>
        <v/>
      </c>
    </row>
    <row r="1655" spans="10:10">
      <c r="J1655" t="str">
        <f t="shared" si="25"/>
        <v/>
      </c>
    </row>
    <row r="1656" spans="10:10">
      <c r="J1656" t="str">
        <f t="shared" si="25"/>
        <v/>
      </c>
    </row>
    <row r="1657" spans="10:10">
      <c r="J1657" t="str">
        <f t="shared" si="25"/>
        <v/>
      </c>
    </row>
    <row r="1658" spans="10:10">
      <c r="J1658" t="str">
        <f t="shared" si="25"/>
        <v/>
      </c>
    </row>
    <row r="1659" spans="10:10">
      <c r="J1659" t="str">
        <f t="shared" si="25"/>
        <v/>
      </c>
    </row>
    <row r="1660" spans="10:10">
      <c r="J1660" t="str">
        <f t="shared" si="25"/>
        <v/>
      </c>
    </row>
    <row r="1661" spans="10:10">
      <c r="J1661" t="str">
        <f t="shared" si="25"/>
        <v/>
      </c>
    </row>
    <row r="1662" spans="10:10">
      <c r="J1662" t="str">
        <f t="shared" si="25"/>
        <v/>
      </c>
    </row>
    <row r="1663" spans="10:10">
      <c r="J1663" t="str">
        <f t="shared" si="25"/>
        <v/>
      </c>
    </row>
    <row r="1664" spans="10:10">
      <c r="J1664" t="str">
        <f t="shared" si="25"/>
        <v/>
      </c>
    </row>
    <row r="1665" spans="10:10">
      <c r="J1665" t="str">
        <f t="shared" si="25"/>
        <v/>
      </c>
    </row>
    <row r="1666" spans="10:10">
      <c r="J1666" t="str">
        <f t="shared" si="25"/>
        <v/>
      </c>
    </row>
    <row r="1667" spans="10:10">
      <c r="J1667" t="str">
        <f t="shared" si="25"/>
        <v/>
      </c>
    </row>
    <row r="1668" spans="10:10">
      <c r="J1668" t="str">
        <f t="shared" ref="J1668:J1731" si="26">IF(B1668="","", WEEKNUM(B1668, 2))</f>
        <v/>
      </c>
    </row>
    <row r="1669" spans="10:10">
      <c r="J1669" t="str">
        <f t="shared" si="26"/>
        <v/>
      </c>
    </row>
    <row r="1670" spans="10:10">
      <c r="J1670" t="str">
        <f t="shared" si="26"/>
        <v/>
      </c>
    </row>
    <row r="1671" spans="10:10">
      <c r="J1671" t="str">
        <f t="shared" si="26"/>
        <v/>
      </c>
    </row>
    <row r="1672" spans="10:10">
      <c r="J1672" t="str">
        <f t="shared" si="26"/>
        <v/>
      </c>
    </row>
    <row r="1673" spans="10:10">
      <c r="J1673" t="str">
        <f t="shared" si="26"/>
        <v/>
      </c>
    </row>
    <row r="1674" spans="10:10">
      <c r="J1674" t="str">
        <f t="shared" si="26"/>
        <v/>
      </c>
    </row>
    <row r="1675" spans="10:10">
      <c r="J1675" t="str">
        <f t="shared" si="26"/>
        <v/>
      </c>
    </row>
    <row r="1676" spans="10:10">
      <c r="J1676" t="str">
        <f t="shared" si="26"/>
        <v/>
      </c>
    </row>
    <row r="1677" spans="10:10">
      <c r="J1677" t="str">
        <f t="shared" si="26"/>
        <v/>
      </c>
    </row>
    <row r="1678" spans="10:10">
      <c r="J1678" t="str">
        <f t="shared" si="26"/>
        <v/>
      </c>
    </row>
    <row r="1679" spans="10:10">
      <c r="J1679" t="str">
        <f t="shared" si="26"/>
        <v/>
      </c>
    </row>
    <row r="1680" spans="10:10">
      <c r="J1680" t="str">
        <f t="shared" si="26"/>
        <v/>
      </c>
    </row>
    <row r="1681" spans="10:10">
      <c r="J1681" t="str">
        <f t="shared" si="26"/>
        <v/>
      </c>
    </row>
    <row r="1682" spans="10:10">
      <c r="J1682" t="str">
        <f t="shared" si="26"/>
        <v/>
      </c>
    </row>
    <row r="1683" spans="10:10">
      <c r="J1683" t="str">
        <f t="shared" si="26"/>
        <v/>
      </c>
    </row>
    <row r="1684" spans="10:10">
      <c r="J1684" t="str">
        <f t="shared" si="26"/>
        <v/>
      </c>
    </row>
    <row r="1685" spans="10:10">
      <c r="J1685" t="str">
        <f t="shared" si="26"/>
        <v/>
      </c>
    </row>
    <row r="1686" spans="10:10">
      <c r="J1686" t="str">
        <f t="shared" si="26"/>
        <v/>
      </c>
    </row>
    <row r="1687" spans="10:10">
      <c r="J1687" t="str">
        <f t="shared" si="26"/>
        <v/>
      </c>
    </row>
    <row r="1688" spans="10:10">
      <c r="J1688" t="str">
        <f t="shared" si="26"/>
        <v/>
      </c>
    </row>
    <row r="1689" spans="10:10">
      <c r="J1689" t="str">
        <f t="shared" si="26"/>
        <v/>
      </c>
    </row>
    <row r="1690" spans="10:10">
      <c r="J1690" t="str">
        <f t="shared" si="26"/>
        <v/>
      </c>
    </row>
    <row r="1691" spans="10:10">
      <c r="J1691" t="str">
        <f t="shared" si="26"/>
        <v/>
      </c>
    </row>
    <row r="1692" spans="10:10">
      <c r="J1692" t="str">
        <f t="shared" si="26"/>
        <v/>
      </c>
    </row>
    <row r="1693" spans="10:10">
      <c r="J1693" t="str">
        <f t="shared" si="26"/>
        <v/>
      </c>
    </row>
    <row r="1694" spans="10:10">
      <c r="J1694" t="str">
        <f t="shared" si="26"/>
        <v/>
      </c>
    </row>
    <row r="1695" spans="10:10">
      <c r="J1695" t="str">
        <f t="shared" si="26"/>
        <v/>
      </c>
    </row>
    <row r="1696" spans="10:10">
      <c r="J1696" t="str">
        <f t="shared" si="26"/>
        <v/>
      </c>
    </row>
    <row r="1697" spans="10:10">
      <c r="J1697" t="str">
        <f t="shared" si="26"/>
        <v/>
      </c>
    </row>
    <row r="1698" spans="10:10">
      <c r="J1698" t="str">
        <f t="shared" si="26"/>
        <v/>
      </c>
    </row>
    <row r="1699" spans="10:10">
      <c r="J1699" t="str">
        <f t="shared" si="26"/>
        <v/>
      </c>
    </row>
    <row r="1700" spans="10:10">
      <c r="J1700" t="str">
        <f t="shared" si="26"/>
        <v/>
      </c>
    </row>
    <row r="1701" spans="10:10">
      <c r="J1701" t="str">
        <f t="shared" si="26"/>
        <v/>
      </c>
    </row>
    <row r="1702" spans="10:10">
      <c r="J1702" t="str">
        <f t="shared" si="26"/>
        <v/>
      </c>
    </row>
    <row r="1703" spans="10:10">
      <c r="J1703" t="str">
        <f t="shared" si="26"/>
        <v/>
      </c>
    </row>
    <row r="1704" spans="10:10">
      <c r="J1704" t="str">
        <f t="shared" si="26"/>
        <v/>
      </c>
    </row>
    <row r="1705" spans="10:10">
      <c r="J1705" t="str">
        <f t="shared" si="26"/>
        <v/>
      </c>
    </row>
    <row r="1706" spans="10:10">
      <c r="J1706" t="str">
        <f t="shared" si="26"/>
        <v/>
      </c>
    </row>
    <row r="1707" spans="10:10">
      <c r="J1707" t="str">
        <f t="shared" si="26"/>
        <v/>
      </c>
    </row>
    <row r="1708" spans="10:10">
      <c r="J1708" t="str">
        <f t="shared" si="26"/>
        <v/>
      </c>
    </row>
    <row r="1709" spans="10:10">
      <c r="J1709" t="str">
        <f t="shared" si="26"/>
        <v/>
      </c>
    </row>
    <row r="1710" spans="10:10">
      <c r="J1710" t="str">
        <f t="shared" si="26"/>
        <v/>
      </c>
    </row>
    <row r="1711" spans="10:10">
      <c r="J1711" t="str">
        <f t="shared" si="26"/>
        <v/>
      </c>
    </row>
    <row r="1712" spans="10:10">
      <c r="J1712" t="str">
        <f t="shared" si="26"/>
        <v/>
      </c>
    </row>
    <row r="1713" spans="10:10">
      <c r="J1713" t="str">
        <f t="shared" si="26"/>
        <v/>
      </c>
    </row>
    <row r="1714" spans="10:10">
      <c r="J1714" t="str">
        <f t="shared" si="26"/>
        <v/>
      </c>
    </row>
    <row r="1715" spans="10:10">
      <c r="J1715" t="str">
        <f t="shared" si="26"/>
        <v/>
      </c>
    </row>
    <row r="1716" spans="10:10">
      <c r="J1716" t="str">
        <f t="shared" si="26"/>
        <v/>
      </c>
    </row>
    <row r="1717" spans="10:10">
      <c r="J1717" t="str">
        <f t="shared" si="26"/>
        <v/>
      </c>
    </row>
    <row r="1718" spans="10:10">
      <c r="J1718" t="str">
        <f t="shared" si="26"/>
        <v/>
      </c>
    </row>
    <row r="1719" spans="10:10">
      <c r="J1719" t="str">
        <f t="shared" si="26"/>
        <v/>
      </c>
    </row>
    <row r="1720" spans="10:10">
      <c r="J1720" t="str">
        <f t="shared" si="26"/>
        <v/>
      </c>
    </row>
    <row r="1721" spans="10:10">
      <c r="J1721" t="str">
        <f t="shared" si="26"/>
        <v/>
      </c>
    </row>
    <row r="1722" spans="10:10">
      <c r="J1722" t="str">
        <f t="shared" si="26"/>
        <v/>
      </c>
    </row>
    <row r="1723" spans="10:10">
      <c r="J1723" t="str">
        <f t="shared" si="26"/>
        <v/>
      </c>
    </row>
    <row r="1724" spans="10:10">
      <c r="J1724" t="str">
        <f t="shared" si="26"/>
        <v/>
      </c>
    </row>
    <row r="1725" spans="10:10">
      <c r="J1725" t="str">
        <f t="shared" si="26"/>
        <v/>
      </c>
    </row>
    <row r="1726" spans="10:10">
      <c r="J1726" t="str">
        <f t="shared" si="26"/>
        <v/>
      </c>
    </row>
    <row r="1727" spans="10:10">
      <c r="J1727" t="str">
        <f t="shared" si="26"/>
        <v/>
      </c>
    </row>
    <row r="1728" spans="10:10">
      <c r="J1728" t="str">
        <f t="shared" si="26"/>
        <v/>
      </c>
    </row>
    <row r="1729" spans="10:10">
      <c r="J1729" t="str">
        <f t="shared" si="26"/>
        <v/>
      </c>
    </row>
    <row r="1730" spans="10:10">
      <c r="J1730" t="str">
        <f t="shared" si="26"/>
        <v/>
      </c>
    </row>
    <row r="1731" spans="10:10">
      <c r="J1731" t="str">
        <f t="shared" si="26"/>
        <v/>
      </c>
    </row>
    <row r="1732" spans="10:10">
      <c r="J1732" t="str">
        <f t="shared" ref="J1732:J1795" si="27">IF(B1732="","", WEEKNUM(B1732, 2))</f>
        <v/>
      </c>
    </row>
    <row r="1733" spans="10:10">
      <c r="J1733" t="str">
        <f t="shared" si="27"/>
        <v/>
      </c>
    </row>
    <row r="1734" spans="10:10">
      <c r="J1734" t="str">
        <f t="shared" si="27"/>
        <v/>
      </c>
    </row>
    <row r="1735" spans="10:10">
      <c r="J1735" t="str">
        <f t="shared" si="27"/>
        <v/>
      </c>
    </row>
    <row r="1736" spans="10:10">
      <c r="J1736" t="str">
        <f t="shared" si="27"/>
        <v/>
      </c>
    </row>
    <row r="1737" spans="10:10">
      <c r="J1737" t="str">
        <f t="shared" si="27"/>
        <v/>
      </c>
    </row>
    <row r="1738" spans="10:10">
      <c r="J1738" t="str">
        <f t="shared" si="27"/>
        <v/>
      </c>
    </row>
    <row r="1739" spans="10:10">
      <c r="J1739" t="str">
        <f t="shared" si="27"/>
        <v/>
      </c>
    </row>
    <row r="1740" spans="10:10">
      <c r="J1740" t="str">
        <f t="shared" si="27"/>
        <v/>
      </c>
    </row>
    <row r="1741" spans="10:10">
      <c r="J1741" t="str">
        <f t="shared" si="27"/>
        <v/>
      </c>
    </row>
    <row r="1742" spans="10:10">
      <c r="J1742" t="str">
        <f t="shared" si="27"/>
        <v/>
      </c>
    </row>
    <row r="1743" spans="10:10">
      <c r="J1743" t="str">
        <f t="shared" si="27"/>
        <v/>
      </c>
    </row>
    <row r="1744" spans="10:10">
      <c r="J1744" t="str">
        <f t="shared" si="27"/>
        <v/>
      </c>
    </row>
    <row r="1745" spans="10:10">
      <c r="J1745" t="str">
        <f t="shared" si="27"/>
        <v/>
      </c>
    </row>
    <row r="1746" spans="10:10">
      <c r="J1746" t="str">
        <f t="shared" si="27"/>
        <v/>
      </c>
    </row>
    <row r="1747" spans="10:10">
      <c r="J1747" t="str">
        <f t="shared" si="27"/>
        <v/>
      </c>
    </row>
    <row r="1748" spans="10:10">
      <c r="J1748" t="str">
        <f t="shared" si="27"/>
        <v/>
      </c>
    </row>
    <row r="1749" spans="10:10">
      <c r="J1749" t="str">
        <f t="shared" si="27"/>
        <v/>
      </c>
    </row>
    <row r="1750" spans="10:10">
      <c r="J1750" t="str">
        <f t="shared" si="27"/>
        <v/>
      </c>
    </row>
    <row r="1751" spans="10:10">
      <c r="J1751" t="str">
        <f t="shared" si="27"/>
        <v/>
      </c>
    </row>
    <row r="1752" spans="10:10">
      <c r="J1752" t="str">
        <f t="shared" si="27"/>
        <v/>
      </c>
    </row>
    <row r="1753" spans="10:10">
      <c r="J1753" t="str">
        <f t="shared" si="27"/>
        <v/>
      </c>
    </row>
    <row r="1754" spans="10:10">
      <c r="J1754" t="str">
        <f t="shared" si="27"/>
        <v/>
      </c>
    </row>
    <row r="1755" spans="10:10">
      <c r="J1755" t="str">
        <f t="shared" si="27"/>
        <v/>
      </c>
    </row>
    <row r="1756" spans="10:10">
      <c r="J1756" t="str">
        <f t="shared" si="27"/>
        <v/>
      </c>
    </row>
    <row r="1757" spans="10:10">
      <c r="J1757" t="str">
        <f t="shared" si="27"/>
        <v/>
      </c>
    </row>
    <row r="1758" spans="10:10">
      <c r="J1758" t="str">
        <f t="shared" si="27"/>
        <v/>
      </c>
    </row>
    <row r="1759" spans="10:10">
      <c r="J1759" t="str">
        <f t="shared" si="27"/>
        <v/>
      </c>
    </row>
    <row r="1760" spans="10:10">
      <c r="J1760" t="str">
        <f t="shared" si="27"/>
        <v/>
      </c>
    </row>
    <row r="1761" spans="10:10">
      <c r="J1761" t="str">
        <f t="shared" si="27"/>
        <v/>
      </c>
    </row>
    <row r="1762" spans="10:10">
      <c r="J1762" t="str">
        <f t="shared" si="27"/>
        <v/>
      </c>
    </row>
    <row r="1763" spans="10:10">
      <c r="J1763" t="str">
        <f t="shared" si="27"/>
        <v/>
      </c>
    </row>
    <row r="1764" spans="10:10">
      <c r="J1764" t="str">
        <f t="shared" si="27"/>
        <v/>
      </c>
    </row>
    <row r="1765" spans="10:10">
      <c r="J1765" t="str">
        <f t="shared" si="27"/>
        <v/>
      </c>
    </row>
    <row r="1766" spans="10:10">
      <c r="J1766" t="str">
        <f t="shared" si="27"/>
        <v/>
      </c>
    </row>
    <row r="1767" spans="10:10">
      <c r="J1767" t="str">
        <f t="shared" si="27"/>
        <v/>
      </c>
    </row>
    <row r="1768" spans="10:10">
      <c r="J1768" t="str">
        <f t="shared" si="27"/>
        <v/>
      </c>
    </row>
    <row r="1769" spans="10:10">
      <c r="J1769" t="str">
        <f t="shared" si="27"/>
        <v/>
      </c>
    </row>
    <row r="1770" spans="10:10">
      <c r="J1770" t="str">
        <f t="shared" si="27"/>
        <v/>
      </c>
    </row>
    <row r="1771" spans="10:10">
      <c r="J1771" t="str">
        <f t="shared" si="27"/>
        <v/>
      </c>
    </row>
    <row r="1772" spans="10:10">
      <c r="J1772" t="str">
        <f t="shared" si="27"/>
        <v/>
      </c>
    </row>
    <row r="1773" spans="10:10">
      <c r="J1773" t="str">
        <f t="shared" si="27"/>
        <v/>
      </c>
    </row>
    <row r="1774" spans="10:10">
      <c r="J1774" t="str">
        <f t="shared" si="27"/>
        <v/>
      </c>
    </row>
    <row r="1775" spans="10:10">
      <c r="J1775" t="str">
        <f t="shared" si="27"/>
        <v/>
      </c>
    </row>
    <row r="1776" spans="10:10">
      <c r="J1776" t="str">
        <f t="shared" si="27"/>
        <v/>
      </c>
    </row>
    <row r="1777" spans="10:10">
      <c r="J1777" t="str">
        <f t="shared" si="27"/>
        <v/>
      </c>
    </row>
    <row r="1778" spans="10:10">
      <c r="J1778" t="str">
        <f t="shared" si="27"/>
        <v/>
      </c>
    </row>
    <row r="1779" spans="10:10">
      <c r="J1779" t="str">
        <f t="shared" si="27"/>
        <v/>
      </c>
    </row>
    <row r="1780" spans="10:10">
      <c r="J1780" t="str">
        <f t="shared" si="27"/>
        <v/>
      </c>
    </row>
    <row r="1781" spans="10:10">
      <c r="J1781" t="str">
        <f t="shared" si="27"/>
        <v/>
      </c>
    </row>
    <row r="1782" spans="10:10">
      <c r="J1782" t="str">
        <f t="shared" si="27"/>
        <v/>
      </c>
    </row>
    <row r="1783" spans="10:10">
      <c r="J1783" t="str">
        <f t="shared" si="27"/>
        <v/>
      </c>
    </row>
    <row r="1784" spans="10:10">
      <c r="J1784" t="str">
        <f t="shared" si="27"/>
        <v/>
      </c>
    </row>
    <row r="1785" spans="10:10">
      <c r="J1785" t="str">
        <f t="shared" si="27"/>
        <v/>
      </c>
    </row>
    <row r="1786" spans="10:10">
      <c r="J1786" t="str">
        <f t="shared" si="27"/>
        <v/>
      </c>
    </row>
    <row r="1787" spans="10:10">
      <c r="J1787" t="str">
        <f t="shared" si="27"/>
        <v/>
      </c>
    </row>
    <row r="1788" spans="10:10">
      <c r="J1788" t="str">
        <f t="shared" si="27"/>
        <v/>
      </c>
    </row>
    <row r="1789" spans="10:10">
      <c r="J1789" t="str">
        <f t="shared" si="27"/>
        <v/>
      </c>
    </row>
    <row r="1790" spans="10:10">
      <c r="J1790" t="str">
        <f t="shared" si="27"/>
        <v/>
      </c>
    </row>
    <row r="1791" spans="10:10">
      <c r="J1791" t="str">
        <f t="shared" si="27"/>
        <v/>
      </c>
    </row>
    <row r="1792" spans="10:10">
      <c r="J1792" t="str">
        <f t="shared" si="27"/>
        <v/>
      </c>
    </row>
    <row r="1793" spans="10:10">
      <c r="J1793" t="str">
        <f t="shared" si="27"/>
        <v/>
      </c>
    </row>
    <row r="1794" spans="10:10">
      <c r="J1794" t="str">
        <f t="shared" si="27"/>
        <v/>
      </c>
    </row>
    <row r="1795" spans="10:10">
      <c r="J1795" t="str">
        <f t="shared" si="27"/>
        <v/>
      </c>
    </row>
    <row r="1796" spans="10:10">
      <c r="J1796" t="str">
        <f t="shared" ref="J1796:J1859" si="28">IF(B1796="","", WEEKNUM(B1796, 2))</f>
        <v/>
      </c>
    </row>
    <row r="1797" spans="10:10">
      <c r="J1797" t="str">
        <f t="shared" si="28"/>
        <v/>
      </c>
    </row>
    <row r="1798" spans="10:10">
      <c r="J1798" t="str">
        <f t="shared" si="28"/>
        <v/>
      </c>
    </row>
    <row r="1799" spans="10:10">
      <c r="J1799" t="str">
        <f t="shared" si="28"/>
        <v/>
      </c>
    </row>
    <row r="1800" spans="10:10">
      <c r="J1800" t="str">
        <f t="shared" si="28"/>
        <v/>
      </c>
    </row>
    <row r="1801" spans="10:10">
      <c r="J1801" t="str">
        <f t="shared" si="28"/>
        <v/>
      </c>
    </row>
    <row r="1802" spans="10:10">
      <c r="J1802" t="str">
        <f t="shared" si="28"/>
        <v/>
      </c>
    </row>
    <row r="1803" spans="10:10">
      <c r="J1803" t="str">
        <f t="shared" si="28"/>
        <v/>
      </c>
    </row>
    <row r="1804" spans="10:10">
      <c r="J1804" t="str">
        <f t="shared" si="28"/>
        <v/>
      </c>
    </row>
    <row r="1805" spans="10:10">
      <c r="J1805" t="str">
        <f t="shared" si="28"/>
        <v/>
      </c>
    </row>
    <row r="1806" spans="10:10">
      <c r="J1806" t="str">
        <f t="shared" si="28"/>
        <v/>
      </c>
    </row>
    <row r="1807" spans="10:10">
      <c r="J1807" t="str">
        <f t="shared" si="28"/>
        <v/>
      </c>
    </row>
    <row r="1808" spans="10:10">
      <c r="J1808" t="str">
        <f t="shared" si="28"/>
        <v/>
      </c>
    </row>
    <row r="1809" spans="10:10">
      <c r="J1809" t="str">
        <f t="shared" si="28"/>
        <v/>
      </c>
    </row>
    <row r="1810" spans="10:10">
      <c r="J1810" t="str">
        <f t="shared" si="28"/>
        <v/>
      </c>
    </row>
    <row r="1811" spans="10:10">
      <c r="J1811" t="str">
        <f t="shared" si="28"/>
        <v/>
      </c>
    </row>
    <row r="1812" spans="10:10">
      <c r="J1812" t="str">
        <f t="shared" si="28"/>
        <v/>
      </c>
    </row>
    <row r="1813" spans="10:10">
      <c r="J1813" t="str">
        <f t="shared" si="28"/>
        <v/>
      </c>
    </row>
    <row r="1814" spans="10:10">
      <c r="J1814" t="str">
        <f t="shared" si="28"/>
        <v/>
      </c>
    </row>
    <row r="1815" spans="10:10">
      <c r="J1815" t="str">
        <f t="shared" si="28"/>
        <v/>
      </c>
    </row>
    <row r="1816" spans="10:10">
      <c r="J1816" t="str">
        <f t="shared" si="28"/>
        <v/>
      </c>
    </row>
    <row r="1817" spans="10:10">
      <c r="J1817" t="str">
        <f t="shared" si="28"/>
        <v/>
      </c>
    </row>
    <row r="1818" spans="10:10">
      <c r="J1818" t="str">
        <f t="shared" si="28"/>
        <v/>
      </c>
    </row>
    <row r="1819" spans="10:10">
      <c r="J1819" t="str">
        <f t="shared" si="28"/>
        <v/>
      </c>
    </row>
    <row r="1820" spans="10:10">
      <c r="J1820" t="str">
        <f t="shared" si="28"/>
        <v/>
      </c>
    </row>
    <row r="1821" spans="10:10">
      <c r="J1821" t="str">
        <f t="shared" si="28"/>
        <v/>
      </c>
    </row>
    <row r="1822" spans="10:10">
      <c r="J1822" t="str">
        <f t="shared" si="28"/>
        <v/>
      </c>
    </row>
    <row r="1823" spans="10:10">
      <c r="J1823" t="str">
        <f t="shared" si="28"/>
        <v/>
      </c>
    </row>
    <row r="1824" spans="10:10">
      <c r="J1824" t="str">
        <f t="shared" si="28"/>
        <v/>
      </c>
    </row>
    <row r="1825" spans="10:10">
      <c r="J1825" t="str">
        <f t="shared" si="28"/>
        <v/>
      </c>
    </row>
    <row r="1826" spans="10:10">
      <c r="J1826" t="str">
        <f t="shared" si="28"/>
        <v/>
      </c>
    </row>
    <row r="1827" spans="10:10">
      <c r="J1827" t="str">
        <f t="shared" si="28"/>
        <v/>
      </c>
    </row>
    <row r="1828" spans="10:10">
      <c r="J1828" t="str">
        <f t="shared" si="28"/>
        <v/>
      </c>
    </row>
    <row r="1829" spans="10:10">
      <c r="J1829" t="str">
        <f t="shared" si="28"/>
        <v/>
      </c>
    </row>
    <row r="1830" spans="10:10">
      <c r="J1830" t="str">
        <f t="shared" si="28"/>
        <v/>
      </c>
    </row>
    <row r="1831" spans="10:10">
      <c r="J1831" t="str">
        <f t="shared" si="28"/>
        <v/>
      </c>
    </row>
    <row r="1832" spans="10:10">
      <c r="J1832" t="str">
        <f t="shared" si="28"/>
        <v/>
      </c>
    </row>
    <row r="1833" spans="10:10">
      <c r="J1833" t="str">
        <f t="shared" si="28"/>
        <v/>
      </c>
    </row>
    <row r="1834" spans="10:10">
      <c r="J1834" t="str">
        <f t="shared" si="28"/>
        <v/>
      </c>
    </row>
    <row r="1835" spans="10:10">
      <c r="J1835" t="str">
        <f t="shared" si="28"/>
        <v/>
      </c>
    </row>
    <row r="1836" spans="10:10">
      <c r="J1836" t="str">
        <f t="shared" si="28"/>
        <v/>
      </c>
    </row>
    <row r="1837" spans="10:10">
      <c r="J1837" t="str">
        <f t="shared" si="28"/>
        <v/>
      </c>
    </row>
    <row r="1838" spans="10:10">
      <c r="J1838" t="str">
        <f t="shared" si="28"/>
        <v/>
      </c>
    </row>
    <row r="1839" spans="10:10">
      <c r="J1839" t="str">
        <f t="shared" si="28"/>
        <v/>
      </c>
    </row>
    <row r="1840" spans="10:10">
      <c r="J1840" t="str">
        <f t="shared" si="28"/>
        <v/>
      </c>
    </row>
    <row r="1841" spans="10:10">
      <c r="J1841" t="str">
        <f t="shared" si="28"/>
        <v/>
      </c>
    </row>
    <row r="1842" spans="10:10">
      <c r="J1842" t="str">
        <f t="shared" si="28"/>
        <v/>
      </c>
    </row>
    <row r="1843" spans="10:10">
      <c r="J1843" t="str">
        <f t="shared" si="28"/>
        <v/>
      </c>
    </row>
    <row r="1844" spans="10:10">
      <c r="J1844" t="str">
        <f t="shared" si="28"/>
        <v/>
      </c>
    </row>
    <row r="1845" spans="10:10">
      <c r="J1845" t="str">
        <f t="shared" si="28"/>
        <v/>
      </c>
    </row>
    <row r="1846" spans="10:10">
      <c r="J1846" t="str">
        <f t="shared" si="28"/>
        <v/>
      </c>
    </row>
    <row r="1847" spans="10:10">
      <c r="J1847" t="str">
        <f t="shared" si="28"/>
        <v/>
      </c>
    </row>
    <row r="1848" spans="10:10">
      <c r="J1848" t="str">
        <f t="shared" si="28"/>
        <v/>
      </c>
    </row>
    <row r="1849" spans="10:10">
      <c r="J1849" t="str">
        <f t="shared" si="28"/>
        <v/>
      </c>
    </row>
    <row r="1850" spans="10:10">
      <c r="J1850" t="str">
        <f t="shared" si="28"/>
        <v/>
      </c>
    </row>
    <row r="1851" spans="10:10">
      <c r="J1851" t="str">
        <f t="shared" si="28"/>
        <v/>
      </c>
    </row>
    <row r="1852" spans="10:10">
      <c r="J1852" t="str">
        <f t="shared" si="28"/>
        <v/>
      </c>
    </row>
    <row r="1853" spans="10:10">
      <c r="J1853" t="str">
        <f t="shared" si="28"/>
        <v/>
      </c>
    </row>
    <row r="1854" spans="10:10">
      <c r="J1854" t="str">
        <f t="shared" si="28"/>
        <v/>
      </c>
    </row>
    <row r="1855" spans="10:10">
      <c r="J1855" t="str">
        <f t="shared" si="28"/>
        <v/>
      </c>
    </row>
    <row r="1856" spans="10:10">
      <c r="J1856" t="str">
        <f t="shared" si="28"/>
        <v/>
      </c>
    </row>
    <row r="1857" spans="10:10">
      <c r="J1857" t="str">
        <f t="shared" si="28"/>
        <v/>
      </c>
    </row>
    <row r="1858" spans="10:10">
      <c r="J1858" t="str">
        <f t="shared" si="28"/>
        <v/>
      </c>
    </row>
    <row r="1859" spans="10:10">
      <c r="J1859" t="str">
        <f t="shared" si="28"/>
        <v/>
      </c>
    </row>
    <row r="1860" spans="10:10">
      <c r="J1860" t="str">
        <f t="shared" ref="J1860:J1923" si="29">IF(B1860="","", WEEKNUM(B1860, 2))</f>
        <v/>
      </c>
    </row>
    <row r="1861" spans="10:10">
      <c r="J1861" t="str">
        <f t="shared" si="29"/>
        <v/>
      </c>
    </row>
    <row r="1862" spans="10:10">
      <c r="J1862" t="str">
        <f t="shared" si="29"/>
        <v/>
      </c>
    </row>
    <row r="1863" spans="10:10">
      <c r="J1863" t="str">
        <f t="shared" si="29"/>
        <v/>
      </c>
    </row>
    <row r="1864" spans="10:10">
      <c r="J1864" t="str">
        <f t="shared" si="29"/>
        <v/>
      </c>
    </row>
    <row r="1865" spans="10:10">
      <c r="J1865" t="str">
        <f t="shared" si="29"/>
        <v/>
      </c>
    </row>
    <row r="1866" spans="10:10">
      <c r="J1866" t="str">
        <f t="shared" si="29"/>
        <v/>
      </c>
    </row>
    <row r="1867" spans="10:10">
      <c r="J1867" t="str">
        <f t="shared" si="29"/>
        <v/>
      </c>
    </row>
    <row r="1868" spans="10:10">
      <c r="J1868" t="str">
        <f t="shared" si="29"/>
        <v/>
      </c>
    </row>
    <row r="1869" spans="10:10">
      <c r="J1869" t="str">
        <f t="shared" si="29"/>
        <v/>
      </c>
    </row>
    <row r="1870" spans="10:10">
      <c r="J1870" t="str">
        <f t="shared" si="29"/>
        <v/>
      </c>
    </row>
    <row r="1871" spans="10:10">
      <c r="J1871" t="str">
        <f t="shared" si="29"/>
        <v/>
      </c>
    </row>
    <row r="1872" spans="10:10">
      <c r="J1872" t="str">
        <f t="shared" si="29"/>
        <v/>
      </c>
    </row>
    <row r="1873" spans="10:10">
      <c r="J1873" t="str">
        <f t="shared" si="29"/>
        <v/>
      </c>
    </row>
    <row r="1874" spans="10:10">
      <c r="J1874" t="str">
        <f t="shared" si="29"/>
        <v/>
      </c>
    </row>
    <row r="1875" spans="10:10">
      <c r="J1875" t="str">
        <f t="shared" si="29"/>
        <v/>
      </c>
    </row>
    <row r="1876" spans="10:10">
      <c r="J1876" t="str">
        <f t="shared" si="29"/>
        <v/>
      </c>
    </row>
    <row r="1877" spans="10:10">
      <c r="J1877" t="str">
        <f t="shared" si="29"/>
        <v/>
      </c>
    </row>
    <row r="1878" spans="10:10">
      <c r="J1878" t="str">
        <f t="shared" si="29"/>
        <v/>
      </c>
    </row>
    <row r="1879" spans="10:10">
      <c r="J1879" t="str">
        <f t="shared" si="29"/>
        <v/>
      </c>
    </row>
    <row r="1880" spans="10:10">
      <c r="J1880" t="str">
        <f t="shared" si="29"/>
        <v/>
      </c>
    </row>
    <row r="1881" spans="10:10">
      <c r="J1881" t="str">
        <f t="shared" si="29"/>
        <v/>
      </c>
    </row>
    <row r="1882" spans="10:10">
      <c r="J1882" t="str">
        <f t="shared" si="29"/>
        <v/>
      </c>
    </row>
    <row r="1883" spans="10:10">
      <c r="J1883" t="str">
        <f t="shared" si="29"/>
        <v/>
      </c>
    </row>
    <row r="1884" spans="10:10">
      <c r="J1884" t="str">
        <f t="shared" si="29"/>
        <v/>
      </c>
    </row>
    <row r="1885" spans="10:10">
      <c r="J1885" t="str">
        <f t="shared" si="29"/>
        <v/>
      </c>
    </row>
    <row r="1886" spans="10:10">
      <c r="J1886" t="str">
        <f t="shared" si="29"/>
        <v/>
      </c>
    </row>
    <row r="1887" spans="10:10">
      <c r="J1887" t="str">
        <f t="shared" si="29"/>
        <v/>
      </c>
    </row>
    <row r="1888" spans="10:10">
      <c r="J1888" t="str">
        <f t="shared" si="29"/>
        <v/>
      </c>
    </row>
    <row r="1889" spans="10:10">
      <c r="J1889" t="str">
        <f t="shared" si="29"/>
        <v/>
      </c>
    </row>
    <row r="1890" spans="10:10">
      <c r="J1890" t="str">
        <f t="shared" si="29"/>
        <v/>
      </c>
    </row>
    <row r="1891" spans="10:10">
      <c r="J1891" t="str">
        <f t="shared" si="29"/>
        <v/>
      </c>
    </row>
    <row r="1892" spans="10:10">
      <c r="J1892" t="str">
        <f t="shared" si="29"/>
        <v/>
      </c>
    </row>
    <row r="1893" spans="10:10">
      <c r="J1893" t="str">
        <f t="shared" si="29"/>
        <v/>
      </c>
    </row>
    <row r="1894" spans="10:10">
      <c r="J1894" t="str">
        <f t="shared" si="29"/>
        <v/>
      </c>
    </row>
    <row r="1895" spans="10:10">
      <c r="J1895" t="str">
        <f t="shared" si="29"/>
        <v/>
      </c>
    </row>
    <row r="1896" spans="10:10">
      <c r="J1896" t="str">
        <f t="shared" si="29"/>
        <v/>
      </c>
    </row>
    <row r="1897" spans="10:10">
      <c r="J1897" t="str">
        <f t="shared" si="29"/>
        <v/>
      </c>
    </row>
    <row r="1898" spans="10:10">
      <c r="J1898" t="str">
        <f t="shared" si="29"/>
        <v/>
      </c>
    </row>
    <row r="1899" spans="10:10">
      <c r="J1899" t="str">
        <f t="shared" si="29"/>
        <v/>
      </c>
    </row>
    <row r="1900" spans="10:10">
      <c r="J1900" t="str">
        <f t="shared" si="29"/>
        <v/>
      </c>
    </row>
    <row r="1901" spans="10:10">
      <c r="J1901" t="str">
        <f t="shared" si="29"/>
        <v/>
      </c>
    </row>
    <row r="1902" spans="10:10">
      <c r="J1902" t="str">
        <f t="shared" si="29"/>
        <v/>
      </c>
    </row>
    <row r="1903" spans="10:10">
      <c r="J1903" t="str">
        <f t="shared" si="29"/>
        <v/>
      </c>
    </row>
    <row r="1904" spans="10:10">
      <c r="J1904" t="str">
        <f t="shared" si="29"/>
        <v/>
      </c>
    </row>
    <row r="1905" spans="10:10">
      <c r="J1905" t="str">
        <f t="shared" si="29"/>
        <v/>
      </c>
    </row>
    <row r="1906" spans="10:10">
      <c r="J1906" t="str">
        <f t="shared" si="29"/>
        <v/>
      </c>
    </row>
    <row r="1907" spans="10:10">
      <c r="J1907" t="str">
        <f t="shared" si="29"/>
        <v/>
      </c>
    </row>
    <row r="1908" spans="10:10">
      <c r="J1908" t="str">
        <f t="shared" si="29"/>
        <v/>
      </c>
    </row>
    <row r="1909" spans="10:10">
      <c r="J1909" t="str">
        <f t="shared" si="29"/>
        <v/>
      </c>
    </row>
    <row r="1910" spans="10:10">
      <c r="J1910" t="str">
        <f t="shared" si="29"/>
        <v/>
      </c>
    </row>
    <row r="1911" spans="10:10">
      <c r="J1911" t="str">
        <f t="shared" si="29"/>
        <v/>
      </c>
    </row>
    <row r="1912" spans="10:10">
      <c r="J1912" t="str">
        <f t="shared" si="29"/>
        <v/>
      </c>
    </row>
    <row r="1913" spans="10:10">
      <c r="J1913" t="str">
        <f t="shared" si="29"/>
        <v/>
      </c>
    </row>
    <row r="1914" spans="10:10">
      <c r="J1914" t="str">
        <f t="shared" si="29"/>
        <v/>
      </c>
    </row>
    <row r="1915" spans="10:10">
      <c r="J1915" t="str">
        <f t="shared" si="29"/>
        <v/>
      </c>
    </row>
    <row r="1916" spans="10:10">
      <c r="J1916" t="str">
        <f t="shared" si="29"/>
        <v/>
      </c>
    </row>
    <row r="1917" spans="10:10">
      <c r="J1917" t="str">
        <f t="shared" si="29"/>
        <v/>
      </c>
    </row>
    <row r="1918" spans="10:10">
      <c r="J1918" t="str">
        <f t="shared" si="29"/>
        <v/>
      </c>
    </row>
    <row r="1919" spans="10:10">
      <c r="J1919" t="str">
        <f t="shared" si="29"/>
        <v/>
      </c>
    </row>
    <row r="1920" spans="10:10">
      <c r="J1920" t="str">
        <f t="shared" si="29"/>
        <v/>
      </c>
    </row>
    <row r="1921" spans="10:10">
      <c r="J1921" t="str">
        <f t="shared" si="29"/>
        <v/>
      </c>
    </row>
    <row r="1922" spans="10:10">
      <c r="J1922" t="str">
        <f t="shared" si="29"/>
        <v/>
      </c>
    </row>
    <row r="1923" spans="10:10">
      <c r="J1923" t="str">
        <f t="shared" si="29"/>
        <v/>
      </c>
    </row>
    <row r="1924" spans="10:10">
      <c r="J1924" t="str">
        <f t="shared" ref="J1924:J1987" si="30">IF(B1924="","", WEEKNUM(B1924, 2))</f>
        <v/>
      </c>
    </row>
    <row r="1925" spans="10:10">
      <c r="J1925" t="str">
        <f t="shared" si="30"/>
        <v/>
      </c>
    </row>
    <row r="1926" spans="10:10">
      <c r="J1926" t="str">
        <f t="shared" si="30"/>
        <v/>
      </c>
    </row>
    <row r="1927" spans="10:10">
      <c r="J1927" t="str">
        <f t="shared" si="30"/>
        <v/>
      </c>
    </row>
    <row r="1928" spans="10:10">
      <c r="J1928" t="str">
        <f t="shared" si="30"/>
        <v/>
      </c>
    </row>
    <row r="1929" spans="10:10">
      <c r="J1929" t="str">
        <f t="shared" si="30"/>
        <v/>
      </c>
    </row>
    <row r="1930" spans="10:10">
      <c r="J1930" t="str">
        <f t="shared" si="30"/>
        <v/>
      </c>
    </row>
    <row r="1931" spans="10:10">
      <c r="J1931" t="str">
        <f t="shared" si="30"/>
        <v/>
      </c>
    </row>
    <row r="1932" spans="10:10">
      <c r="J1932" t="str">
        <f t="shared" si="30"/>
        <v/>
      </c>
    </row>
    <row r="1933" spans="10:10">
      <c r="J1933" t="str">
        <f t="shared" si="30"/>
        <v/>
      </c>
    </row>
    <row r="1934" spans="10:10">
      <c r="J1934" t="str">
        <f t="shared" si="30"/>
        <v/>
      </c>
    </row>
    <row r="1935" spans="10:10">
      <c r="J1935" t="str">
        <f t="shared" si="30"/>
        <v/>
      </c>
    </row>
    <row r="1936" spans="10:10">
      <c r="J1936" t="str">
        <f t="shared" si="30"/>
        <v/>
      </c>
    </row>
    <row r="1937" spans="10:10">
      <c r="J1937" t="str">
        <f t="shared" si="30"/>
        <v/>
      </c>
    </row>
    <row r="1938" spans="10:10">
      <c r="J1938" t="str">
        <f t="shared" si="30"/>
        <v/>
      </c>
    </row>
    <row r="1939" spans="10:10">
      <c r="J1939" t="str">
        <f t="shared" si="30"/>
        <v/>
      </c>
    </row>
    <row r="1940" spans="10:10">
      <c r="J1940" t="str">
        <f t="shared" si="30"/>
        <v/>
      </c>
    </row>
    <row r="1941" spans="10:10">
      <c r="J1941" t="str">
        <f t="shared" si="30"/>
        <v/>
      </c>
    </row>
    <row r="1942" spans="10:10">
      <c r="J1942" t="str">
        <f t="shared" si="30"/>
        <v/>
      </c>
    </row>
    <row r="1943" spans="10:10">
      <c r="J1943" t="str">
        <f t="shared" si="30"/>
        <v/>
      </c>
    </row>
    <row r="1944" spans="10:10">
      <c r="J1944" t="str">
        <f t="shared" si="30"/>
        <v/>
      </c>
    </row>
    <row r="1945" spans="10:10">
      <c r="J1945" t="str">
        <f t="shared" si="30"/>
        <v/>
      </c>
    </row>
    <row r="1946" spans="10:10">
      <c r="J1946" t="str">
        <f t="shared" si="30"/>
        <v/>
      </c>
    </row>
    <row r="1947" spans="10:10">
      <c r="J1947" t="str">
        <f t="shared" si="30"/>
        <v/>
      </c>
    </row>
    <row r="1948" spans="10:10">
      <c r="J1948" t="str">
        <f t="shared" si="30"/>
        <v/>
      </c>
    </row>
    <row r="1949" spans="10:10">
      <c r="J1949" t="str">
        <f t="shared" si="30"/>
        <v/>
      </c>
    </row>
    <row r="1950" spans="10:10">
      <c r="J1950" t="str">
        <f t="shared" si="30"/>
        <v/>
      </c>
    </row>
    <row r="1951" spans="10:10">
      <c r="J1951" t="str">
        <f t="shared" si="30"/>
        <v/>
      </c>
    </row>
    <row r="1952" spans="10:10">
      <c r="J1952" t="str">
        <f t="shared" si="30"/>
        <v/>
      </c>
    </row>
    <row r="1953" spans="10:10">
      <c r="J1953" t="str">
        <f t="shared" si="30"/>
        <v/>
      </c>
    </row>
    <row r="1954" spans="10:10">
      <c r="J1954" t="str">
        <f t="shared" si="30"/>
        <v/>
      </c>
    </row>
    <row r="1955" spans="10:10">
      <c r="J1955" t="str">
        <f t="shared" si="30"/>
        <v/>
      </c>
    </row>
    <row r="1956" spans="10:10">
      <c r="J1956" t="str">
        <f t="shared" si="30"/>
        <v/>
      </c>
    </row>
    <row r="1957" spans="10:10">
      <c r="J1957" t="str">
        <f t="shared" si="30"/>
        <v/>
      </c>
    </row>
    <row r="1958" spans="10:10">
      <c r="J1958" t="str">
        <f t="shared" si="30"/>
        <v/>
      </c>
    </row>
    <row r="1959" spans="10:10">
      <c r="J1959" t="str">
        <f t="shared" si="30"/>
        <v/>
      </c>
    </row>
    <row r="1960" spans="10:10">
      <c r="J1960" t="str">
        <f t="shared" si="30"/>
        <v/>
      </c>
    </row>
    <row r="1961" spans="10:10">
      <c r="J1961" t="str">
        <f t="shared" si="30"/>
        <v/>
      </c>
    </row>
    <row r="1962" spans="10:10">
      <c r="J1962" t="str">
        <f t="shared" si="30"/>
        <v/>
      </c>
    </row>
    <row r="1963" spans="10:10">
      <c r="J1963" t="str">
        <f t="shared" si="30"/>
        <v/>
      </c>
    </row>
    <row r="1964" spans="10:10">
      <c r="J1964" t="str">
        <f t="shared" si="30"/>
        <v/>
      </c>
    </row>
    <row r="1965" spans="10:10">
      <c r="J1965" t="str">
        <f t="shared" si="30"/>
        <v/>
      </c>
    </row>
    <row r="1966" spans="10:10">
      <c r="J1966" t="str">
        <f t="shared" si="30"/>
        <v/>
      </c>
    </row>
    <row r="1967" spans="10:10">
      <c r="J1967" t="str">
        <f t="shared" si="30"/>
        <v/>
      </c>
    </row>
    <row r="1968" spans="10:10">
      <c r="J1968" t="str">
        <f t="shared" si="30"/>
        <v/>
      </c>
    </row>
    <row r="1969" spans="10:10">
      <c r="J1969" t="str">
        <f t="shared" si="30"/>
        <v/>
      </c>
    </row>
    <row r="1970" spans="10:10">
      <c r="J1970" t="str">
        <f t="shared" si="30"/>
        <v/>
      </c>
    </row>
    <row r="1971" spans="10:10">
      <c r="J1971" t="str">
        <f t="shared" si="30"/>
        <v/>
      </c>
    </row>
    <row r="1972" spans="10:10">
      <c r="J1972" t="str">
        <f t="shared" si="30"/>
        <v/>
      </c>
    </row>
    <row r="1973" spans="10:10">
      <c r="J1973" t="str">
        <f t="shared" si="30"/>
        <v/>
      </c>
    </row>
    <row r="1974" spans="10:10">
      <c r="J1974" t="str">
        <f t="shared" si="30"/>
        <v/>
      </c>
    </row>
    <row r="1975" spans="10:10">
      <c r="J1975" t="str">
        <f t="shared" si="30"/>
        <v/>
      </c>
    </row>
    <row r="1976" spans="10:10">
      <c r="J1976" t="str">
        <f t="shared" si="30"/>
        <v/>
      </c>
    </row>
    <row r="1977" spans="10:10">
      <c r="J1977" t="str">
        <f t="shared" si="30"/>
        <v/>
      </c>
    </row>
    <row r="1978" spans="10:10">
      <c r="J1978" t="str">
        <f t="shared" si="30"/>
        <v/>
      </c>
    </row>
    <row r="1979" spans="10:10">
      <c r="J1979" t="str">
        <f t="shared" si="30"/>
        <v/>
      </c>
    </row>
    <row r="1980" spans="10:10">
      <c r="J1980" t="str">
        <f t="shared" si="30"/>
        <v/>
      </c>
    </row>
    <row r="1981" spans="10:10">
      <c r="J1981" t="str">
        <f t="shared" si="30"/>
        <v/>
      </c>
    </row>
    <row r="1982" spans="10:10">
      <c r="J1982" t="str">
        <f t="shared" si="30"/>
        <v/>
      </c>
    </row>
    <row r="1983" spans="10:10">
      <c r="J1983" t="str">
        <f t="shared" si="30"/>
        <v/>
      </c>
    </row>
    <row r="1984" spans="10:10">
      <c r="J1984" t="str">
        <f t="shared" si="30"/>
        <v/>
      </c>
    </row>
    <row r="1985" spans="10:10">
      <c r="J1985" t="str">
        <f t="shared" si="30"/>
        <v/>
      </c>
    </row>
    <row r="1986" spans="10:10">
      <c r="J1986" t="str">
        <f t="shared" si="30"/>
        <v/>
      </c>
    </row>
    <row r="1987" spans="10:10">
      <c r="J1987" t="str">
        <f t="shared" si="30"/>
        <v/>
      </c>
    </row>
    <row r="1988" spans="10:10">
      <c r="J1988" t="str">
        <f t="shared" ref="J1988:J2000" si="31">IF(B1988="","", WEEKNUM(B1988, 2))</f>
        <v/>
      </c>
    </row>
    <row r="1989" spans="10:10">
      <c r="J1989" t="str">
        <f t="shared" si="31"/>
        <v/>
      </c>
    </row>
    <row r="1990" spans="10:10">
      <c r="J1990" t="str">
        <f t="shared" si="31"/>
        <v/>
      </c>
    </row>
    <row r="1991" spans="10:10">
      <c r="J1991" t="str">
        <f t="shared" si="31"/>
        <v/>
      </c>
    </row>
    <row r="1992" spans="10:10">
      <c r="J1992" t="str">
        <f t="shared" si="31"/>
        <v/>
      </c>
    </row>
    <row r="1993" spans="10:10">
      <c r="J1993" t="str">
        <f t="shared" si="31"/>
        <v/>
      </c>
    </row>
    <row r="1994" spans="10:10">
      <c r="J1994" t="str">
        <f t="shared" si="31"/>
        <v/>
      </c>
    </row>
    <row r="1995" spans="10:10">
      <c r="J1995" t="str">
        <f t="shared" si="31"/>
        <v/>
      </c>
    </row>
    <row r="1996" spans="10:10">
      <c r="J1996" t="str">
        <f t="shared" si="31"/>
        <v/>
      </c>
    </row>
    <row r="1997" spans="10:10">
      <c r="J1997" t="str">
        <f t="shared" si="31"/>
        <v/>
      </c>
    </row>
    <row r="1998" spans="10:10">
      <c r="J1998" t="str">
        <f t="shared" si="31"/>
        <v/>
      </c>
    </row>
    <row r="1999" spans="10:10">
      <c r="J1999" t="str">
        <f t="shared" si="31"/>
        <v/>
      </c>
    </row>
    <row r="2000" spans="10:10">
      <c r="J2000" t="str">
        <f t="shared" si="31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"/>
  <sheetViews>
    <sheetView topLeftCell="S1" zoomScale="85" workbookViewId="0"/>
  </sheetViews>
  <sheetFormatPr baseColWidth="10" defaultRowHeight="13.8"/>
  <cols>
    <col min="22" max="22" width="63.5" bestFit="1" customWidth="1"/>
    <col min="23" max="23" width="14.09765625" bestFit="1" customWidth="1"/>
    <col min="24" max="24" width="17.296875" bestFit="1" customWidth="1"/>
    <col min="25" max="25" width="36.8984375" bestFit="1" customWidth="1"/>
  </cols>
  <sheetData>
    <row r="1" spans="1:27" ht="17.399999999999999">
      <c r="A1" s="17844" t="s">
        <v>37</v>
      </c>
      <c r="K1" s="39"/>
      <c r="L1" s="40"/>
    </row>
    <row r="2" spans="1:27" ht="16.8">
      <c r="K2" s="7" t="s">
        <v>155</v>
      </c>
      <c r="L2" s="8" t="s">
        <v>156</v>
      </c>
      <c r="U2" s="17853" t="s">
        <v>361</v>
      </c>
      <c r="V2" s="17854"/>
      <c r="W2" s="17855"/>
      <c r="X2" s="17856"/>
      <c r="Y2" s="17857"/>
    </row>
    <row r="3" spans="1:27" ht="27.6">
      <c r="A3" s="1" t="s">
        <v>38</v>
      </c>
      <c r="B3" s="1" t="s">
        <v>0</v>
      </c>
      <c r="C3" s="1" t="s">
        <v>107</v>
      </c>
      <c r="E3" s="1" t="s">
        <v>39</v>
      </c>
      <c r="F3" s="1" t="s">
        <v>40</v>
      </c>
      <c r="I3" s="1" t="s">
        <v>41</v>
      </c>
      <c r="J3" s="1" t="s">
        <v>28</v>
      </c>
      <c r="K3" s="41"/>
      <c r="L3" s="42"/>
      <c r="M3" t="s">
        <v>352</v>
      </c>
      <c r="N3">
        <v>0</v>
      </c>
      <c r="Q3" t="s">
        <v>360</v>
      </c>
      <c r="R3">
        <v>0</v>
      </c>
      <c r="V3" s="2350" t="s">
        <v>41</v>
      </c>
      <c r="W3" s="2349" t="s">
        <v>362</v>
      </c>
      <c r="X3" s="2351" t="s">
        <v>363</v>
      </c>
      <c r="Y3" s="2352" t="s">
        <v>364</v>
      </c>
      <c r="Z3" t="s">
        <v>401</v>
      </c>
      <c r="AA3" t="s">
        <v>402</v>
      </c>
    </row>
    <row r="4" spans="1:27" ht="16.8">
      <c r="A4" t="s">
        <v>42</v>
      </c>
      <c r="B4" t="s">
        <v>1</v>
      </c>
      <c r="C4" t="s">
        <v>109</v>
      </c>
      <c r="E4" t="s">
        <v>43</v>
      </c>
      <c r="F4" t="s">
        <v>44</v>
      </c>
      <c r="I4" t="s">
        <v>209</v>
      </c>
      <c r="J4" t="s">
        <v>55</v>
      </c>
      <c r="K4" s="43" t="s">
        <v>1</v>
      </c>
      <c r="L4" s="9">
        <v>46167</v>
      </c>
      <c r="M4">
        <f>SUMIFS(Solicitudes!$F:$F, Solicitudes!$B:$B, $B4, Solicitudes!$C:$C, "&gt;=" &amp; Dashboard!$C$55, Solicitudes!$C:$C, "&lt;=" &amp; (Dashboard!$C$55+6)) + IF($B4="Jalisco", SUMIFS(Captura_Jalisco!$G:$G, Captura_Jalisco!$A:$A, "&gt;=" &amp; Dashboard!$C$55, Captura_Jalisco!$A:$A, "&lt;=" &amp; (Dashboard!$C$55+6), Captura_Jalisco!$B:$B, "Salida"), SUMIFS(Captura_Obra!$F:$F, Captura_Obra!$B:$B, $B4, Captura_Obra!$A:$A, "&gt;=" &amp; Dashboard!$C$55, Captura_Obra!$A:$A, "&lt;=" &amp; (Dashboard!$C$55+6)))</f>
        <v>0</v>
      </c>
      <c r="N4" t="str">
        <f>IF(M4&gt;0, MAX($N$3:N3)+1, "")</f>
        <v/>
      </c>
      <c r="Q4">
        <f>SUMIFS(Captura_Pegaso!$H:$H, Captura_Pegaso!$D:$D, $B4, Captura_Pegaso!$A:$A, "&gt;=" &amp;#REF!, Captura_Pegaso!$A:$A, "&lt;=" &amp; (#REF!+6)) + SUMIFS(Captura_Marimba_M01!$G:$G, Captura_Marimba_M01!$C:$C, $B4, Captura_Marimba_M01!$A:$A, "&gt;=" &amp;#REF!, Captura_Marimba_M01!$A:$A, "&lt;=" &amp; (#REF!+6)) + SUMIFS(Captura_Obra!$F:$F, Captura_Obra!$B:$B, $B4, Captura_Obra!$A:$A, "&gt;=" &amp;#REF!, Captura_Obra!$A:$A, "&lt;=" &amp; (#REF!+6))</f>
        <v>0</v>
      </c>
      <c r="R4" t="str">
        <f>IF(Q4&gt;0, MAX($R$3:R3)+1, "")</f>
        <v/>
      </c>
      <c r="V4" s="2354" t="s">
        <v>209</v>
      </c>
      <c r="W4" s="2353" t="s">
        <v>196</v>
      </c>
      <c r="X4" s="2355"/>
      <c r="Y4" s="2356"/>
      <c r="Z4" t="s">
        <v>1</v>
      </c>
      <c r="AA4" t="s">
        <v>42</v>
      </c>
    </row>
    <row r="5" spans="1:27" ht="16.8">
      <c r="A5" t="s">
        <v>45</v>
      </c>
      <c r="B5" t="s">
        <v>2</v>
      </c>
      <c r="C5" t="s">
        <v>108</v>
      </c>
      <c r="E5" t="s">
        <v>46</v>
      </c>
      <c r="F5" t="s">
        <v>47</v>
      </c>
      <c r="I5" t="s">
        <v>210</v>
      </c>
      <c r="J5" t="s">
        <v>82</v>
      </c>
      <c r="K5" s="44" t="s">
        <v>2</v>
      </c>
      <c r="L5" s="10">
        <v>46174</v>
      </c>
      <c r="M5">
        <f>SUMIFS(Solicitudes!$F:$F, Solicitudes!$B:$B, $B5, Solicitudes!$C:$C, "&gt;=" &amp; Dashboard!$C$55, Solicitudes!$C:$C, "&lt;=" &amp; (Dashboard!$C$55+6)) + IF($B5="Jalisco", SUMIFS(Captura_Jalisco!$G:$G, Captura_Jalisco!$A:$A, "&gt;=" &amp; Dashboard!$C$55, Captura_Jalisco!$A:$A, "&lt;=" &amp; (Dashboard!$C$55+6), Captura_Jalisco!$B:$B, "Salida"), SUMIFS(Captura_Obra!$F:$F, Captura_Obra!$B:$B, $B5, Captura_Obra!$A:$A, "&gt;=" &amp; Dashboard!$C$55, Captura_Obra!$A:$A, "&lt;=" &amp; (Dashboard!$C$55+6)))</f>
        <v>0</v>
      </c>
      <c r="N5" t="str">
        <f>IF(M5&gt;0, MAX($N$3:N4)+1, "")</f>
        <v/>
      </c>
      <c r="Q5">
        <f>SUMIFS(Captura_Pegaso!$H:$H, Captura_Pegaso!$D:$D, $B5, Captura_Pegaso!$A:$A, "&gt;=" &amp;#REF!, Captura_Pegaso!$A:$A, "&lt;=" &amp; (#REF!+6)) + SUMIFS(Captura_Marimba_M01!$G:$G, Captura_Marimba_M01!$C:$C, $B5, Captura_Marimba_M01!$A:$A, "&gt;=" &amp;#REF!, Captura_Marimba_M01!$A:$A, "&lt;=" &amp; (#REF!+6)) + SUMIFS(Captura_Obra!$F:$F, Captura_Obra!$B:$B, $B5, Captura_Obra!$A:$A, "&gt;=" &amp;#REF!, Captura_Obra!$A:$A, "&lt;=" &amp; (#REF!+6))</f>
        <v>0</v>
      </c>
      <c r="R5" t="str">
        <f>IF(Q5&gt;0, MAX($R$3:R4)+1, "")</f>
        <v/>
      </c>
      <c r="V5" s="2358" t="s">
        <v>365</v>
      </c>
      <c r="W5" s="2357" t="s">
        <v>66</v>
      </c>
      <c r="X5" s="2359" t="s">
        <v>1</v>
      </c>
      <c r="Y5" s="2360" t="s">
        <v>366</v>
      </c>
      <c r="Z5" t="s">
        <v>2</v>
      </c>
      <c r="AA5" t="s">
        <v>403</v>
      </c>
    </row>
    <row r="6" spans="1:27" ht="16.8">
      <c r="A6" t="s">
        <v>120</v>
      </c>
      <c r="B6" t="s">
        <v>114</v>
      </c>
      <c r="E6" t="s">
        <v>121</v>
      </c>
      <c r="F6" t="s">
        <v>115</v>
      </c>
      <c r="I6" t="s">
        <v>209</v>
      </c>
      <c r="J6" t="s">
        <v>196</v>
      </c>
      <c r="K6" s="45" t="s">
        <v>3</v>
      </c>
      <c r="L6" s="11">
        <v>46181</v>
      </c>
      <c r="M6">
        <f>SUMIFS(Solicitudes!$F:$F, Solicitudes!$B:$B, $B6, Solicitudes!$C:$C, "&gt;=" &amp; Dashboard!$C$55, Solicitudes!$C:$C, "&lt;=" &amp; (Dashboard!$C$55+6)) + IF($B6="Jalisco", SUMIFS(Captura_Jalisco!$G:$G, Captura_Jalisco!$A:$A, "&gt;=" &amp; Dashboard!$C$55, Captura_Jalisco!$A:$A, "&lt;=" &amp; (Dashboard!$C$55+6), Captura_Jalisco!$B:$B, "Salida"), SUMIFS(Captura_Obra!$F:$F, Captura_Obra!$B:$B, $B6, Captura_Obra!$A:$A, "&gt;=" &amp; Dashboard!$C$55, Captura_Obra!$A:$A, "&lt;=" &amp; (Dashboard!$C$55+6)))</f>
        <v>0</v>
      </c>
      <c r="N6" t="str">
        <f>IF(M6&gt;0, MAX($N$3:N5)+1, "")</f>
        <v/>
      </c>
      <c r="Q6">
        <f>SUMIFS(Captura_Pegaso!$H:$H, Captura_Pegaso!$D:$D, $B6, Captura_Pegaso!$A:$A, "&gt;=" &amp;#REF!, Captura_Pegaso!$A:$A, "&lt;=" &amp; (#REF!+6)) + SUMIFS(Captura_Marimba_M01!$G:$G, Captura_Marimba_M01!$C:$C, $B6, Captura_Marimba_M01!$A:$A, "&gt;=" &amp;#REF!, Captura_Marimba_M01!$A:$A, "&lt;=" &amp; (#REF!+6)) + SUMIFS(Captura_Obra!$F:$F, Captura_Obra!$B:$B, $B6, Captura_Obra!$A:$A, "&gt;=" &amp;#REF!, Captura_Obra!$A:$A, "&lt;=" &amp; (#REF!+6))</f>
        <v>0</v>
      </c>
      <c r="R6" t="str">
        <f>IF(Q6&gt;0, MAX($R$3:R5)+1, "")</f>
        <v/>
      </c>
      <c r="V6" s="2362" t="s">
        <v>367</v>
      </c>
      <c r="W6" s="2361" t="s">
        <v>87</v>
      </c>
      <c r="X6" s="2363"/>
      <c r="Y6" s="2364"/>
      <c r="Z6" t="s">
        <v>114</v>
      </c>
      <c r="AA6" t="s">
        <v>404</v>
      </c>
    </row>
    <row r="7" spans="1:27" ht="16.8">
      <c r="A7" t="s">
        <v>49</v>
      </c>
      <c r="B7" t="s">
        <v>3</v>
      </c>
      <c r="C7" t="s">
        <v>109</v>
      </c>
      <c r="E7" t="s">
        <v>50</v>
      </c>
      <c r="F7" t="s">
        <v>51</v>
      </c>
      <c r="I7" t="s">
        <v>211</v>
      </c>
      <c r="J7" t="s">
        <v>66</v>
      </c>
      <c r="K7" s="46" t="s">
        <v>111</v>
      </c>
      <c r="L7" s="12">
        <v>46188</v>
      </c>
      <c r="M7">
        <f>SUMIFS(Solicitudes!$F:$F, Solicitudes!$B:$B, $B7, Solicitudes!$C:$C, "&gt;=" &amp; Dashboard!$C$55, Solicitudes!$C:$C, "&lt;=" &amp; (Dashboard!$C$55+6)) + IF($B7="Jalisco", SUMIFS(Captura_Jalisco!$G:$G, Captura_Jalisco!$A:$A, "&gt;=" &amp; Dashboard!$C$55, Captura_Jalisco!$A:$A, "&lt;=" &amp; (Dashboard!$C$55+6), Captura_Jalisco!$B:$B, "Salida"), SUMIFS(Captura_Obra!$F:$F, Captura_Obra!$B:$B, $B7, Captura_Obra!$A:$A, "&gt;=" &amp; Dashboard!$C$55, Captura_Obra!$A:$A, "&lt;=" &amp; (Dashboard!$C$55+6)))</f>
        <v>0</v>
      </c>
      <c r="N7" t="str">
        <f>IF(M7&gt;0, MAX($N$3:N6)+1, "")</f>
        <v/>
      </c>
      <c r="Q7">
        <f>SUMIFS(Captura_Pegaso!$H:$H, Captura_Pegaso!$D:$D, $B7, Captura_Pegaso!$A:$A, "&gt;=" &amp;#REF!, Captura_Pegaso!$A:$A, "&lt;=" &amp; (#REF!+6)) + SUMIFS(Captura_Marimba_M01!$G:$G, Captura_Marimba_M01!$C:$C, $B7, Captura_Marimba_M01!$A:$A, "&gt;=" &amp;#REF!, Captura_Marimba_M01!$A:$A, "&lt;=" &amp; (#REF!+6)) + SUMIFS(Captura_Obra!$F:$F, Captura_Obra!$B:$B, $B7, Captura_Obra!$A:$A, "&gt;=" &amp;#REF!, Captura_Obra!$A:$A, "&lt;=" &amp; (#REF!+6))</f>
        <v>0</v>
      </c>
      <c r="R7" t="str">
        <f>IF(Q7&gt;0, MAX($R$3:R6)+1, "")</f>
        <v/>
      </c>
      <c r="V7" s="2366" t="s">
        <v>368</v>
      </c>
      <c r="W7" s="2365" t="s">
        <v>197</v>
      </c>
      <c r="X7" s="2367" t="s">
        <v>2</v>
      </c>
      <c r="Y7" s="2368" t="s">
        <v>369</v>
      </c>
      <c r="Z7" t="s">
        <v>3</v>
      </c>
      <c r="AA7" t="s">
        <v>49</v>
      </c>
    </row>
    <row r="8" spans="1:27" ht="16.8">
      <c r="A8" t="s">
        <v>119</v>
      </c>
      <c r="B8" t="s">
        <v>111</v>
      </c>
      <c r="C8" t="s">
        <v>123</v>
      </c>
      <c r="E8" t="s">
        <v>53</v>
      </c>
      <c r="F8" t="s">
        <v>54</v>
      </c>
      <c r="I8" t="s">
        <v>212</v>
      </c>
      <c r="J8" t="s">
        <v>87</v>
      </c>
      <c r="K8" s="47" t="s">
        <v>115</v>
      </c>
      <c r="L8" s="13">
        <v>46195</v>
      </c>
      <c r="M8">
        <f>SUMIFS(Solicitudes!$F:$F, Solicitudes!$B:$B, $B8, Solicitudes!$C:$C, "&gt;=" &amp; Dashboard!$C$55, Solicitudes!$C:$C, "&lt;=" &amp; (Dashboard!$C$55+6)) + IF($B8="Jalisco", SUMIFS(Captura_Jalisco!$G:$G, Captura_Jalisco!$A:$A, "&gt;=" &amp; Dashboard!$C$55, Captura_Jalisco!$A:$A, "&lt;=" &amp; (Dashboard!$C$55+6), Captura_Jalisco!$B:$B, "Salida"), SUMIFS(Captura_Obra!$F:$F, Captura_Obra!$B:$B, $B8, Captura_Obra!$A:$A, "&gt;=" &amp; Dashboard!$C$55, Captura_Obra!$A:$A, "&lt;=" &amp; (Dashboard!$C$55+6)))</f>
        <v>0</v>
      </c>
      <c r="N8" t="str">
        <f>IF(M8&gt;0, MAX($N$3:N7)+1, "")</f>
        <v/>
      </c>
      <c r="Q8">
        <f>SUMIFS(Captura_Pegaso!$H:$H, Captura_Pegaso!$D:$D, $B8, Captura_Pegaso!$A:$A, "&gt;=" &amp;#REF!, Captura_Pegaso!$A:$A, "&lt;=" &amp; (#REF!+6)) + SUMIFS(Captura_Marimba_M01!$G:$G, Captura_Marimba_M01!$C:$C, $B8, Captura_Marimba_M01!$A:$A, "&gt;=" &amp;#REF!, Captura_Marimba_M01!$A:$A, "&lt;=" &amp; (#REF!+6)) + SUMIFS(Captura_Obra!$F:$F, Captura_Obra!$B:$B, $B8, Captura_Obra!$A:$A, "&gt;=" &amp;#REF!, Captura_Obra!$A:$A, "&lt;=" &amp; (#REF!+6))</f>
        <v>0</v>
      </c>
      <c r="R8" t="str">
        <f>IF(Q8&gt;0, MAX($R$3:R7)+1, "")</f>
        <v/>
      </c>
      <c r="V8" s="2370" t="s">
        <v>214</v>
      </c>
      <c r="W8" s="2369" t="s">
        <v>68</v>
      </c>
      <c r="X8" s="2371"/>
      <c r="Y8" s="2372"/>
      <c r="Z8" t="s">
        <v>111</v>
      </c>
      <c r="AA8" t="s">
        <v>119</v>
      </c>
    </row>
    <row r="9" spans="1:27" ht="16.8">
      <c r="A9" t="s">
        <v>121</v>
      </c>
      <c r="B9" t="s">
        <v>115</v>
      </c>
      <c r="C9" t="s">
        <v>252</v>
      </c>
      <c r="E9" t="s">
        <v>122</v>
      </c>
      <c r="F9" t="s">
        <v>116</v>
      </c>
      <c r="I9" t="s">
        <v>213</v>
      </c>
      <c r="J9" t="s">
        <v>197</v>
      </c>
      <c r="K9" s="48" t="s">
        <v>124</v>
      </c>
      <c r="L9" s="14">
        <v>46202</v>
      </c>
      <c r="M9">
        <f>SUMIFS(Solicitudes!$F:$F, Solicitudes!$B:$B, $B9, Solicitudes!$C:$C, "&gt;=" &amp; Dashboard!$C$55, Solicitudes!$C:$C, "&lt;=" &amp; (Dashboard!$C$55+6)) + IF($B9="Jalisco", SUMIFS(Captura_Jalisco!$G:$G, Captura_Jalisco!$A:$A, "&gt;=" &amp; Dashboard!$C$55, Captura_Jalisco!$A:$A, "&lt;=" &amp; (Dashboard!$C$55+6), Captura_Jalisco!$B:$B, "Salida"), SUMIFS(Captura_Obra!$F:$F, Captura_Obra!$B:$B, $B9, Captura_Obra!$A:$A, "&gt;=" &amp; Dashboard!$C$55, Captura_Obra!$A:$A, "&lt;=" &amp; (Dashboard!$C$55+6)))</f>
        <v>0</v>
      </c>
      <c r="N9" t="str">
        <f>IF(M9&gt;0, MAX($N$3:N8)+1, "")</f>
        <v/>
      </c>
      <c r="Q9">
        <f>SUMIFS(Captura_Pegaso!$H:$H, Captura_Pegaso!$D:$D, $B9, Captura_Pegaso!$A:$A, "&gt;=" &amp;#REF!, Captura_Pegaso!$A:$A, "&lt;=" &amp; (#REF!+6)) + SUMIFS(Captura_Marimba_M01!$G:$G, Captura_Marimba_M01!$C:$C, $B9, Captura_Marimba_M01!$A:$A, "&gt;=" &amp;#REF!, Captura_Marimba_M01!$A:$A, "&lt;=" &amp; (#REF!+6)) + SUMIFS(Captura_Obra!$F:$F, Captura_Obra!$B:$B, $B9, Captura_Obra!$A:$A, "&gt;=" &amp;#REF!, Captura_Obra!$A:$A, "&lt;=" &amp; (#REF!+6))</f>
        <v>0</v>
      </c>
      <c r="R9" t="str">
        <f>IF(Q9&gt;0, MAX($R$3:R8)+1, "")</f>
        <v/>
      </c>
      <c r="V9" s="2374" t="s">
        <v>215</v>
      </c>
      <c r="W9" s="2373" t="s">
        <v>77</v>
      </c>
      <c r="X9" s="2375" t="s">
        <v>2</v>
      </c>
      <c r="Y9" s="2376" t="s">
        <v>370</v>
      </c>
      <c r="Z9" t="s">
        <v>115</v>
      </c>
      <c r="AA9" t="s">
        <v>121</v>
      </c>
    </row>
    <row r="10" spans="1:27" ht="41.4">
      <c r="A10" s="5" t="s">
        <v>122</v>
      </c>
      <c r="B10" s="5" t="s">
        <v>124</v>
      </c>
      <c r="C10" s="5" t="s">
        <v>249</v>
      </c>
      <c r="E10" s="5" t="s">
        <v>237</v>
      </c>
      <c r="F10" s="5" t="s">
        <v>237</v>
      </c>
      <c r="I10" t="s">
        <v>214</v>
      </c>
      <c r="J10" t="s">
        <v>68</v>
      </c>
      <c r="K10" s="49" t="s">
        <v>159</v>
      </c>
      <c r="L10" s="15">
        <v>46209</v>
      </c>
      <c r="M10">
        <f>SUMIFS(Solicitudes!$F:$F, Solicitudes!$B:$B, $B10, Solicitudes!$C:$C, "&gt;=" &amp; Dashboard!$C$55, Solicitudes!$C:$C, "&lt;=" &amp; (Dashboard!$C$55+6)) + IF($B10="Jalisco", SUMIFS(Captura_Jalisco!$G:$G, Captura_Jalisco!$A:$A, "&gt;=" &amp; Dashboard!$C$55, Captura_Jalisco!$A:$A, "&lt;=" &amp; (Dashboard!$C$55+6), Captura_Jalisco!$B:$B, "Salida"), SUMIFS(Captura_Obra!$F:$F, Captura_Obra!$B:$B, $B10, Captura_Obra!$A:$A, "&gt;=" &amp; Dashboard!$C$55, Captura_Obra!$A:$A, "&lt;=" &amp; (Dashboard!$C$55+6)))</f>
        <v>0</v>
      </c>
      <c r="N10" t="str">
        <f>IF(M10&gt;0, MAX($N$3:N9)+1, "")</f>
        <v/>
      </c>
      <c r="Q10">
        <f>SUMIFS(Captura_Pegaso!$H:$H, Captura_Pegaso!$D:$D, $B10, Captura_Pegaso!$A:$A, "&gt;=" &amp;#REF!, Captura_Pegaso!$A:$A, "&lt;=" &amp; (#REF!+6)) + SUMIFS(Captura_Marimba_M01!$G:$G, Captura_Marimba_M01!$C:$C, $B10, Captura_Marimba_M01!$A:$A, "&gt;=" &amp;#REF!, Captura_Marimba_M01!$A:$A, "&lt;=" &amp; (#REF!+6)) + SUMIFS(Captura_Obra!$F:$F, Captura_Obra!$B:$B, $B10, Captura_Obra!$A:$A, "&gt;=" &amp;#REF!, Captura_Obra!$A:$A, "&lt;=" &amp; (#REF!+6))</f>
        <v>0</v>
      </c>
      <c r="R10" t="str">
        <f>IF(Q10&gt;0, MAX($R$3:R9)+1, "")</f>
        <v/>
      </c>
      <c r="V10" s="2378" t="s">
        <v>216</v>
      </c>
      <c r="W10" s="2377" t="s">
        <v>71</v>
      </c>
      <c r="X10" s="2379" t="s">
        <v>1</v>
      </c>
      <c r="Y10" s="2380" t="s">
        <v>371</v>
      </c>
      <c r="Z10" t="s">
        <v>124</v>
      </c>
      <c r="AA10" t="s">
        <v>122</v>
      </c>
    </row>
    <row r="11" spans="1:27" ht="16.8">
      <c r="B11" t="s">
        <v>159</v>
      </c>
      <c r="I11" t="s">
        <v>215</v>
      </c>
      <c r="J11" t="s">
        <v>77</v>
      </c>
      <c r="K11" s="50" t="s">
        <v>166</v>
      </c>
      <c r="L11" s="16">
        <v>46216</v>
      </c>
      <c r="M11">
        <f>SUMIFS(Solicitudes!$F:$F, Solicitudes!$B:$B, $B11, Solicitudes!$C:$C, "&gt;=" &amp; Dashboard!$C$55, Solicitudes!$C:$C, "&lt;=" &amp; (Dashboard!$C$55+6)) + IF($B11="Jalisco", SUMIFS(Captura_Jalisco!$G:$G, Captura_Jalisco!$A:$A, "&gt;=" &amp; Dashboard!$C$55, Captura_Jalisco!$A:$A, "&lt;=" &amp; (Dashboard!$C$55+6), Captura_Jalisco!$B:$B, "Salida"), SUMIFS(Captura_Obra!$F:$F, Captura_Obra!$B:$B, $B11, Captura_Obra!$A:$A, "&gt;=" &amp; Dashboard!$C$55, Captura_Obra!$A:$A, "&lt;=" &amp; (Dashboard!$C$55+6)))</f>
        <v>0</v>
      </c>
      <c r="N11" t="str">
        <f>IF(M11&gt;0, MAX($N$3:N10)+1, "")</f>
        <v/>
      </c>
      <c r="Q11">
        <f>SUMIFS(Captura_Pegaso!$H:$H, Captura_Pegaso!$D:$D, $B11, Captura_Pegaso!$A:$A, "&gt;=" &amp;#REF!, Captura_Pegaso!$A:$A, "&lt;=" &amp; (#REF!+6)) + SUMIFS(Captura_Marimba_M01!$G:$G, Captura_Marimba_M01!$C:$C, $B11, Captura_Marimba_M01!$A:$A, "&gt;=" &amp;#REF!, Captura_Marimba_M01!$A:$A, "&lt;=" &amp; (#REF!+6)) + SUMIFS(Captura_Obra!$F:$F, Captura_Obra!$B:$B, $B11, Captura_Obra!$A:$A, "&gt;=" &amp;#REF!, Captura_Obra!$A:$A, "&lt;=" &amp; (#REF!+6))</f>
        <v>0</v>
      </c>
      <c r="R11" t="str">
        <f>IF(Q11&gt;0, MAX($R$3:R10)+1, "")</f>
        <v/>
      </c>
      <c r="V11" s="2382" t="s">
        <v>217</v>
      </c>
      <c r="W11" s="2381" t="s">
        <v>80</v>
      </c>
      <c r="X11" s="2383"/>
      <c r="Y11" s="2384"/>
      <c r="Z11" t="s">
        <v>159</v>
      </c>
      <c r="AA11" t="s">
        <v>405</v>
      </c>
    </row>
    <row r="12" spans="1:27" ht="16.8">
      <c r="B12" t="s">
        <v>166</v>
      </c>
      <c r="I12" t="s">
        <v>216</v>
      </c>
      <c r="J12" t="s">
        <v>71</v>
      </c>
      <c r="K12" s="51" t="s">
        <v>157</v>
      </c>
      <c r="L12" s="17">
        <v>46223</v>
      </c>
      <c r="V12" s="2386" t="s">
        <v>218</v>
      </c>
      <c r="W12" s="2385" t="s">
        <v>198</v>
      </c>
      <c r="X12" s="2387"/>
      <c r="Y12" s="2388"/>
      <c r="Z12" t="s">
        <v>166</v>
      </c>
      <c r="AA12" t="s">
        <v>406</v>
      </c>
    </row>
    <row r="13" spans="1:27" ht="16.8">
      <c r="B13" t="s">
        <v>400</v>
      </c>
      <c r="I13" t="s">
        <v>217</v>
      </c>
      <c r="J13" t="s">
        <v>80</v>
      </c>
      <c r="K13" s="52"/>
      <c r="L13" s="18">
        <v>46230</v>
      </c>
      <c r="V13" s="2390" t="s">
        <v>217</v>
      </c>
      <c r="W13" s="2389" t="s">
        <v>199</v>
      </c>
      <c r="X13" s="2391" t="s">
        <v>2</v>
      </c>
      <c r="Y13" s="2392" t="s">
        <v>372</v>
      </c>
      <c r="Z13" t="s">
        <v>400</v>
      </c>
      <c r="AA13" t="s">
        <v>407</v>
      </c>
    </row>
    <row r="14" spans="1:27" ht="16.8">
      <c r="B14" t="s">
        <v>833</v>
      </c>
      <c r="C14" t="s">
        <v>834</v>
      </c>
      <c r="I14" t="s">
        <v>218</v>
      </c>
      <c r="J14" t="s">
        <v>198</v>
      </c>
      <c r="K14" s="53"/>
      <c r="L14" s="19">
        <v>46237</v>
      </c>
      <c r="V14" s="2394" t="s">
        <v>219</v>
      </c>
      <c r="W14" s="2393" t="s">
        <v>105</v>
      </c>
      <c r="X14" s="2395" t="s">
        <v>1</v>
      </c>
      <c r="Y14" s="2396" t="s">
        <v>373</v>
      </c>
    </row>
    <row r="15" spans="1:27" ht="16.8">
      <c r="I15" t="s">
        <v>217</v>
      </c>
      <c r="J15" t="s">
        <v>199</v>
      </c>
      <c r="K15" s="54"/>
      <c r="L15" s="20">
        <v>46244</v>
      </c>
      <c r="V15" s="2398" t="s">
        <v>220</v>
      </c>
      <c r="W15" s="2397" t="s">
        <v>200</v>
      </c>
      <c r="X15" s="2399" t="s">
        <v>1</v>
      </c>
      <c r="Y15" s="2400" t="s">
        <v>374</v>
      </c>
    </row>
    <row r="16" spans="1:27" ht="16.8">
      <c r="I16" t="s">
        <v>219</v>
      </c>
      <c r="J16" t="s">
        <v>105</v>
      </c>
      <c r="K16" s="55"/>
      <c r="L16" s="21">
        <v>46251</v>
      </c>
      <c r="V16" s="2402" t="s">
        <v>221</v>
      </c>
      <c r="W16" s="2401" t="s">
        <v>89</v>
      </c>
      <c r="X16" s="2403"/>
      <c r="Y16" s="2404"/>
    </row>
    <row r="17" spans="9:25" ht="16.8">
      <c r="I17" t="s">
        <v>220</v>
      </c>
      <c r="J17" t="s">
        <v>200</v>
      </c>
      <c r="K17" s="56"/>
      <c r="L17" s="22">
        <v>46258</v>
      </c>
      <c r="V17" s="2406" t="s">
        <v>222</v>
      </c>
      <c r="W17" s="2405" t="s">
        <v>170</v>
      </c>
      <c r="X17" s="2407" t="s">
        <v>2</v>
      </c>
      <c r="Y17" s="2408" t="s">
        <v>375</v>
      </c>
    </row>
    <row r="18" spans="9:25" ht="16.8">
      <c r="I18" t="s">
        <v>221</v>
      </c>
      <c r="J18" t="s">
        <v>89</v>
      </c>
      <c r="K18" s="57"/>
      <c r="L18" s="23">
        <v>46265</v>
      </c>
      <c r="V18" s="2410" t="s">
        <v>223</v>
      </c>
      <c r="W18" s="2409" t="s">
        <v>72</v>
      </c>
      <c r="X18" s="2411" t="s">
        <v>2</v>
      </c>
      <c r="Y18" s="2412" t="s">
        <v>376</v>
      </c>
    </row>
    <row r="19" spans="9:25" ht="16.8">
      <c r="I19" t="s">
        <v>222</v>
      </c>
      <c r="J19" t="s">
        <v>170</v>
      </c>
      <c r="K19" s="58"/>
      <c r="L19" s="24">
        <v>46272</v>
      </c>
      <c r="V19" s="2414" t="s">
        <v>224</v>
      </c>
      <c r="W19" s="2413" t="s">
        <v>91</v>
      </c>
      <c r="X19" s="2415" t="s">
        <v>1</v>
      </c>
      <c r="Y19" s="2416" t="s">
        <v>377</v>
      </c>
    </row>
    <row r="20" spans="9:25" ht="16.8">
      <c r="I20" t="s">
        <v>223</v>
      </c>
      <c r="J20" t="s">
        <v>72</v>
      </c>
      <c r="K20" s="59"/>
      <c r="L20" s="25">
        <v>46279</v>
      </c>
      <c r="V20" s="2418" t="s">
        <v>378</v>
      </c>
      <c r="W20" s="2417" t="s">
        <v>99</v>
      </c>
      <c r="X20" s="2419" t="s">
        <v>2</v>
      </c>
      <c r="Y20" s="2420" t="s">
        <v>379</v>
      </c>
    </row>
    <row r="21" spans="9:25" ht="16.8">
      <c r="I21" t="s">
        <v>224</v>
      </c>
      <c r="J21" t="s">
        <v>91</v>
      </c>
      <c r="K21" s="60"/>
      <c r="L21" s="26">
        <v>46286</v>
      </c>
      <c r="V21" s="2422" t="s">
        <v>378</v>
      </c>
      <c r="W21" s="2421" t="s">
        <v>201</v>
      </c>
      <c r="X21" s="2423"/>
      <c r="Y21" s="2424"/>
    </row>
    <row r="22" spans="9:25" ht="16.8">
      <c r="I22" t="s">
        <v>225</v>
      </c>
      <c r="J22" t="s">
        <v>99</v>
      </c>
      <c r="K22" s="61"/>
      <c r="L22" s="27">
        <v>46293</v>
      </c>
      <c r="V22" s="2426" t="s">
        <v>226</v>
      </c>
      <c r="W22" s="2425" t="s">
        <v>202</v>
      </c>
      <c r="X22" s="2427"/>
      <c r="Y22" s="2428"/>
    </row>
    <row r="23" spans="9:25" ht="16.8">
      <c r="I23" t="s">
        <v>225</v>
      </c>
      <c r="J23" t="s">
        <v>201</v>
      </c>
      <c r="K23" s="62"/>
      <c r="L23" s="28">
        <v>46300</v>
      </c>
      <c r="V23" s="2430" t="s">
        <v>227</v>
      </c>
      <c r="W23" s="2429" t="s">
        <v>203</v>
      </c>
      <c r="X23" s="2431"/>
      <c r="Y23" s="2432"/>
    </row>
    <row r="24" spans="9:25" ht="16.8">
      <c r="I24" t="s">
        <v>226</v>
      </c>
      <c r="J24" t="s">
        <v>202</v>
      </c>
      <c r="K24" s="63"/>
      <c r="L24" s="29">
        <v>46307</v>
      </c>
      <c r="V24" s="2434" t="s">
        <v>228</v>
      </c>
      <c r="W24" s="2433" t="s">
        <v>204</v>
      </c>
      <c r="X24" s="2435" t="s">
        <v>1</v>
      </c>
      <c r="Y24" s="2436" t="s">
        <v>380</v>
      </c>
    </row>
    <row r="25" spans="9:25" ht="16.8">
      <c r="I25" t="s">
        <v>227</v>
      </c>
      <c r="J25" t="s">
        <v>203</v>
      </c>
      <c r="K25" s="64"/>
      <c r="L25" s="30">
        <v>46314</v>
      </c>
      <c r="V25" s="2438" t="s">
        <v>227</v>
      </c>
      <c r="W25" s="2437" t="s">
        <v>205</v>
      </c>
      <c r="X25" s="2439"/>
      <c r="Y25" s="2440"/>
    </row>
    <row r="26" spans="9:25" ht="16.8">
      <c r="I26" t="s">
        <v>228</v>
      </c>
      <c r="J26" t="s">
        <v>204</v>
      </c>
      <c r="K26" s="65"/>
      <c r="L26" s="31">
        <v>46321</v>
      </c>
      <c r="V26" s="2442" t="s">
        <v>381</v>
      </c>
      <c r="W26" s="2441" t="s">
        <v>206</v>
      </c>
      <c r="X26" s="2443"/>
      <c r="Y26" s="2444"/>
    </row>
    <row r="27" spans="9:25" ht="16.8">
      <c r="I27" t="s">
        <v>227</v>
      </c>
      <c r="J27" t="s">
        <v>205</v>
      </c>
      <c r="K27" s="66"/>
      <c r="L27" s="32">
        <v>46328</v>
      </c>
      <c r="V27" s="2446" t="s">
        <v>230</v>
      </c>
      <c r="W27" s="2445" t="s">
        <v>84</v>
      </c>
      <c r="X27" s="2447"/>
      <c r="Y27" s="2448"/>
    </row>
    <row r="28" spans="9:25" ht="16.8">
      <c r="I28" t="s">
        <v>229</v>
      </c>
      <c r="J28" t="s">
        <v>206</v>
      </c>
      <c r="K28" s="67"/>
      <c r="L28" s="33">
        <v>46335</v>
      </c>
      <c r="V28" s="2450" t="s">
        <v>231</v>
      </c>
      <c r="W28" s="2449" t="s">
        <v>95</v>
      </c>
      <c r="X28" s="2451"/>
      <c r="Y28" s="2452"/>
    </row>
    <row r="29" spans="9:25" ht="16.8">
      <c r="I29" t="s">
        <v>230</v>
      </c>
      <c r="J29" t="s">
        <v>84</v>
      </c>
      <c r="K29" s="68"/>
      <c r="L29" s="34">
        <v>46342</v>
      </c>
      <c r="V29" s="2454" t="s">
        <v>232</v>
      </c>
      <c r="W29" s="2453" t="s">
        <v>207</v>
      </c>
      <c r="X29" s="2455" t="s">
        <v>2</v>
      </c>
      <c r="Y29" s="2456" t="s">
        <v>382</v>
      </c>
    </row>
    <row r="30" spans="9:25" ht="16.8">
      <c r="I30" t="s">
        <v>231</v>
      </c>
      <c r="J30" t="s">
        <v>95</v>
      </c>
      <c r="K30" s="69"/>
      <c r="L30" s="35">
        <v>46349</v>
      </c>
      <c r="V30" s="2458" t="s">
        <v>233</v>
      </c>
      <c r="W30" s="2457" t="s">
        <v>59</v>
      </c>
      <c r="X30" s="2459"/>
      <c r="Y30" s="2460"/>
    </row>
    <row r="31" spans="9:25" ht="16.8">
      <c r="I31" t="s">
        <v>232</v>
      </c>
      <c r="J31" t="s">
        <v>207</v>
      </c>
      <c r="K31" s="70"/>
      <c r="L31" s="36">
        <v>46356</v>
      </c>
      <c r="V31" s="2462" t="s">
        <v>383</v>
      </c>
      <c r="W31" s="2461" t="s">
        <v>93</v>
      </c>
      <c r="X31" s="2463" t="s">
        <v>2</v>
      </c>
      <c r="Y31" s="2464" t="s">
        <v>384</v>
      </c>
    </row>
    <row r="32" spans="9:25" ht="16.8">
      <c r="I32" t="s">
        <v>233</v>
      </c>
      <c r="J32" t="s">
        <v>59</v>
      </c>
      <c r="K32" s="71"/>
      <c r="L32" s="37">
        <v>46363</v>
      </c>
      <c r="V32" s="2466" t="s">
        <v>235</v>
      </c>
      <c r="W32" s="2465" t="s">
        <v>61</v>
      </c>
      <c r="X32" s="2467"/>
      <c r="Y32" s="2468"/>
    </row>
    <row r="33" spans="9:25" ht="16.8">
      <c r="I33" t="s">
        <v>234</v>
      </c>
      <c r="J33" t="s">
        <v>93</v>
      </c>
      <c r="K33" s="72"/>
      <c r="L33" s="38">
        <v>46370</v>
      </c>
      <c r="V33" s="2470" t="s">
        <v>236</v>
      </c>
      <c r="W33" s="2469" t="s">
        <v>208</v>
      </c>
      <c r="X33" s="2471"/>
      <c r="Y33" s="2472"/>
    </row>
    <row r="34" spans="9:25" ht="16.8">
      <c r="I34" t="s">
        <v>235</v>
      </c>
      <c r="J34" t="s">
        <v>61</v>
      </c>
      <c r="K34" s="73"/>
      <c r="L34" s="74"/>
      <c r="V34" s="2474" t="s">
        <v>386</v>
      </c>
      <c r="W34" s="2473" t="s">
        <v>385</v>
      </c>
      <c r="X34" s="2475" t="s">
        <v>1</v>
      </c>
      <c r="Y34" s="2476" t="s">
        <v>387</v>
      </c>
    </row>
    <row r="35" spans="9:25" ht="16.8">
      <c r="I35" t="s">
        <v>236</v>
      </c>
      <c r="J35" t="s">
        <v>208</v>
      </c>
      <c r="K35" s="75"/>
      <c r="L35" s="76"/>
      <c r="V35" s="2478" t="s">
        <v>389</v>
      </c>
      <c r="W35" s="2477" t="s">
        <v>388</v>
      </c>
      <c r="X35" s="2479" t="s">
        <v>1</v>
      </c>
      <c r="Y35" s="2480" t="s">
        <v>390</v>
      </c>
    </row>
    <row r="36" spans="9:25" ht="16.8">
      <c r="I36" t="s">
        <v>237</v>
      </c>
      <c r="J36" t="s">
        <v>113</v>
      </c>
      <c r="K36" s="77"/>
      <c r="L36" s="78"/>
      <c r="V36" t="s">
        <v>237</v>
      </c>
      <c r="W36" t="s">
        <v>113</v>
      </c>
    </row>
    <row r="37" spans="9:25" ht="16.8">
      <c r="I37" t="s">
        <v>238</v>
      </c>
      <c r="J37" t="s">
        <v>73</v>
      </c>
      <c r="K37" s="79"/>
      <c r="L37" s="80"/>
      <c r="V37" t="s">
        <v>238</v>
      </c>
      <c r="W37" t="s">
        <v>73</v>
      </c>
    </row>
    <row r="38" spans="9:25" ht="16.8">
      <c r="I38" t="s">
        <v>239</v>
      </c>
      <c r="J38" t="s">
        <v>158</v>
      </c>
      <c r="K38" s="81"/>
      <c r="L38" s="82"/>
      <c r="V38" t="s">
        <v>239</v>
      </c>
      <c r="W38" t="s">
        <v>158</v>
      </c>
    </row>
    <row r="39" spans="9:25" ht="16.8">
      <c r="I39" t="s">
        <v>240</v>
      </c>
      <c r="J39" t="s">
        <v>161</v>
      </c>
      <c r="K39" s="83"/>
      <c r="L39" s="84"/>
      <c r="V39" t="s">
        <v>240</v>
      </c>
      <c r="W39" t="s">
        <v>161</v>
      </c>
    </row>
    <row r="40" spans="9:25" ht="16.8">
      <c r="I40" t="s">
        <v>241</v>
      </c>
      <c r="J40" t="s">
        <v>63</v>
      </c>
      <c r="K40" s="85"/>
      <c r="L40" s="86"/>
      <c r="V40" t="s">
        <v>241</v>
      </c>
      <c r="W40" t="s">
        <v>63</v>
      </c>
    </row>
    <row r="41" spans="9:25" ht="16.8">
      <c r="I41" t="s">
        <v>242</v>
      </c>
      <c r="J41" t="s">
        <v>164</v>
      </c>
      <c r="K41" s="87"/>
      <c r="L41" s="88"/>
      <c r="V41" t="s">
        <v>242</v>
      </c>
      <c r="W41" t="s">
        <v>164</v>
      </c>
    </row>
    <row r="42" spans="9:25" ht="16.8">
      <c r="I42" t="s">
        <v>243</v>
      </c>
      <c r="J42" t="s">
        <v>168</v>
      </c>
      <c r="K42" s="89"/>
      <c r="L42" s="90"/>
      <c r="V42" t="s">
        <v>243</v>
      </c>
      <c r="W42" t="s">
        <v>168</v>
      </c>
    </row>
    <row r="43" spans="9:25" ht="16.8">
      <c r="I43" t="s">
        <v>244</v>
      </c>
      <c r="J43" t="s">
        <v>170</v>
      </c>
      <c r="K43" s="91"/>
      <c r="L43" s="92"/>
      <c r="V43" t="s">
        <v>244</v>
      </c>
      <c r="W43" t="s">
        <v>170</v>
      </c>
    </row>
    <row r="44" spans="9:25" ht="16.8">
      <c r="I44" t="s">
        <v>245</v>
      </c>
      <c r="J44" t="s">
        <v>118</v>
      </c>
      <c r="K44" s="93"/>
      <c r="L44" s="94"/>
      <c r="V44" t="s">
        <v>245</v>
      </c>
      <c r="W44" t="s">
        <v>118</v>
      </c>
    </row>
    <row r="45" spans="9:25" ht="16.8">
      <c r="I45" t="s">
        <v>246</v>
      </c>
      <c r="J45" t="s">
        <v>103</v>
      </c>
      <c r="K45" s="95"/>
      <c r="L45" s="96"/>
      <c r="V45" t="s">
        <v>246</v>
      </c>
      <c r="W45" t="s">
        <v>103</v>
      </c>
    </row>
    <row r="46" spans="9:25" ht="16.8">
      <c r="I46" t="s">
        <v>247</v>
      </c>
      <c r="J46" t="s">
        <v>101</v>
      </c>
      <c r="K46" s="97"/>
      <c r="L46" s="98"/>
      <c r="V46" t="s">
        <v>247</v>
      </c>
      <c r="W46" t="s">
        <v>101</v>
      </c>
    </row>
    <row r="47" spans="9:25" ht="16.8">
      <c r="I47" t="s">
        <v>248</v>
      </c>
      <c r="J47" t="s">
        <v>97</v>
      </c>
      <c r="K47" s="99"/>
      <c r="L47" s="100"/>
      <c r="V47" t="s">
        <v>248</v>
      </c>
      <c r="W47" t="s">
        <v>97</v>
      </c>
    </row>
    <row r="48" spans="9:25" ht="16.8">
      <c r="I48" t="s">
        <v>250</v>
      </c>
      <c r="J48" t="s">
        <v>251</v>
      </c>
      <c r="K48" s="101"/>
      <c r="L48" s="102"/>
      <c r="V48" t="s">
        <v>250</v>
      </c>
      <c r="W48" t="s">
        <v>251</v>
      </c>
    </row>
    <row r="49" spans="9:23" ht="16.8">
      <c r="I49" t="s">
        <v>253</v>
      </c>
      <c r="J49" t="s">
        <v>254</v>
      </c>
      <c r="K49" s="103"/>
      <c r="L49" s="104"/>
      <c r="V49" t="s">
        <v>253</v>
      </c>
      <c r="W49" t="s">
        <v>254</v>
      </c>
    </row>
    <row r="50" spans="9:23" ht="16.8">
      <c r="I50" t="s">
        <v>347</v>
      </c>
      <c r="J50" t="s">
        <v>348</v>
      </c>
      <c r="K50" s="105"/>
      <c r="L50" s="106"/>
      <c r="V50" t="s">
        <v>347</v>
      </c>
      <c r="W50" t="s">
        <v>348</v>
      </c>
    </row>
    <row r="51" spans="9:23" ht="16.8">
      <c r="I51" t="s">
        <v>349</v>
      </c>
      <c r="J51" t="s">
        <v>350</v>
      </c>
      <c r="K51" s="107"/>
      <c r="L51" s="108"/>
      <c r="V51" t="s">
        <v>349</v>
      </c>
      <c r="W51" t="s">
        <v>350</v>
      </c>
    </row>
    <row r="52" spans="9:23" ht="16.8">
      <c r="I52" t="s">
        <v>835</v>
      </c>
      <c r="J52" t="s">
        <v>836</v>
      </c>
      <c r="K52" s="109"/>
      <c r="L52" s="110"/>
      <c r="V52" t="s">
        <v>743</v>
      </c>
      <c r="W52" t="s">
        <v>744</v>
      </c>
    </row>
    <row r="53" spans="9:23" ht="16.8">
      <c r="K53" s="111"/>
      <c r="L53" s="112"/>
      <c r="V53" t="s">
        <v>798</v>
      </c>
      <c r="W53" t="s">
        <v>799</v>
      </c>
    </row>
    <row r="54" spans="9:23" ht="16.8">
      <c r="K54" s="113"/>
      <c r="L54" s="114"/>
      <c r="V54" t="s">
        <v>800</v>
      </c>
      <c r="W54" t="s">
        <v>801</v>
      </c>
    </row>
    <row r="55" spans="9:23" ht="16.8">
      <c r="K55" s="115"/>
      <c r="L55" s="116"/>
      <c r="V55" t="s">
        <v>835</v>
      </c>
      <c r="W55" t="s">
        <v>836</v>
      </c>
    </row>
    <row r="56" spans="9:23" ht="16.8">
      <c r="K56" s="117"/>
      <c r="L56" s="118"/>
      <c r="V56" t="s">
        <v>837</v>
      </c>
      <c r="W56" t="s">
        <v>838</v>
      </c>
    </row>
    <row r="57" spans="9:23" ht="16.8">
      <c r="K57" s="119"/>
      <c r="L57" s="120"/>
    </row>
    <row r="58" spans="9:23" ht="16.8">
      <c r="K58" s="121"/>
      <c r="L58" s="122"/>
    </row>
    <row r="59" spans="9:23" ht="16.8">
      <c r="K59" s="123"/>
      <c r="L59" s="124"/>
    </row>
    <row r="60" spans="9:23" ht="16.8">
      <c r="K60" s="125"/>
      <c r="L60" s="126"/>
    </row>
    <row r="61" spans="9:23" ht="16.8">
      <c r="K61" s="127"/>
      <c r="L61" s="128"/>
    </row>
    <row r="62" spans="9:23" ht="16.8">
      <c r="K62" s="129"/>
      <c r="L62" s="130"/>
    </row>
    <row r="63" spans="9:23" ht="16.8">
      <c r="K63" s="131"/>
      <c r="L63" s="132"/>
    </row>
    <row r="64" spans="9:23" ht="16.8">
      <c r="K64" s="133"/>
      <c r="L64" s="134"/>
    </row>
    <row r="65" spans="11:12" ht="16.8">
      <c r="K65" s="135"/>
      <c r="L65" s="136"/>
    </row>
    <row r="66" spans="11:12" ht="16.8">
      <c r="K66" s="137"/>
      <c r="L66" s="138"/>
    </row>
    <row r="67" spans="11:12" ht="16.8">
      <c r="K67" s="139"/>
      <c r="L67" s="140"/>
    </row>
    <row r="68" spans="11:12" ht="16.8">
      <c r="K68" s="141"/>
      <c r="L68" s="142"/>
    </row>
    <row r="69" spans="11:12" ht="16.8">
      <c r="K69" s="143"/>
      <c r="L69" s="144"/>
    </row>
    <row r="70" spans="11:12" ht="16.8">
      <c r="K70" s="145"/>
      <c r="L70" s="146"/>
    </row>
    <row r="71" spans="11:12" ht="16.8">
      <c r="K71" s="147"/>
      <c r="L71" s="148"/>
    </row>
    <row r="72" spans="11:12" ht="16.8">
      <c r="K72" s="149"/>
      <c r="L72" s="150"/>
    </row>
    <row r="73" spans="11:12" ht="16.8">
      <c r="K73" s="151"/>
      <c r="L73" s="152"/>
    </row>
    <row r="74" spans="11:12" ht="16.8">
      <c r="K74" s="153"/>
      <c r="L74" s="154"/>
    </row>
    <row r="75" spans="11:12" ht="16.8">
      <c r="K75" s="155"/>
      <c r="L75" s="156"/>
    </row>
    <row r="76" spans="11:12" ht="16.8">
      <c r="K76" s="157"/>
      <c r="L76" s="158"/>
    </row>
    <row r="77" spans="11:12" ht="16.8">
      <c r="K77" s="159"/>
      <c r="L77" s="160"/>
    </row>
    <row r="78" spans="11:12" ht="16.8">
      <c r="K78" s="161"/>
      <c r="L78" s="162"/>
    </row>
    <row r="79" spans="11:12" ht="16.8">
      <c r="K79" s="163"/>
      <c r="L79" s="164"/>
    </row>
    <row r="80" spans="11:12" ht="16.8">
      <c r="K80" s="165"/>
      <c r="L80" s="166"/>
    </row>
    <row r="81" spans="11:12" ht="16.8">
      <c r="K81" s="167"/>
      <c r="L81" s="168"/>
    </row>
    <row r="82" spans="11:12" ht="16.8">
      <c r="K82" s="169"/>
      <c r="L82" s="170"/>
    </row>
    <row r="83" spans="11:12" ht="16.8">
      <c r="K83" s="171"/>
      <c r="L83" s="172"/>
    </row>
    <row r="84" spans="11:12" ht="16.8">
      <c r="K84" s="173"/>
      <c r="L84" s="174"/>
    </row>
    <row r="85" spans="11:12" ht="16.8">
      <c r="K85" s="175"/>
      <c r="L85" s="176"/>
    </row>
    <row r="86" spans="11:12" ht="16.8">
      <c r="K86" s="177"/>
      <c r="L86" s="178"/>
    </row>
    <row r="87" spans="11:12" ht="16.8">
      <c r="K87" s="179"/>
      <c r="L87" s="180"/>
    </row>
    <row r="88" spans="11:12" ht="16.8">
      <c r="K88" s="181"/>
      <c r="L88" s="182"/>
    </row>
    <row r="89" spans="11:12" ht="16.8">
      <c r="K89" s="183"/>
      <c r="L89" s="184"/>
    </row>
    <row r="90" spans="11:12" ht="16.8">
      <c r="K90" s="185"/>
      <c r="L90" s="186"/>
    </row>
    <row r="91" spans="11:12" ht="16.8">
      <c r="K91" s="187"/>
      <c r="L91" s="188"/>
    </row>
    <row r="92" spans="11:12" ht="16.8">
      <c r="K92" s="189"/>
      <c r="L92" s="190"/>
    </row>
    <row r="93" spans="11:12" ht="16.8">
      <c r="K93" s="191"/>
      <c r="L93" s="192"/>
    </row>
    <row r="94" spans="11:12" ht="16.8">
      <c r="K94" s="193"/>
      <c r="L94" s="194"/>
    </row>
    <row r="95" spans="11:12" ht="16.8">
      <c r="K95" s="195"/>
      <c r="L95" s="196"/>
    </row>
    <row r="96" spans="11:12" ht="16.8">
      <c r="K96" s="197"/>
      <c r="L96" s="198"/>
    </row>
    <row r="97" spans="11:12" ht="16.8">
      <c r="K97" s="199"/>
      <c r="L97" s="200"/>
    </row>
    <row r="98" spans="11:12" ht="16.8">
      <c r="K98" s="201"/>
      <c r="L98" s="202"/>
    </row>
    <row r="99" spans="11:12" ht="16.8">
      <c r="K99" s="203"/>
      <c r="L99" s="204"/>
    </row>
    <row r="100" spans="11:12" ht="16.8">
      <c r="K100" s="205"/>
      <c r="L100" s="20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8"/>
  <sheetViews>
    <sheetView workbookViewId="0"/>
  </sheetViews>
  <sheetFormatPr baseColWidth="10" defaultRowHeight="13.8"/>
  <sheetData>
    <row r="1" spans="1:15" ht="15">
      <c r="A1" s="585" t="s">
        <v>255</v>
      </c>
      <c r="B1" s="586" t="s">
        <v>256</v>
      </c>
      <c r="C1" s="587" t="s">
        <v>257</v>
      </c>
      <c r="D1" s="588" t="s">
        <v>258</v>
      </c>
      <c r="E1" s="589" t="s">
        <v>259</v>
      </c>
      <c r="F1" s="590" t="s">
        <v>260</v>
      </c>
      <c r="G1" s="591" t="s">
        <v>261</v>
      </c>
      <c r="H1" s="592" t="s">
        <v>262</v>
      </c>
      <c r="I1" s="593" t="s">
        <v>263</v>
      </c>
      <c r="J1" s="594" t="s">
        <v>264</v>
      </c>
      <c r="K1" s="1990" t="s">
        <v>265</v>
      </c>
      <c r="L1" s="1989" t="s">
        <v>28</v>
      </c>
      <c r="M1" s="595"/>
      <c r="N1" s="596"/>
      <c r="O1" s="597"/>
    </row>
    <row r="2" spans="1:15" ht="15">
      <c r="A2" s="598">
        <v>1</v>
      </c>
      <c r="B2" s="599" t="s">
        <v>266</v>
      </c>
      <c r="C2" s="600" t="s">
        <v>267</v>
      </c>
      <c r="D2" s="601" t="s">
        <v>268</v>
      </c>
      <c r="E2" s="602" t="s">
        <v>269</v>
      </c>
      <c r="F2" s="603">
        <v>2011</v>
      </c>
      <c r="G2" s="604" t="s">
        <v>270</v>
      </c>
      <c r="H2" s="605">
        <v>6.5</v>
      </c>
      <c r="I2" s="606" t="s">
        <v>271</v>
      </c>
      <c r="J2" s="607" t="e">
        <f>IF(OR(ISBLANK(F2), F2=""),#REF!,#REF! - F2)</f>
        <v>#REF!</v>
      </c>
      <c r="K2" s="2317" t="e">
        <f>IF(I2="km/L", H2 / (1 + (J2 *#REF!)), H2 * (1 + (J2 *#REF!)))</f>
        <v>#REF!</v>
      </c>
      <c r="L2" s="1991" t="s">
        <v>55</v>
      </c>
      <c r="M2" s="608"/>
      <c r="N2" s="609"/>
      <c r="O2" s="610"/>
    </row>
    <row r="3" spans="1:15" ht="15">
      <c r="A3" s="611">
        <v>2</v>
      </c>
      <c r="B3" s="612" t="s">
        <v>266</v>
      </c>
      <c r="C3" s="613"/>
      <c r="D3" s="614" t="s">
        <v>272</v>
      </c>
      <c r="E3" s="615" t="s">
        <v>273</v>
      </c>
      <c r="F3" s="616">
        <v>2010</v>
      </c>
      <c r="G3" s="617" t="s">
        <v>274</v>
      </c>
      <c r="H3" s="618">
        <v>6.5</v>
      </c>
      <c r="I3" s="619" t="s">
        <v>271</v>
      </c>
      <c r="J3" s="620" t="e">
        <f>IF(OR(ISBLANK(F3), F3=""),#REF!,#REF! - F3)</f>
        <v>#REF!</v>
      </c>
      <c r="K3" s="2318" t="e">
        <f>IF(I3="km/L", H3 / (1 + (J3 *#REF!)), H3 * (1 + (J3 *#REF!)))</f>
        <v>#REF!</v>
      </c>
      <c r="L3" s="1992" t="s">
        <v>82</v>
      </c>
      <c r="M3" s="621"/>
      <c r="N3" s="622"/>
      <c r="O3" s="623"/>
    </row>
    <row r="4" spans="1:15" ht="15">
      <c r="A4" s="624">
        <v>3</v>
      </c>
      <c r="B4" s="625" t="s">
        <v>266</v>
      </c>
      <c r="C4" s="626" t="s">
        <v>267</v>
      </c>
      <c r="D4" s="627" t="s">
        <v>268</v>
      </c>
      <c r="E4" s="628" t="s">
        <v>269</v>
      </c>
      <c r="F4" s="629">
        <v>2010</v>
      </c>
      <c r="G4" s="630" t="s">
        <v>275</v>
      </c>
      <c r="H4" s="631">
        <v>6.5</v>
      </c>
      <c r="I4" s="632" t="s">
        <v>271</v>
      </c>
      <c r="J4" s="633" t="e">
        <f>IF(OR(ISBLANK(F4), F4=""),#REF!,#REF! - F4)</f>
        <v>#REF!</v>
      </c>
      <c r="K4" s="2319" t="e">
        <f>IF(I4="km/L", H4 / (1 + (J4 *#REF!)), H4 * (1 + (J4 *#REF!)))</f>
        <v>#REF!</v>
      </c>
      <c r="L4" s="1993" t="s">
        <v>196</v>
      </c>
      <c r="M4" s="634"/>
      <c r="N4" s="635"/>
      <c r="O4" s="636"/>
    </row>
    <row r="5" spans="1:15" ht="15">
      <c r="A5" s="637">
        <v>4</v>
      </c>
      <c r="B5" s="638" t="s">
        <v>276</v>
      </c>
      <c r="C5" s="639" t="s">
        <v>277</v>
      </c>
      <c r="D5" s="640" t="s">
        <v>278</v>
      </c>
      <c r="E5" s="641" t="s">
        <v>279</v>
      </c>
      <c r="F5" s="642">
        <v>2016</v>
      </c>
      <c r="G5" s="643">
        <v>14821687</v>
      </c>
      <c r="H5" s="644">
        <v>14.5</v>
      </c>
      <c r="I5" s="645" t="s">
        <v>271</v>
      </c>
      <c r="J5" s="646" t="e">
        <f>IF(OR(ISBLANK(F5), F5=""),#REF!,#REF! - F5)</f>
        <v>#REF!</v>
      </c>
      <c r="K5" s="2320" t="e">
        <f>IF(I5="km/L", H5 / (1 + (J5 *#REF!)), H5 * (1 + (J5 *#REF!)))</f>
        <v>#REF!</v>
      </c>
      <c r="L5" s="1994" t="s">
        <v>66</v>
      </c>
      <c r="M5" s="647"/>
      <c r="N5" s="648"/>
      <c r="O5" s="649"/>
    </row>
    <row r="6" spans="1:15" ht="15">
      <c r="A6" s="650">
        <v>5</v>
      </c>
      <c r="B6" s="651" t="s">
        <v>276</v>
      </c>
      <c r="C6" s="652" t="s">
        <v>267</v>
      </c>
      <c r="D6" s="653" t="s">
        <v>278</v>
      </c>
      <c r="E6" s="654" t="s">
        <v>280</v>
      </c>
      <c r="F6" s="655">
        <v>2009</v>
      </c>
      <c r="G6" s="656">
        <v>11821564</v>
      </c>
      <c r="H6" s="657">
        <v>14.5</v>
      </c>
      <c r="I6" s="658" t="s">
        <v>271</v>
      </c>
      <c r="J6" s="659" t="e">
        <f>IF(OR(ISBLANK(F6), F6=""),#REF!,#REF! - F6)</f>
        <v>#REF!</v>
      </c>
      <c r="K6" s="2321" t="e">
        <f>IF(I6="km/L", H6 / (1 + (J6 *#REF!)), H6 * (1 + (J6 *#REF!)))</f>
        <v>#REF!</v>
      </c>
      <c r="L6" s="1995" t="s">
        <v>87</v>
      </c>
      <c r="M6" s="660"/>
      <c r="N6" s="661"/>
      <c r="O6" s="662"/>
    </row>
    <row r="7" spans="1:15" ht="15">
      <c r="A7" s="663">
        <v>6</v>
      </c>
      <c r="B7" s="664" t="s">
        <v>276</v>
      </c>
      <c r="C7" s="665" t="s">
        <v>277</v>
      </c>
      <c r="D7" s="666" t="s">
        <v>278</v>
      </c>
      <c r="E7" s="667" t="s">
        <v>281</v>
      </c>
      <c r="F7" s="668">
        <v>2021</v>
      </c>
      <c r="G7" s="669">
        <v>14823977</v>
      </c>
      <c r="H7" s="670">
        <v>14.5</v>
      </c>
      <c r="I7" s="671" t="s">
        <v>271</v>
      </c>
      <c r="J7" s="672" t="e">
        <f>IF(OR(ISBLANK(F7), F7=""),#REF!,#REF! - F7)</f>
        <v>#REF!</v>
      </c>
      <c r="K7" s="2322" t="e">
        <f>IF(I7="km/L", H7 / (1 + (J7 *#REF!)), H7 * (1 + (J7 *#REF!)))</f>
        <v>#REF!</v>
      </c>
      <c r="L7" s="1996" t="s">
        <v>197</v>
      </c>
      <c r="M7" s="673"/>
      <c r="N7" s="674"/>
      <c r="O7" s="675"/>
    </row>
    <row r="8" spans="1:15" ht="15">
      <c r="A8" s="676">
        <v>7</v>
      </c>
      <c r="B8" s="677" t="s">
        <v>282</v>
      </c>
      <c r="C8" s="678" t="s">
        <v>277</v>
      </c>
      <c r="D8" s="679" t="s">
        <v>283</v>
      </c>
      <c r="E8" s="680" t="s">
        <v>284</v>
      </c>
      <c r="F8" s="681">
        <v>2015</v>
      </c>
      <c r="G8" s="682">
        <v>79816538</v>
      </c>
      <c r="H8" s="683">
        <v>65</v>
      </c>
      <c r="I8" s="684" t="s">
        <v>271</v>
      </c>
      <c r="J8" s="685" t="e">
        <f>IF(OR(ISBLANK(F8), F8=""),#REF!,#REF! - F8)</f>
        <v>#REF!</v>
      </c>
      <c r="K8" s="2323" t="e">
        <f>IF(I8="km/L", H8 / (1 + (J8 *#REF!)), H8 * (1 + (J8 *#REF!)))</f>
        <v>#REF!</v>
      </c>
      <c r="L8" s="1997" t="s">
        <v>68</v>
      </c>
      <c r="M8" s="686"/>
      <c r="N8" s="687"/>
      <c r="O8" s="688"/>
    </row>
    <row r="9" spans="1:15" ht="15">
      <c r="A9" s="689">
        <v>8</v>
      </c>
      <c r="B9" s="690" t="s">
        <v>282</v>
      </c>
      <c r="C9" s="691"/>
      <c r="D9" s="692" t="s">
        <v>283</v>
      </c>
      <c r="E9" s="693" t="s">
        <v>285</v>
      </c>
      <c r="F9" s="694">
        <v>2013</v>
      </c>
      <c r="G9" s="695">
        <v>79549560</v>
      </c>
      <c r="H9" s="696">
        <v>65</v>
      </c>
      <c r="I9" s="697" t="s">
        <v>271</v>
      </c>
      <c r="J9" s="698" t="e">
        <f>IF(OR(ISBLANK(F9), F9=""),#REF!,#REF! - F9)</f>
        <v>#REF!</v>
      </c>
      <c r="K9" s="2324" t="e">
        <f>IF(I9="km/L", H9 / (1 + (J9 *#REF!)), H9 * (1 + (J9 *#REF!)))</f>
        <v>#REF!</v>
      </c>
      <c r="L9" s="1998" t="s">
        <v>77</v>
      </c>
      <c r="M9" s="699"/>
      <c r="N9" s="700"/>
      <c r="O9" s="701"/>
    </row>
    <row r="10" spans="1:15" ht="15">
      <c r="A10" s="702">
        <v>9</v>
      </c>
      <c r="B10" s="703" t="s">
        <v>286</v>
      </c>
      <c r="C10" s="704" t="s">
        <v>277</v>
      </c>
      <c r="D10" s="705" t="s">
        <v>287</v>
      </c>
      <c r="E10" s="706" t="s">
        <v>288</v>
      </c>
      <c r="F10" s="707">
        <v>2010</v>
      </c>
      <c r="G10" s="708">
        <v>89602</v>
      </c>
      <c r="H10" s="709">
        <v>7.5</v>
      </c>
      <c r="I10" s="710" t="s">
        <v>271</v>
      </c>
      <c r="J10" s="711" t="e">
        <f>IF(OR(ISBLANK(F10), F10=""),#REF!,#REF! - F10)</f>
        <v>#REF!</v>
      </c>
      <c r="K10" s="2325" t="e">
        <f>IF(I10="km/L", H10 / (1 + (J10 *#REF!)), H10 * (1 + (J10 *#REF!)))</f>
        <v>#REF!</v>
      </c>
      <c r="L10" s="1999" t="s">
        <v>71</v>
      </c>
      <c r="M10" s="712"/>
      <c r="N10" s="713"/>
      <c r="O10" s="714"/>
    </row>
    <row r="11" spans="1:15" ht="15">
      <c r="A11" s="715">
        <v>10</v>
      </c>
      <c r="B11" s="716" t="s">
        <v>286</v>
      </c>
      <c r="C11" s="717" t="s">
        <v>267</v>
      </c>
      <c r="D11" s="718" t="s">
        <v>289</v>
      </c>
      <c r="E11" s="719" t="s">
        <v>290</v>
      </c>
      <c r="F11" s="720">
        <v>2016</v>
      </c>
      <c r="G11" s="721">
        <v>36864</v>
      </c>
      <c r="H11" s="722">
        <v>7.5</v>
      </c>
      <c r="I11" s="723" t="s">
        <v>271</v>
      </c>
      <c r="J11" s="724" t="e">
        <f>IF(OR(ISBLANK(F11), F11=""),#REF!,#REF! - F11)</f>
        <v>#REF!</v>
      </c>
      <c r="K11" s="2326" t="e">
        <f>IF(I11="km/L", H11 / (1 + (J11 *#REF!)), H11 * (1 + (J11 *#REF!)))</f>
        <v>#REF!</v>
      </c>
      <c r="L11" s="2000" t="s">
        <v>80</v>
      </c>
      <c r="M11" s="725"/>
      <c r="N11" s="726"/>
      <c r="O11" s="727"/>
    </row>
    <row r="12" spans="1:15" ht="15">
      <c r="A12" s="728">
        <v>11</v>
      </c>
      <c r="B12" s="729" t="s">
        <v>286</v>
      </c>
      <c r="C12" s="730"/>
      <c r="D12" s="731" t="s">
        <v>291</v>
      </c>
      <c r="E12" s="732" t="s">
        <v>292</v>
      </c>
      <c r="F12" s="733">
        <v>2015</v>
      </c>
      <c r="G12" s="734">
        <v>804108</v>
      </c>
      <c r="H12" s="735">
        <v>7.5</v>
      </c>
      <c r="I12" s="736" t="s">
        <v>271</v>
      </c>
      <c r="J12" s="737" t="e">
        <f>IF(OR(ISBLANK(F12), F12=""),#REF!,#REF! - F12)</f>
        <v>#REF!</v>
      </c>
      <c r="K12" s="2327" t="e">
        <f>IF(I12="km/L", H12 / (1 + (J12 *#REF!)), H12 * (1 + (J12 *#REF!)))</f>
        <v>#REF!</v>
      </c>
      <c r="L12" s="2001" t="s">
        <v>198</v>
      </c>
      <c r="M12" s="738"/>
      <c r="N12" s="739"/>
      <c r="O12" s="740"/>
    </row>
    <row r="13" spans="1:15" ht="15">
      <c r="A13" s="741">
        <v>12</v>
      </c>
      <c r="B13" s="742" t="s">
        <v>286</v>
      </c>
      <c r="C13" s="743" t="s">
        <v>277</v>
      </c>
      <c r="D13" s="744" t="s">
        <v>289</v>
      </c>
      <c r="E13" s="745" t="s">
        <v>290</v>
      </c>
      <c r="F13" s="746">
        <v>2017</v>
      </c>
      <c r="G13" s="747">
        <v>34091</v>
      </c>
      <c r="H13" s="748">
        <v>7.5</v>
      </c>
      <c r="I13" s="749" t="s">
        <v>271</v>
      </c>
      <c r="J13" s="750" t="e">
        <f>IF(OR(ISBLANK(F13), F13=""),#REF!,#REF! - F13)</f>
        <v>#REF!</v>
      </c>
      <c r="K13" s="2328" t="e">
        <f>IF(I13="km/L", H13 / (1 + (J13 *#REF!)), H13 * (1 + (J13 *#REF!)))</f>
        <v>#REF!</v>
      </c>
      <c r="L13" s="2002" t="s">
        <v>199</v>
      </c>
      <c r="M13" s="751"/>
      <c r="N13" s="752"/>
      <c r="O13" s="753"/>
    </row>
    <row r="14" spans="1:15" ht="15">
      <c r="A14" s="754">
        <v>13</v>
      </c>
      <c r="B14" s="755" t="s">
        <v>293</v>
      </c>
      <c r="C14" s="756" t="s">
        <v>267</v>
      </c>
      <c r="D14" s="757" t="s">
        <v>294</v>
      </c>
      <c r="E14" s="758" t="s">
        <v>295</v>
      </c>
      <c r="F14" s="759">
        <v>2010</v>
      </c>
      <c r="G14" s="760" t="s">
        <v>296</v>
      </c>
      <c r="H14" s="761">
        <v>12</v>
      </c>
      <c r="I14" s="762" t="s">
        <v>271</v>
      </c>
      <c r="J14" s="763" t="e">
        <f>IF(OR(ISBLANK(F14), F14=""),#REF!,#REF! - F14)</f>
        <v>#REF!</v>
      </c>
      <c r="K14" s="2329" t="e">
        <f>IF(I14="km/L", H14 / (1 + (J14 *#REF!)), H14 * (1 + (J14 *#REF!)))</f>
        <v>#REF!</v>
      </c>
      <c r="L14" s="2003" t="s">
        <v>105</v>
      </c>
      <c r="M14" s="764"/>
      <c r="N14" s="765"/>
      <c r="O14" s="766"/>
    </row>
    <row r="15" spans="1:15" ht="15">
      <c r="A15" s="767">
        <v>14</v>
      </c>
      <c r="B15" s="768" t="s">
        <v>293</v>
      </c>
      <c r="C15" s="769" t="s">
        <v>277</v>
      </c>
      <c r="D15" s="770" t="s">
        <v>294</v>
      </c>
      <c r="E15" s="771" t="s">
        <v>297</v>
      </c>
      <c r="F15" s="772">
        <v>2010</v>
      </c>
      <c r="G15" s="773" t="s">
        <v>298</v>
      </c>
      <c r="H15" s="774">
        <v>12</v>
      </c>
      <c r="I15" s="775" t="s">
        <v>271</v>
      </c>
      <c r="J15" s="776" t="e">
        <f>IF(OR(ISBLANK(F15), F15=""),#REF!,#REF! - F15)</f>
        <v>#REF!</v>
      </c>
      <c r="K15" s="2330" t="e">
        <f>IF(I15="km/L", H15 / (1 + (J15 *#REF!)), H15 * (1 + (J15 *#REF!)))</f>
        <v>#REF!</v>
      </c>
      <c r="L15" s="2004" t="s">
        <v>200</v>
      </c>
      <c r="M15" s="777"/>
      <c r="N15" s="778"/>
      <c r="O15" s="779"/>
    </row>
    <row r="16" spans="1:15" ht="15">
      <c r="A16" s="780">
        <v>15</v>
      </c>
      <c r="B16" s="781" t="s">
        <v>299</v>
      </c>
      <c r="C16" s="782" t="s">
        <v>267</v>
      </c>
      <c r="D16" s="783" t="s">
        <v>300</v>
      </c>
      <c r="E16" s="784" t="s">
        <v>301</v>
      </c>
      <c r="F16" s="785">
        <v>2014</v>
      </c>
      <c r="G16" s="786" t="s">
        <v>302</v>
      </c>
      <c r="H16" s="787">
        <v>12</v>
      </c>
      <c r="I16" s="788" t="s">
        <v>271</v>
      </c>
      <c r="J16" s="789" t="e">
        <f>IF(OR(ISBLANK(F16), F16=""),#REF!,#REF! - F16)</f>
        <v>#REF!</v>
      </c>
      <c r="K16" s="2331" t="e">
        <f>IF(I16="km/L", H16 / (1 + (J16 *#REF!)), H16 * (1 + (J16 *#REF!)))</f>
        <v>#REF!</v>
      </c>
      <c r="L16" s="2005" t="s">
        <v>89</v>
      </c>
      <c r="M16" s="790"/>
      <c r="N16" s="791"/>
      <c r="O16" s="792"/>
    </row>
    <row r="17" spans="1:15" ht="15">
      <c r="A17" s="793">
        <v>16</v>
      </c>
      <c r="B17" s="794" t="s">
        <v>303</v>
      </c>
      <c r="C17" s="795" t="s">
        <v>277</v>
      </c>
      <c r="D17" s="796" t="s">
        <v>304</v>
      </c>
      <c r="E17" s="797" t="s">
        <v>305</v>
      </c>
      <c r="F17" s="798">
        <v>2017</v>
      </c>
      <c r="G17" s="799" t="s">
        <v>306</v>
      </c>
      <c r="H17" s="800">
        <v>12</v>
      </c>
      <c r="I17" s="801" t="s">
        <v>271</v>
      </c>
      <c r="J17" s="802" t="e">
        <f>IF(OR(ISBLANK(F17), F17=""),#REF!,#REF! - F17)</f>
        <v>#REF!</v>
      </c>
      <c r="K17" s="2332" t="e">
        <f>IF(I17="km/L", H17 / (1 + (J17 *#REF!)), H17 * (1 + (J17 *#REF!)))</f>
        <v>#REF!</v>
      </c>
      <c r="L17" s="2006" t="s">
        <v>170</v>
      </c>
      <c r="M17" s="803"/>
      <c r="N17" s="804"/>
      <c r="O17" s="805"/>
    </row>
    <row r="18" spans="1:15" ht="15">
      <c r="A18" s="806">
        <v>17</v>
      </c>
      <c r="B18" s="807" t="s">
        <v>307</v>
      </c>
      <c r="C18" s="808" t="s">
        <v>267</v>
      </c>
      <c r="D18" s="809" t="s">
        <v>308</v>
      </c>
      <c r="E18" s="810" t="s">
        <v>309</v>
      </c>
      <c r="F18" s="811">
        <v>2010</v>
      </c>
      <c r="G18" s="812">
        <v>23620561</v>
      </c>
      <c r="H18" s="813">
        <v>9.5</v>
      </c>
      <c r="I18" s="814" t="s">
        <v>271</v>
      </c>
      <c r="J18" s="815" t="e">
        <f>IF(OR(ISBLANK(F18), F18=""),#REF!,#REF! - F18)</f>
        <v>#REF!</v>
      </c>
      <c r="K18" s="2333" t="e">
        <f>IF(I18="km/L", H18 / (1 + (J18 *#REF!)), H18 * (1 + (J18 *#REF!)))</f>
        <v>#REF!</v>
      </c>
      <c r="L18" s="2007" t="s">
        <v>72</v>
      </c>
      <c r="M18" s="816"/>
      <c r="N18" s="817"/>
      <c r="O18" s="818"/>
    </row>
    <row r="19" spans="1:15" ht="15">
      <c r="A19" s="819">
        <v>18</v>
      </c>
      <c r="B19" s="820" t="s">
        <v>310</v>
      </c>
      <c r="C19" s="821" t="s">
        <v>277</v>
      </c>
      <c r="D19" s="822" t="s">
        <v>311</v>
      </c>
      <c r="E19" s="823" t="s">
        <v>312</v>
      </c>
      <c r="F19" s="824">
        <v>2014</v>
      </c>
      <c r="G19" s="825" t="s">
        <v>313</v>
      </c>
      <c r="H19" s="826">
        <v>9.5</v>
      </c>
      <c r="I19" s="827" t="s">
        <v>271</v>
      </c>
      <c r="J19" s="828" t="e">
        <f>IF(OR(ISBLANK(F19), F19=""),#REF!,#REF! - F19)</f>
        <v>#REF!</v>
      </c>
      <c r="K19" s="2334" t="e">
        <f>IF(I19="km/L", H19 / (1 + (J19 *#REF!)), H19 * (1 + (J19 *#REF!)))</f>
        <v>#REF!</v>
      </c>
      <c r="L19" s="2008" t="s">
        <v>91</v>
      </c>
      <c r="M19" s="829"/>
      <c r="N19" s="830"/>
      <c r="O19" s="831"/>
    </row>
    <row r="20" spans="1:15" ht="15">
      <c r="A20" s="832">
        <v>19</v>
      </c>
      <c r="B20" s="833" t="s">
        <v>314</v>
      </c>
      <c r="C20" s="834"/>
      <c r="D20" s="835" t="s">
        <v>315</v>
      </c>
      <c r="E20" s="836" t="s">
        <v>316</v>
      </c>
      <c r="F20" s="837">
        <v>2017</v>
      </c>
      <c r="G20" s="838" t="s">
        <v>317</v>
      </c>
      <c r="H20" s="839">
        <v>9</v>
      </c>
      <c r="I20" s="840" t="s">
        <v>271</v>
      </c>
      <c r="J20" s="841" t="e">
        <f>IF(OR(ISBLANK(F20), F20=""),#REF!,#REF! - F20)</f>
        <v>#REF!</v>
      </c>
      <c r="K20" s="2335" t="e">
        <f>IF(I20="km/L", H20 / (1 + (J20 *#REF!)), H20 * (1 + (J20 *#REF!)))</f>
        <v>#REF!</v>
      </c>
      <c r="L20" s="2009" t="s">
        <v>99</v>
      </c>
      <c r="M20" s="842"/>
      <c r="N20" s="843"/>
      <c r="O20" s="844"/>
    </row>
    <row r="21" spans="1:15" ht="15">
      <c r="A21" s="845">
        <v>20</v>
      </c>
      <c r="B21" s="846" t="s">
        <v>314</v>
      </c>
      <c r="C21" s="847"/>
      <c r="D21" s="848" t="s">
        <v>315</v>
      </c>
      <c r="E21" s="849" t="s">
        <v>316</v>
      </c>
      <c r="F21" s="850">
        <v>2017</v>
      </c>
      <c r="G21" s="851" t="s">
        <v>318</v>
      </c>
      <c r="H21" s="852">
        <v>9</v>
      </c>
      <c r="I21" s="853" t="s">
        <v>271</v>
      </c>
      <c r="J21" s="854" t="e">
        <f>IF(OR(ISBLANK(F21), F21=""),#REF!,#REF! - F21)</f>
        <v>#REF!</v>
      </c>
      <c r="K21" s="2336" t="e">
        <f>IF(I21="km/L", H21 / (1 + (J21 *#REF!)), H21 * (1 + (J21 *#REF!)))</f>
        <v>#REF!</v>
      </c>
      <c r="L21" s="2010" t="s">
        <v>201</v>
      </c>
      <c r="M21" s="855"/>
      <c r="N21" s="856"/>
      <c r="O21" s="857"/>
    </row>
    <row r="22" spans="1:15" ht="15">
      <c r="A22" s="858">
        <v>21</v>
      </c>
      <c r="B22" s="859" t="s">
        <v>266</v>
      </c>
      <c r="C22" s="860"/>
      <c r="D22" s="861" t="s">
        <v>268</v>
      </c>
      <c r="E22" s="862" t="s">
        <v>319</v>
      </c>
      <c r="F22" s="863"/>
      <c r="G22" s="864" t="s">
        <v>320</v>
      </c>
      <c r="H22" s="865">
        <v>6.5</v>
      </c>
      <c r="I22" s="866" t="s">
        <v>271</v>
      </c>
      <c r="J22" s="867" t="e">
        <f>IF(OR(ISBLANK(F22), F22=""),#REF!,#REF! - F22)</f>
        <v>#REF!</v>
      </c>
      <c r="K22" s="2337" t="e">
        <f>IF(I22="km/L", H22 / (1 + (J22 *#REF!)), H22 * (1 + (J22 *#REF!)))</f>
        <v>#REF!</v>
      </c>
      <c r="L22" s="2011" t="s">
        <v>202</v>
      </c>
      <c r="M22" s="868"/>
      <c r="N22" s="869"/>
      <c r="O22" s="870"/>
    </row>
    <row r="23" spans="1:15" ht="15">
      <c r="A23" s="871">
        <v>22</v>
      </c>
      <c r="B23" s="872" t="s">
        <v>286</v>
      </c>
      <c r="C23" s="873"/>
      <c r="D23" s="874" t="s">
        <v>321</v>
      </c>
      <c r="E23" s="875" t="s">
        <v>322</v>
      </c>
      <c r="F23" s="876"/>
      <c r="G23" s="877">
        <v>407123</v>
      </c>
      <c r="H23" s="878">
        <v>7.5</v>
      </c>
      <c r="I23" s="879" t="s">
        <v>271</v>
      </c>
      <c r="J23" s="880" t="e">
        <f>IF(OR(ISBLANK(F23), F23=""),#REF!,#REF! - F23)</f>
        <v>#REF!</v>
      </c>
      <c r="K23" s="2338" t="e">
        <f>IF(I23="km/L", H23 / (1 + (J23 *#REF!)), H23 * (1 + (J23 *#REF!)))</f>
        <v>#REF!</v>
      </c>
      <c r="L23" s="2012" t="s">
        <v>203</v>
      </c>
      <c r="M23" s="881"/>
      <c r="N23" s="882"/>
      <c r="O23" s="883"/>
    </row>
    <row r="24" spans="1:15" ht="15">
      <c r="A24" s="884">
        <v>23</v>
      </c>
      <c r="B24" s="885" t="s">
        <v>266</v>
      </c>
      <c r="C24" s="886"/>
      <c r="D24" s="887" t="s">
        <v>272</v>
      </c>
      <c r="E24" s="888" t="s">
        <v>323</v>
      </c>
      <c r="F24" s="889"/>
      <c r="G24" s="890" t="s">
        <v>324</v>
      </c>
      <c r="H24" s="891">
        <v>6.5</v>
      </c>
      <c r="I24" s="892" t="s">
        <v>271</v>
      </c>
      <c r="J24" s="893" t="e">
        <f>IF(OR(ISBLANK(F24), F24=""),#REF!,#REF! - F24)</f>
        <v>#REF!</v>
      </c>
      <c r="K24" s="2339" t="e">
        <f>IF(I24="km/L", H24 / (1 + (J24 *#REF!)), H24 * (1 + (J24 *#REF!)))</f>
        <v>#REF!</v>
      </c>
      <c r="L24" s="2013" t="s">
        <v>204</v>
      </c>
      <c r="M24" s="894"/>
      <c r="N24" s="895"/>
      <c r="O24" s="896"/>
    </row>
    <row r="25" spans="1:15" ht="15">
      <c r="A25" s="897">
        <v>24</v>
      </c>
      <c r="B25" s="898" t="s">
        <v>286</v>
      </c>
      <c r="C25" s="899"/>
      <c r="D25" s="900" t="s">
        <v>321</v>
      </c>
      <c r="E25" s="901" t="s">
        <v>322</v>
      </c>
      <c r="F25" s="902"/>
      <c r="G25" s="903">
        <v>408531</v>
      </c>
      <c r="H25" s="904">
        <v>7.5</v>
      </c>
      <c r="I25" s="905" t="s">
        <v>271</v>
      </c>
      <c r="J25" s="906" t="e">
        <f>IF(OR(ISBLANK(F25), F25=""),#REF!,#REF! - F25)</f>
        <v>#REF!</v>
      </c>
      <c r="K25" s="2340" t="e">
        <f>IF(I25="km/L", H25 / (1 + (J25 *#REF!)), H25 * (1 + (J25 *#REF!)))</f>
        <v>#REF!</v>
      </c>
      <c r="L25" s="2014" t="s">
        <v>205</v>
      </c>
      <c r="M25" s="907"/>
      <c r="N25" s="908"/>
      <c r="O25" s="909"/>
    </row>
    <row r="26" spans="1:15" ht="15">
      <c r="A26" s="910">
        <v>25</v>
      </c>
      <c r="B26" s="911" t="s">
        <v>325</v>
      </c>
      <c r="C26" s="912"/>
      <c r="D26" s="913" t="s">
        <v>326</v>
      </c>
      <c r="E26" s="914" t="s">
        <v>327</v>
      </c>
      <c r="F26" s="915"/>
      <c r="G26" s="916">
        <v>189989</v>
      </c>
      <c r="H26" s="917">
        <v>12</v>
      </c>
      <c r="I26" s="918" t="s">
        <v>271</v>
      </c>
      <c r="J26" s="919" t="e">
        <f>IF(OR(ISBLANK(F26), F26=""),#REF!,#REF! - F26)</f>
        <v>#REF!</v>
      </c>
      <c r="K26" s="2341" t="e">
        <f>IF(I26="km/L", H26 / (1 + (J26 *#REF!)), H26 * (1 + (J26 *#REF!)))</f>
        <v>#REF!</v>
      </c>
      <c r="L26" s="2015" t="s">
        <v>206</v>
      </c>
      <c r="M26" s="920"/>
      <c r="N26" s="921"/>
      <c r="O26" s="922"/>
    </row>
    <row r="27" spans="1:15" ht="15">
      <c r="A27" s="923">
        <v>26</v>
      </c>
      <c r="B27" s="924" t="s">
        <v>328</v>
      </c>
      <c r="C27" s="925"/>
      <c r="D27" s="926" t="s">
        <v>283</v>
      </c>
      <c r="E27" s="927"/>
      <c r="F27" s="928"/>
      <c r="G27" s="929" t="s">
        <v>329</v>
      </c>
      <c r="H27" s="930">
        <v>30</v>
      </c>
      <c r="I27" s="931" t="s">
        <v>271</v>
      </c>
      <c r="J27" s="932" t="e">
        <f>IF(OR(ISBLANK(F27), F27=""),#REF!,#REF! - F27)</f>
        <v>#REF!</v>
      </c>
      <c r="K27" s="2342" t="e">
        <f>IF(I27="km/L", H27 / (1 + (J27 *#REF!)), H27 * (1 + (J27 *#REF!)))</f>
        <v>#REF!</v>
      </c>
      <c r="L27" s="2016" t="s">
        <v>84</v>
      </c>
      <c r="M27" s="933"/>
      <c r="N27" s="934"/>
      <c r="O27" s="935"/>
    </row>
    <row r="28" spans="1:15" ht="15">
      <c r="A28" s="936">
        <v>27</v>
      </c>
      <c r="B28" s="937" t="s">
        <v>330</v>
      </c>
      <c r="C28" s="938" t="s">
        <v>277</v>
      </c>
      <c r="D28" s="939" t="s">
        <v>331</v>
      </c>
      <c r="E28" s="940">
        <v>4300</v>
      </c>
      <c r="F28" s="941">
        <v>2013</v>
      </c>
      <c r="G28" s="942" t="s">
        <v>332</v>
      </c>
      <c r="H28" s="943">
        <v>3.5</v>
      </c>
      <c r="I28" s="944" t="s">
        <v>333</v>
      </c>
      <c r="J28" s="945" t="e">
        <f>IF(OR(ISBLANK(F28), F28=""),#REF!,#REF! - F28)</f>
        <v>#REF!</v>
      </c>
      <c r="K28" s="2343" t="e">
        <f>IF(I28="km/L", H28 / (1 + (J28 *#REF!)), H28 * (1 + (J28 *#REF!)))</f>
        <v>#REF!</v>
      </c>
      <c r="L28" s="2017" t="s">
        <v>95</v>
      </c>
      <c r="M28" s="946"/>
      <c r="N28" s="947"/>
      <c r="O28" s="948"/>
    </row>
    <row r="29" spans="1:15" ht="15">
      <c r="A29" s="949">
        <v>28</v>
      </c>
      <c r="B29" s="950" t="s">
        <v>330</v>
      </c>
      <c r="C29" s="951" t="s">
        <v>277</v>
      </c>
      <c r="D29" s="952" t="s">
        <v>331</v>
      </c>
      <c r="E29" s="953" t="s">
        <v>334</v>
      </c>
      <c r="F29" s="954">
        <v>1998</v>
      </c>
      <c r="G29" s="955" t="s">
        <v>335</v>
      </c>
      <c r="H29" s="956">
        <v>3.5</v>
      </c>
      <c r="I29" s="957" t="s">
        <v>333</v>
      </c>
      <c r="J29" s="958" t="e">
        <f>IF(OR(ISBLANK(F29), F29=""),#REF!,#REF! - F29)</f>
        <v>#REF!</v>
      </c>
      <c r="K29" s="2344" t="e">
        <f>IF(I29="km/L", H29 / (1 + (J29 *#REF!)), H29 * (1 + (J29 *#REF!)))</f>
        <v>#REF!</v>
      </c>
      <c r="L29" s="2018" t="s">
        <v>207</v>
      </c>
      <c r="M29" s="959"/>
      <c r="N29" s="960"/>
      <c r="O29" s="961"/>
    </row>
    <row r="30" spans="1:15" ht="15">
      <c r="A30" s="962">
        <v>29</v>
      </c>
      <c r="B30" s="963" t="s">
        <v>336</v>
      </c>
      <c r="C30" s="964" t="s">
        <v>277</v>
      </c>
      <c r="D30" s="965" t="s">
        <v>331</v>
      </c>
      <c r="E30" s="966" t="s">
        <v>334</v>
      </c>
      <c r="F30" s="967">
        <v>1998</v>
      </c>
      <c r="G30" s="968" t="s">
        <v>337</v>
      </c>
      <c r="H30" s="969">
        <v>10</v>
      </c>
      <c r="I30" s="970" t="s">
        <v>271</v>
      </c>
      <c r="J30" s="971" t="e">
        <f>IF(OR(ISBLANK(F30), F30=""),#REF!,#REF! - F30)</f>
        <v>#REF!</v>
      </c>
      <c r="K30" s="2345" t="e">
        <f>IF(I30="km/L", H30 / (1 + (J30 *#REF!)), H30 * (1 + (J30 *#REF!)))</f>
        <v>#REF!</v>
      </c>
      <c r="L30" s="2019" t="s">
        <v>59</v>
      </c>
      <c r="M30" s="972"/>
      <c r="N30" s="973"/>
      <c r="O30" s="974"/>
    </row>
    <row r="31" spans="1:15" ht="15">
      <c r="A31" s="975">
        <v>30</v>
      </c>
      <c r="B31" s="976" t="s">
        <v>338</v>
      </c>
      <c r="C31" s="977"/>
      <c r="D31" s="978" t="s">
        <v>339</v>
      </c>
      <c r="E31" s="979"/>
      <c r="F31" s="980">
        <v>2003</v>
      </c>
      <c r="G31" s="981" t="s">
        <v>340</v>
      </c>
      <c r="H31" s="982">
        <v>10</v>
      </c>
      <c r="I31" s="983" t="s">
        <v>271</v>
      </c>
      <c r="J31" s="984" t="e">
        <f>IF(OR(ISBLANK(F31), F31=""),#REF!,#REF! - F31)</f>
        <v>#REF!</v>
      </c>
      <c r="K31" s="2346" t="e">
        <f>IF(I31="km/L", H31 / (1 + (J31 *#REF!)), H31 * (1 + (J31 *#REF!)))</f>
        <v>#REF!</v>
      </c>
      <c r="L31" s="2020" t="s">
        <v>93</v>
      </c>
      <c r="M31" s="985"/>
      <c r="N31" s="986"/>
      <c r="O31" s="987"/>
    </row>
    <row r="32" spans="1:15" ht="15">
      <c r="A32" s="988">
        <v>31</v>
      </c>
      <c r="B32" s="989" t="s">
        <v>341</v>
      </c>
      <c r="C32" s="990" t="s">
        <v>277</v>
      </c>
      <c r="D32" s="991" t="s">
        <v>331</v>
      </c>
      <c r="E32" s="992"/>
      <c r="F32" s="993"/>
      <c r="G32" s="994" t="s">
        <v>342</v>
      </c>
      <c r="H32" s="995">
        <v>3.5</v>
      </c>
      <c r="I32" s="996" t="s">
        <v>333</v>
      </c>
      <c r="J32" s="997" t="e">
        <f>IF(OR(ISBLANK(F32), F32=""),#REF!,#REF! - F32)</f>
        <v>#REF!</v>
      </c>
      <c r="K32" s="2347" t="e">
        <f>IF(I32="km/L", H32 / (1 + (J32 *#REF!)), H32 * (1 + (J32 *#REF!)))</f>
        <v>#REF!</v>
      </c>
      <c r="L32" s="2021" t="s">
        <v>61</v>
      </c>
      <c r="M32" s="998"/>
      <c r="N32" s="999"/>
      <c r="O32" s="1000"/>
    </row>
    <row r="33" spans="1:15" ht="15">
      <c r="A33" s="1001">
        <v>32</v>
      </c>
      <c r="B33" s="1002" t="s">
        <v>343</v>
      </c>
      <c r="C33" s="1003"/>
      <c r="D33" s="1004" t="s">
        <v>344</v>
      </c>
      <c r="E33" s="1005" t="s">
        <v>345</v>
      </c>
      <c r="F33" s="1006"/>
      <c r="G33" s="1007" t="s">
        <v>346</v>
      </c>
      <c r="H33" s="1008">
        <v>12</v>
      </c>
      <c r="I33" s="1009" t="s">
        <v>271</v>
      </c>
      <c r="J33" s="1010" t="e">
        <f>IF(OR(ISBLANK(F33), F33=""),#REF!,#REF! - F33)</f>
        <v>#REF!</v>
      </c>
      <c r="K33" s="2348" t="e">
        <f>IF(I33="km/L", H33 / (1 + (J33 *#REF!)), H33 * (1 + (J33 *#REF!)))</f>
        <v>#REF!</v>
      </c>
      <c r="L33" s="2022" t="s">
        <v>208</v>
      </c>
      <c r="M33" s="1011"/>
      <c r="N33" s="1012"/>
      <c r="O33" s="1013"/>
    </row>
    <row r="34" spans="1:15">
      <c r="A34" s="1014"/>
      <c r="B34" s="1015"/>
      <c r="C34" s="1016"/>
      <c r="D34" s="1017"/>
      <c r="E34" s="1018"/>
      <c r="F34" s="1019"/>
      <c r="G34" s="1020"/>
      <c r="H34" s="1021"/>
      <c r="I34" s="1022"/>
      <c r="J34" s="1023"/>
      <c r="K34" s="1024"/>
      <c r="L34" s="1025"/>
      <c r="M34" s="1026"/>
      <c r="N34" s="1027"/>
      <c r="O34" s="1028"/>
    </row>
    <row r="35" spans="1:15">
      <c r="A35" s="1029"/>
      <c r="B35" s="1030"/>
      <c r="C35" s="1031"/>
      <c r="D35" s="1032"/>
      <c r="E35" s="1033"/>
      <c r="F35" s="1034"/>
      <c r="G35" s="1035"/>
      <c r="H35" s="1036"/>
      <c r="I35" s="1037"/>
      <c r="J35" s="1038"/>
      <c r="K35" s="1039"/>
      <c r="L35" s="1040"/>
      <c r="M35" s="1041"/>
      <c r="N35" s="1042"/>
      <c r="O35" s="1043"/>
    </row>
    <row r="36" spans="1:15">
      <c r="A36" s="1044"/>
      <c r="B36" s="1045"/>
      <c r="C36" s="1046"/>
      <c r="D36" s="1047"/>
      <c r="E36" s="1048"/>
      <c r="F36" s="1049"/>
      <c r="G36" s="1050"/>
      <c r="H36" s="1051"/>
      <c r="I36" s="1052"/>
      <c r="J36" s="1053"/>
      <c r="K36" s="1054"/>
      <c r="L36" s="1055"/>
      <c r="M36" s="1056"/>
      <c r="N36" s="1057"/>
      <c r="O36" s="1058"/>
    </row>
    <row r="37" spans="1:15">
      <c r="A37" s="1059"/>
      <c r="B37" s="1060"/>
      <c r="C37" s="1061"/>
      <c r="D37" s="1062"/>
      <c r="E37" s="1063"/>
      <c r="F37" s="1064"/>
      <c r="G37" s="1065"/>
      <c r="H37" s="1066"/>
      <c r="I37" s="1067"/>
      <c r="J37" s="1068"/>
      <c r="K37" s="1069"/>
      <c r="L37" s="1070"/>
      <c r="M37" s="1071"/>
      <c r="N37" s="1072"/>
      <c r="O37" s="1073"/>
    </row>
    <row r="38" spans="1:15">
      <c r="A38" s="1074"/>
      <c r="B38" s="1075"/>
      <c r="C38" s="1076"/>
      <c r="D38" s="1077"/>
      <c r="E38" s="1078"/>
      <c r="F38" s="1079"/>
      <c r="G38" s="1080"/>
      <c r="H38" s="1081"/>
      <c r="I38" s="1082"/>
      <c r="J38" s="1083"/>
      <c r="K38" s="1084"/>
      <c r="L38" s="1085"/>
      <c r="M38" s="1086"/>
      <c r="N38" s="1087"/>
      <c r="O38" s="1088"/>
    </row>
    <row r="39" spans="1:15">
      <c r="A39" s="1089"/>
      <c r="B39" s="1090"/>
      <c r="C39" s="1091"/>
      <c r="D39" s="1092"/>
      <c r="E39" s="1093"/>
      <c r="F39" s="1094"/>
      <c r="G39" s="1095"/>
      <c r="H39" s="1096"/>
      <c r="I39" s="1097"/>
      <c r="J39" s="1098"/>
      <c r="K39" s="1099"/>
      <c r="L39" s="1100"/>
      <c r="M39" s="1101"/>
      <c r="N39" s="1102"/>
      <c r="O39" s="1103"/>
    </row>
    <row r="40" spans="1:15">
      <c r="A40" s="1104"/>
      <c r="B40" s="1105"/>
      <c r="C40" s="1106"/>
      <c r="D40" s="1107"/>
      <c r="E40" s="1108"/>
      <c r="F40" s="1109"/>
      <c r="G40" s="1110"/>
      <c r="H40" s="1111"/>
      <c r="I40" s="1112"/>
      <c r="J40" s="1113"/>
      <c r="K40" s="1114"/>
      <c r="L40" s="1115"/>
      <c r="M40" s="1116"/>
      <c r="N40" s="1117"/>
      <c r="O40" s="1118"/>
    </row>
    <row r="41" spans="1:15">
      <c r="A41" s="1119"/>
      <c r="B41" s="1120"/>
      <c r="C41" s="1121"/>
      <c r="D41" s="1122"/>
      <c r="E41" s="1123"/>
      <c r="F41" s="1124"/>
      <c r="G41" s="1125"/>
      <c r="H41" s="1126"/>
      <c r="I41" s="1127"/>
      <c r="J41" s="1128"/>
      <c r="K41" s="1129"/>
      <c r="L41" s="1130"/>
      <c r="M41" s="1131"/>
      <c r="N41" s="1132"/>
      <c r="O41" s="1133"/>
    </row>
    <row r="42" spans="1:15">
      <c r="A42" s="1134"/>
      <c r="B42" s="1135"/>
      <c r="C42" s="1136"/>
      <c r="D42" s="1137"/>
      <c r="E42" s="1138"/>
      <c r="F42" s="1139"/>
      <c r="G42" s="1140"/>
      <c r="H42" s="1141"/>
      <c r="I42" s="1142"/>
      <c r="J42" s="1143"/>
      <c r="K42" s="1144"/>
      <c r="L42" s="1145"/>
      <c r="M42" s="1146"/>
      <c r="N42" s="1147"/>
      <c r="O42" s="1148"/>
    </row>
    <row r="43" spans="1:15">
      <c r="A43" s="1149"/>
      <c r="B43" s="1150"/>
      <c r="C43" s="1151"/>
      <c r="D43" s="1152"/>
      <c r="E43" s="1153"/>
      <c r="F43" s="1154"/>
      <c r="G43" s="1155"/>
      <c r="H43" s="1156"/>
      <c r="I43" s="1157"/>
      <c r="J43" s="1158"/>
      <c r="K43" s="1159"/>
      <c r="L43" s="1160"/>
      <c r="M43" s="1161"/>
      <c r="N43" s="1162"/>
      <c r="O43" s="1163"/>
    </row>
    <row r="44" spans="1:15">
      <c r="A44" s="1164"/>
      <c r="B44" s="1165"/>
      <c r="C44" s="1166"/>
      <c r="D44" s="1167"/>
      <c r="E44" s="1168"/>
      <c r="F44" s="1169"/>
      <c r="G44" s="1170"/>
      <c r="H44" s="1171"/>
      <c r="I44" s="1172"/>
      <c r="J44" s="1173"/>
      <c r="K44" s="1174"/>
      <c r="L44" s="1175"/>
      <c r="M44" s="1176"/>
      <c r="N44" s="1177"/>
      <c r="O44" s="1178"/>
    </row>
    <row r="45" spans="1:15">
      <c r="A45" s="1179"/>
      <c r="B45" s="1180"/>
      <c r="C45" s="1181"/>
      <c r="D45" s="1182"/>
      <c r="E45" s="1183"/>
      <c r="F45" s="1184"/>
      <c r="G45" s="1185"/>
      <c r="H45" s="1186"/>
      <c r="I45" s="1187"/>
      <c r="J45" s="1188"/>
      <c r="K45" s="1189"/>
      <c r="L45" s="1190"/>
      <c r="M45" s="1191"/>
      <c r="N45" s="1192"/>
      <c r="O45" s="1193"/>
    </row>
    <row r="46" spans="1:15">
      <c r="A46" s="1194"/>
      <c r="B46" s="1195"/>
      <c r="C46" s="1196"/>
      <c r="D46" s="1197"/>
      <c r="E46" s="1198"/>
      <c r="F46" s="1199"/>
      <c r="G46" s="1200"/>
      <c r="H46" s="1201"/>
      <c r="I46" s="1202"/>
      <c r="J46" s="1203"/>
      <c r="K46" s="1204"/>
      <c r="L46" s="1205"/>
      <c r="M46" s="1206"/>
      <c r="N46" s="1207"/>
      <c r="O46" s="1208"/>
    </row>
    <row r="47" spans="1:15">
      <c r="A47" s="1209"/>
      <c r="B47" s="1210"/>
      <c r="C47" s="1211"/>
      <c r="D47" s="1212"/>
      <c r="E47" s="1213"/>
      <c r="F47" s="1214"/>
      <c r="G47" s="1215"/>
      <c r="H47" s="1216"/>
      <c r="I47" s="1217"/>
      <c r="J47" s="1218"/>
      <c r="K47" s="1219"/>
      <c r="L47" s="1220"/>
      <c r="M47" s="1221"/>
      <c r="N47" s="1222"/>
      <c r="O47" s="1223"/>
    </row>
    <row r="48" spans="1:15">
      <c r="A48" s="1224"/>
      <c r="B48" s="1225"/>
      <c r="C48" s="1226"/>
      <c r="D48" s="1227"/>
      <c r="E48" s="1228"/>
      <c r="F48" s="1229"/>
      <c r="G48" s="1230"/>
      <c r="H48" s="1231"/>
      <c r="I48" s="1232"/>
      <c r="J48" s="1233"/>
      <c r="K48" s="1234"/>
      <c r="L48" s="1235"/>
      <c r="M48" s="1236"/>
      <c r="N48" s="1237"/>
      <c r="O48" s="1238"/>
    </row>
    <row r="49" spans="1:15">
      <c r="A49" s="1239"/>
      <c r="B49" s="1240"/>
      <c r="C49" s="1241"/>
      <c r="D49" s="1242"/>
      <c r="E49" s="1243"/>
      <c r="F49" s="1244"/>
      <c r="G49" s="1245"/>
      <c r="H49" s="1246"/>
      <c r="I49" s="1247"/>
      <c r="J49" s="1248"/>
      <c r="K49" s="1249"/>
      <c r="L49" s="1250"/>
      <c r="M49" s="1251"/>
      <c r="N49" s="1252"/>
      <c r="O49" s="1253"/>
    </row>
    <row r="50" spans="1:15">
      <c r="A50" s="1254"/>
      <c r="B50" s="1255"/>
      <c r="C50" s="1256"/>
      <c r="D50" s="1257"/>
      <c r="E50" s="1258"/>
      <c r="F50" s="1259"/>
      <c r="G50" s="1260"/>
      <c r="H50" s="1261"/>
      <c r="I50" s="1262"/>
      <c r="J50" s="1263"/>
      <c r="K50" s="1264"/>
      <c r="L50" s="1265"/>
      <c r="M50" s="1266"/>
      <c r="N50" s="1267"/>
      <c r="O50" s="1268"/>
    </row>
    <row r="51" spans="1:15">
      <c r="A51" s="1269"/>
      <c r="B51" s="1270"/>
      <c r="C51" s="1271"/>
      <c r="D51" s="1272"/>
      <c r="E51" s="1273"/>
      <c r="F51" s="1274"/>
      <c r="G51" s="1275"/>
      <c r="H51" s="1276"/>
      <c r="I51" s="1277"/>
      <c r="J51" s="1278"/>
      <c r="K51" s="1279"/>
      <c r="L51" s="1280"/>
      <c r="M51" s="1281"/>
      <c r="N51" s="1282"/>
      <c r="O51" s="1283"/>
    </row>
    <row r="52" spans="1:15">
      <c r="A52" s="1284"/>
      <c r="B52" s="1285"/>
      <c r="C52" s="1286"/>
      <c r="D52" s="1287"/>
      <c r="E52" s="1288"/>
      <c r="F52" s="1289"/>
      <c r="G52" s="1290"/>
      <c r="H52" s="1291"/>
      <c r="I52" s="1292"/>
      <c r="J52" s="1293"/>
      <c r="K52" s="1294"/>
      <c r="L52" s="1295"/>
      <c r="M52" s="1296"/>
      <c r="N52" s="1297"/>
      <c r="O52" s="1298"/>
    </row>
    <row r="53" spans="1:15">
      <c r="A53" s="1299"/>
      <c r="B53" s="1300"/>
      <c r="C53" s="1301"/>
      <c r="D53" s="1302"/>
      <c r="E53" s="1303"/>
      <c r="F53" s="1304"/>
      <c r="G53" s="1305"/>
      <c r="H53" s="1306"/>
      <c r="I53" s="1307"/>
      <c r="J53" s="1308"/>
      <c r="K53" s="1309"/>
      <c r="L53" s="1310"/>
      <c r="M53" s="1311"/>
      <c r="N53" s="1312"/>
      <c r="O53" s="1313"/>
    </row>
    <row r="54" spans="1:15">
      <c r="A54" s="1314"/>
      <c r="B54" s="1315"/>
      <c r="C54" s="1316"/>
      <c r="D54" s="1317"/>
      <c r="E54" s="1318"/>
      <c r="F54" s="1319"/>
      <c r="G54" s="1320"/>
      <c r="H54" s="1321"/>
      <c r="I54" s="1322"/>
      <c r="J54" s="1323"/>
      <c r="K54" s="1324"/>
      <c r="L54" s="1325"/>
      <c r="M54" s="1326"/>
      <c r="N54" s="1327"/>
      <c r="O54" s="1328"/>
    </row>
    <row r="55" spans="1:15">
      <c r="A55" s="1329"/>
      <c r="B55" s="1330"/>
      <c r="C55" s="1331"/>
      <c r="D55" s="1332"/>
      <c r="E55" s="1333"/>
      <c r="F55" s="1334"/>
      <c r="G55" s="1335"/>
      <c r="H55" s="1336"/>
      <c r="I55" s="1337"/>
      <c r="J55" s="1338"/>
      <c r="K55" s="1339"/>
      <c r="L55" s="1340"/>
      <c r="M55" s="1341"/>
      <c r="N55" s="1342"/>
      <c r="O55" s="1343"/>
    </row>
    <row r="56" spans="1:15">
      <c r="A56" s="1344"/>
      <c r="B56" s="1345"/>
      <c r="C56" s="1346"/>
      <c r="D56" s="1347"/>
      <c r="E56" s="1348"/>
      <c r="F56" s="1349"/>
      <c r="G56" s="1350"/>
      <c r="H56" s="1351"/>
      <c r="I56" s="1352"/>
      <c r="J56" s="1353"/>
      <c r="K56" s="1354"/>
      <c r="L56" s="1355"/>
      <c r="M56" s="1356"/>
      <c r="N56" s="1357"/>
      <c r="O56" s="1358"/>
    </row>
    <row r="57" spans="1:15">
      <c r="A57" s="1359"/>
      <c r="B57" s="1360"/>
      <c r="C57" s="1361"/>
      <c r="D57" s="1362"/>
      <c r="E57" s="1363"/>
      <c r="F57" s="1364"/>
      <c r="G57" s="1365"/>
      <c r="H57" s="1366"/>
      <c r="I57" s="1367"/>
      <c r="J57" s="1368"/>
      <c r="K57" s="1369"/>
      <c r="L57" s="1370"/>
      <c r="M57" s="1371"/>
      <c r="N57" s="1372"/>
      <c r="O57" s="1373"/>
    </row>
    <row r="58" spans="1:15">
      <c r="A58" s="1374"/>
      <c r="B58" s="1375"/>
      <c r="C58" s="1376"/>
      <c r="D58" s="1377"/>
      <c r="E58" s="1378"/>
      <c r="F58" s="1379"/>
      <c r="G58" s="1380"/>
      <c r="H58" s="1381"/>
      <c r="I58" s="1382"/>
      <c r="J58" s="1383"/>
      <c r="K58" s="1384"/>
      <c r="L58" s="1385"/>
      <c r="M58" s="1386"/>
      <c r="N58" s="1387"/>
      <c r="O58" s="1388"/>
    </row>
    <row r="59" spans="1:15">
      <c r="A59" s="1389"/>
      <c r="B59" s="1390"/>
      <c r="C59" s="1391"/>
      <c r="D59" s="1392"/>
      <c r="E59" s="1393"/>
      <c r="F59" s="1394"/>
      <c r="G59" s="1395"/>
      <c r="H59" s="1396"/>
      <c r="I59" s="1397"/>
      <c r="J59" s="1398"/>
      <c r="K59" s="1399"/>
      <c r="L59" s="1400"/>
      <c r="M59" s="1401"/>
      <c r="N59" s="1402"/>
      <c r="O59" s="1403"/>
    </row>
    <row r="60" spans="1:15">
      <c r="A60" s="1404"/>
      <c r="B60" s="1405"/>
      <c r="C60" s="1406"/>
      <c r="D60" s="1407"/>
      <c r="E60" s="1408"/>
      <c r="F60" s="1409"/>
      <c r="G60" s="1410"/>
      <c r="H60" s="1411"/>
      <c r="I60" s="1412"/>
      <c r="J60" s="1413"/>
      <c r="K60" s="1414"/>
      <c r="L60" s="1415"/>
      <c r="M60" s="1416"/>
      <c r="N60" s="1417"/>
      <c r="O60" s="1418"/>
    </row>
    <row r="61" spans="1:15">
      <c r="A61" s="1419"/>
      <c r="B61" s="1420"/>
      <c r="C61" s="1421"/>
      <c r="D61" s="1422"/>
      <c r="E61" s="1423"/>
      <c r="F61" s="1424"/>
      <c r="G61" s="1425"/>
      <c r="H61" s="1426"/>
      <c r="I61" s="1427"/>
      <c r="J61" s="1428"/>
      <c r="K61" s="1429"/>
      <c r="L61" s="1430"/>
      <c r="M61" s="1431"/>
      <c r="N61" s="1432"/>
      <c r="O61" s="1433"/>
    </row>
    <row r="62" spans="1:15">
      <c r="A62" s="1434"/>
      <c r="B62" s="1435"/>
      <c r="C62" s="1436"/>
      <c r="D62" s="1437"/>
      <c r="E62" s="1438"/>
      <c r="F62" s="1439"/>
      <c r="G62" s="1440"/>
      <c r="H62" s="1441"/>
      <c r="I62" s="1442"/>
      <c r="J62" s="1443"/>
      <c r="K62" s="1444"/>
      <c r="L62" s="1445"/>
      <c r="M62" s="1446"/>
      <c r="N62" s="1447"/>
      <c r="O62" s="1448"/>
    </row>
    <row r="63" spans="1:15">
      <c r="A63" s="1449"/>
      <c r="B63" s="1450"/>
      <c r="C63" s="1451"/>
      <c r="D63" s="1452"/>
      <c r="E63" s="1453"/>
      <c r="F63" s="1454"/>
      <c r="G63" s="1455"/>
      <c r="H63" s="1456"/>
      <c r="I63" s="1457"/>
      <c r="J63" s="1458"/>
      <c r="K63" s="1459"/>
      <c r="L63" s="1460"/>
      <c r="M63" s="1461"/>
      <c r="N63" s="1462"/>
      <c r="O63" s="1463"/>
    </row>
    <row r="64" spans="1:15">
      <c r="A64" s="1464"/>
      <c r="B64" s="1465"/>
      <c r="C64" s="1466"/>
      <c r="D64" s="1467"/>
      <c r="E64" s="1468"/>
      <c r="F64" s="1469"/>
      <c r="G64" s="1470"/>
      <c r="H64" s="1471"/>
      <c r="I64" s="1472"/>
      <c r="J64" s="1473"/>
      <c r="K64" s="1474"/>
      <c r="L64" s="1475"/>
      <c r="M64" s="1476"/>
      <c r="N64" s="1477"/>
      <c r="O64" s="1478"/>
    </row>
    <row r="65" spans="1:15">
      <c r="A65" s="1479"/>
      <c r="B65" s="1480"/>
      <c r="C65" s="1481"/>
      <c r="D65" s="1482"/>
      <c r="E65" s="1483"/>
      <c r="F65" s="1484"/>
      <c r="G65" s="1485"/>
      <c r="H65" s="1486"/>
      <c r="I65" s="1487"/>
      <c r="J65" s="1488"/>
      <c r="K65" s="1489"/>
      <c r="L65" s="1490"/>
      <c r="M65" s="1491"/>
      <c r="N65" s="1492"/>
      <c r="O65" s="1493"/>
    </row>
    <row r="66" spans="1:15">
      <c r="A66" s="1494"/>
      <c r="B66" s="1495"/>
      <c r="C66" s="1496"/>
      <c r="D66" s="1497"/>
      <c r="E66" s="1498"/>
      <c r="F66" s="1499"/>
      <c r="G66" s="1500"/>
      <c r="H66" s="1501"/>
      <c r="I66" s="1502"/>
      <c r="J66" s="1503"/>
      <c r="K66" s="1504"/>
      <c r="L66" s="1505"/>
      <c r="M66" s="1506"/>
      <c r="N66" s="1507"/>
      <c r="O66" s="1508"/>
    </row>
    <row r="67" spans="1:15">
      <c r="A67" s="1509"/>
      <c r="B67" s="1510"/>
      <c r="C67" s="1511"/>
      <c r="D67" s="1512"/>
      <c r="E67" s="1513"/>
      <c r="F67" s="1514"/>
      <c r="G67" s="1515"/>
      <c r="H67" s="1516"/>
      <c r="I67" s="1517"/>
      <c r="J67" s="1518"/>
      <c r="K67" s="1519"/>
      <c r="L67" s="1520"/>
      <c r="M67" s="1521"/>
      <c r="N67" s="1522"/>
      <c r="O67" s="1523"/>
    </row>
    <row r="68" spans="1:15">
      <c r="A68" s="1524"/>
      <c r="B68" s="1525"/>
      <c r="C68" s="1526"/>
      <c r="D68" s="1527"/>
      <c r="E68" s="1528"/>
      <c r="F68" s="1529"/>
      <c r="G68" s="1530"/>
      <c r="H68" s="1531"/>
      <c r="I68" s="1532"/>
      <c r="J68" s="1533"/>
      <c r="K68" s="1534"/>
      <c r="L68" s="1535"/>
      <c r="M68" s="1536"/>
      <c r="N68" s="1537"/>
      <c r="O68" s="1538"/>
    </row>
    <row r="69" spans="1:15">
      <c r="A69" s="1539"/>
      <c r="B69" s="1540"/>
      <c r="C69" s="1541"/>
      <c r="D69" s="1542"/>
      <c r="E69" s="1543"/>
      <c r="F69" s="1544"/>
      <c r="G69" s="1545"/>
      <c r="H69" s="1546"/>
      <c r="I69" s="1547"/>
      <c r="J69" s="1548"/>
      <c r="K69" s="1549"/>
      <c r="L69" s="1550"/>
      <c r="M69" s="1551"/>
      <c r="N69" s="1552"/>
      <c r="O69" s="1553"/>
    </row>
    <row r="70" spans="1:15">
      <c r="A70" s="1554"/>
      <c r="B70" s="1555"/>
      <c r="C70" s="1556"/>
      <c r="D70" s="1557"/>
      <c r="E70" s="1558"/>
      <c r="F70" s="1559"/>
      <c r="G70" s="1560"/>
      <c r="H70" s="1561"/>
      <c r="I70" s="1562"/>
      <c r="J70" s="1563"/>
      <c r="K70" s="1564"/>
      <c r="L70" s="1565"/>
      <c r="M70" s="1566"/>
      <c r="N70" s="1567"/>
      <c r="O70" s="1568"/>
    </row>
    <row r="71" spans="1:15">
      <c r="A71" s="1569"/>
      <c r="B71" s="1570"/>
      <c r="C71" s="1571"/>
      <c r="D71" s="1572"/>
      <c r="E71" s="1573"/>
      <c r="F71" s="1574"/>
      <c r="G71" s="1575"/>
      <c r="H71" s="1576"/>
      <c r="I71" s="1577"/>
      <c r="J71" s="1578"/>
      <c r="K71" s="1579"/>
      <c r="L71" s="1580"/>
      <c r="M71" s="1581"/>
      <c r="N71" s="1582"/>
      <c r="O71" s="1583"/>
    </row>
    <row r="72" spans="1:15">
      <c r="A72" s="1584"/>
      <c r="B72" s="1585"/>
      <c r="C72" s="1586"/>
      <c r="D72" s="1587"/>
      <c r="E72" s="1588"/>
      <c r="F72" s="1589"/>
      <c r="G72" s="1590"/>
      <c r="H72" s="1591"/>
      <c r="I72" s="1592"/>
      <c r="J72" s="1593"/>
      <c r="K72" s="1594"/>
      <c r="L72" s="1595"/>
      <c r="M72" s="1596"/>
      <c r="N72" s="1597"/>
      <c r="O72" s="1598"/>
    </row>
    <row r="73" spans="1:15">
      <c r="A73" s="1599"/>
      <c r="B73" s="1600"/>
      <c r="C73" s="1601"/>
      <c r="D73" s="1602"/>
      <c r="E73" s="1603"/>
      <c r="F73" s="1604"/>
      <c r="G73" s="1605"/>
      <c r="H73" s="1606"/>
      <c r="I73" s="1607"/>
      <c r="J73" s="1608"/>
      <c r="K73" s="1609"/>
      <c r="L73" s="1610"/>
      <c r="M73" s="1611"/>
      <c r="N73" s="1612"/>
      <c r="O73" s="1613"/>
    </row>
    <row r="74" spans="1:15">
      <c r="A74" s="1614"/>
      <c r="B74" s="1615"/>
      <c r="C74" s="1616"/>
      <c r="D74" s="1617"/>
      <c r="E74" s="1618"/>
      <c r="F74" s="1619"/>
      <c r="G74" s="1620"/>
      <c r="H74" s="1621"/>
      <c r="I74" s="1622"/>
      <c r="J74" s="1623"/>
      <c r="K74" s="1624"/>
      <c r="L74" s="1625"/>
      <c r="M74" s="1626"/>
      <c r="N74" s="1627"/>
      <c r="O74" s="1628"/>
    </row>
    <row r="75" spans="1:15">
      <c r="A75" s="1629"/>
      <c r="B75" s="1630"/>
      <c r="C75" s="1631"/>
      <c r="D75" s="1632"/>
      <c r="E75" s="1633"/>
      <c r="F75" s="1634"/>
      <c r="G75" s="1635"/>
      <c r="H75" s="1636"/>
      <c r="I75" s="1637"/>
      <c r="J75" s="1638"/>
      <c r="K75" s="1639"/>
      <c r="L75" s="1640"/>
      <c r="M75" s="1641"/>
      <c r="N75" s="1642"/>
      <c r="O75" s="1643"/>
    </row>
    <row r="76" spans="1:15">
      <c r="A76" s="1644"/>
      <c r="B76" s="1645"/>
      <c r="C76" s="1646"/>
      <c r="D76" s="1647"/>
      <c r="E76" s="1648"/>
      <c r="F76" s="1649"/>
      <c r="G76" s="1650"/>
      <c r="H76" s="1651"/>
      <c r="I76" s="1652"/>
      <c r="J76" s="1653"/>
      <c r="K76" s="1654"/>
      <c r="L76" s="1655"/>
      <c r="M76" s="1656"/>
      <c r="N76" s="1657"/>
      <c r="O76" s="1658"/>
    </row>
    <row r="77" spans="1:15">
      <c r="A77" s="1659"/>
      <c r="B77" s="1660"/>
      <c r="C77" s="1661"/>
      <c r="D77" s="1662"/>
      <c r="E77" s="1663"/>
      <c r="F77" s="1664"/>
      <c r="G77" s="1665"/>
      <c r="H77" s="1666"/>
      <c r="I77" s="1667"/>
      <c r="J77" s="1668"/>
      <c r="K77" s="1669"/>
      <c r="L77" s="1670"/>
      <c r="M77" s="1671"/>
      <c r="N77" s="1672"/>
      <c r="O77" s="1673"/>
    </row>
    <row r="78" spans="1:15">
      <c r="A78" s="1674"/>
      <c r="B78" s="1675"/>
      <c r="C78" s="1676"/>
      <c r="D78" s="1677"/>
      <c r="E78" s="1678"/>
      <c r="F78" s="1679"/>
      <c r="G78" s="1680"/>
      <c r="H78" s="1681"/>
      <c r="I78" s="1682"/>
      <c r="J78" s="1683"/>
      <c r="K78" s="1684"/>
      <c r="L78" s="1685"/>
      <c r="M78" s="1686"/>
      <c r="N78" s="1687"/>
      <c r="O78" s="1688"/>
    </row>
    <row r="79" spans="1:15">
      <c r="A79" s="1689"/>
      <c r="B79" s="1690"/>
      <c r="C79" s="1691"/>
      <c r="D79" s="1692"/>
      <c r="E79" s="1693"/>
      <c r="F79" s="1694"/>
      <c r="G79" s="1695"/>
      <c r="H79" s="1696"/>
      <c r="I79" s="1697"/>
      <c r="J79" s="1698"/>
      <c r="K79" s="1699"/>
      <c r="L79" s="1700"/>
      <c r="M79" s="1701"/>
      <c r="N79" s="1702"/>
      <c r="O79" s="1703"/>
    </row>
    <row r="80" spans="1:15">
      <c r="A80" s="1704"/>
      <c r="B80" s="1705"/>
      <c r="C80" s="1706"/>
      <c r="D80" s="1707"/>
      <c r="E80" s="1708"/>
      <c r="F80" s="1709"/>
      <c r="G80" s="1710"/>
      <c r="H80" s="1711"/>
      <c r="I80" s="1712"/>
      <c r="J80" s="1713"/>
      <c r="K80" s="1714"/>
      <c r="L80" s="1715"/>
      <c r="M80" s="1716"/>
      <c r="N80" s="1717"/>
      <c r="O80" s="1718"/>
    </row>
    <row r="81" spans="1:15">
      <c r="A81" s="1719"/>
      <c r="B81" s="1720"/>
      <c r="C81" s="1721"/>
      <c r="D81" s="1722"/>
      <c r="E81" s="1723"/>
      <c r="F81" s="1724"/>
      <c r="G81" s="1725"/>
      <c r="H81" s="1726"/>
      <c r="I81" s="1727"/>
      <c r="J81" s="1728"/>
      <c r="K81" s="1729"/>
      <c r="L81" s="1730"/>
      <c r="M81" s="1731"/>
      <c r="N81" s="1732"/>
      <c r="O81" s="1733"/>
    </row>
    <row r="82" spans="1:15">
      <c r="A82" s="1734"/>
      <c r="B82" s="1735"/>
      <c r="C82" s="1736"/>
      <c r="D82" s="1737"/>
      <c r="E82" s="1738"/>
      <c r="F82" s="1739"/>
      <c r="G82" s="1740"/>
      <c r="H82" s="1741"/>
      <c r="I82" s="1742"/>
      <c r="J82" s="1743"/>
      <c r="K82" s="1744"/>
      <c r="L82" s="1745"/>
      <c r="M82" s="1746"/>
      <c r="N82" s="1747"/>
      <c r="O82" s="1748"/>
    </row>
    <row r="83" spans="1:15">
      <c r="A83" s="1749"/>
      <c r="B83" s="1750"/>
      <c r="C83" s="1751"/>
      <c r="D83" s="1752"/>
      <c r="E83" s="1753"/>
      <c r="F83" s="1754"/>
      <c r="G83" s="1755"/>
      <c r="H83" s="1756"/>
      <c r="I83" s="1757"/>
      <c r="J83" s="1758"/>
      <c r="K83" s="1759"/>
      <c r="L83" s="1760"/>
      <c r="M83" s="1761"/>
      <c r="N83" s="1762"/>
      <c r="O83" s="1763"/>
    </row>
    <row r="84" spans="1:15">
      <c r="A84" s="1764"/>
      <c r="B84" s="1765"/>
      <c r="C84" s="1766"/>
      <c r="D84" s="1767"/>
      <c r="E84" s="1768"/>
      <c r="F84" s="1769"/>
      <c r="G84" s="1770"/>
      <c r="H84" s="1771"/>
      <c r="I84" s="1772"/>
      <c r="J84" s="1773"/>
      <c r="K84" s="1774"/>
      <c r="L84" s="1775"/>
      <c r="M84" s="1776"/>
      <c r="N84" s="1777"/>
      <c r="O84" s="1778"/>
    </row>
    <row r="85" spans="1:15">
      <c r="A85" s="1779"/>
      <c r="B85" s="1780"/>
      <c r="C85" s="1781"/>
      <c r="D85" s="1782"/>
      <c r="E85" s="1783"/>
      <c r="F85" s="1784"/>
      <c r="G85" s="1785"/>
      <c r="H85" s="1786"/>
      <c r="I85" s="1787"/>
      <c r="J85" s="1788"/>
      <c r="K85" s="1789"/>
      <c r="L85" s="1790"/>
      <c r="M85" s="1791"/>
      <c r="N85" s="1792"/>
      <c r="O85" s="1793"/>
    </row>
    <row r="86" spans="1:15">
      <c r="A86" s="1794"/>
      <c r="B86" s="1795"/>
      <c r="C86" s="1796"/>
      <c r="D86" s="1797"/>
      <c r="E86" s="1798"/>
      <c r="F86" s="1799"/>
      <c r="G86" s="1800"/>
      <c r="H86" s="1801"/>
      <c r="I86" s="1802"/>
      <c r="J86" s="1803"/>
      <c r="K86" s="1804"/>
      <c r="L86" s="1805"/>
      <c r="M86" s="1806"/>
      <c r="N86" s="1807"/>
      <c r="O86" s="1808"/>
    </row>
    <row r="87" spans="1:15">
      <c r="A87" s="1809"/>
      <c r="B87" s="1810"/>
      <c r="C87" s="1811"/>
      <c r="D87" s="1812"/>
      <c r="E87" s="1813"/>
      <c r="F87" s="1814"/>
      <c r="G87" s="1815"/>
      <c r="H87" s="1816"/>
      <c r="I87" s="1817"/>
      <c r="J87" s="1818"/>
      <c r="K87" s="1819"/>
      <c r="L87" s="1820"/>
      <c r="M87" s="1821"/>
      <c r="N87" s="1822"/>
      <c r="O87" s="1823"/>
    </row>
    <row r="88" spans="1:15">
      <c r="A88" s="1824"/>
      <c r="B88" s="1825"/>
      <c r="C88" s="1826"/>
      <c r="D88" s="1827"/>
      <c r="E88" s="1828"/>
      <c r="F88" s="1829"/>
      <c r="G88" s="1830"/>
      <c r="H88" s="1831"/>
      <c r="I88" s="1832"/>
      <c r="J88" s="1833"/>
      <c r="K88" s="1834"/>
      <c r="L88" s="1835"/>
      <c r="M88" s="1836"/>
      <c r="N88" s="1837"/>
      <c r="O88" s="1838"/>
    </row>
    <row r="89" spans="1:15">
      <c r="A89" s="1839"/>
      <c r="B89" s="1840"/>
      <c r="C89" s="1841"/>
      <c r="D89" s="1842"/>
      <c r="E89" s="1843"/>
      <c r="F89" s="1844"/>
      <c r="G89" s="1845"/>
      <c r="H89" s="1846"/>
      <c r="I89" s="1847"/>
      <c r="J89" s="1848"/>
      <c r="K89" s="1849"/>
      <c r="L89" s="1850"/>
      <c r="M89" s="1851"/>
      <c r="N89" s="1852"/>
      <c r="O89" s="1853"/>
    </row>
    <row r="90" spans="1:15">
      <c r="A90" s="1854"/>
      <c r="B90" s="1855"/>
      <c r="C90" s="1856"/>
      <c r="D90" s="1857"/>
      <c r="E90" s="1858"/>
      <c r="F90" s="1859"/>
      <c r="G90" s="1860"/>
      <c r="H90" s="1861"/>
      <c r="I90" s="1862"/>
      <c r="J90" s="1863"/>
      <c r="K90" s="1864"/>
      <c r="L90" s="1865"/>
      <c r="M90" s="1866"/>
      <c r="N90" s="1867"/>
      <c r="O90" s="1868"/>
    </row>
    <row r="91" spans="1:15">
      <c r="A91" s="1869"/>
      <c r="B91" s="1870"/>
      <c r="C91" s="1871"/>
      <c r="D91" s="1872"/>
      <c r="E91" s="1873"/>
      <c r="F91" s="1874"/>
      <c r="G91" s="1875"/>
      <c r="H91" s="1876"/>
      <c r="I91" s="1877"/>
      <c r="J91" s="1878"/>
      <c r="K91" s="1879"/>
      <c r="L91" s="1880"/>
      <c r="M91" s="1881"/>
      <c r="N91" s="1882"/>
      <c r="O91" s="1883"/>
    </row>
    <row r="92" spans="1:15">
      <c r="A92" s="1884"/>
      <c r="B92" s="1885"/>
      <c r="C92" s="1886"/>
      <c r="D92" s="1887"/>
      <c r="E92" s="1888"/>
      <c r="F92" s="1889"/>
      <c r="G92" s="1890"/>
      <c r="H92" s="1891"/>
      <c r="I92" s="1892"/>
      <c r="J92" s="1893"/>
      <c r="K92" s="1894"/>
      <c r="L92" s="1895"/>
      <c r="M92" s="1896"/>
      <c r="N92" s="1897"/>
      <c r="O92" s="1898"/>
    </row>
    <row r="93" spans="1:15">
      <c r="A93" s="1899"/>
      <c r="B93" s="1900"/>
      <c r="C93" s="1901"/>
      <c r="D93" s="1902"/>
      <c r="E93" s="1903"/>
      <c r="F93" s="1904"/>
      <c r="G93" s="1905"/>
      <c r="H93" s="1906"/>
      <c r="I93" s="1907"/>
      <c r="J93" s="1908"/>
      <c r="K93" s="1909"/>
      <c r="L93" s="1910"/>
      <c r="M93" s="1911"/>
      <c r="N93" s="1912"/>
      <c r="O93" s="1913"/>
    </row>
    <row r="94" spans="1:15">
      <c r="A94" s="1914"/>
      <c r="B94" s="1915"/>
      <c r="C94" s="1916"/>
      <c r="D94" s="1917"/>
      <c r="E94" s="1918"/>
      <c r="F94" s="1919"/>
      <c r="G94" s="1920"/>
      <c r="H94" s="1921"/>
      <c r="I94" s="1922"/>
      <c r="J94" s="1923"/>
      <c r="K94" s="1924"/>
      <c r="L94" s="1925"/>
      <c r="M94" s="1926"/>
      <c r="N94" s="1927"/>
      <c r="O94" s="1928"/>
    </row>
    <row r="95" spans="1:15">
      <c r="A95" s="1929"/>
      <c r="B95" s="1930"/>
      <c r="C95" s="1931"/>
      <c r="D95" s="1932"/>
      <c r="E95" s="1933"/>
      <c r="F95" s="1934"/>
      <c r="G95" s="1935"/>
      <c r="H95" s="1936"/>
      <c r="I95" s="1937"/>
      <c r="J95" s="1938"/>
      <c r="K95" s="1939"/>
      <c r="L95" s="1940"/>
      <c r="M95" s="1941"/>
      <c r="N95" s="1942"/>
      <c r="O95" s="1943"/>
    </row>
    <row r="96" spans="1:15">
      <c r="A96" s="1944"/>
      <c r="B96" s="1945"/>
      <c r="C96" s="1946"/>
      <c r="D96" s="1947"/>
      <c r="E96" s="1948"/>
      <c r="F96" s="1949"/>
      <c r="G96" s="1950"/>
      <c r="H96" s="1951"/>
      <c r="I96" s="1952"/>
      <c r="J96" s="1953"/>
      <c r="K96" s="1954"/>
      <c r="L96" s="1955"/>
      <c r="M96" s="1956"/>
      <c r="N96" s="1957"/>
      <c r="O96" s="1958"/>
    </row>
    <row r="97" spans="1:15">
      <c r="A97" s="1959"/>
      <c r="B97" s="1960"/>
      <c r="C97" s="1961"/>
      <c r="D97" s="1962"/>
      <c r="E97" s="1963"/>
      <c r="F97" s="1964"/>
      <c r="G97" s="1965"/>
      <c r="H97" s="1966"/>
      <c r="I97" s="1967"/>
      <c r="J97" s="1968"/>
      <c r="K97" s="1969"/>
      <c r="L97" s="1970"/>
      <c r="M97" s="1971"/>
      <c r="N97" s="1972"/>
      <c r="O97" s="1973"/>
    </row>
    <row r="98" spans="1:15">
      <c r="A98" s="1974"/>
      <c r="B98" s="1975"/>
      <c r="C98" s="1976"/>
      <c r="D98" s="1977"/>
      <c r="E98" s="1978"/>
      <c r="F98" s="1979"/>
      <c r="G98" s="1980"/>
      <c r="H98" s="1981"/>
      <c r="I98" s="1982"/>
      <c r="J98" s="1983"/>
      <c r="K98" s="1984"/>
      <c r="L98" s="1985"/>
      <c r="M98" s="1986"/>
      <c r="N98" s="1987"/>
      <c r="O98" s="198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00"/>
  <sheetViews>
    <sheetView workbookViewId="0"/>
  </sheetViews>
  <sheetFormatPr baseColWidth="10" defaultRowHeight="13.8"/>
  <sheetData>
    <row r="1" spans="1:14" ht="17.399999999999999">
      <c r="A1" s="17858" t="s">
        <v>420</v>
      </c>
    </row>
    <row r="2" spans="1:14" ht="14.4">
      <c r="A2" s="17859" t="s">
        <v>421</v>
      </c>
    </row>
    <row r="4" spans="1:14" ht="41.4">
      <c r="A4" s="11490" t="s">
        <v>422</v>
      </c>
      <c r="B4" s="11491" t="s">
        <v>423</v>
      </c>
      <c r="C4" s="11492" t="s">
        <v>424</v>
      </c>
      <c r="D4" s="11493" t="s">
        <v>425</v>
      </c>
      <c r="E4" s="11494" t="s">
        <v>426</v>
      </c>
      <c r="F4" s="11495" t="s">
        <v>427</v>
      </c>
      <c r="G4" s="11496" t="s">
        <v>428</v>
      </c>
      <c r="H4" s="11497" t="s">
        <v>429</v>
      </c>
      <c r="I4" s="11498" t="s">
        <v>413</v>
      </c>
      <c r="J4" s="11499" t="s">
        <v>430</v>
      </c>
      <c r="K4" s="11500" t="s">
        <v>431</v>
      </c>
      <c r="L4" s="11501" t="s">
        <v>432</v>
      </c>
      <c r="M4" s="11502" t="s">
        <v>433</v>
      </c>
      <c r="N4" s="11503" t="s">
        <v>408</v>
      </c>
    </row>
    <row r="5" spans="1:14" ht="72">
      <c r="A5" s="14430" t="s">
        <v>434</v>
      </c>
      <c r="B5" s="14431">
        <v>46193</v>
      </c>
      <c r="C5" s="14432">
        <v>39</v>
      </c>
      <c r="D5" s="14433" t="s">
        <v>775</v>
      </c>
      <c r="E5" s="14434">
        <v>4000</v>
      </c>
      <c r="F5" s="14435">
        <f t="shared" ref="F5" si="0">IF(E5=0,"",G5/E5)</f>
        <v>27.00009</v>
      </c>
      <c r="G5" s="14436">
        <v>108000.36</v>
      </c>
      <c r="H5" s="14437">
        <f>IF(D5="","",SUMIFS(Captura_Obra!$F:$F, Captura_Obra!$A:$A, B5, Captura_Obra!$B:$B, D5))</f>
        <v>0</v>
      </c>
      <c r="I5" s="14438">
        <f t="shared" ref="I5" si="1">IF(E5=0,"", E5 - H5)</f>
        <v>4000</v>
      </c>
      <c r="J5" s="14439">
        <f t="shared" ref="J5" si="2">IF(E5=0,"", IF(E5&gt;0, H5/E5, 0))</f>
        <v>0</v>
      </c>
      <c r="K5" s="14440" t="str">
        <f t="shared" ref="K5" si="3">IF(H5=0,"", G5/H5)</f>
        <v/>
      </c>
      <c r="L5" s="14441" t="str">
        <f t="shared" ref="L5" si="4">IF(E5=0, "⚠️ Sin Lts (revisar)", IF(I5=0, "✅ Cuadrado", IF(I5&gt;0, "📋 Saldo a favor Gasolinera ("&amp;TEXT(I5,"#,##0")&amp;"L extra)", "✅ OK ("&amp;TEXT(ABS(I5),"#,##0")&amp;"L recuperados)")))</f>
        <v>📋 Saldo a favor Gasolinera (4,000L extra)</v>
      </c>
      <c r="M5" s="14442" t="s">
        <v>776</v>
      </c>
      <c r="N5" s="14443">
        <f t="shared" ref="N5" si="5">IF(B5="","", WEEKNUM(B5, 2))</f>
        <v>25</v>
      </c>
    </row>
    <row r="6" spans="1:14">
      <c r="A6" s="14962" t="s">
        <v>484</v>
      </c>
      <c r="B6" s="14975">
        <v>46188.75</v>
      </c>
      <c r="C6" s="14988">
        <v>41</v>
      </c>
      <c r="D6" s="15001" t="s">
        <v>124</v>
      </c>
      <c r="E6" s="15014">
        <v>800.00600000000009</v>
      </c>
      <c r="F6" s="15027">
        <f t="shared" ref="F6:F51" si="6">IF(E6=0,"",G6/E6)</f>
        <v>26.999985000112499</v>
      </c>
      <c r="G6" s="15040">
        <v>21600.15</v>
      </c>
      <c r="H6" s="15053">
        <f>IF(D6="","",SUMIFS(Captura_Obra!$F:$F, Captura_Obra!$A:$A, B6, Captura_Obra!$B:$B, D6))</f>
        <v>0</v>
      </c>
      <c r="I6" s="15066">
        <f t="shared" ref="I6:I51" si="7">IF(E6=0,"", E6 - H6)</f>
        <v>800.00600000000009</v>
      </c>
      <c r="J6" s="15079">
        <f t="shared" ref="J6:J51" si="8">IF(E6=0,"", IF(E6&gt;0, H6/E6, 0))</f>
        <v>0</v>
      </c>
      <c r="K6" s="15092" t="str">
        <f t="shared" ref="K6:K51" si="9">IF(H6=0,"", G6/H6)</f>
        <v/>
      </c>
      <c r="L6" s="15105" t="str">
        <f t="shared" ref="L6:L17" si="10">IF(E6=0, "⚠️ Sin Lts (revisar)", IF(I6=0, "✅ Cuadrado", IF(I6&gt;0, "📋 Saldo a favor Gasolinera ("&amp;TEXT(I6,"#,##0")&amp;"L extra)", "✅ OK ("&amp;TEXT(ABS(I6),"#,##0")&amp;"L recuperados)")))</f>
        <v>📋 Saldo a favor Gasolinera (800L extra)</v>
      </c>
      <c r="M6" s="15118"/>
      <c r="N6" s="15131">
        <f t="shared" ref="N6:N20" si="11">IF(B6="","", WEEKNUM(B6, 2))</f>
        <v>25</v>
      </c>
    </row>
    <row r="7" spans="1:14">
      <c r="A7" s="14969" t="s">
        <v>711</v>
      </c>
      <c r="B7" s="14982">
        <v>46188.75</v>
      </c>
      <c r="C7" s="14995">
        <v>41</v>
      </c>
      <c r="D7" s="15008" t="s">
        <v>775</v>
      </c>
      <c r="E7" s="15021">
        <v>4000.0120000000006</v>
      </c>
      <c r="F7" s="15034">
        <f t="shared" si="6"/>
        <v>27.000008999972994</v>
      </c>
      <c r="G7" s="15047">
        <v>108000.36</v>
      </c>
      <c r="H7" s="15060">
        <f>IF(D7="","",SUMIFS(Captura_Obra!$F:$F, Captura_Obra!$A:$A, B7, Captura_Obra!$B:$B, D7))</f>
        <v>0</v>
      </c>
      <c r="I7" s="15073">
        <f t="shared" si="7"/>
        <v>4000.0120000000006</v>
      </c>
      <c r="J7" s="15086">
        <f t="shared" si="8"/>
        <v>0</v>
      </c>
      <c r="K7" s="15099" t="str">
        <f t="shared" si="9"/>
        <v/>
      </c>
      <c r="L7" s="15112" t="str">
        <f t="shared" si="10"/>
        <v>📋 Saldo a favor Gasolinera (4,000L extra)</v>
      </c>
      <c r="M7" s="15125" t="s">
        <v>776</v>
      </c>
      <c r="N7" s="15138">
        <f t="shared" si="11"/>
        <v>25</v>
      </c>
    </row>
    <row r="8" spans="1:14" ht="41.4">
      <c r="A8" s="14444" t="s">
        <v>437</v>
      </c>
      <c r="B8" s="14445">
        <v>46195</v>
      </c>
      <c r="C8" s="14446">
        <v>39</v>
      </c>
      <c r="D8" s="14447" t="s">
        <v>1</v>
      </c>
      <c r="E8" s="14448">
        <v>660</v>
      </c>
      <c r="F8" s="14449">
        <f t="shared" si="6"/>
        <v>27</v>
      </c>
      <c r="G8" s="14450">
        <v>17820</v>
      </c>
      <c r="H8" s="14451">
        <f>IF(D8="","",SUMIFS(Captura_Obra!$F:$F, Captura_Obra!$A:$A, B8, Captura_Obra!$B:$B, D8))</f>
        <v>766</v>
      </c>
      <c r="I8" s="14452">
        <f t="shared" si="7"/>
        <v>-106</v>
      </c>
      <c r="J8" s="14453">
        <f t="shared" si="8"/>
        <v>1.1606060606060606</v>
      </c>
      <c r="K8" s="14454">
        <f t="shared" si="9"/>
        <v>23.263707571801568</v>
      </c>
      <c r="L8" s="14455" t="str">
        <f t="shared" si="10"/>
        <v>✅ OK (106L recuperados)</v>
      </c>
      <c r="M8" s="14456" t="s">
        <v>438</v>
      </c>
      <c r="N8" s="14457">
        <f t="shared" si="11"/>
        <v>26</v>
      </c>
    </row>
    <row r="9" spans="1:14">
      <c r="A9" s="14458" t="s">
        <v>439</v>
      </c>
      <c r="B9" s="14459">
        <v>46196</v>
      </c>
      <c r="C9" s="14460">
        <v>39</v>
      </c>
      <c r="D9" s="14461" t="s">
        <v>1</v>
      </c>
      <c r="E9" s="14462">
        <v>63</v>
      </c>
      <c r="F9" s="14463">
        <f t="shared" si="6"/>
        <v>23.80952380952381</v>
      </c>
      <c r="G9" s="14464">
        <v>1500</v>
      </c>
      <c r="H9" s="14465">
        <f>IF(D9="","",SUMIFS(Captura_Obra!$F:$F, Captura_Obra!$A:$A, B9, Captura_Obra!$B:$B, D9))</f>
        <v>102</v>
      </c>
      <c r="I9" s="14466">
        <f t="shared" si="7"/>
        <v>-39</v>
      </c>
      <c r="J9" s="14467">
        <f t="shared" si="8"/>
        <v>1.6190476190476191</v>
      </c>
      <c r="K9" s="14468">
        <f t="shared" si="9"/>
        <v>14.705882352941176</v>
      </c>
      <c r="L9" s="14469" t="str">
        <f t="shared" si="10"/>
        <v>✅ OK (39L recuperados)</v>
      </c>
      <c r="M9" s="14470" t="s">
        <v>440</v>
      </c>
      <c r="N9" s="14471">
        <f t="shared" si="11"/>
        <v>26</v>
      </c>
    </row>
    <row r="10" spans="1:14">
      <c r="A10" s="14472" t="s">
        <v>441</v>
      </c>
      <c r="B10" s="14473">
        <v>46196</v>
      </c>
      <c r="C10" s="14474">
        <v>39</v>
      </c>
      <c r="D10" s="14475" t="s">
        <v>1</v>
      </c>
      <c r="E10" s="14476">
        <v>42</v>
      </c>
      <c r="F10" s="14477">
        <f t="shared" si="6"/>
        <v>23.80952380952381</v>
      </c>
      <c r="G10" s="14478">
        <v>1000</v>
      </c>
      <c r="H10" s="14479">
        <f>IF(D10="","",SUMIFS(Captura_Obra!$F:$F, Captura_Obra!$A:$A, B10, Captura_Obra!$B:$B, D10))</f>
        <v>102</v>
      </c>
      <c r="I10" s="14480">
        <f t="shared" si="7"/>
        <v>-60</v>
      </c>
      <c r="J10" s="14481">
        <f t="shared" si="8"/>
        <v>2.4285714285714284</v>
      </c>
      <c r="K10" s="14482">
        <f t="shared" si="9"/>
        <v>9.8039215686274517</v>
      </c>
      <c r="L10" s="14483" t="str">
        <f t="shared" si="10"/>
        <v>✅ OK (60L recuperados)</v>
      </c>
      <c r="M10" s="14484" t="s">
        <v>440</v>
      </c>
      <c r="N10" s="14485">
        <f t="shared" si="11"/>
        <v>26</v>
      </c>
    </row>
    <row r="11" spans="1:14">
      <c r="A11" s="14486" t="s">
        <v>442</v>
      </c>
      <c r="B11" s="14487">
        <v>46196</v>
      </c>
      <c r="C11" s="14488">
        <v>39</v>
      </c>
      <c r="D11" s="14489" t="s">
        <v>1</v>
      </c>
      <c r="E11" s="14490">
        <v>63</v>
      </c>
      <c r="F11" s="14491">
        <f t="shared" si="6"/>
        <v>23.80952380952381</v>
      </c>
      <c r="G11" s="14492">
        <v>1500</v>
      </c>
      <c r="H11" s="14493">
        <f>IF(D11="","",SUMIFS(Captura_Obra!$F:$F, Captura_Obra!$A:$A, B11, Captura_Obra!$B:$B, D11))</f>
        <v>102</v>
      </c>
      <c r="I11" s="14494">
        <f t="shared" si="7"/>
        <v>-39</v>
      </c>
      <c r="J11" s="14495">
        <f t="shared" si="8"/>
        <v>1.6190476190476191</v>
      </c>
      <c r="K11" s="14496">
        <f t="shared" si="9"/>
        <v>14.705882352941176</v>
      </c>
      <c r="L11" s="14497" t="str">
        <f t="shared" si="10"/>
        <v>✅ OK (39L recuperados)</v>
      </c>
      <c r="M11" s="14498" t="s">
        <v>440</v>
      </c>
      <c r="N11" s="14499">
        <f t="shared" si="11"/>
        <v>26</v>
      </c>
    </row>
    <row r="12" spans="1:14" ht="61.8">
      <c r="A12" s="14500" t="s">
        <v>443</v>
      </c>
      <c r="B12" s="14501">
        <v>46196</v>
      </c>
      <c r="C12" s="14502">
        <v>39</v>
      </c>
      <c r="D12" s="14503" t="s">
        <v>775</v>
      </c>
      <c r="E12" s="14504">
        <v>3900</v>
      </c>
      <c r="F12" s="14505">
        <f t="shared" si="6"/>
        <v>27.692399999999999</v>
      </c>
      <c r="G12" s="14506">
        <v>108000.36</v>
      </c>
      <c r="H12" s="14507">
        <f>IF(D12="","",SUMIFS(Captura_Obra!$F:$F, Captura_Obra!$A:$A, B12, Captura_Obra!$B:$B, D12))</f>
        <v>0</v>
      </c>
      <c r="I12" s="14508">
        <f t="shared" si="7"/>
        <v>3900</v>
      </c>
      <c r="J12" s="14509">
        <f t="shared" si="8"/>
        <v>0</v>
      </c>
      <c r="K12" s="14510" t="str">
        <f t="shared" si="9"/>
        <v/>
      </c>
      <c r="L12" s="14511" t="str">
        <f t="shared" si="10"/>
        <v>📋 Saldo a favor Gasolinera (3,900L extra)</v>
      </c>
      <c r="M12" s="14512" t="s">
        <v>777</v>
      </c>
      <c r="N12" s="14513">
        <f t="shared" si="11"/>
        <v>26</v>
      </c>
    </row>
    <row r="13" spans="1:14" ht="41.4">
      <c r="A13" s="14514" t="s">
        <v>444</v>
      </c>
      <c r="B13" s="14515">
        <v>46197</v>
      </c>
      <c r="C13" s="14516">
        <v>39</v>
      </c>
      <c r="D13" s="14517" t="s">
        <v>1</v>
      </c>
      <c r="E13" s="14518">
        <v>550</v>
      </c>
      <c r="F13" s="14519">
        <f t="shared" si="6"/>
        <v>27</v>
      </c>
      <c r="G13" s="14520">
        <v>14850</v>
      </c>
      <c r="H13" s="14521">
        <f>IF(D13="","",SUMIFS(Captura_Obra!$F:$F, Captura_Obra!$A:$A, B13, Captura_Obra!$B:$B, D13))</f>
        <v>471</v>
      </c>
      <c r="I13" s="14522">
        <f t="shared" si="7"/>
        <v>79</v>
      </c>
      <c r="J13" s="14523">
        <f t="shared" si="8"/>
        <v>0.85636363636363633</v>
      </c>
      <c r="K13" s="14524">
        <f t="shared" si="9"/>
        <v>31.528662420382165</v>
      </c>
      <c r="L13" s="14525" t="str">
        <f t="shared" si="10"/>
        <v>📋 Saldo a favor Gasolinera (79L extra)</v>
      </c>
      <c r="M13" s="14526" t="s">
        <v>445</v>
      </c>
      <c r="N13" s="14527">
        <f t="shared" si="11"/>
        <v>26</v>
      </c>
    </row>
    <row r="14" spans="1:14" ht="41.4">
      <c r="A14" s="14528" t="s">
        <v>446</v>
      </c>
      <c r="B14" s="14529">
        <v>46198</v>
      </c>
      <c r="C14" s="14530">
        <v>39</v>
      </c>
      <c r="D14" s="14531" t="s">
        <v>1</v>
      </c>
      <c r="E14" s="14532">
        <v>550</v>
      </c>
      <c r="F14" s="14533">
        <f t="shared" si="6"/>
        <v>27</v>
      </c>
      <c r="G14" s="14534">
        <v>14850</v>
      </c>
      <c r="H14" s="14535">
        <f>IF(D14="","",SUMIFS(Captura_Obra!$F:$F, Captura_Obra!$A:$A, B14, Captura_Obra!$B:$B, D14))</f>
        <v>150</v>
      </c>
      <c r="I14" s="14536">
        <f t="shared" si="7"/>
        <v>400</v>
      </c>
      <c r="J14" s="14537">
        <f t="shared" si="8"/>
        <v>0.27272727272727271</v>
      </c>
      <c r="K14" s="14538">
        <f t="shared" si="9"/>
        <v>99</v>
      </c>
      <c r="L14" s="14539" t="str">
        <f t="shared" si="10"/>
        <v>📋 Saldo a favor Gasolinera (400L extra)</v>
      </c>
      <c r="M14" s="14540" t="s">
        <v>447</v>
      </c>
      <c r="N14" s="14541">
        <f t="shared" si="11"/>
        <v>26</v>
      </c>
    </row>
    <row r="15" spans="1:14" ht="72">
      <c r="A15" s="14542" t="s">
        <v>448</v>
      </c>
      <c r="B15" s="14543">
        <v>46198</v>
      </c>
      <c r="C15" s="14544">
        <v>39</v>
      </c>
      <c r="D15" s="14545" t="s">
        <v>1</v>
      </c>
      <c r="E15" s="14546">
        <v>42</v>
      </c>
      <c r="F15" s="14547">
        <f t="shared" si="6"/>
        <v>23.80952380952381</v>
      </c>
      <c r="G15" s="14548">
        <v>1000</v>
      </c>
      <c r="H15" s="14549">
        <f>IF(D15="","",SUMIFS(Captura_Obra!$F:$F, Captura_Obra!$A:$A, B15, Captura_Obra!$B:$B, D15))</f>
        <v>150</v>
      </c>
      <c r="I15" s="14550">
        <f t="shared" si="7"/>
        <v>-108</v>
      </c>
      <c r="J15" s="14551">
        <f t="shared" si="8"/>
        <v>3.5714285714285716</v>
      </c>
      <c r="K15" s="14552">
        <f t="shared" si="9"/>
        <v>6.666666666666667</v>
      </c>
      <c r="L15" s="14553" t="str">
        <f t="shared" si="10"/>
        <v>✅ OK (108L recuperados)</v>
      </c>
      <c r="M15" s="14554" t="s">
        <v>449</v>
      </c>
      <c r="N15" s="14555">
        <f t="shared" si="11"/>
        <v>26</v>
      </c>
    </row>
    <row r="16" spans="1:14" ht="21">
      <c r="A16" s="14556" t="s">
        <v>450</v>
      </c>
      <c r="B16" s="14557">
        <v>46198</v>
      </c>
      <c r="C16" s="14558">
        <v>39</v>
      </c>
      <c r="D16" s="14559" t="s">
        <v>1</v>
      </c>
      <c r="E16" s="14560">
        <v>63</v>
      </c>
      <c r="F16" s="14561">
        <f t="shared" si="6"/>
        <v>23.810793650793649</v>
      </c>
      <c r="G16" s="14562">
        <v>1500.08</v>
      </c>
      <c r="H16" s="14563">
        <f>IF(D16="","",SUMIFS(Captura_Obra!$F:$F, Captura_Obra!$A:$A, B16, Captura_Obra!$B:$B, D16))</f>
        <v>150</v>
      </c>
      <c r="I16" s="14564">
        <f t="shared" si="7"/>
        <v>-87</v>
      </c>
      <c r="J16" s="14565">
        <f t="shared" si="8"/>
        <v>2.3809523809523809</v>
      </c>
      <c r="K16" s="14566">
        <f t="shared" si="9"/>
        <v>10.000533333333333</v>
      </c>
      <c r="L16" s="14567" t="str">
        <f t="shared" si="10"/>
        <v>✅ OK (87L recuperados)</v>
      </c>
      <c r="M16" s="14568" t="s">
        <v>451</v>
      </c>
      <c r="N16" s="14569">
        <f t="shared" si="11"/>
        <v>26</v>
      </c>
    </row>
    <row r="17" spans="1:14" ht="51.6">
      <c r="A17" s="14570" t="s">
        <v>452</v>
      </c>
      <c r="B17" s="14571">
        <v>46198</v>
      </c>
      <c r="C17" s="14572">
        <v>39</v>
      </c>
      <c r="D17" s="14573" t="s">
        <v>124</v>
      </c>
      <c r="E17" s="14574">
        <v>400</v>
      </c>
      <c r="F17" s="14575">
        <f t="shared" si="6"/>
        <v>40.500250000000001</v>
      </c>
      <c r="G17" s="14576">
        <v>16200.1</v>
      </c>
      <c r="H17" s="14577">
        <f>IF(D17="","",SUMIFS(Captura_Obra!$F:$F, Captura_Obra!$A:$A, B17, Captura_Obra!$B:$B, D17))</f>
        <v>100</v>
      </c>
      <c r="I17" s="14578">
        <f t="shared" si="7"/>
        <v>300</v>
      </c>
      <c r="J17" s="14579">
        <f t="shared" si="8"/>
        <v>0.25</v>
      </c>
      <c r="K17" s="14580">
        <f t="shared" si="9"/>
        <v>162.001</v>
      </c>
      <c r="L17" s="14581" t="str">
        <f t="shared" si="10"/>
        <v>📋 Saldo a favor Gasolinera (300L extra)</v>
      </c>
      <c r="M17" s="14582" t="s">
        <v>453</v>
      </c>
      <c r="N17" s="14583">
        <f t="shared" si="11"/>
        <v>26</v>
      </c>
    </row>
    <row r="18" spans="1:14" ht="72">
      <c r="A18" s="14584" t="s">
        <v>454</v>
      </c>
      <c r="B18" s="14585">
        <v>46198</v>
      </c>
      <c r="C18" s="14586">
        <v>39</v>
      </c>
      <c r="D18" s="14587" t="s">
        <v>124</v>
      </c>
      <c r="E18" s="14588">
        <v>0</v>
      </c>
      <c r="F18" s="14589" t="str">
        <f t="shared" si="6"/>
        <v/>
      </c>
      <c r="G18" s="14590">
        <v>1500</v>
      </c>
      <c r="H18" s="14591">
        <f>IF(D18="","",SUMIFS(Captura_Obra!$F:$F, Captura_Obra!$A:$A, B18, Captura_Obra!$B:$B, D18))</f>
        <v>100</v>
      </c>
      <c r="I18" s="14592" t="str">
        <f t="shared" si="7"/>
        <v/>
      </c>
      <c r="J18" s="14593" t="str">
        <f t="shared" si="8"/>
        <v/>
      </c>
      <c r="K18" s="14594">
        <f t="shared" si="9"/>
        <v>15</v>
      </c>
      <c r="L18" s="14961" t="s">
        <v>712</v>
      </c>
      <c r="M18" s="14595" t="s">
        <v>455</v>
      </c>
      <c r="N18" s="14596">
        <f t="shared" si="11"/>
        <v>26</v>
      </c>
    </row>
    <row r="19" spans="1:14" ht="61.8">
      <c r="A19" s="14597" t="s">
        <v>456</v>
      </c>
      <c r="B19" s="14598">
        <v>46198</v>
      </c>
      <c r="C19" s="14599">
        <v>39</v>
      </c>
      <c r="D19" s="14600" t="s">
        <v>775</v>
      </c>
      <c r="E19" s="14601">
        <v>4000</v>
      </c>
      <c r="F19" s="14602">
        <f t="shared" si="6"/>
        <v>27.00009</v>
      </c>
      <c r="G19" s="14603">
        <v>108000.36</v>
      </c>
      <c r="H19" s="14604">
        <f>IF(D19="","",SUMIFS(Captura_Obra!$F:$F, Captura_Obra!$A:$A, B19, Captura_Obra!$B:$B, D19))</f>
        <v>0</v>
      </c>
      <c r="I19" s="14605">
        <f t="shared" si="7"/>
        <v>4000</v>
      </c>
      <c r="J19" s="14606">
        <f t="shared" si="8"/>
        <v>0</v>
      </c>
      <c r="K19" s="14607" t="str">
        <f t="shared" si="9"/>
        <v/>
      </c>
      <c r="L19" s="14608" t="str">
        <f>IF(E19=0, "⚠️ Sin Lts (revisar)", IF(I19=0, "✅ Cuadrado", IF(I19&gt;0, "📋 Saldo a favor Gasolinera ("&amp;TEXT(I19,"#,##0")&amp;"L extra)", "✅ OK ("&amp;TEXT(ABS(I19),"#,##0")&amp;"L recuperados)")))</f>
        <v>📋 Saldo a favor Gasolinera (4,000L extra)</v>
      </c>
      <c r="M19" s="14609" t="s">
        <v>777</v>
      </c>
      <c r="N19" s="14610">
        <f t="shared" si="11"/>
        <v>26</v>
      </c>
    </row>
    <row r="20" spans="1:14" ht="51.6">
      <c r="A20" s="14611" t="s">
        <v>457</v>
      </c>
      <c r="B20" s="14612">
        <v>46199</v>
      </c>
      <c r="C20" s="14613">
        <v>39</v>
      </c>
      <c r="D20" s="14614" t="s">
        <v>1</v>
      </c>
      <c r="E20" s="14615">
        <v>480</v>
      </c>
      <c r="F20" s="14616">
        <f t="shared" si="6"/>
        <v>30.937666666666665</v>
      </c>
      <c r="G20" s="14617">
        <v>14850.08</v>
      </c>
      <c r="H20" s="14618">
        <f>IF(D20="","",SUMIFS(Captura_Obra!$F:$F, Captura_Obra!$A:$A, B20, Captura_Obra!$B:$B, D20))</f>
        <v>807</v>
      </c>
      <c r="I20" s="14619">
        <f t="shared" si="7"/>
        <v>-327</v>
      </c>
      <c r="J20" s="14620">
        <f t="shared" si="8"/>
        <v>1.6812499999999999</v>
      </c>
      <c r="K20" s="14621">
        <f t="shared" si="9"/>
        <v>18.401586121437422</v>
      </c>
      <c r="L20" s="14622" t="str">
        <f>IF(E20=0, "⚠️ Sin Lts (revisar)", IF(I20=0, "✅ Cuadrado", IF(I20&gt;0, "📋 Saldo a favor Gasolinera ("&amp;TEXT(I20,"#,##0")&amp;"L extra)", "✅ OK ("&amp;TEXT(ABS(I20),"#,##0")&amp;"L recuperados)")))</f>
        <v>✅ OK (327L recuperados)</v>
      </c>
      <c r="M20" s="14623" t="s">
        <v>458</v>
      </c>
      <c r="N20" s="14624">
        <f t="shared" si="11"/>
        <v>26</v>
      </c>
    </row>
    <row r="21" spans="1:14">
      <c r="A21" s="14971" t="s">
        <v>480</v>
      </c>
      <c r="B21" s="14984">
        <v>46189</v>
      </c>
      <c r="C21" s="14997">
        <v>39</v>
      </c>
      <c r="D21" s="15010" t="s">
        <v>124</v>
      </c>
      <c r="E21" s="15023">
        <v>0</v>
      </c>
      <c r="F21" s="15036" t="str">
        <f t="shared" si="6"/>
        <v/>
      </c>
      <c r="G21" s="15049">
        <v>21600.15</v>
      </c>
      <c r="H21" s="15062">
        <f>IF(D21="","",SUMIFS(Captura_Obra!$F:$F, Captura_Obra!$A:$A, B21, Captura_Obra!$B:$B, D21))</f>
        <v>0</v>
      </c>
      <c r="I21" s="15075" t="str">
        <f t="shared" si="7"/>
        <v/>
      </c>
      <c r="J21" s="15088" t="str">
        <f t="shared" si="8"/>
        <v/>
      </c>
      <c r="K21" s="15101" t="str">
        <f t="shared" si="9"/>
        <v/>
      </c>
      <c r="L21" s="15114" t="str">
        <f>IF(E21=0, "⚠️ Lts pendientes de capturar", IF(I21=0, "✅ Cuadrado", IF(I21&gt;0, "📋 Saldo a favor Gasolinera ("&amp;TEXT(I21,"#,##0")&amp;"L extra)", "✅ OK ("&amp;TEXT(ABS(I21),"#,##0")&amp;"L recuperados)")))</f>
        <v>⚠️ Lts pendientes de capturar</v>
      </c>
      <c r="M21" s="15127" t="s">
        <v>713</v>
      </c>
      <c r="N21" s="15140">
        <v>24</v>
      </c>
    </row>
    <row r="22" spans="1:14">
      <c r="A22" s="14966" t="s">
        <v>488</v>
      </c>
      <c r="B22" s="14979">
        <v>46189</v>
      </c>
      <c r="C22" s="14992">
        <v>39</v>
      </c>
      <c r="D22" s="15005" t="s">
        <v>400</v>
      </c>
      <c r="E22" s="15018">
        <v>0</v>
      </c>
      <c r="F22" s="15031" t="str">
        <f t="shared" si="6"/>
        <v/>
      </c>
      <c r="G22" s="15044">
        <v>75600.210000000006</v>
      </c>
      <c r="H22" s="15057">
        <f>IF(D22="","",SUMIFS(Captura_Obra!$F:$F, Captura_Obra!$A:$A, B22, Captura_Obra!$B:$B, D22))</f>
        <v>1051</v>
      </c>
      <c r="I22" s="15070" t="str">
        <f t="shared" si="7"/>
        <v/>
      </c>
      <c r="J22" s="15083" t="str">
        <f t="shared" si="8"/>
        <v/>
      </c>
      <c r="K22" s="15096">
        <f t="shared" si="9"/>
        <v>71.931693625118939</v>
      </c>
      <c r="L22" s="15109" t="str">
        <f>IF(E22=0, "⚠️ Lts pendientes de capturar", IF(I22=0, "✅ Cuadrado", IF(I22&gt;0, "📋 Saldo a favor Gasolinera ("&amp;TEXT(I22,"#,##0")&amp;"L extra)", "✅ OK ("&amp;TEXT(ABS(I22),"#,##0")&amp;"L recuperados)")))</f>
        <v>⚠️ Lts pendientes de capturar</v>
      </c>
      <c r="M22" s="15122" t="s">
        <v>778</v>
      </c>
      <c r="N22" s="15135">
        <v>24</v>
      </c>
    </row>
    <row r="23" spans="1:14">
      <c r="A23" s="14963" t="s">
        <v>481</v>
      </c>
      <c r="B23" s="14976">
        <v>46190</v>
      </c>
      <c r="C23" s="14989">
        <v>39</v>
      </c>
      <c r="D23" s="15002" t="s">
        <v>124</v>
      </c>
      <c r="E23" s="15015">
        <v>0</v>
      </c>
      <c r="F23" s="15028" t="str">
        <f t="shared" si="6"/>
        <v/>
      </c>
      <c r="G23" s="15041">
        <v>16200.1</v>
      </c>
      <c r="H23" s="15054">
        <f>IF(D23="","",SUMIFS(Captura_Obra!$F:$F, Captura_Obra!$A:$A, B23, Captura_Obra!$B:$B, D23))</f>
        <v>300</v>
      </c>
      <c r="I23" s="15067" t="str">
        <f t="shared" si="7"/>
        <v/>
      </c>
      <c r="J23" s="15080" t="str">
        <f t="shared" si="8"/>
        <v/>
      </c>
      <c r="K23" s="15093">
        <f t="shared" si="9"/>
        <v>54.000333333333337</v>
      </c>
      <c r="L23" s="15106" t="str">
        <f>IF(E23=0, "⚠️ Lts pendientes de capturar", IF(I23=0, "✅ Cuadrado", IF(I23&gt;0, "📋 Saldo a favor Gasolinera ("&amp;TEXT(I23,"#,##0")&amp;"L extra)", "✅ OK ("&amp;TEXT(ABS(I23),"#,##0")&amp;"L recuperados)")))</f>
        <v>⚠️ Lts pendientes de capturar</v>
      </c>
      <c r="M23" s="15119" t="s">
        <v>713</v>
      </c>
      <c r="N23" s="15132">
        <v>24</v>
      </c>
    </row>
    <row r="24" spans="1:14">
      <c r="A24" s="14625" t="s">
        <v>473</v>
      </c>
      <c r="B24" s="14626">
        <v>46189.75</v>
      </c>
      <c r="C24" s="14627">
        <v>41</v>
      </c>
      <c r="D24" s="14628" t="s">
        <v>1</v>
      </c>
      <c r="E24" s="14629">
        <v>500.00200000000001</v>
      </c>
      <c r="F24" s="14630">
        <f t="shared" si="6"/>
        <v>27.000011999951997</v>
      </c>
      <c r="G24" s="14631">
        <v>13500.06</v>
      </c>
      <c r="H24" s="14632">
        <f>IF(D24="","",SUMIFS(Captura_Obra!$F:$F, Captura_Obra!$A:$A, B24, Captura_Obra!$B:$B, D24))</f>
        <v>0</v>
      </c>
      <c r="I24" s="14633">
        <f t="shared" si="7"/>
        <v>500.00200000000001</v>
      </c>
      <c r="J24" s="14634">
        <f t="shared" si="8"/>
        <v>0</v>
      </c>
      <c r="K24" s="14635" t="str">
        <f t="shared" si="9"/>
        <v/>
      </c>
      <c r="L24" s="14636" t="str">
        <f t="shared" ref="L24:L32" si="12">IF(E24=0, "⚠️ Sin Lts (revisar)", IF(I24=0, "✅ Cuadrado", IF(I24&gt;0, "📋 Saldo a favor Gasolinera ("&amp;TEXT(I24,"#,##0")&amp;"L extra)", "✅ OK ("&amp;TEXT(ABS(I24),"#,##0")&amp;"L recuperados)")))</f>
        <v>📋 Saldo a favor Gasolinera (500L extra)</v>
      </c>
      <c r="M24" s="14637"/>
      <c r="N24" s="14638">
        <f t="shared" ref="N24:N32" si="13">IF(B24="","", WEEKNUM(B24, 2))</f>
        <v>25</v>
      </c>
    </row>
    <row r="25" spans="1:14">
      <c r="A25" s="14965" t="s">
        <v>485</v>
      </c>
      <c r="B25" s="14978">
        <v>46190.75</v>
      </c>
      <c r="C25" s="14991">
        <v>41</v>
      </c>
      <c r="D25" s="15004" t="s">
        <v>124</v>
      </c>
      <c r="E25" s="15017">
        <v>600.00400000000002</v>
      </c>
      <c r="F25" s="15030">
        <f t="shared" si="6"/>
        <v>26.999986666755554</v>
      </c>
      <c r="G25" s="15043">
        <v>16200.1</v>
      </c>
      <c r="H25" s="15056">
        <f>IF(D25="","",SUMIFS(Captura_Obra!$F:$F, Captura_Obra!$A:$A, B25, Captura_Obra!$B:$B, D25))</f>
        <v>0</v>
      </c>
      <c r="I25" s="15069">
        <f t="shared" si="7"/>
        <v>600.00400000000002</v>
      </c>
      <c r="J25" s="15082">
        <f t="shared" si="8"/>
        <v>0</v>
      </c>
      <c r="K25" s="15095" t="str">
        <f t="shared" si="9"/>
        <v/>
      </c>
      <c r="L25" s="15108" t="str">
        <f t="shared" si="12"/>
        <v>📋 Saldo a favor Gasolinera (600L extra)</v>
      </c>
      <c r="M25" s="15121"/>
      <c r="N25" s="15134">
        <f t="shared" si="13"/>
        <v>25</v>
      </c>
    </row>
    <row r="26" spans="1:14" ht="51.6">
      <c r="A26" s="14968" t="s">
        <v>435</v>
      </c>
      <c r="B26" s="14981">
        <v>46191</v>
      </c>
      <c r="C26" s="14994">
        <v>39</v>
      </c>
      <c r="D26" s="15007" t="s">
        <v>400</v>
      </c>
      <c r="E26" s="15020">
        <v>4000.0120000000006</v>
      </c>
      <c r="F26" s="15033">
        <f t="shared" si="6"/>
        <v>27.000008999972994</v>
      </c>
      <c r="G26" s="15046">
        <v>108000.36</v>
      </c>
      <c r="H26" s="15059">
        <f>IF(D26="","",SUMIFS(Captura_Obra!$F:$F, Captura_Obra!$A:$A, B26, Captura_Obra!$B:$B, D26))</f>
        <v>0</v>
      </c>
      <c r="I26" s="15072">
        <f t="shared" si="7"/>
        <v>4000.0120000000006</v>
      </c>
      <c r="J26" s="15085">
        <f t="shared" si="8"/>
        <v>0</v>
      </c>
      <c r="K26" s="15098" t="str">
        <f t="shared" si="9"/>
        <v/>
      </c>
      <c r="L26" s="15111" t="str">
        <f t="shared" si="12"/>
        <v>📋 Saldo a favor Gasolinera (4,000L extra)</v>
      </c>
      <c r="M26" s="15124" t="s">
        <v>778</v>
      </c>
      <c r="N26" s="15137">
        <f t="shared" si="13"/>
        <v>25</v>
      </c>
    </row>
    <row r="27" spans="1:14">
      <c r="A27" s="14639" t="s">
        <v>475</v>
      </c>
      <c r="B27" s="14640">
        <v>46191.75</v>
      </c>
      <c r="C27" s="14641">
        <v>41</v>
      </c>
      <c r="D27" s="14642" t="s">
        <v>1</v>
      </c>
      <c r="E27" s="14643">
        <v>490.00400000000002</v>
      </c>
      <c r="F27" s="14644">
        <f t="shared" si="6"/>
        <v>26.999983673602664</v>
      </c>
      <c r="G27" s="14645">
        <v>13230.1</v>
      </c>
      <c r="H27" s="14646">
        <f>IF(D27="","",SUMIFS(Captura_Obra!$F:$F, Captura_Obra!$A:$A, B27, Captura_Obra!$B:$B, D27))</f>
        <v>0</v>
      </c>
      <c r="I27" s="14647">
        <f t="shared" si="7"/>
        <v>490.00400000000002</v>
      </c>
      <c r="J27" s="14648">
        <f t="shared" si="8"/>
        <v>0</v>
      </c>
      <c r="K27" s="14649" t="str">
        <f t="shared" si="9"/>
        <v/>
      </c>
      <c r="L27" s="14650" t="str">
        <f t="shared" si="12"/>
        <v>📋 Saldo a favor Gasolinera (490L extra)</v>
      </c>
      <c r="M27" s="14651"/>
      <c r="N27" s="14652">
        <f t="shared" si="13"/>
        <v>25</v>
      </c>
    </row>
    <row r="28" spans="1:14">
      <c r="A28" s="14653" t="s">
        <v>474</v>
      </c>
      <c r="B28" s="14654">
        <v>46190.75</v>
      </c>
      <c r="C28" s="14655">
        <v>41</v>
      </c>
      <c r="D28" s="14656" t="s">
        <v>1</v>
      </c>
      <c r="E28" s="14657">
        <v>520.00199999999995</v>
      </c>
      <c r="F28" s="14658">
        <f t="shared" si="6"/>
        <v>26.999992307721893</v>
      </c>
      <c r="G28" s="14659">
        <v>14040.05</v>
      </c>
      <c r="H28" s="14660">
        <f>IF(D28="","",SUMIFS(Captura_Obra!$F:$F, Captura_Obra!$A:$A, B28, Captura_Obra!$B:$B, D28))</f>
        <v>0</v>
      </c>
      <c r="I28" s="14661">
        <f t="shared" si="7"/>
        <v>520.00199999999995</v>
      </c>
      <c r="J28" s="14662">
        <f t="shared" si="8"/>
        <v>0</v>
      </c>
      <c r="K28" s="14663" t="str">
        <f t="shared" si="9"/>
        <v/>
      </c>
      <c r="L28" s="14664" t="str">
        <f t="shared" si="12"/>
        <v>📋 Saldo a favor Gasolinera (520L extra)</v>
      </c>
      <c r="M28" s="14665"/>
      <c r="N28" s="14666">
        <f t="shared" si="13"/>
        <v>25</v>
      </c>
    </row>
    <row r="29" spans="1:14">
      <c r="A29" s="14667" t="s">
        <v>476</v>
      </c>
      <c r="B29" s="14668">
        <v>46192.75</v>
      </c>
      <c r="C29" s="14669">
        <v>41</v>
      </c>
      <c r="D29" s="14670" t="s">
        <v>1</v>
      </c>
      <c r="E29" s="14671">
        <v>400.00400000000002</v>
      </c>
      <c r="F29" s="14672">
        <f t="shared" si="6"/>
        <v>26.999980000199997</v>
      </c>
      <c r="G29" s="14673">
        <v>10800.1</v>
      </c>
      <c r="H29" s="14674">
        <f>IF(D29="","",SUMIFS(Captura_Obra!$F:$F, Captura_Obra!$A:$A, B29, Captura_Obra!$B:$B, D29))</f>
        <v>0</v>
      </c>
      <c r="I29" s="14675">
        <f t="shared" si="7"/>
        <v>400.00400000000002</v>
      </c>
      <c r="J29" s="14676">
        <f t="shared" si="8"/>
        <v>0</v>
      </c>
      <c r="K29" s="14677" t="str">
        <f t="shared" si="9"/>
        <v/>
      </c>
      <c r="L29" s="14678" t="str">
        <f t="shared" si="12"/>
        <v>📋 Saldo a favor Gasolinera (400L extra)</v>
      </c>
      <c r="M29" s="14679"/>
      <c r="N29" s="14680">
        <f t="shared" si="13"/>
        <v>25</v>
      </c>
    </row>
    <row r="30" spans="1:14">
      <c r="A30" s="14681" t="s">
        <v>487</v>
      </c>
      <c r="B30" s="14682">
        <v>46193.75</v>
      </c>
      <c r="C30" s="14683">
        <v>41</v>
      </c>
      <c r="D30" s="14684" t="s">
        <v>124</v>
      </c>
      <c r="E30" s="14685">
        <v>600.00400000000002</v>
      </c>
      <c r="F30" s="14686">
        <f t="shared" si="6"/>
        <v>26.999986666755554</v>
      </c>
      <c r="G30" s="14687">
        <v>16200.1</v>
      </c>
      <c r="H30" s="14688">
        <f>IF(D30="","",SUMIFS(Captura_Obra!$F:$F, Captura_Obra!$A:$A, B30, Captura_Obra!$B:$B, D30))</f>
        <v>0</v>
      </c>
      <c r="I30" s="14689">
        <f t="shared" si="7"/>
        <v>600.00400000000002</v>
      </c>
      <c r="J30" s="14690">
        <f t="shared" si="8"/>
        <v>0</v>
      </c>
      <c r="K30" s="14691" t="str">
        <f t="shared" si="9"/>
        <v/>
      </c>
      <c r="L30" s="14692" t="str">
        <f t="shared" si="12"/>
        <v>📋 Saldo a favor Gasolinera (600L extra)</v>
      </c>
      <c r="M30" s="14693"/>
      <c r="N30" s="14694">
        <f t="shared" si="13"/>
        <v>25</v>
      </c>
    </row>
    <row r="31" spans="1:14">
      <c r="A31" s="14695" t="s">
        <v>472</v>
      </c>
      <c r="B31" s="14696">
        <v>46188.75</v>
      </c>
      <c r="C31" s="14697">
        <v>41</v>
      </c>
      <c r="D31" s="14698" t="s">
        <v>1</v>
      </c>
      <c r="E31" s="14699">
        <v>500.00200000000001</v>
      </c>
      <c r="F31" s="14700">
        <f t="shared" si="6"/>
        <v>27.000011999951997</v>
      </c>
      <c r="G31" s="14701">
        <v>13500.06</v>
      </c>
      <c r="H31" s="14702">
        <f>IF(D31="","",SUMIFS(Captura_Obra!$F:$F, Captura_Obra!$A:$A, B31, Captura_Obra!$B:$B, D31))</f>
        <v>0</v>
      </c>
      <c r="I31" s="14703">
        <f t="shared" si="7"/>
        <v>500.00200000000001</v>
      </c>
      <c r="J31" s="14704">
        <f t="shared" si="8"/>
        <v>0</v>
      </c>
      <c r="K31" s="14705" t="str">
        <f t="shared" si="9"/>
        <v/>
      </c>
      <c r="L31" s="14706" t="str">
        <f t="shared" si="12"/>
        <v>📋 Saldo a favor Gasolinera (500L extra)</v>
      </c>
      <c r="M31" s="14707"/>
      <c r="N31" s="14708">
        <f t="shared" si="13"/>
        <v>25</v>
      </c>
    </row>
    <row r="32" spans="1:14" ht="51.6">
      <c r="A32" s="14970" t="s">
        <v>436</v>
      </c>
      <c r="B32" s="14983">
        <v>46191</v>
      </c>
      <c r="C32" s="14996">
        <v>39</v>
      </c>
      <c r="D32" s="15009" t="s">
        <v>400</v>
      </c>
      <c r="E32" s="15022">
        <v>161.91200000000001</v>
      </c>
      <c r="F32" s="15035">
        <f t="shared" si="6"/>
        <v>23.900019763822321</v>
      </c>
      <c r="G32" s="15048">
        <v>3869.7</v>
      </c>
      <c r="H32" s="15061">
        <f>IF(D32="","",SUMIFS(Captura_Obra!$F:$F, Captura_Obra!$A:$A, B32, Captura_Obra!$B:$B, D32))</f>
        <v>0</v>
      </c>
      <c r="I32" s="15074">
        <f t="shared" si="7"/>
        <v>161.91200000000001</v>
      </c>
      <c r="J32" s="15087">
        <f t="shared" si="8"/>
        <v>0</v>
      </c>
      <c r="K32" s="15100" t="str">
        <f t="shared" si="9"/>
        <v/>
      </c>
      <c r="L32" s="15113" t="str">
        <f t="shared" si="12"/>
        <v>📋 Saldo a favor Gasolinera (162L extra)</v>
      </c>
      <c r="M32" s="15126" t="s">
        <v>778</v>
      </c>
      <c r="N32" s="15139">
        <f t="shared" si="13"/>
        <v>25</v>
      </c>
    </row>
    <row r="33" spans="1:14">
      <c r="A33" s="14709" t="s">
        <v>477</v>
      </c>
      <c r="B33" s="14710">
        <v>46174</v>
      </c>
      <c r="C33" s="14711">
        <v>39</v>
      </c>
      <c r="D33" s="14712" t="s">
        <v>478</v>
      </c>
      <c r="E33" s="14713">
        <v>0</v>
      </c>
      <c r="F33" s="14714" t="str">
        <f t="shared" si="6"/>
        <v/>
      </c>
      <c r="G33" s="14715">
        <v>8100.05</v>
      </c>
      <c r="H33" s="14716">
        <f>IF(D33="","",SUMIFS(Captura_Obra!$F:$F, Captura_Obra!$A:$A, B33, Captura_Obra!$B:$B, D33))</f>
        <v>0</v>
      </c>
      <c r="I33" s="14717" t="str">
        <f t="shared" si="7"/>
        <v/>
      </c>
      <c r="J33" s="14718" t="str">
        <f t="shared" si="8"/>
        <v/>
      </c>
      <c r="K33" s="14719" t="str">
        <f t="shared" si="9"/>
        <v/>
      </c>
      <c r="L33" s="14720" t="str">
        <f t="shared" ref="L33:L47" si="14">IF(E33=0, "⚠️ Lts pendientes de capturar", IF(I33=0, "✅ Cuadrado", IF(I33&gt;0, "📋 Saldo a favor Gasolinera ("&amp;TEXT(I33,"#,##0")&amp;"L extra)", "✅ OK ("&amp;TEXT(ABS(I33),"#,##0")&amp;"L recuperados)")))</f>
        <v>⚠️ Lts pendientes de capturar</v>
      </c>
      <c r="M33" s="14721" t="s">
        <v>713</v>
      </c>
      <c r="N33" s="14722">
        <v>22</v>
      </c>
    </row>
    <row r="34" spans="1:14">
      <c r="A34" s="14723" t="s">
        <v>492</v>
      </c>
      <c r="B34" s="14724">
        <v>46174</v>
      </c>
      <c r="C34" s="14725">
        <v>39</v>
      </c>
      <c r="D34" s="14726" t="s">
        <v>3</v>
      </c>
      <c r="E34" s="14727">
        <v>0</v>
      </c>
      <c r="F34" s="14728" t="str">
        <f t="shared" si="6"/>
        <v/>
      </c>
      <c r="G34" s="14729">
        <v>16740.89</v>
      </c>
      <c r="H34" s="14730">
        <f>IF(D34="","",SUMIFS(Captura_Obra!$F:$F, Captura_Obra!$A:$A, B34, Captura_Obra!$B:$B, D34))</f>
        <v>0</v>
      </c>
      <c r="I34" s="14731" t="str">
        <f t="shared" si="7"/>
        <v/>
      </c>
      <c r="J34" s="14732" t="str">
        <f t="shared" si="8"/>
        <v/>
      </c>
      <c r="K34" s="14733" t="str">
        <f t="shared" si="9"/>
        <v/>
      </c>
      <c r="L34" s="14734" t="str">
        <f t="shared" si="14"/>
        <v>⚠️ Lts pendientes de capturar</v>
      </c>
      <c r="M34" s="14735" t="s">
        <v>713</v>
      </c>
      <c r="N34" s="14736">
        <v>22</v>
      </c>
    </row>
    <row r="35" spans="1:14">
      <c r="A35" s="14737" t="s">
        <v>493</v>
      </c>
      <c r="B35" s="14738">
        <v>46175</v>
      </c>
      <c r="C35" s="14739">
        <v>39</v>
      </c>
      <c r="D35" s="14740" t="s">
        <v>3</v>
      </c>
      <c r="E35" s="14741">
        <v>0</v>
      </c>
      <c r="F35" s="14742" t="str">
        <f t="shared" si="6"/>
        <v/>
      </c>
      <c r="G35" s="14743">
        <v>12420.08</v>
      </c>
      <c r="H35" s="14744">
        <f>IF(D35="","",SUMIFS(Captura_Obra!$F:$F, Captura_Obra!$A:$A, B35, Captura_Obra!$B:$B, D35))</f>
        <v>0</v>
      </c>
      <c r="I35" s="14745" t="str">
        <f t="shared" si="7"/>
        <v/>
      </c>
      <c r="J35" s="14746" t="str">
        <f t="shared" si="8"/>
        <v/>
      </c>
      <c r="K35" s="14747" t="str">
        <f t="shared" si="9"/>
        <v/>
      </c>
      <c r="L35" s="14748" t="str">
        <f t="shared" si="14"/>
        <v>⚠️ Lts pendientes de capturar</v>
      </c>
      <c r="M35" s="14749" t="s">
        <v>713</v>
      </c>
      <c r="N35" s="14750">
        <v>22</v>
      </c>
    </row>
    <row r="36" spans="1:14">
      <c r="A36" s="14751" t="s">
        <v>494</v>
      </c>
      <c r="B36" s="14752">
        <v>46176</v>
      </c>
      <c r="C36" s="14753">
        <v>39</v>
      </c>
      <c r="D36" s="14754" t="s">
        <v>3</v>
      </c>
      <c r="E36" s="14755">
        <v>0</v>
      </c>
      <c r="F36" s="14756" t="str">
        <f t="shared" si="6"/>
        <v/>
      </c>
      <c r="G36" s="14757">
        <v>20259.03</v>
      </c>
      <c r="H36" s="14758">
        <f>IF(D36="","",SUMIFS(Captura_Obra!$F:$F, Captura_Obra!$A:$A, B36, Captura_Obra!$B:$B, D36))</f>
        <v>0</v>
      </c>
      <c r="I36" s="14759" t="str">
        <f t="shared" si="7"/>
        <v/>
      </c>
      <c r="J36" s="14760" t="str">
        <f t="shared" si="8"/>
        <v/>
      </c>
      <c r="K36" s="14761" t="str">
        <f t="shared" si="9"/>
        <v/>
      </c>
      <c r="L36" s="14762" t="str">
        <f t="shared" si="14"/>
        <v>⚠️ Lts pendientes de capturar</v>
      </c>
      <c r="M36" s="14763" t="s">
        <v>713</v>
      </c>
      <c r="N36" s="14764">
        <v>22</v>
      </c>
    </row>
    <row r="37" spans="1:14">
      <c r="A37" s="14765" t="s">
        <v>467</v>
      </c>
      <c r="B37" s="14766">
        <v>46182</v>
      </c>
      <c r="C37" s="14767">
        <v>39</v>
      </c>
      <c r="D37" s="14768" t="s">
        <v>1</v>
      </c>
      <c r="E37" s="14769">
        <v>0</v>
      </c>
      <c r="F37" s="14770" t="str">
        <f t="shared" si="6"/>
        <v/>
      </c>
      <c r="G37" s="14771">
        <v>18900.060000000001</v>
      </c>
      <c r="H37" s="14772">
        <f>IF(D37="","",SUMIFS(Captura_Obra!$F:$F, Captura_Obra!$A:$A, B37, Captura_Obra!$B:$B, D37))</f>
        <v>0</v>
      </c>
      <c r="I37" s="14773" t="str">
        <f t="shared" si="7"/>
        <v/>
      </c>
      <c r="J37" s="14774" t="str">
        <f t="shared" si="8"/>
        <v/>
      </c>
      <c r="K37" s="14775" t="str">
        <f t="shared" si="9"/>
        <v/>
      </c>
      <c r="L37" s="14776" t="str">
        <f t="shared" si="14"/>
        <v>⚠️ Lts pendientes de capturar</v>
      </c>
      <c r="M37" s="14777" t="s">
        <v>713</v>
      </c>
      <c r="N37" s="14778">
        <v>23</v>
      </c>
    </row>
    <row r="38" spans="1:14">
      <c r="A38" s="14779" t="s">
        <v>468</v>
      </c>
      <c r="B38" s="14780">
        <v>46183</v>
      </c>
      <c r="C38" s="14781">
        <v>39</v>
      </c>
      <c r="D38" s="14782" t="s">
        <v>1</v>
      </c>
      <c r="E38" s="14783">
        <v>0</v>
      </c>
      <c r="F38" s="14784" t="str">
        <f t="shared" si="6"/>
        <v/>
      </c>
      <c r="G38" s="14785">
        <v>13770.05</v>
      </c>
      <c r="H38" s="14786">
        <f>IF(D38="","",SUMIFS(Captura_Obra!$F:$F, Captura_Obra!$A:$A, B38, Captura_Obra!$B:$B, D38))</f>
        <v>300</v>
      </c>
      <c r="I38" s="14787" t="str">
        <f t="shared" si="7"/>
        <v/>
      </c>
      <c r="J38" s="14788" t="str">
        <f t="shared" si="8"/>
        <v/>
      </c>
      <c r="K38" s="14789">
        <f t="shared" si="9"/>
        <v>45.900166666666664</v>
      </c>
      <c r="L38" s="14790" t="str">
        <f t="shared" si="14"/>
        <v>⚠️ Lts pendientes de capturar</v>
      </c>
      <c r="M38" s="14791" t="s">
        <v>713</v>
      </c>
      <c r="N38" s="14792">
        <v>23</v>
      </c>
    </row>
    <row r="39" spans="1:14">
      <c r="A39" s="14793" t="s">
        <v>469</v>
      </c>
      <c r="B39" s="14794">
        <v>46184</v>
      </c>
      <c r="C39" s="14795">
        <v>39</v>
      </c>
      <c r="D39" s="14796" t="s">
        <v>1</v>
      </c>
      <c r="E39" s="14797">
        <v>0</v>
      </c>
      <c r="F39" s="14798" t="str">
        <f t="shared" si="6"/>
        <v/>
      </c>
      <c r="G39" s="14799">
        <v>7830.05</v>
      </c>
      <c r="H39" s="14800">
        <f>IF(D39="","",SUMIFS(Captura_Obra!$F:$F, Captura_Obra!$A:$A, B39, Captura_Obra!$B:$B, D39))</f>
        <v>256</v>
      </c>
      <c r="I39" s="14801" t="str">
        <f t="shared" si="7"/>
        <v/>
      </c>
      <c r="J39" s="14802" t="str">
        <f t="shared" si="8"/>
        <v/>
      </c>
      <c r="K39" s="14803">
        <f t="shared" si="9"/>
        <v>30.586132812500001</v>
      </c>
      <c r="L39" s="14804" t="str">
        <f t="shared" si="14"/>
        <v>⚠️ Lts pendientes de capturar</v>
      </c>
      <c r="M39" s="14805" t="s">
        <v>713</v>
      </c>
      <c r="N39" s="14806">
        <v>23</v>
      </c>
    </row>
    <row r="40" spans="1:14">
      <c r="A40" s="14807" t="s">
        <v>479</v>
      </c>
      <c r="B40" s="14808">
        <v>46182</v>
      </c>
      <c r="C40" s="14809">
        <v>39</v>
      </c>
      <c r="D40" s="14810" t="s">
        <v>124</v>
      </c>
      <c r="E40" s="14811">
        <v>0</v>
      </c>
      <c r="F40" s="14812" t="str">
        <f t="shared" si="6"/>
        <v/>
      </c>
      <c r="G40" s="14813">
        <v>16200.1</v>
      </c>
      <c r="H40" s="14814">
        <f>IF(D40="","",SUMIFS(Captura_Obra!$F:$F, Captura_Obra!$A:$A, B40, Captura_Obra!$B:$B, D40))</f>
        <v>0</v>
      </c>
      <c r="I40" s="14815" t="str">
        <f t="shared" si="7"/>
        <v/>
      </c>
      <c r="J40" s="14816" t="str">
        <f t="shared" si="8"/>
        <v/>
      </c>
      <c r="K40" s="14817" t="str">
        <f t="shared" si="9"/>
        <v/>
      </c>
      <c r="L40" s="14818" t="str">
        <f t="shared" si="14"/>
        <v>⚠️ Lts pendientes de capturar</v>
      </c>
      <c r="M40" s="14819" t="s">
        <v>713</v>
      </c>
      <c r="N40" s="14820">
        <v>23</v>
      </c>
    </row>
    <row r="41" spans="1:14">
      <c r="A41" s="14821" t="s">
        <v>495</v>
      </c>
      <c r="B41" s="14822">
        <v>46182</v>
      </c>
      <c r="C41" s="14823">
        <v>39</v>
      </c>
      <c r="D41" s="14824" t="s">
        <v>3</v>
      </c>
      <c r="E41" s="14825">
        <v>0</v>
      </c>
      <c r="F41" s="14826" t="str">
        <f t="shared" si="6"/>
        <v/>
      </c>
      <c r="G41" s="14827">
        <v>20682.11</v>
      </c>
      <c r="H41" s="14828">
        <f>IF(D41="","",SUMIFS(Captura_Obra!$F:$F, Captura_Obra!$A:$A, B41, Captura_Obra!$B:$B, D41))</f>
        <v>736</v>
      </c>
      <c r="I41" s="14829" t="str">
        <f t="shared" si="7"/>
        <v/>
      </c>
      <c r="J41" s="14830" t="str">
        <f t="shared" si="8"/>
        <v/>
      </c>
      <c r="K41" s="14831">
        <f t="shared" si="9"/>
        <v>28.100692934782611</v>
      </c>
      <c r="L41" s="14832" t="str">
        <f t="shared" si="14"/>
        <v>⚠️ Lts pendientes de capturar</v>
      </c>
      <c r="M41" s="14833" t="s">
        <v>713</v>
      </c>
      <c r="N41" s="14834">
        <v>23</v>
      </c>
    </row>
    <row r="42" spans="1:14">
      <c r="A42" s="14835" t="s">
        <v>496</v>
      </c>
      <c r="B42" s="14836">
        <v>46182</v>
      </c>
      <c r="C42" s="14837">
        <v>39</v>
      </c>
      <c r="D42" s="14838" t="s">
        <v>3</v>
      </c>
      <c r="E42" s="14839">
        <v>0</v>
      </c>
      <c r="F42" s="14840" t="str">
        <f t="shared" si="6"/>
        <v/>
      </c>
      <c r="G42" s="14841">
        <v>18630.060000000001</v>
      </c>
      <c r="H42" s="14842">
        <f>IF(D42="","",SUMIFS(Captura_Obra!$F:$F, Captura_Obra!$A:$A, B42, Captura_Obra!$B:$B, D42))</f>
        <v>736</v>
      </c>
      <c r="I42" s="14843" t="str">
        <f t="shared" si="7"/>
        <v/>
      </c>
      <c r="J42" s="14844" t="str">
        <f t="shared" si="8"/>
        <v/>
      </c>
      <c r="K42" s="14845">
        <f t="shared" si="9"/>
        <v>25.312581521739133</v>
      </c>
      <c r="L42" s="14846" t="str">
        <f t="shared" si="14"/>
        <v>⚠️ Lts pendientes de capturar</v>
      </c>
      <c r="M42" s="14847" t="s">
        <v>713</v>
      </c>
      <c r="N42" s="14848">
        <v>23</v>
      </c>
    </row>
    <row r="43" spans="1:14">
      <c r="A43" s="14849" t="s">
        <v>497</v>
      </c>
      <c r="B43" s="14850">
        <v>46183</v>
      </c>
      <c r="C43" s="14851">
        <v>39</v>
      </c>
      <c r="D43" s="14852" t="s">
        <v>3</v>
      </c>
      <c r="E43" s="14853">
        <v>0</v>
      </c>
      <c r="F43" s="14854" t="str">
        <f t="shared" si="6"/>
        <v/>
      </c>
      <c r="G43" s="14855">
        <v>22140.06</v>
      </c>
      <c r="H43" s="14856">
        <f>IF(D43="","",SUMIFS(Captura_Obra!$F:$F, Captura_Obra!$A:$A, B43, Captura_Obra!$B:$B, D43))</f>
        <v>0</v>
      </c>
      <c r="I43" s="14857" t="str">
        <f t="shared" si="7"/>
        <v/>
      </c>
      <c r="J43" s="14858" t="str">
        <f t="shared" si="8"/>
        <v/>
      </c>
      <c r="K43" s="14859" t="str">
        <f t="shared" si="9"/>
        <v/>
      </c>
      <c r="L43" s="14860" t="str">
        <f t="shared" si="14"/>
        <v>⚠️ Lts pendientes de capturar</v>
      </c>
      <c r="M43" s="14861" t="s">
        <v>713</v>
      </c>
      <c r="N43" s="14862">
        <v>23</v>
      </c>
    </row>
    <row r="44" spans="1:14">
      <c r="A44" s="14863" t="s">
        <v>498</v>
      </c>
      <c r="B44" s="14864">
        <v>46184</v>
      </c>
      <c r="C44" s="14865">
        <v>39</v>
      </c>
      <c r="D44" s="14866" t="s">
        <v>3</v>
      </c>
      <c r="E44" s="14867">
        <v>0</v>
      </c>
      <c r="F44" s="14868" t="str">
        <f t="shared" si="6"/>
        <v/>
      </c>
      <c r="G44" s="14869">
        <v>18063.080000000002</v>
      </c>
      <c r="H44" s="14870">
        <f>IF(D44="","",SUMIFS(Captura_Obra!$F:$F, Captura_Obra!$A:$A, B44, Captura_Obra!$B:$B, D44))</f>
        <v>0</v>
      </c>
      <c r="I44" s="14871" t="str">
        <f t="shared" si="7"/>
        <v/>
      </c>
      <c r="J44" s="14872" t="str">
        <f t="shared" si="8"/>
        <v/>
      </c>
      <c r="K44" s="14873" t="str">
        <f t="shared" si="9"/>
        <v/>
      </c>
      <c r="L44" s="14874" t="str">
        <f t="shared" si="14"/>
        <v>⚠️ Lts pendientes de capturar</v>
      </c>
      <c r="M44" s="14875" t="s">
        <v>713</v>
      </c>
      <c r="N44" s="14876">
        <v>23</v>
      </c>
    </row>
    <row r="45" spans="1:14">
      <c r="A45" s="14877" t="s">
        <v>470</v>
      </c>
      <c r="B45" s="14878">
        <v>46189</v>
      </c>
      <c r="C45" s="14879">
        <v>39</v>
      </c>
      <c r="D45" s="14880" t="s">
        <v>1</v>
      </c>
      <c r="E45" s="14881">
        <v>0</v>
      </c>
      <c r="F45" s="14882" t="str">
        <f t="shared" si="6"/>
        <v/>
      </c>
      <c r="G45" s="14883">
        <v>17280.080000000002</v>
      </c>
      <c r="H45" s="14884">
        <f>IF(D45="","",SUMIFS(Captura_Obra!$F:$F, Captura_Obra!$A:$A, B45, Captura_Obra!$B:$B, D45))</f>
        <v>489</v>
      </c>
      <c r="I45" s="14885" t="str">
        <f t="shared" si="7"/>
        <v/>
      </c>
      <c r="J45" s="14886" t="str">
        <f t="shared" si="8"/>
        <v/>
      </c>
      <c r="K45" s="14887">
        <f t="shared" si="9"/>
        <v>35.33758691206544</v>
      </c>
      <c r="L45" s="14888" t="str">
        <f t="shared" si="14"/>
        <v>⚠️ Lts pendientes de capturar</v>
      </c>
      <c r="M45" s="14889" t="s">
        <v>713</v>
      </c>
      <c r="N45" s="14890">
        <v>24</v>
      </c>
    </row>
    <row r="46" spans="1:14">
      <c r="A46" s="14891" t="s">
        <v>471</v>
      </c>
      <c r="B46" s="14892">
        <v>46190</v>
      </c>
      <c r="C46" s="14893">
        <v>39</v>
      </c>
      <c r="D46" s="14894" t="s">
        <v>1</v>
      </c>
      <c r="E46" s="14895">
        <v>0</v>
      </c>
      <c r="F46" s="14896" t="str">
        <f t="shared" si="6"/>
        <v/>
      </c>
      <c r="G46" s="14897">
        <v>14580.08</v>
      </c>
      <c r="H46" s="14898">
        <f>IF(D46="","",SUMIFS(Captura_Obra!$F:$F, Captura_Obra!$A:$A, B46, Captura_Obra!$B:$B, D46))</f>
        <v>468</v>
      </c>
      <c r="I46" s="14899" t="str">
        <f t="shared" si="7"/>
        <v/>
      </c>
      <c r="J46" s="14900" t="str">
        <f t="shared" si="8"/>
        <v/>
      </c>
      <c r="K46" s="14901">
        <f t="shared" si="9"/>
        <v>31.154017094017092</v>
      </c>
      <c r="L46" s="14902" t="str">
        <f t="shared" si="14"/>
        <v>⚠️ Lts pendientes de capturar</v>
      </c>
      <c r="M46" s="14903" t="s">
        <v>713</v>
      </c>
      <c r="N46" s="14904">
        <v>24</v>
      </c>
    </row>
    <row r="47" spans="1:14">
      <c r="A47" s="14972" t="s">
        <v>482</v>
      </c>
      <c r="B47" s="14985">
        <v>46191</v>
      </c>
      <c r="C47" s="14998">
        <v>39</v>
      </c>
      <c r="D47" s="15011" t="s">
        <v>124</v>
      </c>
      <c r="E47" s="15024">
        <v>0</v>
      </c>
      <c r="F47" s="15037" t="str">
        <f t="shared" si="6"/>
        <v/>
      </c>
      <c r="G47" s="15050">
        <v>5370.98</v>
      </c>
      <c r="H47" s="15063">
        <f>IF(D47="","",SUMIFS(Captura_Obra!$F:$F, Captura_Obra!$A:$A, B47, Captura_Obra!$B:$B, D47))</f>
        <v>500</v>
      </c>
      <c r="I47" s="15076" t="str">
        <f t="shared" si="7"/>
        <v/>
      </c>
      <c r="J47" s="15089" t="str">
        <f t="shared" si="8"/>
        <v/>
      </c>
      <c r="K47" s="15102">
        <f t="shared" si="9"/>
        <v>10.741959999999999</v>
      </c>
      <c r="L47" s="15115" t="str">
        <f t="shared" si="14"/>
        <v>⚠️ Lts pendientes de capturar</v>
      </c>
      <c r="M47" s="15128" t="s">
        <v>713</v>
      </c>
      <c r="N47" s="15141">
        <v>24</v>
      </c>
    </row>
    <row r="48" spans="1:14">
      <c r="A48" s="14964" t="s">
        <v>486</v>
      </c>
      <c r="B48" s="14977">
        <v>46191.75</v>
      </c>
      <c r="C48" s="14990">
        <v>41</v>
      </c>
      <c r="D48" s="15003" t="s">
        <v>124</v>
      </c>
      <c r="E48" s="15016">
        <v>500.00199999999995</v>
      </c>
      <c r="F48" s="15029">
        <f t="shared" si="6"/>
        <v>27.000011999952001</v>
      </c>
      <c r="G48" s="15042">
        <v>13500.06</v>
      </c>
      <c r="H48" s="15055">
        <f>IF(D48="","",SUMIFS(Captura_Obra!$F:$F, Captura_Obra!$A:$A, B48, Captura_Obra!$B:$B, D48))</f>
        <v>0</v>
      </c>
      <c r="I48" s="15068">
        <f t="shared" si="7"/>
        <v>500.00199999999995</v>
      </c>
      <c r="J48" s="15081">
        <f t="shared" si="8"/>
        <v>0</v>
      </c>
      <c r="K48" s="15094" t="str">
        <f t="shared" si="9"/>
        <v/>
      </c>
      <c r="L48" s="15107" t="str">
        <f>IF(E48=0, "⚠️ Sin Lts (revisar)", IF(I48=0, "✅ Cuadrado", IF(I48&gt;0, "📋 Saldo a favor Gasolinera ("&amp;TEXT(I48,"#,##0")&amp;"L extra)", "✅ OK ("&amp;TEXT(ABS(I48),"#,##0")&amp;"L recuperados)")))</f>
        <v>📋 Saldo a favor Gasolinera (500L extra)</v>
      </c>
      <c r="M48" s="15120"/>
      <c r="N48" s="15133">
        <f>IF(B48="","", WEEKNUM(B48, 2))</f>
        <v>25</v>
      </c>
    </row>
    <row r="49" spans="1:14">
      <c r="A49" s="14973" t="s">
        <v>483</v>
      </c>
      <c r="B49" s="14986">
        <v>46192</v>
      </c>
      <c r="C49" s="14999">
        <v>39</v>
      </c>
      <c r="D49" s="15012" t="s">
        <v>124</v>
      </c>
      <c r="E49" s="15025">
        <v>0</v>
      </c>
      <c r="F49" s="15038" t="str">
        <f t="shared" si="6"/>
        <v/>
      </c>
      <c r="G49" s="15051">
        <v>13493.2</v>
      </c>
      <c r="H49" s="15064">
        <f>IF(D49="","",SUMIFS(Captura_Obra!$F:$F, Captura_Obra!$A:$A, B49, Captura_Obra!$B:$B, D49))</f>
        <v>0</v>
      </c>
      <c r="I49" s="15077" t="str">
        <f t="shared" si="7"/>
        <v/>
      </c>
      <c r="J49" s="15090" t="str">
        <f t="shared" si="8"/>
        <v/>
      </c>
      <c r="K49" s="15103" t="str">
        <f t="shared" si="9"/>
        <v/>
      </c>
      <c r="L49" s="15116" t="str">
        <f>IF(E49=0, "⚠️ Lts pendientes de capturar", IF(I49=0, "✅ Cuadrado", IF(I49&gt;0, "📋 Saldo a favor Gasolinera ("&amp;TEXT(I49,"#,##0")&amp;"L extra)", "✅ OK ("&amp;TEXT(ABS(I49),"#,##0")&amp;"L recuperados)")))</f>
        <v>⚠️ Lts pendientes de capturar</v>
      </c>
      <c r="M49" s="15129" t="s">
        <v>713</v>
      </c>
      <c r="N49" s="15142">
        <v>24</v>
      </c>
    </row>
    <row r="50" spans="1:14">
      <c r="A50" s="14974" t="s">
        <v>709</v>
      </c>
      <c r="B50" s="14987">
        <v>46192.75</v>
      </c>
      <c r="C50" s="15000">
        <v>41</v>
      </c>
      <c r="D50" s="15013" t="s">
        <v>775</v>
      </c>
      <c r="E50" s="15026">
        <v>4000.0120000000006</v>
      </c>
      <c r="F50" s="15039">
        <f t="shared" si="6"/>
        <v>27.000008999972994</v>
      </c>
      <c r="G50" s="15052">
        <v>108000.36</v>
      </c>
      <c r="H50" s="15065">
        <f>IF(D50="","",SUMIFS(Captura_Obra!$F:$F, Captura_Obra!$A:$A, B50, Captura_Obra!$B:$B, D50))</f>
        <v>0</v>
      </c>
      <c r="I50" s="15078">
        <f t="shared" si="7"/>
        <v>4000.0120000000006</v>
      </c>
      <c r="J50" s="15091">
        <f t="shared" si="8"/>
        <v>0</v>
      </c>
      <c r="K50" s="15104" t="str">
        <f t="shared" si="9"/>
        <v/>
      </c>
      <c r="L50" s="15117" t="str">
        <f>IF(E50=0, "⚠️ Sin Lts (revisar)", IF(I50=0, "✅ Cuadrado", IF(I50&gt;0, "📋 Saldo a favor Gasolinera ("&amp;TEXT(I50,"#,##0")&amp;"L extra)", "✅ OK ("&amp;TEXT(ABS(I50),"#,##0")&amp;"L recuperados)")))</f>
        <v>📋 Saldo a favor Gasolinera (4,000L extra)</v>
      </c>
      <c r="M50" s="15130" t="s">
        <v>776</v>
      </c>
      <c r="N50" s="15143">
        <f>IF(B50="","", WEEKNUM(B50, 2))</f>
        <v>25</v>
      </c>
    </row>
    <row r="51" spans="1:14">
      <c r="A51" s="14967" t="s">
        <v>710</v>
      </c>
      <c r="B51" s="14980">
        <v>46192.75</v>
      </c>
      <c r="C51" s="14993">
        <v>41</v>
      </c>
      <c r="D51" s="15006" t="s">
        <v>775</v>
      </c>
      <c r="E51" s="15019">
        <v>4000.0120000000006</v>
      </c>
      <c r="F51" s="15032">
        <f t="shared" si="6"/>
        <v>27.000008999972994</v>
      </c>
      <c r="G51" s="15045">
        <v>108000.36</v>
      </c>
      <c r="H51" s="15058">
        <f>IF(D51="","",SUMIFS(Captura_Obra!$F:$F, Captura_Obra!$A:$A, B51, Captura_Obra!$B:$B, D51))</f>
        <v>0</v>
      </c>
      <c r="I51" s="15071">
        <f t="shared" si="7"/>
        <v>4000.0120000000006</v>
      </c>
      <c r="J51" s="15084">
        <f t="shared" si="8"/>
        <v>0</v>
      </c>
      <c r="K51" s="15097" t="str">
        <f t="shared" si="9"/>
        <v/>
      </c>
      <c r="L51" s="15110" t="str">
        <f>IF(E51=0, "⚠️ Sin Lts (revisar)", IF(I51=0, "✅ Cuadrado", IF(I51&gt;0, "📋 Saldo a favor Gasolinera ("&amp;TEXT(I51,"#,##0")&amp;"L extra)", "✅ OK ("&amp;TEXT(ABS(I51),"#,##0")&amp;"L recuperados)")))</f>
        <v>📋 Saldo a favor Gasolinera (4,000L extra)</v>
      </c>
      <c r="M51" s="15123" t="s">
        <v>776</v>
      </c>
      <c r="N51" s="15136">
        <f>IF(B51="","", WEEKNUM(B51, 2))</f>
        <v>25</v>
      </c>
    </row>
    <row r="52" spans="1:14">
      <c r="A52" s="14905" t="s">
        <v>499</v>
      </c>
      <c r="B52" s="14906">
        <v>46192</v>
      </c>
      <c r="C52" s="14907">
        <v>39</v>
      </c>
      <c r="D52" s="14908" t="s">
        <v>3</v>
      </c>
      <c r="E52" s="14909">
        <v>0</v>
      </c>
      <c r="F52" s="14910" t="str">
        <f t="shared" ref="F52:F55" si="15">IF(E52=0,"",G52/E52)</f>
        <v/>
      </c>
      <c r="G52" s="14911">
        <v>18360.830000000002</v>
      </c>
      <c r="H52" s="14912">
        <f>IF(D52="","",SUMIFS(Captura_Obra!$F:$F, Captura_Obra!$A:$A, B52, Captura_Obra!$B:$B, D52))</f>
        <v>0</v>
      </c>
      <c r="I52" s="14913" t="str">
        <f t="shared" ref="I52:I55" si="16">IF(E52=0,"", E52 - H52)</f>
        <v/>
      </c>
      <c r="J52" s="14914" t="str">
        <f t="shared" ref="J52:J55" si="17">IF(E52=0,"", IF(E52&gt;0, H52/E52, 0))</f>
        <v/>
      </c>
      <c r="K52" s="14915" t="str">
        <f t="shared" ref="K52:K55" si="18">IF(H52=0,"", G52/H52)</f>
        <v/>
      </c>
      <c r="L52" s="14916" t="str">
        <f t="shared" ref="L52:L55" si="19">IF(E52=0, "⚠️ Lts pendientes de capturar", IF(I52=0, "✅ Cuadrado", IF(I52&gt;0, "📋 Saldo a favor Gasolinera ("&amp;TEXT(I52,"#,##0")&amp;"L extra)", "✅ OK ("&amp;TEXT(ABS(I52),"#,##0")&amp;"L recuperados)")))</f>
        <v>⚠️ Lts pendientes de capturar</v>
      </c>
      <c r="M52" s="14917" t="s">
        <v>713</v>
      </c>
      <c r="N52" s="14918">
        <v>24</v>
      </c>
    </row>
    <row r="53" spans="1:14">
      <c r="A53" s="14919" t="s">
        <v>489</v>
      </c>
      <c r="B53" s="14920">
        <v>46167</v>
      </c>
      <c r="C53" s="14921">
        <v>39</v>
      </c>
      <c r="D53" s="14922" t="s">
        <v>3</v>
      </c>
      <c r="E53" s="14923">
        <v>0</v>
      </c>
      <c r="F53" s="14924" t="str">
        <f t="shared" si="15"/>
        <v/>
      </c>
      <c r="G53" s="14925">
        <v>31054.48</v>
      </c>
      <c r="H53" s="14926">
        <f>IF(D53="","",SUMIFS(Captura_Obra!$F:$F, Captura_Obra!$A:$A, B53, Captura_Obra!$B:$B, D53))</f>
        <v>0</v>
      </c>
      <c r="I53" s="14927" t="str">
        <f t="shared" si="16"/>
        <v/>
      </c>
      <c r="J53" s="14928" t="str">
        <f t="shared" si="17"/>
        <v/>
      </c>
      <c r="K53" s="14929" t="str">
        <f t="shared" si="18"/>
        <v/>
      </c>
      <c r="L53" s="14930" t="str">
        <f t="shared" si="19"/>
        <v>⚠️ Lts pendientes de capturar</v>
      </c>
      <c r="M53" s="14931" t="s">
        <v>713</v>
      </c>
      <c r="N53" s="14932">
        <v>21</v>
      </c>
    </row>
    <row r="54" spans="1:14">
      <c r="A54" s="14933" t="s">
        <v>490</v>
      </c>
      <c r="B54" s="14934">
        <v>46168</v>
      </c>
      <c r="C54" s="14935">
        <v>39</v>
      </c>
      <c r="D54" s="14936" t="s">
        <v>3</v>
      </c>
      <c r="E54" s="14937">
        <v>0</v>
      </c>
      <c r="F54" s="14938" t="str">
        <f t="shared" si="15"/>
        <v/>
      </c>
      <c r="G54" s="14939">
        <v>26190.11</v>
      </c>
      <c r="H54" s="14940">
        <f>IF(D54="","",SUMIFS(Captura_Obra!$F:$F, Captura_Obra!$A:$A, B54, Captura_Obra!$B:$B, D54))</f>
        <v>0</v>
      </c>
      <c r="I54" s="14941" t="str">
        <f t="shared" si="16"/>
        <v/>
      </c>
      <c r="J54" s="14942" t="str">
        <f t="shared" si="17"/>
        <v/>
      </c>
      <c r="K54" s="14943" t="str">
        <f t="shared" si="18"/>
        <v/>
      </c>
      <c r="L54" s="14944" t="str">
        <f t="shared" si="19"/>
        <v>⚠️ Lts pendientes de capturar</v>
      </c>
      <c r="M54" s="14945" t="s">
        <v>713</v>
      </c>
      <c r="N54" s="14946">
        <v>21</v>
      </c>
    </row>
    <row r="55" spans="1:14">
      <c r="A55" s="14947" t="s">
        <v>491</v>
      </c>
      <c r="B55" s="14948">
        <v>46169</v>
      </c>
      <c r="C55" s="14949">
        <v>39</v>
      </c>
      <c r="D55" s="14950" t="s">
        <v>3</v>
      </c>
      <c r="E55" s="14951">
        <v>0</v>
      </c>
      <c r="F55" s="14952" t="str">
        <f t="shared" si="15"/>
        <v/>
      </c>
      <c r="G55" s="14953">
        <v>20250.09</v>
      </c>
      <c r="H55" s="14954">
        <f>IF(D55="","",SUMIFS(Captura_Obra!$F:$F, Captura_Obra!$A:$A, B55, Captura_Obra!$B:$B, D55))</f>
        <v>0</v>
      </c>
      <c r="I55" s="14955" t="str">
        <f t="shared" si="16"/>
        <v/>
      </c>
      <c r="J55" s="14956" t="str">
        <f t="shared" si="17"/>
        <v/>
      </c>
      <c r="K55" s="14957" t="str">
        <f t="shared" si="18"/>
        <v/>
      </c>
      <c r="L55" s="14958" t="str">
        <f t="shared" si="19"/>
        <v>⚠️ Lts pendientes de capturar</v>
      </c>
      <c r="M55" s="14959" t="s">
        <v>713</v>
      </c>
      <c r="N55" s="14960">
        <v>21</v>
      </c>
    </row>
    <row r="165" spans="14:14">
      <c r="N165" t="str">
        <f t="shared" ref="N165:N200" si="20">IF(B165="","", WEEKNUM(B165, 2))</f>
        <v/>
      </c>
    </row>
    <row r="166" spans="14:14">
      <c r="N166" t="str">
        <f t="shared" si="20"/>
        <v/>
      </c>
    </row>
    <row r="167" spans="14:14">
      <c r="N167" t="str">
        <f t="shared" si="20"/>
        <v/>
      </c>
    </row>
    <row r="168" spans="14:14">
      <c r="N168" t="str">
        <f t="shared" si="20"/>
        <v/>
      </c>
    </row>
    <row r="169" spans="14:14">
      <c r="N169" t="str">
        <f t="shared" si="20"/>
        <v/>
      </c>
    </row>
    <row r="170" spans="14:14">
      <c r="N170" t="str">
        <f t="shared" si="20"/>
        <v/>
      </c>
    </row>
    <row r="171" spans="14:14">
      <c r="N171" t="str">
        <f t="shared" si="20"/>
        <v/>
      </c>
    </row>
    <row r="172" spans="14:14">
      <c r="N172" t="str">
        <f t="shared" si="20"/>
        <v/>
      </c>
    </row>
    <row r="173" spans="14:14">
      <c r="N173" t="str">
        <f t="shared" si="20"/>
        <v/>
      </c>
    </row>
    <row r="174" spans="14:14">
      <c r="N174" t="str">
        <f t="shared" si="20"/>
        <v/>
      </c>
    </row>
    <row r="175" spans="14:14">
      <c r="N175" t="str">
        <f t="shared" si="20"/>
        <v/>
      </c>
    </row>
    <row r="176" spans="14:14">
      <c r="N176" t="str">
        <f t="shared" si="20"/>
        <v/>
      </c>
    </row>
    <row r="177" spans="14:14">
      <c r="N177" t="str">
        <f t="shared" si="20"/>
        <v/>
      </c>
    </row>
    <row r="178" spans="14:14">
      <c r="N178" t="str">
        <f t="shared" si="20"/>
        <v/>
      </c>
    </row>
    <row r="179" spans="14:14">
      <c r="N179" t="str">
        <f t="shared" si="20"/>
        <v/>
      </c>
    </row>
    <row r="180" spans="14:14">
      <c r="N180" t="str">
        <f t="shared" si="20"/>
        <v/>
      </c>
    </row>
    <row r="181" spans="14:14">
      <c r="N181" t="str">
        <f t="shared" si="20"/>
        <v/>
      </c>
    </row>
    <row r="182" spans="14:14">
      <c r="N182" t="str">
        <f t="shared" si="20"/>
        <v/>
      </c>
    </row>
    <row r="183" spans="14:14">
      <c r="N183" t="str">
        <f t="shared" si="20"/>
        <v/>
      </c>
    </row>
    <row r="184" spans="14:14">
      <c r="N184" t="str">
        <f t="shared" si="20"/>
        <v/>
      </c>
    </row>
    <row r="185" spans="14:14">
      <c r="N185" t="str">
        <f t="shared" si="20"/>
        <v/>
      </c>
    </row>
    <row r="186" spans="14:14">
      <c r="N186" t="str">
        <f t="shared" si="20"/>
        <v/>
      </c>
    </row>
    <row r="187" spans="14:14">
      <c r="N187" t="str">
        <f t="shared" si="20"/>
        <v/>
      </c>
    </row>
    <row r="188" spans="14:14">
      <c r="N188" t="str">
        <f t="shared" si="20"/>
        <v/>
      </c>
    </row>
    <row r="189" spans="14:14">
      <c r="N189" t="str">
        <f t="shared" si="20"/>
        <v/>
      </c>
    </row>
    <row r="190" spans="14:14">
      <c r="N190" t="str">
        <f t="shared" si="20"/>
        <v/>
      </c>
    </row>
    <row r="191" spans="14:14">
      <c r="N191" t="str">
        <f t="shared" si="20"/>
        <v/>
      </c>
    </row>
    <row r="192" spans="14:14">
      <c r="N192" t="str">
        <f t="shared" si="20"/>
        <v/>
      </c>
    </row>
    <row r="193" spans="14:14">
      <c r="N193" t="str">
        <f t="shared" si="20"/>
        <v/>
      </c>
    </row>
    <row r="194" spans="14:14">
      <c r="N194" t="str">
        <f t="shared" si="20"/>
        <v/>
      </c>
    </row>
    <row r="195" spans="14:14">
      <c r="N195" t="str">
        <f t="shared" si="20"/>
        <v/>
      </c>
    </row>
    <row r="196" spans="14:14">
      <c r="N196" t="str">
        <f t="shared" si="20"/>
        <v/>
      </c>
    </row>
    <row r="197" spans="14:14">
      <c r="N197" t="str">
        <f t="shared" si="20"/>
        <v/>
      </c>
    </row>
    <row r="198" spans="14:14">
      <c r="N198" t="str">
        <f t="shared" si="20"/>
        <v/>
      </c>
    </row>
    <row r="199" spans="14:14">
      <c r="N199" t="str">
        <f t="shared" si="20"/>
        <v/>
      </c>
    </row>
    <row r="200" spans="14:14">
      <c r="N200" t="str">
        <f t="shared" si="20"/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4"/>
  <sheetViews>
    <sheetView workbookViewId="0"/>
  </sheetViews>
  <sheetFormatPr baseColWidth="10" defaultRowHeight="13.8"/>
  <sheetData>
    <row r="1" spans="1:8" ht="21">
      <c r="A1" s="17921" t="s">
        <v>714</v>
      </c>
    </row>
    <row r="3" spans="1:8" ht="17.399999999999999">
      <c r="A3" s="17922" t="s">
        <v>715</v>
      </c>
      <c r="C3" s="16029">
        <v>25</v>
      </c>
      <c r="D3" s="17977" t="s">
        <v>766</v>
      </c>
      <c r="E3" s="17978" t="s">
        <v>754</v>
      </c>
      <c r="F3" s="16030">
        <v>27</v>
      </c>
      <c r="G3" s="16031" t="s">
        <v>767</v>
      </c>
    </row>
    <row r="5" spans="1:8">
      <c r="A5" s="17923" t="s">
        <v>716</v>
      </c>
    </row>
    <row r="6" spans="1:8" ht="28.8">
      <c r="A6" s="16032" t="s">
        <v>460</v>
      </c>
      <c r="B6" s="16033" t="s">
        <v>717</v>
      </c>
      <c r="C6" s="16034" t="s">
        <v>718</v>
      </c>
      <c r="D6" s="16035" t="s">
        <v>502</v>
      </c>
      <c r="E6" s="16036" t="s">
        <v>719</v>
      </c>
      <c r="F6" s="16037" t="s">
        <v>720</v>
      </c>
    </row>
    <row r="7" spans="1:8">
      <c r="A7" s="16038">
        <v>21</v>
      </c>
      <c r="B7" s="16039">
        <f>SUMIFS(Estados_Cuenta_Mobil!$F:$F,Estados_Cuenta_Mobil!$C:$C,A7)</f>
        <v>77494.679999999993</v>
      </c>
      <c r="C7" s="16040">
        <f>SUMIFS(Captura_Facturas_Mobil!$G:$G,Captura_Facturas_Mobil!$N:$N,A7)</f>
        <v>77494.679999999993</v>
      </c>
      <c r="D7" s="16041">
        <f t="shared" ref="D7:D12" si="0">B7-C7</f>
        <v>0</v>
      </c>
      <c r="E7" s="16042">
        <f>SUMIFS(Estados_Cuenta_Mobil!$I:$I,Estados_Cuenta_Mobil!$C:$C,A7)</f>
        <v>0</v>
      </c>
      <c r="F7" s="16043">
        <f>SUMIFS(Captura_Facturas_Mobil!$E:$E,Captura_Facturas_Mobil!$N:$N,A7)</f>
        <v>0</v>
      </c>
    </row>
    <row r="8" spans="1:8">
      <c r="A8" s="16044">
        <v>22</v>
      </c>
      <c r="B8" s="16045">
        <f>SUMIFS(Estados_Cuenta_Mobil!$F:$F,Estados_Cuenta_Mobil!$C:$C,A8)</f>
        <v>57520.049999999996</v>
      </c>
      <c r="C8" s="16046">
        <f>SUMIFS(Captura_Facturas_Mobil!$G:$G,Captura_Facturas_Mobil!$N:$N,A8)</f>
        <v>57520.049999999996</v>
      </c>
      <c r="D8" s="16047">
        <f t="shared" si="0"/>
        <v>0</v>
      </c>
      <c r="E8" s="16048">
        <f>SUMIFS(Estados_Cuenta_Mobil!$I:$I,Estados_Cuenta_Mobil!$C:$C,A8)</f>
        <v>0</v>
      </c>
      <c r="F8" s="16049">
        <f>SUMIFS(Captura_Facturas_Mobil!$E:$E,Captura_Facturas_Mobil!$N:$N,A8)</f>
        <v>0</v>
      </c>
    </row>
    <row r="9" spans="1:8">
      <c r="A9" s="16050">
        <v>23</v>
      </c>
      <c r="B9" s="16051">
        <f>SUMIFS(Estados_Cuenta_Mobil!$F:$F,Estados_Cuenta_Mobil!$C:$C,A9)</f>
        <v>136215.57</v>
      </c>
      <c r="C9" s="16052">
        <f>SUMIFS(Captura_Facturas_Mobil!$G:$G,Captura_Facturas_Mobil!$N:$N,A9)</f>
        <v>136215.57</v>
      </c>
      <c r="D9" s="16053">
        <f t="shared" si="0"/>
        <v>0</v>
      </c>
      <c r="E9" s="16054">
        <f>SUMIFS(Estados_Cuenta_Mobil!$I:$I,Estados_Cuenta_Mobil!$C:$C,A9)</f>
        <v>0</v>
      </c>
      <c r="F9" s="16055">
        <f>SUMIFS(Captura_Facturas_Mobil!$E:$E,Captura_Facturas_Mobil!$N:$N,A9)</f>
        <v>0</v>
      </c>
    </row>
    <row r="10" spans="1:8">
      <c r="A10" s="16056">
        <v>24</v>
      </c>
      <c r="B10" s="16057">
        <f>SUMIFS(Estados_Cuenta_Mobil!$F:$F,Estados_Cuenta_Mobil!$C:$C,A10)</f>
        <v>182485.63</v>
      </c>
      <c r="C10" s="16058">
        <f>SUMIFS(Captura_Facturas_Mobil!$G:$G,Captura_Facturas_Mobil!$N:$N,A10)</f>
        <v>182485.63000000006</v>
      </c>
      <c r="D10" s="16059">
        <f t="shared" si="0"/>
        <v>0</v>
      </c>
      <c r="E10" s="16060">
        <f>SUMIFS(Estados_Cuenta_Mobil!$I:$I,Estados_Cuenta_Mobil!$C:$C,A10)</f>
        <v>0</v>
      </c>
      <c r="F10" s="16061">
        <f>SUMIFS(Captura_Facturas_Mobil!$E:$E,Captura_Facturas_Mobil!$N:$N,A10)</f>
        <v>0</v>
      </c>
    </row>
    <row r="11" spans="1:8">
      <c r="A11" s="16062">
        <v>25</v>
      </c>
      <c r="B11" s="16063">
        <f>SUMIFS(Estados_Cuenta_Mobil!$F:$F,Estados_Cuenta_Mobil!$C:$C,A11)</f>
        <v>244440.84000000003</v>
      </c>
      <c r="C11" s="16064">
        <f>SUMIFS(Captura_Facturas_Mobil!$G:$G,Captura_Facturas_Mobil!$N:$N,A11)</f>
        <v>676442.27999999991</v>
      </c>
      <c r="D11" s="16065">
        <f t="shared" si="0"/>
        <v>-432001.43999999989</v>
      </c>
      <c r="E11" s="16066">
        <f>SUMIFS(Estados_Cuenta_Mobil!$I:$I,Estados_Cuenta_Mobil!$C:$C,A11)</f>
        <v>9071.9540000000015</v>
      </c>
      <c r="F11" s="16067">
        <f>SUMIFS(Captura_Facturas_Mobil!$E:$E,Captura_Facturas_Mobil!$N:$N,A11)</f>
        <v>25071.990000000005</v>
      </c>
    </row>
    <row r="12" spans="1:8">
      <c r="A12" s="16068">
        <v>26</v>
      </c>
      <c r="B12" s="16069">
        <f>SUMIFS(Estados_Cuenta_Mobil!$F:$F,Estados_Cuenta_Mobil!$C:$C,A12)</f>
        <v>54020.240000000005</v>
      </c>
      <c r="C12" s="16070">
        <f>SUMIFS(Captura_Facturas_Mobil!$G:$G,Captura_Facturas_Mobil!$N:$N,A12)</f>
        <v>302570.98</v>
      </c>
      <c r="D12" s="16071">
        <f t="shared" si="0"/>
        <v>-248550.74</v>
      </c>
      <c r="E12" s="16072">
        <f>SUMIFS(Estados_Cuenta_Mobil!$I:$I,Estados_Cuenta_Mobil!$C:$C,A12)</f>
        <v>2033</v>
      </c>
      <c r="F12" s="16073">
        <f>SUMIFS(Captura_Facturas_Mobil!$E:$E,Captura_Facturas_Mobil!$N:$N,A12)</f>
        <v>10813</v>
      </c>
    </row>
    <row r="13" spans="1:8">
      <c r="A13" s="16074" t="s">
        <v>721</v>
      </c>
      <c r="B13" s="16075">
        <f>SUM(B7:B12)</f>
        <v>752177.01</v>
      </c>
      <c r="C13" s="16076">
        <f>SUM(C7:C12)</f>
        <v>1432729.19</v>
      </c>
      <c r="D13" s="16077">
        <f>SUM(D7:D12)</f>
        <v>-680552.17999999993</v>
      </c>
      <c r="E13" s="16078">
        <f>SUM(E7:E12)</f>
        <v>11104.954000000002</v>
      </c>
      <c r="F13" s="16079">
        <f>SUM(F7:F12)</f>
        <v>35884.990000000005</v>
      </c>
    </row>
    <row r="15" spans="1:8">
      <c r="A15" s="17940" t="s">
        <v>755</v>
      </c>
    </row>
    <row r="16" spans="1:8" ht="14.4">
      <c r="A16" s="17924" t="s">
        <v>0</v>
      </c>
      <c r="B16" s="17925" t="s">
        <v>722</v>
      </c>
      <c r="C16" s="17926" t="s">
        <v>723</v>
      </c>
      <c r="D16" s="17927" t="s">
        <v>724</v>
      </c>
      <c r="E16" s="17928" t="s">
        <v>725</v>
      </c>
      <c r="F16" s="17929" t="s">
        <v>726</v>
      </c>
      <c r="G16" s="17930" t="s">
        <v>727</v>
      </c>
      <c r="H16" s="17931" t="s">
        <v>721</v>
      </c>
    </row>
    <row r="17" spans="1:10" ht="28.8">
      <c r="A17" s="16080" t="s">
        <v>1</v>
      </c>
      <c r="B17" s="16081">
        <f>SUMIFS(Estados_Cuenta_Mobil!$F:$F,Estados_Cuenta_Mobil!$D:$D,A17,Estados_Cuenta_Mobil!$C:$C,21)</f>
        <v>0</v>
      </c>
      <c r="C17" s="16082">
        <f>SUMIFS(Estados_Cuenta_Mobil!$F:$F,Estados_Cuenta_Mobil!$D:$D,A17,Estados_Cuenta_Mobil!$C:$C,22)</f>
        <v>0</v>
      </c>
      <c r="D17" s="16083">
        <f>SUMIFS(Estados_Cuenta_Mobil!$F:$F,Estados_Cuenta_Mobil!$D:$D,A17,Estados_Cuenta_Mobil!$C:$C,23)</f>
        <v>40500.160000000003</v>
      </c>
      <c r="E17" s="16084">
        <f>SUMIFS(Estados_Cuenta_Mobil!$F:$F,Estados_Cuenta_Mobil!$D:$D,A17,Estados_Cuenta_Mobil!$C:$C,24)</f>
        <v>31860.160000000003</v>
      </c>
      <c r="F17" s="16085">
        <f>SUMIFS(Estados_Cuenta_Mobil!$F:$F,Estados_Cuenta_Mobil!$D:$D,A17,Estados_Cuenta_Mobil!$C:$C,25)</f>
        <v>65070.369999999995</v>
      </c>
      <c r="G17" s="16086">
        <f>SUMIFS(Estados_Cuenta_Mobil!$F:$F,Estados_Cuenta_Mobil!$D:$D,A17,Estados_Cuenta_Mobil!$C:$C,26)</f>
        <v>54020.240000000005</v>
      </c>
      <c r="H17" s="16087">
        <f>SUM(B17:G17)</f>
        <v>191450.93</v>
      </c>
    </row>
    <row r="18" spans="1:10">
      <c r="A18" s="16088" t="s">
        <v>400</v>
      </c>
      <c r="B18" s="16089">
        <f>SUMIFS(Estados_Cuenta_Mobil!$F:$F,Estados_Cuenta_Mobil!$D:$D,"Maquinaria Pegaso",Estados_Cuenta_Mobil!$C:$C,21)+SUMIFS(Estados_Cuenta_Mobil!$F:$F,Estados_Cuenta_Mobil!$D:$D,"Lerma - Tres Marías",Estados_Cuenta_Mobil!$C:$C,21)+SUMIFS(Estados_Cuenta_Mobil!$F:$F,Estados_Cuenta_Mobil!$D:$D,"Chamapa-Lechería",Estados_Cuenta_Mobil!$C:$C,21)+SUMIFS(Estados_Cuenta_Mobil!$F:$F,Estados_Cuenta_Mobil!$D:$D,"Bacheo Toluca",Estados_Cuenta_Mobil!$C:$C,21)+SUMIFS(Estados_Cuenta_Mobil!$F:$F,Estados_Cuenta_Mobil!$D:$D,"Dragones",Estados_Cuenta_Mobil!$C:$C,21)+SUMIFS(Estados_Cuenta_Mobil!$F:$F,Estados_Cuenta_Mobil!$D:$D,"Colegio Militar",Estados_Cuenta_Mobil!$C:$C,21)+SUMIFS(Estados_Cuenta_Mobil!$F:$F,Estados_Cuenta_Mobil!$D:$D,"NO DETECTADA",Estados_Cuenta_Mobil!$C:$C,21)</f>
        <v>77494.679999999993</v>
      </c>
      <c r="C18" s="16090">
        <f>SUMIFS(Estados_Cuenta_Mobil!$F:$F,Estados_Cuenta_Mobil!$D:$D,"Maquinaria Pegaso",Estados_Cuenta_Mobil!$C:$C,22)+SUMIFS(Estados_Cuenta_Mobil!$F:$F,Estados_Cuenta_Mobil!$D:$D,"Lerma - Tres Marías",Estados_Cuenta_Mobil!$C:$C,22)+SUMIFS(Estados_Cuenta_Mobil!$F:$F,Estados_Cuenta_Mobil!$D:$D,"Chamapa-Lechería",Estados_Cuenta_Mobil!$C:$C,22)+SUMIFS(Estados_Cuenta_Mobil!$F:$F,Estados_Cuenta_Mobil!$D:$D,"Bacheo Toluca",Estados_Cuenta_Mobil!$C:$C,22)+SUMIFS(Estados_Cuenta_Mobil!$F:$F,Estados_Cuenta_Mobil!$D:$D,"Dragones",Estados_Cuenta_Mobil!$C:$C,22)+SUMIFS(Estados_Cuenta_Mobil!$F:$F,Estados_Cuenta_Mobil!$D:$D,"Colegio Militar",Estados_Cuenta_Mobil!$C:$C,22)+SUMIFS(Estados_Cuenta_Mobil!$F:$F,Estados_Cuenta_Mobil!$D:$D,"NO DETECTADA",Estados_Cuenta_Mobil!$C:$C,22)</f>
        <v>57520.05</v>
      </c>
      <c r="D18" s="16091">
        <f>SUMIFS(Estados_Cuenta_Mobil!$F:$F,Estados_Cuenta_Mobil!$D:$D,"Maquinaria Pegaso",Estados_Cuenta_Mobil!$C:$C,23)+SUMIFS(Estados_Cuenta_Mobil!$F:$F,Estados_Cuenta_Mobil!$D:$D,"Lerma - Tres Marías",Estados_Cuenta_Mobil!$C:$C,23)+SUMIFS(Estados_Cuenta_Mobil!$F:$F,Estados_Cuenta_Mobil!$D:$D,"Chamapa-Lechería",Estados_Cuenta_Mobil!$C:$C,23)+SUMIFS(Estados_Cuenta_Mobil!$F:$F,Estados_Cuenta_Mobil!$D:$D,"Bacheo Toluca",Estados_Cuenta_Mobil!$C:$C,23)+SUMIFS(Estados_Cuenta_Mobil!$F:$F,Estados_Cuenta_Mobil!$D:$D,"Dragones",Estados_Cuenta_Mobil!$C:$C,23)+SUMIFS(Estados_Cuenta_Mobil!$F:$F,Estados_Cuenta_Mobil!$D:$D,"Colegio Militar",Estados_Cuenta_Mobil!$C:$C,23)+SUMIFS(Estados_Cuenta_Mobil!$F:$F,Estados_Cuenta_Mobil!$D:$D,"NO DETECTADA",Estados_Cuenta_Mobil!$C:$C,23)</f>
        <v>79515.31</v>
      </c>
      <c r="E18" s="16092">
        <f>SUMIFS(Estados_Cuenta_Mobil!$F:$F,Estados_Cuenta_Mobil!$D:$D,"Maquinaria Pegaso",Estados_Cuenta_Mobil!$C:$C,24)+SUMIFS(Estados_Cuenta_Mobil!$F:$F,Estados_Cuenta_Mobil!$D:$D,"Lerma - Tres Marías",Estados_Cuenta_Mobil!$C:$C,24)+SUMIFS(Estados_Cuenta_Mobil!$F:$F,Estados_Cuenta_Mobil!$D:$D,"Chamapa-Lechería",Estados_Cuenta_Mobil!$C:$C,24)+SUMIFS(Estados_Cuenta_Mobil!$F:$F,Estados_Cuenta_Mobil!$D:$D,"Bacheo Toluca",Estados_Cuenta_Mobil!$C:$C,24)+SUMIFS(Estados_Cuenta_Mobil!$F:$F,Estados_Cuenta_Mobil!$D:$D,"Dragones",Estados_Cuenta_Mobil!$C:$C,24)+SUMIFS(Estados_Cuenta_Mobil!$F:$F,Estados_Cuenta_Mobil!$D:$D,"Colegio Militar",Estados_Cuenta_Mobil!$C:$C,24)+SUMIFS(Estados_Cuenta_Mobil!$F:$F,Estados_Cuenta_Mobil!$D:$D,"NO DETECTADA",Estados_Cuenta_Mobil!$C:$C,24)</f>
        <v>93961.040000000008</v>
      </c>
      <c r="F18" s="16093">
        <f>SUMIFS(Estados_Cuenta_Mobil!$F:$F,Estados_Cuenta_Mobil!$D:$D,"Maquinaria Pegaso",Estados_Cuenta_Mobil!$C:$C,25)+SUMIFS(Estados_Cuenta_Mobil!$F:$F,Estados_Cuenta_Mobil!$D:$D,"Lerma - Tres Marías",Estados_Cuenta_Mobil!$C:$C,25)+SUMIFS(Estados_Cuenta_Mobil!$F:$F,Estados_Cuenta_Mobil!$D:$D,"Chamapa-Lechería",Estados_Cuenta_Mobil!$C:$C,25)+SUMIFS(Estados_Cuenta_Mobil!$F:$F,Estados_Cuenta_Mobil!$D:$D,"Bacheo Toluca",Estados_Cuenta_Mobil!$C:$C,25)+SUMIFS(Estados_Cuenta_Mobil!$F:$F,Estados_Cuenta_Mobil!$D:$D,"Dragones",Estados_Cuenta_Mobil!$C:$C,25)+SUMIFS(Estados_Cuenta_Mobil!$F:$F,Estados_Cuenta_Mobil!$D:$D,"Colegio Militar",Estados_Cuenta_Mobil!$C:$C,25)+SUMIFS(Estados_Cuenta_Mobil!$F:$F,Estados_Cuenta_Mobil!$D:$D,"NO DETECTADA",Estados_Cuenta_Mobil!$C:$C,25)</f>
        <v>111870.06</v>
      </c>
      <c r="G18" s="16094">
        <f>SUMIFS(Estados_Cuenta_Mobil!$F:$F,Estados_Cuenta_Mobil!$D:$D,"Maquinaria Pegaso",Estados_Cuenta_Mobil!$C:$C,26)+SUMIFS(Estados_Cuenta_Mobil!$F:$F,Estados_Cuenta_Mobil!$D:$D,"Lerma - Tres Marías",Estados_Cuenta_Mobil!$C:$C,26)+SUMIFS(Estados_Cuenta_Mobil!$F:$F,Estados_Cuenta_Mobil!$D:$D,"Chamapa-Lechería",Estados_Cuenta_Mobil!$C:$C,26)+SUMIFS(Estados_Cuenta_Mobil!$F:$F,Estados_Cuenta_Mobil!$D:$D,"Bacheo Toluca",Estados_Cuenta_Mobil!$C:$C,26)+SUMIFS(Estados_Cuenta_Mobil!$F:$F,Estados_Cuenta_Mobil!$D:$D,"Dragones",Estados_Cuenta_Mobil!$C:$C,26)+SUMIFS(Estados_Cuenta_Mobil!$F:$F,Estados_Cuenta_Mobil!$D:$D,"Colegio Militar",Estados_Cuenta_Mobil!$C:$C,26)+SUMIFS(Estados_Cuenta_Mobil!$F:$F,Estados_Cuenta_Mobil!$D:$D,"NO DETECTADA",Estados_Cuenta_Mobil!$C:$C,26)</f>
        <v>0</v>
      </c>
      <c r="H18" s="16095">
        <f>SUM(B18:G18)</f>
        <v>420361.13999999996</v>
      </c>
    </row>
    <row r="19" spans="1:10">
      <c r="A19" s="16096" t="s">
        <v>124</v>
      </c>
      <c r="B19" s="16097">
        <f>SUMIFS(Estados_Cuenta_Mobil!$F:$F,Estados_Cuenta_Mobil!$D:$D,A19,Estados_Cuenta_Mobil!$C:$C,21)</f>
        <v>0</v>
      </c>
      <c r="C19" s="16098">
        <f>SUMIFS(Estados_Cuenta_Mobil!$F:$F,Estados_Cuenta_Mobil!$D:$D,A19,Estados_Cuenta_Mobil!$C:$C,22)</f>
        <v>0</v>
      </c>
      <c r="D19" s="16099">
        <f>SUMIFS(Estados_Cuenta_Mobil!$F:$F,Estados_Cuenta_Mobil!$D:$D,A19,Estados_Cuenta_Mobil!$C:$C,23)</f>
        <v>16200.1</v>
      </c>
      <c r="E19" s="16100">
        <f>SUMIFS(Estados_Cuenta_Mobil!$F:$F,Estados_Cuenta_Mobil!$D:$D,A19,Estados_Cuenta_Mobil!$C:$C,24)</f>
        <v>56664.429999999993</v>
      </c>
      <c r="F19" s="16101">
        <f>SUMIFS(Estados_Cuenta_Mobil!$F:$F,Estados_Cuenta_Mobil!$D:$D,A19,Estados_Cuenta_Mobil!$C:$C,25)</f>
        <v>67500.41</v>
      </c>
      <c r="G19" s="16102">
        <f>SUMIFS(Estados_Cuenta_Mobil!$F:$F,Estados_Cuenta_Mobil!$D:$D,A19,Estados_Cuenta_Mobil!$C:$C,26)</f>
        <v>0</v>
      </c>
      <c r="H19" s="16103">
        <f>SUM(B19:G19)</f>
        <v>140364.94</v>
      </c>
    </row>
    <row r="20" spans="1:10">
      <c r="A20" s="16104" t="s">
        <v>166</v>
      </c>
      <c r="B20" s="16105">
        <f>SUMIFS(Estados_Cuenta_Mobil!$F:$F,Estados_Cuenta_Mobil!$D:$D,A20,Estados_Cuenta_Mobil!$C:$C,21)</f>
        <v>0</v>
      </c>
      <c r="C20" s="16106">
        <f>SUMIFS(Estados_Cuenta_Mobil!$F:$F,Estados_Cuenta_Mobil!$D:$D,A20,Estados_Cuenta_Mobil!$C:$C,22)</f>
        <v>0</v>
      </c>
      <c r="D20" s="16107">
        <f>SUMIFS(Estados_Cuenta_Mobil!$F:$F,Estados_Cuenta_Mobil!$D:$D,A20,Estados_Cuenta_Mobil!$C:$C,23)</f>
        <v>0</v>
      </c>
      <c r="E20" s="16108">
        <f>SUMIFS(Estados_Cuenta_Mobil!$F:$F,Estados_Cuenta_Mobil!$D:$D,A20,Estados_Cuenta_Mobil!$C:$C,24)</f>
        <v>0</v>
      </c>
      <c r="F20" s="16109">
        <f>SUMIFS(Estados_Cuenta_Mobil!$F:$F,Estados_Cuenta_Mobil!$D:$D,A20,Estados_Cuenta_Mobil!$C:$C,25)</f>
        <v>0</v>
      </c>
      <c r="G20" s="16110">
        <f>SUMIFS(Estados_Cuenta_Mobil!$F:$F,Estados_Cuenta_Mobil!$D:$D,A20,Estados_Cuenta_Mobil!$C:$C,26)</f>
        <v>0</v>
      </c>
      <c r="H20" s="16111">
        <f>SUM(B20:G20)</f>
        <v>0</v>
      </c>
    </row>
    <row r="21" spans="1:10">
      <c r="A21" s="16112" t="s">
        <v>721</v>
      </c>
      <c r="B21" s="16113">
        <f t="shared" ref="B21:H21" si="1">SUM(B17:B20)</f>
        <v>77494.679999999993</v>
      </c>
      <c r="C21" s="16114">
        <f t="shared" si="1"/>
        <v>57520.05</v>
      </c>
      <c r="D21" s="16115">
        <f t="shared" si="1"/>
        <v>136215.57</v>
      </c>
      <c r="E21" s="16116">
        <f t="shared" si="1"/>
        <v>182485.63</v>
      </c>
      <c r="F21" s="16117">
        <f t="shared" si="1"/>
        <v>244440.84</v>
      </c>
      <c r="G21" s="16118">
        <f t="shared" si="1"/>
        <v>54020.240000000005</v>
      </c>
      <c r="H21" s="16119">
        <f t="shared" si="1"/>
        <v>752177.01</v>
      </c>
    </row>
    <row r="22" spans="1:10">
      <c r="A22" s="17941" t="s">
        <v>728</v>
      </c>
      <c r="B22" s="17942">
        <f>SUMIFS(Estados_Cuenta_Mobil!$F:$F, Estados_Cuenta_Mobil!$D:$D, A22, Estados_Cuenta_Mobil!$C:$C, 21)</f>
        <v>0</v>
      </c>
      <c r="C22" s="17943">
        <f>SUMIFS(Estados_Cuenta_Mobil!$F:$F, Estados_Cuenta_Mobil!$D:$D, A22, Estados_Cuenta_Mobil!$C:$C, 22)</f>
        <v>0</v>
      </c>
      <c r="D22" s="17944">
        <f>SUMIFS(Estados_Cuenta_Mobil!$F:$F, Estados_Cuenta_Mobil!$D:$D, A22, Estados_Cuenta_Mobil!$C:$C, 23)</f>
        <v>0</v>
      </c>
      <c r="E22" s="17945">
        <f>SUMIFS(Estados_Cuenta_Mobil!$F:$F, Estados_Cuenta_Mobil!$D:$D, A22, Estados_Cuenta_Mobil!$C:$C, 24)</f>
        <v>0</v>
      </c>
      <c r="F22" s="17946">
        <f>SUMIFS(Estados_Cuenta_Mobil!$F:$F, Estados_Cuenta_Mobil!$D:$D, A22, Estados_Cuenta_Mobil!$C:$C, 25)</f>
        <v>0</v>
      </c>
      <c r="G22" s="17947">
        <f>SUMIFS(Estados_Cuenta_Mobil!$F:$F, Estados_Cuenta_Mobil!$D:$D, A22, Estados_Cuenta_Mobil!$C:$C, 26)</f>
        <v>0</v>
      </c>
      <c r="H22" s="17948"/>
    </row>
    <row r="23" spans="1:10" ht="72">
      <c r="A23" s="17979" t="s">
        <v>728</v>
      </c>
      <c r="B23" s="17980" t="s">
        <v>722</v>
      </c>
      <c r="C23" s="17981" t="s">
        <v>723</v>
      </c>
      <c r="D23" s="17982" t="s">
        <v>724</v>
      </c>
      <c r="E23" s="17983" t="s">
        <v>725</v>
      </c>
      <c r="F23" s="17984" t="s">
        <v>726</v>
      </c>
      <c r="G23" s="17985" t="s">
        <v>727</v>
      </c>
      <c r="H23" s="17986" t="s">
        <v>721</v>
      </c>
    </row>
    <row r="24" spans="1:10" ht="14.4">
      <c r="A24" s="16120" t="s">
        <v>0</v>
      </c>
      <c r="B24" s="16121" t="s">
        <v>722</v>
      </c>
      <c r="C24" s="16122" t="s">
        <v>723</v>
      </c>
      <c r="D24" s="16123" t="s">
        <v>724</v>
      </c>
      <c r="E24" s="16124" t="s">
        <v>725</v>
      </c>
      <c r="F24" s="16125" t="s">
        <v>726</v>
      </c>
      <c r="G24" s="16126" t="s">
        <v>727</v>
      </c>
      <c r="H24" s="16127" t="s">
        <v>721</v>
      </c>
    </row>
    <row r="25" spans="1:10">
      <c r="A25" s="16128" t="s">
        <v>1</v>
      </c>
      <c r="B25" s="16129">
        <f>SUMIFS(Captura_Facturas_Mobil!$E:$E,Captura_Facturas_Mobil!$D:$D,A25,Captura_Facturas_Mobil!$N:$N,21)</f>
        <v>0</v>
      </c>
      <c r="C25" s="16130">
        <f>SUMIFS(Captura_Facturas_Mobil!$E:$E,Captura_Facturas_Mobil!$D:$D,A25,Captura_Facturas_Mobil!$N:$N,22)</f>
        <v>0</v>
      </c>
      <c r="D25" s="16131">
        <f>SUMIFS(Captura_Facturas_Mobil!$E:$E,Captura_Facturas_Mobil!$D:$D,A25,Captura_Facturas_Mobil!$N:$N,23)</f>
        <v>0</v>
      </c>
      <c r="E25" s="16132">
        <f>SUMIFS(Captura_Facturas_Mobil!$E:$E,Captura_Facturas_Mobil!$D:$D,A25,Captura_Facturas_Mobil!$N:$N,24)</f>
        <v>0</v>
      </c>
      <c r="F25" s="16133">
        <f>SUMIFS(Captura_Facturas_Mobil!$E:$E,Captura_Facturas_Mobil!$D:$D,A25,Captura_Facturas_Mobil!$N:$N,25)</f>
        <v>2410.0140000000001</v>
      </c>
      <c r="G25" s="16134">
        <f>SUMIFS(Captura_Facturas_Mobil!$E:$E,Captura_Facturas_Mobil!$D:$D,A25,Captura_Facturas_Mobil!$N:$N,26)</f>
        <v>2513</v>
      </c>
      <c r="H25" s="16135">
        <f>SUM(B25:G25)</f>
        <v>4923.0140000000001</v>
      </c>
    </row>
    <row r="26" spans="1:10">
      <c r="A26" s="16136" t="s">
        <v>400</v>
      </c>
      <c r="B26" s="16137">
        <f>SUMIFS(Captura_Facturas_Mobil!$E:$E,Captura_Facturas_Mobil!$D:$D,"Maquinaria Pegaso",Captura_Facturas_Mobil!$N:$N,21)+SUMIFS(Captura_Facturas_Mobil!$E:$E,Captura_Facturas_Mobil!$D:$D,"Lerma - Tres Marías",Captura_Facturas_Mobil!$N:$N,21)+SUMIFS(Captura_Facturas_Mobil!$E:$E,Captura_Facturas_Mobil!$D:$D,"Chamapa-Lechería",Captura_Facturas_Mobil!$N:$N,21)+SUMIFS(Captura_Facturas_Mobil!$E:$E,Captura_Facturas_Mobil!$D:$D,"Bacheo Toluca",Captura_Facturas_Mobil!$N:$N,21)+SUMIFS(Captura_Facturas_Mobil!$E:$E,Captura_Facturas_Mobil!$D:$D,"Dragones",Captura_Facturas_Mobil!$N:$N,21)+SUMIFS(Captura_Facturas_Mobil!$E:$E,Captura_Facturas_Mobil!$D:$D,"Colegio Militar",Captura_Facturas_Mobil!$N:$N,21)+SUMIFS(Captura_Facturas_Mobil!$E:$E,Captura_Facturas_Mobil!$D:$D,"NO DETECTADA",Captura_Facturas_Mobil!$N:$N,21)</f>
        <v>0</v>
      </c>
      <c r="C26" s="16138">
        <f>SUMIFS(Captura_Facturas_Mobil!$E:$E,Captura_Facturas_Mobil!$D:$D,"Maquinaria Pegaso",Captura_Facturas_Mobil!$N:$N,22)+SUMIFS(Captura_Facturas_Mobil!$E:$E,Captura_Facturas_Mobil!$D:$D,"Lerma - Tres Marías",Captura_Facturas_Mobil!$N:$N,22)+SUMIFS(Captura_Facturas_Mobil!$E:$E,Captura_Facturas_Mobil!$D:$D,"Chamapa-Lechería",Captura_Facturas_Mobil!$N:$N,22)+SUMIFS(Captura_Facturas_Mobil!$E:$E,Captura_Facturas_Mobil!$D:$D,"Bacheo Toluca",Captura_Facturas_Mobil!$N:$N,22)+SUMIFS(Captura_Facturas_Mobil!$E:$E,Captura_Facturas_Mobil!$D:$D,"Dragones",Captura_Facturas_Mobil!$N:$N,22)+SUMIFS(Captura_Facturas_Mobil!$E:$E,Captura_Facturas_Mobil!$D:$D,"Colegio Militar",Captura_Facturas_Mobil!$N:$N,22)+SUMIFS(Captura_Facturas_Mobil!$E:$E,Captura_Facturas_Mobil!$D:$D,"NO DETECTADA",Captura_Facturas_Mobil!$N:$N,22)</f>
        <v>0</v>
      </c>
      <c r="D26" s="16139">
        <f>SUMIFS(Captura_Facturas_Mobil!$E:$E,Captura_Facturas_Mobil!$D:$D,"Maquinaria Pegaso",Captura_Facturas_Mobil!$N:$N,23)+SUMIFS(Captura_Facturas_Mobil!$E:$E,Captura_Facturas_Mobil!$D:$D,"Lerma - Tres Marías",Captura_Facturas_Mobil!$N:$N,23)+SUMIFS(Captura_Facturas_Mobil!$E:$E,Captura_Facturas_Mobil!$D:$D,"Chamapa-Lechería",Captura_Facturas_Mobil!$N:$N,23)+SUMIFS(Captura_Facturas_Mobil!$E:$E,Captura_Facturas_Mobil!$D:$D,"Bacheo Toluca",Captura_Facturas_Mobil!$N:$N,23)+SUMIFS(Captura_Facturas_Mobil!$E:$E,Captura_Facturas_Mobil!$D:$D,"Dragones",Captura_Facturas_Mobil!$N:$N,23)+SUMIFS(Captura_Facturas_Mobil!$E:$E,Captura_Facturas_Mobil!$D:$D,"Colegio Militar",Captura_Facturas_Mobil!$N:$N,23)+SUMIFS(Captura_Facturas_Mobil!$E:$E,Captura_Facturas_Mobil!$D:$D,"NO DETECTADA",Captura_Facturas_Mobil!$N:$N,23)</f>
        <v>0</v>
      </c>
      <c r="E26" s="16140">
        <f>SUMIFS(Captura_Facturas_Mobil!$E:$E,Captura_Facturas_Mobil!$D:$D,"Maquinaria Pegaso",Captura_Facturas_Mobil!$N:$N,24)+SUMIFS(Captura_Facturas_Mobil!$E:$E,Captura_Facturas_Mobil!$D:$D,"Lerma - Tres Marías",Captura_Facturas_Mobil!$N:$N,24)+SUMIFS(Captura_Facturas_Mobil!$E:$E,Captura_Facturas_Mobil!$D:$D,"Chamapa-Lechería",Captura_Facturas_Mobil!$N:$N,24)+SUMIFS(Captura_Facturas_Mobil!$E:$E,Captura_Facturas_Mobil!$D:$D,"Bacheo Toluca",Captura_Facturas_Mobil!$N:$N,24)+SUMIFS(Captura_Facturas_Mobil!$E:$E,Captura_Facturas_Mobil!$D:$D,"Dragones",Captura_Facturas_Mobil!$N:$N,24)+SUMIFS(Captura_Facturas_Mobil!$E:$E,Captura_Facturas_Mobil!$D:$D,"Colegio Militar",Captura_Facturas_Mobil!$N:$N,24)+SUMIFS(Captura_Facturas_Mobil!$E:$E,Captura_Facturas_Mobil!$D:$D,"NO DETECTADA",Captura_Facturas_Mobil!$N:$N,24)</f>
        <v>0</v>
      </c>
      <c r="F26" s="16141">
        <f>SUMIFS(Captura_Facturas_Mobil!$E:$E,Captura_Facturas_Mobil!$D:$D,"Maquinaria Pegaso",Captura_Facturas_Mobil!$N:$N,25)+SUMIFS(Captura_Facturas_Mobil!$E:$E,Captura_Facturas_Mobil!$D:$D,"Lerma - Tres Marías",Captura_Facturas_Mobil!$N:$N,25)+SUMIFS(Captura_Facturas_Mobil!$E:$E,Captura_Facturas_Mobil!$D:$D,"Chamapa-Lechería",Captura_Facturas_Mobil!$N:$N,25)+SUMIFS(Captura_Facturas_Mobil!$E:$E,Captura_Facturas_Mobil!$D:$D,"Bacheo Toluca",Captura_Facturas_Mobil!$N:$N,25)+SUMIFS(Captura_Facturas_Mobil!$E:$E,Captura_Facturas_Mobil!$D:$D,"Dragones",Captura_Facturas_Mobil!$N:$N,25)+SUMIFS(Captura_Facturas_Mobil!$E:$E,Captura_Facturas_Mobil!$D:$D,"Colegio Militar",Captura_Facturas_Mobil!$N:$N,25)+SUMIFS(Captura_Facturas_Mobil!$E:$E,Captura_Facturas_Mobil!$D:$D,"NO DETECTADA",Captura_Facturas_Mobil!$N:$N,25)</f>
        <v>4161.9240000000009</v>
      </c>
      <c r="G26" s="16142">
        <f>SUMIFS(Captura_Facturas_Mobil!$E:$E,Captura_Facturas_Mobil!$D:$D,"Maquinaria Pegaso",Captura_Facturas_Mobil!$N:$N,26)+SUMIFS(Captura_Facturas_Mobil!$E:$E,Captura_Facturas_Mobil!$D:$D,"Lerma - Tres Marías",Captura_Facturas_Mobil!$N:$N,26)+SUMIFS(Captura_Facturas_Mobil!$E:$E,Captura_Facturas_Mobil!$D:$D,"Chamapa-Lechería",Captura_Facturas_Mobil!$N:$N,26)+SUMIFS(Captura_Facturas_Mobil!$E:$E,Captura_Facturas_Mobil!$D:$D,"Bacheo Toluca",Captura_Facturas_Mobil!$N:$N,26)+SUMIFS(Captura_Facturas_Mobil!$E:$E,Captura_Facturas_Mobil!$D:$D,"Dragones",Captura_Facturas_Mobil!$N:$N,26)+SUMIFS(Captura_Facturas_Mobil!$E:$E,Captura_Facturas_Mobil!$D:$D,"Colegio Militar",Captura_Facturas_Mobil!$N:$N,26)+SUMIFS(Captura_Facturas_Mobil!$E:$E,Captura_Facturas_Mobil!$D:$D,"NO DETECTADA",Captura_Facturas_Mobil!$N:$N,26)</f>
        <v>0</v>
      </c>
      <c r="H26" s="16143">
        <f>SUM(B26:G26)</f>
        <v>4161.9240000000009</v>
      </c>
    </row>
    <row r="27" spans="1:10">
      <c r="A27" s="16144" t="s">
        <v>124</v>
      </c>
      <c r="B27" s="16145">
        <f>SUMIFS(Captura_Facturas_Mobil!$E:$E,Captura_Facturas_Mobil!$D:$D,A27,Captura_Facturas_Mobil!$N:$N,21)</f>
        <v>0</v>
      </c>
      <c r="C27" s="16146">
        <f>SUMIFS(Captura_Facturas_Mobil!$E:$E,Captura_Facturas_Mobil!$D:$D,A27,Captura_Facturas_Mobil!$N:$N,22)</f>
        <v>0</v>
      </c>
      <c r="D27" s="16147">
        <f>SUMIFS(Captura_Facturas_Mobil!$E:$E,Captura_Facturas_Mobil!$D:$D,A27,Captura_Facturas_Mobil!$N:$N,23)</f>
        <v>0</v>
      </c>
      <c r="E27" s="16148">
        <f>SUMIFS(Captura_Facturas_Mobil!$E:$E,Captura_Facturas_Mobil!$D:$D,A27,Captura_Facturas_Mobil!$N:$N,24)</f>
        <v>0</v>
      </c>
      <c r="F27" s="16149">
        <f>SUMIFS(Captura_Facturas_Mobil!$E:$E,Captura_Facturas_Mobil!$D:$D,A27,Captura_Facturas_Mobil!$N:$N,25)</f>
        <v>2500.0160000000001</v>
      </c>
      <c r="G27" s="16150">
        <f>SUMIFS(Captura_Facturas_Mobil!$E:$E,Captura_Facturas_Mobil!$D:$D,A27,Captura_Facturas_Mobil!$N:$N,26)</f>
        <v>400</v>
      </c>
      <c r="H27" s="16151">
        <f>SUM(B27:G27)</f>
        <v>2900.0160000000001</v>
      </c>
    </row>
    <row r="28" spans="1:10">
      <c r="A28" s="16152" t="s">
        <v>166</v>
      </c>
      <c r="B28" s="16153">
        <f>SUMIFS(Captura_Facturas_Mobil!$E:$E,Captura_Facturas_Mobil!$D:$D,A28,Captura_Facturas_Mobil!$N:$N,21)</f>
        <v>0</v>
      </c>
      <c r="C28" s="16154">
        <f>SUMIFS(Captura_Facturas_Mobil!$E:$E,Captura_Facturas_Mobil!$D:$D,A28,Captura_Facturas_Mobil!$N:$N,22)</f>
        <v>0</v>
      </c>
      <c r="D28" s="16155">
        <f>SUMIFS(Captura_Facturas_Mobil!$E:$E,Captura_Facturas_Mobil!$D:$D,A28,Captura_Facturas_Mobil!$N:$N,23)</f>
        <v>0</v>
      </c>
      <c r="E28" s="16156">
        <f>SUMIFS(Captura_Facturas_Mobil!$E:$E,Captura_Facturas_Mobil!$D:$D,A28,Captura_Facturas_Mobil!$N:$N,24)</f>
        <v>0</v>
      </c>
      <c r="F28" s="16157">
        <f>SUMIFS(Captura_Facturas_Mobil!$E:$E,Captura_Facturas_Mobil!$D:$D,A28,Captura_Facturas_Mobil!$N:$N,25)</f>
        <v>0</v>
      </c>
      <c r="G28" s="16158">
        <f>SUMIFS(Captura_Facturas_Mobil!$E:$E,Captura_Facturas_Mobil!$D:$D,A28,Captura_Facturas_Mobil!$N:$N,26)</f>
        <v>0</v>
      </c>
      <c r="H28" s="16159">
        <f>SUM(B28:G28)</f>
        <v>0</v>
      </c>
    </row>
    <row r="29" spans="1:10">
      <c r="A29" s="17932" t="s">
        <v>721</v>
      </c>
      <c r="B29" s="17933">
        <f t="shared" ref="B29:H29" si="2">SUM(B25:B28)</f>
        <v>0</v>
      </c>
      <c r="C29" s="17934">
        <f t="shared" si="2"/>
        <v>0</v>
      </c>
      <c r="D29" s="17935">
        <f t="shared" si="2"/>
        <v>0</v>
      </c>
      <c r="E29" s="17936">
        <f t="shared" si="2"/>
        <v>0</v>
      </c>
      <c r="F29" s="17937">
        <f t="shared" si="2"/>
        <v>9071.9540000000015</v>
      </c>
      <c r="G29" s="17938">
        <f t="shared" si="2"/>
        <v>2913</v>
      </c>
      <c r="H29" s="17939">
        <f t="shared" si="2"/>
        <v>11984.954000000002</v>
      </c>
    </row>
    <row r="30" spans="1:10" ht="28.8">
      <c r="A30" s="17949" t="s">
        <v>715</v>
      </c>
      <c r="B30" s="17950" t="s">
        <v>722</v>
      </c>
      <c r="C30" s="17951" t="s">
        <v>723</v>
      </c>
      <c r="D30" s="16005">
        <f>$C$3</f>
        <v>25</v>
      </c>
      <c r="E30" s="15144" t="s">
        <v>725</v>
      </c>
      <c r="F30" s="15145" t="s">
        <v>726</v>
      </c>
      <c r="G30" s="15146" t="s">
        <v>727</v>
      </c>
      <c r="H30" s="15147" t="s">
        <v>721</v>
      </c>
    </row>
    <row r="31" spans="1:10" ht="100.8">
      <c r="A31" s="17860" t="s">
        <v>729</v>
      </c>
      <c r="B31" s="17861" t="s">
        <v>756</v>
      </c>
      <c r="C31" s="17862" t="s">
        <v>757</v>
      </c>
      <c r="D31" s="17863" t="s">
        <v>758</v>
      </c>
      <c r="E31" s="17864" t="s">
        <v>804</v>
      </c>
      <c r="F31" s="17865" t="s">
        <v>759</v>
      </c>
      <c r="G31" s="17866" t="s">
        <v>760</v>
      </c>
      <c r="H31" s="17867" t="s">
        <v>761</v>
      </c>
      <c r="I31" s="17868" t="s">
        <v>762</v>
      </c>
      <c r="J31" s="17869" t="s">
        <v>763</v>
      </c>
    </row>
    <row r="32" spans="1:10" ht="17.399999999999999">
      <c r="A32" s="17870" t="s">
        <v>715</v>
      </c>
      <c r="B32" s="17871">
        <f>IFERROR(SUMIFS(Estados_Cuenta_Mobil!$F:$F, Estados_Cuenta_Mobil!$D:$D, A32, Estados_Cuenta_Mobil!$C:$C, $C$3), 0)</f>
        <v>0</v>
      </c>
      <c r="C32" s="17872">
        <f>IFERROR(SUMIFS(Captura_Facturas_Mobil!$G:$G, Captura_Facturas_Mobil!$D:$D, A32, Captura_Facturas_Mobil!$N:$N, $C$3), 0)</f>
        <v>0</v>
      </c>
      <c r="D32" s="16160">
        <f>$C$3</f>
        <v>25</v>
      </c>
      <c r="E32" s="16006">
        <f>SUMIFS(Captura_Facturas_Mobil!$E:$E, Captura_Facturas_Mobil!$D:$D, A32, Captura_Facturas_Mobil!$N:$N, $C$3)</f>
        <v>0</v>
      </c>
      <c r="F32" s="16007">
        <f>IFERROR(SUMIFS(Captura_Obra!$F:$F, Captura_Obra!$B:$B, A32, Captura_Obra!$M:$M, $C$3), 0)</f>
        <v>0</v>
      </c>
      <c r="G32" s="16008">
        <f>E32-F32</f>
        <v>0</v>
      </c>
      <c r="H32" s="16009">
        <f>IFERROR(C32/E32, $F$3)</f>
        <v>27</v>
      </c>
      <c r="I32" s="16010">
        <f>F32*H32</f>
        <v>0</v>
      </c>
      <c r="J32" s="16011">
        <f>B32-I32</f>
        <v>0</v>
      </c>
    </row>
    <row r="33" spans="1:10" ht="43.2">
      <c r="A33" s="16161" t="s">
        <v>0</v>
      </c>
      <c r="B33" s="16162" t="s">
        <v>756</v>
      </c>
      <c r="C33" s="16163" t="s">
        <v>757</v>
      </c>
      <c r="D33" s="16164" t="s">
        <v>768</v>
      </c>
      <c r="E33" s="16165" t="s">
        <v>804</v>
      </c>
      <c r="F33" s="16166" t="s">
        <v>759</v>
      </c>
      <c r="G33" s="16167" t="s">
        <v>760</v>
      </c>
      <c r="H33" s="16168" t="s">
        <v>761</v>
      </c>
      <c r="I33" s="16169" t="s">
        <v>762</v>
      </c>
      <c r="J33" s="16170" t="s">
        <v>763</v>
      </c>
    </row>
    <row r="34" spans="1:10">
      <c r="A34" s="16171" t="s">
        <v>1</v>
      </c>
      <c r="B34" s="16172">
        <f>IFERROR(SUMIFS(Estados_Cuenta_Mobil!$F:$F,Estados_Cuenta_Mobil!$D:$D,A34,Estados_Cuenta_Mobil!$C:$C,$C$3),0)</f>
        <v>65070.369999999995</v>
      </c>
      <c r="C34" s="16173">
        <f>IFERROR(SUMIFS(Captura_Facturas_Mobil!$G:$G,Captura_Facturas_Mobil!$D:$D,A34,Captura_Facturas_Mobil!$N:$N,$C$3),0)</f>
        <v>65070.369999999995</v>
      </c>
      <c r="D34" s="16174">
        <f>B34-C34</f>
        <v>0</v>
      </c>
      <c r="E34" s="16175">
        <f>SUMIFS(Captura_Facturas_Mobil!$E:$E,Captura_Facturas_Mobil!$D:$D,A34,Captura_Facturas_Mobil!$N:$N,$C$3)</f>
        <v>2410.0140000000001</v>
      </c>
      <c r="F34" s="16176">
        <f>IFERROR(SUMIFS(Captura_Obra!$F:$F,Captura_Obra!$B:$B,A34,Captura_Obra!$M:$M,$C$3),0)</f>
        <v>2185</v>
      </c>
      <c r="G34" s="16177">
        <f>E34-F34</f>
        <v>225.01400000000012</v>
      </c>
      <c r="H34" s="16178">
        <f>IFERROR(C34/E34,$F$3)</f>
        <v>26.999996680517206</v>
      </c>
      <c r="I34" s="16179">
        <f>F34*H34</f>
        <v>58994.992746930096</v>
      </c>
      <c r="J34" s="16180">
        <f>B34-I34</f>
        <v>6075.3772530698989</v>
      </c>
    </row>
    <row r="35" spans="1:10">
      <c r="A35" s="16181" t="s">
        <v>1</v>
      </c>
      <c r="B35" s="16182">
        <f>IFERROR(SUMIFS(Estados_Cuenta_Mobil!$F:$F,Estados_Cuenta_Mobil!$D:$D,A35,Estados_Cuenta_Mobil!$C:$C,$C$3),0)</f>
        <v>65070.369999999995</v>
      </c>
      <c r="C35" s="16183">
        <f>IFERROR(SUMIFS(Captura_Facturas_Mobil!$G:$G,Captura_Facturas_Mobil!$D:$D,A35,Captura_Facturas_Mobil!$N:$N,$C$3),0)</f>
        <v>65070.369999999995</v>
      </c>
      <c r="D35" s="16184">
        <f>B35-C35</f>
        <v>0</v>
      </c>
      <c r="E35" s="16185">
        <f>SUMIFS(Captura_Facturas_Mobil!$E:$E,Captura_Facturas_Mobil!$D:$D,A35,Captura_Facturas_Mobil!$N:$N,$C$3)</f>
        <v>2410.0140000000001</v>
      </c>
      <c r="F35" s="16186">
        <f>IFERROR(SUMIFS(Captura_Obra!$F:$F,Captura_Obra!$B:$B,A35,Captura_Obra!$M:$M,$C$3),0)</f>
        <v>2185</v>
      </c>
      <c r="G35" s="16187">
        <f>E35-F35</f>
        <v>225.01400000000012</v>
      </c>
      <c r="H35" s="16188">
        <f>IFERROR(C35/E35,$F$3)</f>
        <v>26.999996680517206</v>
      </c>
      <c r="I35" s="16189">
        <f>F35*H35</f>
        <v>58994.992746930096</v>
      </c>
      <c r="J35" s="16190">
        <f>B35-I35</f>
        <v>6075.3772530698989</v>
      </c>
    </row>
    <row r="36" spans="1:10">
      <c r="A36" s="16191" t="s">
        <v>400</v>
      </c>
      <c r="B36" s="16192">
        <f>SUMIFS(Estados_Cuenta_Mobil!$F:$F,Estados_Cuenta_Mobil!$D:$D,"Maquinaria Pegaso",Estados_Cuenta_Mobil!$C:$C,$C$3)+SUMIFS(Estados_Cuenta_Mobil!$F:$F,Estados_Cuenta_Mobil!$D:$D,"Lerma - Tres Marías",Estados_Cuenta_Mobil!$C:$C,$C$3)+SUMIFS(Estados_Cuenta_Mobil!$F:$F,Estados_Cuenta_Mobil!$D:$D,"Chamapa-Lechería",Estados_Cuenta_Mobil!$C:$C,$C$3)+SUMIFS(Estados_Cuenta_Mobil!$F:$F,Estados_Cuenta_Mobil!$D:$D,"Bacheo Toluca",Estados_Cuenta_Mobil!$C:$C,$C$3)+SUMIFS(Estados_Cuenta_Mobil!$F:$F,Estados_Cuenta_Mobil!$D:$D,"Dragones",Estados_Cuenta_Mobil!$C:$C,$C$3)+SUMIFS(Estados_Cuenta_Mobil!$F:$F,Estados_Cuenta_Mobil!$D:$D,"Colegio Militar",Estados_Cuenta_Mobil!$C:$C,$C$3)+SUMIFS(Estados_Cuenta_Mobil!$F:$F,Estados_Cuenta_Mobil!$D:$D,"NO DETECTADA",Estados_Cuenta_Mobil!$C:$C,$C$3)</f>
        <v>111870.06</v>
      </c>
      <c r="C36" s="16193">
        <f>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</f>
        <v>111870.06</v>
      </c>
      <c r="D36" s="16194">
        <f>B36-C36</f>
        <v>0</v>
      </c>
      <c r="E36" s="16195">
        <f>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</f>
        <v>4161.9240000000009</v>
      </c>
      <c r="F36" s="16196">
        <f>SUMIFS(Captura_Obra!$F:$F,Captura_Obra!$B:$B,"Maquinaria Pegaso",Captura_Obra!$M:$M,$C$3)+SUMIFS(Captura_Obra!$F:$F,Captura_Obra!$B:$B,"Lerma - Tres Marías",Captura_Obra!$M:$M,$C$3)+SUMIFS(Captura_Obra!$F:$F,Captura_Obra!$B:$B,"Chamapa-Lechería",Captura_Obra!$M:$M,$C$3)+SUMIFS(Captura_Obra!$F:$F,Captura_Obra!$B:$B,"Bacheo Toluca",Captura_Obra!$M:$M,$C$3)+SUMIFS(Captura_Obra!$F:$F,Captura_Obra!$B:$B,"Dragones",Captura_Obra!$M:$M,$C$3)+SUMIFS(Captura_Obra!$F:$F,Captura_Obra!$B:$B,"Colegio Militar",Captura_Obra!$M:$M,$C$3)+SUMIFS(Captura_Obra!$F:$F,Captura_Obra!$B:$B,"NO DETECTADA",Captura_Obra!$M:$M,$C$3)</f>
        <v>3436</v>
      </c>
      <c r="G36" s="16197">
        <f>E36-F36</f>
        <v>725.92400000000089</v>
      </c>
      <c r="H36" s="16198">
        <f>IFERROR((SUMIFS(Captura_Facturas_Mobil!$G:$G,Captura_Facturas_Mobil!$D:$D,"Maquinaria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DETECTADA",Captura_Facturas_Mobil!$N:$N,$C$3))/(SUMIFS(Captura_Facturas_Mobil!$E:$E,Captura_Facturas_Mobil!$D:$D,"Maquinaria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DETECTADA",Captura_Facturas_Mobil!$N:$N,$C$3)),$F$3)</f>
        <v>26.879409619204957</v>
      </c>
      <c r="I36" s="16199">
        <f>F36*H36</f>
        <v>92357.65145158823</v>
      </c>
      <c r="J36" s="16200">
        <f>B36-I36</f>
        <v>19512.408548411768</v>
      </c>
    </row>
    <row r="37" spans="1:10">
      <c r="A37" s="17952" t="s">
        <v>124</v>
      </c>
      <c r="B37" s="17953">
        <f>IFERROR(SUMIFS(Estados_Cuenta_Mobil!$F:$F,Estados_Cuenta_Mobil!$D:$D,A37,Estados_Cuenta_Mobil!$C:$C,$C$3),0)</f>
        <v>67500.41</v>
      </c>
      <c r="C37" s="17954">
        <f>IFERROR(SUMIFS(Captura_Facturas_Mobil!$G:$G,Captura_Facturas_Mobil!$D:$D,A37,Captura_Facturas_Mobil!$N:$N,$C$3),0)</f>
        <v>67500.41</v>
      </c>
      <c r="D37" s="17955">
        <f>B37-C37</f>
        <v>0</v>
      </c>
      <c r="E37" s="17956">
        <f>SUMIFS(Captura_Facturas_Mobil!$E:$E,Captura_Facturas_Mobil!$D:$D,A37,Captura_Facturas_Mobil!$N:$N,$C$3)</f>
        <v>2500.0160000000001</v>
      </c>
      <c r="F37" s="17957">
        <f>IFERROR(SUMIFS(Captura_Obra!$F:$F,Captura_Obra!$B:$B,A37,Captura_Obra!$M:$M,$C$3),0)</f>
        <v>1600</v>
      </c>
      <c r="G37" s="17958">
        <f>E37-F37</f>
        <v>900.01600000000008</v>
      </c>
      <c r="H37" s="17959">
        <f>IFERROR(C37/E37,$F$3)</f>
        <v>26.999991200056321</v>
      </c>
      <c r="I37" s="17960">
        <f>F37*H37</f>
        <v>43199.985920090112</v>
      </c>
      <c r="J37" s="16201">
        <f>B37-I37</f>
        <v>24300.424079909892</v>
      </c>
    </row>
    <row r="38" spans="1:10" ht="14.4">
      <c r="A38" s="16202" t="s">
        <v>166</v>
      </c>
      <c r="B38" s="16203">
        <f>IFERROR(SUMIFS(Estados_Cuenta_Mobil!$F:$F,Estados_Cuenta_Mobil!$D:$D,A38,Estados_Cuenta_Mobil!$C:$C,$C$3),0)</f>
        <v>0</v>
      </c>
      <c r="C38" s="16204">
        <f>IFERROR(SUMIFS(Captura_Facturas_Mobil!$G:$G,Captura_Facturas_Mobil!$D:$D,A38,Captura_Facturas_Mobil!$N:$N,$C$3),0)</f>
        <v>0</v>
      </c>
      <c r="D38" s="16205"/>
      <c r="E38" s="16206">
        <f>SUMIFS(Captura_Facturas_Mobil!$E:$E,Captura_Facturas_Mobil!$D:$D,A38,Captura_Facturas_Mobil!$N:$N,$C$3)</f>
        <v>0</v>
      </c>
      <c r="F38" s="16207">
        <f>IFERROR(SUMIFS(Captura_Obra!$F:$F,Captura_Obra!$B:$B,A38,Captura_Obra!$M:$M,$C$3),0)</f>
        <v>0</v>
      </c>
      <c r="G38" s="16208"/>
      <c r="H38" s="16209">
        <f>IFERROR(C38/E38,$F$3)</f>
        <v>27</v>
      </c>
      <c r="I38" s="16210">
        <f>SUM(I34:I37)</f>
        <v>253547.62286553852</v>
      </c>
      <c r="J38" s="16211">
        <f>SUM(J34:J37)</f>
        <v>55963.587134461457</v>
      </c>
    </row>
    <row r="39" spans="1:10">
      <c r="A39" s="16012">
        <v>21</v>
      </c>
      <c r="B39" s="16013" t="s">
        <v>1</v>
      </c>
      <c r="C39" s="16014">
        <f>SUMIFS(Captura_Facturas_Mobil!$E:$E, Captura_Facturas_Mobil!$N:$N, A39, Captura_Facturas_Mobil!$D:$D, B39)</f>
        <v>0</v>
      </c>
      <c r="D39" s="16015">
        <f>SUMIFS(Captura_Facturas_Mobil!$G:$G, Captura_Facturas_Mobil!$N:$N, A39, Captura_Facturas_Mobil!$D:$D, B39)</f>
        <v>0</v>
      </c>
      <c r="E39" s="16016">
        <f>SUMIFS(Captura_Obra!$F:$F, Captura_Obra!$M:$M, A39, Captura_Obra!$B:$B, B39)</f>
        <v>0</v>
      </c>
      <c r="F39" s="16017">
        <f>IFERROR(D39/C39, $F$3)</f>
        <v>27</v>
      </c>
      <c r="G39" s="16018">
        <f>IF(E39=0,0,E39*F39)</f>
        <v>0</v>
      </c>
      <c r="H39" s="16019" t="str">
        <f>IF(C39+E39=0,"",C39-E39)</f>
        <v/>
      </c>
      <c r="I39" s="16020" t="str">
        <f>IF(D39+G39=0,"",D39-G39)</f>
        <v/>
      </c>
    </row>
    <row r="40" spans="1:10">
      <c r="A40" s="17873" t="s">
        <v>730</v>
      </c>
      <c r="B40" s="17874" t="s">
        <v>115</v>
      </c>
      <c r="C40" s="17875">
        <f>SUMIFS(Captura_Facturas_Mobil!$E:$E, Captura_Facturas_Mobil!$N:$N, A40, Captura_Facturas_Mobil!$D:$D, B40)</f>
        <v>0</v>
      </c>
      <c r="D40" s="17876">
        <f>SUMIFS(Captura_Facturas_Mobil!$G:$G, Captura_Facturas_Mobil!$N:$N, A40, Captura_Facturas_Mobil!$D:$D, B40)</f>
        <v>0</v>
      </c>
      <c r="E40" s="17877">
        <f>SUMIFS(Captura_Obra!$F:$F, Captura_Obra!$M:$M, A40, Captura_Obra!$B:$B, B40)</f>
        <v>0</v>
      </c>
      <c r="F40" s="17878">
        <f>IFERROR(D40/C40, $F$3)</f>
        <v>27</v>
      </c>
      <c r="G40" s="17879">
        <f>IF(E40=0,0,E40*F40)</f>
        <v>0</v>
      </c>
      <c r="H40" s="17880" t="str">
        <f>IF(C40+E40=0,"",C40-E40)</f>
        <v/>
      </c>
      <c r="I40" s="17881" t="str">
        <f>IF(D40+G40=0,"",D40-G40)</f>
        <v/>
      </c>
    </row>
    <row r="41" spans="1:10" ht="43.2">
      <c r="A41" s="16212" t="s">
        <v>460</v>
      </c>
      <c r="B41" s="16213" t="s">
        <v>0</v>
      </c>
      <c r="C41" s="16214" t="s">
        <v>731</v>
      </c>
      <c r="D41" s="16215" t="s">
        <v>732</v>
      </c>
      <c r="E41" s="16216" t="s">
        <v>733</v>
      </c>
      <c r="F41" s="16217" t="s">
        <v>761</v>
      </c>
      <c r="G41" s="16218" t="s">
        <v>734</v>
      </c>
      <c r="H41" s="16219" t="s">
        <v>413</v>
      </c>
      <c r="I41" s="16220" t="s">
        <v>634</v>
      </c>
    </row>
    <row r="42" spans="1:10">
      <c r="A42" s="17890">
        <v>21</v>
      </c>
      <c r="B42" s="17891" t="s">
        <v>1</v>
      </c>
      <c r="C42" s="17892">
        <f>SUMIFS(Captura_Facturas_Mobil!$E:$E,Captura_Facturas_Mobil!$N:$N,A42,Captura_Facturas_Mobil!$D:$D,B42)</f>
        <v>0</v>
      </c>
      <c r="D42" s="17893">
        <f>SUMIFS(Captura_Facturas_Mobil!$G:$G,Captura_Facturas_Mobil!$N:$N,A42,Captura_Facturas_Mobil!$D:$D,B42)</f>
        <v>0</v>
      </c>
      <c r="E42" s="17894">
        <f>SUMIFS(Captura_Obra!$F:$F,Captura_Obra!$M:$M,A42,Captura_Obra!$B:$B,B42)</f>
        <v>0</v>
      </c>
      <c r="F42" s="17895">
        <f t="shared" ref="F42:F45" si="3">IFERROR(D42/C42,$F$3)</f>
        <v>27</v>
      </c>
      <c r="G42" s="17896">
        <f t="shared" ref="G42:G65" si="4">IF(E42=0,0,E42*F42)</f>
        <v>0</v>
      </c>
      <c r="H42" s="17897" t="str">
        <f t="shared" ref="H42:H65" si="5">IF(C42+E42=0,"",C42-E42)</f>
        <v/>
      </c>
      <c r="I42" s="17898" t="str">
        <f t="shared" ref="I42:I65" si="6">IF(D42+G42=0,"",D42-G42)</f>
        <v/>
      </c>
    </row>
    <row r="43" spans="1:10" ht="17.399999999999999">
      <c r="A43" s="17899">
        <v>21</v>
      </c>
      <c r="B43" s="17900" t="s">
        <v>115</v>
      </c>
      <c r="C43" s="17901">
        <f>SUMIFS(Captura_Facturas_Mobil!$E:$E,Captura_Facturas_Mobil!$N:$N,A43,Captura_Facturas_Mobil!$D:$D,"Planta Asfalto Pegaso")+SUMIFS(Captura_Facturas_Mobil!$E:$E,Captura_Facturas_Mobil!$N:$N,A43,Captura_Facturas_Mobil!$D:$D,"Lerma - Tres Marías")+SUMIFS(Captura_Facturas_Mobil!$E:$E,Captura_Facturas_Mobil!$N:$N,A43,Captura_Facturas_Mobil!$D:$D,"Chamapa-Lechería")+SUMIFS(Captura_Facturas_Mobil!$E:$E,Captura_Facturas_Mobil!$N:$N,A43,Captura_Facturas_Mobil!$D:$D,"Bacheo Toluca")+SUMIFS(Captura_Facturas_Mobil!$E:$E,Captura_Facturas_Mobil!$N:$N,A43,Captura_Facturas_Mobil!$D:$D,"Dragones")+SUMIFS(Captura_Facturas_Mobil!$E:$E,Captura_Facturas_Mobil!$N:$N,A43,Captura_Facturas_Mobil!$D:$D,"Colegio Militar")+SUMIFS(Captura_Facturas_Mobil!$E:$E,Captura_Facturas_Mobil!$N:$N,A43,Captura_Facturas_Mobil!$D:$D,"NO DETECTADA")</f>
        <v>0</v>
      </c>
      <c r="D43" s="16221">
        <f>SUMIFS(Captura_Facturas_Mobil!$G:$G,Captura_Facturas_Mobil!$N:$N,A43,Captura_Facturas_Mobil!$D:$D,"Planta Asfalto Pegaso")+SUMIFS(Captura_Facturas_Mobil!$G:$G,Captura_Facturas_Mobil!$N:$N,A43,Captura_Facturas_Mobil!$D:$D,"Lerma - Tres Marías")+SUMIFS(Captura_Facturas_Mobil!$G:$G,Captura_Facturas_Mobil!$N:$N,A43,Captura_Facturas_Mobil!$D:$D,"Chamapa-Lechería")+SUMIFS(Captura_Facturas_Mobil!$G:$G,Captura_Facturas_Mobil!$N:$N,A43,Captura_Facturas_Mobil!$D:$D,"Bacheo Toluca")+SUMIFS(Captura_Facturas_Mobil!$G:$G,Captura_Facturas_Mobil!$N:$N,A43,Captura_Facturas_Mobil!$D:$D,"Dragones")+SUMIFS(Captura_Facturas_Mobil!$G:$G,Captura_Facturas_Mobil!$N:$N,A43,Captura_Facturas_Mobil!$D:$D,"Colegio Militar")+SUMIFS(Captura_Facturas_Mobil!$G:$G,Captura_Facturas_Mobil!$N:$N,A43,Captura_Facturas_Mobil!$D:$D,"NO DETECTADA")</f>
        <v>77494.679999999993</v>
      </c>
      <c r="E43" s="16222">
        <f>SUMIFS(Captura_Obra!$F:$F,Captura_Obra!$M:$M,A43,Captura_Obra!$B:$B,"Planta Asfalto Pegaso")+SUMIFS(Captura_Obra!$F:$F,Captura_Obra!$M:$M,A43,Captura_Obra!$B:$B,"Lerma - Tres Marías")+SUMIFS(Captura_Obra!$F:$F,Captura_Obra!$M:$M,A43,Captura_Obra!$B:$B,"Chamapa-Lechería")+SUMIFS(Captura_Obra!$F:$F,Captura_Obra!$M:$M,A43,Captura_Obra!$B:$B,"Bacheo Toluca")+SUMIFS(Captura_Obra!$F:$F,Captura_Obra!$M:$M,A43,Captura_Obra!$B:$B,"Dragones")+SUMIFS(Captura_Obra!$F:$F,Captura_Obra!$M:$M,A43,Captura_Obra!$B:$B,"Colegio Militar")+SUMIFS(Captura_Obra!$F:$F,Captura_Obra!$M:$M,A43,Captura_Obra!$B:$B,"NO DETECTADA")</f>
        <v>0</v>
      </c>
      <c r="F43" s="16223">
        <f t="shared" si="3"/>
        <v>27</v>
      </c>
      <c r="G43" s="16224">
        <f t="shared" si="4"/>
        <v>0</v>
      </c>
      <c r="H43" s="16225" t="str">
        <f t="shared" si="5"/>
        <v/>
      </c>
      <c r="I43" s="16226">
        <f t="shared" si="6"/>
        <v>77494.679999999993</v>
      </c>
    </row>
    <row r="44" spans="1:10" ht="42">
      <c r="A44" s="16227">
        <v>21</v>
      </c>
      <c r="B44" s="16228" t="s">
        <v>124</v>
      </c>
      <c r="C44" s="16229">
        <f>SUMIFS(Captura_Facturas_Mobil!$E:$E,Captura_Facturas_Mobil!$N:$N,A44,Captura_Facturas_Mobil!$D:$D,B44)</f>
        <v>0</v>
      </c>
      <c r="D44" s="16230">
        <f>SUMIFS(Captura_Facturas_Mobil!$G:$G,Captura_Facturas_Mobil!$N:$N,A44,Captura_Facturas_Mobil!$D:$D,B44)</f>
        <v>0</v>
      </c>
      <c r="E44" s="16231">
        <f>SUMIFS(Captura_Obra!$F:$F,Captura_Obra!$M:$M,A44,Captura_Obra!$B:$B,B44)</f>
        <v>0</v>
      </c>
      <c r="F44" s="16232">
        <f t="shared" si="3"/>
        <v>27</v>
      </c>
      <c r="G44" s="16233">
        <f t="shared" si="4"/>
        <v>0</v>
      </c>
      <c r="H44" s="16234" t="str">
        <f t="shared" si="5"/>
        <v/>
      </c>
      <c r="I44" s="16235" t="str">
        <f t="shared" si="6"/>
        <v/>
      </c>
      <c r="J44" s="15148" t="s">
        <v>763</v>
      </c>
    </row>
    <row r="45" spans="1:10">
      <c r="A45" s="16236">
        <v>21</v>
      </c>
      <c r="B45" s="16237" t="s">
        <v>166</v>
      </c>
      <c r="C45" s="16238">
        <f>SUMIFS(Captura_Facturas_Mobil!$E:$E,Captura_Facturas_Mobil!$N:$N,A45,Captura_Facturas_Mobil!$D:$D,B45)</f>
        <v>0</v>
      </c>
      <c r="D45" s="16239">
        <f>SUMIFS(Captura_Facturas_Mobil!$G:$G,Captura_Facturas_Mobil!$N:$N,A45,Captura_Facturas_Mobil!$D:$D,B45)</f>
        <v>0</v>
      </c>
      <c r="E45" s="16240">
        <f>SUMIFS(Captura_Obra!$F:$F,Captura_Obra!$M:$M,A45,Captura_Obra!$B:$B,B45)</f>
        <v>0</v>
      </c>
      <c r="F45" s="16241">
        <f t="shared" si="3"/>
        <v>27</v>
      </c>
      <c r="G45" s="16242">
        <f t="shared" si="4"/>
        <v>0</v>
      </c>
      <c r="H45" s="16243" t="str">
        <f t="shared" si="5"/>
        <v/>
      </c>
      <c r="I45" s="16244" t="str">
        <f t="shared" si="6"/>
        <v/>
      </c>
      <c r="J45" s="15149" t="e">
        <f t="shared" ref="J45:J52" si="7">B45-I45</f>
        <v>#VALUE!</v>
      </c>
    </row>
    <row r="46" spans="1:10">
      <c r="A46" s="16245">
        <v>22</v>
      </c>
      <c r="B46" s="16246" t="s">
        <v>1</v>
      </c>
      <c r="C46" s="16247">
        <f>SUMIFS(Captura_Facturas_Mobil!$E:$E,Captura_Facturas_Mobil!$N:$N,A46,Captura_Facturas_Mobil!$D:$D,B46)</f>
        <v>0</v>
      </c>
      <c r="D46" s="16248">
        <f>SUMIFS(Captura_Facturas_Mobil!$G:$G,Captura_Facturas_Mobil!$N:$N,A46,Captura_Facturas_Mobil!$D:$D,B46)</f>
        <v>0</v>
      </c>
      <c r="E46" s="16249">
        <f>SUMIFS(Captura_Obra!$F:$F,Captura_Obra!$M:$M,A46,Captura_Obra!$B:$B,B46)</f>
        <v>0</v>
      </c>
      <c r="F46" s="16250">
        <f t="shared" ref="F46:F69" si="8">IFERROR(D46/C46,$F$3)</f>
        <v>27</v>
      </c>
      <c r="G46" s="16251">
        <f t="shared" si="4"/>
        <v>0</v>
      </c>
      <c r="H46" s="16252" t="str">
        <f t="shared" si="5"/>
        <v/>
      </c>
      <c r="I46" s="16253" t="str">
        <f t="shared" si="6"/>
        <v/>
      </c>
      <c r="J46" s="15150" t="e">
        <f t="shared" si="7"/>
        <v>#VALUE!</v>
      </c>
    </row>
    <row r="47" spans="1:10">
      <c r="A47" s="16254">
        <v>22</v>
      </c>
      <c r="B47" s="16255" t="s">
        <v>400</v>
      </c>
      <c r="C47" s="16256">
        <f>SUMIFS(Captura_Facturas_Mobil!$E:$E,Captura_Facturas_Mobil!$N:$N,A47,Captura_Facturas_Mobil!$D:$D,"Maquinaria Pegaso")+SUMIFS(Captura_Facturas_Mobil!$E:$E,Captura_Facturas_Mobil!$N:$N,A47,Captura_Facturas_Mobil!$D:$D,"Lerma - Tres Marías")+SUMIFS(Captura_Facturas_Mobil!$E:$E,Captura_Facturas_Mobil!$N:$N,A47,Captura_Facturas_Mobil!$D:$D,"Chamapa-Lechería")+SUMIFS(Captura_Facturas_Mobil!$E:$E,Captura_Facturas_Mobil!$N:$N,A47,Captura_Facturas_Mobil!$D:$D,"Bacheo Toluca")+SUMIFS(Captura_Facturas_Mobil!$E:$E,Captura_Facturas_Mobil!$N:$N,A47,Captura_Facturas_Mobil!$D:$D,"Dragones")+SUMIFS(Captura_Facturas_Mobil!$E:$E,Captura_Facturas_Mobil!$N:$N,A47,Captura_Facturas_Mobil!$D:$D,"Colegio Militar")+SUMIFS(Captura_Facturas_Mobil!$E:$E,Captura_Facturas_Mobil!$N:$N,A47,Captura_Facturas_Mobil!$D:$D,"NO DETECTADA")</f>
        <v>0</v>
      </c>
      <c r="D47" s="16257">
        <f>SUMIFS(Captura_Facturas_Mobil!$G:$G,Captura_Facturas_Mobil!$N:$N,A47,Captura_Facturas_Mobil!$D:$D,"Maquinaria Pegaso")+SUMIFS(Captura_Facturas_Mobil!$G:$G,Captura_Facturas_Mobil!$N:$N,A47,Captura_Facturas_Mobil!$D:$D,"Lerma - Tres Marías")+SUMIFS(Captura_Facturas_Mobil!$G:$G,Captura_Facturas_Mobil!$N:$N,A47,Captura_Facturas_Mobil!$D:$D,"Chamapa-Lechería")+SUMIFS(Captura_Facturas_Mobil!$G:$G,Captura_Facturas_Mobil!$N:$N,A47,Captura_Facturas_Mobil!$D:$D,"Bacheo Toluca")+SUMIFS(Captura_Facturas_Mobil!$G:$G,Captura_Facturas_Mobil!$N:$N,A47,Captura_Facturas_Mobil!$D:$D,"Dragones")+SUMIFS(Captura_Facturas_Mobil!$G:$G,Captura_Facturas_Mobil!$N:$N,A47,Captura_Facturas_Mobil!$D:$D,"Colegio Militar")+SUMIFS(Captura_Facturas_Mobil!$G:$G,Captura_Facturas_Mobil!$N:$N,A47,Captura_Facturas_Mobil!$D:$D,"NO DETECTADA")</f>
        <v>57520.05</v>
      </c>
      <c r="E47" s="16258">
        <f>SUMIFS(Captura_Obra!$F:$F,Captura_Obra!$M:$M,A47,Captura_Obra!$B:$B,"Maquinaria Pegaso")+SUMIFS(Captura_Obra!$F:$F,Captura_Obra!$M:$M,A47,Captura_Obra!$B:$B,"Lerma - Tres Marías")+SUMIFS(Captura_Obra!$F:$F,Captura_Obra!$M:$M,A47,Captura_Obra!$B:$B,"Chamapa-Lechería")+SUMIFS(Captura_Obra!$F:$F,Captura_Obra!$M:$M,A47,Captura_Obra!$B:$B,"Bacheo Toluca")+SUMIFS(Captura_Obra!$F:$F,Captura_Obra!$M:$M,A47,Captura_Obra!$B:$B,"Dragones")+SUMIFS(Captura_Obra!$F:$F,Captura_Obra!$M:$M,A47,Captura_Obra!$B:$B,"Colegio Militar")+SUMIFS(Captura_Obra!$F:$F,Captura_Obra!$M:$M,A47,Captura_Obra!$B:$B,"NO DETECTADA")</f>
        <v>0</v>
      </c>
      <c r="F47" s="16259">
        <f t="shared" si="8"/>
        <v>27</v>
      </c>
      <c r="G47" s="16260">
        <f t="shared" si="4"/>
        <v>0</v>
      </c>
      <c r="H47" s="16261" t="str">
        <f t="shared" si="5"/>
        <v/>
      </c>
      <c r="I47" s="16262">
        <f t="shared" si="6"/>
        <v>57520.05</v>
      </c>
      <c r="J47" s="15151" t="e">
        <f t="shared" si="7"/>
        <v>#VALUE!</v>
      </c>
    </row>
    <row r="48" spans="1:10">
      <c r="A48" s="16263">
        <v>22</v>
      </c>
      <c r="B48" s="16264" t="s">
        <v>124</v>
      </c>
      <c r="C48" s="16265">
        <f>SUMIFS(Captura_Facturas_Mobil!$E:$E,Captura_Facturas_Mobil!$N:$N,A48,Captura_Facturas_Mobil!$D:$D,B48)</f>
        <v>0</v>
      </c>
      <c r="D48" s="16266">
        <f>SUMIFS(Captura_Facturas_Mobil!$G:$G,Captura_Facturas_Mobil!$N:$N,A48,Captura_Facturas_Mobil!$D:$D,B48)</f>
        <v>0</v>
      </c>
      <c r="E48" s="16267">
        <f>SUMIFS(Captura_Obra!$F:$F,Captura_Obra!$M:$M,A48,Captura_Obra!$B:$B,B48)</f>
        <v>0</v>
      </c>
      <c r="F48" s="16268">
        <f t="shared" si="8"/>
        <v>27</v>
      </c>
      <c r="G48" s="16269">
        <f t="shared" si="4"/>
        <v>0</v>
      </c>
      <c r="H48" s="16270" t="str">
        <f t="shared" si="5"/>
        <v/>
      </c>
      <c r="I48" s="16271" t="str">
        <f t="shared" si="6"/>
        <v/>
      </c>
      <c r="J48" s="15152" t="e">
        <f t="shared" si="7"/>
        <v>#VALUE!</v>
      </c>
    </row>
    <row r="49" spans="1:10">
      <c r="A49" s="16272">
        <v>22</v>
      </c>
      <c r="B49" s="16273" t="s">
        <v>166</v>
      </c>
      <c r="C49" s="16274">
        <f>SUMIFS(Captura_Facturas_Mobil!$E:$E,Captura_Facturas_Mobil!$N:$N,A49,Captura_Facturas_Mobil!$D:$D,B49)</f>
        <v>0</v>
      </c>
      <c r="D49" s="16275">
        <f>SUMIFS(Captura_Facturas_Mobil!$G:$G,Captura_Facturas_Mobil!$N:$N,A49,Captura_Facturas_Mobil!$D:$D,B49)</f>
        <v>0</v>
      </c>
      <c r="E49" s="16276">
        <f>SUMIFS(Captura_Obra!$F:$F,Captura_Obra!$M:$M,A49,Captura_Obra!$B:$B,B49)</f>
        <v>0</v>
      </c>
      <c r="F49" s="16277">
        <f t="shared" si="8"/>
        <v>27</v>
      </c>
      <c r="G49" s="16278">
        <f t="shared" si="4"/>
        <v>0</v>
      </c>
      <c r="H49" s="16279" t="str">
        <f t="shared" si="5"/>
        <v/>
      </c>
      <c r="I49" s="16280" t="str">
        <f t="shared" si="6"/>
        <v/>
      </c>
      <c r="J49" s="15153" t="e">
        <f t="shared" si="7"/>
        <v>#VALUE!</v>
      </c>
    </row>
    <row r="50" spans="1:10">
      <c r="A50" s="16281">
        <v>23</v>
      </c>
      <c r="B50" s="16282" t="s">
        <v>1</v>
      </c>
      <c r="C50" s="16283">
        <f>SUMIFS(Captura_Facturas_Mobil!$E:$E,Captura_Facturas_Mobil!$N:$N,A50,Captura_Facturas_Mobil!$D:$D,B50)</f>
        <v>0</v>
      </c>
      <c r="D50" s="16284">
        <f>SUMIFS(Captura_Facturas_Mobil!$G:$G,Captura_Facturas_Mobil!$N:$N,A50,Captura_Facturas_Mobil!$D:$D,B50)</f>
        <v>40500.160000000003</v>
      </c>
      <c r="E50" s="16285">
        <f>SUMIFS(Captura_Obra!$F:$F,Captura_Obra!$M:$M,A50,Captura_Obra!$B:$B,B50)</f>
        <v>0</v>
      </c>
      <c r="F50" s="16286">
        <f t="shared" si="8"/>
        <v>27</v>
      </c>
      <c r="G50" s="16287">
        <f t="shared" si="4"/>
        <v>0</v>
      </c>
      <c r="H50" s="16288" t="str">
        <f t="shared" si="5"/>
        <v/>
      </c>
      <c r="I50" s="16289">
        <f t="shared" si="6"/>
        <v>40500.160000000003</v>
      </c>
      <c r="J50" s="15154" t="e">
        <f t="shared" si="7"/>
        <v>#VALUE!</v>
      </c>
    </row>
    <row r="51" spans="1:10">
      <c r="A51" s="16290">
        <v>23</v>
      </c>
      <c r="B51" s="16291" t="s">
        <v>400</v>
      </c>
      <c r="C51" s="16292">
        <f>SUMIFS(Captura_Facturas_Mobil!$E:$E,Captura_Facturas_Mobil!$N:$N,A51,Captura_Facturas_Mobil!$D:$D,"Maquinaria Pegaso")+SUMIFS(Captura_Facturas_Mobil!$E:$E,Captura_Facturas_Mobil!$N:$N,A51,Captura_Facturas_Mobil!$D:$D,"Lerma - Tres Marías")+SUMIFS(Captura_Facturas_Mobil!$E:$E,Captura_Facturas_Mobil!$N:$N,A51,Captura_Facturas_Mobil!$D:$D,"Chamapa-Lechería")+SUMIFS(Captura_Facturas_Mobil!$E:$E,Captura_Facturas_Mobil!$N:$N,A51,Captura_Facturas_Mobil!$D:$D,"Bacheo Toluca")+SUMIFS(Captura_Facturas_Mobil!$E:$E,Captura_Facturas_Mobil!$N:$N,A51,Captura_Facturas_Mobil!$D:$D,"Dragones")+SUMIFS(Captura_Facturas_Mobil!$E:$E,Captura_Facturas_Mobil!$N:$N,A51,Captura_Facturas_Mobil!$D:$D,"Colegio Militar")+SUMIFS(Captura_Facturas_Mobil!$E:$E,Captura_Facturas_Mobil!$N:$N,A51,Captura_Facturas_Mobil!$D:$D,"NO DETECTADA")</f>
        <v>0</v>
      </c>
      <c r="D51" s="16293">
        <f>SUMIFS(Captura_Facturas_Mobil!$G:$G,Captura_Facturas_Mobil!$N:$N,A51,Captura_Facturas_Mobil!$D:$D,"Maquinaria Pegaso")+SUMIFS(Captura_Facturas_Mobil!$G:$G,Captura_Facturas_Mobil!$N:$N,A51,Captura_Facturas_Mobil!$D:$D,"Lerma - Tres Marías")+SUMIFS(Captura_Facturas_Mobil!$G:$G,Captura_Facturas_Mobil!$N:$N,A51,Captura_Facturas_Mobil!$D:$D,"Chamapa-Lechería")+SUMIFS(Captura_Facturas_Mobil!$G:$G,Captura_Facturas_Mobil!$N:$N,A51,Captura_Facturas_Mobil!$D:$D,"Bacheo Toluca")+SUMIFS(Captura_Facturas_Mobil!$G:$G,Captura_Facturas_Mobil!$N:$N,A51,Captura_Facturas_Mobil!$D:$D,"Dragones")+SUMIFS(Captura_Facturas_Mobil!$G:$G,Captura_Facturas_Mobil!$N:$N,A51,Captura_Facturas_Mobil!$D:$D,"Colegio Militar")+SUMIFS(Captura_Facturas_Mobil!$G:$G,Captura_Facturas_Mobil!$N:$N,A51,Captura_Facturas_Mobil!$D:$D,"NO DETECTADA")</f>
        <v>79515.31</v>
      </c>
      <c r="E51" s="16294">
        <f>SUMIFS(Captura_Obra!$F:$F,Captura_Obra!$M:$M,A51,Captura_Obra!$B:$B,"Maquinaria Pegaso")+SUMIFS(Captura_Obra!$F:$F,Captura_Obra!$M:$M,A51,Captura_Obra!$B:$B,"Lerma - Tres Marías")+SUMIFS(Captura_Obra!$F:$F,Captura_Obra!$M:$M,A51,Captura_Obra!$B:$B,"Chamapa-Lechería")+SUMIFS(Captura_Obra!$F:$F,Captura_Obra!$M:$M,A51,Captura_Obra!$B:$B,"Bacheo Toluca")+SUMIFS(Captura_Obra!$F:$F,Captura_Obra!$M:$M,A51,Captura_Obra!$B:$B,"Dragones")+SUMIFS(Captura_Obra!$F:$F,Captura_Obra!$M:$M,A51,Captura_Obra!$B:$B,"Colegio Militar")+SUMIFS(Captura_Obra!$F:$F,Captura_Obra!$M:$M,A51,Captura_Obra!$B:$B,"NO DETECTADA")</f>
        <v>0</v>
      </c>
      <c r="F51" s="16295">
        <f t="shared" si="8"/>
        <v>27</v>
      </c>
      <c r="G51" s="16296">
        <f t="shared" si="4"/>
        <v>0</v>
      </c>
      <c r="H51" s="16297" t="str">
        <f t="shared" si="5"/>
        <v/>
      </c>
      <c r="I51" s="16298">
        <f t="shared" si="6"/>
        <v>79515.31</v>
      </c>
      <c r="J51" s="15155" t="e">
        <f t="shared" si="7"/>
        <v>#VALUE!</v>
      </c>
    </row>
    <row r="52" spans="1:10">
      <c r="A52" s="16299">
        <v>23</v>
      </c>
      <c r="B52" s="16300" t="s">
        <v>124</v>
      </c>
      <c r="C52" s="16301">
        <f>SUMIFS(Captura_Facturas_Mobil!$E:$E,Captura_Facturas_Mobil!$N:$N,A52,Captura_Facturas_Mobil!$D:$D,B52)</f>
        <v>0</v>
      </c>
      <c r="D52" s="16302">
        <f>SUMIFS(Captura_Facturas_Mobil!$G:$G,Captura_Facturas_Mobil!$N:$N,A52,Captura_Facturas_Mobil!$D:$D,B52)</f>
        <v>16200.1</v>
      </c>
      <c r="E52" s="16303">
        <f>SUMIFS(Captura_Obra!$F:$F,Captura_Obra!$M:$M,A52,Captura_Obra!$B:$B,B52)</f>
        <v>0</v>
      </c>
      <c r="F52" s="16304">
        <f t="shared" si="8"/>
        <v>27</v>
      </c>
      <c r="G52" s="16305">
        <f t="shared" si="4"/>
        <v>0</v>
      </c>
      <c r="H52" s="16306" t="str">
        <f t="shared" si="5"/>
        <v/>
      </c>
      <c r="I52" s="16307">
        <f t="shared" si="6"/>
        <v>16200.1</v>
      </c>
      <c r="J52" s="15156" t="e">
        <f t="shared" si="7"/>
        <v>#VALUE!</v>
      </c>
    </row>
    <row r="53" spans="1:10">
      <c r="A53" s="16308">
        <v>23</v>
      </c>
      <c r="B53" s="16309" t="s">
        <v>166</v>
      </c>
      <c r="C53" s="16310">
        <f>SUMIFS(Captura_Facturas_Mobil!$E:$E,Captura_Facturas_Mobil!$N:$N,A53,Captura_Facturas_Mobil!$D:$D,B53)</f>
        <v>0</v>
      </c>
      <c r="D53" s="16311">
        <f>SUMIFS(Captura_Facturas_Mobil!$G:$G,Captura_Facturas_Mobil!$N:$N,A53,Captura_Facturas_Mobil!$D:$D,B53)</f>
        <v>0</v>
      </c>
      <c r="E53" s="16312">
        <f>SUMIFS(Captura_Obra!$F:$F,Captura_Obra!$M:$M,A53,Captura_Obra!$B:$B,B53)</f>
        <v>0</v>
      </c>
      <c r="F53" s="16313">
        <f t="shared" si="8"/>
        <v>27</v>
      </c>
      <c r="G53" s="16314">
        <f t="shared" si="4"/>
        <v>0</v>
      </c>
      <c r="H53" s="16315" t="str">
        <f t="shared" si="5"/>
        <v/>
      </c>
      <c r="I53" s="16316" t="str">
        <f t="shared" si="6"/>
        <v/>
      </c>
      <c r="J53" s="15157"/>
    </row>
    <row r="54" spans="1:10">
      <c r="A54" s="16317">
        <v>24</v>
      </c>
      <c r="B54" s="16318" t="s">
        <v>1</v>
      </c>
      <c r="C54" s="16319">
        <f>SUMIFS(Captura_Facturas_Mobil!$E:$E,Captura_Facturas_Mobil!$N:$N,A54,Captura_Facturas_Mobil!$D:$D,B54)</f>
        <v>0</v>
      </c>
      <c r="D54" s="16320">
        <f>SUMIFS(Captura_Facturas_Mobil!$G:$G,Captura_Facturas_Mobil!$N:$N,A54,Captura_Facturas_Mobil!$D:$D,B54)</f>
        <v>31860.160000000003</v>
      </c>
      <c r="E54" s="16321">
        <f>SUMIFS(Captura_Obra!$F:$F,Captura_Obra!$M:$M,A54,Captura_Obra!$B:$B,B54)</f>
        <v>1285</v>
      </c>
      <c r="F54" s="16322">
        <f t="shared" si="8"/>
        <v>27</v>
      </c>
      <c r="G54" s="16323">
        <f t="shared" si="4"/>
        <v>34695</v>
      </c>
      <c r="H54" s="16324">
        <f t="shared" si="5"/>
        <v>-1285</v>
      </c>
      <c r="I54" s="16325">
        <f t="shared" si="6"/>
        <v>-2834.8399999999965</v>
      </c>
    </row>
    <row r="55" spans="1:10">
      <c r="A55" s="16326">
        <v>24</v>
      </c>
      <c r="B55" s="16327" t="s">
        <v>400</v>
      </c>
      <c r="C55" s="16328">
        <f>SUMIFS(Captura_Facturas_Mobil!$E:$E,Captura_Facturas_Mobil!$N:$N,A55,Captura_Facturas_Mobil!$D:$D,"Maquinaria Pegaso")+SUMIFS(Captura_Facturas_Mobil!$E:$E,Captura_Facturas_Mobil!$N:$N,A55,Captura_Facturas_Mobil!$D:$D,"Lerma - Tres Marías")+SUMIFS(Captura_Facturas_Mobil!$E:$E,Captura_Facturas_Mobil!$N:$N,A55,Captura_Facturas_Mobil!$D:$D,"Chamapa-Lechería")+SUMIFS(Captura_Facturas_Mobil!$E:$E,Captura_Facturas_Mobil!$N:$N,A55,Captura_Facturas_Mobil!$D:$D,"Bacheo Toluca")+SUMIFS(Captura_Facturas_Mobil!$E:$E,Captura_Facturas_Mobil!$N:$N,A55,Captura_Facturas_Mobil!$D:$D,"Dragones")+SUMIFS(Captura_Facturas_Mobil!$E:$E,Captura_Facturas_Mobil!$N:$N,A55,Captura_Facturas_Mobil!$D:$D,"Colegio Militar")+SUMIFS(Captura_Facturas_Mobil!$E:$E,Captura_Facturas_Mobil!$N:$N,A55,Captura_Facturas_Mobil!$D:$D,"NO DETECTADA")</f>
        <v>0</v>
      </c>
      <c r="D55" s="16329">
        <f>SUMIFS(Captura_Facturas_Mobil!$G:$G,Captura_Facturas_Mobil!$N:$N,A55,Captura_Facturas_Mobil!$D:$D,"Maquinaria Pegaso")+SUMIFS(Captura_Facturas_Mobil!$G:$G,Captura_Facturas_Mobil!$N:$N,A55,Captura_Facturas_Mobil!$D:$D,"Lerma - Tres Marías")+SUMIFS(Captura_Facturas_Mobil!$G:$G,Captura_Facturas_Mobil!$N:$N,A55,Captura_Facturas_Mobil!$D:$D,"Chamapa-Lechería")+SUMIFS(Captura_Facturas_Mobil!$G:$G,Captura_Facturas_Mobil!$N:$N,A55,Captura_Facturas_Mobil!$D:$D,"Bacheo Toluca")+SUMIFS(Captura_Facturas_Mobil!$G:$G,Captura_Facturas_Mobil!$N:$N,A55,Captura_Facturas_Mobil!$D:$D,"Dragones")+SUMIFS(Captura_Facturas_Mobil!$G:$G,Captura_Facturas_Mobil!$N:$N,A55,Captura_Facturas_Mobil!$D:$D,"Colegio Militar")+SUMIFS(Captura_Facturas_Mobil!$G:$G,Captura_Facturas_Mobil!$N:$N,A55,Captura_Facturas_Mobil!$D:$D,"NO DETECTADA")</f>
        <v>93961.040000000008</v>
      </c>
      <c r="E55" s="16330">
        <f>SUMIFS(Captura_Obra!$F:$F,Captura_Obra!$M:$M,A55,Captura_Obra!$B:$B,"Maquinaria Pegaso")+SUMIFS(Captura_Obra!$F:$F,Captura_Obra!$M:$M,A55,Captura_Obra!$B:$B,"Lerma - Tres Marías")+SUMIFS(Captura_Obra!$F:$F,Captura_Obra!$M:$M,A55,Captura_Obra!$B:$B,"Chamapa-Lechería")+SUMIFS(Captura_Obra!$F:$F,Captura_Obra!$M:$M,A55,Captura_Obra!$B:$B,"Bacheo Toluca")+SUMIFS(Captura_Obra!$F:$F,Captura_Obra!$M:$M,A55,Captura_Obra!$B:$B,"Dragones")+SUMIFS(Captura_Obra!$F:$F,Captura_Obra!$M:$M,A55,Captura_Obra!$B:$B,"Colegio Militar")+SUMIFS(Captura_Obra!$F:$F,Captura_Obra!$M:$M,A55,Captura_Obra!$B:$B,"NO DETECTADA")</f>
        <v>3412</v>
      </c>
      <c r="F55" s="16331">
        <f t="shared" si="8"/>
        <v>27</v>
      </c>
      <c r="G55" s="16332">
        <f t="shared" si="4"/>
        <v>92124</v>
      </c>
      <c r="H55" s="16333">
        <f t="shared" si="5"/>
        <v>-3412</v>
      </c>
      <c r="I55" s="16334">
        <f t="shared" si="6"/>
        <v>1837.0400000000081</v>
      </c>
    </row>
    <row r="56" spans="1:10">
      <c r="A56" s="17902">
        <v>24</v>
      </c>
      <c r="B56" s="17903" t="s">
        <v>124</v>
      </c>
      <c r="C56" s="17904">
        <f>SUMIFS(Captura_Facturas_Mobil!$E:$E,Captura_Facturas_Mobil!$N:$N,A56,Captura_Facturas_Mobil!$D:$D,B56)</f>
        <v>0</v>
      </c>
      <c r="D56" s="17905">
        <f>SUMIFS(Captura_Facturas_Mobil!$G:$G,Captura_Facturas_Mobil!$N:$N,A56,Captura_Facturas_Mobil!$D:$D,B56)</f>
        <v>56664.429999999993</v>
      </c>
      <c r="E56" s="17906">
        <f>SUMIFS(Captura_Obra!$F:$F,Captura_Obra!$M:$M,A56,Captura_Obra!$B:$B,B56)</f>
        <v>0</v>
      </c>
      <c r="F56" s="17907">
        <f t="shared" si="8"/>
        <v>27</v>
      </c>
      <c r="G56" s="17908">
        <f t="shared" si="4"/>
        <v>0</v>
      </c>
      <c r="H56" s="17909" t="str">
        <f t="shared" si="5"/>
        <v/>
      </c>
      <c r="I56" s="17910">
        <f t="shared" si="6"/>
        <v>56664.429999999993</v>
      </c>
    </row>
    <row r="57" spans="1:10" ht="14.4">
      <c r="A57" s="16335">
        <v>24</v>
      </c>
      <c r="B57" s="16336" t="s">
        <v>166</v>
      </c>
      <c r="C57" s="16337">
        <f>SUMIFS(Captura_Facturas_Mobil!$E:$E,Captura_Facturas_Mobil!$N:$N,A57,Captura_Facturas_Mobil!$D:$D,B57)</f>
        <v>0</v>
      </c>
      <c r="D57" s="16338">
        <f>SUMIFS(Captura_Facturas_Mobil!$G:$G,Captura_Facturas_Mobil!$N:$N,A57,Captura_Facturas_Mobil!$D:$D,B57)</f>
        <v>0</v>
      </c>
      <c r="E57" s="16339">
        <f>SUMIFS(Captura_Obra!$F:$F,Captura_Obra!$M:$M,A57,Captura_Obra!$B:$B,B57)</f>
        <v>0</v>
      </c>
      <c r="F57" s="16340">
        <f t="shared" si="8"/>
        <v>27</v>
      </c>
      <c r="G57" s="16341">
        <f t="shared" si="4"/>
        <v>0</v>
      </c>
      <c r="H57" s="16342" t="str">
        <f t="shared" si="5"/>
        <v/>
      </c>
      <c r="I57" s="16343" t="str">
        <f t="shared" si="6"/>
        <v/>
      </c>
    </row>
    <row r="58" spans="1:10">
      <c r="A58" s="16344">
        <v>25</v>
      </c>
      <c r="B58" s="16345" t="s">
        <v>1</v>
      </c>
      <c r="C58" s="16346">
        <f>SUMIFS(Captura_Facturas_Mobil!$E:$E,Captura_Facturas_Mobil!$N:$N,A58,Captura_Facturas_Mobil!$D:$D,B58)</f>
        <v>2410.0140000000001</v>
      </c>
      <c r="D58" s="16347">
        <f>SUMIFS(Captura_Facturas_Mobil!$G:$G,Captura_Facturas_Mobil!$N:$N,A58,Captura_Facturas_Mobil!$D:$D,B58)</f>
        <v>65070.369999999995</v>
      </c>
      <c r="E58" s="16348">
        <f>SUMIFS(Captura_Obra!$F:$F,Captura_Obra!$M:$M,A58,Captura_Obra!$B:$B,B58)</f>
        <v>2185</v>
      </c>
      <c r="F58" s="16349">
        <f t="shared" si="8"/>
        <v>26.999996680517206</v>
      </c>
      <c r="G58" s="16350">
        <f t="shared" si="4"/>
        <v>58994.992746930096</v>
      </c>
      <c r="H58" s="16351">
        <f t="shared" si="5"/>
        <v>225.01400000000012</v>
      </c>
      <c r="I58" s="16352">
        <f t="shared" si="6"/>
        <v>6075.3772530698989</v>
      </c>
    </row>
    <row r="59" spans="1:10">
      <c r="A59" s="17961">
        <v>25</v>
      </c>
      <c r="B59" s="17962" t="s">
        <v>400</v>
      </c>
      <c r="C59" s="17963">
        <f>SUMIFS(Captura_Facturas_Mobil!$E:$E,Captura_Facturas_Mobil!$N:$N,A59,Captura_Facturas_Mobil!$D:$D,"Maquinaria Pegaso")+SUMIFS(Captura_Facturas_Mobil!$E:$E,Captura_Facturas_Mobil!$N:$N,A59,Captura_Facturas_Mobil!$D:$D,"Lerma - Tres Marías")+SUMIFS(Captura_Facturas_Mobil!$E:$E,Captura_Facturas_Mobil!$N:$N,A59,Captura_Facturas_Mobil!$D:$D,"Chamapa-Lechería")+SUMIFS(Captura_Facturas_Mobil!$E:$E,Captura_Facturas_Mobil!$N:$N,A59,Captura_Facturas_Mobil!$D:$D,"Bacheo Toluca")+SUMIFS(Captura_Facturas_Mobil!$E:$E,Captura_Facturas_Mobil!$N:$N,A59,Captura_Facturas_Mobil!$D:$D,"Dragones")+SUMIFS(Captura_Facturas_Mobil!$E:$E,Captura_Facturas_Mobil!$N:$N,A59,Captura_Facturas_Mobil!$D:$D,"Colegio Militar")+SUMIFS(Captura_Facturas_Mobil!$E:$E,Captura_Facturas_Mobil!$N:$N,A59,Captura_Facturas_Mobil!$D:$D,"NO DETECTADA")</f>
        <v>4161.9240000000009</v>
      </c>
      <c r="D59" s="17964">
        <f>SUMIFS(Captura_Facturas_Mobil!$G:$G,Captura_Facturas_Mobil!$N:$N,A59,Captura_Facturas_Mobil!$D:$D,"Maquinaria Pegaso")+SUMIFS(Captura_Facturas_Mobil!$G:$G,Captura_Facturas_Mobil!$N:$N,A59,Captura_Facturas_Mobil!$D:$D,"Lerma - Tres Marías")+SUMIFS(Captura_Facturas_Mobil!$G:$G,Captura_Facturas_Mobil!$N:$N,A59,Captura_Facturas_Mobil!$D:$D,"Chamapa-Lechería")+SUMIFS(Captura_Facturas_Mobil!$G:$G,Captura_Facturas_Mobil!$N:$N,A59,Captura_Facturas_Mobil!$D:$D,"Bacheo Toluca")+SUMIFS(Captura_Facturas_Mobil!$G:$G,Captura_Facturas_Mobil!$N:$N,A59,Captura_Facturas_Mobil!$D:$D,"Dragones")+SUMIFS(Captura_Facturas_Mobil!$G:$G,Captura_Facturas_Mobil!$N:$N,A59,Captura_Facturas_Mobil!$D:$D,"Colegio Militar")+SUMIFS(Captura_Facturas_Mobil!$G:$G,Captura_Facturas_Mobil!$N:$N,A59,Captura_Facturas_Mobil!$D:$D,"NO DETECTADA")</f>
        <v>111870.06</v>
      </c>
      <c r="E59" s="17965">
        <f>SUMIFS(Captura_Obra!$F:$F,Captura_Obra!$M:$M,A59,Captura_Obra!$B:$B,"Maquinaria Pegaso")+SUMIFS(Captura_Obra!$F:$F,Captura_Obra!$M:$M,A59,Captura_Obra!$B:$B,"Lerma - Tres Marías")+SUMIFS(Captura_Obra!$F:$F,Captura_Obra!$M:$M,A59,Captura_Obra!$B:$B,"Chamapa-Lechería")+SUMIFS(Captura_Obra!$F:$F,Captura_Obra!$M:$M,A59,Captura_Obra!$B:$B,"Bacheo Toluca")+SUMIFS(Captura_Obra!$F:$F,Captura_Obra!$M:$M,A59,Captura_Obra!$B:$B,"Dragones")+SUMIFS(Captura_Obra!$F:$F,Captura_Obra!$M:$M,A59,Captura_Obra!$B:$B,"Colegio Militar")+SUMIFS(Captura_Obra!$F:$F,Captura_Obra!$M:$M,A59,Captura_Obra!$B:$B,"NO DETECTADA")</f>
        <v>3436</v>
      </c>
      <c r="F59" s="17966">
        <f t="shared" si="8"/>
        <v>26.879409619204957</v>
      </c>
      <c r="G59" s="17967">
        <f t="shared" si="4"/>
        <v>92357.65145158823</v>
      </c>
      <c r="H59" s="17968">
        <f t="shared" si="5"/>
        <v>725.92400000000089</v>
      </c>
      <c r="I59" s="16353">
        <f t="shared" si="6"/>
        <v>19512.408548411768</v>
      </c>
    </row>
    <row r="60" spans="1:10" ht="28.8">
      <c r="A60" s="16354">
        <v>25</v>
      </c>
      <c r="B60" s="16355" t="s">
        <v>124</v>
      </c>
      <c r="C60" s="16356">
        <f>SUMIFS(Captura_Facturas_Mobil!$E:$E,Captura_Facturas_Mobil!$N:$N,A60,Captura_Facturas_Mobil!$D:$D,B60)</f>
        <v>2500.0160000000001</v>
      </c>
      <c r="D60" s="16357">
        <f>SUMIFS(Captura_Facturas_Mobil!$G:$G,Captura_Facturas_Mobil!$N:$N,A60,Captura_Facturas_Mobil!$D:$D,B60)</f>
        <v>67500.41</v>
      </c>
      <c r="E60" s="16358">
        <f>SUMIFS(Captura_Obra!$F:$F,Captura_Obra!$M:$M,A60,Captura_Obra!$B:$B,B60)</f>
        <v>1600</v>
      </c>
      <c r="F60" s="16359">
        <f t="shared" si="8"/>
        <v>26.999991200056321</v>
      </c>
      <c r="G60" s="16360">
        <f t="shared" si="4"/>
        <v>43199.985920090112</v>
      </c>
      <c r="H60" s="16361">
        <f t="shared" si="5"/>
        <v>900.01600000000008</v>
      </c>
      <c r="I60" s="16362">
        <f t="shared" si="6"/>
        <v>24300.424079909892</v>
      </c>
    </row>
    <row r="61" spans="1:10">
      <c r="A61" s="16363">
        <v>25</v>
      </c>
      <c r="B61" s="16364" t="s">
        <v>166</v>
      </c>
      <c r="C61" s="16365">
        <f>SUMIFS(Captura_Facturas_Mobil!$E:$E,Captura_Facturas_Mobil!$N:$N,A61,Captura_Facturas_Mobil!$D:$D,B61)</f>
        <v>0</v>
      </c>
      <c r="D61" s="16366">
        <f>SUMIFS(Captura_Facturas_Mobil!$G:$G,Captura_Facturas_Mobil!$N:$N,A61,Captura_Facturas_Mobil!$D:$D,B61)</f>
        <v>0</v>
      </c>
      <c r="E61" s="16367">
        <f>SUMIFS(Captura_Obra!$F:$F,Captura_Obra!$M:$M,A61,Captura_Obra!$B:$B,B61)</f>
        <v>0</v>
      </c>
      <c r="F61" s="16368">
        <f t="shared" si="8"/>
        <v>27</v>
      </c>
      <c r="G61" s="16369">
        <f t="shared" si="4"/>
        <v>0</v>
      </c>
      <c r="H61" s="16370" t="str">
        <f t="shared" si="5"/>
        <v/>
      </c>
      <c r="I61" s="16371" t="str">
        <f t="shared" si="6"/>
        <v/>
      </c>
    </row>
    <row r="62" spans="1:10">
      <c r="A62" s="16372">
        <v>26</v>
      </c>
      <c r="B62" s="16373" t="s">
        <v>1</v>
      </c>
      <c r="C62" s="16374">
        <f>SUMIFS(Captura_Facturas_Mobil!$E:$E,Captura_Facturas_Mobil!$N:$N,A62,Captura_Facturas_Mobil!$D:$D,B62)</f>
        <v>2513</v>
      </c>
      <c r="D62" s="16375">
        <f>SUMIFS(Captura_Facturas_Mobil!$G:$G,Captura_Facturas_Mobil!$N:$N,A62,Captura_Facturas_Mobil!$D:$D,B62)</f>
        <v>68870.16</v>
      </c>
      <c r="E62" s="16376">
        <f>SUMIFS(Captura_Obra!$F:$F,Captura_Obra!$M:$M,A62,Captura_Obra!$B:$B,B62)</f>
        <v>2488</v>
      </c>
      <c r="F62" s="16377">
        <f t="shared" si="8"/>
        <v>27.405555113410269</v>
      </c>
      <c r="G62" s="16378">
        <f t="shared" si="4"/>
        <v>68185.021122164748</v>
      </c>
      <c r="H62" s="16379">
        <f t="shared" si="5"/>
        <v>25</v>
      </c>
      <c r="I62" s="16380">
        <f t="shared" si="6"/>
        <v>685.1388778352557</v>
      </c>
    </row>
    <row r="63" spans="1:10">
      <c r="A63" s="16381">
        <v>26</v>
      </c>
      <c r="B63" s="16382" t="s">
        <v>400</v>
      </c>
      <c r="C63" s="16383">
        <f>SUMIFS(Captura_Facturas_Mobil!$E:$E,Captura_Facturas_Mobil!$N:$N,A63,Captura_Facturas_Mobil!$D:$D,"Maquinaria Pegaso")+SUMIFS(Captura_Facturas_Mobil!$E:$E,Captura_Facturas_Mobil!$N:$N,A63,Captura_Facturas_Mobil!$D:$D,"Lerma - Tres Marías")+SUMIFS(Captura_Facturas_Mobil!$E:$E,Captura_Facturas_Mobil!$N:$N,A63,Captura_Facturas_Mobil!$D:$D,"Chamapa-Lechería")+SUMIFS(Captura_Facturas_Mobil!$E:$E,Captura_Facturas_Mobil!$N:$N,A63,Captura_Facturas_Mobil!$D:$D,"Bacheo Toluca")+SUMIFS(Captura_Facturas_Mobil!$E:$E,Captura_Facturas_Mobil!$N:$N,A63,Captura_Facturas_Mobil!$D:$D,"Dragones")+SUMIFS(Captura_Facturas_Mobil!$E:$E,Captura_Facturas_Mobil!$N:$N,A63,Captura_Facturas_Mobil!$D:$D,"Colegio Militar")+SUMIFS(Captura_Facturas_Mobil!$E:$E,Captura_Facturas_Mobil!$N:$N,A63,Captura_Facturas_Mobil!$D:$D,"NO DETECTADA")</f>
        <v>0</v>
      </c>
      <c r="D63" s="16384">
        <f>SUMIFS(Captura_Facturas_Mobil!$G:$G,Captura_Facturas_Mobil!$N:$N,A63,Captura_Facturas_Mobil!$D:$D,"Maquinaria Pegaso")+SUMIFS(Captura_Facturas_Mobil!$G:$G,Captura_Facturas_Mobil!$N:$N,A63,Captura_Facturas_Mobil!$D:$D,"Lerma - Tres Marías")+SUMIFS(Captura_Facturas_Mobil!$G:$G,Captura_Facturas_Mobil!$N:$N,A63,Captura_Facturas_Mobil!$D:$D,"Chamapa-Lechería")+SUMIFS(Captura_Facturas_Mobil!$G:$G,Captura_Facturas_Mobil!$N:$N,A63,Captura_Facturas_Mobil!$D:$D,"Bacheo Toluca")+SUMIFS(Captura_Facturas_Mobil!$G:$G,Captura_Facturas_Mobil!$N:$N,A63,Captura_Facturas_Mobil!$D:$D,"Dragones")+SUMIFS(Captura_Facturas_Mobil!$G:$G,Captura_Facturas_Mobil!$N:$N,A63,Captura_Facturas_Mobil!$D:$D,"Colegio Militar")+SUMIFS(Captura_Facturas_Mobil!$G:$G,Captura_Facturas_Mobil!$N:$N,A63,Captura_Facturas_Mobil!$D:$D,"NO DETECTADA")</f>
        <v>0</v>
      </c>
      <c r="E63" s="16385">
        <f>SUMIFS(Captura_Obra!$F:$F,Captura_Obra!$M:$M,A63,Captura_Obra!$B:$B,"Maquinaria Pegaso")+SUMIFS(Captura_Obra!$F:$F,Captura_Obra!$M:$M,A63,Captura_Obra!$B:$B,"Lerma - Tres Marías")+SUMIFS(Captura_Obra!$F:$F,Captura_Obra!$M:$M,A63,Captura_Obra!$B:$B,"Chamapa-Lechería")+SUMIFS(Captura_Obra!$F:$F,Captura_Obra!$M:$M,A63,Captura_Obra!$B:$B,"Bacheo Toluca")+SUMIFS(Captura_Obra!$F:$F,Captura_Obra!$M:$M,A63,Captura_Obra!$B:$B,"Dragones")+SUMIFS(Captura_Obra!$F:$F,Captura_Obra!$M:$M,A63,Captura_Obra!$B:$B,"Colegio Militar")+SUMIFS(Captura_Obra!$F:$F,Captura_Obra!$M:$M,A63,Captura_Obra!$B:$B,"NO DETECTADA")</f>
        <v>4779</v>
      </c>
      <c r="F63" s="16386">
        <f t="shared" si="8"/>
        <v>27</v>
      </c>
      <c r="G63" s="16387">
        <f t="shared" si="4"/>
        <v>129033</v>
      </c>
      <c r="H63" s="16388">
        <f t="shared" si="5"/>
        <v>-4779</v>
      </c>
      <c r="I63" s="16389">
        <f t="shared" si="6"/>
        <v>-129033</v>
      </c>
    </row>
    <row r="64" spans="1:10">
      <c r="A64" s="16390">
        <v>26</v>
      </c>
      <c r="B64" s="16391" t="s">
        <v>124</v>
      </c>
      <c r="C64" s="16392">
        <f>SUMIFS(Captura_Facturas_Mobil!$E:$E,Captura_Facturas_Mobil!$N:$N,A64,Captura_Facturas_Mobil!$D:$D,B64)</f>
        <v>400</v>
      </c>
      <c r="D64" s="16393">
        <f>SUMIFS(Captura_Facturas_Mobil!$G:$G,Captura_Facturas_Mobil!$N:$N,A64,Captura_Facturas_Mobil!$D:$D,B64)</f>
        <v>17700.099999999999</v>
      </c>
      <c r="E64" s="16394">
        <f>SUMIFS(Captura_Obra!$F:$F,Captura_Obra!$M:$M,A64,Captura_Obra!$B:$B,B64)</f>
        <v>1050</v>
      </c>
      <c r="F64" s="16395">
        <f t="shared" si="8"/>
        <v>44.250249999999994</v>
      </c>
      <c r="G64" s="16396">
        <f t="shared" si="4"/>
        <v>46462.762499999997</v>
      </c>
      <c r="H64" s="16397">
        <f t="shared" si="5"/>
        <v>-650</v>
      </c>
      <c r="I64" s="16398">
        <f t="shared" si="6"/>
        <v>-28762.662499999999</v>
      </c>
    </row>
    <row r="65" spans="1:9">
      <c r="A65" s="16399">
        <v>26</v>
      </c>
      <c r="B65" s="16400" t="s">
        <v>166</v>
      </c>
      <c r="C65" s="16401">
        <f>SUMIFS(Captura_Facturas_Mobil!$E:$E,Captura_Facturas_Mobil!$N:$N,A65,Captura_Facturas_Mobil!$D:$D,B65)</f>
        <v>0</v>
      </c>
      <c r="D65" s="16402">
        <f>SUMIFS(Captura_Facturas_Mobil!$G:$G,Captura_Facturas_Mobil!$N:$N,A65,Captura_Facturas_Mobil!$D:$D,B65)</f>
        <v>0</v>
      </c>
      <c r="E65" s="16403">
        <f>SUMIFS(Captura_Obra!$F:$F,Captura_Obra!$M:$M,A65,Captura_Obra!$B:$B,B65)</f>
        <v>0</v>
      </c>
      <c r="F65" s="16404">
        <f t="shared" si="8"/>
        <v>27</v>
      </c>
      <c r="G65" s="16405">
        <f t="shared" si="4"/>
        <v>0</v>
      </c>
      <c r="H65" s="16406" t="str">
        <f t="shared" si="5"/>
        <v/>
      </c>
      <c r="I65" s="16407" t="str">
        <f t="shared" si="6"/>
        <v/>
      </c>
    </row>
    <row r="66" spans="1:9">
      <c r="A66" s="16408" t="s">
        <v>174</v>
      </c>
      <c r="B66" s="16409" t="s">
        <v>1</v>
      </c>
      <c r="C66" s="16410">
        <f>SUMIFS(Captura_Facturas_Mobil!$E:$E,Captura_Facturas_Mobil!$N:$N,A66,Captura_Facturas_Mobil!$D:$D,B66)</f>
        <v>0</v>
      </c>
      <c r="D66" s="16411">
        <f>SUMIFS(Captura_Facturas_Mobil!$G:$G,Captura_Facturas_Mobil!$N:$N,A66,Captura_Facturas_Mobil!$D:$D,B66)</f>
        <v>0</v>
      </c>
      <c r="E66" s="16412">
        <f>SUMIFS(Captura_Obra!$F:$F,Captura_Obra!$M:$M,A66,Captura_Obra!$B:$B,B66)</f>
        <v>0</v>
      </c>
      <c r="F66" s="16416">
        <f t="shared" si="8"/>
        <v>27</v>
      </c>
      <c r="G66" s="16413">
        <f>SUBTOTAL(9,G42:G65)</f>
        <v>565052.41374077322</v>
      </c>
      <c r="H66" s="16414">
        <f>SUBTOTAL(9,H42:H65)</f>
        <v>-8250.0459999999985</v>
      </c>
      <c r="I66" s="16415">
        <f>SUBTOTAL(9,I42:I65)</f>
        <v>219674.61625922678</v>
      </c>
    </row>
    <row r="67" spans="1:9">
      <c r="A67" s="16021">
        <v>23</v>
      </c>
      <c r="B67" s="16022" t="s">
        <v>400</v>
      </c>
      <c r="C67" s="16023">
        <f>SUMIFS(Captura_Facturas_Mobil!$E:$E,Captura_Facturas_Mobil!$N:$N,A67,Captura_Facturas_Mobil!$D:$D,"Maquinaria Pegaso")+SUMIFS(Captura_Facturas_Mobil!$E:$E,Captura_Facturas_Mobil!$N:$N,A67,Captura_Facturas_Mobil!$D:$D,"Lerma - Tres Marías")+SUMIFS(Captura_Facturas_Mobil!$E:$E,Captura_Facturas_Mobil!$N:$N,A67,Captura_Facturas_Mobil!$D:$D,"Chamapa-Lechería")+SUMIFS(Captura_Facturas_Mobil!$E:$E,Captura_Facturas_Mobil!$N:$N,A67,Captura_Facturas_Mobil!$D:$D,"Bacheo Toluca")+SUMIFS(Captura_Facturas_Mobil!$E:$E,Captura_Facturas_Mobil!$N:$N,A67,Captura_Facturas_Mobil!$D:$D,"Dragones")+SUMIFS(Captura_Facturas_Mobil!$E:$E,Captura_Facturas_Mobil!$N:$N,A67,Captura_Facturas_Mobil!$D:$D,"Colegio Militar")+SUMIFS(Captura_Facturas_Mobil!$E:$E,Captura_Facturas_Mobil!$N:$N,A67,Captura_Facturas_Mobil!$D:$D,"NO DETECTADA")</f>
        <v>0</v>
      </c>
      <c r="D67" s="16024">
        <f>SUMIFS(Captura_Facturas_Mobil!$G:$G,Captura_Facturas_Mobil!$N:$N,A67,Captura_Facturas_Mobil!$D:$D,"Maquinaria Pegaso")+SUMIFS(Captura_Facturas_Mobil!$G:$G,Captura_Facturas_Mobil!$N:$N,A67,Captura_Facturas_Mobil!$D:$D,"Lerma - Tres Marías")+SUMIFS(Captura_Facturas_Mobil!$G:$G,Captura_Facturas_Mobil!$N:$N,A67,Captura_Facturas_Mobil!$D:$D,"Chamapa-Lechería")+SUMIFS(Captura_Facturas_Mobil!$G:$G,Captura_Facturas_Mobil!$N:$N,A67,Captura_Facturas_Mobil!$D:$D,"Bacheo Toluca")+SUMIFS(Captura_Facturas_Mobil!$G:$G,Captura_Facturas_Mobil!$N:$N,A67,Captura_Facturas_Mobil!$D:$D,"Dragones")+SUMIFS(Captura_Facturas_Mobil!$G:$G,Captura_Facturas_Mobil!$N:$N,A67,Captura_Facturas_Mobil!$D:$D,"Colegio Militar")+SUMIFS(Captura_Facturas_Mobil!$G:$G,Captura_Facturas_Mobil!$N:$N,A67,Captura_Facturas_Mobil!$D:$D,"NO DETECTADA")</f>
        <v>79515.31</v>
      </c>
      <c r="E67" s="16025">
        <f>SUMIFS(Captura_Obra!$F:$F,Captura_Obra!$M:$M,A67,Captura_Obra!$B:$B,"Maquinaria Pegaso")+SUMIFS(Captura_Obra!$F:$F,Captura_Obra!$M:$M,A67,Captura_Obra!$B:$B,"Lerma - Tres Marías")+SUMIFS(Captura_Obra!$F:$F,Captura_Obra!$M:$M,A67,Captura_Obra!$B:$B,"Chamapa-Lechería")+SUMIFS(Captura_Obra!$F:$F,Captura_Obra!$M:$M,A67,Captura_Obra!$B:$B,"Bacheo Toluca")+SUMIFS(Captura_Obra!$F:$F,Captura_Obra!$M:$M,A67,Captura_Obra!$B:$B,"Dragones")+SUMIFS(Captura_Obra!$F:$F,Captura_Obra!$M:$M,A67,Captura_Obra!$B:$B,"Colegio Militar")+SUMIFS(Captura_Obra!$F:$F,Captura_Obra!$M:$M,A67,Captura_Obra!$B:$B,"NO DETECTADA")</f>
        <v>0</v>
      </c>
      <c r="F67" s="16026">
        <f t="shared" si="8"/>
        <v>27</v>
      </c>
      <c r="G67" s="16027">
        <f>IF(C67+D67=0,"",C67-F67)</f>
        <v>-27</v>
      </c>
      <c r="H67" s="16028" t="str">
        <f>IF(C67+D67=0,"",IF(G67&gt;10,"⚠️ Pagamos de MÁS (o se fue a Tanque)",IF(G67&lt;-10,"🚨 Máquinas quemaron MÁS de lo pagado","✅ Cuadrado")))</f>
        <v>🚨 Máquinas quemaron MÁS de lo pagado</v>
      </c>
      <c r="I67" s="15158"/>
    </row>
    <row r="68" spans="1:9">
      <c r="A68" s="17882" t="s">
        <v>736</v>
      </c>
      <c r="B68" s="17883" t="s">
        <v>124</v>
      </c>
      <c r="C68" s="17884">
        <f>SUMIFS(Captura_Facturas_Mobil!$E:$E,Captura_Facturas_Mobil!$N:$N,A68,Captura_Facturas_Mobil!$D:$D,B68)</f>
        <v>0</v>
      </c>
      <c r="D68" s="17885">
        <f>SUMIFS(Captura_Facturas_Mobil!$G:$G,Captura_Facturas_Mobil!$N:$N,A68,Captura_Facturas_Mobil!$D:$D,B68)</f>
        <v>0</v>
      </c>
      <c r="E68" s="17886">
        <f>SUMIFS(Captura_Obra!$F:$F,Captura_Obra!$M:$M,A68,Captura_Obra!$B:$B,B68)</f>
        <v>0</v>
      </c>
      <c r="F68" s="17887">
        <f t="shared" si="8"/>
        <v>27</v>
      </c>
      <c r="G68" s="17888" t="str">
        <f>IF(C68+D68=0,"",C68-F68)</f>
        <v/>
      </c>
      <c r="H68" s="17889" t="str">
        <f>IF(C68+D68=0,"",IF(G68&gt;10,"⚠️ Pagamos de MÁS (o se fue a Tanque)",IF(G68&lt;-10,"🚨 Máquinas quemaron MÁS de lo pagado","✅ Cuadrado")))</f>
        <v/>
      </c>
      <c r="I68" s="15159"/>
    </row>
    <row r="69" spans="1:9" ht="57.6">
      <c r="A69" s="16417" t="s">
        <v>460</v>
      </c>
      <c r="B69" s="16418" t="s">
        <v>166</v>
      </c>
      <c r="C69" s="16419">
        <f>SUMIFS(Captura_Facturas_Mobil!$E:$E,Captura_Facturas_Mobil!$N:$N,A69,Captura_Facturas_Mobil!$D:$D,B69)</f>
        <v>0</v>
      </c>
      <c r="D69" s="16420">
        <f>SUMIFS(Captura_Facturas_Mobil!$G:$G,Captura_Facturas_Mobil!$N:$N,A69,Captura_Facturas_Mobil!$D:$D,B69)</f>
        <v>0</v>
      </c>
      <c r="E69" s="16421">
        <f>SUMIFS(Captura_Obra!$F:$F,Captura_Obra!$M:$M,A69,Captura_Obra!$B:$B,B69)</f>
        <v>0</v>
      </c>
      <c r="F69" s="16422">
        <f t="shared" si="8"/>
        <v>27</v>
      </c>
      <c r="G69" s="16423" t="s">
        <v>765</v>
      </c>
      <c r="H69" s="16424" t="s">
        <v>414</v>
      </c>
      <c r="I69" s="15160"/>
    </row>
    <row r="70" spans="1:9">
      <c r="A70" s="16425">
        <v>21</v>
      </c>
      <c r="B70" s="16426" t="s">
        <v>1</v>
      </c>
      <c r="C70" s="16427">
        <f>SUMIFS(Estados_Cuenta_Mobil!$F:$F,Estados_Cuenta_Mobil!$C:$C,A70,Estados_Cuenta_Mobil!$D:$D,B70)</f>
        <v>0</v>
      </c>
      <c r="D70" s="16428">
        <f>SUMIFS(Captura_Obra!$F:$F,Captura_Obra!$M:$M,A70,Captura_Obra!$B:$B,B70)</f>
        <v>0</v>
      </c>
      <c r="E70" s="16429">
        <f>IFERROR(SUMIFS(Captura_Facturas_Mobil!$G:$G,Captura_Facturas_Mobil!$N:$N,A70,Captura_Facturas_Mobil!$D:$D,B70)/SUMIFS(Captura_Facturas_Mobil!$E:$E,Captura_Facturas_Mobil!$N:$N,A70,Captura_Facturas_Mobil!$D:$D,B70),$F$3)</f>
        <v>27</v>
      </c>
      <c r="F70" s="16430">
        <f t="shared" ref="F70:F93" si="9">D70*E70</f>
        <v>0</v>
      </c>
      <c r="G70" s="16431" t="str">
        <f t="shared" ref="G70:G93" si="10">IF(C70+D70=0,"",C70-F70)</f>
        <v/>
      </c>
      <c r="H70" s="16432" t="str">
        <f t="shared" ref="H70:H93" si="11">IF(AND(C70=0,F70&gt;0),"📦 Consumo de Reserva (Tanque Vaciado)",IF(C70+D70=0,"",IF(G70&gt;10,"⚠️ Cobro excedió consumo",IF(G70&lt;-10,"🚨 Máquinas quemaron más de lo pagado","✅ Cuadrado"))))</f>
        <v/>
      </c>
      <c r="I70" s="15161"/>
    </row>
    <row r="71" spans="1:9">
      <c r="A71" s="16433">
        <v>21</v>
      </c>
      <c r="B71" s="16434" t="s">
        <v>115</v>
      </c>
      <c r="C71" s="16435">
        <f>SUMIFS(Estados_Cuenta_Mobil!$F:$F,Estados_Cuenta_Mobil!$C:$C,A71,Estados_Cuenta_Mobil!$D:$D,"Planta Asfalto Pegaso")+SUMIFS(Estados_Cuenta_Mobil!$F:$F,Estados_Cuenta_Mobil!$C:$C,A71,Estados_Cuenta_Mobil!$D:$D,"Lerma - Tres Marías")+SUMIFS(Estados_Cuenta_Mobil!$F:$F,Estados_Cuenta_Mobil!$C:$C,A71,Estados_Cuenta_Mobil!$D:$D,"Chamapa-Lechería")+SUMIFS(Estados_Cuenta_Mobil!$F:$F,Estados_Cuenta_Mobil!$C:$C,A71,Estados_Cuenta_Mobil!$D:$D,"Bacheo Toluca")+SUMIFS(Estados_Cuenta_Mobil!$F:$F,Estados_Cuenta_Mobil!$C:$C,A71,Estados_Cuenta_Mobil!$D:$D,"Dragones")+SUMIFS(Estados_Cuenta_Mobil!$F:$F,Estados_Cuenta_Mobil!$C:$C,A71,Estados_Cuenta_Mobil!$D:$D,"Colegio Militar")+SUMIFS(Estados_Cuenta_Mobil!$F:$F,Estados_Cuenta_Mobil!$C:$C,A71,Estados_Cuenta_Mobil!$D:$D,"NO DETECTADA")</f>
        <v>77494.679999999993</v>
      </c>
      <c r="D71" s="16436">
        <f>SUMIFS(Captura_Obra!$F:$F,Captura_Obra!$M:$M,A71,Captura_Obra!$B:$B,"Planta Asfalto Pegaso")+SUMIFS(Captura_Obra!$F:$F,Captura_Obra!$M:$M,A71,Captura_Obra!$B:$B,"Lerma - Tres Marías")+SUMIFS(Captura_Obra!$F:$F,Captura_Obra!$M:$M,A71,Captura_Obra!$B:$B,"Chamapa-Lechería")+SUMIFS(Captura_Obra!$F:$F,Captura_Obra!$M:$M,A71,Captura_Obra!$B:$B,"Bacheo Toluca")+SUMIFS(Captura_Obra!$F:$F,Captura_Obra!$M:$M,A71,Captura_Obra!$B:$B,"Dragones")+SUMIFS(Captura_Obra!$F:$F,Captura_Obra!$M:$M,A71,Captura_Obra!$B:$B,"Colegio Militar")+SUMIFS(Captura_Obra!$F:$F,Captura_Obra!$M:$M,A71,Captura_Obra!$B:$B,"NO DETECTADA")</f>
        <v>0</v>
      </c>
      <c r="E71" s="16437">
        <f>IFERROR((SUMIFS(Captura_Facturas_Mobil!$G:$G,Captura_Facturas_Mobil!$N:$N,A71,Captura_Facturas_Mobil!$D:$D,"Planta Asfalto Pegaso")+SUMIFS(Captura_Facturas_Mobil!$G:$G,Captura_Facturas_Mobil!$N:$N,A71,Captura_Facturas_Mobil!$D:$D,"Lerma - Tres Marías")+SUMIFS(Captura_Facturas_Mobil!$G:$G,Captura_Facturas_Mobil!$N:$N,A71,Captura_Facturas_Mobil!$D:$D,"Chamapa-Lechería")+SUMIFS(Captura_Facturas_Mobil!$G:$G,Captura_Facturas_Mobil!$N:$N,A71,Captura_Facturas_Mobil!$D:$D,"Bacheo Toluca")+SUMIFS(Captura_Facturas_Mobil!$G:$G,Captura_Facturas_Mobil!$N:$N,A71,Captura_Facturas_Mobil!$D:$D,"Dragones")+SUMIFS(Captura_Facturas_Mobil!$G:$G,Captura_Facturas_Mobil!$N:$N,A71,Captura_Facturas_Mobil!$D:$D,"Colegio Militar")+SUMIFS(Captura_Facturas_Mobil!$G:$G,Captura_Facturas_Mobil!$N:$N,A71,Captura_Facturas_Mobil!$D:$D,"NO DETECTADA"))/(SUMIFS(Captura_Facturas_Mobil!$E:$E,Captura_Facturas_Mobil!$N:$N,A71,Captura_Facturas_Mobil!$D:$D,"Planta Asfalto Pegaso")+SUMIFS(Captura_Facturas_Mobil!$E:$E,Captura_Facturas_Mobil!$N:$N,A71,Captura_Facturas_Mobil!$D:$D,"Lerma - Tres Marías")+SUMIFS(Captura_Facturas_Mobil!$E:$E,Captura_Facturas_Mobil!$N:$N,A71,Captura_Facturas_Mobil!$D:$D,"Chamapa-Lechería")+SUMIFS(Captura_Facturas_Mobil!$E:$E,Captura_Facturas_Mobil!$N:$N,A71,Captura_Facturas_Mobil!$D:$D,"Bacheo Toluca")+SUMIFS(Captura_Facturas_Mobil!$E:$E,Captura_Facturas_Mobil!$N:$N,A71,Captura_Facturas_Mobil!$D:$D,"Dragones")+SUMIFS(Captura_Facturas_Mobil!$E:$E,Captura_Facturas_Mobil!$N:$N,A71,Captura_Facturas_Mobil!$D:$D,"Colegio Militar")+SUMIFS(Captura_Facturas_Mobil!$E:$E,Captura_Facturas_Mobil!$N:$N,A71,Captura_Facturas_Mobil!$D:$D,"NO DETECTADA")),$F$3)</f>
        <v>27</v>
      </c>
      <c r="F71" s="16438">
        <f t="shared" si="9"/>
        <v>0</v>
      </c>
      <c r="G71" s="16439">
        <f t="shared" si="10"/>
        <v>77494.679999999993</v>
      </c>
      <c r="H71" s="16440" t="str">
        <f t="shared" si="11"/>
        <v>⚠️ Cobro excedió consumo</v>
      </c>
      <c r="I71" s="15162"/>
    </row>
    <row r="72" spans="1:9">
      <c r="A72" s="16441">
        <v>21</v>
      </c>
      <c r="B72" s="16442" t="s">
        <v>1</v>
      </c>
      <c r="C72" s="16443">
        <f>SUMIFS(Estados_Cuenta_Mobil!$F:$F,Estados_Cuenta_Mobil!$C:$C,A72,Estados_Cuenta_Mobil!$D:$D,B72)</f>
        <v>0</v>
      </c>
      <c r="D72" s="16444">
        <f>SUMIFS(Captura_Obra!$F:$F,Captura_Obra!$M:$M,A72,Captura_Obra!$B:$B,B72)</f>
        <v>0</v>
      </c>
      <c r="E72" s="16445">
        <f>IFERROR(SUMIFS(Captura_Facturas_Mobil!$G:$G,Captura_Facturas_Mobil!$N:$N,A72,Captura_Facturas_Mobil!$D:$D,B72)/SUMIFS(Captura_Facturas_Mobil!$E:$E,Captura_Facturas_Mobil!$N:$N,A72,Captura_Facturas_Mobil!$D:$D,B72),$F$3)</f>
        <v>27</v>
      </c>
      <c r="F72" s="16446">
        <f t="shared" si="9"/>
        <v>0</v>
      </c>
      <c r="G72" s="16447" t="str">
        <f t="shared" si="10"/>
        <v/>
      </c>
      <c r="H72" s="16448" t="str">
        <f t="shared" si="11"/>
        <v/>
      </c>
      <c r="I72" s="15163"/>
    </row>
    <row r="73" spans="1:9">
      <c r="A73" s="16449">
        <v>21</v>
      </c>
      <c r="B73" s="16450" t="s">
        <v>400</v>
      </c>
      <c r="C73" s="16451">
        <f>SUMIFS(Estados_Cuenta_Mobil!$F:$F,Estados_Cuenta_Mobil!$C:$C,A73,Estados_Cuenta_Mobil!$D:$D,"Maquinaria Pegaso")+SUMIFS(Estados_Cuenta_Mobil!$F:$F,Estados_Cuenta_Mobil!$C:$C,A73,Estados_Cuenta_Mobil!$D:$D,"Lerma - Tres Marías")+SUMIFS(Estados_Cuenta_Mobil!$F:$F,Estados_Cuenta_Mobil!$C:$C,A73,Estados_Cuenta_Mobil!$D:$D,"Chamapa-Lechería")+SUMIFS(Estados_Cuenta_Mobil!$F:$F,Estados_Cuenta_Mobil!$C:$C,A73,Estados_Cuenta_Mobil!$D:$D,"Bacheo Toluca")+SUMIFS(Estados_Cuenta_Mobil!$F:$F,Estados_Cuenta_Mobil!$C:$C,A73,Estados_Cuenta_Mobil!$D:$D,"Dragones")+SUMIFS(Estados_Cuenta_Mobil!$F:$F,Estados_Cuenta_Mobil!$C:$C,A73,Estados_Cuenta_Mobil!$D:$D,"Colegio Militar")+SUMIFS(Estados_Cuenta_Mobil!$F:$F,Estados_Cuenta_Mobil!$C:$C,A73,Estados_Cuenta_Mobil!$D:$D,"NO DETECTADA")</f>
        <v>77494.679999999993</v>
      </c>
      <c r="D73" s="16452">
        <f>SUMIFS(Captura_Obra!$F:$F,Captura_Obra!$M:$M,A73,Captura_Obra!$B:$B,"Maquinaria Pegaso")+SUMIFS(Captura_Obra!$F:$F,Captura_Obra!$M:$M,A73,Captura_Obra!$B:$B,"Lerma - Tres Marías")+SUMIFS(Captura_Obra!$F:$F,Captura_Obra!$M:$M,A73,Captura_Obra!$B:$B,"Chamapa-Lechería")+SUMIFS(Captura_Obra!$F:$F,Captura_Obra!$M:$M,A73,Captura_Obra!$B:$B,"Bacheo Toluca")+SUMIFS(Captura_Obra!$F:$F,Captura_Obra!$M:$M,A73,Captura_Obra!$B:$B,"Dragones")+SUMIFS(Captura_Obra!$F:$F,Captura_Obra!$M:$M,A73,Captura_Obra!$B:$B,"Colegio Militar")+SUMIFS(Captura_Obra!$F:$F,Captura_Obra!$M:$M,A73,Captura_Obra!$B:$B,"NO DETECTADA")</f>
        <v>0</v>
      </c>
      <c r="E73" s="16453">
        <f>IFERROR((SUMIFS(Captura_Facturas_Mobil!$G:$G,Captura_Facturas_Mobil!$N:$N,A73,Captura_Facturas_Mobil!$D:$D,"Maquinaria Pegaso")+SUMIFS(Captura_Facturas_Mobil!$G:$G,Captura_Facturas_Mobil!$N:$N,A73,Captura_Facturas_Mobil!$D:$D,"Lerma - Tres Marías")+SUMIFS(Captura_Facturas_Mobil!$G:$G,Captura_Facturas_Mobil!$N:$N,A73,Captura_Facturas_Mobil!$D:$D,"Chamapa-Lechería")+SUMIFS(Captura_Facturas_Mobil!$G:$G,Captura_Facturas_Mobil!$N:$N,A73,Captura_Facturas_Mobil!$D:$D,"Bacheo Toluca")+SUMIFS(Captura_Facturas_Mobil!$G:$G,Captura_Facturas_Mobil!$N:$N,A73,Captura_Facturas_Mobil!$D:$D,"Dragones")+SUMIFS(Captura_Facturas_Mobil!$G:$G,Captura_Facturas_Mobil!$N:$N,A73,Captura_Facturas_Mobil!$D:$D,"Colegio Militar")+SUMIFS(Captura_Facturas_Mobil!$G:$G,Captura_Facturas_Mobil!$N:$N,A73,Captura_Facturas_Mobil!$D:$D,"NO DETECTADA"))/(SUMIFS(Captura_Facturas_Mobil!$E:$E,Captura_Facturas_Mobil!$N:$N,A73,Captura_Facturas_Mobil!$D:$D,"Maquinaria Pegaso")+SUMIFS(Captura_Facturas_Mobil!$E:$E,Captura_Facturas_Mobil!$N:$N,A73,Captura_Facturas_Mobil!$D:$D,"Lerma - Tres Marías")+SUMIFS(Captura_Facturas_Mobil!$E:$E,Captura_Facturas_Mobil!$N:$N,A73,Captura_Facturas_Mobil!$D:$D,"Chamapa-Lechería")+SUMIFS(Captura_Facturas_Mobil!$E:$E,Captura_Facturas_Mobil!$N:$N,A73,Captura_Facturas_Mobil!$D:$D,"Bacheo Toluca")+SUMIFS(Captura_Facturas_Mobil!$E:$E,Captura_Facturas_Mobil!$N:$N,A73,Captura_Facturas_Mobil!$D:$D,"Dragones")+SUMIFS(Captura_Facturas_Mobil!$E:$E,Captura_Facturas_Mobil!$N:$N,A73,Captura_Facturas_Mobil!$D:$D,"Colegio Militar")+SUMIFS(Captura_Facturas_Mobil!$E:$E,Captura_Facturas_Mobil!$N:$N,A73,Captura_Facturas_Mobil!$D:$D,"NO DETECTADA")),$F$3)</f>
        <v>27</v>
      </c>
      <c r="F73" s="16454">
        <f t="shared" si="9"/>
        <v>0</v>
      </c>
      <c r="G73" s="16455">
        <f t="shared" si="10"/>
        <v>77494.679999999993</v>
      </c>
      <c r="H73" s="16456" t="str">
        <f t="shared" si="11"/>
        <v>⚠️ Cobro excedió consumo</v>
      </c>
      <c r="I73" s="15164"/>
    </row>
    <row r="74" spans="1:9">
      <c r="A74" s="16457">
        <v>22</v>
      </c>
      <c r="B74" s="16458" t="s">
        <v>124</v>
      </c>
      <c r="C74" s="16459">
        <f>SUMIFS(Estados_Cuenta_Mobil!$F:$F,Estados_Cuenta_Mobil!$C:$C,A74,Estados_Cuenta_Mobil!$D:$D,B74)</f>
        <v>0</v>
      </c>
      <c r="D74" s="16460">
        <f>SUMIFS(Captura_Obra!$F:$F,Captura_Obra!$M:$M,A74,Captura_Obra!$B:$B,B74)</f>
        <v>0</v>
      </c>
      <c r="E74" s="16461">
        <f>IFERROR(SUMIFS(Captura_Facturas_Mobil!$G:$G,Captura_Facturas_Mobil!$N:$N,A74,Captura_Facturas_Mobil!$D:$D,B74)/SUMIFS(Captura_Facturas_Mobil!$E:$E,Captura_Facturas_Mobil!$N:$N,A74,Captura_Facturas_Mobil!$D:$D,B74),$F$3)</f>
        <v>27</v>
      </c>
      <c r="F74" s="16462">
        <f t="shared" si="9"/>
        <v>0</v>
      </c>
      <c r="G74" s="16463" t="str">
        <f t="shared" si="10"/>
        <v/>
      </c>
      <c r="H74" s="16464" t="str">
        <f t="shared" si="11"/>
        <v/>
      </c>
      <c r="I74" s="15165"/>
    </row>
    <row r="75" spans="1:9">
      <c r="A75" s="16465">
        <v>22</v>
      </c>
      <c r="B75" s="16466" t="s">
        <v>166</v>
      </c>
      <c r="C75" s="16467">
        <f>SUMIFS(Estados_Cuenta_Mobil!$F:$F,Estados_Cuenta_Mobil!$C:$C,A75,Estados_Cuenta_Mobil!$D:$D,B75)</f>
        <v>0</v>
      </c>
      <c r="D75" s="16468">
        <f>SUMIFS(Captura_Obra!$F:$F,Captura_Obra!$M:$M,A75,Captura_Obra!$B:$B,B75)</f>
        <v>0</v>
      </c>
      <c r="E75" s="16469">
        <f>IFERROR(SUMIFS(Captura_Facturas_Mobil!$G:$G,Captura_Facturas_Mobil!$N:$N,A75,Captura_Facturas_Mobil!$D:$D,B75)/SUMIFS(Captura_Facturas_Mobil!$E:$E,Captura_Facturas_Mobil!$N:$N,A75,Captura_Facturas_Mobil!$D:$D,B75),$F$3)</f>
        <v>27</v>
      </c>
      <c r="F75" s="16470">
        <f t="shared" si="9"/>
        <v>0</v>
      </c>
      <c r="G75" s="16471" t="str">
        <f t="shared" si="10"/>
        <v/>
      </c>
      <c r="H75" s="16472" t="str">
        <f t="shared" si="11"/>
        <v/>
      </c>
      <c r="I75" s="15166"/>
    </row>
    <row r="76" spans="1:9">
      <c r="A76" s="16473">
        <v>22</v>
      </c>
      <c r="B76" s="16474" t="s">
        <v>1</v>
      </c>
      <c r="C76" s="16475">
        <f>SUMIFS(Estados_Cuenta_Mobil!$F:$F,Estados_Cuenta_Mobil!$C:$C,A76,Estados_Cuenta_Mobil!$D:$D,B76)</f>
        <v>0</v>
      </c>
      <c r="D76" s="16476">
        <f>SUMIFS(Captura_Obra!$F:$F,Captura_Obra!$M:$M,A76,Captura_Obra!$B:$B,B76)</f>
        <v>0</v>
      </c>
      <c r="E76" s="16477">
        <f>IFERROR(SUMIFS(Captura_Facturas_Mobil!$G:$G,Captura_Facturas_Mobil!$N:$N,A76,Captura_Facturas_Mobil!$D:$D,B76)/SUMIFS(Captura_Facturas_Mobil!$E:$E,Captura_Facturas_Mobil!$N:$N,A76,Captura_Facturas_Mobil!$D:$D,B76),$F$3)</f>
        <v>27</v>
      </c>
      <c r="F76" s="16478">
        <f t="shared" si="9"/>
        <v>0</v>
      </c>
      <c r="G76" s="16479" t="str">
        <f t="shared" si="10"/>
        <v/>
      </c>
      <c r="H76" s="16480" t="str">
        <f t="shared" si="11"/>
        <v/>
      </c>
      <c r="I76" s="15167"/>
    </row>
    <row r="77" spans="1:9">
      <c r="A77" s="16481">
        <v>22</v>
      </c>
      <c r="B77" s="16482" t="s">
        <v>400</v>
      </c>
      <c r="C77" s="16483">
        <f>SUMIFS(Estados_Cuenta_Mobil!$F:$F,Estados_Cuenta_Mobil!$C:$C,A77,Estados_Cuenta_Mobil!$D:$D,"Maquinaria Pegaso")+SUMIFS(Estados_Cuenta_Mobil!$F:$F,Estados_Cuenta_Mobil!$C:$C,A77,Estados_Cuenta_Mobil!$D:$D,"Lerma - Tres Marías")+SUMIFS(Estados_Cuenta_Mobil!$F:$F,Estados_Cuenta_Mobil!$C:$C,A77,Estados_Cuenta_Mobil!$D:$D,"Chamapa-Lechería")+SUMIFS(Estados_Cuenta_Mobil!$F:$F,Estados_Cuenta_Mobil!$C:$C,A77,Estados_Cuenta_Mobil!$D:$D,"Bacheo Toluca")+SUMIFS(Estados_Cuenta_Mobil!$F:$F,Estados_Cuenta_Mobil!$C:$C,A77,Estados_Cuenta_Mobil!$D:$D,"Dragones")+SUMIFS(Estados_Cuenta_Mobil!$F:$F,Estados_Cuenta_Mobil!$C:$C,A77,Estados_Cuenta_Mobil!$D:$D,"Colegio Militar")+SUMIFS(Estados_Cuenta_Mobil!$F:$F,Estados_Cuenta_Mobil!$C:$C,A77,Estados_Cuenta_Mobil!$D:$D,"NO DETECTADA")</f>
        <v>57520.05</v>
      </c>
      <c r="D77" s="16484">
        <f>SUMIFS(Captura_Obra!$F:$F,Captura_Obra!$M:$M,A77,Captura_Obra!$B:$B,"Maquinaria Pegaso")+SUMIFS(Captura_Obra!$F:$F,Captura_Obra!$M:$M,A77,Captura_Obra!$B:$B,"Lerma - Tres Marías")+SUMIFS(Captura_Obra!$F:$F,Captura_Obra!$M:$M,A77,Captura_Obra!$B:$B,"Chamapa-Lechería")+SUMIFS(Captura_Obra!$F:$F,Captura_Obra!$M:$M,A77,Captura_Obra!$B:$B,"Bacheo Toluca")+SUMIFS(Captura_Obra!$F:$F,Captura_Obra!$M:$M,A77,Captura_Obra!$B:$B,"Dragones")+SUMIFS(Captura_Obra!$F:$F,Captura_Obra!$M:$M,A77,Captura_Obra!$B:$B,"Colegio Militar")+SUMIFS(Captura_Obra!$F:$F,Captura_Obra!$M:$M,A77,Captura_Obra!$B:$B,"NO DETECTADA")</f>
        <v>0</v>
      </c>
      <c r="E77" s="16485">
        <f>IFERROR((SUMIFS(Captura_Facturas_Mobil!$G:$G,Captura_Facturas_Mobil!$N:$N,A77,Captura_Facturas_Mobil!$D:$D,"Maquinaria Pegaso")+SUMIFS(Captura_Facturas_Mobil!$G:$G,Captura_Facturas_Mobil!$N:$N,A77,Captura_Facturas_Mobil!$D:$D,"Lerma - Tres Marías")+SUMIFS(Captura_Facturas_Mobil!$G:$G,Captura_Facturas_Mobil!$N:$N,A77,Captura_Facturas_Mobil!$D:$D,"Chamapa-Lechería")+SUMIFS(Captura_Facturas_Mobil!$G:$G,Captura_Facturas_Mobil!$N:$N,A77,Captura_Facturas_Mobil!$D:$D,"Bacheo Toluca")+SUMIFS(Captura_Facturas_Mobil!$G:$G,Captura_Facturas_Mobil!$N:$N,A77,Captura_Facturas_Mobil!$D:$D,"Dragones")+SUMIFS(Captura_Facturas_Mobil!$G:$G,Captura_Facturas_Mobil!$N:$N,A77,Captura_Facturas_Mobil!$D:$D,"Colegio Militar")+SUMIFS(Captura_Facturas_Mobil!$G:$G,Captura_Facturas_Mobil!$N:$N,A77,Captura_Facturas_Mobil!$D:$D,"NO DETECTADA"))/(SUMIFS(Captura_Facturas_Mobil!$E:$E,Captura_Facturas_Mobil!$N:$N,A77,Captura_Facturas_Mobil!$D:$D,"Maquinaria Pegaso")+SUMIFS(Captura_Facturas_Mobil!$E:$E,Captura_Facturas_Mobil!$N:$N,A77,Captura_Facturas_Mobil!$D:$D,"Lerma - Tres Marías")+SUMIFS(Captura_Facturas_Mobil!$E:$E,Captura_Facturas_Mobil!$N:$N,A77,Captura_Facturas_Mobil!$D:$D,"Chamapa-Lechería")+SUMIFS(Captura_Facturas_Mobil!$E:$E,Captura_Facturas_Mobil!$N:$N,A77,Captura_Facturas_Mobil!$D:$D,"Bacheo Toluca")+SUMIFS(Captura_Facturas_Mobil!$E:$E,Captura_Facturas_Mobil!$N:$N,A77,Captura_Facturas_Mobil!$D:$D,"Dragones")+SUMIFS(Captura_Facturas_Mobil!$E:$E,Captura_Facturas_Mobil!$N:$N,A77,Captura_Facturas_Mobil!$D:$D,"Colegio Militar")+SUMIFS(Captura_Facturas_Mobil!$E:$E,Captura_Facturas_Mobil!$N:$N,A77,Captura_Facturas_Mobil!$D:$D,"NO DETECTADA")),$F$3)</f>
        <v>27</v>
      </c>
      <c r="F77" s="16486">
        <f t="shared" si="9"/>
        <v>0</v>
      </c>
      <c r="G77" s="16487">
        <f t="shared" si="10"/>
        <v>57520.05</v>
      </c>
      <c r="H77" s="16488" t="str">
        <f t="shared" si="11"/>
        <v>⚠️ Cobro excedió consumo</v>
      </c>
      <c r="I77" s="15168"/>
    </row>
    <row r="78" spans="1:9">
      <c r="A78" s="16489">
        <v>23</v>
      </c>
      <c r="B78" s="16490" t="s">
        <v>124</v>
      </c>
      <c r="C78" s="16491">
        <f>SUMIFS(Estados_Cuenta_Mobil!$F:$F,Estados_Cuenta_Mobil!$C:$C,A78,Estados_Cuenta_Mobil!$D:$D,B78)</f>
        <v>16200.1</v>
      </c>
      <c r="D78" s="16492">
        <f>SUMIFS(Captura_Obra!$F:$F,Captura_Obra!$M:$M,A78,Captura_Obra!$B:$B,B78)</f>
        <v>0</v>
      </c>
      <c r="E78" s="16493">
        <f>IFERROR(SUMIFS(Captura_Facturas_Mobil!$G:$G,Captura_Facturas_Mobil!$N:$N,A78,Captura_Facturas_Mobil!$D:$D,B78)/SUMIFS(Captura_Facturas_Mobil!$E:$E,Captura_Facturas_Mobil!$N:$N,A78,Captura_Facturas_Mobil!$D:$D,B78),$F$3)</f>
        <v>27</v>
      </c>
      <c r="F78" s="16494">
        <f t="shared" si="9"/>
        <v>0</v>
      </c>
      <c r="G78" s="16495">
        <f t="shared" si="10"/>
        <v>16200.1</v>
      </c>
      <c r="H78" s="16496" t="str">
        <f t="shared" si="11"/>
        <v>⚠️ Cobro excedió consumo</v>
      </c>
      <c r="I78" s="15169"/>
    </row>
    <row r="79" spans="1:9">
      <c r="A79" s="16497">
        <v>23</v>
      </c>
      <c r="B79" s="16498" t="s">
        <v>166</v>
      </c>
      <c r="C79" s="16499">
        <f>SUMIFS(Estados_Cuenta_Mobil!$F:$F,Estados_Cuenta_Mobil!$C:$C,A79,Estados_Cuenta_Mobil!$D:$D,B79)</f>
        <v>0</v>
      </c>
      <c r="D79" s="16500">
        <f>SUMIFS(Captura_Obra!$F:$F,Captura_Obra!$M:$M,A79,Captura_Obra!$B:$B,B79)</f>
        <v>0</v>
      </c>
      <c r="E79" s="16501">
        <f>IFERROR(SUMIFS(Captura_Facturas_Mobil!$G:$G,Captura_Facturas_Mobil!$N:$N,A79,Captura_Facturas_Mobil!$D:$D,B79)/SUMIFS(Captura_Facturas_Mobil!$E:$E,Captura_Facturas_Mobil!$N:$N,A79,Captura_Facturas_Mobil!$D:$D,B79),$F$3)</f>
        <v>27</v>
      </c>
      <c r="F79" s="16502">
        <f t="shared" si="9"/>
        <v>0</v>
      </c>
      <c r="G79" s="16503" t="str">
        <f t="shared" si="10"/>
        <v/>
      </c>
      <c r="H79" s="16504" t="str">
        <f t="shared" si="11"/>
        <v/>
      </c>
      <c r="I79" s="15170"/>
    </row>
    <row r="80" spans="1:9" ht="14.4">
      <c r="A80" s="17969">
        <v>23</v>
      </c>
      <c r="B80" s="17970" t="s">
        <v>1</v>
      </c>
      <c r="C80" s="17971">
        <f>SUMIFS(Estados_Cuenta_Mobil!$F:$F,Estados_Cuenta_Mobil!$C:$C,A80,Estados_Cuenta_Mobil!$D:$D,B80)</f>
        <v>40500.160000000003</v>
      </c>
      <c r="D80" s="17972">
        <f>SUMIFS(Captura_Obra!$F:$F,Captura_Obra!$M:$M,A80,Captura_Obra!$B:$B,B80)</f>
        <v>0</v>
      </c>
      <c r="E80" s="17973">
        <f>IFERROR(SUMIFS(Captura_Facturas_Mobil!$G:$G,Captura_Facturas_Mobil!$N:$N,A80,Captura_Facturas_Mobil!$D:$D,B80)/SUMIFS(Captura_Facturas_Mobil!$E:$E,Captura_Facturas_Mobil!$N:$N,A80,Captura_Facturas_Mobil!$D:$D,B80),$F$3)</f>
        <v>27</v>
      </c>
      <c r="F80" s="17974">
        <f t="shared" si="9"/>
        <v>0</v>
      </c>
      <c r="G80" s="17975">
        <f t="shared" si="10"/>
        <v>40500.160000000003</v>
      </c>
      <c r="H80" s="17976" t="str">
        <f t="shared" si="11"/>
        <v>⚠️ Cobro excedió consumo</v>
      </c>
      <c r="I80" s="15171"/>
    </row>
    <row r="81" spans="1:9">
      <c r="A81" s="16505">
        <v>23</v>
      </c>
      <c r="B81" s="16506" t="s">
        <v>400</v>
      </c>
      <c r="C81" s="16507">
        <f>SUMIFS(Estados_Cuenta_Mobil!$F:$F,Estados_Cuenta_Mobil!$C:$C,A81,Estados_Cuenta_Mobil!$D:$D,"Maquinaria Pegaso")+SUMIFS(Estados_Cuenta_Mobil!$F:$F,Estados_Cuenta_Mobil!$C:$C,A81,Estados_Cuenta_Mobil!$D:$D,"Lerma - Tres Marías")+SUMIFS(Estados_Cuenta_Mobil!$F:$F,Estados_Cuenta_Mobil!$C:$C,A81,Estados_Cuenta_Mobil!$D:$D,"Chamapa-Lechería")+SUMIFS(Estados_Cuenta_Mobil!$F:$F,Estados_Cuenta_Mobil!$C:$C,A81,Estados_Cuenta_Mobil!$D:$D,"Bacheo Toluca")+SUMIFS(Estados_Cuenta_Mobil!$F:$F,Estados_Cuenta_Mobil!$C:$C,A81,Estados_Cuenta_Mobil!$D:$D,"Dragones")+SUMIFS(Estados_Cuenta_Mobil!$F:$F,Estados_Cuenta_Mobil!$C:$C,A81,Estados_Cuenta_Mobil!$D:$D,"Colegio Militar")+SUMIFS(Estados_Cuenta_Mobil!$F:$F,Estados_Cuenta_Mobil!$C:$C,A81,Estados_Cuenta_Mobil!$D:$D,"NO DETECTADA")</f>
        <v>79515.31</v>
      </c>
      <c r="D81" s="16508">
        <f>SUMIFS(Captura_Obra!$F:$F,Captura_Obra!$M:$M,A81,Captura_Obra!$B:$B,"Maquinaria Pegaso")+SUMIFS(Captura_Obra!$F:$F,Captura_Obra!$M:$M,A81,Captura_Obra!$B:$B,"Lerma - Tres Marías")+SUMIFS(Captura_Obra!$F:$F,Captura_Obra!$M:$M,A81,Captura_Obra!$B:$B,"Chamapa-Lechería")+SUMIFS(Captura_Obra!$F:$F,Captura_Obra!$M:$M,A81,Captura_Obra!$B:$B,"Bacheo Toluca")+SUMIFS(Captura_Obra!$F:$F,Captura_Obra!$M:$M,A81,Captura_Obra!$B:$B,"Dragones")+SUMIFS(Captura_Obra!$F:$F,Captura_Obra!$M:$M,A81,Captura_Obra!$B:$B,"Colegio Militar")+SUMIFS(Captura_Obra!$F:$F,Captura_Obra!$M:$M,A81,Captura_Obra!$B:$B,"NO DETECTADA")</f>
        <v>0</v>
      </c>
      <c r="E81" s="16509">
        <f>IFERROR((SUMIFS(Captura_Facturas_Mobil!$G:$G,Captura_Facturas_Mobil!$N:$N,A81,Captura_Facturas_Mobil!$D:$D,"Maquinaria Pegaso")+SUMIFS(Captura_Facturas_Mobil!$G:$G,Captura_Facturas_Mobil!$N:$N,A81,Captura_Facturas_Mobil!$D:$D,"Lerma - Tres Marías")+SUMIFS(Captura_Facturas_Mobil!$G:$G,Captura_Facturas_Mobil!$N:$N,A81,Captura_Facturas_Mobil!$D:$D,"Chamapa-Lechería")+SUMIFS(Captura_Facturas_Mobil!$G:$G,Captura_Facturas_Mobil!$N:$N,A81,Captura_Facturas_Mobil!$D:$D,"Bacheo Toluca")+SUMIFS(Captura_Facturas_Mobil!$G:$G,Captura_Facturas_Mobil!$N:$N,A81,Captura_Facturas_Mobil!$D:$D,"Dragones")+SUMIFS(Captura_Facturas_Mobil!$G:$G,Captura_Facturas_Mobil!$N:$N,A81,Captura_Facturas_Mobil!$D:$D,"Colegio Militar")+SUMIFS(Captura_Facturas_Mobil!$G:$G,Captura_Facturas_Mobil!$N:$N,A81,Captura_Facturas_Mobil!$D:$D,"NO DETECTADA"))/(SUMIFS(Captura_Facturas_Mobil!$E:$E,Captura_Facturas_Mobil!$N:$N,A81,Captura_Facturas_Mobil!$D:$D,"Maquinaria Pegaso")+SUMIFS(Captura_Facturas_Mobil!$E:$E,Captura_Facturas_Mobil!$N:$N,A81,Captura_Facturas_Mobil!$D:$D,"Lerma - Tres Marías")+SUMIFS(Captura_Facturas_Mobil!$E:$E,Captura_Facturas_Mobil!$N:$N,A81,Captura_Facturas_Mobil!$D:$D,"Chamapa-Lechería")+SUMIFS(Captura_Facturas_Mobil!$E:$E,Captura_Facturas_Mobil!$N:$N,A81,Captura_Facturas_Mobil!$D:$D,"Bacheo Toluca")+SUMIFS(Captura_Facturas_Mobil!$E:$E,Captura_Facturas_Mobil!$N:$N,A81,Captura_Facturas_Mobil!$D:$D,"Dragones")+SUMIFS(Captura_Facturas_Mobil!$E:$E,Captura_Facturas_Mobil!$N:$N,A81,Captura_Facturas_Mobil!$D:$D,"Colegio Militar")+SUMIFS(Captura_Facturas_Mobil!$E:$E,Captura_Facturas_Mobil!$N:$N,A81,Captura_Facturas_Mobil!$D:$D,"NO DETECTADA")),$F$3)</f>
        <v>27</v>
      </c>
      <c r="F81" s="16510">
        <f t="shared" si="9"/>
        <v>0</v>
      </c>
      <c r="G81" s="16511">
        <f t="shared" si="10"/>
        <v>79515.31</v>
      </c>
      <c r="H81" s="16512" t="str">
        <f t="shared" si="11"/>
        <v>⚠️ Cobro excedió consumo</v>
      </c>
      <c r="I81" s="15172"/>
    </row>
    <row r="82" spans="1:9">
      <c r="A82" s="16513">
        <v>24</v>
      </c>
      <c r="B82" s="16514" t="s">
        <v>124</v>
      </c>
      <c r="C82" s="16515">
        <f>SUMIFS(Estados_Cuenta_Mobil!$F:$F,Estados_Cuenta_Mobil!$C:$C,A82,Estados_Cuenta_Mobil!$D:$D,B82)</f>
        <v>56664.429999999993</v>
      </c>
      <c r="D82" s="16516">
        <f>SUMIFS(Captura_Obra!$F:$F,Captura_Obra!$M:$M,A82,Captura_Obra!$B:$B,B82)</f>
        <v>0</v>
      </c>
      <c r="E82" s="16517">
        <f>IFERROR(SUMIFS(Captura_Facturas_Mobil!$G:$G,Captura_Facturas_Mobil!$N:$N,A82,Captura_Facturas_Mobil!$D:$D,B82)/SUMIFS(Captura_Facturas_Mobil!$E:$E,Captura_Facturas_Mobil!$N:$N,A82,Captura_Facturas_Mobil!$D:$D,B82),$F$3)</f>
        <v>27</v>
      </c>
      <c r="F82" s="16518">
        <f t="shared" si="9"/>
        <v>0</v>
      </c>
      <c r="G82" s="16519">
        <f t="shared" si="10"/>
        <v>56664.429999999993</v>
      </c>
      <c r="H82" s="16520" t="str">
        <f t="shared" si="11"/>
        <v>⚠️ Cobro excedió consumo</v>
      </c>
      <c r="I82" s="15173"/>
    </row>
    <row r="83" spans="1:9">
      <c r="A83" s="16521">
        <v>24</v>
      </c>
      <c r="B83" s="16522" t="s">
        <v>166</v>
      </c>
      <c r="C83" s="16523">
        <f>SUMIFS(Estados_Cuenta_Mobil!$F:$F,Estados_Cuenta_Mobil!$C:$C,A83,Estados_Cuenta_Mobil!$D:$D,B83)</f>
        <v>0</v>
      </c>
      <c r="D83" s="16524">
        <f>SUMIFS(Captura_Obra!$F:$F,Captura_Obra!$M:$M,A83,Captura_Obra!$B:$B,B83)</f>
        <v>0</v>
      </c>
      <c r="E83" s="16525">
        <f>IFERROR(SUMIFS(Captura_Facturas_Mobil!$G:$G,Captura_Facturas_Mobil!$N:$N,A83,Captura_Facturas_Mobil!$D:$D,B83)/SUMIFS(Captura_Facturas_Mobil!$E:$E,Captura_Facturas_Mobil!$N:$N,A83,Captura_Facturas_Mobil!$D:$D,B83),$F$3)</f>
        <v>27</v>
      </c>
      <c r="F83" s="16526">
        <f t="shared" si="9"/>
        <v>0</v>
      </c>
      <c r="G83" s="16527" t="str">
        <f t="shared" si="10"/>
        <v/>
      </c>
      <c r="H83" s="16528" t="str">
        <f t="shared" si="11"/>
        <v/>
      </c>
      <c r="I83" s="15174"/>
    </row>
    <row r="84" spans="1:9">
      <c r="A84" s="16529">
        <v>24</v>
      </c>
      <c r="B84" s="16530" t="s">
        <v>1</v>
      </c>
      <c r="C84" s="16531">
        <f>SUMIFS(Estados_Cuenta_Mobil!$F:$F,Estados_Cuenta_Mobil!$C:$C,A84,Estados_Cuenta_Mobil!$D:$D,B84)</f>
        <v>31860.160000000003</v>
      </c>
      <c r="D84" s="16532">
        <f>SUMIFS(Captura_Obra!$F:$F,Captura_Obra!$M:$M,A84,Captura_Obra!$B:$B,B84)</f>
        <v>1285</v>
      </c>
      <c r="E84" s="16533">
        <f>IFERROR(SUMIFS(Captura_Facturas_Mobil!$G:$G,Captura_Facturas_Mobil!$N:$N,A84,Captura_Facturas_Mobil!$D:$D,B84)/SUMIFS(Captura_Facturas_Mobil!$E:$E,Captura_Facturas_Mobil!$N:$N,A84,Captura_Facturas_Mobil!$D:$D,B84),$F$3)</f>
        <v>27</v>
      </c>
      <c r="F84" s="16534">
        <f t="shared" si="9"/>
        <v>34695</v>
      </c>
      <c r="G84" s="16535">
        <f t="shared" si="10"/>
        <v>-2834.8399999999965</v>
      </c>
      <c r="H84" s="16536" t="str">
        <f t="shared" si="11"/>
        <v>🚨 Máquinas quemaron más de lo pagado</v>
      </c>
      <c r="I84" s="15175"/>
    </row>
    <row r="85" spans="1:9">
      <c r="A85" s="16537">
        <v>24</v>
      </c>
      <c r="B85" s="16538" t="s">
        <v>400</v>
      </c>
      <c r="C85" s="16539">
        <f>SUMIFS(Estados_Cuenta_Mobil!$F:$F,Estados_Cuenta_Mobil!$C:$C,A85,Estados_Cuenta_Mobil!$D:$D,"Maquinaria Pegaso")+SUMIFS(Estados_Cuenta_Mobil!$F:$F,Estados_Cuenta_Mobil!$C:$C,A85,Estados_Cuenta_Mobil!$D:$D,"Lerma - Tres Marías")+SUMIFS(Estados_Cuenta_Mobil!$F:$F,Estados_Cuenta_Mobil!$C:$C,A85,Estados_Cuenta_Mobil!$D:$D,"Chamapa-Lechería")+SUMIFS(Estados_Cuenta_Mobil!$F:$F,Estados_Cuenta_Mobil!$C:$C,A85,Estados_Cuenta_Mobil!$D:$D,"Bacheo Toluca")+SUMIFS(Estados_Cuenta_Mobil!$F:$F,Estados_Cuenta_Mobil!$C:$C,A85,Estados_Cuenta_Mobil!$D:$D,"Dragones")+SUMIFS(Estados_Cuenta_Mobil!$F:$F,Estados_Cuenta_Mobil!$C:$C,A85,Estados_Cuenta_Mobil!$D:$D,"Colegio Militar")+SUMIFS(Estados_Cuenta_Mobil!$F:$F,Estados_Cuenta_Mobil!$C:$C,A85,Estados_Cuenta_Mobil!$D:$D,"NO DETECTADA")</f>
        <v>93961.040000000008</v>
      </c>
      <c r="D85" s="16540">
        <f>SUMIFS(Captura_Obra!$F:$F,Captura_Obra!$M:$M,A85,Captura_Obra!$B:$B,"Maquinaria Pegaso")+SUMIFS(Captura_Obra!$F:$F,Captura_Obra!$M:$M,A85,Captura_Obra!$B:$B,"Lerma - Tres Marías")+SUMIFS(Captura_Obra!$F:$F,Captura_Obra!$M:$M,A85,Captura_Obra!$B:$B,"Chamapa-Lechería")+SUMIFS(Captura_Obra!$F:$F,Captura_Obra!$M:$M,A85,Captura_Obra!$B:$B,"Bacheo Toluca")+SUMIFS(Captura_Obra!$F:$F,Captura_Obra!$M:$M,A85,Captura_Obra!$B:$B,"Dragones")+SUMIFS(Captura_Obra!$F:$F,Captura_Obra!$M:$M,A85,Captura_Obra!$B:$B,"Colegio Militar")+SUMIFS(Captura_Obra!$F:$F,Captura_Obra!$M:$M,A85,Captura_Obra!$B:$B,"NO DETECTADA")</f>
        <v>3412</v>
      </c>
      <c r="E85" s="16541">
        <f>IFERROR((SUMIFS(Captura_Facturas_Mobil!$G:$G,Captura_Facturas_Mobil!$N:$N,A85,Captura_Facturas_Mobil!$D:$D,"Maquinaria Pegaso")+SUMIFS(Captura_Facturas_Mobil!$G:$G,Captura_Facturas_Mobil!$N:$N,A85,Captura_Facturas_Mobil!$D:$D,"Lerma - Tres Marías")+SUMIFS(Captura_Facturas_Mobil!$G:$G,Captura_Facturas_Mobil!$N:$N,A85,Captura_Facturas_Mobil!$D:$D,"Chamapa-Lechería")+SUMIFS(Captura_Facturas_Mobil!$G:$G,Captura_Facturas_Mobil!$N:$N,A85,Captura_Facturas_Mobil!$D:$D,"Bacheo Toluca")+SUMIFS(Captura_Facturas_Mobil!$G:$G,Captura_Facturas_Mobil!$N:$N,A85,Captura_Facturas_Mobil!$D:$D,"Dragones")+SUMIFS(Captura_Facturas_Mobil!$G:$G,Captura_Facturas_Mobil!$N:$N,A85,Captura_Facturas_Mobil!$D:$D,"Colegio Militar")+SUMIFS(Captura_Facturas_Mobil!$G:$G,Captura_Facturas_Mobil!$N:$N,A85,Captura_Facturas_Mobil!$D:$D,"NO DETECTADA"))/(SUMIFS(Captura_Facturas_Mobil!$E:$E,Captura_Facturas_Mobil!$N:$N,A85,Captura_Facturas_Mobil!$D:$D,"Maquinaria Pegaso")+SUMIFS(Captura_Facturas_Mobil!$E:$E,Captura_Facturas_Mobil!$N:$N,A85,Captura_Facturas_Mobil!$D:$D,"Lerma - Tres Marías")+SUMIFS(Captura_Facturas_Mobil!$E:$E,Captura_Facturas_Mobil!$N:$N,A85,Captura_Facturas_Mobil!$D:$D,"Chamapa-Lechería")+SUMIFS(Captura_Facturas_Mobil!$E:$E,Captura_Facturas_Mobil!$N:$N,A85,Captura_Facturas_Mobil!$D:$D,"Bacheo Toluca")+SUMIFS(Captura_Facturas_Mobil!$E:$E,Captura_Facturas_Mobil!$N:$N,A85,Captura_Facturas_Mobil!$D:$D,"Dragones")+SUMIFS(Captura_Facturas_Mobil!$E:$E,Captura_Facturas_Mobil!$N:$N,A85,Captura_Facturas_Mobil!$D:$D,"Colegio Militar")+SUMIFS(Captura_Facturas_Mobil!$E:$E,Captura_Facturas_Mobil!$N:$N,A85,Captura_Facturas_Mobil!$D:$D,"NO DETECTADA")),$F$3)</f>
        <v>27</v>
      </c>
      <c r="F85" s="16542">
        <f t="shared" si="9"/>
        <v>92124</v>
      </c>
      <c r="G85" s="16543">
        <f t="shared" si="10"/>
        <v>1837.0400000000081</v>
      </c>
      <c r="H85" s="16544" t="str">
        <f t="shared" si="11"/>
        <v>⚠️ Cobro excedió consumo</v>
      </c>
      <c r="I85" s="15176"/>
    </row>
    <row r="86" spans="1:9">
      <c r="A86" s="16545">
        <v>25</v>
      </c>
      <c r="B86" s="16546" t="s">
        <v>124</v>
      </c>
      <c r="C86" s="16547">
        <f>SUMIFS(Estados_Cuenta_Mobil!$F:$F,Estados_Cuenta_Mobil!$C:$C,A86,Estados_Cuenta_Mobil!$D:$D,B86)</f>
        <v>67500.41</v>
      </c>
      <c r="D86" s="16548">
        <f>SUMIFS(Captura_Obra!$F:$F,Captura_Obra!$M:$M,A86,Captura_Obra!$B:$B,B86)</f>
        <v>1600</v>
      </c>
      <c r="E86" s="16549">
        <f>IFERROR(SUMIFS(Captura_Facturas_Mobil!$G:$G,Captura_Facturas_Mobil!$N:$N,A86,Captura_Facturas_Mobil!$D:$D,B86)/SUMIFS(Captura_Facturas_Mobil!$E:$E,Captura_Facturas_Mobil!$N:$N,A86,Captura_Facturas_Mobil!$D:$D,B86),$F$3)</f>
        <v>26.999991200056321</v>
      </c>
      <c r="F86" s="16550">
        <f t="shared" si="9"/>
        <v>43199.985920090112</v>
      </c>
      <c r="G86" s="16551">
        <f t="shared" si="10"/>
        <v>24300.424079909892</v>
      </c>
      <c r="H86" s="16552" t="str">
        <f t="shared" si="11"/>
        <v>⚠️ Cobro excedió consumo</v>
      </c>
      <c r="I86" s="15177"/>
    </row>
    <row r="87" spans="1:9">
      <c r="A87" s="16553">
        <v>25</v>
      </c>
      <c r="B87" s="16554" t="s">
        <v>166</v>
      </c>
      <c r="C87" s="16555">
        <f>SUMIFS(Estados_Cuenta_Mobil!$F:$F,Estados_Cuenta_Mobil!$C:$C,A87,Estados_Cuenta_Mobil!$D:$D,B87)</f>
        <v>0</v>
      </c>
      <c r="D87" s="16556">
        <f>SUMIFS(Captura_Obra!$F:$F,Captura_Obra!$M:$M,A87,Captura_Obra!$B:$B,B87)</f>
        <v>0</v>
      </c>
      <c r="E87" s="16557">
        <f>IFERROR(SUMIFS(Captura_Facturas_Mobil!$G:$G,Captura_Facturas_Mobil!$N:$N,A87,Captura_Facturas_Mobil!$D:$D,B87)/SUMIFS(Captura_Facturas_Mobil!$E:$E,Captura_Facturas_Mobil!$N:$N,A87,Captura_Facturas_Mobil!$D:$D,B87),$F$3)</f>
        <v>27</v>
      </c>
      <c r="F87" s="16558">
        <f t="shared" si="9"/>
        <v>0</v>
      </c>
      <c r="G87" s="16559" t="str">
        <f t="shared" si="10"/>
        <v/>
      </c>
      <c r="H87" s="16560" t="str">
        <f t="shared" si="11"/>
        <v/>
      </c>
      <c r="I87" s="15178"/>
    </row>
    <row r="88" spans="1:9">
      <c r="A88" s="16561">
        <v>25</v>
      </c>
      <c r="B88" s="16562" t="s">
        <v>1</v>
      </c>
      <c r="C88" s="16563">
        <f>SUMIFS(Estados_Cuenta_Mobil!$F:$F,Estados_Cuenta_Mobil!$C:$C,A88,Estados_Cuenta_Mobil!$D:$D,B88)</f>
        <v>65070.369999999995</v>
      </c>
      <c r="D88" s="16564">
        <f>SUMIFS(Captura_Obra!$F:$F,Captura_Obra!$M:$M,A88,Captura_Obra!$B:$B,B88)</f>
        <v>2185</v>
      </c>
      <c r="E88" s="16565">
        <f>IFERROR(SUMIFS(Captura_Facturas_Mobil!$G:$G,Captura_Facturas_Mobil!$N:$N,A88,Captura_Facturas_Mobil!$D:$D,B88)/SUMIFS(Captura_Facturas_Mobil!$E:$E,Captura_Facturas_Mobil!$N:$N,A88,Captura_Facturas_Mobil!$D:$D,B88),$F$3)</f>
        <v>26.999996680517206</v>
      </c>
      <c r="F88" s="16566">
        <f t="shared" si="9"/>
        <v>58994.992746930096</v>
      </c>
      <c r="G88" s="16567">
        <f t="shared" si="10"/>
        <v>6075.3772530698989</v>
      </c>
      <c r="H88" s="16568" t="str">
        <f t="shared" si="11"/>
        <v>⚠️ Cobro excedió consumo</v>
      </c>
      <c r="I88" s="15179"/>
    </row>
    <row r="89" spans="1:9">
      <c r="A89" s="16569">
        <v>25</v>
      </c>
      <c r="B89" s="16570" t="s">
        <v>400</v>
      </c>
      <c r="C89" s="16571">
        <f>SUMIFS(Estados_Cuenta_Mobil!$F:$F,Estados_Cuenta_Mobil!$C:$C,A89,Estados_Cuenta_Mobil!$D:$D,"Maquinaria Pegaso")+SUMIFS(Estados_Cuenta_Mobil!$F:$F,Estados_Cuenta_Mobil!$C:$C,A89,Estados_Cuenta_Mobil!$D:$D,"Lerma - Tres Marías")+SUMIFS(Estados_Cuenta_Mobil!$F:$F,Estados_Cuenta_Mobil!$C:$C,A89,Estados_Cuenta_Mobil!$D:$D,"Chamapa-Lechería")+SUMIFS(Estados_Cuenta_Mobil!$F:$F,Estados_Cuenta_Mobil!$C:$C,A89,Estados_Cuenta_Mobil!$D:$D,"Bacheo Toluca")+SUMIFS(Estados_Cuenta_Mobil!$F:$F,Estados_Cuenta_Mobil!$C:$C,A89,Estados_Cuenta_Mobil!$D:$D,"Dragones")+SUMIFS(Estados_Cuenta_Mobil!$F:$F,Estados_Cuenta_Mobil!$C:$C,A89,Estados_Cuenta_Mobil!$D:$D,"Colegio Militar")+SUMIFS(Estados_Cuenta_Mobil!$F:$F,Estados_Cuenta_Mobil!$C:$C,A89,Estados_Cuenta_Mobil!$D:$D,"NO DETECTADA")</f>
        <v>111870.06</v>
      </c>
      <c r="D89" s="16572">
        <f>SUMIFS(Captura_Obra!$F:$F,Captura_Obra!$M:$M,A89,Captura_Obra!$B:$B,"Maquinaria Pegaso")+SUMIFS(Captura_Obra!$F:$F,Captura_Obra!$M:$M,A89,Captura_Obra!$B:$B,"Lerma - Tres Marías")+SUMIFS(Captura_Obra!$F:$F,Captura_Obra!$M:$M,A89,Captura_Obra!$B:$B,"Chamapa-Lechería")+SUMIFS(Captura_Obra!$F:$F,Captura_Obra!$M:$M,A89,Captura_Obra!$B:$B,"Bacheo Toluca")+SUMIFS(Captura_Obra!$F:$F,Captura_Obra!$M:$M,A89,Captura_Obra!$B:$B,"Dragones")+SUMIFS(Captura_Obra!$F:$F,Captura_Obra!$M:$M,A89,Captura_Obra!$B:$B,"Colegio Militar")+SUMIFS(Captura_Obra!$F:$F,Captura_Obra!$M:$M,A89,Captura_Obra!$B:$B,"NO DETECTADA")</f>
        <v>3436</v>
      </c>
      <c r="E89" s="16573">
        <f>IFERROR((SUMIFS(Captura_Facturas_Mobil!$G:$G,Captura_Facturas_Mobil!$N:$N,A89,Captura_Facturas_Mobil!$D:$D,"Maquinaria Pegaso")+SUMIFS(Captura_Facturas_Mobil!$G:$G,Captura_Facturas_Mobil!$N:$N,A89,Captura_Facturas_Mobil!$D:$D,"Lerma - Tres Marías")+SUMIFS(Captura_Facturas_Mobil!$G:$G,Captura_Facturas_Mobil!$N:$N,A89,Captura_Facturas_Mobil!$D:$D,"Chamapa-Lechería")+SUMIFS(Captura_Facturas_Mobil!$G:$G,Captura_Facturas_Mobil!$N:$N,A89,Captura_Facturas_Mobil!$D:$D,"Bacheo Toluca")+SUMIFS(Captura_Facturas_Mobil!$G:$G,Captura_Facturas_Mobil!$N:$N,A89,Captura_Facturas_Mobil!$D:$D,"Dragones")+SUMIFS(Captura_Facturas_Mobil!$G:$G,Captura_Facturas_Mobil!$N:$N,A89,Captura_Facturas_Mobil!$D:$D,"Colegio Militar")+SUMIFS(Captura_Facturas_Mobil!$G:$G,Captura_Facturas_Mobil!$N:$N,A89,Captura_Facturas_Mobil!$D:$D,"NO DETECTADA"))/(SUMIFS(Captura_Facturas_Mobil!$E:$E,Captura_Facturas_Mobil!$N:$N,A89,Captura_Facturas_Mobil!$D:$D,"Maquinaria Pegaso")+SUMIFS(Captura_Facturas_Mobil!$E:$E,Captura_Facturas_Mobil!$N:$N,A89,Captura_Facturas_Mobil!$D:$D,"Lerma - Tres Marías")+SUMIFS(Captura_Facturas_Mobil!$E:$E,Captura_Facturas_Mobil!$N:$N,A89,Captura_Facturas_Mobil!$D:$D,"Chamapa-Lechería")+SUMIFS(Captura_Facturas_Mobil!$E:$E,Captura_Facturas_Mobil!$N:$N,A89,Captura_Facturas_Mobil!$D:$D,"Bacheo Toluca")+SUMIFS(Captura_Facturas_Mobil!$E:$E,Captura_Facturas_Mobil!$N:$N,A89,Captura_Facturas_Mobil!$D:$D,"Dragones")+SUMIFS(Captura_Facturas_Mobil!$E:$E,Captura_Facturas_Mobil!$N:$N,A89,Captura_Facturas_Mobil!$D:$D,"Colegio Militar")+SUMIFS(Captura_Facturas_Mobil!$E:$E,Captura_Facturas_Mobil!$N:$N,A89,Captura_Facturas_Mobil!$D:$D,"NO DETECTADA")),$F$3)</f>
        <v>26.879409619204957</v>
      </c>
      <c r="F89" s="16574">
        <f t="shared" si="9"/>
        <v>92357.65145158823</v>
      </c>
      <c r="G89" s="16575">
        <f t="shared" si="10"/>
        <v>19512.408548411768</v>
      </c>
      <c r="H89" s="16576" t="str">
        <f t="shared" si="11"/>
        <v>⚠️ Cobro excedió consumo</v>
      </c>
      <c r="I89" s="15180"/>
    </row>
    <row r="90" spans="1:9">
      <c r="A90" s="16577">
        <v>26</v>
      </c>
      <c r="B90" s="16578" t="s">
        <v>124</v>
      </c>
      <c r="C90" s="16579">
        <f>SUMIFS(Estados_Cuenta_Mobil!$F:$F,Estados_Cuenta_Mobil!$C:$C,A90,Estados_Cuenta_Mobil!$D:$D,B90)</f>
        <v>0</v>
      </c>
      <c r="D90" s="16580">
        <f>SUMIFS(Captura_Obra!$F:$F,Captura_Obra!$M:$M,A90,Captura_Obra!$B:$B,B90)</f>
        <v>1050</v>
      </c>
      <c r="E90" s="16581">
        <f>IFERROR(SUMIFS(Captura_Facturas_Mobil!$G:$G,Captura_Facturas_Mobil!$N:$N,A90,Captura_Facturas_Mobil!$D:$D,B90)/SUMIFS(Captura_Facturas_Mobil!$E:$E,Captura_Facturas_Mobil!$N:$N,A90,Captura_Facturas_Mobil!$D:$D,B90),$F$3)</f>
        <v>44.250249999999994</v>
      </c>
      <c r="F90" s="16582">
        <f t="shared" si="9"/>
        <v>46462.762499999997</v>
      </c>
      <c r="G90" s="16583">
        <f t="shared" si="10"/>
        <v>-46462.762499999997</v>
      </c>
      <c r="H90" s="16584" t="str">
        <f t="shared" si="11"/>
        <v>📦 Consumo de Reserva (Tanque Vaciado)</v>
      </c>
      <c r="I90" s="15181">
        <f t="shared" ref="I90:I117" si="12">IF(D90+G90=0, "", D90 - G90)</f>
        <v>47512.762499999997</v>
      </c>
    </row>
    <row r="91" spans="1:9">
      <c r="A91" s="16585">
        <v>26</v>
      </c>
      <c r="B91" s="16586" t="s">
        <v>166</v>
      </c>
      <c r="C91" s="16587">
        <f>SUMIFS(Estados_Cuenta_Mobil!$F:$F,Estados_Cuenta_Mobil!$C:$C,A91,Estados_Cuenta_Mobil!$D:$D,B91)</f>
        <v>0</v>
      </c>
      <c r="D91" s="16588">
        <f>SUMIFS(Captura_Obra!$F:$F,Captura_Obra!$M:$M,A91,Captura_Obra!$B:$B,B91)</f>
        <v>0</v>
      </c>
      <c r="E91" s="16589">
        <f>IFERROR(SUMIFS(Captura_Facturas_Mobil!$G:$G,Captura_Facturas_Mobil!$N:$N,A91,Captura_Facturas_Mobil!$D:$D,B91)/SUMIFS(Captura_Facturas_Mobil!$E:$E,Captura_Facturas_Mobil!$N:$N,A91,Captura_Facturas_Mobil!$D:$D,B91),$F$3)</f>
        <v>27</v>
      </c>
      <c r="F91" s="16590">
        <f t="shared" si="9"/>
        <v>0</v>
      </c>
      <c r="G91" s="16591" t="str">
        <f t="shared" si="10"/>
        <v/>
      </c>
      <c r="H91" s="16592" t="str">
        <f t="shared" si="11"/>
        <v/>
      </c>
      <c r="I91" s="15182" t="e">
        <f t="shared" si="12"/>
        <v>#VALUE!</v>
      </c>
    </row>
    <row r="92" spans="1:9">
      <c r="A92" s="16593">
        <v>26</v>
      </c>
      <c r="B92" s="16594" t="s">
        <v>1</v>
      </c>
      <c r="C92" s="16595">
        <f>SUMIFS(Estados_Cuenta_Mobil!$F:$F,Estados_Cuenta_Mobil!$C:$C,A92,Estados_Cuenta_Mobil!$D:$D,B92)</f>
        <v>54020.240000000005</v>
      </c>
      <c r="D92" s="16596">
        <f>SUMIFS(Captura_Obra!$F:$F,Captura_Obra!$M:$M,A92,Captura_Obra!$B:$B,B92)</f>
        <v>2488</v>
      </c>
      <c r="E92" s="16597">
        <f>IFERROR(SUMIFS(Captura_Facturas_Mobil!$G:$G,Captura_Facturas_Mobil!$N:$N,A92,Captura_Facturas_Mobil!$D:$D,B92)/SUMIFS(Captura_Facturas_Mobil!$E:$E,Captura_Facturas_Mobil!$N:$N,A92,Captura_Facturas_Mobil!$D:$D,B92),$F$3)</f>
        <v>27.405555113410269</v>
      </c>
      <c r="F92" s="16598">
        <f t="shared" si="9"/>
        <v>68185.021122164748</v>
      </c>
      <c r="G92" s="16599">
        <f t="shared" si="10"/>
        <v>-14164.781122164743</v>
      </c>
      <c r="H92" s="16600" t="str">
        <f t="shared" si="11"/>
        <v>🚨 Máquinas quemaron más de lo pagado</v>
      </c>
      <c r="I92" s="15183">
        <f t="shared" si="12"/>
        <v>16652.781122164743</v>
      </c>
    </row>
    <row r="93" spans="1:9">
      <c r="A93" s="16601">
        <v>26</v>
      </c>
      <c r="B93" s="16602" t="s">
        <v>400</v>
      </c>
      <c r="C93" s="16603">
        <f>SUMIFS(Estados_Cuenta_Mobil!$F:$F,Estados_Cuenta_Mobil!$C:$C,A93,Estados_Cuenta_Mobil!$D:$D,"Maquinaria Pegaso")+SUMIFS(Estados_Cuenta_Mobil!$F:$F,Estados_Cuenta_Mobil!$C:$C,A93,Estados_Cuenta_Mobil!$D:$D,"Lerma - Tres Marías")+SUMIFS(Estados_Cuenta_Mobil!$F:$F,Estados_Cuenta_Mobil!$C:$C,A93,Estados_Cuenta_Mobil!$D:$D,"Chamapa-Lechería")+SUMIFS(Estados_Cuenta_Mobil!$F:$F,Estados_Cuenta_Mobil!$C:$C,A93,Estados_Cuenta_Mobil!$D:$D,"Bacheo Toluca")+SUMIFS(Estados_Cuenta_Mobil!$F:$F,Estados_Cuenta_Mobil!$C:$C,A93,Estados_Cuenta_Mobil!$D:$D,"Dragones")+SUMIFS(Estados_Cuenta_Mobil!$F:$F,Estados_Cuenta_Mobil!$C:$C,A93,Estados_Cuenta_Mobil!$D:$D,"Colegio Militar")+SUMIFS(Estados_Cuenta_Mobil!$F:$F,Estados_Cuenta_Mobil!$C:$C,A93,Estados_Cuenta_Mobil!$D:$D,"NO DETECTADA")</f>
        <v>0</v>
      </c>
      <c r="D93" s="16604">
        <f>SUMIFS(Captura_Obra!$F:$F,Captura_Obra!$M:$M,A93,Captura_Obra!$B:$B,"Maquinaria Pegaso")+SUMIFS(Captura_Obra!$F:$F,Captura_Obra!$M:$M,A93,Captura_Obra!$B:$B,"Lerma - Tres Marías")+SUMIFS(Captura_Obra!$F:$F,Captura_Obra!$M:$M,A93,Captura_Obra!$B:$B,"Chamapa-Lechería")+SUMIFS(Captura_Obra!$F:$F,Captura_Obra!$M:$M,A93,Captura_Obra!$B:$B,"Bacheo Toluca")+SUMIFS(Captura_Obra!$F:$F,Captura_Obra!$M:$M,A93,Captura_Obra!$B:$B,"Dragones")+SUMIFS(Captura_Obra!$F:$F,Captura_Obra!$M:$M,A93,Captura_Obra!$B:$B,"Colegio Militar")+SUMIFS(Captura_Obra!$F:$F,Captura_Obra!$M:$M,A93,Captura_Obra!$B:$B,"NO DETECTADA")</f>
        <v>4779</v>
      </c>
      <c r="E93" s="16605">
        <f>IFERROR((SUMIFS(Captura_Facturas_Mobil!$G:$G,Captura_Facturas_Mobil!$N:$N,A93,Captura_Facturas_Mobil!$D:$D,"Maquinaria Pegaso")+SUMIFS(Captura_Facturas_Mobil!$G:$G,Captura_Facturas_Mobil!$N:$N,A93,Captura_Facturas_Mobil!$D:$D,"Lerma - Tres Marías")+SUMIFS(Captura_Facturas_Mobil!$G:$G,Captura_Facturas_Mobil!$N:$N,A93,Captura_Facturas_Mobil!$D:$D,"Chamapa-Lechería")+SUMIFS(Captura_Facturas_Mobil!$G:$G,Captura_Facturas_Mobil!$N:$N,A93,Captura_Facturas_Mobil!$D:$D,"Bacheo Toluca")+SUMIFS(Captura_Facturas_Mobil!$G:$G,Captura_Facturas_Mobil!$N:$N,A93,Captura_Facturas_Mobil!$D:$D,"Dragones")+SUMIFS(Captura_Facturas_Mobil!$G:$G,Captura_Facturas_Mobil!$N:$N,A93,Captura_Facturas_Mobil!$D:$D,"Colegio Militar")+SUMIFS(Captura_Facturas_Mobil!$G:$G,Captura_Facturas_Mobil!$N:$N,A93,Captura_Facturas_Mobil!$D:$D,"NO DETECTADA"))/(SUMIFS(Captura_Facturas_Mobil!$E:$E,Captura_Facturas_Mobil!$N:$N,A93,Captura_Facturas_Mobil!$D:$D,"Maquinaria Pegaso")+SUMIFS(Captura_Facturas_Mobil!$E:$E,Captura_Facturas_Mobil!$N:$N,A93,Captura_Facturas_Mobil!$D:$D,"Lerma - Tres Marías")+SUMIFS(Captura_Facturas_Mobil!$E:$E,Captura_Facturas_Mobil!$N:$N,A93,Captura_Facturas_Mobil!$D:$D,"Chamapa-Lechería")+SUMIFS(Captura_Facturas_Mobil!$E:$E,Captura_Facturas_Mobil!$N:$N,A93,Captura_Facturas_Mobil!$D:$D,"Bacheo Toluca")+SUMIFS(Captura_Facturas_Mobil!$E:$E,Captura_Facturas_Mobil!$N:$N,A93,Captura_Facturas_Mobil!$D:$D,"Dragones")+SUMIFS(Captura_Facturas_Mobil!$E:$E,Captura_Facturas_Mobil!$N:$N,A93,Captura_Facturas_Mobil!$D:$D,"Colegio Militar")+SUMIFS(Captura_Facturas_Mobil!$E:$E,Captura_Facturas_Mobil!$N:$N,A93,Captura_Facturas_Mobil!$D:$D,"NO DETECTADA")),$F$3)</f>
        <v>27</v>
      </c>
      <c r="F93" s="16606">
        <f t="shared" si="9"/>
        <v>129033</v>
      </c>
      <c r="G93" s="16607">
        <f t="shared" si="10"/>
        <v>-129033</v>
      </c>
      <c r="H93" s="16608" t="str">
        <f t="shared" si="11"/>
        <v>📦 Consumo de Reserva (Tanque Vaciado)</v>
      </c>
      <c r="I93" s="15184">
        <f t="shared" si="12"/>
        <v>133812</v>
      </c>
    </row>
    <row r="94" spans="1:9">
      <c r="A94" s="16609" t="s">
        <v>174</v>
      </c>
      <c r="B94" s="16610" t="s">
        <v>124</v>
      </c>
      <c r="C94" s="16611">
        <f>SUMIFS(Estados_Cuenta_Mobil!$F:$F,Estados_Cuenta_Mobil!$C:$C,A94,Estados_Cuenta_Mobil!$D:$D,B94)</f>
        <v>0</v>
      </c>
      <c r="D94" s="16612">
        <f>SUMIFS(Captura_Obra!$F:$F,Captura_Obra!$M:$M,A94,Captura_Obra!$B:$B,B94)</f>
        <v>0</v>
      </c>
      <c r="E94" s="16615">
        <f>IFERROR(SUMIFS(Captura_Facturas_Mobil!$G:$G,Captura_Facturas_Mobil!$N:$N,A94,Captura_Facturas_Mobil!$D:$D,B94)/SUMIFS(Captura_Facturas_Mobil!$E:$E,Captura_Facturas_Mobil!$N:$N,A94,Captura_Facturas_Mobil!$D:$D,B94),$F$3)</f>
        <v>27</v>
      </c>
      <c r="F94" s="16613">
        <f>SUBTOTAL(9,F70:F93)</f>
        <v>565052.41374077322</v>
      </c>
      <c r="G94" s="16614">
        <f>SUBTOTAL(9,G70:G93)</f>
        <v>264619.27625922684</v>
      </c>
      <c r="H94" s="16616"/>
      <c r="I94" s="15185">
        <f t="shared" si="12"/>
        <v>-264619.27625922684</v>
      </c>
    </row>
    <row r="95" spans="1:9" ht="14.4">
      <c r="A95" s="17913" t="s">
        <v>769</v>
      </c>
      <c r="B95" s="17914" t="s">
        <v>166</v>
      </c>
      <c r="C95" s="17915">
        <f>SUMIFS(Estados_Cuenta_Mobil!$F:$F,Estados_Cuenta_Mobil!$C:$C,A95,Estados_Cuenta_Mobil!$D:$D,B95)</f>
        <v>0</v>
      </c>
      <c r="D95" s="17916">
        <f>SUMIFS(Captura_Obra!$F:$F,Captura_Obra!$M:$M,A95,Captura_Obra!$B:$B,B95)</f>
        <v>0</v>
      </c>
      <c r="E95" s="17917">
        <f>IFERROR(SUMIFS(Captura_Facturas_Mobil!$G:$G,Captura_Facturas_Mobil!$N:$N,A95,Captura_Facturas_Mobil!$D:$D,B95)/SUMIFS(Captura_Facturas_Mobil!$E:$E,Captura_Facturas_Mobil!$N:$N,A95,Captura_Facturas_Mobil!$D:$D,B95),$F$3)</f>
        <v>27</v>
      </c>
      <c r="F95" s="17918">
        <f>IFERROR(D95/C95, IFERROR(SUMIFS(Captura_Facturas_Mobil!$G:$G, Captura_Facturas_Mobil!$N:$N, A95)/SUMIFS(Captura_Facturas_Mobil!$E:$E, Captura_Facturas_Mobil!$N:$N, A95, Captura_Facturas_Mobil!$E:$E,"&gt;"&amp;0), 0))</f>
        <v>0</v>
      </c>
      <c r="G95" s="17919"/>
      <c r="H95" s="17920"/>
      <c r="I95" s="15186" t="str">
        <f t="shared" si="12"/>
        <v/>
      </c>
    </row>
    <row r="96" spans="1:9">
      <c r="A96" s="15187">
        <v>24</v>
      </c>
      <c r="B96" s="15188" t="s">
        <v>478</v>
      </c>
      <c r="C96" s="15189">
        <f>SUMIFS(Captura_Facturas_Mobil!$E:$E, Captura_Facturas_Mobil!$N:$N, A96, Captura_Facturas_Mobil!$D:$D, B96)</f>
        <v>0</v>
      </c>
      <c r="D96" s="15190">
        <f>SUMIFS(Captura_Facturas_Mobil!$G:$G, Captura_Facturas_Mobil!$N:$N, A96, Captura_Facturas_Mobil!$D:$D, B96)</f>
        <v>0</v>
      </c>
      <c r="E96" s="15191">
        <f>SUMIFS(Captura_Obra!$F:$F, Captura_Obra!$M:$M, A96, Captura_Obra!$B:$B, B96)</f>
        <v>0</v>
      </c>
      <c r="F96" s="15192">
        <f>IFERROR(D96/C96, IFERROR(SUMIFS(Captura_Facturas_Mobil!$G:$G, Captura_Facturas_Mobil!$N:$N, A96)/SUMIFS(Captura_Facturas_Mobil!$E:$E, Captura_Facturas_Mobil!$N:$N, A96, Captura_Facturas_Mobil!$E:$E,"&gt;"&amp;0), 0))</f>
        <v>0</v>
      </c>
      <c r="G96" s="15193"/>
      <c r="H96" s="15194"/>
      <c r="I96" s="15195" t="str">
        <f t="shared" si="12"/>
        <v/>
      </c>
    </row>
    <row r="97" spans="1:9">
      <c r="A97" s="15196" t="s">
        <v>779</v>
      </c>
      <c r="B97" s="15197" t="s">
        <v>735</v>
      </c>
      <c r="C97" s="15198">
        <f>SUMIFS(Captura_Facturas_Mobil!$E:$E, Captura_Facturas_Mobil!$N:$N, A97, Captura_Facturas_Mobil!$D:$D, B97)</f>
        <v>0</v>
      </c>
      <c r="D97" s="15199">
        <f>SUMIFS(Captura_Facturas_Mobil!$G:$G, Captura_Facturas_Mobil!$N:$N, A97, Captura_Facturas_Mobil!$D:$D, B97)</f>
        <v>0</v>
      </c>
      <c r="E97" s="15200">
        <f>SUMIFS(Captura_Obra!$F:$F, Captura_Obra!$M:$M, A97, Captura_Obra!$B:$B, B97)</f>
        <v>0</v>
      </c>
      <c r="F97" s="15201">
        <f>IFERROR(D97/C97, IFERROR(SUMIFS(Captura_Facturas_Mobil!$G:$G, Captura_Facturas_Mobil!$N:$N, A97)/SUMIFS(Captura_Facturas_Mobil!$E:$E, Captura_Facturas_Mobil!$N:$N, A97, Captura_Facturas_Mobil!$E:$E,"&gt;"&amp;0), 0))</f>
        <v>0</v>
      </c>
      <c r="G97" s="15202"/>
      <c r="H97" s="15203"/>
      <c r="I97" s="15204" t="str">
        <f t="shared" si="12"/>
        <v/>
      </c>
    </row>
    <row r="98" spans="1:9">
      <c r="A98" s="15205">
        <v>25</v>
      </c>
      <c r="B98" s="15206" t="s">
        <v>1</v>
      </c>
      <c r="C98" s="15207">
        <f>SUMIFS(Captura_Facturas_Mobil!$E:$E, Captura_Facturas_Mobil!$N:$N, A98, Captura_Facturas_Mobil!$D:$D, B98)</f>
        <v>2410.0140000000001</v>
      </c>
      <c r="D98" s="15208">
        <f>SUMIFS(Captura_Facturas_Mobil!$G:$G, Captura_Facturas_Mobil!$N:$N, A98, Captura_Facturas_Mobil!$D:$D, B98)</f>
        <v>65070.369999999995</v>
      </c>
      <c r="E98" s="15209">
        <f>SUMIFS(Captura_Obra!$F:$F, Captura_Obra!$M:$M, A98, Captura_Obra!$B:$B, B98)</f>
        <v>2185</v>
      </c>
      <c r="F98" s="15210">
        <f>IFERROR(D98/C98, IFERROR(SUMIFS(Captura_Facturas_Mobil!$G:$G, Captura_Facturas_Mobil!$N:$N, A98)/SUMIFS(Captura_Facturas_Mobil!$E:$E, Captura_Facturas_Mobil!$N:$N, A98, Captura_Facturas_Mobil!$E:$E,"&gt;"&amp;0), 0))</f>
        <v>26.999996680517206</v>
      </c>
      <c r="G98" s="15211"/>
      <c r="H98" s="15212"/>
      <c r="I98" s="15213">
        <f t="shared" si="12"/>
        <v>65070.369999999995</v>
      </c>
    </row>
    <row r="99" spans="1:9">
      <c r="A99" s="15214">
        <v>25</v>
      </c>
      <c r="B99" s="15215" t="s">
        <v>2</v>
      </c>
      <c r="C99" s="15216">
        <f>SUMIFS(Captura_Facturas_Mobil!$E:$E, Captura_Facturas_Mobil!$N:$N, A99, Captura_Facturas_Mobil!$D:$D, B99)</f>
        <v>0</v>
      </c>
      <c r="D99" s="15217">
        <f>SUMIFS(Captura_Facturas_Mobil!$G:$G, Captura_Facturas_Mobil!$N:$N, A99, Captura_Facturas_Mobil!$D:$D, B99)</f>
        <v>0</v>
      </c>
      <c r="E99" s="15218">
        <f>SUMIFS(Captura_Obra!$F:$F, Captura_Obra!$M:$M, A99, Captura_Obra!$B:$B, B99)</f>
        <v>1437</v>
      </c>
      <c r="F99" s="15219">
        <f>IFERROR(D99/C99, IFERROR(SUMIFS(Captura_Facturas_Mobil!$G:$G, Captura_Facturas_Mobil!$N:$N, A99)/SUMIFS(Captura_Facturas_Mobil!$E:$E, Captura_Facturas_Mobil!$N:$N, A99, Captura_Facturas_Mobil!$E:$E,"&gt;"&amp;0), 0))</f>
        <v>26.979999593171495</v>
      </c>
      <c r="G99" s="15220"/>
      <c r="H99" s="15221"/>
      <c r="I99" s="15222" t="str">
        <f t="shared" si="12"/>
        <v/>
      </c>
    </row>
    <row r="100" spans="1:9">
      <c r="A100" s="15223">
        <v>25</v>
      </c>
      <c r="B100" s="15224" t="s">
        <v>3</v>
      </c>
      <c r="C100" s="15225">
        <f>SUMIFS(Captura_Facturas_Mobil!$E:$E, Captura_Facturas_Mobil!$N:$N, A100, Captura_Facturas_Mobil!$D:$D, B100)</f>
        <v>0</v>
      </c>
      <c r="D100" s="15226">
        <f>SUMIFS(Captura_Facturas_Mobil!$G:$G, Captura_Facturas_Mobil!$N:$N, A100, Captura_Facturas_Mobil!$D:$D, B100)</f>
        <v>0</v>
      </c>
      <c r="E100" s="15227">
        <f>SUMIFS(Captura_Obra!$F:$F, Captura_Obra!$M:$M, A100, Captura_Obra!$B:$B, B100)</f>
        <v>0</v>
      </c>
      <c r="F100" s="15228">
        <f>IFERROR(D100/C100, IFERROR(SUMIFS(Captura_Facturas_Mobil!$G:$G, Captura_Facturas_Mobil!$N:$N, A100)/SUMIFS(Captura_Facturas_Mobil!$E:$E, Captura_Facturas_Mobil!$N:$N, A100, Captura_Facturas_Mobil!$E:$E,"&gt;"&amp;0), 0))</f>
        <v>26.979999593171495</v>
      </c>
      <c r="G100" s="15229"/>
      <c r="H100" s="15230"/>
      <c r="I100" s="15231" t="str">
        <f t="shared" si="12"/>
        <v/>
      </c>
    </row>
    <row r="101" spans="1:9">
      <c r="A101" s="15232">
        <v>25</v>
      </c>
      <c r="B101" s="15233" t="s">
        <v>111</v>
      </c>
      <c r="C101" s="15234">
        <f>SUMIFS(Captura_Facturas_Mobil!$E:$E, Captura_Facturas_Mobil!$N:$N, A101, Captura_Facturas_Mobil!$D:$D, B101)</f>
        <v>0</v>
      </c>
      <c r="D101" s="15235">
        <f>SUMIFS(Captura_Facturas_Mobil!$G:$G, Captura_Facturas_Mobil!$N:$N, A101, Captura_Facturas_Mobil!$D:$D, B101)</f>
        <v>0</v>
      </c>
      <c r="E101" s="15236">
        <f>SUMIFS(Captura_Obra!$F:$F, Captura_Obra!$M:$M, A101, Captura_Obra!$B:$B, B101)</f>
        <v>643</v>
      </c>
      <c r="F101" s="15237">
        <f>IFERROR(D101/C101, IFERROR(SUMIFS(Captura_Facturas_Mobil!$G:$G, Captura_Facturas_Mobil!$N:$N, A101)/SUMIFS(Captura_Facturas_Mobil!$E:$E, Captura_Facturas_Mobil!$N:$N, A101, Captura_Facturas_Mobil!$E:$E,"&gt;"&amp;0), 0))</f>
        <v>26.979999593171495</v>
      </c>
      <c r="G101" s="15238"/>
      <c r="H101" s="15239"/>
      <c r="I101" s="15240" t="str">
        <f t="shared" si="12"/>
        <v/>
      </c>
    </row>
    <row r="102" spans="1:9">
      <c r="A102" s="15241">
        <v>25</v>
      </c>
      <c r="B102" s="15242" t="s">
        <v>115</v>
      </c>
      <c r="C102" s="15243">
        <f>SUMIFS(Captura_Facturas_Mobil!$E:$E, Captura_Facturas_Mobil!$N:$N, A102, Captura_Facturas_Mobil!$D:$D, B102)</f>
        <v>0</v>
      </c>
      <c r="D102" s="15244">
        <f>SUMIFS(Captura_Facturas_Mobil!$G:$G, Captura_Facturas_Mobil!$N:$N, A102, Captura_Facturas_Mobil!$D:$D, B102)</f>
        <v>0</v>
      </c>
      <c r="E102" s="15245">
        <f>SUMIFS(Captura_Obra!$F:$F, Captura_Obra!$M:$M, A102, Captura_Obra!$B:$B, B102)</f>
        <v>0</v>
      </c>
      <c r="F102" s="15246">
        <f>IFERROR(D102/C102, IFERROR(SUMIFS(Captura_Facturas_Mobil!$G:$G, Captura_Facturas_Mobil!$N:$N, A102)/SUMIFS(Captura_Facturas_Mobil!$E:$E, Captura_Facturas_Mobil!$N:$N, A102, Captura_Facturas_Mobil!$E:$E,"&gt;"&amp;0), 0))</f>
        <v>26.979999593171495</v>
      </c>
      <c r="G102" s="15247"/>
      <c r="H102" s="15248"/>
      <c r="I102" s="15249" t="str">
        <f t="shared" si="12"/>
        <v/>
      </c>
    </row>
    <row r="103" spans="1:9">
      <c r="A103" s="15250">
        <v>25</v>
      </c>
      <c r="B103" s="15251" t="s">
        <v>124</v>
      </c>
      <c r="C103" s="15252">
        <f>SUMIFS(Captura_Facturas_Mobil!$E:$E, Captura_Facturas_Mobil!$N:$N, A103, Captura_Facturas_Mobil!$D:$D, B103)</f>
        <v>2500.0160000000001</v>
      </c>
      <c r="D103" s="15253">
        <f>SUMIFS(Captura_Facturas_Mobil!$G:$G, Captura_Facturas_Mobil!$N:$N, A103, Captura_Facturas_Mobil!$D:$D, B103)</f>
        <v>67500.41</v>
      </c>
      <c r="E103" s="15254">
        <f>SUMIFS(Captura_Obra!$F:$F, Captura_Obra!$M:$M, A103, Captura_Obra!$B:$B, B103)</f>
        <v>1600</v>
      </c>
      <c r="F103" s="15255">
        <f>IFERROR(D103/C103, IFERROR(SUMIFS(Captura_Facturas_Mobil!$G:$G, Captura_Facturas_Mobil!$N:$N, A103)/SUMIFS(Captura_Facturas_Mobil!$E:$E, Captura_Facturas_Mobil!$N:$N, A103, Captura_Facturas_Mobil!$E:$E,"&gt;"&amp;0), 0))</f>
        <v>26.999991200056321</v>
      </c>
      <c r="G103" s="15256"/>
      <c r="H103" s="15257"/>
      <c r="I103" s="15258">
        <f t="shared" si="12"/>
        <v>67500.41</v>
      </c>
    </row>
    <row r="104" spans="1:9">
      <c r="A104" s="15259">
        <v>25</v>
      </c>
      <c r="B104" s="15260" t="s">
        <v>159</v>
      </c>
      <c r="C104" s="15261">
        <f>SUMIFS(Captura_Facturas_Mobil!$E:$E, Captura_Facturas_Mobil!$N:$N, A104, Captura_Facturas_Mobil!$D:$D, B104)</f>
        <v>0</v>
      </c>
      <c r="D104" s="15262">
        <f>SUMIFS(Captura_Facturas_Mobil!$G:$G, Captura_Facturas_Mobil!$N:$N, A104, Captura_Facturas_Mobil!$D:$D, B104)</f>
        <v>0</v>
      </c>
      <c r="E104" s="15263">
        <f>SUMIFS(Captura_Obra!$F:$F, Captura_Obra!$M:$M, A104, Captura_Obra!$B:$B, B104)</f>
        <v>40</v>
      </c>
      <c r="F104" s="15264">
        <f>IFERROR(D104/C104, IFERROR(SUMIFS(Captura_Facturas_Mobil!$G:$G, Captura_Facturas_Mobil!$N:$N, A104)/SUMIFS(Captura_Facturas_Mobil!$E:$E, Captura_Facturas_Mobil!$N:$N, A104, Captura_Facturas_Mobil!$E:$E,"&gt;"&amp;0), 0))</f>
        <v>26.979999593171495</v>
      </c>
      <c r="G104" s="15265"/>
      <c r="H104" s="15266"/>
      <c r="I104" s="15267" t="str">
        <f t="shared" si="12"/>
        <v/>
      </c>
    </row>
    <row r="105" spans="1:9">
      <c r="A105" s="15268">
        <v>25</v>
      </c>
      <c r="B105" s="15269" t="s">
        <v>166</v>
      </c>
      <c r="C105" s="15270">
        <f>SUMIFS(Captura_Facturas_Mobil!$E:$E, Captura_Facturas_Mobil!$N:$N, A105, Captura_Facturas_Mobil!$D:$D, B105)</f>
        <v>0</v>
      </c>
      <c r="D105" s="15271">
        <f>SUMIFS(Captura_Facturas_Mobil!$G:$G, Captura_Facturas_Mobil!$N:$N, A105, Captura_Facturas_Mobil!$D:$D, B105)</f>
        <v>0</v>
      </c>
      <c r="E105" s="15272">
        <f>SUMIFS(Captura_Obra!$F:$F, Captura_Obra!$M:$M, A105, Captura_Obra!$B:$B, B105)</f>
        <v>0</v>
      </c>
      <c r="F105" s="15273">
        <f>IFERROR(D105/C105, IFERROR(SUMIFS(Captura_Facturas_Mobil!$G:$G, Captura_Facturas_Mobil!$N:$N, A105)/SUMIFS(Captura_Facturas_Mobil!$E:$E, Captura_Facturas_Mobil!$N:$N, A105, Captura_Facturas_Mobil!$E:$E,"&gt;"&amp;0), 0))</f>
        <v>26.979999593171495</v>
      </c>
      <c r="G105" s="15274"/>
      <c r="H105" s="15275"/>
      <c r="I105" s="15276" t="str">
        <f t="shared" si="12"/>
        <v/>
      </c>
    </row>
    <row r="106" spans="1:9">
      <c r="A106" s="15277">
        <v>25</v>
      </c>
      <c r="B106" s="15278" t="s">
        <v>478</v>
      </c>
      <c r="C106" s="15279">
        <f>SUMIFS(Captura_Facturas_Mobil!$E:$E, Captura_Facturas_Mobil!$N:$N, A106, Captura_Facturas_Mobil!$D:$D, B106)</f>
        <v>0</v>
      </c>
      <c r="D106" s="15280">
        <f>SUMIFS(Captura_Facturas_Mobil!$G:$G, Captura_Facturas_Mobil!$N:$N, A106, Captura_Facturas_Mobil!$D:$D, B106)</f>
        <v>0</v>
      </c>
      <c r="E106" s="15281">
        <f>SUMIFS(Captura_Obra!$F:$F, Captura_Obra!$M:$M, A106, Captura_Obra!$B:$B, B106)</f>
        <v>0</v>
      </c>
      <c r="F106" s="15282">
        <f>IFERROR(D106/C106, IFERROR(SUMIFS(Captura_Facturas_Mobil!$G:$G, Captura_Facturas_Mobil!$N:$N, A106)/SUMIFS(Captura_Facturas_Mobil!$E:$E, Captura_Facturas_Mobil!$N:$N, A106, Captura_Facturas_Mobil!$E:$E,"&gt;"&amp;0), 0))</f>
        <v>26.979999593171495</v>
      </c>
      <c r="G106" s="15283"/>
      <c r="H106" s="15284"/>
      <c r="I106" s="15285" t="str">
        <f t="shared" si="12"/>
        <v/>
      </c>
    </row>
    <row r="107" spans="1:9">
      <c r="A107" s="15286">
        <v>25</v>
      </c>
      <c r="B107" s="15287" t="s">
        <v>735</v>
      </c>
      <c r="C107" s="15288">
        <f>SUMIFS(Captura_Facturas_Mobil!$E:$E, Captura_Facturas_Mobil!$N:$N, A107, Captura_Facturas_Mobil!$D:$D, B107)</f>
        <v>0</v>
      </c>
      <c r="D107" s="15289">
        <f>SUMIFS(Captura_Facturas_Mobil!$G:$G, Captura_Facturas_Mobil!$N:$N, A107, Captura_Facturas_Mobil!$D:$D, B107)</f>
        <v>0</v>
      </c>
      <c r="E107" s="15290">
        <f>SUMIFS(Captura_Obra!$F:$F, Captura_Obra!$M:$M, A107, Captura_Obra!$B:$B, B107)</f>
        <v>0</v>
      </c>
      <c r="F107" s="15291">
        <f>IFERROR(D107/C107, IFERROR(SUMIFS(Captura_Facturas_Mobil!$G:$G, Captura_Facturas_Mobil!$N:$N, A107)/SUMIFS(Captura_Facturas_Mobil!$E:$E, Captura_Facturas_Mobil!$N:$N, A107, Captura_Facturas_Mobil!$E:$E,"&gt;"&amp;0), 0))</f>
        <v>26.979999593171495</v>
      </c>
      <c r="G107" s="15292"/>
      <c r="H107" s="15293"/>
      <c r="I107" s="15294" t="str">
        <f t="shared" si="12"/>
        <v/>
      </c>
    </row>
    <row r="108" spans="1:9">
      <c r="A108" s="15295">
        <v>26</v>
      </c>
      <c r="B108" s="15296" t="s">
        <v>1</v>
      </c>
      <c r="C108" s="15297">
        <f>SUMIFS(Captura_Facturas_Mobil!$E:$E, Captura_Facturas_Mobil!$N:$N, A108, Captura_Facturas_Mobil!$D:$D, B108)</f>
        <v>2513</v>
      </c>
      <c r="D108" s="15298">
        <f>SUMIFS(Captura_Facturas_Mobil!$G:$G, Captura_Facturas_Mobil!$N:$N, A108, Captura_Facturas_Mobil!$D:$D, B108)</f>
        <v>68870.16</v>
      </c>
      <c r="E108" s="15299">
        <f>SUMIFS(Captura_Obra!$F:$F, Captura_Obra!$M:$M, A108, Captura_Obra!$B:$B, B108)</f>
        <v>2488</v>
      </c>
      <c r="F108" s="15300">
        <f>IFERROR(D108/C108, IFERROR(SUMIFS(Captura_Facturas_Mobil!$G:$G, Captura_Facturas_Mobil!$N:$N, A108)/SUMIFS(Captura_Facturas_Mobil!$E:$E, Captura_Facturas_Mobil!$N:$N, A108, Captura_Facturas_Mobil!$E:$E,"&gt;"&amp;0), 0))</f>
        <v>27.405555113410269</v>
      </c>
      <c r="G108" s="15301"/>
      <c r="H108" s="15302"/>
      <c r="I108" s="15303">
        <f t="shared" si="12"/>
        <v>68870.16</v>
      </c>
    </row>
    <row r="109" spans="1:9">
      <c r="A109" s="15304">
        <v>26</v>
      </c>
      <c r="B109" s="15305" t="s">
        <v>2</v>
      </c>
      <c r="C109" s="15306">
        <f>SUMIFS(Captura_Facturas_Mobil!$E:$E, Captura_Facturas_Mobil!$N:$N, A109, Captura_Facturas_Mobil!$D:$D, B109)</f>
        <v>0</v>
      </c>
      <c r="D109" s="15307">
        <f>SUMIFS(Captura_Facturas_Mobil!$G:$G, Captura_Facturas_Mobil!$N:$N, A109, Captura_Facturas_Mobil!$D:$D, B109)</f>
        <v>0</v>
      </c>
      <c r="E109" s="15308">
        <f>SUMIFS(Captura_Obra!$F:$F, Captura_Obra!$M:$M, A109, Captura_Obra!$B:$B, B109)</f>
        <v>1279</v>
      </c>
      <c r="F109" s="15309">
        <f>IFERROR(D109/C109, IFERROR(SUMIFS(Captura_Facturas_Mobil!$G:$G, Captura_Facturas_Mobil!$N:$N, A109)/SUMIFS(Captura_Facturas_Mobil!$E:$E, Captura_Facturas_Mobil!$N:$N, A109, Captura_Facturas_Mobil!$E:$E,"&gt;"&amp;0), 0))</f>
        <v>27.982149264773881</v>
      </c>
      <c r="G109" s="15310"/>
      <c r="H109" s="15311"/>
      <c r="I109" s="15312" t="str">
        <f t="shared" si="12"/>
        <v/>
      </c>
    </row>
    <row r="110" spans="1:9">
      <c r="A110" s="15313">
        <v>26</v>
      </c>
      <c r="B110" s="15314" t="s">
        <v>3</v>
      </c>
      <c r="C110" s="15315">
        <f>SUMIFS(Captura_Facturas_Mobil!$E:$E, Captura_Facturas_Mobil!$N:$N, A110, Captura_Facturas_Mobil!$D:$D, B110)</f>
        <v>0</v>
      </c>
      <c r="D110" s="15316">
        <f>SUMIFS(Captura_Facturas_Mobil!$G:$G, Captura_Facturas_Mobil!$N:$N, A110, Captura_Facturas_Mobil!$D:$D, B110)</f>
        <v>0</v>
      </c>
      <c r="E110" s="15317">
        <f>SUMIFS(Captura_Obra!$F:$F, Captura_Obra!$M:$M, A110, Captura_Obra!$B:$B, B110)</f>
        <v>0</v>
      </c>
      <c r="F110" s="15318">
        <f>IFERROR(D110/C110, IFERROR(SUMIFS(Captura_Facturas_Mobil!$G:$G, Captura_Facturas_Mobil!$N:$N, A110)/SUMIFS(Captura_Facturas_Mobil!$E:$E, Captura_Facturas_Mobil!$N:$N, A110, Captura_Facturas_Mobil!$E:$E,"&gt;"&amp;0), 0))</f>
        <v>27.982149264773881</v>
      </c>
      <c r="G110" s="15319"/>
      <c r="H110" s="15320"/>
      <c r="I110" s="15321" t="str">
        <f t="shared" si="12"/>
        <v/>
      </c>
    </row>
    <row r="111" spans="1:9">
      <c r="A111" s="15322">
        <v>26</v>
      </c>
      <c r="B111" s="15323" t="s">
        <v>111</v>
      </c>
      <c r="C111" s="15324">
        <f>SUMIFS(Captura_Facturas_Mobil!$E:$E, Captura_Facturas_Mobil!$N:$N, A111, Captura_Facturas_Mobil!$D:$D, B111)</f>
        <v>0</v>
      </c>
      <c r="D111" s="15325">
        <f>SUMIFS(Captura_Facturas_Mobil!$G:$G, Captura_Facturas_Mobil!$N:$N, A111, Captura_Facturas_Mobil!$D:$D, B111)</f>
        <v>0</v>
      </c>
      <c r="E111" s="15326">
        <f>SUMIFS(Captura_Obra!$F:$F, Captura_Obra!$M:$M, A111, Captura_Obra!$B:$B, B111)</f>
        <v>1554</v>
      </c>
      <c r="F111" s="15327">
        <f>IFERROR(D111/C111, IFERROR(SUMIFS(Captura_Facturas_Mobil!$G:$G, Captura_Facturas_Mobil!$N:$N, A111)/SUMIFS(Captura_Facturas_Mobil!$E:$E, Captura_Facturas_Mobil!$N:$N, A111, Captura_Facturas_Mobil!$E:$E,"&gt;"&amp;0), 0))</f>
        <v>27.982149264773881</v>
      </c>
      <c r="G111" s="15328"/>
      <c r="H111" s="15329"/>
      <c r="I111" s="15330" t="str">
        <f t="shared" si="12"/>
        <v/>
      </c>
    </row>
    <row r="112" spans="1:9">
      <c r="A112" s="15331">
        <v>26</v>
      </c>
      <c r="B112" s="15332" t="s">
        <v>115</v>
      </c>
      <c r="C112" s="15333">
        <f>SUMIFS(Captura_Facturas_Mobil!$E:$E, Captura_Facturas_Mobil!$N:$N, A112, Captura_Facturas_Mobil!$D:$D, B112)</f>
        <v>0</v>
      </c>
      <c r="D112" s="15334">
        <f>SUMIFS(Captura_Facturas_Mobil!$G:$G, Captura_Facturas_Mobil!$N:$N, A112, Captura_Facturas_Mobil!$D:$D, B112)</f>
        <v>0</v>
      </c>
      <c r="E112" s="15335">
        <f>SUMIFS(Captura_Obra!$F:$F, Captura_Obra!$M:$M, A112, Captura_Obra!$B:$B, B112)</f>
        <v>0</v>
      </c>
      <c r="F112" s="15336">
        <f>IFERROR(D112/C112, IFERROR(SUMIFS(Captura_Facturas_Mobil!$G:$G, Captura_Facturas_Mobil!$N:$N, A112)/SUMIFS(Captura_Facturas_Mobil!$E:$E, Captura_Facturas_Mobil!$N:$N, A112, Captura_Facturas_Mobil!$E:$E,"&gt;"&amp;0), 0))</f>
        <v>27.982149264773881</v>
      </c>
      <c r="G112" s="15337"/>
      <c r="H112" s="15338"/>
      <c r="I112" s="15339" t="str">
        <f t="shared" si="12"/>
        <v/>
      </c>
    </row>
    <row r="113" spans="1:9">
      <c r="A113" s="15340">
        <v>26</v>
      </c>
      <c r="B113" s="15341" t="s">
        <v>124</v>
      </c>
      <c r="C113" s="15342">
        <f>SUMIFS(Captura_Facturas_Mobil!$E:$E, Captura_Facturas_Mobil!$N:$N, A113, Captura_Facturas_Mobil!$D:$D, B113)</f>
        <v>400</v>
      </c>
      <c r="D113" s="15343">
        <f>SUMIFS(Captura_Facturas_Mobil!$G:$G, Captura_Facturas_Mobil!$N:$N, A113, Captura_Facturas_Mobil!$D:$D, B113)</f>
        <v>17700.099999999999</v>
      </c>
      <c r="E113" s="15344">
        <f>SUMIFS(Captura_Obra!$F:$F, Captura_Obra!$M:$M, A113, Captura_Obra!$B:$B, B113)</f>
        <v>1050</v>
      </c>
      <c r="F113" s="15345">
        <f>IFERROR(D113/C113, IFERROR(SUMIFS(Captura_Facturas_Mobil!$G:$G, Captura_Facturas_Mobil!$N:$N, A113)/SUMIFS(Captura_Facturas_Mobil!$E:$E, Captura_Facturas_Mobil!$N:$N, A113, Captura_Facturas_Mobil!$E:$E,"&gt;"&amp;0), 0))</f>
        <v>44.250249999999994</v>
      </c>
      <c r="G113" s="15346"/>
      <c r="H113" s="15347"/>
      <c r="I113" s="15348">
        <f t="shared" si="12"/>
        <v>17700.099999999999</v>
      </c>
    </row>
    <row r="114" spans="1:9">
      <c r="A114" s="15349">
        <v>26</v>
      </c>
      <c r="B114" s="15350" t="s">
        <v>159</v>
      </c>
      <c r="C114" s="15351">
        <f>SUMIFS(Captura_Facturas_Mobil!$E:$E, Captura_Facturas_Mobil!$N:$N, A114, Captura_Facturas_Mobil!$D:$D, B114)</f>
        <v>0</v>
      </c>
      <c r="D114" s="15352">
        <f>SUMIFS(Captura_Facturas_Mobil!$G:$G, Captura_Facturas_Mobil!$N:$N, A114, Captura_Facturas_Mobil!$D:$D, B114)</f>
        <v>0</v>
      </c>
      <c r="E114" s="15353">
        <f>SUMIFS(Captura_Obra!$F:$F, Captura_Obra!$M:$M, A114, Captura_Obra!$B:$B, B114)</f>
        <v>102</v>
      </c>
      <c r="F114" s="15354">
        <f>IFERROR(D114/C114, IFERROR(SUMIFS(Captura_Facturas_Mobil!$G:$G, Captura_Facturas_Mobil!$N:$N, A114)/SUMIFS(Captura_Facturas_Mobil!$E:$E, Captura_Facturas_Mobil!$N:$N, A114, Captura_Facturas_Mobil!$E:$E,"&gt;"&amp;0), 0))</f>
        <v>27.982149264773881</v>
      </c>
      <c r="G114" s="15355"/>
      <c r="H114" s="15356"/>
      <c r="I114" s="15357" t="str">
        <f t="shared" si="12"/>
        <v/>
      </c>
    </row>
    <row r="115" spans="1:9">
      <c r="A115" s="15358">
        <v>26</v>
      </c>
      <c r="B115" s="15359" t="s">
        <v>166</v>
      </c>
      <c r="C115" s="15360">
        <f>SUMIFS(Captura_Facturas_Mobil!$E:$E, Captura_Facturas_Mobil!$N:$N, A115, Captura_Facturas_Mobil!$D:$D, B115)</f>
        <v>0</v>
      </c>
      <c r="D115" s="15361">
        <f>SUMIFS(Captura_Facturas_Mobil!$G:$G, Captura_Facturas_Mobil!$N:$N, A115, Captura_Facturas_Mobil!$D:$D, B115)</f>
        <v>0</v>
      </c>
      <c r="E115" s="15362">
        <f>SUMIFS(Captura_Obra!$F:$F, Captura_Obra!$M:$M, A115, Captura_Obra!$B:$B, B115)</f>
        <v>0</v>
      </c>
      <c r="F115" s="15363">
        <f>IFERROR(D115/C115, IFERROR(SUMIFS(Captura_Facturas_Mobil!$G:$G, Captura_Facturas_Mobil!$N:$N, A115)/SUMIFS(Captura_Facturas_Mobil!$E:$E, Captura_Facturas_Mobil!$N:$N, A115, Captura_Facturas_Mobil!$E:$E,"&gt;"&amp;0), 0))</f>
        <v>27.982149264773881</v>
      </c>
      <c r="G115" s="15364"/>
      <c r="H115" s="15365"/>
      <c r="I115" s="15366" t="str">
        <f t="shared" si="12"/>
        <v/>
      </c>
    </row>
    <row r="116" spans="1:9">
      <c r="A116" s="15367">
        <v>26</v>
      </c>
      <c r="B116" s="15368" t="s">
        <v>478</v>
      </c>
      <c r="C116" s="15369">
        <f>SUMIFS(Captura_Facturas_Mobil!$E:$E, Captura_Facturas_Mobil!$N:$N, A116, Captura_Facturas_Mobil!$D:$D, B116)</f>
        <v>0</v>
      </c>
      <c r="D116" s="15370">
        <f>SUMIFS(Captura_Facturas_Mobil!$G:$G, Captura_Facturas_Mobil!$N:$N, A116, Captura_Facturas_Mobil!$D:$D, B116)</f>
        <v>0</v>
      </c>
      <c r="E116" s="15371">
        <f>SUMIFS(Captura_Obra!$F:$F, Captura_Obra!$M:$M, A116, Captura_Obra!$B:$B, B116)</f>
        <v>0</v>
      </c>
      <c r="F116" s="15372">
        <f>IFERROR(D116/C116, IFERROR(SUMIFS(Captura_Facturas_Mobil!$G:$G, Captura_Facturas_Mobil!$N:$N, A116)/SUMIFS(Captura_Facturas_Mobil!$E:$E, Captura_Facturas_Mobil!$N:$N, A116, Captura_Facturas_Mobil!$E:$E,"&gt;"&amp;0), 0))</f>
        <v>27.982149264773881</v>
      </c>
      <c r="G116" s="15373"/>
      <c r="H116" s="15374"/>
      <c r="I116" s="15375" t="str">
        <f t="shared" si="12"/>
        <v/>
      </c>
    </row>
    <row r="117" spans="1:9">
      <c r="A117" s="15376">
        <v>26</v>
      </c>
      <c r="B117" s="15377" t="s">
        <v>735</v>
      </c>
      <c r="C117" s="15378">
        <f>SUMIFS(Captura_Facturas_Mobil!$E:$E, Captura_Facturas_Mobil!$N:$N, A117, Captura_Facturas_Mobil!$D:$D, B117)</f>
        <v>0</v>
      </c>
      <c r="D117" s="15379">
        <f>SUMIFS(Captura_Facturas_Mobil!$G:$G, Captura_Facturas_Mobil!$N:$N, A117, Captura_Facturas_Mobil!$D:$D, B117)</f>
        <v>0</v>
      </c>
      <c r="E117" s="15380">
        <f>SUMIFS(Captura_Obra!$F:$F, Captura_Obra!$M:$M, A117, Captura_Obra!$B:$B, B117)</f>
        <v>0</v>
      </c>
      <c r="F117" s="15381">
        <f>IFERROR(D117/C117, IFERROR(SUMIFS(Captura_Facturas_Mobil!$G:$G, Captura_Facturas_Mobil!$N:$N, A117)/SUMIFS(Captura_Facturas_Mobil!$E:$E, Captura_Facturas_Mobil!$N:$N, A117, Captura_Facturas_Mobil!$E:$E,"&gt;"&amp;0), 0))</f>
        <v>27.982149264773881</v>
      </c>
      <c r="G117" s="15382"/>
      <c r="H117" s="15383"/>
      <c r="I117" s="15384" t="str">
        <f t="shared" si="12"/>
        <v/>
      </c>
    </row>
    <row r="118" spans="1:9">
      <c r="A118" s="15385" t="s">
        <v>174</v>
      </c>
      <c r="B118" s="15386"/>
      <c r="C118" s="15387">
        <f>SUBTOTAL(9, C58:C117)</f>
        <v>849479.674</v>
      </c>
      <c r="D118" s="15388">
        <f>SUBTOTAL(9, D58:D117)</f>
        <v>649902.44999999995</v>
      </c>
      <c r="E118" s="15389">
        <f>SUBTOTAL(9, E58:E117)</f>
        <v>28635.535202613188</v>
      </c>
      <c r="F118" s="15393"/>
      <c r="G118" s="15390">
        <f>SUBTOTAL(9, G58:G117)</f>
        <v>702825.69000000018</v>
      </c>
      <c r="H118" s="15391">
        <f>SUBTOTAL(9, H58:H117)</f>
        <v>-3553.0459999999989</v>
      </c>
      <c r="I118" s="15392" t="e">
        <f>SUBTOTAL(9, I58:I117)</f>
        <v>#VALUE!</v>
      </c>
    </row>
    <row r="121" spans="1:9">
      <c r="A121" s="17911" t="s">
        <v>736</v>
      </c>
    </row>
    <row r="122" spans="1:9" ht="69">
      <c r="A122" s="15394" t="s">
        <v>460</v>
      </c>
      <c r="B122" s="15395" t="s">
        <v>0</v>
      </c>
      <c r="C122" s="15396" t="s">
        <v>737</v>
      </c>
      <c r="D122" s="15397" t="s">
        <v>764</v>
      </c>
      <c r="E122" s="15398" t="s">
        <v>738</v>
      </c>
      <c r="F122" s="15399" t="s">
        <v>739</v>
      </c>
      <c r="G122" s="15400" t="s">
        <v>740</v>
      </c>
      <c r="H122" s="15401" t="s">
        <v>414</v>
      </c>
    </row>
    <row r="123" spans="1:9">
      <c r="A123" s="15402">
        <v>21</v>
      </c>
      <c r="B123" s="15403" t="s">
        <v>1</v>
      </c>
      <c r="C123" s="15404">
        <f>SUMIFS(Estados_Cuenta_Mobil!$F:$F, Estados_Cuenta_Mobil!$C:$C, A123, Estados_Cuenta_Mobil!$D:$D, B123)</f>
        <v>0</v>
      </c>
      <c r="D123" s="15405">
        <f>SUMIFS(Captura_Obra!$F:$F, Captura_Obra!$M:$M, A123, Captura_Obra!$B:$B, B123)</f>
        <v>0</v>
      </c>
      <c r="E123" s="15406">
        <f>IFERROR(SUMIFS(Captura_Facturas_Mobil!$G:$G, Captura_Facturas_Mobil!$N:$N, A123, Captura_Facturas_Mobil!$D:$D, B123) / SUMIFS(Captura_Facturas_Mobil!$E:$E, Captura_Facturas_Mobil!$N:$N, A123, Captura_Facturas_Mobil!$D:$D, B123), IFERROR(SUMIFS(Captura_Facturas_Mobil!$G:$G, Captura_Facturas_Mobil!$N:$N, A123)/SUMIFS(Captura_Facturas_Mobil!$E:$E, Captura_Facturas_Mobil!$N:$N, A123, Captura_Facturas_Mobil!$E:$E,"&gt;"&amp;0), 27))</f>
        <v>27</v>
      </c>
      <c r="F123" s="15407">
        <f t="shared" ref="F123:F154" si="13">D123 * E123</f>
        <v>0</v>
      </c>
      <c r="G123" s="15408" t="str">
        <f t="shared" ref="G123:G154" si="14">IF(C123+D123=0, "", C123 - F123)</f>
        <v/>
      </c>
      <c r="H123" s="15409" t="str">
        <f t="shared" ref="H123:H154" si="15">IF(C123+D123=0, "", IF(G123&gt;10, "⚠️ Pagamos de MÁS (o se fue a Tanque)", IF(G123&lt;-10, "🚨 Máquinas quemaron MÁS de lo pagado", "✅ Cuadrado")))</f>
        <v/>
      </c>
    </row>
    <row r="124" spans="1:9">
      <c r="A124" s="15410">
        <v>21</v>
      </c>
      <c r="B124" s="15411" t="s">
        <v>2</v>
      </c>
      <c r="C124" s="15412">
        <f>SUMIFS(Estados_Cuenta_Mobil!$F:$F, Estados_Cuenta_Mobil!$C:$C, A124, Estados_Cuenta_Mobil!$D:$D, B124)</f>
        <v>0</v>
      </c>
      <c r="D124" s="15413">
        <f>SUMIFS(Captura_Obra!$F:$F, Captura_Obra!$M:$M, A124, Captura_Obra!$B:$B, B124)</f>
        <v>0</v>
      </c>
      <c r="E124" s="15414">
        <f>IFERROR(SUMIFS(Captura_Facturas_Mobil!$G:$G, Captura_Facturas_Mobil!$N:$N, A124, Captura_Facturas_Mobil!$D:$D, B124) / SUMIFS(Captura_Facturas_Mobil!$E:$E, Captura_Facturas_Mobil!$N:$N, A124, Captura_Facturas_Mobil!$D:$D, B124), IFERROR(SUMIFS(Captura_Facturas_Mobil!$G:$G, Captura_Facturas_Mobil!$N:$N, A124)/SUMIFS(Captura_Facturas_Mobil!$E:$E, Captura_Facturas_Mobil!$N:$N, A124, Captura_Facturas_Mobil!$E:$E,"&gt;"&amp;0), 27))</f>
        <v>27</v>
      </c>
      <c r="F124" s="15415">
        <f t="shared" si="13"/>
        <v>0</v>
      </c>
      <c r="G124" s="15416" t="str">
        <f t="shared" si="14"/>
        <v/>
      </c>
      <c r="H124" s="15417" t="str">
        <f t="shared" si="15"/>
        <v/>
      </c>
    </row>
    <row r="125" spans="1:9">
      <c r="A125" s="15418">
        <v>21</v>
      </c>
      <c r="B125" s="15419" t="s">
        <v>3</v>
      </c>
      <c r="C125" s="15420">
        <f>SUMIFS(Estados_Cuenta_Mobil!$F:$F, Estados_Cuenta_Mobil!$C:$C, A125, Estados_Cuenta_Mobil!$D:$D, B125)</f>
        <v>77494.679999999993</v>
      </c>
      <c r="D125" s="15421">
        <f>SUMIFS(Captura_Obra!$F:$F, Captura_Obra!$M:$M, A125, Captura_Obra!$B:$B, B125)</f>
        <v>0</v>
      </c>
      <c r="E125" s="15422">
        <f>IFERROR(SUMIFS(Captura_Facturas_Mobil!$G:$G, Captura_Facturas_Mobil!$N:$N, A125, Captura_Facturas_Mobil!$D:$D, B125) / SUMIFS(Captura_Facturas_Mobil!$E:$E, Captura_Facturas_Mobil!$N:$N, A125, Captura_Facturas_Mobil!$D:$D, B125), IFERROR(SUMIFS(Captura_Facturas_Mobil!$G:$G, Captura_Facturas_Mobil!$N:$N, A125)/SUMIFS(Captura_Facturas_Mobil!$E:$E, Captura_Facturas_Mobil!$N:$N, A125, Captura_Facturas_Mobil!$E:$E,"&gt;"&amp;0), 27))</f>
        <v>27</v>
      </c>
      <c r="F125" s="15423">
        <f t="shared" si="13"/>
        <v>0</v>
      </c>
      <c r="G125" s="15424">
        <f t="shared" si="14"/>
        <v>77494.679999999993</v>
      </c>
      <c r="H125" s="15425" t="str">
        <f t="shared" si="15"/>
        <v>⚠️ Pagamos de MÁS (o se fue a Tanque)</v>
      </c>
    </row>
    <row r="126" spans="1:9">
      <c r="A126" s="15426">
        <v>21</v>
      </c>
      <c r="B126" s="15427" t="s">
        <v>111</v>
      </c>
      <c r="C126" s="15428">
        <f>SUMIFS(Estados_Cuenta_Mobil!$F:$F, Estados_Cuenta_Mobil!$C:$C, A126, Estados_Cuenta_Mobil!$D:$D, B126)</f>
        <v>0</v>
      </c>
      <c r="D126" s="15429">
        <f>SUMIFS(Captura_Obra!$F:$F, Captura_Obra!$M:$M, A126, Captura_Obra!$B:$B, B126)</f>
        <v>0</v>
      </c>
      <c r="E126" s="15430">
        <f>IFERROR(SUMIFS(Captura_Facturas_Mobil!$G:$G, Captura_Facturas_Mobil!$N:$N, A126, Captura_Facturas_Mobil!$D:$D, B126) / SUMIFS(Captura_Facturas_Mobil!$E:$E, Captura_Facturas_Mobil!$N:$N, A126, Captura_Facturas_Mobil!$D:$D, B126), IFERROR(SUMIFS(Captura_Facturas_Mobil!$G:$G, Captura_Facturas_Mobil!$N:$N, A126)/SUMIFS(Captura_Facturas_Mobil!$E:$E, Captura_Facturas_Mobil!$N:$N, A126, Captura_Facturas_Mobil!$E:$E,"&gt;"&amp;0), 27))</f>
        <v>27</v>
      </c>
      <c r="F126" s="15431">
        <f t="shared" si="13"/>
        <v>0</v>
      </c>
      <c r="G126" s="15432" t="str">
        <f t="shared" si="14"/>
        <v/>
      </c>
      <c r="H126" s="15433" t="str">
        <f t="shared" si="15"/>
        <v/>
      </c>
    </row>
    <row r="127" spans="1:9">
      <c r="A127" s="15434">
        <v>21</v>
      </c>
      <c r="B127" s="15435" t="s">
        <v>115</v>
      </c>
      <c r="C127" s="15436">
        <f>SUMIFS(Estados_Cuenta_Mobil!$F:$F, Estados_Cuenta_Mobil!$C:$C, A127, Estados_Cuenta_Mobil!$D:$D, B127)</f>
        <v>0</v>
      </c>
      <c r="D127" s="15437">
        <f>SUMIFS(Captura_Obra!$F:$F, Captura_Obra!$M:$M, A127, Captura_Obra!$B:$B, B127)</f>
        <v>0</v>
      </c>
      <c r="E127" s="15438">
        <f>IFERROR(SUMIFS(Captura_Facturas_Mobil!$G:$G, Captura_Facturas_Mobil!$N:$N, A127, Captura_Facturas_Mobil!$D:$D, B127) / SUMIFS(Captura_Facturas_Mobil!$E:$E, Captura_Facturas_Mobil!$N:$N, A127, Captura_Facturas_Mobil!$D:$D, B127), IFERROR(SUMIFS(Captura_Facturas_Mobil!$G:$G, Captura_Facturas_Mobil!$N:$N, A127)/SUMIFS(Captura_Facturas_Mobil!$E:$E, Captura_Facturas_Mobil!$N:$N, A127, Captura_Facturas_Mobil!$E:$E,"&gt;"&amp;0), 27))</f>
        <v>27</v>
      </c>
      <c r="F127" s="15439">
        <f t="shared" si="13"/>
        <v>0</v>
      </c>
      <c r="G127" s="15440" t="str">
        <f t="shared" si="14"/>
        <v/>
      </c>
      <c r="H127" s="15441" t="str">
        <f t="shared" si="15"/>
        <v/>
      </c>
    </row>
    <row r="128" spans="1:9">
      <c r="A128" s="15442">
        <v>21</v>
      </c>
      <c r="B128" s="15443" t="s">
        <v>124</v>
      </c>
      <c r="C128" s="15444">
        <f>SUMIFS(Estados_Cuenta_Mobil!$F:$F, Estados_Cuenta_Mobil!$C:$C, A128, Estados_Cuenta_Mobil!$D:$D, B128)</f>
        <v>0</v>
      </c>
      <c r="D128" s="15445">
        <f>SUMIFS(Captura_Obra!$F:$F, Captura_Obra!$M:$M, A128, Captura_Obra!$B:$B, B128)</f>
        <v>0</v>
      </c>
      <c r="E128" s="15446">
        <f>IFERROR(SUMIFS(Captura_Facturas_Mobil!$G:$G, Captura_Facturas_Mobil!$N:$N, A128, Captura_Facturas_Mobil!$D:$D, B128) / SUMIFS(Captura_Facturas_Mobil!$E:$E, Captura_Facturas_Mobil!$N:$N, A128, Captura_Facturas_Mobil!$D:$D, B128), IFERROR(SUMIFS(Captura_Facturas_Mobil!$G:$G, Captura_Facturas_Mobil!$N:$N, A128)/SUMIFS(Captura_Facturas_Mobil!$E:$E, Captura_Facturas_Mobil!$N:$N, A128, Captura_Facturas_Mobil!$E:$E,"&gt;"&amp;0), 27))</f>
        <v>27</v>
      </c>
      <c r="F128" s="15447">
        <f t="shared" si="13"/>
        <v>0</v>
      </c>
      <c r="G128" s="15448" t="str">
        <f t="shared" si="14"/>
        <v/>
      </c>
      <c r="H128" s="15449" t="str">
        <f t="shared" si="15"/>
        <v/>
      </c>
    </row>
    <row r="129" spans="1:8">
      <c r="A129" s="15450">
        <v>21</v>
      </c>
      <c r="B129" s="15451" t="s">
        <v>159</v>
      </c>
      <c r="C129" s="15452">
        <f>SUMIFS(Estados_Cuenta_Mobil!$F:$F, Estados_Cuenta_Mobil!$C:$C, A129, Estados_Cuenta_Mobil!$D:$D, B129)</f>
        <v>0</v>
      </c>
      <c r="D129" s="15453">
        <f>SUMIFS(Captura_Obra!$F:$F, Captura_Obra!$M:$M, A129, Captura_Obra!$B:$B, B129)</f>
        <v>0</v>
      </c>
      <c r="E129" s="15454">
        <f>IFERROR(SUMIFS(Captura_Facturas_Mobil!$G:$G, Captura_Facturas_Mobil!$N:$N, A129, Captura_Facturas_Mobil!$D:$D, B129) / SUMIFS(Captura_Facturas_Mobil!$E:$E, Captura_Facturas_Mobil!$N:$N, A129, Captura_Facturas_Mobil!$D:$D, B129), IFERROR(SUMIFS(Captura_Facturas_Mobil!$G:$G, Captura_Facturas_Mobil!$N:$N, A129)/SUMIFS(Captura_Facturas_Mobil!$E:$E, Captura_Facturas_Mobil!$N:$N, A129, Captura_Facturas_Mobil!$E:$E,"&gt;"&amp;0), 27))</f>
        <v>27</v>
      </c>
      <c r="F129" s="15455">
        <f t="shared" si="13"/>
        <v>0</v>
      </c>
      <c r="G129" s="15456" t="str">
        <f t="shared" si="14"/>
        <v/>
      </c>
      <c r="H129" s="15457" t="str">
        <f t="shared" si="15"/>
        <v/>
      </c>
    </row>
    <row r="130" spans="1:8">
      <c r="A130" s="15458">
        <v>21</v>
      </c>
      <c r="B130" s="15459" t="s">
        <v>166</v>
      </c>
      <c r="C130" s="15460">
        <f>SUMIFS(Estados_Cuenta_Mobil!$F:$F, Estados_Cuenta_Mobil!$C:$C, A130, Estados_Cuenta_Mobil!$D:$D, B130)</f>
        <v>0</v>
      </c>
      <c r="D130" s="15461">
        <f>SUMIFS(Captura_Obra!$F:$F, Captura_Obra!$M:$M, A130, Captura_Obra!$B:$B, B130)</f>
        <v>0</v>
      </c>
      <c r="E130" s="15462">
        <f>IFERROR(SUMIFS(Captura_Facturas_Mobil!$G:$G, Captura_Facturas_Mobil!$N:$N, A130, Captura_Facturas_Mobil!$D:$D, B130) / SUMIFS(Captura_Facturas_Mobil!$E:$E, Captura_Facturas_Mobil!$N:$N, A130, Captura_Facturas_Mobil!$D:$D, B130), IFERROR(SUMIFS(Captura_Facturas_Mobil!$G:$G, Captura_Facturas_Mobil!$N:$N, A130)/SUMIFS(Captura_Facturas_Mobil!$E:$E, Captura_Facturas_Mobil!$N:$N, A130, Captura_Facturas_Mobil!$E:$E,"&gt;"&amp;0), 27))</f>
        <v>27</v>
      </c>
      <c r="F130" s="15463">
        <f t="shared" si="13"/>
        <v>0</v>
      </c>
      <c r="G130" s="15464" t="str">
        <f t="shared" si="14"/>
        <v/>
      </c>
      <c r="H130" s="15465" t="str">
        <f t="shared" si="15"/>
        <v/>
      </c>
    </row>
    <row r="131" spans="1:8">
      <c r="A131" s="15466">
        <v>21</v>
      </c>
      <c r="B131" s="15467" t="s">
        <v>478</v>
      </c>
      <c r="C131" s="15468">
        <f>SUMIFS(Estados_Cuenta_Mobil!$F:$F, Estados_Cuenta_Mobil!$C:$C, A131, Estados_Cuenta_Mobil!$D:$D, B131)</f>
        <v>0</v>
      </c>
      <c r="D131" s="15469">
        <f>SUMIFS(Captura_Obra!$F:$F, Captura_Obra!$M:$M, A131, Captura_Obra!$B:$B, B131)</f>
        <v>0</v>
      </c>
      <c r="E131" s="15470">
        <f>IFERROR(SUMIFS(Captura_Facturas_Mobil!$G:$G, Captura_Facturas_Mobil!$N:$N, A131, Captura_Facturas_Mobil!$D:$D, B131) / SUMIFS(Captura_Facturas_Mobil!$E:$E, Captura_Facturas_Mobil!$N:$N, A131, Captura_Facturas_Mobil!$D:$D, B131), IFERROR(SUMIFS(Captura_Facturas_Mobil!$G:$G, Captura_Facturas_Mobil!$N:$N, A131)/SUMIFS(Captura_Facturas_Mobil!$E:$E, Captura_Facturas_Mobil!$N:$N, A131, Captura_Facturas_Mobil!$E:$E,"&gt;"&amp;0), 27))</f>
        <v>27</v>
      </c>
      <c r="F131" s="15471">
        <f t="shared" si="13"/>
        <v>0</v>
      </c>
      <c r="G131" s="15472" t="str">
        <f t="shared" si="14"/>
        <v/>
      </c>
      <c r="H131" s="15473" t="str">
        <f t="shared" si="15"/>
        <v/>
      </c>
    </row>
    <row r="132" spans="1:8">
      <c r="A132" s="15474">
        <v>21</v>
      </c>
      <c r="B132" s="15475" t="s">
        <v>735</v>
      </c>
      <c r="C132" s="15476">
        <f>SUMIFS(Estados_Cuenta_Mobil!$F:$F, Estados_Cuenta_Mobil!$C:$C, A132, Estados_Cuenta_Mobil!$D:$D, B132)</f>
        <v>0</v>
      </c>
      <c r="D132" s="15477">
        <f>SUMIFS(Captura_Obra!$F:$F, Captura_Obra!$M:$M, A132, Captura_Obra!$B:$B, B132)</f>
        <v>0</v>
      </c>
      <c r="E132" s="15478">
        <f>IFERROR(SUMIFS(Captura_Facturas_Mobil!$G:$G, Captura_Facturas_Mobil!$N:$N, A132, Captura_Facturas_Mobil!$D:$D, B132) / SUMIFS(Captura_Facturas_Mobil!$E:$E, Captura_Facturas_Mobil!$N:$N, A132, Captura_Facturas_Mobil!$D:$D, B132), IFERROR(SUMIFS(Captura_Facturas_Mobil!$G:$G, Captura_Facturas_Mobil!$N:$N, A132)/SUMIFS(Captura_Facturas_Mobil!$E:$E, Captura_Facturas_Mobil!$N:$N, A132, Captura_Facturas_Mobil!$E:$E,"&gt;"&amp;0), 27))</f>
        <v>27</v>
      </c>
      <c r="F132" s="15479">
        <f t="shared" si="13"/>
        <v>0</v>
      </c>
      <c r="G132" s="15480" t="str">
        <f t="shared" si="14"/>
        <v/>
      </c>
      <c r="H132" s="15481" t="str">
        <f t="shared" si="15"/>
        <v/>
      </c>
    </row>
    <row r="133" spans="1:8">
      <c r="A133" s="15482">
        <v>22</v>
      </c>
      <c r="B133" s="15483" t="s">
        <v>1</v>
      </c>
      <c r="C133" s="15484">
        <f>SUMIFS(Estados_Cuenta_Mobil!$F:$F, Estados_Cuenta_Mobil!$C:$C, A133, Estados_Cuenta_Mobil!$D:$D, B133)</f>
        <v>0</v>
      </c>
      <c r="D133" s="15485">
        <f>SUMIFS(Captura_Obra!$F:$F, Captura_Obra!$M:$M, A133, Captura_Obra!$B:$B, B133)</f>
        <v>0</v>
      </c>
      <c r="E133" s="15486">
        <f>IFERROR(SUMIFS(Captura_Facturas_Mobil!$G:$G, Captura_Facturas_Mobil!$N:$N, A133, Captura_Facturas_Mobil!$D:$D, B133) / SUMIFS(Captura_Facturas_Mobil!$E:$E, Captura_Facturas_Mobil!$N:$N, A133, Captura_Facturas_Mobil!$D:$D, B133), IFERROR(SUMIFS(Captura_Facturas_Mobil!$G:$G, Captura_Facturas_Mobil!$N:$N, A133)/SUMIFS(Captura_Facturas_Mobil!$E:$E, Captura_Facturas_Mobil!$N:$N, A133, Captura_Facturas_Mobil!$E:$E,"&gt;"&amp;0), 27))</f>
        <v>27</v>
      </c>
      <c r="F133" s="15487">
        <f t="shared" si="13"/>
        <v>0</v>
      </c>
      <c r="G133" s="15488" t="str">
        <f t="shared" si="14"/>
        <v/>
      </c>
      <c r="H133" s="15489" t="str">
        <f t="shared" si="15"/>
        <v/>
      </c>
    </row>
    <row r="134" spans="1:8">
      <c r="A134" s="15490">
        <v>22</v>
      </c>
      <c r="B134" s="15491" t="s">
        <v>2</v>
      </c>
      <c r="C134" s="15492">
        <f>SUMIFS(Estados_Cuenta_Mobil!$F:$F, Estados_Cuenta_Mobil!$C:$C, A134, Estados_Cuenta_Mobil!$D:$D, B134)</f>
        <v>0</v>
      </c>
      <c r="D134" s="15493">
        <f>SUMIFS(Captura_Obra!$F:$F, Captura_Obra!$M:$M, A134, Captura_Obra!$B:$B, B134)</f>
        <v>0</v>
      </c>
      <c r="E134" s="15494">
        <f>IFERROR(SUMIFS(Captura_Facturas_Mobil!$G:$G, Captura_Facturas_Mobil!$N:$N, A134, Captura_Facturas_Mobil!$D:$D, B134) / SUMIFS(Captura_Facturas_Mobil!$E:$E, Captura_Facturas_Mobil!$N:$N, A134, Captura_Facturas_Mobil!$D:$D, B134), IFERROR(SUMIFS(Captura_Facturas_Mobil!$G:$G, Captura_Facturas_Mobil!$N:$N, A134)/SUMIFS(Captura_Facturas_Mobil!$E:$E, Captura_Facturas_Mobil!$N:$N, A134, Captura_Facturas_Mobil!$E:$E,"&gt;"&amp;0), 27))</f>
        <v>27</v>
      </c>
      <c r="F134" s="15495">
        <f t="shared" si="13"/>
        <v>0</v>
      </c>
      <c r="G134" s="15496" t="str">
        <f t="shared" si="14"/>
        <v/>
      </c>
      <c r="H134" s="15497" t="str">
        <f t="shared" si="15"/>
        <v/>
      </c>
    </row>
    <row r="135" spans="1:8">
      <c r="A135" s="15498">
        <v>22</v>
      </c>
      <c r="B135" s="15499" t="s">
        <v>3</v>
      </c>
      <c r="C135" s="15500">
        <f>SUMIFS(Estados_Cuenta_Mobil!$F:$F, Estados_Cuenta_Mobil!$C:$C, A135, Estados_Cuenta_Mobil!$D:$D, B135)</f>
        <v>49420</v>
      </c>
      <c r="D135" s="15501">
        <f>SUMIFS(Captura_Obra!$F:$F, Captura_Obra!$M:$M, A135, Captura_Obra!$B:$B, B135)</f>
        <v>0</v>
      </c>
      <c r="E135" s="15502">
        <f>IFERROR(SUMIFS(Captura_Facturas_Mobil!$G:$G, Captura_Facturas_Mobil!$N:$N, A135, Captura_Facturas_Mobil!$D:$D, B135) / SUMIFS(Captura_Facturas_Mobil!$E:$E, Captura_Facturas_Mobil!$N:$N, A135, Captura_Facturas_Mobil!$D:$D, B135), IFERROR(SUMIFS(Captura_Facturas_Mobil!$G:$G, Captura_Facturas_Mobil!$N:$N, A135)/SUMIFS(Captura_Facturas_Mobil!$E:$E, Captura_Facturas_Mobil!$N:$N, A135, Captura_Facturas_Mobil!$E:$E,"&gt;"&amp;0), 27))</f>
        <v>27</v>
      </c>
      <c r="F135" s="15503">
        <f t="shared" si="13"/>
        <v>0</v>
      </c>
      <c r="G135" s="15504">
        <f t="shared" si="14"/>
        <v>49420</v>
      </c>
      <c r="H135" s="15505" t="str">
        <f t="shared" si="15"/>
        <v>⚠️ Pagamos de MÁS (o se fue a Tanque)</v>
      </c>
    </row>
    <row r="136" spans="1:8">
      <c r="A136" s="15506">
        <v>22</v>
      </c>
      <c r="B136" s="15507" t="s">
        <v>111</v>
      </c>
      <c r="C136" s="15508">
        <f>SUMIFS(Estados_Cuenta_Mobil!$F:$F, Estados_Cuenta_Mobil!$C:$C, A136, Estados_Cuenta_Mobil!$D:$D, B136)</f>
        <v>0</v>
      </c>
      <c r="D136" s="15509">
        <f>SUMIFS(Captura_Obra!$F:$F, Captura_Obra!$M:$M, A136, Captura_Obra!$B:$B, B136)</f>
        <v>0</v>
      </c>
      <c r="E136" s="15510">
        <f>IFERROR(SUMIFS(Captura_Facturas_Mobil!$G:$G, Captura_Facturas_Mobil!$N:$N, A136, Captura_Facturas_Mobil!$D:$D, B136) / SUMIFS(Captura_Facturas_Mobil!$E:$E, Captura_Facturas_Mobil!$N:$N, A136, Captura_Facturas_Mobil!$D:$D, B136), IFERROR(SUMIFS(Captura_Facturas_Mobil!$G:$G, Captura_Facturas_Mobil!$N:$N, A136)/SUMIFS(Captura_Facturas_Mobil!$E:$E, Captura_Facturas_Mobil!$N:$N, A136, Captura_Facturas_Mobil!$E:$E,"&gt;"&amp;0), 27))</f>
        <v>27</v>
      </c>
      <c r="F136" s="15511">
        <f t="shared" si="13"/>
        <v>0</v>
      </c>
      <c r="G136" s="15512" t="str">
        <f t="shared" si="14"/>
        <v/>
      </c>
      <c r="H136" s="15513" t="str">
        <f t="shared" si="15"/>
        <v/>
      </c>
    </row>
    <row r="137" spans="1:8">
      <c r="A137" s="15514">
        <v>22</v>
      </c>
      <c r="B137" s="15515" t="s">
        <v>115</v>
      </c>
      <c r="C137" s="15516">
        <f>SUMIFS(Estados_Cuenta_Mobil!$F:$F, Estados_Cuenta_Mobil!$C:$C, A137, Estados_Cuenta_Mobil!$D:$D, B137)</f>
        <v>0</v>
      </c>
      <c r="D137" s="15517">
        <f>SUMIFS(Captura_Obra!$F:$F, Captura_Obra!$M:$M, A137, Captura_Obra!$B:$B, B137)</f>
        <v>0</v>
      </c>
      <c r="E137" s="15518">
        <f>IFERROR(SUMIFS(Captura_Facturas_Mobil!$G:$G, Captura_Facturas_Mobil!$N:$N, A137, Captura_Facturas_Mobil!$D:$D, B137) / SUMIFS(Captura_Facturas_Mobil!$E:$E, Captura_Facturas_Mobil!$N:$N, A137, Captura_Facturas_Mobil!$D:$D, B137), IFERROR(SUMIFS(Captura_Facturas_Mobil!$G:$G, Captura_Facturas_Mobil!$N:$N, A137)/SUMIFS(Captura_Facturas_Mobil!$E:$E, Captura_Facturas_Mobil!$N:$N, A137, Captura_Facturas_Mobil!$E:$E,"&gt;"&amp;0), 27))</f>
        <v>27</v>
      </c>
      <c r="F137" s="15519">
        <f t="shared" si="13"/>
        <v>0</v>
      </c>
      <c r="G137" s="15520" t="str">
        <f t="shared" si="14"/>
        <v/>
      </c>
      <c r="H137" s="15521" t="str">
        <f t="shared" si="15"/>
        <v/>
      </c>
    </row>
    <row r="138" spans="1:8">
      <c r="A138" s="15522">
        <v>22</v>
      </c>
      <c r="B138" s="15523" t="s">
        <v>124</v>
      </c>
      <c r="C138" s="15524">
        <f>SUMIFS(Estados_Cuenta_Mobil!$F:$F, Estados_Cuenta_Mobil!$C:$C, A138, Estados_Cuenta_Mobil!$D:$D, B138)</f>
        <v>0</v>
      </c>
      <c r="D138" s="15525">
        <f>SUMIFS(Captura_Obra!$F:$F, Captura_Obra!$M:$M, A138, Captura_Obra!$B:$B, B138)</f>
        <v>0</v>
      </c>
      <c r="E138" s="15526">
        <f>IFERROR(SUMIFS(Captura_Facturas_Mobil!$G:$G, Captura_Facturas_Mobil!$N:$N, A138, Captura_Facturas_Mobil!$D:$D, B138) / SUMIFS(Captura_Facturas_Mobil!$E:$E, Captura_Facturas_Mobil!$N:$N, A138, Captura_Facturas_Mobil!$D:$D, B138), IFERROR(SUMIFS(Captura_Facturas_Mobil!$G:$G, Captura_Facturas_Mobil!$N:$N, A138)/SUMIFS(Captura_Facturas_Mobil!$E:$E, Captura_Facturas_Mobil!$N:$N, A138, Captura_Facturas_Mobil!$E:$E,"&gt;"&amp;0), 27))</f>
        <v>27</v>
      </c>
      <c r="F138" s="15527">
        <f t="shared" si="13"/>
        <v>0</v>
      </c>
      <c r="G138" s="15528" t="str">
        <f t="shared" si="14"/>
        <v/>
      </c>
      <c r="H138" s="15529" t="str">
        <f t="shared" si="15"/>
        <v/>
      </c>
    </row>
    <row r="139" spans="1:8">
      <c r="A139" s="15530">
        <v>22</v>
      </c>
      <c r="B139" s="15531" t="s">
        <v>159</v>
      </c>
      <c r="C139" s="15532">
        <f>SUMIFS(Estados_Cuenta_Mobil!$F:$F, Estados_Cuenta_Mobil!$C:$C, A139, Estados_Cuenta_Mobil!$D:$D, B139)</f>
        <v>0</v>
      </c>
      <c r="D139" s="15533">
        <f>SUMIFS(Captura_Obra!$F:$F, Captura_Obra!$M:$M, A139, Captura_Obra!$B:$B, B139)</f>
        <v>0</v>
      </c>
      <c r="E139" s="15534">
        <f>IFERROR(SUMIFS(Captura_Facturas_Mobil!$G:$G, Captura_Facturas_Mobil!$N:$N, A139, Captura_Facturas_Mobil!$D:$D, B139) / SUMIFS(Captura_Facturas_Mobil!$E:$E, Captura_Facturas_Mobil!$N:$N, A139, Captura_Facturas_Mobil!$D:$D, B139), IFERROR(SUMIFS(Captura_Facturas_Mobil!$G:$G, Captura_Facturas_Mobil!$N:$N, A139)/SUMIFS(Captura_Facturas_Mobil!$E:$E, Captura_Facturas_Mobil!$N:$N, A139, Captura_Facturas_Mobil!$E:$E,"&gt;"&amp;0), 27))</f>
        <v>27</v>
      </c>
      <c r="F139" s="15535">
        <f t="shared" si="13"/>
        <v>0</v>
      </c>
      <c r="G139" s="15536" t="str">
        <f t="shared" si="14"/>
        <v/>
      </c>
      <c r="H139" s="15537" t="str">
        <f t="shared" si="15"/>
        <v/>
      </c>
    </row>
    <row r="140" spans="1:8">
      <c r="A140" s="15538">
        <v>22</v>
      </c>
      <c r="B140" s="15539" t="s">
        <v>166</v>
      </c>
      <c r="C140" s="15540">
        <f>SUMIFS(Estados_Cuenta_Mobil!$F:$F, Estados_Cuenta_Mobil!$C:$C, A140, Estados_Cuenta_Mobil!$D:$D, B140)</f>
        <v>0</v>
      </c>
      <c r="D140" s="15541">
        <f>SUMIFS(Captura_Obra!$F:$F, Captura_Obra!$M:$M, A140, Captura_Obra!$B:$B, B140)</f>
        <v>0</v>
      </c>
      <c r="E140" s="15542">
        <f>IFERROR(SUMIFS(Captura_Facturas_Mobil!$G:$G, Captura_Facturas_Mobil!$N:$N, A140, Captura_Facturas_Mobil!$D:$D, B140) / SUMIFS(Captura_Facturas_Mobil!$E:$E, Captura_Facturas_Mobil!$N:$N, A140, Captura_Facturas_Mobil!$D:$D, B140), IFERROR(SUMIFS(Captura_Facturas_Mobil!$G:$G, Captura_Facturas_Mobil!$N:$N, A140)/SUMIFS(Captura_Facturas_Mobil!$E:$E, Captura_Facturas_Mobil!$N:$N, A140, Captura_Facturas_Mobil!$E:$E,"&gt;"&amp;0), 27))</f>
        <v>27</v>
      </c>
      <c r="F140" s="15543">
        <f t="shared" si="13"/>
        <v>0</v>
      </c>
      <c r="G140" s="15544" t="str">
        <f t="shared" si="14"/>
        <v/>
      </c>
      <c r="H140" s="15545" t="str">
        <f t="shared" si="15"/>
        <v/>
      </c>
    </row>
    <row r="141" spans="1:8">
      <c r="A141" s="15546">
        <v>22</v>
      </c>
      <c r="B141" s="15547" t="s">
        <v>478</v>
      </c>
      <c r="C141" s="15548">
        <f>SUMIFS(Estados_Cuenta_Mobil!$F:$F, Estados_Cuenta_Mobil!$C:$C, A141, Estados_Cuenta_Mobil!$D:$D, B141)</f>
        <v>8100.05</v>
      </c>
      <c r="D141" s="15549">
        <f>SUMIFS(Captura_Obra!$F:$F, Captura_Obra!$M:$M, A141, Captura_Obra!$B:$B, B141)</f>
        <v>0</v>
      </c>
      <c r="E141" s="15550">
        <f>IFERROR(SUMIFS(Captura_Facturas_Mobil!$G:$G, Captura_Facturas_Mobil!$N:$N, A141, Captura_Facturas_Mobil!$D:$D, B141) / SUMIFS(Captura_Facturas_Mobil!$E:$E, Captura_Facturas_Mobil!$N:$N, A141, Captura_Facturas_Mobil!$D:$D, B141), IFERROR(SUMIFS(Captura_Facturas_Mobil!$G:$G, Captura_Facturas_Mobil!$N:$N, A141)/SUMIFS(Captura_Facturas_Mobil!$E:$E, Captura_Facturas_Mobil!$N:$N, A141, Captura_Facturas_Mobil!$E:$E,"&gt;"&amp;0), 27))</f>
        <v>27</v>
      </c>
      <c r="F141" s="15551">
        <f t="shared" si="13"/>
        <v>0</v>
      </c>
      <c r="G141" s="15552">
        <f t="shared" si="14"/>
        <v>8100.05</v>
      </c>
      <c r="H141" s="15553" t="str">
        <f t="shared" si="15"/>
        <v>⚠️ Pagamos de MÁS (o se fue a Tanque)</v>
      </c>
    </row>
    <row r="142" spans="1:8">
      <c r="A142" s="15554">
        <v>22</v>
      </c>
      <c r="B142" s="15555" t="s">
        <v>735</v>
      </c>
      <c r="C142" s="15556">
        <f>SUMIFS(Estados_Cuenta_Mobil!$F:$F, Estados_Cuenta_Mobil!$C:$C, A142, Estados_Cuenta_Mobil!$D:$D, B142)</f>
        <v>0</v>
      </c>
      <c r="D142" s="15557">
        <f>SUMIFS(Captura_Obra!$F:$F, Captura_Obra!$M:$M, A142, Captura_Obra!$B:$B, B142)</f>
        <v>0</v>
      </c>
      <c r="E142" s="15558">
        <f>IFERROR(SUMIFS(Captura_Facturas_Mobil!$G:$G, Captura_Facturas_Mobil!$N:$N, A142, Captura_Facturas_Mobil!$D:$D, B142) / SUMIFS(Captura_Facturas_Mobil!$E:$E, Captura_Facturas_Mobil!$N:$N, A142, Captura_Facturas_Mobil!$D:$D, B142), IFERROR(SUMIFS(Captura_Facturas_Mobil!$G:$G, Captura_Facturas_Mobil!$N:$N, A142)/SUMIFS(Captura_Facturas_Mobil!$E:$E, Captura_Facturas_Mobil!$N:$N, A142, Captura_Facturas_Mobil!$E:$E,"&gt;"&amp;0), 27))</f>
        <v>27</v>
      </c>
      <c r="F142" s="15559">
        <f t="shared" si="13"/>
        <v>0</v>
      </c>
      <c r="G142" s="15560" t="str">
        <f t="shared" si="14"/>
        <v/>
      </c>
      <c r="H142" s="15561" t="str">
        <f t="shared" si="15"/>
        <v/>
      </c>
    </row>
    <row r="143" spans="1:8">
      <c r="A143" s="15562">
        <v>23</v>
      </c>
      <c r="B143" s="15563" t="s">
        <v>1</v>
      </c>
      <c r="C143" s="15564">
        <f>SUMIFS(Estados_Cuenta_Mobil!$F:$F, Estados_Cuenta_Mobil!$C:$C, A143, Estados_Cuenta_Mobil!$D:$D, B143)</f>
        <v>40500.160000000003</v>
      </c>
      <c r="D143" s="15565">
        <f>SUMIFS(Captura_Obra!$F:$F, Captura_Obra!$M:$M, A143, Captura_Obra!$B:$B, B143)</f>
        <v>0</v>
      </c>
      <c r="E143" s="15566">
        <f>IFERROR(SUMIFS(Captura_Facturas_Mobil!$G:$G, Captura_Facturas_Mobil!$N:$N, A143, Captura_Facturas_Mobil!$D:$D, B143) / SUMIFS(Captura_Facturas_Mobil!$E:$E, Captura_Facturas_Mobil!$N:$N, A143, Captura_Facturas_Mobil!$D:$D, B143), IFERROR(SUMIFS(Captura_Facturas_Mobil!$G:$G, Captura_Facturas_Mobil!$N:$N, A143)/SUMIFS(Captura_Facturas_Mobil!$E:$E, Captura_Facturas_Mobil!$N:$N, A143, Captura_Facturas_Mobil!$E:$E,"&gt;"&amp;0), 27))</f>
        <v>27</v>
      </c>
      <c r="F143" s="15567">
        <f t="shared" si="13"/>
        <v>0</v>
      </c>
      <c r="G143" s="15568">
        <f t="shared" si="14"/>
        <v>40500.160000000003</v>
      </c>
      <c r="H143" s="15569" t="str">
        <f t="shared" si="15"/>
        <v>⚠️ Pagamos de MÁS (o se fue a Tanque)</v>
      </c>
    </row>
    <row r="144" spans="1:8">
      <c r="A144" s="15570">
        <v>23</v>
      </c>
      <c r="B144" s="15571" t="s">
        <v>2</v>
      </c>
      <c r="C144" s="15572">
        <f>SUMIFS(Estados_Cuenta_Mobil!$F:$F, Estados_Cuenta_Mobil!$C:$C, A144, Estados_Cuenta_Mobil!$D:$D, B144)</f>
        <v>0</v>
      </c>
      <c r="D144" s="15573">
        <f>SUMIFS(Captura_Obra!$F:$F, Captura_Obra!$M:$M, A144, Captura_Obra!$B:$B, B144)</f>
        <v>0</v>
      </c>
      <c r="E144" s="15574">
        <f>IFERROR(SUMIFS(Captura_Facturas_Mobil!$G:$G, Captura_Facturas_Mobil!$N:$N, A144, Captura_Facturas_Mobil!$D:$D, B144) / SUMIFS(Captura_Facturas_Mobil!$E:$E, Captura_Facturas_Mobil!$N:$N, A144, Captura_Facturas_Mobil!$D:$D, B144), IFERROR(SUMIFS(Captura_Facturas_Mobil!$G:$G, Captura_Facturas_Mobil!$N:$N, A144)/SUMIFS(Captura_Facturas_Mobil!$E:$E, Captura_Facturas_Mobil!$N:$N, A144, Captura_Facturas_Mobil!$E:$E,"&gt;"&amp;0), 27))</f>
        <v>27</v>
      </c>
      <c r="F144" s="15575">
        <f t="shared" si="13"/>
        <v>0</v>
      </c>
      <c r="G144" s="15576" t="str">
        <f t="shared" si="14"/>
        <v/>
      </c>
      <c r="H144" s="15577" t="str">
        <f t="shared" si="15"/>
        <v/>
      </c>
    </row>
    <row r="145" spans="1:8">
      <c r="A145" s="15578">
        <v>23</v>
      </c>
      <c r="B145" s="15579" t="s">
        <v>3</v>
      </c>
      <c r="C145" s="15580">
        <f>SUMIFS(Estados_Cuenta_Mobil!$F:$F, Estados_Cuenta_Mobil!$C:$C, A145, Estados_Cuenta_Mobil!$D:$D, B145)</f>
        <v>79515.31</v>
      </c>
      <c r="D145" s="15581">
        <f>SUMIFS(Captura_Obra!$F:$F, Captura_Obra!$M:$M, A145, Captura_Obra!$B:$B, B145)</f>
        <v>0</v>
      </c>
      <c r="E145" s="15582">
        <f>IFERROR(SUMIFS(Captura_Facturas_Mobil!$G:$G, Captura_Facturas_Mobil!$N:$N, A145, Captura_Facturas_Mobil!$D:$D, B145) / SUMIFS(Captura_Facturas_Mobil!$E:$E, Captura_Facturas_Mobil!$N:$N, A145, Captura_Facturas_Mobil!$D:$D, B145), IFERROR(SUMIFS(Captura_Facturas_Mobil!$G:$G, Captura_Facturas_Mobil!$N:$N, A145)/SUMIFS(Captura_Facturas_Mobil!$E:$E, Captura_Facturas_Mobil!$N:$N, A145, Captura_Facturas_Mobil!$E:$E,"&gt;"&amp;0), 27))</f>
        <v>27</v>
      </c>
      <c r="F145" s="15583">
        <f t="shared" si="13"/>
        <v>0</v>
      </c>
      <c r="G145" s="15584">
        <f t="shared" si="14"/>
        <v>79515.31</v>
      </c>
      <c r="H145" s="15585" t="str">
        <f t="shared" si="15"/>
        <v>⚠️ Pagamos de MÁS (o se fue a Tanque)</v>
      </c>
    </row>
    <row r="146" spans="1:8">
      <c r="A146" s="15586">
        <v>23</v>
      </c>
      <c r="B146" s="15587" t="s">
        <v>111</v>
      </c>
      <c r="C146" s="15588">
        <f>SUMIFS(Estados_Cuenta_Mobil!$F:$F, Estados_Cuenta_Mobil!$C:$C, A146, Estados_Cuenta_Mobil!$D:$D, B146)</f>
        <v>0</v>
      </c>
      <c r="D146" s="15589">
        <f>SUMIFS(Captura_Obra!$F:$F, Captura_Obra!$M:$M, A146, Captura_Obra!$B:$B, B146)</f>
        <v>0</v>
      </c>
      <c r="E146" s="15590">
        <f>IFERROR(SUMIFS(Captura_Facturas_Mobil!$G:$G, Captura_Facturas_Mobil!$N:$N, A146, Captura_Facturas_Mobil!$D:$D, B146) / SUMIFS(Captura_Facturas_Mobil!$E:$E, Captura_Facturas_Mobil!$N:$N, A146, Captura_Facturas_Mobil!$D:$D, B146), IFERROR(SUMIFS(Captura_Facturas_Mobil!$G:$G, Captura_Facturas_Mobil!$N:$N, A146)/SUMIFS(Captura_Facturas_Mobil!$E:$E, Captura_Facturas_Mobil!$N:$N, A146, Captura_Facturas_Mobil!$E:$E,"&gt;"&amp;0), 27))</f>
        <v>27</v>
      </c>
      <c r="F146" s="15591">
        <f t="shared" si="13"/>
        <v>0</v>
      </c>
      <c r="G146" s="15592" t="str">
        <f t="shared" si="14"/>
        <v/>
      </c>
      <c r="H146" s="15593" t="str">
        <f t="shared" si="15"/>
        <v/>
      </c>
    </row>
    <row r="147" spans="1:8">
      <c r="A147" s="15594">
        <v>23</v>
      </c>
      <c r="B147" s="15595" t="s">
        <v>115</v>
      </c>
      <c r="C147" s="15596">
        <f>SUMIFS(Estados_Cuenta_Mobil!$F:$F, Estados_Cuenta_Mobil!$C:$C, A147, Estados_Cuenta_Mobil!$D:$D, B147)</f>
        <v>0</v>
      </c>
      <c r="D147" s="15597">
        <f>SUMIFS(Captura_Obra!$F:$F, Captura_Obra!$M:$M, A147, Captura_Obra!$B:$B, B147)</f>
        <v>0</v>
      </c>
      <c r="E147" s="15598">
        <f>IFERROR(SUMIFS(Captura_Facturas_Mobil!$G:$G, Captura_Facturas_Mobil!$N:$N, A147, Captura_Facturas_Mobil!$D:$D, B147) / SUMIFS(Captura_Facturas_Mobil!$E:$E, Captura_Facturas_Mobil!$N:$N, A147, Captura_Facturas_Mobil!$D:$D, B147), IFERROR(SUMIFS(Captura_Facturas_Mobil!$G:$G, Captura_Facturas_Mobil!$N:$N, A147)/SUMIFS(Captura_Facturas_Mobil!$E:$E, Captura_Facturas_Mobil!$N:$N, A147, Captura_Facturas_Mobil!$E:$E,"&gt;"&amp;0), 27))</f>
        <v>27</v>
      </c>
      <c r="F147" s="15599">
        <f t="shared" si="13"/>
        <v>0</v>
      </c>
      <c r="G147" s="15600" t="str">
        <f t="shared" si="14"/>
        <v/>
      </c>
      <c r="H147" s="15601" t="str">
        <f t="shared" si="15"/>
        <v/>
      </c>
    </row>
    <row r="148" spans="1:8">
      <c r="A148" s="15602">
        <v>23</v>
      </c>
      <c r="B148" s="15603" t="s">
        <v>124</v>
      </c>
      <c r="C148" s="15604">
        <f>SUMIFS(Estados_Cuenta_Mobil!$F:$F, Estados_Cuenta_Mobil!$C:$C, A148, Estados_Cuenta_Mobil!$D:$D, B148)</f>
        <v>16200.1</v>
      </c>
      <c r="D148" s="15605">
        <f>SUMIFS(Captura_Obra!$F:$F, Captura_Obra!$M:$M, A148, Captura_Obra!$B:$B, B148)</f>
        <v>0</v>
      </c>
      <c r="E148" s="15606">
        <f>IFERROR(SUMIFS(Captura_Facturas_Mobil!$G:$G, Captura_Facturas_Mobil!$N:$N, A148, Captura_Facturas_Mobil!$D:$D, B148) / SUMIFS(Captura_Facturas_Mobil!$E:$E, Captura_Facturas_Mobil!$N:$N, A148, Captura_Facturas_Mobil!$D:$D, B148), IFERROR(SUMIFS(Captura_Facturas_Mobil!$G:$G, Captura_Facturas_Mobil!$N:$N, A148)/SUMIFS(Captura_Facturas_Mobil!$E:$E, Captura_Facturas_Mobil!$N:$N, A148, Captura_Facturas_Mobil!$E:$E,"&gt;"&amp;0), 27))</f>
        <v>27</v>
      </c>
      <c r="F148" s="15607">
        <f t="shared" si="13"/>
        <v>0</v>
      </c>
      <c r="G148" s="15608">
        <f t="shared" si="14"/>
        <v>16200.1</v>
      </c>
      <c r="H148" s="15609" t="str">
        <f t="shared" si="15"/>
        <v>⚠️ Pagamos de MÁS (o se fue a Tanque)</v>
      </c>
    </row>
    <row r="149" spans="1:8">
      <c r="A149" s="15610">
        <v>23</v>
      </c>
      <c r="B149" s="15611" t="s">
        <v>159</v>
      </c>
      <c r="C149" s="15612">
        <f>SUMIFS(Estados_Cuenta_Mobil!$F:$F, Estados_Cuenta_Mobil!$C:$C, A149, Estados_Cuenta_Mobil!$D:$D, B149)</f>
        <v>0</v>
      </c>
      <c r="D149" s="15613">
        <f>SUMIFS(Captura_Obra!$F:$F, Captura_Obra!$M:$M, A149, Captura_Obra!$B:$B, B149)</f>
        <v>0</v>
      </c>
      <c r="E149" s="15614">
        <f>IFERROR(SUMIFS(Captura_Facturas_Mobil!$G:$G, Captura_Facturas_Mobil!$N:$N, A149, Captura_Facturas_Mobil!$D:$D, B149) / SUMIFS(Captura_Facturas_Mobil!$E:$E, Captura_Facturas_Mobil!$N:$N, A149, Captura_Facturas_Mobil!$D:$D, B149), IFERROR(SUMIFS(Captura_Facturas_Mobil!$G:$G, Captura_Facturas_Mobil!$N:$N, A149)/SUMIFS(Captura_Facturas_Mobil!$E:$E, Captura_Facturas_Mobil!$N:$N, A149, Captura_Facturas_Mobil!$E:$E,"&gt;"&amp;0), 27))</f>
        <v>27</v>
      </c>
      <c r="F149" s="15615">
        <f t="shared" si="13"/>
        <v>0</v>
      </c>
      <c r="G149" s="15616" t="str">
        <f t="shared" si="14"/>
        <v/>
      </c>
      <c r="H149" s="15617" t="str">
        <f t="shared" si="15"/>
        <v/>
      </c>
    </row>
    <row r="150" spans="1:8">
      <c r="A150" s="15618">
        <v>23</v>
      </c>
      <c r="B150" s="15619" t="s">
        <v>166</v>
      </c>
      <c r="C150" s="15620">
        <f>SUMIFS(Estados_Cuenta_Mobil!$F:$F, Estados_Cuenta_Mobil!$C:$C, A150, Estados_Cuenta_Mobil!$D:$D, B150)</f>
        <v>0</v>
      </c>
      <c r="D150" s="15621">
        <f>SUMIFS(Captura_Obra!$F:$F, Captura_Obra!$M:$M, A150, Captura_Obra!$B:$B, B150)</f>
        <v>0</v>
      </c>
      <c r="E150" s="15622">
        <f>IFERROR(SUMIFS(Captura_Facturas_Mobil!$G:$G, Captura_Facturas_Mobil!$N:$N, A150, Captura_Facturas_Mobil!$D:$D, B150) / SUMIFS(Captura_Facturas_Mobil!$E:$E, Captura_Facturas_Mobil!$N:$N, A150, Captura_Facturas_Mobil!$D:$D, B150), IFERROR(SUMIFS(Captura_Facturas_Mobil!$G:$G, Captura_Facturas_Mobil!$N:$N, A150)/SUMIFS(Captura_Facturas_Mobil!$E:$E, Captura_Facturas_Mobil!$N:$N, A150, Captura_Facturas_Mobil!$E:$E,"&gt;"&amp;0), 27))</f>
        <v>27</v>
      </c>
      <c r="F150" s="15623">
        <f t="shared" si="13"/>
        <v>0</v>
      </c>
      <c r="G150" s="15624" t="str">
        <f t="shared" si="14"/>
        <v/>
      </c>
      <c r="H150" s="15625" t="str">
        <f t="shared" si="15"/>
        <v/>
      </c>
    </row>
    <row r="151" spans="1:8">
      <c r="A151" s="15626">
        <v>23</v>
      </c>
      <c r="B151" s="15627" t="s">
        <v>478</v>
      </c>
      <c r="C151" s="15628">
        <f>SUMIFS(Estados_Cuenta_Mobil!$F:$F, Estados_Cuenta_Mobil!$C:$C, A151, Estados_Cuenta_Mobil!$D:$D, B151)</f>
        <v>0</v>
      </c>
      <c r="D151" s="15629">
        <f>SUMIFS(Captura_Obra!$F:$F, Captura_Obra!$M:$M, A151, Captura_Obra!$B:$B, B151)</f>
        <v>0</v>
      </c>
      <c r="E151" s="15630">
        <f>IFERROR(SUMIFS(Captura_Facturas_Mobil!$G:$G, Captura_Facturas_Mobil!$N:$N, A151, Captura_Facturas_Mobil!$D:$D, B151) / SUMIFS(Captura_Facturas_Mobil!$E:$E, Captura_Facturas_Mobil!$N:$N, A151, Captura_Facturas_Mobil!$D:$D, B151), IFERROR(SUMIFS(Captura_Facturas_Mobil!$G:$G, Captura_Facturas_Mobil!$N:$N, A151)/SUMIFS(Captura_Facturas_Mobil!$E:$E, Captura_Facturas_Mobil!$N:$N, A151, Captura_Facturas_Mobil!$E:$E,"&gt;"&amp;0), 27))</f>
        <v>27</v>
      </c>
      <c r="F151" s="15631">
        <f t="shared" si="13"/>
        <v>0</v>
      </c>
      <c r="G151" s="15632" t="str">
        <f t="shared" si="14"/>
        <v/>
      </c>
      <c r="H151" s="15633" t="str">
        <f t="shared" si="15"/>
        <v/>
      </c>
    </row>
    <row r="152" spans="1:8">
      <c r="A152" s="15634">
        <v>23</v>
      </c>
      <c r="B152" s="15635" t="s">
        <v>735</v>
      </c>
      <c r="C152" s="15636">
        <f>SUMIFS(Estados_Cuenta_Mobil!$F:$F, Estados_Cuenta_Mobil!$C:$C, A152, Estados_Cuenta_Mobil!$D:$D, B152)</f>
        <v>0</v>
      </c>
      <c r="D152" s="15637">
        <f>SUMIFS(Captura_Obra!$F:$F, Captura_Obra!$M:$M, A152, Captura_Obra!$B:$B, B152)</f>
        <v>0</v>
      </c>
      <c r="E152" s="15638">
        <f>IFERROR(SUMIFS(Captura_Facturas_Mobil!$G:$G, Captura_Facturas_Mobil!$N:$N, A152, Captura_Facturas_Mobil!$D:$D, B152) / SUMIFS(Captura_Facturas_Mobil!$E:$E, Captura_Facturas_Mobil!$N:$N, A152, Captura_Facturas_Mobil!$D:$D, B152), IFERROR(SUMIFS(Captura_Facturas_Mobil!$G:$G, Captura_Facturas_Mobil!$N:$N, A152)/SUMIFS(Captura_Facturas_Mobil!$E:$E, Captura_Facturas_Mobil!$N:$N, A152, Captura_Facturas_Mobil!$E:$E,"&gt;"&amp;0), 27))</f>
        <v>27</v>
      </c>
      <c r="F152" s="15639">
        <f t="shared" si="13"/>
        <v>0</v>
      </c>
      <c r="G152" s="15640" t="str">
        <f t="shared" si="14"/>
        <v/>
      </c>
      <c r="H152" s="15641" t="str">
        <f t="shared" si="15"/>
        <v/>
      </c>
    </row>
    <row r="153" spans="1:8">
      <c r="A153" s="15642">
        <v>24</v>
      </c>
      <c r="B153" s="15643" t="s">
        <v>1</v>
      </c>
      <c r="C153" s="15644">
        <f>SUMIFS(Estados_Cuenta_Mobil!$F:$F, Estados_Cuenta_Mobil!$C:$C, A153, Estados_Cuenta_Mobil!$D:$D, B153)</f>
        <v>31860.160000000003</v>
      </c>
      <c r="D153" s="15645">
        <f>SUMIFS(Captura_Obra!$F:$F, Captura_Obra!$M:$M, A153, Captura_Obra!$B:$B, B153)</f>
        <v>1285</v>
      </c>
      <c r="E153" s="15646">
        <f>IFERROR(SUMIFS(Captura_Facturas_Mobil!$G:$G, Captura_Facturas_Mobil!$N:$N, A153, Captura_Facturas_Mobil!$D:$D, B153) / SUMIFS(Captura_Facturas_Mobil!$E:$E, Captura_Facturas_Mobil!$N:$N, A153, Captura_Facturas_Mobil!$D:$D, B153), IFERROR(SUMIFS(Captura_Facturas_Mobil!$G:$G, Captura_Facturas_Mobil!$N:$N, A153)/SUMIFS(Captura_Facturas_Mobil!$E:$E, Captura_Facturas_Mobil!$N:$N, A153, Captura_Facturas_Mobil!$E:$E,"&gt;"&amp;0), 27))</f>
        <v>27</v>
      </c>
      <c r="F153" s="15647">
        <f t="shared" si="13"/>
        <v>34695</v>
      </c>
      <c r="G153" s="15648">
        <f t="shared" si="14"/>
        <v>-2834.8399999999965</v>
      </c>
      <c r="H153" s="15649" t="str">
        <f t="shared" si="15"/>
        <v>🚨 Máquinas quemaron MÁS de lo pagado</v>
      </c>
    </row>
    <row r="154" spans="1:8">
      <c r="A154" s="15650">
        <v>24</v>
      </c>
      <c r="B154" s="15651" t="s">
        <v>2</v>
      </c>
      <c r="C154" s="15652">
        <f>SUMIFS(Estados_Cuenta_Mobil!$F:$F, Estados_Cuenta_Mobil!$C:$C, A154, Estados_Cuenta_Mobil!$D:$D, B154)</f>
        <v>0</v>
      </c>
      <c r="D154" s="15653">
        <f>SUMIFS(Captura_Obra!$F:$F, Captura_Obra!$M:$M, A154, Captura_Obra!$B:$B, B154)</f>
        <v>872</v>
      </c>
      <c r="E154" s="15654">
        <f>IFERROR(SUMIFS(Captura_Facturas_Mobil!$G:$G, Captura_Facturas_Mobil!$N:$N, A154, Captura_Facturas_Mobil!$D:$D, B154) / SUMIFS(Captura_Facturas_Mobil!$E:$E, Captura_Facturas_Mobil!$N:$N, A154, Captura_Facturas_Mobil!$D:$D, B154), IFERROR(SUMIFS(Captura_Facturas_Mobil!$G:$G, Captura_Facturas_Mobil!$N:$N, A154)/SUMIFS(Captura_Facturas_Mobil!$E:$E, Captura_Facturas_Mobil!$N:$N, A154, Captura_Facturas_Mobil!$E:$E,"&gt;"&amp;0), 27))</f>
        <v>27</v>
      </c>
      <c r="F154" s="15655">
        <f t="shared" si="13"/>
        <v>23544</v>
      </c>
      <c r="G154" s="15656">
        <f t="shared" si="14"/>
        <v>-23544</v>
      </c>
      <c r="H154" s="15657" t="str">
        <f t="shared" si="15"/>
        <v>🚨 Máquinas quemaron MÁS de lo pagado</v>
      </c>
    </row>
    <row r="155" spans="1:8">
      <c r="A155" s="15658">
        <v>24</v>
      </c>
      <c r="B155" s="15659" t="s">
        <v>3</v>
      </c>
      <c r="C155" s="15660">
        <f>SUMIFS(Estados_Cuenta_Mobil!$F:$F, Estados_Cuenta_Mobil!$C:$C, A155, Estados_Cuenta_Mobil!$D:$D, B155)</f>
        <v>18360.830000000002</v>
      </c>
      <c r="D155" s="15661">
        <f>SUMIFS(Captura_Obra!$F:$F, Captura_Obra!$M:$M, A155, Captura_Obra!$B:$B, B155)</f>
        <v>1693</v>
      </c>
      <c r="E155" s="15662">
        <f>IFERROR(SUMIFS(Captura_Facturas_Mobil!$G:$G, Captura_Facturas_Mobil!$N:$N, A155, Captura_Facturas_Mobil!$D:$D, B155) / SUMIFS(Captura_Facturas_Mobil!$E:$E, Captura_Facturas_Mobil!$N:$N, A155, Captura_Facturas_Mobil!$D:$D, B155), IFERROR(SUMIFS(Captura_Facturas_Mobil!$G:$G, Captura_Facturas_Mobil!$N:$N, A155)/SUMIFS(Captura_Facturas_Mobil!$E:$E, Captura_Facturas_Mobil!$N:$N, A155, Captura_Facturas_Mobil!$E:$E,"&gt;"&amp;0), 27))</f>
        <v>27</v>
      </c>
      <c r="F155" s="15663">
        <f t="shared" ref="F155:F182" si="16">D155 * E155</f>
        <v>45711</v>
      </c>
      <c r="G155" s="15664">
        <f t="shared" ref="G155:G182" si="17">IF(C155+D155=0, "", C155 - F155)</f>
        <v>-27350.17</v>
      </c>
      <c r="H155" s="15665" t="str">
        <f t="shared" ref="H155:H182" si="18">IF(C155+D155=0, "", IF(G155&gt;10, "⚠️ Pagamos de MÁS (o se fue a Tanque)", IF(G155&lt;-10, "🚨 Máquinas quemaron MÁS de lo pagado", "✅ Cuadrado")))</f>
        <v>🚨 Máquinas quemaron MÁS de lo pagado</v>
      </c>
    </row>
    <row r="156" spans="1:8">
      <c r="A156" s="15666">
        <v>24</v>
      </c>
      <c r="B156" s="15667" t="s">
        <v>111</v>
      </c>
      <c r="C156" s="15668">
        <f>SUMIFS(Estados_Cuenta_Mobil!$F:$F, Estados_Cuenta_Mobil!$C:$C, A156, Estados_Cuenta_Mobil!$D:$D, B156)</f>
        <v>0</v>
      </c>
      <c r="D156" s="15669">
        <f>SUMIFS(Captura_Obra!$F:$F, Captura_Obra!$M:$M, A156, Captura_Obra!$B:$B, B156)</f>
        <v>200</v>
      </c>
      <c r="E156" s="15670">
        <f>IFERROR(SUMIFS(Captura_Facturas_Mobil!$G:$G, Captura_Facturas_Mobil!$N:$N, A156, Captura_Facturas_Mobil!$D:$D, B156) / SUMIFS(Captura_Facturas_Mobil!$E:$E, Captura_Facturas_Mobil!$N:$N, A156, Captura_Facturas_Mobil!$D:$D, B156), IFERROR(SUMIFS(Captura_Facturas_Mobil!$G:$G, Captura_Facturas_Mobil!$N:$N, A156)/SUMIFS(Captura_Facturas_Mobil!$E:$E, Captura_Facturas_Mobil!$N:$N, A156, Captura_Facturas_Mobil!$E:$E,"&gt;"&amp;0), 27))</f>
        <v>27</v>
      </c>
      <c r="F156" s="15671">
        <f t="shared" si="16"/>
        <v>5400</v>
      </c>
      <c r="G156" s="15672">
        <f t="shared" si="17"/>
        <v>-5400</v>
      </c>
      <c r="H156" s="15673" t="str">
        <f t="shared" si="18"/>
        <v>🚨 Máquinas quemaron MÁS de lo pagado</v>
      </c>
    </row>
    <row r="157" spans="1:8">
      <c r="A157" s="15674">
        <v>24</v>
      </c>
      <c r="B157" s="15675" t="s">
        <v>115</v>
      </c>
      <c r="C157" s="15676">
        <f>SUMIFS(Estados_Cuenta_Mobil!$F:$F, Estados_Cuenta_Mobil!$C:$C, A157, Estados_Cuenta_Mobil!$D:$D, B157)</f>
        <v>0</v>
      </c>
      <c r="D157" s="15677">
        <f>SUMIFS(Captura_Obra!$F:$F, Captura_Obra!$M:$M, A157, Captura_Obra!$B:$B, B157)</f>
        <v>0</v>
      </c>
      <c r="E157" s="15678">
        <f>IFERROR(SUMIFS(Captura_Facturas_Mobil!$G:$G, Captura_Facturas_Mobil!$N:$N, A157, Captura_Facturas_Mobil!$D:$D, B157) / SUMIFS(Captura_Facturas_Mobil!$E:$E, Captura_Facturas_Mobil!$N:$N, A157, Captura_Facturas_Mobil!$D:$D, B157), IFERROR(SUMIFS(Captura_Facturas_Mobil!$G:$G, Captura_Facturas_Mobil!$N:$N, A157)/SUMIFS(Captura_Facturas_Mobil!$E:$E, Captura_Facturas_Mobil!$N:$N, A157, Captura_Facturas_Mobil!$E:$E,"&gt;"&amp;0), 27))</f>
        <v>27</v>
      </c>
      <c r="F157" s="15679">
        <f t="shared" si="16"/>
        <v>0</v>
      </c>
      <c r="G157" s="15680" t="str">
        <f t="shared" si="17"/>
        <v/>
      </c>
      <c r="H157" s="15681" t="str">
        <f t="shared" si="18"/>
        <v/>
      </c>
    </row>
    <row r="158" spans="1:8">
      <c r="A158" s="15682">
        <v>24</v>
      </c>
      <c r="B158" s="15683" t="s">
        <v>124</v>
      </c>
      <c r="C158" s="15684">
        <f>SUMIFS(Estados_Cuenta_Mobil!$F:$F, Estados_Cuenta_Mobil!$C:$C, A158, Estados_Cuenta_Mobil!$D:$D, B158)</f>
        <v>56664.429999999993</v>
      </c>
      <c r="D158" s="15685">
        <f>SUMIFS(Captura_Obra!$F:$F, Captura_Obra!$M:$M, A158, Captura_Obra!$B:$B, B158)</f>
        <v>0</v>
      </c>
      <c r="E158" s="15686">
        <f>IFERROR(SUMIFS(Captura_Facturas_Mobil!$G:$G, Captura_Facturas_Mobil!$N:$N, A158, Captura_Facturas_Mobil!$D:$D, B158) / SUMIFS(Captura_Facturas_Mobil!$E:$E, Captura_Facturas_Mobil!$N:$N, A158, Captura_Facturas_Mobil!$D:$D, B158), IFERROR(SUMIFS(Captura_Facturas_Mobil!$G:$G, Captura_Facturas_Mobil!$N:$N, A158)/SUMIFS(Captura_Facturas_Mobil!$E:$E, Captura_Facturas_Mobil!$N:$N, A158, Captura_Facturas_Mobil!$E:$E,"&gt;"&amp;0), 27))</f>
        <v>27</v>
      </c>
      <c r="F158" s="15687">
        <f t="shared" si="16"/>
        <v>0</v>
      </c>
      <c r="G158" s="15688">
        <f t="shared" si="17"/>
        <v>56664.429999999993</v>
      </c>
      <c r="H158" s="15689" t="str">
        <f t="shared" si="18"/>
        <v>⚠️ Pagamos de MÁS (o se fue a Tanque)</v>
      </c>
    </row>
    <row r="159" spans="1:8">
      <c r="A159" s="15690">
        <v>24</v>
      </c>
      <c r="B159" s="15691" t="s">
        <v>159</v>
      </c>
      <c r="C159" s="15692">
        <f>SUMIFS(Estados_Cuenta_Mobil!$F:$F, Estados_Cuenta_Mobil!$C:$C, A159, Estados_Cuenta_Mobil!$D:$D, B159)</f>
        <v>0</v>
      </c>
      <c r="D159" s="15693">
        <f>SUMIFS(Captura_Obra!$F:$F, Captura_Obra!$M:$M, A159, Captura_Obra!$B:$B, B159)</f>
        <v>0</v>
      </c>
      <c r="E159" s="15694">
        <f>IFERROR(SUMIFS(Captura_Facturas_Mobil!$G:$G, Captura_Facturas_Mobil!$N:$N, A159, Captura_Facturas_Mobil!$D:$D, B159) / SUMIFS(Captura_Facturas_Mobil!$E:$E, Captura_Facturas_Mobil!$N:$N, A159, Captura_Facturas_Mobil!$D:$D, B159), IFERROR(SUMIFS(Captura_Facturas_Mobil!$G:$G, Captura_Facturas_Mobil!$N:$N, A159)/SUMIFS(Captura_Facturas_Mobil!$E:$E, Captura_Facturas_Mobil!$N:$N, A159, Captura_Facturas_Mobil!$E:$E,"&gt;"&amp;0), 27))</f>
        <v>27</v>
      </c>
      <c r="F159" s="15695">
        <f t="shared" si="16"/>
        <v>0</v>
      </c>
      <c r="G159" s="15696" t="str">
        <f t="shared" si="17"/>
        <v/>
      </c>
      <c r="H159" s="15697" t="str">
        <f t="shared" si="18"/>
        <v/>
      </c>
    </row>
    <row r="160" spans="1:8">
      <c r="A160" s="15698">
        <v>24</v>
      </c>
      <c r="B160" s="15699" t="s">
        <v>166</v>
      </c>
      <c r="C160" s="15700">
        <f>SUMIFS(Estados_Cuenta_Mobil!$F:$F, Estados_Cuenta_Mobil!$C:$C, A160, Estados_Cuenta_Mobil!$D:$D, B160)</f>
        <v>0</v>
      </c>
      <c r="D160" s="15701">
        <f>SUMIFS(Captura_Obra!$F:$F, Captura_Obra!$M:$M, A160, Captura_Obra!$B:$B, B160)</f>
        <v>0</v>
      </c>
      <c r="E160" s="15702">
        <f>IFERROR(SUMIFS(Captura_Facturas_Mobil!$G:$G, Captura_Facturas_Mobil!$N:$N, A160, Captura_Facturas_Mobil!$D:$D, B160) / SUMIFS(Captura_Facturas_Mobil!$E:$E, Captura_Facturas_Mobil!$N:$N, A160, Captura_Facturas_Mobil!$D:$D, B160), IFERROR(SUMIFS(Captura_Facturas_Mobil!$G:$G, Captura_Facturas_Mobil!$N:$N, A160)/SUMIFS(Captura_Facturas_Mobil!$E:$E, Captura_Facturas_Mobil!$N:$N, A160, Captura_Facturas_Mobil!$E:$E,"&gt;"&amp;0), 27))</f>
        <v>27</v>
      </c>
      <c r="F160" s="15703">
        <f t="shared" si="16"/>
        <v>0</v>
      </c>
      <c r="G160" s="15704" t="str">
        <f t="shared" si="17"/>
        <v/>
      </c>
      <c r="H160" s="15705" t="str">
        <f t="shared" si="18"/>
        <v/>
      </c>
    </row>
    <row r="161" spans="1:8">
      <c r="A161" s="15706">
        <v>24</v>
      </c>
      <c r="B161" s="15707" t="s">
        <v>478</v>
      </c>
      <c r="C161" s="15708">
        <f>SUMIFS(Estados_Cuenta_Mobil!$F:$F, Estados_Cuenta_Mobil!$C:$C, A161, Estados_Cuenta_Mobil!$D:$D, B161)</f>
        <v>0</v>
      </c>
      <c r="D161" s="15709">
        <f>SUMIFS(Captura_Obra!$F:$F, Captura_Obra!$M:$M, A161, Captura_Obra!$B:$B, B161)</f>
        <v>0</v>
      </c>
      <c r="E161" s="15710">
        <f>IFERROR(SUMIFS(Captura_Facturas_Mobil!$G:$G, Captura_Facturas_Mobil!$N:$N, A161, Captura_Facturas_Mobil!$D:$D, B161) / SUMIFS(Captura_Facturas_Mobil!$E:$E, Captura_Facturas_Mobil!$N:$N, A161, Captura_Facturas_Mobil!$D:$D, B161), IFERROR(SUMIFS(Captura_Facturas_Mobil!$G:$G, Captura_Facturas_Mobil!$N:$N, A161)/SUMIFS(Captura_Facturas_Mobil!$E:$E, Captura_Facturas_Mobil!$N:$N, A161, Captura_Facturas_Mobil!$E:$E,"&gt;"&amp;0), 27))</f>
        <v>27</v>
      </c>
      <c r="F161" s="15711">
        <f t="shared" si="16"/>
        <v>0</v>
      </c>
      <c r="G161" s="15712" t="str">
        <f t="shared" si="17"/>
        <v/>
      </c>
      <c r="H161" s="15713" t="str">
        <f t="shared" si="18"/>
        <v/>
      </c>
    </row>
    <row r="162" spans="1:8">
      <c r="A162" s="15714">
        <v>24</v>
      </c>
      <c r="B162" s="15715" t="s">
        <v>735</v>
      </c>
      <c r="C162" s="15716">
        <f>SUMIFS(Estados_Cuenta_Mobil!$F:$F, Estados_Cuenta_Mobil!$C:$C, A162, Estados_Cuenta_Mobil!$D:$D, B162)</f>
        <v>0</v>
      </c>
      <c r="D162" s="15717">
        <f>SUMIFS(Captura_Obra!$F:$F, Captura_Obra!$M:$M, A162, Captura_Obra!$B:$B, B162)</f>
        <v>0</v>
      </c>
      <c r="E162" s="15718">
        <f>IFERROR(SUMIFS(Captura_Facturas_Mobil!$G:$G, Captura_Facturas_Mobil!$N:$N, A162, Captura_Facturas_Mobil!$D:$D, B162) / SUMIFS(Captura_Facturas_Mobil!$E:$E, Captura_Facturas_Mobil!$N:$N, A162, Captura_Facturas_Mobil!$D:$D, B162), IFERROR(SUMIFS(Captura_Facturas_Mobil!$G:$G, Captura_Facturas_Mobil!$N:$N, A162)/SUMIFS(Captura_Facturas_Mobil!$E:$E, Captura_Facturas_Mobil!$N:$N, A162, Captura_Facturas_Mobil!$E:$E,"&gt;"&amp;0), 27))</f>
        <v>27</v>
      </c>
      <c r="F162" s="15719">
        <f t="shared" si="16"/>
        <v>0</v>
      </c>
      <c r="G162" s="15720" t="str">
        <f t="shared" si="17"/>
        <v/>
      </c>
      <c r="H162" s="15721" t="str">
        <f t="shared" si="18"/>
        <v/>
      </c>
    </row>
    <row r="163" spans="1:8">
      <c r="A163" s="15722">
        <v>25</v>
      </c>
      <c r="B163" s="15723" t="s">
        <v>1</v>
      </c>
      <c r="C163" s="15724">
        <f>SUMIFS(Estados_Cuenta_Mobil!$F:$F, Estados_Cuenta_Mobil!$C:$C, A163, Estados_Cuenta_Mobil!$D:$D, B163)</f>
        <v>65070.369999999995</v>
      </c>
      <c r="D163" s="15725">
        <f>SUMIFS(Captura_Obra!$F:$F, Captura_Obra!$M:$M, A163, Captura_Obra!$B:$B, B163)</f>
        <v>2185</v>
      </c>
      <c r="E163" s="15726">
        <f>IFERROR(SUMIFS(Captura_Facturas_Mobil!$G:$G, Captura_Facturas_Mobil!$N:$N, A163, Captura_Facturas_Mobil!$D:$D, B163) / SUMIFS(Captura_Facturas_Mobil!$E:$E, Captura_Facturas_Mobil!$N:$N, A163, Captura_Facturas_Mobil!$D:$D, B163), IFERROR(SUMIFS(Captura_Facturas_Mobil!$G:$G, Captura_Facturas_Mobil!$N:$N, A163)/SUMIFS(Captura_Facturas_Mobil!$E:$E, Captura_Facturas_Mobil!$N:$N, A163, Captura_Facturas_Mobil!$E:$E,"&gt;"&amp;0), 27))</f>
        <v>26.999996680517206</v>
      </c>
      <c r="F163" s="15727">
        <f t="shared" si="16"/>
        <v>58994.992746930096</v>
      </c>
      <c r="G163" s="15728">
        <f t="shared" si="17"/>
        <v>6075.3772530698989</v>
      </c>
      <c r="H163" s="15729" t="str">
        <f t="shared" si="18"/>
        <v>⚠️ Pagamos de MÁS (o se fue a Tanque)</v>
      </c>
    </row>
    <row r="164" spans="1:8">
      <c r="A164" s="15730">
        <v>25</v>
      </c>
      <c r="B164" s="15731" t="s">
        <v>2</v>
      </c>
      <c r="C164" s="15732">
        <f>SUMIFS(Estados_Cuenta_Mobil!$F:$F, Estados_Cuenta_Mobil!$C:$C, A164, Estados_Cuenta_Mobil!$D:$D, B164)</f>
        <v>0</v>
      </c>
      <c r="D164" s="15733">
        <f>SUMIFS(Captura_Obra!$F:$F, Captura_Obra!$M:$M, A164, Captura_Obra!$B:$B, B164)</f>
        <v>1437</v>
      </c>
      <c r="E164" s="15734">
        <f>IFERROR(SUMIFS(Captura_Facturas_Mobil!$G:$G, Captura_Facturas_Mobil!$N:$N, A164, Captura_Facturas_Mobil!$D:$D, B164) / SUMIFS(Captura_Facturas_Mobil!$E:$E, Captura_Facturas_Mobil!$N:$N, A164, Captura_Facturas_Mobil!$D:$D, B164), IFERROR(SUMIFS(Captura_Facturas_Mobil!$G:$G, Captura_Facturas_Mobil!$N:$N, A164)/SUMIFS(Captura_Facturas_Mobil!$E:$E, Captura_Facturas_Mobil!$N:$N, A164, Captura_Facturas_Mobil!$E:$E,"&gt;"&amp;0), 27))</f>
        <v>26.979999593171495</v>
      </c>
      <c r="F164" s="15735">
        <f t="shared" si="16"/>
        <v>38770.259415387438</v>
      </c>
      <c r="G164" s="15736">
        <f t="shared" si="17"/>
        <v>-38770.259415387438</v>
      </c>
      <c r="H164" s="15737" t="str">
        <f t="shared" si="18"/>
        <v>🚨 Máquinas quemaron MÁS de lo pagado</v>
      </c>
    </row>
    <row r="165" spans="1:8">
      <c r="A165" s="15738">
        <v>25</v>
      </c>
      <c r="B165" s="15739" t="s">
        <v>3</v>
      </c>
      <c r="C165" s="15740">
        <f>SUMIFS(Estados_Cuenta_Mobil!$F:$F, Estados_Cuenta_Mobil!$C:$C, A165, Estados_Cuenta_Mobil!$D:$D, B165)</f>
        <v>0</v>
      </c>
      <c r="D165" s="15741">
        <f>SUMIFS(Captura_Obra!$F:$F, Captura_Obra!$M:$M, A165, Captura_Obra!$B:$B, B165)</f>
        <v>0</v>
      </c>
      <c r="E165" s="15742">
        <f>IFERROR(SUMIFS(Captura_Facturas_Mobil!$G:$G, Captura_Facturas_Mobil!$N:$N, A165, Captura_Facturas_Mobil!$D:$D, B165) / SUMIFS(Captura_Facturas_Mobil!$E:$E, Captura_Facturas_Mobil!$N:$N, A165, Captura_Facturas_Mobil!$D:$D, B165), IFERROR(SUMIFS(Captura_Facturas_Mobil!$G:$G, Captura_Facturas_Mobil!$N:$N, A165)/SUMIFS(Captura_Facturas_Mobil!$E:$E, Captura_Facturas_Mobil!$N:$N, A165, Captura_Facturas_Mobil!$E:$E,"&gt;"&amp;0), 27))</f>
        <v>26.979999593171495</v>
      </c>
      <c r="F165" s="15743">
        <f t="shared" si="16"/>
        <v>0</v>
      </c>
      <c r="G165" s="15744" t="str">
        <f t="shared" si="17"/>
        <v/>
      </c>
      <c r="H165" s="15745" t="str">
        <f t="shared" si="18"/>
        <v/>
      </c>
    </row>
    <row r="166" spans="1:8">
      <c r="A166" s="15746">
        <v>25</v>
      </c>
      <c r="B166" s="15747" t="s">
        <v>111</v>
      </c>
      <c r="C166" s="15748">
        <f>SUMIFS(Estados_Cuenta_Mobil!$F:$F, Estados_Cuenta_Mobil!$C:$C, A166, Estados_Cuenta_Mobil!$D:$D, B166)</f>
        <v>0</v>
      </c>
      <c r="D166" s="15749">
        <f>SUMIFS(Captura_Obra!$F:$F, Captura_Obra!$M:$M, A166, Captura_Obra!$B:$B, B166)</f>
        <v>643</v>
      </c>
      <c r="E166" s="15750">
        <f>IFERROR(SUMIFS(Captura_Facturas_Mobil!$G:$G, Captura_Facturas_Mobil!$N:$N, A166, Captura_Facturas_Mobil!$D:$D, B166) / SUMIFS(Captura_Facturas_Mobil!$E:$E, Captura_Facturas_Mobil!$N:$N, A166, Captura_Facturas_Mobil!$D:$D, B166), IFERROR(SUMIFS(Captura_Facturas_Mobil!$G:$G, Captura_Facturas_Mobil!$N:$N, A166)/SUMIFS(Captura_Facturas_Mobil!$E:$E, Captura_Facturas_Mobil!$N:$N, A166, Captura_Facturas_Mobil!$E:$E,"&gt;"&amp;0), 27))</f>
        <v>26.979999593171495</v>
      </c>
      <c r="F166" s="15751">
        <f t="shared" si="16"/>
        <v>17348.139738409271</v>
      </c>
      <c r="G166" s="15752">
        <f t="shared" si="17"/>
        <v>-17348.139738409271</v>
      </c>
      <c r="H166" s="15753" t="str">
        <f t="shared" si="18"/>
        <v>🚨 Máquinas quemaron MÁS de lo pagado</v>
      </c>
    </row>
    <row r="167" spans="1:8">
      <c r="A167" s="15754">
        <v>25</v>
      </c>
      <c r="B167" s="15755" t="s">
        <v>115</v>
      </c>
      <c r="C167" s="15756">
        <f>SUMIFS(Estados_Cuenta_Mobil!$F:$F, Estados_Cuenta_Mobil!$C:$C, A167, Estados_Cuenta_Mobil!$D:$D, B167)</f>
        <v>0</v>
      </c>
      <c r="D167" s="15757">
        <f>SUMIFS(Captura_Obra!$F:$F, Captura_Obra!$M:$M, A167, Captura_Obra!$B:$B, B167)</f>
        <v>0</v>
      </c>
      <c r="E167" s="15758">
        <f>IFERROR(SUMIFS(Captura_Facturas_Mobil!$G:$G, Captura_Facturas_Mobil!$N:$N, A167, Captura_Facturas_Mobil!$D:$D, B167) / SUMIFS(Captura_Facturas_Mobil!$E:$E, Captura_Facturas_Mobil!$N:$N, A167, Captura_Facturas_Mobil!$D:$D, B167), IFERROR(SUMIFS(Captura_Facturas_Mobil!$G:$G, Captura_Facturas_Mobil!$N:$N, A167)/SUMIFS(Captura_Facturas_Mobil!$E:$E, Captura_Facturas_Mobil!$N:$N, A167, Captura_Facturas_Mobil!$E:$E,"&gt;"&amp;0), 27))</f>
        <v>26.979999593171495</v>
      </c>
      <c r="F167" s="15759">
        <f t="shared" si="16"/>
        <v>0</v>
      </c>
      <c r="G167" s="15760" t="str">
        <f t="shared" si="17"/>
        <v/>
      </c>
      <c r="H167" s="15761" t="str">
        <f t="shared" si="18"/>
        <v/>
      </c>
    </row>
    <row r="168" spans="1:8">
      <c r="A168" s="15762">
        <v>25</v>
      </c>
      <c r="B168" s="15763" t="s">
        <v>124</v>
      </c>
      <c r="C168" s="15764">
        <f>SUMIFS(Estados_Cuenta_Mobil!$F:$F, Estados_Cuenta_Mobil!$C:$C, A168, Estados_Cuenta_Mobil!$D:$D, B168)</f>
        <v>67500.41</v>
      </c>
      <c r="D168" s="15765">
        <f>SUMIFS(Captura_Obra!$F:$F, Captura_Obra!$M:$M, A168, Captura_Obra!$B:$B, B168)</f>
        <v>1600</v>
      </c>
      <c r="E168" s="15766">
        <f>IFERROR(SUMIFS(Captura_Facturas_Mobil!$G:$G, Captura_Facturas_Mobil!$N:$N, A168, Captura_Facturas_Mobil!$D:$D, B168) / SUMIFS(Captura_Facturas_Mobil!$E:$E, Captura_Facturas_Mobil!$N:$N, A168, Captura_Facturas_Mobil!$D:$D, B168), IFERROR(SUMIFS(Captura_Facturas_Mobil!$G:$G, Captura_Facturas_Mobil!$N:$N, A168)/SUMIFS(Captura_Facturas_Mobil!$E:$E, Captura_Facturas_Mobil!$N:$N, A168, Captura_Facturas_Mobil!$E:$E,"&gt;"&amp;0), 27))</f>
        <v>26.999991200056321</v>
      </c>
      <c r="F168" s="15767">
        <f t="shared" si="16"/>
        <v>43199.985920090112</v>
      </c>
      <c r="G168" s="15768">
        <f t="shared" si="17"/>
        <v>24300.424079909892</v>
      </c>
      <c r="H168" s="15769" t="str">
        <f t="shared" si="18"/>
        <v>⚠️ Pagamos de MÁS (o se fue a Tanque)</v>
      </c>
    </row>
    <row r="169" spans="1:8">
      <c r="A169" s="15770">
        <v>25</v>
      </c>
      <c r="B169" s="15771" t="s">
        <v>159</v>
      </c>
      <c r="C169" s="15772">
        <f>SUMIFS(Estados_Cuenta_Mobil!$F:$F, Estados_Cuenta_Mobil!$C:$C, A169, Estados_Cuenta_Mobil!$D:$D, B169)</f>
        <v>0</v>
      </c>
      <c r="D169" s="15773">
        <f>SUMIFS(Captura_Obra!$F:$F, Captura_Obra!$M:$M, A169, Captura_Obra!$B:$B, B169)</f>
        <v>40</v>
      </c>
      <c r="E169" s="15774">
        <f>IFERROR(SUMIFS(Captura_Facturas_Mobil!$G:$G, Captura_Facturas_Mobil!$N:$N, A169, Captura_Facturas_Mobil!$D:$D, B169) / SUMIFS(Captura_Facturas_Mobil!$E:$E, Captura_Facturas_Mobil!$N:$N, A169, Captura_Facturas_Mobil!$D:$D, B169), IFERROR(SUMIFS(Captura_Facturas_Mobil!$G:$G, Captura_Facturas_Mobil!$N:$N, A169)/SUMIFS(Captura_Facturas_Mobil!$E:$E, Captura_Facturas_Mobil!$N:$N, A169, Captura_Facturas_Mobil!$E:$E,"&gt;"&amp;0), 27))</f>
        <v>26.979999593171495</v>
      </c>
      <c r="F169" s="15775">
        <f t="shared" si="16"/>
        <v>1079.1999837268597</v>
      </c>
      <c r="G169" s="15776">
        <f t="shared" si="17"/>
        <v>-1079.1999837268597</v>
      </c>
      <c r="H169" s="15777" t="str">
        <f t="shared" si="18"/>
        <v>🚨 Máquinas quemaron MÁS de lo pagado</v>
      </c>
    </row>
    <row r="170" spans="1:8">
      <c r="A170" s="15778">
        <v>25</v>
      </c>
      <c r="B170" s="15779" t="s">
        <v>166</v>
      </c>
      <c r="C170" s="15780">
        <f>SUMIFS(Estados_Cuenta_Mobil!$F:$F, Estados_Cuenta_Mobil!$C:$C, A170, Estados_Cuenta_Mobil!$D:$D, B170)</f>
        <v>0</v>
      </c>
      <c r="D170" s="15781">
        <f>SUMIFS(Captura_Obra!$F:$F, Captura_Obra!$M:$M, A170, Captura_Obra!$B:$B, B170)</f>
        <v>0</v>
      </c>
      <c r="E170" s="15782">
        <f>IFERROR(SUMIFS(Captura_Facturas_Mobil!$G:$G, Captura_Facturas_Mobil!$N:$N, A170, Captura_Facturas_Mobil!$D:$D, B170) / SUMIFS(Captura_Facturas_Mobil!$E:$E, Captura_Facturas_Mobil!$N:$N, A170, Captura_Facturas_Mobil!$D:$D, B170), IFERROR(SUMIFS(Captura_Facturas_Mobil!$G:$G, Captura_Facturas_Mobil!$N:$N, A170)/SUMIFS(Captura_Facturas_Mobil!$E:$E, Captura_Facturas_Mobil!$N:$N, A170, Captura_Facturas_Mobil!$E:$E,"&gt;"&amp;0), 27))</f>
        <v>26.979999593171495</v>
      </c>
      <c r="F170" s="15783">
        <f t="shared" si="16"/>
        <v>0</v>
      </c>
      <c r="G170" s="15784" t="str">
        <f t="shared" si="17"/>
        <v/>
      </c>
      <c r="H170" s="15785" t="str">
        <f t="shared" si="18"/>
        <v/>
      </c>
    </row>
    <row r="171" spans="1:8">
      <c r="A171" s="15786">
        <v>25</v>
      </c>
      <c r="B171" s="15787" t="s">
        <v>478</v>
      </c>
      <c r="C171" s="15788">
        <f>SUMIFS(Estados_Cuenta_Mobil!$F:$F, Estados_Cuenta_Mobil!$C:$C, A171, Estados_Cuenta_Mobil!$D:$D, B171)</f>
        <v>0</v>
      </c>
      <c r="D171" s="15789">
        <f>SUMIFS(Captura_Obra!$F:$F, Captura_Obra!$M:$M, A171, Captura_Obra!$B:$B, B171)</f>
        <v>0</v>
      </c>
      <c r="E171" s="15790">
        <f>IFERROR(SUMIFS(Captura_Facturas_Mobil!$G:$G, Captura_Facturas_Mobil!$N:$N, A171, Captura_Facturas_Mobil!$D:$D, B171) / SUMIFS(Captura_Facturas_Mobil!$E:$E, Captura_Facturas_Mobil!$N:$N, A171, Captura_Facturas_Mobil!$D:$D, B171), IFERROR(SUMIFS(Captura_Facturas_Mobil!$G:$G, Captura_Facturas_Mobil!$N:$N, A171)/SUMIFS(Captura_Facturas_Mobil!$E:$E, Captura_Facturas_Mobil!$N:$N, A171, Captura_Facturas_Mobil!$E:$E,"&gt;"&amp;0), 27))</f>
        <v>26.979999593171495</v>
      </c>
      <c r="F171" s="15791">
        <f t="shared" si="16"/>
        <v>0</v>
      </c>
      <c r="G171" s="15792" t="str">
        <f t="shared" si="17"/>
        <v/>
      </c>
      <c r="H171" s="15793" t="str">
        <f t="shared" si="18"/>
        <v/>
      </c>
    </row>
    <row r="172" spans="1:8">
      <c r="A172" s="15794">
        <v>25</v>
      </c>
      <c r="B172" s="15795" t="s">
        <v>735</v>
      </c>
      <c r="C172" s="15796">
        <f>SUMIFS(Estados_Cuenta_Mobil!$F:$F, Estados_Cuenta_Mobil!$C:$C, A172, Estados_Cuenta_Mobil!$D:$D, B172)</f>
        <v>0</v>
      </c>
      <c r="D172" s="15797">
        <f>SUMIFS(Captura_Obra!$F:$F, Captura_Obra!$M:$M, A172, Captura_Obra!$B:$B, B172)</f>
        <v>0</v>
      </c>
      <c r="E172" s="15798">
        <f>IFERROR(SUMIFS(Captura_Facturas_Mobil!$G:$G, Captura_Facturas_Mobil!$N:$N, A172, Captura_Facturas_Mobil!$D:$D, B172) / SUMIFS(Captura_Facturas_Mobil!$E:$E, Captura_Facturas_Mobil!$N:$N, A172, Captura_Facturas_Mobil!$D:$D, B172), IFERROR(SUMIFS(Captura_Facturas_Mobil!$G:$G, Captura_Facturas_Mobil!$N:$N, A172)/SUMIFS(Captura_Facturas_Mobil!$E:$E, Captura_Facturas_Mobil!$N:$N, A172, Captura_Facturas_Mobil!$E:$E,"&gt;"&amp;0), 27))</f>
        <v>26.979999593171495</v>
      </c>
      <c r="F172" s="15799">
        <f t="shared" si="16"/>
        <v>0</v>
      </c>
      <c r="G172" s="15800" t="str">
        <f t="shared" si="17"/>
        <v/>
      </c>
      <c r="H172" s="15801" t="str">
        <f t="shared" si="18"/>
        <v/>
      </c>
    </row>
    <row r="173" spans="1:8">
      <c r="A173" s="15802">
        <v>26</v>
      </c>
      <c r="B173" s="15803" t="s">
        <v>1</v>
      </c>
      <c r="C173" s="15804">
        <f>SUMIFS(Estados_Cuenta_Mobil!$F:$F, Estados_Cuenta_Mobil!$C:$C, A173, Estados_Cuenta_Mobil!$D:$D, B173)</f>
        <v>54020.240000000005</v>
      </c>
      <c r="D173" s="15805">
        <f>SUMIFS(Captura_Obra!$F:$F, Captura_Obra!$M:$M, A173, Captura_Obra!$B:$B, B173)</f>
        <v>2488</v>
      </c>
      <c r="E173" s="15806">
        <f>IFERROR(SUMIFS(Captura_Facturas_Mobil!$G:$G, Captura_Facturas_Mobil!$N:$N, A173, Captura_Facturas_Mobil!$D:$D, B173) / SUMIFS(Captura_Facturas_Mobil!$E:$E, Captura_Facturas_Mobil!$N:$N, A173, Captura_Facturas_Mobil!$D:$D, B173), IFERROR(SUMIFS(Captura_Facturas_Mobil!$G:$G, Captura_Facturas_Mobil!$N:$N, A173)/SUMIFS(Captura_Facturas_Mobil!$E:$E, Captura_Facturas_Mobil!$N:$N, A173, Captura_Facturas_Mobil!$E:$E,"&gt;"&amp;0), 27))</f>
        <v>27.405555113410269</v>
      </c>
      <c r="F173" s="15807">
        <f t="shared" si="16"/>
        <v>68185.021122164748</v>
      </c>
      <c r="G173" s="15808">
        <f t="shared" si="17"/>
        <v>-14164.781122164743</v>
      </c>
      <c r="H173" s="15809" t="str">
        <f t="shared" si="18"/>
        <v>🚨 Máquinas quemaron MÁS de lo pagado</v>
      </c>
    </row>
    <row r="174" spans="1:8">
      <c r="A174" s="15810">
        <v>26</v>
      </c>
      <c r="B174" s="15811" t="s">
        <v>2</v>
      </c>
      <c r="C174" s="15812">
        <f>SUMIFS(Estados_Cuenta_Mobil!$F:$F, Estados_Cuenta_Mobil!$C:$C, A174, Estados_Cuenta_Mobil!$D:$D, B174)</f>
        <v>0</v>
      </c>
      <c r="D174" s="15813">
        <f>SUMIFS(Captura_Obra!$F:$F, Captura_Obra!$M:$M, A174, Captura_Obra!$B:$B, B174)</f>
        <v>1279</v>
      </c>
      <c r="E174" s="15814">
        <f>IFERROR(SUMIFS(Captura_Facturas_Mobil!$G:$G, Captura_Facturas_Mobil!$N:$N, A174, Captura_Facturas_Mobil!$D:$D, B174) / SUMIFS(Captura_Facturas_Mobil!$E:$E, Captura_Facturas_Mobil!$N:$N, A174, Captura_Facturas_Mobil!$D:$D, B174), IFERROR(SUMIFS(Captura_Facturas_Mobil!$G:$G, Captura_Facturas_Mobil!$N:$N, A174)/SUMIFS(Captura_Facturas_Mobil!$E:$E, Captura_Facturas_Mobil!$N:$N, A174, Captura_Facturas_Mobil!$E:$E,"&gt;"&amp;0), 27))</f>
        <v>27.982149264773881</v>
      </c>
      <c r="F174" s="15815">
        <f t="shared" si="16"/>
        <v>35789.168909645792</v>
      </c>
      <c r="G174" s="15816">
        <f t="shared" si="17"/>
        <v>-35789.168909645792</v>
      </c>
      <c r="H174" s="15817" t="str">
        <f t="shared" si="18"/>
        <v>🚨 Máquinas quemaron MÁS de lo pagado</v>
      </c>
    </row>
    <row r="175" spans="1:8">
      <c r="A175" s="15818">
        <v>26</v>
      </c>
      <c r="B175" s="15819" t="s">
        <v>3</v>
      </c>
      <c r="C175" s="15820">
        <f>SUMIFS(Estados_Cuenta_Mobil!$F:$F, Estados_Cuenta_Mobil!$C:$C, A175, Estados_Cuenta_Mobil!$D:$D, B175)</f>
        <v>0</v>
      </c>
      <c r="D175" s="15821">
        <f>SUMIFS(Captura_Obra!$F:$F, Captura_Obra!$M:$M, A175, Captura_Obra!$B:$B, B175)</f>
        <v>0</v>
      </c>
      <c r="E175" s="15822">
        <f>IFERROR(SUMIFS(Captura_Facturas_Mobil!$G:$G, Captura_Facturas_Mobil!$N:$N, A175, Captura_Facturas_Mobil!$D:$D, B175) / SUMIFS(Captura_Facturas_Mobil!$E:$E, Captura_Facturas_Mobil!$N:$N, A175, Captura_Facturas_Mobil!$D:$D, B175), IFERROR(SUMIFS(Captura_Facturas_Mobil!$G:$G, Captura_Facturas_Mobil!$N:$N, A175)/SUMIFS(Captura_Facturas_Mobil!$E:$E, Captura_Facturas_Mobil!$N:$N, A175, Captura_Facturas_Mobil!$E:$E,"&gt;"&amp;0), 27))</f>
        <v>27.982149264773881</v>
      </c>
      <c r="F175" s="15823">
        <f t="shared" si="16"/>
        <v>0</v>
      </c>
      <c r="G175" s="15824" t="str">
        <f t="shared" si="17"/>
        <v/>
      </c>
      <c r="H175" s="15825" t="str">
        <f t="shared" si="18"/>
        <v/>
      </c>
    </row>
    <row r="176" spans="1:8">
      <c r="A176" s="15826">
        <v>26</v>
      </c>
      <c r="B176" s="15827" t="s">
        <v>111</v>
      </c>
      <c r="C176" s="15828">
        <f>SUMIFS(Estados_Cuenta_Mobil!$F:$F, Estados_Cuenta_Mobil!$C:$C, A176, Estados_Cuenta_Mobil!$D:$D, B176)</f>
        <v>0</v>
      </c>
      <c r="D176" s="15829">
        <f>SUMIFS(Captura_Obra!$F:$F, Captura_Obra!$M:$M, A176, Captura_Obra!$B:$B, B176)</f>
        <v>1554</v>
      </c>
      <c r="E176" s="15830">
        <f>IFERROR(SUMIFS(Captura_Facturas_Mobil!$G:$G, Captura_Facturas_Mobil!$N:$N, A176, Captura_Facturas_Mobil!$D:$D, B176) / SUMIFS(Captura_Facturas_Mobil!$E:$E, Captura_Facturas_Mobil!$N:$N, A176, Captura_Facturas_Mobil!$D:$D, B176), IFERROR(SUMIFS(Captura_Facturas_Mobil!$G:$G, Captura_Facturas_Mobil!$N:$N, A176)/SUMIFS(Captura_Facturas_Mobil!$E:$E, Captura_Facturas_Mobil!$N:$N, A176, Captura_Facturas_Mobil!$E:$E,"&gt;"&amp;0), 27))</f>
        <v>27.982149264773881</v>
      </c>
      <c r="F176" s="15831">
        <f t="shared" si="16"/>
        <v>43484.259957458613</v>
      </c>
      <c r="G176" s="15832">
        <f t="shared" si="17"/>
        <v>-43484.259957458613</v>
      </c>
      <c r="H176" s="15833" t="str">
        <f t="shared" si="18"/>
        <v>🚨 Máquinas quemaron MÁS de lo pagado</v>
      </c>
    </row>
    <row r="177" spans="1:8">
      <c r="A177" s="15834">
        <v>26</v>
      </c>
      <c r="B177" s="15835" t="s">
        <v>115</v>
      </c>
      <c r="C177" s="15836">
        <f>SUMIFS(Estados_Cuenta_Mobil!$F:$F, Estados_Cuenta_Mobil!$C:$C, A177, Estados_Cuenta_Mobil!$D:$D, B177)</f>
        <v>0</v>
      </c>
      <c r="D177" s="15837">
        <f>SUMIFS(Captura_Obra!$F:$F, Captura_Obra!$M:$M, A177, Captura_Obra!$B:$B, B177)</f>
        <v>0</v>
      </c>
      <c r="E177" s="15838">
        <f>IFERROR(SUMIFS(Captura_Facturas_Mobil!$G:$G, Captura_Facturas_Mobil!$N:$N, A177, Captura_Facturas_Mobil!$D:$D, B177) / SUMIFS(Captura_Facturas_Mobil!$E:$E, Captura_Facturas_Mobil!$N:$N, A177, Captura_Facturas_Mobil!$D:$D, B177), IFERROR(SUMIFS(Captura_Facturas_Mobil!$G:$G, Captura_Facturas_Mobil!$N:$N, A177)/SUMIFS(Captura_Facturas_Mobil!$E:$E, Captura_Facturas_Mobil!$N:$N, A177, Captura_Facturas_Mobil!$E:$E,"&gt;"&amp;0), 27))</f>
        <v>27.982149264773881</v>
      </c>
      <c r="F177" s="15839">
        <f t="shared" si="16"/>
        <v>0</v>
      </c>
      <c r="G177" s="15840" t="str">
        <f t="shared" si="17"/>
        <v/>
      </c>
      <c r="H177" s="15841" t="str">
        <f t="shared" si="18"/>
        <v/>
      </c>
    </row>
    <row r="178" spans="1:8">
      <c r="A178" s="15842">
        <v>26</v>
      </c>
      <c r="B178" s="15843" t="s">
        <v>124</v>
      </c>
      <c r="C178" s="15844">
        <f>SUMIFS(Estados_Cuenta_Mobil!$F:$F, Estados_Cuenta_Mobil!$C:$C, A178, Estados_Cuenta_Mobil!$D:$D, B178)</f>
        <v>0</v>
      </c>
      <c r="D178" s="15845">
        <f>SUMIFS(Captura_Obra!$F:$F, Captura_Obra!$M:$M, A178, Captura_Obra!$B:$B, B178)</f>
        <v>1050</v>
      </c>
      <c r="E178" s="15846">
        <f>IFERROR(SUMIFS(Captura_Facturas_Mobil!$G:$G, Captura_Facturas_Mobil!$N:$N, A178, Captura_Facturas_Mobil!$D:$D, B178) / SUMIFS(Captura_Facturas_Mobil!$E:$E, Captura_Facturas_Mobil!$N:$N, A178, Captura_Facturas_Mobil!$D:$D, B178), IFERROR(SUMIFS(Captura_Facturas_Mobil!$G:$G, Captura_Facturas_Mobil!$N:$N, A178)/SUMIFS(Captura_Facturas_Mobil!$E:$E, Captura_Facturas_Mobil!$N:$N, A178, Captura_Facturas_Mobil!$E:$E,"&gt;"&amp;0), 27))</f>
        <v>44.250249999999994</v>
      </c>
      <c r="F178" s="15847">
        <f t="shared" si="16"/>
        <v>46462.762499999997</v>
      </c>
      <c r="G178" s="15848">
        <f t="shared" si="17"/>
        <v>-46462.762499999997</v>
      </c>
      <c r="H178" s="15849" t="str">
        <f t="shared" si="18"/>
        <v>🚨 Máquinas quemaron MÁS de lo pagado</v>
      </c>
    </row>
    <row r="179" spans="1:8">
      <c r="A179" s="15850">
        <v>26</v>
      </c>
      <c r="B179" s="15851" t="s">
        <v>159</v>
      </c>
      <c r="C179" s="15852">
        <f>SUMIFS(Estados_Cuenta_Mobil!$F:$F, Estados_Cuenta_Mobil!$C:$C, A179, Estados_Cuenta_Mobil!$D:$D, B179)</f>
        <v>0</v>
      </c>
      <c r="D179" s="15853">
        <f>SUMIFS(Captura_Obra!$F:$F, Captura_Obra!$M:$M, A179, Captura_Obra!$B:$B, B179)</f>
        <v>102</v>
      </c>
      <c r="E179" s="15854">
        <f>IFERROR(SUMIFS(Captura_Facturas_Mobil!$G:$G, Captura_Facturas_Mobil!$N:$N, A179, Captura_Facturas_Mobil!$D:$D, B179) / SUMIFS(Captura_Facturas_Mobil!$E:$E, Captura_Facturas_Mobil!$N:$N, A179, Captura_Facturas_Mobil!$D:$D, B179), IFERROR(SUMIFS(Captura_Facturas_Mobil!$G:$G, Captura_Facturas_Mobil!$N:$N, A179)/SUMIFS(Captura_Facturas_Mobil!$E:$E, Captura_Facturas_Mobil!$N:$N, A179, Captura_Facturas_Mobil!$E:$E,"&gt;"&amp;0), 27))</f>
        <v>27.982149264773881</v>
      </c>
      <c r="F179" s="15855">
        <f t="shared" si="16"/>
        <v>2854.1792250069357</v>
      </c>
      <c r="G179" s="15856">
        <f t="shared" si="17"/>
        <v>-2854.1792250069357</v>
      </c>
      <c r="H179" s="15857" t="str">
        <f t="shared" si="18"/>
        <v>🚨 Máquinas quemaron MÁS de lo pagado</v>
      </c>
    </row>
    <row r="180" spans="1:8">
      <c r="A180" s="15858">
        <v>26</v>
      </c>
      <c r="B180" s="15859" t="s">
        <v>166</v>
      </c>
      <c r="C180" s="15860">
        <f>SUMIFS(Estados_Cuenta_Mobil!$F:$F, Estados_Cuenta_Mobil!$C:$C, A180, Estados_Cuenta_Mobil!$D:$D, B180)</f>
        <v>0</v>
      </c>
      <c r="D180" s="15861">
        <f>SUMIFS(Captura_Obra!$F:$F, Captura_Obra!$M:$M, A180, Captura_Obra!$B:$B, B180)</f>
        <v>0</v>
      </c>
      <c r="E180" s="15862">
        <f>IFERROR(SUMIFS(Captura_Facturas_Mobil!$G:$G, Captura_Facturas_Mobil!$N:$N, A180, Captura_Facturas_Mobil!$D:$D, B180) / SUMIFS(Captura_Facturas_Mobil!$E:$E, Captura_Facturas_Mobil!$N:$N, A180, Captura_Facturas_Mobil!$D:$D, B180), IFERROR(SUMIFS(Captura_Facturas_Mobil!$G:$G, Captura_Facturas_Mobil!$N:$N, A180)/SUMIFS(Captura_Facturas_Mobil!$E:$E, Captura_Facturas_Mobil!$N:$N, A180, Captura_Facturas_Mobil!$E:$E,"&gt;"&amp;0), 27))</f>
        <v>27.982149264773881</v>
      </c>
      <c r="F180" s="15863">
        <f t="shared" si="16"/>
        <v>0</v>
      </c>
      <c r="G180" s="15864" t="str">
        <f t="shared" si="17"/>
        <v/>
      </c>
      <c r="H180" s="15865" t="str">
        <f t="shared" si="18"/>
        <v/>
      </c>
    </row>
    <row r="181" spans="1:8">
      <c r="A181" s="15866">
        <v>26</v>
      </c>
      <c r="B181" s="15867" t="s">
        <v>478</v>
      </c>
      <c r="C181" s="15868">
        <f>SUMIFS(Estados_Cuenta_Mobil!$F:$F, Estados_Cuenta_Mobil!$C:$C, A181, Estados_Cuenta_Mobil!$D:$D, B181)</f>
        <v>0</v>
      </c>
      <c r="D181" s="15869">
        <f>SUMIFS(Captura_Obra!$F:$F, Captura_Obra!$M:$M, A181, Captura_Obra!$B:$B, B181)</f>
        <v>0</v>
      </c>
      <c r="E181" s="15870">
        <f>IFERROR(SUMIFS(Captura_Facturas_Mobil!$G:$G, Captura_Facturas_Mobil!$N:$N, A181, Captura_Facturas_Mobil!$D:$D, B181) / SUMIFS(Captura_Facturas_Mobil!$E:$E, Captura_Facturas_Mobil!$N:$N, A181, Captura_Facturas_Mobil!$D:$D, B181), IFERROR(SUMIFS(Captura_Facturas_Mobil!$G:$G, Captura_Facturas_Mobil!$N:$N, A181)/SUMIFS(Captura_Facturas_Mobil!$E:$E, Captura_Facturas_Mobil!$N:$N, A181, Captura_Facturas_Mobil!$E:$E,"&gt;"&amp;0), 27))</f>
        <v>27.982149264773881</v>
      </c>
      <c r="F181" s="15871">
        <f t="shared" si="16"/>
        <v>0</v>
      </c>
      <c r="G181" s="15872" t="str">
        <f t="shared" si="17"/>
        <v/>
      </c>
      <c r="H181" s="15873" t="str">
        <f t="shared" si="18"/>
        <v/>
      </c>
    </row>
    <row r="182" spans="1:8">
      <c r="A182" s="15874">
        <v>26</v>
      </c>
      <c r="B182" s="15875" t="s">
        <v>735</v>
      </c>
      <c r="C182" s="15876">
        <f>SUMIFS(Estados_Cuenta_Mobil!$F:$F, Estados_Cuenta_Mobil!$C:$C, A182, Estados_Cuenta_Mobil!$D:$D, B182)</f>
        <v>0</v>
      </c>
      <c r="D182" s="15877">
        <f>SUMIFS(Captura_Obra!$F:$F, Captura_Obra!$M:$M, A182, Captura_Obra!$B:$B, B182)</f>
        <v>0</v>
      </c>
      <c r="E182" s="15878">
        <f>IFERROR(SUMIFS(Captura_Facturas_Mobil!$G:$G, Captura_Facturas_Mobil!$N:$N, A182, Captura_Facturas_Mobil!$D:$D, B182) / SUMIFS(Captura_Facturas_Mobil!$E:$E, Captura_Facturas_Mobil!$N:$N, A182, Captura_Facturas_Mobil!$D:$D, B182), IFERROR(SUMIFS(Captura_Facturas_Mobil!$G:$G, Captura_Facturas_Mobil!$N:$N, A182)/SUMIFS(Captura_Facturas_Mobil!$E:$E, Captura_Facturas_Mobil!$N:$N, A182, Captura_Facturas_Mobil!$E:$E,"&gt;"&amp;0), 27))</f>
        <v>27.982149264773881</v>
      </c>
      <c r="F182" s="15879">
        <f t="shared" si="16"/>
        <v>0</v>
      </c>
      <c r="G182" s="15880" t="str">
        <f t="shared" si="17"/>
        <v/>
      </c>
      <c r="H182" s="15881" t="str">
        <f t="shared" si="18"/>
        <v/>
      </c>
    </row>
    <row r="183" spans="1:8">
      <c r="A183" s="15882" t="s">
        <v>174</v>
      </c>
      <c r="B183" s="15883"/>
      <c r="C183" s="15884">
        <f>SUBTOTAL(9, C123:C182)</f>
        <v>564706.74</v>
      </c>
      <c r="D183" s="15885">
        <f>SUBTOTAL(9, D123:D182)</f>
        <v>16428</v>
      </c>
      <c r="E183" s="15886"/>
      <c r="F183" s="15887">
        <f>SUBTOTAL(9, F123:F182)</f>
        <v>465517.96951881988</v>
      </c>
      <c r="G183" s="15888">
        <f>SUBTOTAL(9, G123:G182)</f>
        <v>99188.77048118008</v>
      </c>
      <c r="H183" s="15889"/>
    </row>
    <row r="184" spans="1:8" ht="14.4">
      <c r="A184" s="17912" t="s">
        <v>741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5"/>
  <sheetViews>
    <sheetView workbookViewId="0"/>
  </sheetViews>
  <sheetFormatPr baseColWidth="10" defaultRowHeight="13.8"/>
  <sheetData>
    <row r="1" spans="1:11" ht="17.399999999999999">
      <c r="A1" s="17987" t="s">
        <v>459</v>
      </c>
    </row>
    <row r="2" spans="1:11" ht="14.4">
      <c r="A2" s="17988" t="s">
        <v>505</v>
      </c>
    </row>
    <row r="4" spans="1:11" ht="41.4">
      <c r="A4" s="11504" t="s">
        <v>422</v>
      </c>
      <c r="B4" s="11505" t="s">
        <v>423</v>
      </c>
      <c r="C4" s="11506" t="s">
        <v>506</v>
      </c>
      <c r="D4" s="11507" t="s">
        <v>461</v>
      </c>
      <c r="E4" s="11508" t="s">
        <v>424</v>
      </c>
      <c r="F4" s="11509" t="s">
        <v>462</v>
      </c>
      <c r="G4" s="11510" t="s">
        <v>463</v>
      </c>
      <c r="H4" s="11511" t="s">
        <v>464</v>
      </c>
      <c r="I4" s="11512" t="s">
        <v>465</v>
      </c>
      <c r="J4" s="11513" t="s">
        <v>466</v>
      </c>
      <c r="K4" s="11514" t="s">
        <v>414</v>
      </c>
    </row>
    <row r="5" spans="1:11">
      <c r="A5" s="16833" t="s">
        <v>489</v>
      </c>
      <c r="B5" s="16875">
        <v>46164.75</v>
      </c>
      <c r="C5" s="16917">
        <v>21</v>
      </c>
      <c r="D5" s="16959" t="s">
        <v>3</v>
      </c>
      <c r="E5" s="17001">
        <v>41</v>
      </c>
      <c r="F5" s="17043">
        <v>31054.48</v>
      </c>
      <c r="G5" s="17085">
        <f>IFERROR(VLOOKUP(A5, Captura_Facturas_Mobil!$A:$G, 7, FALSE), 0)</f>
        <v>31054.48</v>
      </c>
      <c r="H5" s="17127">
        <f t="shared" ref="H5:H46" si="0">IFERROR(F5 - G5, F5)</f>
        <v>0</v>
      </c>
      <c r="I5" s="17169">
        <f>IFERROR(VLOOKUP(A5, Captura_Facturas_Mobil!$A:$E, 5, FALSE), 0)</f>
        <v>0</v>
      </c>
      <c r="J5" s="17211" t="str">
        <f t="shared" ref="J5:J46" si="1">IFERROR(IF(I5=0,"", G5/I5), "")</f>
        <v/>
      </c>
      <c r="K5" s="17253" t="str">
        <f t="shared" ref="K5:K46" si="2">IFERROR(IF(G5=0, "⚠️ Sin CFDI", IF(ABS(H5)&lt;1, "✅ Cuadrado", IF(H5&gt;0, "📋 CFDI menor", "📋 CFDI mayor"))), "?")</f>
        <v>✅ Cuadrado</v>
      </c>
    </row>
    <row r="6" spans="1:11">
      <c r="A6" s="16842" t="s">
        <v>490</v>
      </c>
      <c r="B6" s="16884">
        <v>46164.75</v>
      </c>
      <c r="C6" s="16926">
        <v>21</v>
      </c>
      <c r="D6" s="16968" t="s">
        <v>3</v>
      </c>
      <c r="E6" s="17010">
        <v>41</v>
      </c>
      <c r="F6" s="17052">
        <v>26190.11</v>
      </c>
      <c r="G6" s="17094">
        <f>IFERROR(VLOOKUP(A6, Captura_Facturas_Mobil!$A:$G, 7, FALSE), 0)</f>
        <v>26190.11</v>
      </c>
      <c r="H6" s="17136">
        <f t="shared" si="0"/>
        <v>0</v>
      </c>
      <c r="I6" s="17178">
        <f>IFERROR(VLOOKUP(A6, Captura_Facturas_Mobil!$A:$E, 5, FALSE), 0)</f>
        <v>0</v>
      </c>
      <c r="J6" s="17220" t="str">
        <f t="shared" si="1"/>
        <v/>
      </c>
      <c r="K6" s="17262" t="str">
        <f t="shared" si="2"/>
        <v>✅ Cuadrado</v>
      </c>
    </row>
    <row r="7" spans="1:11">
      <c r="A7" s="16837" t="s">
        <v>491</v>
      </c>
      <c r="B7" s="16879">
        <v>46165.75</v>
      </c>
      <c r="C7" s="16921">
        <v>21</v>
      </c>
      <c r="D7" s="16963" t="s">
        <v>3</v>
      </c>
      <c r="E7" s="17005">
        <v>41</v>
      </c>
      <c r="F7" s="17047">
        <v>20250.09</v>
      </c>
      <c r="G7" s="17089">
        <f>IFERROR(VLOOKUP(A7, Captura_Facturas_Mobil!$A:$G, 7, FALSE), 0)</f>
        <v>20250.09</v>
      </c>
      <c r="H7" s="17131">
        <f t="shared" si="0"/>
        <v>0</v>
      </c>
      <c r="I7" s="17173">
        <f>IFERROR(VLOOKUP(A7, Captura_Facturas_Mobil!$A:$E, 5, FALSE), 0)</f>
        <v>0</v>
      </c>
      <c r="J7" s="17215" t="str">
        <f t="shared" si="1"/>
        <v/>
      </c>
      <c r="K7" s="17257" t="str">
        <f t="shared" si="2"/>
        <v>✅ Cuadrado</v>
      </c>
    </row>
    <row r="8" spans="1:11">
      <c r="A8" s="16847" t="s">
        <v>477</v>
      </c>
      <c r="B8" s="16889">
        <v>46171.75</v>
      </c>
      <c r="C8" s="16931">
        <v>22</v>
      </c>
      <c r="D8" s="16973" t="s">
        <v>478</v>
      </c>
      <c r="E8" s="17015">
        <v>41</v>
      </c>
      <c r="F8" s="17057">
        <v>8100.05</v>
      </c>
      <c r="G8" s="17099">
        <f>IFERROR(VLOOKUP(A8, Captura_Facturas_Mobil!$A:$G, 7, FALSE), 0)</f>
        <v>8100.05</v>
      </c>
      <c r="H8" s="17141">
        <f t="shared" si="0"/>
        <v>0</v>
      </c>
      <c r="I8" s="17183">
        <f>IFERROR(VLOOKUP(A8, Captura_Facturas_Mobil!$A:$E, 5, FALSE), 0)</f>
        <v>0</v>
      </c>
      <c r="J8" s="17225" t="str">
        <f t="shared" si="1"/>
        <v/>
      </c>
      <c r="K8" s="17267" t="str">
        <f t="shared" si="2"/>
        <v>✅ Cuadrado</v>
      </c>
    </row>
    <row r="9" spans="1:11">
      <c r="A9" s="16859" t="s">
        <v>492</v>
      </c>
      <c r="B9" s="16901">
        <v>46167.75</v>
      </c>
      <c r="C9" s="16943">
        <v>22</v>
      </c>
      <c r="D9" s="16985" t="s">
        <v>3</v>
      </c>
      <c r="E9" s="17027">
        <v>41</v>
      </c>
      <c r="F9" s="17069">
        <v>16740.89</v>
      </c>
      <c r="G9" s="17111">
        <f>IFERROR(VLOOKUP(A9, Captura_Facturas_Mobil!$A:$G, 7, FALSE), 0)</f>
        <v>16740.89</v>
      </c>
      <c r="H9" s="17153">
        <f t="shared" si="0"/>
        <v>0</v>
      </c>
      <c r="I9" s="17195">
        <f>IFERROR(VLOOKUP(A9, Captura_Facturas_Mobil!$A:$E, 5, FALSE), 0)</f>
        <v>0</v>
      </c>
      <c r="J9" s="17237" t="str">
        <f t="shared" si="1"/>
        <v/>
      </c>
      <c r="K9" s="17279" t="str">
        <f t="shared" si="2"/>
        <v>✅ Cuadrado</v>
      </c>
    </row>
    <row r="10" spans="1:11">
      <c r="A10" s="16868" t="s">
        <v>493</v>
      </c>
      <c r="B10" s="16910">
        <v>46168.75</v>
      </c>
      <c r="C10" s="16952">
        <v>22</v>
      </c>
      <c r="D10" s="16994" t="s">
        <v>3</v>
      </c>
      <c r="E10" s="17036">
        <v>41</v>
      </c>
      <c r="F10" s="17078">
        <v>12420.08</v>
      </c>
      <c r="G10" s="17120">
        <f>IFERROR(VLOOKUP(A10, Captura_Facturas_Mobil!$A:$G, 7, FALSE), 0)</f>
        <v>12420.08</v>
      </c>
      <c r="H10" s="17162">
        <f t="shared" si="0"/>
        <v>0</v>
      </c>
      <c r="I10" s="17204">
        <f>IFERROR(VLOOKUP(A10, Captura_Facturas_Mobil!$A:$E, 5, FALSE), 0)</f>
        <v>0</v>
      </c>
      <c r="J10" s="17246" t="str">
        <f t="shared" si="1"/>
        <v/>
      </c>
      <c r="K10" s="17288" t="str">
        <f t="shared" si="2"/>
        <v>✅ Cuadrado</v>
      </c>
    </row>
    <row r="11" spans="1:11">
      <c r="A11" s="16852" t="s">
        <v>494</v>
      </c>
      <c r="B11" s="16894">
        <v>46171.75</v>
      </c>
      <c r="C11" s="16936">
        <v>22</v>
      </c>
      <c r="D11" s="16978" t="s">
        <v>3</v>
      </c>
      <c r="E11" s="17020">
        <v>41</v>
      </c>
      <c r="F11" s="17062">
        <v>20259.03</v>
      </c>
      <c r="G11" s="17104">
        <f>IFERROR(VLOOKUP(A11, Captura_Facturas_Mobil!$A:$G, 7, FALSE), 0)</f>
        <v>20259.03</v>
      </c>
      <c r="H11" s="17146">
        <f t="shared" si="0"/>
        <v>0</v>
      </c>
      <c r="I11" s="17188">
        <f>IFERROR(VLOOKUP(A11, Captura_Facturas_Mobil!$A:$E, 5, FALSE), 0)</f>
        <v>0</v>
      </c>
      <c r="J11" s="17230" t="str">
        <f t="shared" si="1"/>
        <v/>
      </c>
      <c r="K11" s="17272" t="str">
        <f t="shared" si="2"/>
        <v>✅ Cuadrado</v>
      </c>
    </row>
    <row r="12" spans="1:11">
      <c r="A12" s="16846" t="s">
        <v>467</v>
      </c>
      <c r="B12" s="16888">
        <v>46175.75</v>
      </c>
      <c r="C12" s="16930">
        <v>23</v>
      </c>
      <c r="D12" s="16972" t="s">
        <v>1</v>
      </c>
      <c r="E12" s="17014">
        <v>41</v>
      </c>
      <c r="F12" s="17056">
        <v>18900.060000000001</v>
      </c>
      <c r="G12" s="17098">
        <f>IFERROR(VLOOKUP(A12, Captura_Facturas_Mobil!$A:$G, 7, FALSE), 0)</f>
        <v>18900.060000000001</v>
      </c>
      <c r="H12" s="17140">
        <f t="shared" si="0"/>
        <v>0</v>
      </c>
      <c r="I12" s="17182">
        <f>IFERROR(VLOOKUP(A12, Captura_Facturas_Mobil!$A:$E, 5, FALSE), 0)</f>
        <v>0</v>
      </c>
      <c r="J12" s="17224" t="str">
        <f t="shared" si="1"/>
        <v/>
      </c>
      <c r="K12" s="17266" t="str">
        <f t="shared" si="2"/>
        <v>✅ Cuadrado</v>
      </c>
    </row>
    <row r="13" spans="1:11">
      <c r="A13" s="16841" t="s">
        <v>468</v>
      </c>
      <c r="B13" s="16883">
        <v>46177.75</v>
      </c>
      <c r="C13" s="16925">
        <v>23</v>
      </c>
      <c r="D13" s="16967" t="s">
        <v>1</v>
      </c>
      <c r="E13" s="17009">
        <v>41</v>
      </c>
      <c r="F13" s="17051">
        <v>13770.05</v>
      </c>
      <c r="G13" s="17093">
        <f>IFERROR(VLOOKUP(A13, Captura_Facturas_Mobil!$A:$G, 7, FALSE), 0)</f>
        <v>13770.05</v>
      </c>
      <c r="H13" s="17135">
        <f t="shared" si="0"/>
        <v>0</v>
      </c>
      <c r="I13" s="17177">
        <f>IFERROR(VLOOKUP(A13, Captura_Facturas_Mobil!$A:$E, 5, FALSE), 0)</f>
        <v>0</v>
      </c>
      <c r="J13" s="17219" t="str">
        <f t="shared" si="1"/>
        <v/>
      </c>
      <c r="K13" s="17261" t="str">
        <f t="shared" si="2"/>
        <v>✅ Cuadrado</v>
      </c>
    </row>
    <row r="14" spans="1:11">
      <c r="A14" s="16836" t="s">
        <v>469</v>
      </c>
      <c r="B14" s="16878">
        <v>46178.75</v>
      </c>
      <c r="C14" s="16920">
        <v>23</v>
      </c>
      <c r="D14" s="16962" t="s">
        <v>1</v>
      </c>
      <c r="E14" s="17004">
        <v>41</v>
      </c>
      <c r="F14" s="17046">
        <v>7830.05</v>
      </c>
      <c r="G14" s="17088">
        <f>IFERROR(VLOOKUP(A14, Captura_Facturas_Mobil!$A:$G, 7, FALSE), 0)</f>
        <v>7830.05</v>
      </c>
      <c r="H14" s="17130">
        <f t="shared" si="0"/>
        <v>0</v>
      </c>
      <c r="I14" s="17172">
        <f>IFERROR(VLOOKUP(A14, Captura_Facturas_Mobil!$A:$E, 5, FALSE), 0)</f>
        <v>0</v>
      </c>
      <c r="J14" s="17214" t="str">
        <f t="shared" si="1"/>
        <v/>
      </c>
      <c r="K14" s="17256" t="str">
        <f t="shared" si="2"/>
        <v>✅ Cuadrado</v>
      </c>
    </row>
    <row r="15" spans="1:11">
      <c r="A15" s="16861" t="s">
        <v>479</v>
      </c>
      <c r="B15" s="16903">
        <v>46178.75</v>
      </c>
      <c r="C15" s="16945">
        <v>23</v>
      </c>
      <c r="D15" s="16987" t="s">
        <v>124</v>
      </c>
      <c r="E15" s="17029">
        <v>39</v>
      </c>
      <c r="F15" s="17071">
        <v>16200.1</v>
      </c>
      <c r="G15" s="17113">
        <f>IFERROR(VLOOKUP(A15, Captura_Facturas_Mobil!$A:$G, 7, FALSE), 0)</f>
        <v>16200.1</v>
      </c>
      <c r="H15" s="17155">
        <f t="shared" si="0"/>
        <v>0</v>
      </c>
      <c r="I15" s="17197">
        <f>IFERROR(VLOOKUP(A15, Captura_Facturas_Mobil!$A:$E, 5, FALSE), 0)</f>
        <v>0</v>
      </c>
      <c r="J15" s="17239" t="str">
        <f t="shared" si="1"/>
        <v/>
      </c>
      <c r="K15" s="17281" t="str">
        <f t="shared" si="2"/>
        <v>✅ Cuadrado</v>
      </c>
    </row>
    <row r="16" spans="1:11">
      <c r="A16" s="16870" t="s">
        <v>495</v>
      </c>
      <c r="B16" s="16912">
        <v>46174.75</v>
      </c>
      <c r="C16" s="16954">
        <v>23</v>
      </c>
      <c r="D16" s="16996" t="s">
        <v>3</v>
      </c>
      <c r="E16" s="17038">
        <v>41</v>
      </c>
      <c r="F16" s="17080">
        <v>20682.11</v>
      </c>
      <c r="G16" s="17122">
        <f>IFERROR(VLOOKUP(A16, Captura_Facturas_Mobil!$A:$G, 7, FALSE), 0)</f>
        <v>20682.11</v>
      </c>
      <c r="H16" s="17164">
        <f t="shared" si="0"/>
        <v>0</v>
      </c>
      <c r="I16" s="17206">
        <f>IFERROR(VLOOKUP(A16, Captura_Facturas_Mobil!$A:$E, 5, FALSE), 0)</f>
        <v>0</v>
      </c>
      <c r="J16" s="17248" t="str">
        <f t="shared" si="1"/>
        <v/>
      </c>
      <c r="K16" s="17290" t="str">
        <f t="shared" si="2"/>
        <v>✅ Cuadrado</v>
      </c>
    </row>
    <row r="17" spans="1:11">
      <c r="A17" s="16854" t="s">
        <v>496</v>
      </c>
      <c r="B17" s="16896">
        <v>46175.75</v>
      </c>
      <c r="C17" s="16938">
        <v>23</v>
      </c>
      <c r="D17" s="16980" t="s">
        <v>3</v>
      </c>
      <c r="E17" s="17022">
        <v>41</v>
      </c>
      <c r="F17" s="17064">
        <v>18630.060000000001</v>
      </c>
      <c r="G17" s="17106">
        <f>IFERROR(VLOOKUP(A17, Captura_Facturas_Mobil!$A:$G, 7, FALSE), 0)</f>
        <v>18630.060000000001</v>
      </c>
      <c r="H17" s="17148">
        <f t="shared" si="0"/>
        <v>0</v>
      </c>
      <c r="I17" s="17190">
        <f>IFERROR(VLOOKUP(A17, Captura_Facturas_Mobil!$A:$E, 5, FALSE), 0)</f>
        <v>0</v>
      </c>
      <c r="J17" s="17232" t="str">
        <f t="shared" si="1"/>
        <v/>
      </c>
      <c r="K17" s="17274" t="str">
        <f t="shared" si="2"/>
        <v>✅ Cuadrado</v>
      </c>
    </row>
    <row r="18" spans="1:11">
      <c r="A18" s="16872" t="s">
        <v>497</v>
      </c>
      <c r="B18" s="16914">
        <v>46176.75</v>
      </c>
      <c r="C18" s="16956">
        <v>23</v>
      </c>
      <c r="D18" s="16998" t="s">
        <v>3</v>
      </c>
      <c r="E18" s="17040">
        <v>41</v>
      </c>
      <c r="F18" s="17082">
        <v>22140.06</v>
      </c>
      <c r="G18" s="17124">
        <f>IFERROR(VLOOKUP(A18, Captura_Facturas_Mobil!$A:$G, 7, FALSE), 0)</f>
        <v>22140.06</v>
      </c>
      <c r="H18" s="17166">
        <f t="shared" si="0"/>
        <v>0</v>
      </c>
      <c r="I18" s="17208">
        <f>IFERROR(VLOOKUP(A18, Captura_Facturas_Mobil!$A:$E, 5, FALSE), 0)</f>
        <v>0</v>
      </c>
      <c r="J18" s="17250" t="str">
        <f t="shared" si="1"/>
        <v/>
      </c>
      <c r="K18" s="17292" t="str">
        <f t="shared" si="2"/>
        <v>✅ Cuadrado</v>
      </c>
    </row>
    <row r="19" spans="1:11">
      <c r="A19" s="16856" t="s">
        <v>498</v>
      </c>
      <c r="B19" s="16898">
        <v>46178.75</v>
      </c>
      <c r="C19" s="16940">
        <v>23</v>
      </c>
      <c r="D19" s="16982" t="s">
        <v>3</v>
      </c>
      <c r="E19" s="17024">
        <v>41</v>
      </c>
      <c r="F19" s="17066">
        <v>18063.080000000002</v>
      </c>
      <c r="G19" s="17108">
        <f>IFERROR(VLOOKUP(A19, Captura_Facturas_Mobil!$A:$G, 7, FALSE), 0)</f>
        <v>18063.080000000002</v>
      </c>
      <c r="H19" s="17150">
        <f t="shared" si="0"/>
        <v>0</v>
      </c>
      <c r="I19" s="17192">
        <f>IFERROR(VLOOKUP(A19, Captura_Facturas_Mobil!$A:$E, 5, FALSE), 0)</f>
        <v>0</v>
      </c>
      <c r="J19" s="17234" t="str">
        <f t="shared" si="1"/>
        <v/>
      </c>
      <c r="K19" s="17276" t="str">
        <f t="shared" si="2"/>
        <v>✅ Cuadrado</v>
      </c>
    </row>
    <row r="20" spans="1:11">
      <c r="A20" s="16874" t="s">
        <v>470</v>
      </c>
      <c r="B20" s="16916">
        <v>46181.75</v>
      </c>
      <c r="C20" s="16958">
        <v>24</v>
      </c>
      <c r="D20" s="17000" t="s">
        <v>1</v>
      </c>
      <c r="E20" s="17042">
        <v>41</v>
      </c>
      <c r="F20" s="17084">
        <v>17280.080000000002</v>
      </c>
      <c r="G20" s="17126">
        <f>IFERROR(VLOOKUP(A20, Captura_Facturas_Mobil!$A:$G, 7, FALSE), 0)</f>
        <v>17280.080000000002</v>
      </c>
      <c r="H20" s="17168">
        <f t="shared" si="0"/>
        <v>0</v>
      </c>
      <c r="I20" s="17210">
        <f>IFERROR(VLOOKUP(A20, Captura_Facturas_Mobil!$A:$E, 5, FALSE), 0)</f>
        <v>0</v>
      </c>
      <c r="J20" s="17252" t="str">
        <f t="shared" si="1"/>
        <v/>
      </c>
      <c r="K20" s="17294" t="str">
        <f t="shared" si="2"/>
        <v>✅ Cuadrado</v>
      </c>
    </row>
    <row r="21" spans="1:11">
      <c r="A21" s="16858" t="s">
        <v>471</v>
      </c>
      <c r="B21" s="16900">
        <v>46185.75</v>
      </c>
      <c r="C21" s="16942">
        <v>24</v>
      </c>
      <c r="D21" s="16984" t="s">
        <v>1</v>
      </c>
      <c r="E21" s="17026">
        <v>41</v>
      </c>
      <c r="F21" s="17068">
        <v>14580.08</v>
      </c>
      <c r="G21" s="17110">
        <f>IFERROR(VLOOKUP(A21, Captura_Facturas_Mobil!$A:$G, 7, FALSE), 0)</f>
        <v>14580.08</v>
      </c>
      <c r="H21" s="17152">
        <f t="shared" si="0"/>
        <v>0</v>
      </c>
      <c r="I21" s="17194">
        <f>IFERROR(VLOOKUP(A21, Captura_Facturas_Mobil!$A:$E, 5, FALSE), 0)</f>
        <v>0</v>
      </c>
      <c r="J21" s="17236" t="str">
        <f t="shared" si="1"/>
        <v/>
      </c>
      <c r="K21" s="17278" t="str">
        <f t="shared" si="2"/>
        <v>✅ Cuadrado</v>
      </c>
    </row>
    <row r="22" spans="1:11">
      <c r="A22" s="16865" t="s">
        <v>480</v>
      </c>
      <c r="B22" s="16907">
        <v>46181.75</v>
      </c>
      <c r="C22" s="16949">
        <v>24</v>
      </c>
      <c r="D22" s="16991" t="s">
        <v>124</v>
      </c>
      <c r="E22" s="17033">
        <v>39</v>
      </c>
      <c r="F22" s="17075">
        <v>21600.15</v>
      </c>
      <c r="G22" s="17117">
        <f>IFERROR(VLOOKUP(A22, Captura_Facturas_Mobil!$A:$G, 7, FALSE), 0)</f>
        <v>21600.15</v>
      </c>
      <c r="H22" s="17159">
        <f t="shared" si="0"/>
        <v>0</v>
      </c>
      <c r="I22" s="17201">
        <f>IFERROR(VLOOKUP(A22, Captura_Facturas_Mobil!$A:$E, 5, FALSE), 0)</f>
        <v>0</v>
      </c>
      <c r="J22" s="17243" t="str">
        <f t="shared" si="1"/>
        <v/>
      </c>
      <c r="K22" s="17285" t="str">
        <f t="shared" si="2"/>
        <v>✅ Cuadrado</v>
      </c>
    </row>
    <row r="23" spans="1:11">
      <c r="A23" s="16848" t="s">
        <v>481</v>
      </c>
      <c r="B23" s="16890">
        <v>46182.75</v>
      </c>
      <c r="C23" s="16932">
        <v>24</v>
      </c>
      <c r="D23" s="16974" t="s">
        <v>124</v>
      </c>
      <c r="E23" s="17016">
        <v>39</v>
      </c>
      <c r="F23" s="17058">
        <v>16200.1</v>
      </c>
      <c r="G23" s="17100">
        <f>IFERROR(VLOOKUP(A23, Captura_Facturas_Mobil!$A:$G, 7, FALSE), 0)</f>
        <v>16200.1</v>
      </c>
      <c r="H23" s="17142">
        <f t="shared" si="0"/>
        <v>0</v>
      </c>
      <c r="I23" s="17184">
        <f>IFERROR(VLOOKUP(A23, Captura_Facturas_Mobil!$A:$E, 5, FALSE), 0)</f>
        <v>0</v>
      </c>
      <c r="J23" s="17226" t="str">
        <f t="shared" si="1"/>
        <v/>
      </c>
      <c r="K23" s="17268" t="str">
        <f t="shared" si="2"/>
        <v>✅ Cuadrado</v>
      </c>
    </row>
    <row r="24" spans="1:11">
      <c r="A24" s="16862" t="s">
        <v>482</v>
      </c>
      <c r="B24" s="16904">
        <v>46184.75</v>
      </c>
      <c r="C24" s="16946">
        <v>24</v>
      </c>
      <c r="D24" s="16988" t="s">
        <v>124</v>
      </c>
      <c r="E24" s="17030">
        <v>39</v>
      </c>
      <c r="F24" s="17072">
        <v>5370.98</v>
      </c>
      <c r="G24" s="17114">
        <f>IFERROR(VLOOKUP(A24, Captura_Facturas_Mobil!$A:$G, 7, FALSE), 0)</f>
        <v>5370.98</v>
      </c>
      <c r="H24" s="17156">
        <f t="shared" si="0"/>
        <v>0</v>
      </c>
      <c r="I24" s="17198">
        <f>IFERROR(VLOOKUP(A24, Captura_Facturas_Mobil!$A:$E, 5, FALSE), 0)</f>
        <v>0</v>
      </c>
      <c r="J24" s="17240" t="str">
        <f t="shared" si="1"/>
        <v/>
      </c>
      <c r="K24" s="17282" t="str">
        <f t="shared" si="2"/>
        <v>✅ Cuadrado</v>
      </c>
    </row>
    <row r="25" spans="1:11">
      <c r="A25" s="16866" t="s">
        <v>483</v>
      </c>
      <c r="B25" s="16908">
        <v>46185.75</v>
      </c>
      <c r="C25" s="16950">
        <v>24</v>
      </c>
      <c r="D25" s="16992" t="s">
        <v>124</v>
      </c>
      <c r="E25" s="17034">
        <v>39</v>
      </c>
      <c r="F25" s="17076">
        <v>13493.2</v>
      </c>
      <c r="G25" s="17118">
        <f>IFERROR(VLOOKUP(A25, Captura_Facturas_Mobil!$A:$G, 7, FALSE), 0)</f>
        <v>13493.2</v>
      </c>
      <c r="H25" s="17160">
        <f t="shared" si="0"/>
        <v>0</v>
      </c>
      <c r="I25" s="17202">
        <f>IFERROR(VLOOKUP(A25, Captura_Facturas_Mobil!$A:$E, 5, FALSE), 0)</f>
        <v>0</v>
      </c>
      <c r="J25" s="17244" t="str">
        <f t="shared" si="1"/>
        <v/>
      </c>
      <c r="K25" s="17286" t="str">
        <f t="shared" si="2"/>
        <v>✅ Cuadrado</v>
      </c>
    </row>
    <row r="26" spans="1:11">
      <c r="A26" s="16849" t="s">
        <v>488</v>
      </c>
      <c r="B26" s="16891">
        <v>46181.75</v>
      </c>
      <c r="C26" s="16933">
        <v>24</v>
      </c>
      <c r="D26" s="16975" t="s">
        <v>400</v>
      </c>
      <c r="E26" s="17017">
        <v>39</v>
      </c>
      <c r="F26" s="17059">
        <v>75600.210000000006</v>
      </c>
      <c r="G26" s="17101">
        <f>IFERROR(VLOOKUP(A26, Captura_Facturas_Mobil!$A:$G, 7, FALSE), 0)</f>
        <v>75600.210000000006</v>
      </c>
      <c r="H26" s="17143">
        <f t="shared" si="0"/>
        <v>0</v>
      </c>
      <c r="I26" s="17185">
        <f>IFERROR(VLOOKUP(A26, Captura_Facturas_Mobil!$A:$E, 5, FALSE), 0)</f>
        <v>0</v>
      </c>
      <c r="J26" s="17227" t="str">
        <f t="shared" si="1"/>
        <v/>
      </c>
      <c r="K26" s="17269" t="str">
        <f t="shared" si="2"/>
        <v>✅ Cuadrado</v>
      </c>
    </row>
    <row r="27" spans="1:11">
      <c r="A27" s="16863" t="s">
        <v>499</v>
      </c>
      <c r="B27" s="16905">
        <v>46182.75</v>
      </c>
      <c r="C27" s="16947">
        <v>24</v>
      </c>
      <c r="D27" s="16989" t="s">
        <v>3</v>
      </c>
      <c r="E27" s="17031">
        <v>41</v>
      </c>
      <c r="F27" s="17073">
        <v>18360.830000000002</v>
      </c>
      <c r="G27" s="17115">
        <f>IFERROR(VLOOKUP(A27, Captura_Facturas_Mobil!$A:$G, 7, FALSE), 0)</f>
        <v>18360.830000000002</v>
      </c>
      <c r="H27" s="17157">
        <f t="shared" si="0"/>
        <v>0</v>
      </c>
      <c r="I27" s="17199">
        <f>IFERROR(VLOOKUP(A27, Captura_Facturas_Mobil!$A:$E, 5, FALSE), 0)</f>
        <v>0</v>
      </c>
      <c r="J27" s="17241" t="str">
        <f t="shared" si="1"/>
        <v/>
      </c>
      <c r="K27" s="17283" t="str">
        <f t="shared" si="2"/>
        <v>✅ Cuadrado</v>
      </c>
    </row>
    <row r="28" spans="1:11">
      <c r="A28" s="16867" t="s">
        <v>472</v>
      </c>
      <c r="B28" s="16909">
        <v>46188.75</v>
      </c>
      <c r="C28" s="16951">
        <v>25</v>
      </c>
      <c r="D28" s="16993" t="s">
        <v>1</v>
      </c>
      <c r="E28" s="17035">
        <v>41</v>
      </c>
      <c r="F28" s="17077">
        <v>13500.06</v>
      </c>
      <c r="G28" s="17119">
        <f>IFERROR(VLOOKUP(A28, Captura_Facturas_Mobil!$A:$G, 7, FALSE), 0)</f>
        <v>13500.06</v>
      </c>
      <c r="H28" s="17161">
        <f t="shared" si="0"/>
        <v>0</v>
      </c>
      <c r="I28" s="17203">
        <f>IFERROR(VLOOKUP(A28, Captura_Facturas_Mobil!$A:$E, 5, FALSE), 0)</f>
        <v>500.00200000000001</v>
      </c>
      <c r="J28" s="17245">
        <f t="shared" si="1"/>
        <v>27.000011999951997</v>
      </c>
      <c r="K28" s="17287" t="str">
        <f t="shared" si="2"/>
        <v>✅ Cuadrado</v>
      </c>
    </row>
    <row r="29" spans="1:11">
      <c r="A29" s="16851" t="s">
        <v>473</v>
      </c>
      <c r="B29" s="16893">
        <v>46189.75</v>
      </c>
      <c r="C29" s="16935">
        <v>25</v>
      </c>
      <c r="D29" s="16977" t="s">
        <v>1</v>
      </c>
      <c r="E29" s="17019">
        <v>41</v>
      </c>
      <c r="F29" s="17061">
        <v>13500.06</v>
      </c>
      <c r="G29" s="17103">
        <f>IFERROR(VLOOKUP(A29, Captura_Facturas_Mobil!$A:$G, 7, FALSE), 0)</f>
        <v>13500.06</v>
      </c>
      <c r="H29" s="17145">
        <f t="shared" si="0"/>
        <v>0</v>
      </c>
      <c r="I29" s="17187">
        <f>IFERROR(VLOOKUP(A29, Captura_Facturas_Mobil!$A:$E, 5, FALSE), 0)</f>
        <v>500.00200000000001</v>
      </c>
      <c r="J29" s="17229">
        <f t="shared" si="1"/>
        <v>27.000011999951997</v>
      </c>
      <c r="K29" s="17271" t="str">
        <f t="shared" si="2"/>
        <v>✅ Cuadrado</v>
      </c>
    </row>
    <row r="30" spans="1:11">
      <c r="A30" s="16845" t="s">
        <v>474</v>
      </c>
      <c r="B30" s="16887">
        <v>46190.75</v>
      </c>
      <c r="C30" s="16929">
        <v>25</v>
      </c>
      <c r="D30" s="16971" t="s">
        <v>1</v>
      </c>
      <c r="E30" s="17013">
        <v>41</v>
      </c>
      <c r="F30" s="17055">
        <v>14040.05</v>
      </c>
      <c r="G30" s="17097">
        <f>IFERROR(VLOOKUP(A30, Captura_Facturas_Mobil!$A:$G, 7, FALSE), 0)</f>
        <v>14040.05</v>
      </c>
      <c r="H30" s="17139">
        <f t="shared" si="0"/>
        <v>0</v>
      </c>
      <c r="I30" s="17181">
        <f>IFERROR(VLOOKUP(A30, Captura_Facturas_Mobil!$A:$E, 5, FALSE), 0)</f>
        <v>520.00199999999995</v>
      </c>
      <c r="J30" s="17223">
        <f t="shared" si="1"/>
        <v>26.999992307721893</v>
      </c>
      <c r="K30" s="17265" t="str">
        <f t="shared" si="2"/>
        <v>✅ Cuadrado</v>
      </c>
    </row>
    <row r="31" spans="1:11">
      <c r="A31" s="16840" t="s">
        <v>475</v>
      </c>
      <c r="B31" s="16882">
        <v>46191.75</v>
      </c>
      <c r="C31" s="16924">
        <v>25</v>
      </c>
      <c r="D31" s="16966" t="s">
        <v>1</v>
      </c>
      <c r="E31" s="17008">
        <v>41</v>
      </c>
      <c r="F31" s="17050">
        <v>13230.1</v>
      </c>
      <c r="G31" s="17092">
        <f>IFERROR(VLOOKUP(A31, Captura_Facturas_Mobil!$A:$G, 7, FALSE), 0)</f>
        <v>13230.1</v>
      </c>
      <c r="H31" s="17134">
        <f t="shared" si="0"/>
        <v>0</v>
      </c>
      <c r="I31" s="17176">
        <f>IFERROR(VLOOKUP(A31, Captura_Facturas_Mobil!$A:$E, 5, FALSE), 0)</f>
        <v>490.00400000000002</v>
      </c>
      <c r="J31" s="17218">
        <f t="shared" si="1"/>
        <v>26.999983673602664</v>
      </c>
      <c r="K31" s="17260" t="str">
        <f t="shared" si="2"/>
        <v>✅ Cuadrado</v>
      </c>
    </row>
    <row r="32" spans="1:11">
      <c r="A32" s="16835" t="s">
        <v>476</v>
      </c>
      <c r="B32" s="16877">
        <v>46192.75</v>
      </c>
      <c r="C32" s="16919">
        <v>25</v>
      </c>
      <c r="D32" s="16961" t="s">
        <v>1</v>
      </c>
      <c r="E32" s="17003">
        <v>41</v>
      </c>
      <c r="F32" s="17045">
        <v>10800.1</v>
      </c>
      <c r="G32" s="17087">
        <f>IFERROR(VLOOKUP(A32, Captura_Facturas_Mobil!$A:$G, 7, FALSE), 0)</f>
        <v>10800.1</v>
      </c>
      <c r="H32" s="17129">
        <f t="shared" si="0"/>
        <v>0</v>
      </c>
      <c r="I32" s="17171">
        <f>IFERROR(VLOOKUP(A32, Captura_Facturas_Mobil!$A:$E, 5, FALSE), 0)</f>
        <v>400.00400000000002</v>
      </c>
      <c r="J32" s="17213">
        <f t="shared" si="1"/>
        <v>26.999980000199997</v>
      </c>
      <c r="K32" s="17255" t="str">
        <f t="shared" si="2"/>
        <v>✅ Cuadrado</v>
      </c>
    </row>
    <row r="33" spans="1:11">
      <c r="A33" s="16850" t="s">
        <v>484</v>
      </c>
      <c r="B33" s="16892">
        <v>46188.75</v>
      </c>
      <c r="C33" s="16934">
        <v>25</v>
      </c>
      <c r="D33" s="16976" t="s">
        <v>124</v>
      </c>
      <c r="E33" s="17018">
        <v>39</v>
      </c>
      <c r="F33" s="17060">
        <v>21600.15</v>
      </c>
      <c r="G33" s="17102">
        <f>IFERROR(VLOOKUP(A33, Captura_Facturas_Mobil!$A:$G, 7, FALSE), 0)</f>
        <v>21600.15</v>
      </c>
      <c r="H33" s="17144">
        <f t="shared" si="0"/>
        <v>0</v>
      </c>
      <c r="I33" s="17186">
        <f>IFERROR(VLOOKUP(A33, Captura_Facturas_Mobil!$A:$E, 5, FALSE), 0)</f>
        <v>800.00600000000009</v>
      </c>
      <c r="J33" s="17228">
        <f t="shared" si="1"/>
        <v>26.999985000112499</v>
      </c>
      <c r="K33" s="17270" t="str">
        <f t="shared" si="2"/>
        <v>✅ Cuadrado</v>
      </c>
    </row>
    <row r="34" spans="1:11">
      <c r="A34" s="16844" t="s">
        <v>485</v>
      </c>
      <c r="B34" s="16886">
        <v>46190.75</v>
      </c>
      <c r="C34" s="16928">
        <v>25</v>
      </c>
      <c r="D34" s="16970" t="s">
        <v>124</v>
      </c>
      <c r="E34" s="17012">
        <v>39</v>
      </c>
      <c r="F34" s="17054">
        <v>16200.1</v>
      </c>
      <c r="G34" s="17096">
        <f>IFERROR(VLOOKUP(A34, Captura_Facturas_Mobil!$A:$G, 7, FALSE), 0)</f>
        <v>16200.1</v>
      </c>
      <c r="H34" s="17138">
        <f t="shared" si="0"/>
        <v>0</v>
      </c>
      <c r="I34" s="17180">
        <f>IFERROR(VLOOKUP(A34, Captura_Facturas_Mobil!$A:$E, 5, FALSE), 0)</f>
        <v>600.00400000000002</v>
      </c>
      <c r="J34" s="17222">
        <f t="shared" si="1"/>
        <v>26.999986666755554</v>
      </c>
      <c r="K34" s="17264" t="str">
        <f t="shared" si="2"/>
        <v>✅ Cuadrado</v>
      </c>
    </row>
    <row r="35" spans="1:11">
      <c r="A35" s="16839" t="s">
        <v>486</v>
      </c>
      <c r="B35" s="16881">
        <v>46191.75</v>
      </c>
      <c r="C35" s="16923">
        <v>25</v>
      </c>
      <c r="D35" s="16965" t="s">
        <v>124</v>
      </c>
      <c r="E35" s="17007">
        <v>39</v>
      </c>
      <c r="F35" s="17049">
        <v>13500.06</v>
      </c>
      <c r="G35" s="17091">
        <f>IFERROR(VLOOKUP(A35, Captura_Facturas_Mobil!$A:$G, 7, FALSE), 0)</f>
        <v>13500.06</v>
      </c>
      <c r="H35" s="17133">
        <f t="shared" si="0"/>
        <v>0</v>
      </c>
      <c r="I35" s="17175">
        <f>IFERROR(VLOOKUP(A35, Captura_Facturas_Mobil!$A:$E, 5, FALSE), 0)</f>
        <v>500.00199999999995</v>
      </c>
      <c r="J35" s="17217">
        <f t="shared" si="1"/>
        <v>27.000011999952001</v>
      </c>
      <c r="K35" s="17259" t="str">
        <f t="shared" si="2"/>
        <v>✅ Cuadrado</v>
      </c>
    </row>
    <row r="36" spans="1:11">
      <c r="A36" s="16834" t="s">
        <v>487</v>
      </c>
      <c r="B36" s="16876">
        <v>46193.75</v>
      </c>
      <c r="C36" s="16918">
        <v>25</v>
      </c>
      <c r="D36" s="16960" t="s">
        <v>124</v>
      </c>
      <c r="E36" s="17002">
        <v>39</v>
      </c>
      <c r="F36" s="17044">
        <v>16200.1</v>
      </c>
      <c r="G36" s="17086">
        <f>IFERROR(VLOOKUP(A36, Captura_Facturas_Mobil!$A:$G, 7, FALSE), 0)</f>
        <v>16200.1</v>
      </c>
      <c r="H36" s="17128">
        <f t="shared" si="0"/>
        <v>0</v>
      </c>
      <c r="I36" s="17170">
        <f>IFERROR(VLOOKUP(A36, Captura_Facturas_Mobil!$A:$E, 5, FALSE), 0)</f>
        <v>600.00400000000002</v>
      </c>
      <c r="J36" s="17212">
        <f t="shared" si="1"/>
        <v>26.999986666755554</v>
      </c>
      <c r="K36" s="17254" t="str">
        <f t="shared" si="2"/>
        <v>✅ Cuadrado</v>
      </c>
    </row>
    <row r="37" spans="1:11">
      <c r="A37" s="16843" t="s">
        <v>435</v>
      </c>
      <c r="B37" s="16885">
        <v>46191.75</v>
      </c>
      <c r="C37" s="16927">
        <v>25</v>
      </c>
      <c r="D37" s="16969" t="s">
        <v>400</v>
      </c>
      <c r="E37" s="17011">
        <v>39</v>
      </c>
      <c r="F37" s="17053">
        <v>108000.36</v>
      </c>
      <c r="G37" s="17095">
        <f>IFERROR(VLOOKUP(A37, Captura_Facturas_Mobil!$A:$G, 7, FALSE), 0)</f>
        <v>108000.36</v>
      </c>
      <c r="H37" s="17137">
        <f t="shared" si="0"/>
        <v>0</v>
      </c>
      <c r="I37" s="17179">
        <f>IFERROR(VLOOKUP(A37, Captura_Facturas_Mobil!$A:$E, 5, FALSE), 0)</f>
        <v>4000.0120000000006</v>
      </c>
      <c r="J37" s="17221">
        <f t="shared" si="1"/>
        <v>27.000008999972994</v>
      </c>
      <c r="K37" s="17263" t="str">
        <f t="shared" si="2"/>
        <v>✅ Cuadrado</v>
      </c>
    </row>
    <row r="38" spans="1:11">
      <c r="A38" s="16838" t="s">
        <v>436</v>
      </c>
      <c r="B38" s="16880">
        <v>46191.75</v>
      </c>
      <c r="C38" s="16922">
        <v>25</v>
      </c>
      <c r="D38" s="16964" t="s">
        <v>400</v>
      </c>
      <c r="E38" s="17006">
        <v>39</v>
      </c>
      <c r="F38" s="17048">
        <v>3869.7</v>
      </c>
      <c r="G38" s="17090">
        <f>IFERROR(VLOOKUP(A38, Captura_Facturas_Mobil!$A:$G, 7, FALSE), 0)</f>
        <v>3869.7</v>
      </c>
      <c r="H38" s="17132">
        <f t="shared" si="0"/>
        <v>0</v>
      </c>
      <c r="I38" s="17174">
        <f>IFERROR(VLOOKUP(A38, Captura_Facturas_Mobil!$A:$E, 5, FALSE), 0)</f>
        <v>161.91200000000001</v>
      </c>
      <c r="J38" s="17216">
        <f t="shared" si="1"/>
        <v>23.900019763822321</v>
      </c>
      <c r="K38" s="17258" t="str">
        <f t="shared" si="2"/>
        <v>✅ Cuadrado</v>
      </c>
    </row>
    <row r="39" spans="1:11">
      <c r="A39" s="16860" t="s">
        <v>437</v>
      </c>
      <c r="B39" s="16902">
        <v>46195.75</v>
      </c>
      <c r="C39" s="16944">
        <v>26</v>
      </c>
      <c r="D39" s="16986" t="s">
        <v>1</v>
      </c>
      <c r="E39" s="17028">
        <v>41</v>
      </c>
      <c r="F39" s="17070">
        <v>17820</v>
      </c>
      <c r="G39" s="17112">
        <f>IFERROR(VLOOKUP(A39, Captura_Facturas_Mobil!$A:$G, 7, FALSE), 0)</f>
        <v>17820</v>
      </c>
      <c r="H39" s="17154">
        <f t="shared" si="0"/>
        <v>0</v>
      </c>
      <c r="I39" s="17196">
        <f>IFERROR(VLOOKUP(A39, Captura_Facturas_Mobil!$A:$E, 5, FALSE), 0)</f>
        <v>660</v>
      </c>
      <c r="J39" s="17238">
        <f t="shared" si="1"/>
        <v>27</v>
      </c>
      <c r="K39" s="17280" t="str">
        <f t="shared" si="2"/>
        <v>✅ Cuadrado</v>
      </c>
    </row>
    <row r="40" spans="1:11">
      <c r="A40" s="16869" t="s">
        <v>439</v>
      </c>
      <c r="B40" s="16911">
        <v>46196.75</v>
      </c>
      <c r="C40" s="16953">
        <v>26</v>
      </c>
      <c r="D40" s="16995" t="s">
        <v>1</v>
      </c>
      <c r="E40" s="17037">
        <v>41</v>
      </c>
      <c r="F40" s="17079">
        <v>1500</v>
      </c>
      <c r="G40" s="17121">
        <f>IFERROR(VLOOKUP(A40, Captura_Facturas_Mobil!$A:$G, 7, FALSE), 0)</f>
        <v>1500</v>
      </c>
      <c r="H40" s="17163">
        <f t="shared" si="0"/>
        <v>0</v>
      </c>
      <c r="I40" s="17205">
        <f>IFERROR(VLOOKUP(A40, Captura_Facturas_Mobil!$A:$E, 5, FALSE), 0)</f>
        <v>63</v>
      </c>
      <c r="J40" s="17247">
        <f t="shared" si="1"/>
        <v>23.80952380952381</v>
      </c>
      <c r="K40" s="17289" t="str">
        <f t="shared" si="2"/>
        <v>✅ Cuadrado</v>
      </c>
    </row>
    <row r="41" spans="1:11">
      <c r="A41" s="16853" t="s">
        <v>441</v>
      </c>
      <c r="B41" s="16895">
        <v>46196.75</v>
      </c>
      <c r="C41" s="16937">
        <v>26</v>
      </c>
      <c r="D41" s="16979" t="s">
        <v>1</v>
      </c>
      <c r="E41" s="17021">
        <v>41</v>
      </c>
      <c r="F41" s="17063">
        <v>1000</v>
      </c>
      <c r="G41" s="17105">
        <f>IFERROR(VLOOKUP(A41, Captura_Facturas_Mobil!$A:$G, 7, FALSE), 0)</f>
        <v>1000</v>
      </c>
      <c r="H41" s="17147">
        <f t="shared" si="0"/>
        <v>0</v>
      </c>
      <c r="I41" s="17189">
        <f>IFERROR(VLOOKUP(A41, Captura_Facturas_Mobil!$A:$E, 5, FALSE), 0)</f>
        <v>42</v>
      </c>
      <c r="J41" s="17231">
        <f t="shared" si="1"/>
        <v>23.80952380952381</v>
      </c>
      <c r="K41" s="17273" t="str">
        <f t="shared" si="2"/>
        <v>✅ Cuadrado</v>
      </c>
    </row>
    <row r="42" spans="1:11">
      <c r="A42" s="16871" t="s">
        <v>442</v>
      </c>
      <c r="B42" s="16913">
        <v>46196.75</v>
      </c>
      <c r="C42" s="16955">
        <v>26</v>
      </c>
      <c r="D42" s="16997" t="s">
        <v>1</v>
      </c>
      <c r="E42" s="17039">
        <v>41</v>
      </c>
      <c r="F42" s="17081">
        <v>1500</v>
      </c>
      <c r="G42" s="17123">
        <f>IFERROR(VLOOKUP(A42, Captura_Facturas_Mobil!$A:$G, 7, FALSE), 0)</f>
        <v>1500</v>
      </c>
      <c r="H42" s="17165">
        <f t="shared" si="0"/>
        <v>0</v>
      </c>
      <c r="I42" s="17207">
        <f>IFERROR(VLOOKUP(A42, Captura_Facturas_Mobil!$A:$E, 5, FALSE), 0)</f>
        <v>63</v>
      </c>
      <c r="J42" s="17249">
        <f t="shared" si="1"/>
        <v>23.80952380952381</v>
      </c>
      <c r="K42" s="17291" t="str">
        <f t="shared" si="2"/>
        <v>✅ Cuadrado</v>
      </c>
    </row>
    <row r="43" spans="1:11">
      <c r="A43" s="16855" t="s">
        <v>444</v>
      </c>
      <c r="B43" s="16897">
        <v>46197.75</v>
      </c>
      <c r="C43" s="16939">
        <v>26</v>
      </c>
      <c r="D43" s="16981" t="s">
        <v>1</v>
      </c>
      <c r="E43" s="17023">
        <v>41</v>
      </c>
      <c r="F43" s="17065">
        <v>14850.08</v>
      </c>
      <c r="G43" s="17107">
        <f>IFERROR(VLOOKUP(A43, Captura_Facturas_Mobil!$A:$G, 7, FALSE), 0)</f>
        <v>14850</v>
      </c>
      <c r="H43" s="17149">
        <f t="shared" si="0"/>
        <v>7.999999999992724E-2</v>
      </c>
      <c r="I43" s="17191">
        <f>IFERROR(VLOOKUP(A43, Captura_Facturas_Mobil!$A:$E, 5, FALSE), 0)</f>
        <v>550</v>
      </c>
      <c r="J43" s="17233">
        <f t="shared" si="1"/>
        <v>27</v>
      </c>
      <c r="K43" s="17275" t="str">
        <f t="shared" si="2"/>
        <v>✅ Cuadrado</v>
      </c>
    </row>
    <row r="44" spans="1:11">
      <c r="A44" s="16873" t="s">
        <v>448</v>
      </c>
      <c r="B44" s="16915">
        <v>46198.75</v>
      </c>
      <c r="C44" s="16957">
        <v>26</v>
      </c>
      <c r="D44" s="16999" t="s">
        <v>1</v>
      </c>
      <c r="E44" s="17041">
        <v>41</v>
      </c>
      <c r="F44" s="17083">
        <v>1000</v>
      </c>
      <c r="G44" s="17125">
        <f>IFERROR(VLOOKUP(A44, Captura_Facturas_Mobil!$A:$G, 7, FALSE), 0)</f>
        <v>1000</v>
      </c>
      <c r="H44" s="17167">
        <f t="shared" si="0"/>
        <v>0</v>
      </c>
      <c r="I44" s="17209">
        <f>IFERROR(VLOOKUP(A44, Captura_Facturas_Mobil!$A:$E, 5, FALSE), 0)</f>
        <v>42</v>
      </c>
      <c r="J44" s="17251">
        <f t="shared" si="1"/>
        <v>23.80952380952381</v>
      </c>
      <c r="K44" s="17293" t="str">
        <f t="shared" si="2"/>
        <v>✅ Cuadrado</v>
      </c>
    </row>
    <row r="45" spans="1:11">
      <c r="A45" s="16857" t="s">
        <v>450</v>
      </c>
      <c r="B45" s="16899">
        <v>46198.75</v>
      </c>
      <c r="C45" s="16941">
        <v>26</v>
      </c>
      <c r="D45" s="16983" t="s">
        <v>1</v>
      </c>
      <c r="E45" s="17025">
        <v>41</v>
      </c>
      <c r="F45" s="17067">
        <v>1500.08</v>
      </c>
      <c r="G45" s="17109">
        <f>IFERROR(VLOOKUP(A45, Captura_Facturas_Mobil!$A:$G, 7, FALSE), 0)</f>
        <v>1500.08</v>
      </c>
      <c r="H45" s="17151">
        <f t="shared" si="0"/>
        <v>0</v>
      </c>
      <c r="I45" s="17193">
        <f>IFERROR(VLOOKUP(A45, Captura_Facturas_Mobil!$A:$E, 5, FALSE), 0)</f>
        <v>63</v>
      </c>
      <c r="J45" s="17235">
        <f t="shared" si="1"/>
        <v>23.810793650793649</v>
      </c>
      <c r="K45" s="17277" t="str">
        <f t="shared" si="2"/>
        <v>✅ Cuadrado</v>
      </c>
    </row>
    <row r="46" spans="1:11">
      <c r="A46" s="16864" t="s">
        <v>446</v>
      </c>
      <c r="B46" s="16906">
        <v>46198.75</v>
      </c>
      <c r="C46" s="16948">
        <v>26</v>
      </c>
      <c r="D46" s="16990" t="s">
        <v>1</v>
      </c>
      <c r="E46" s="17032">
        <v>41</v>
      </c>
      <c r="F46" s="17074">
        <v>14850.08</v>
      </c>
      <c r="G46" s="17116">
        <f>IFERROR(VLOOKUP(A46, Captura_Facturas_Mobil!$A:$G, 7, FALSE), 0)</f>
        <v>14850</v>
      </c>
      <c r="H46" s="17158">
        <f t="shared" si="0"/>
        <v>7.999999999992724E-2</v>
      </c>
      <c r="I46" s="17200">
        <f>IFERROR(VLOOKUP(A46, Captura_Facturas_Mobil!$A:$E, 5, FALSE), 0)</f>
        <v>550</v>
      </c>
      <c r="J46" s="17242">
        <f t="shared" si="1"/>
        <v>27</v>
      </c>
      <c r="K46" s="17284" t="str">
        <f t="shared" si="2"/>
        <v>✅ Cuadrado</v>
      </c>
    </row>
    <row r="47" spans="1:11">
      <c r="A47" s="11515" t="s">
        <v>174</v>
      </c>
      <c r="F47" s="11516">
        <f>SUM(F5:F46)</f>
        <v>752177.00999999978</v>
      </c>
      <c r="G47" s="11517">
        <f>SUM(G5:G46)</f>
        <v>752176.84999999986</v>
      </c>
      <c r="H47" s="11518">
        <f>SUM(H5:H46)</f>
        <v>0.15999999999985448</v>
      </c>
      <c r="I47" s="11519">
        <f>SUM(I5:I46)</f>
        <v>11104.954000000002</v>
      </c>
    </row>
    <row r="50" spans="1:9" ht="16.8">
      <c r="A50" s="17989" t="s">
        <v>507</v>
      </c>
    </row>
    <row r="51" spans="1:9">
      <c r="A51" s="11520" t="s">
        <v>460</v>
      </c>
      <c r="B51" s="11521" t="s">
        <v>0</v>
      </c>
      <c r="C51" s="11522" t="s">
        <v>500</v>
      </c>
      <c r="D51" s="11523" t="s">
        <v>501</v>
      </c>
      <c r="E51" s="11524" t="s">
        <v>502</v>
      </c>
      <c r="F51" s="11525" t="s">
        <v>503</v>
      </c>
      <c r="G51" s="11526" t="s">
        <v>504</v>
      </c>
      <c r="H51" s="11527" t="s">
        <v>508</v>
      </c>
      <c r="I51" s="11528" t="s">
        <v>509</v>
      </c>
    </row>
    <row r="52" spans="1:9">
      <c r="A52" s="11529">
        <v>21</v>
      </c>
      <c r="B52" s="11530" t="s">
        <v>3</v>
      </c>
      <c r="C52" s="11531">
        <f>IFERROR(SUMIFS($F$5:$F46, $C$5:$C46, A52, $D$5:$D46, B52), 0)</f>
        <v>77494.679999999993</v>
      </c>
      <c r="D52" s="11532">
        <f>IFERROR(SUMIFS($G$5:$G46, $C$5:$C46, A52, $D$5:$D46, B52), 0)</f>
        <v>77494.679999999993</v>
      </c>
      <c r="E52" s="11533">
        <f t="shared" ref="E52:E65" si="3">C52 - D52</f>
        <v>0</v>
      </c>
      <c r="F52" s="11534">
        <f>IFERROR(SUMIFS($I$5:$I46, $C$5:$C46, A52, $D$5:$D46, B52), 0)</f>
        <v>0</v>
      </c>
      <c r="G52" s="11535" t="str">
        <f t="shared" ref="G52:G65" si="4">IFERROR(IF(F52=0,"",D52/F52), "")</f>
        <v/>
      </c>
      <c r="H52" s="11536">
        <f>IFERROR(SUMIFS(Captura_Obra!$F:$F, Captura_Obra!$B:$B, B52, Captura_Obra!$M:$M, A52), 0)</f>
        <v>0</v>
      </c>
      <c r="I52" s="11537">
        <f t="shared" ref="I52:I65" si="5">IFERROR(C52 - (H52 * IF(F52=0,0,D52/F52)), "")</f>
        <v>77494.679999999993</v>
      </c>
    </row>
    <row r="53" spans="1:9">
      <c r="A53" s="11538">
        <v>22</v>
      </c>
      <c r="B53" s="11539" t="s">
        <v>478</v>
      </c>
      <c r="C53" s="11540">
        <f>IFERROR(SUMIFS($F$5:$F46, $C$5:$C46, A53, $D$5:$D46, B53), 0)</f>
        <v>8100.05</v>
      </c>
      <c r="D53" s="11541">
        <f>IFERROR(SUMIFS($G$5:$G46, $C$5:$C46, A53, $D$5:$D46, B53), 0)</f>
        <v>8100.05</v>
      </c>
      <c r="E53" s="11542">
        <f t="shared" si="3"/>
        <v>0</v>
      </c>
      <c r="F53" s="11543">
        <f>IFERROR(SUMIFS($I$5:$I46, $C$5:$C46, A53, $D$5:$D46, B53), 0)</f>
        <v>0</v>
      </c>
      <c r="G53" s="11544" t="str">
        <f t="shared" si="4"/>
        <v/>
      </c>
      <c r="H53" s="11545">
        <f>IFERROR(SUMIFS(Captura_Obra!$F:$F, Captura_Obra!$B:$B, B53, Captura_Obra!$M:$M, A53), 0)</f>
        <v>0</v>
      </c>
      <c r="I53" s="11546">
        <f t="shared" si="5"/>
        <v>8100.05</v>
      </c>
    </row>
    <row r="54" spans="1:9">
      <c r="A54" s="11547">
        <v>22</v>
      </c>
      <c r="B54" s="11548" t="s">
        <v>3</v>
      </c>
      <c r="C54" s="11549">
        <f>IFERROR(SUMIFS($F$5:$F46, $C$5:$C46, A54, $D$5:$D46, B54), 0)</f>
        <v>49420</v>
      </c>
      <c r="D54" s="11550">
        <f>IFERROR(SUMIFS($G$5:$G46, $C$5:$C46, A54, $D$5:$D46, B54), 0)</f>
        <v>49420</v>
      </c>
      <c r="E54" s="11551">
        <f t="shared" si="3"/>
        <v>0</v>
      </c>
      <c r="F54" s="11552">
        <f>IFERROR(SUMIFS($I$5:$I46, $C$5:$C46, A54, $D$5:$D46, B54), 0)</f>
        <v>0</v>
      </c>
      <c r="G54" s="11553" t="str">
        <f t="shared" si="4"/>
        <v/>
      </c>
      <c r="H54" s="11554">
        <f>IFERROR(SUMIFS(Captura_Obra!$F:$F, Captura_Obra!$B:$B, B54, Captura_Obra!$M:$M, A54), 0)</f>
        <v>0</v>
      </c>
      <c r="I54" s="11555">
        <f t="shared" si="5"/>
        <v>49420</v>
      </c>
    </row>
    <row r="55" spans="1:9">
      <c r="A55" s="11556">
        <v>23</v>
      </c>
      <c r="B55" s="11557" t="s">
        <v>1</v>
      </c>
      <c r="C55" s="11558">
        <f>IFERROR(SUMIFS($F$5:$F46, $C$5:$C46, A55, $D$5:$D46, B55), 0)</f>
        <v>40500.160000000003</v>
      </c>
      <c r="D55" s="11559">
        <f>IFERROR(SUMIFS($G$5:$G46, $C$5:$C46, A55, $D$5:$D46, B55), 0)</f>
        <v>40500.160000000003</v>
      </c>
      <c r="E55" s="11560">
        <f t="shared" si="3"/>
        <v>0</v>
      </c>
      <c r="F55" s="11561">
        <f>IFERROR(SUMIFS($I$5:$I46, $C$5:$C46, A55, $D$5:$D46, B55), 0)</f>
        <v>0</v>
      </c>
      <c r="G55" s="11562" t="str">
        <f t="shared" si="4"/>
        <v/>
      </c>
      <c r="H55" s="11563">
        <f>IFERROR(SUMIFS(Captura_Obra!$F:$F, Captura_Obra!$B:$B, B55, Captura_Obra!$M:$M, A55), 0)</f>
        <v>0</v>
      </c>
      <c r="I55" s="11564">
        <f t="shared" si="5"/>
        <v>40500.160000000003</v>
      </c>
    </row>
    <row r="56" spans="1:9">
      <c r="A56" s="11565">
        <v>23</v>
      </c>
      <c r="B56" s="11566" t="s">
        <v>124</v>
      </c>
      <c r="C56" s="11567">
        <f>IFERROR(SUMIFS($F$5:$F46, $C$5:$C46, A56, $D$5:$D46, B56), 0)</f>
        <v>16200.1</v>
      </c>
      <c r="D56" s="11568">
        <f>IFERROR(SUMIFS($G$5:$G46, $C$5:$C46, A56, $D$5:$D46, B56), 0)</f>
        <v>16200.1</v>
      </c>
      <c r="E56" s="11569">
        <f t="shared" si="3"/>
        <v>0</v>
      </c>
      <c r="F56" s="11570">
        <f>IFERROR(SUMIFS($I$5:$I46, $C$5:$C46, A56, $D$5:$D46, B56), 0)</f>
        <v>0</v>
      </c>
      <c r="G56" s="11571" t="str">
        <f t="shared" si="4"/>
        <v/>
      </c>
      <c r="H56" s="11572">
        <f>IFERROR(SUMIFS(Captura_Obra!$F:$F, Captura_Obra!$B:$B, B56, Captura_Obra!$M:$M, A56), 0)</f>
        <v>0</v>
      </c>
      <c r="I56" s="11573">
        <f t="shared" si="5"/>
        <v>16200.1</v>
      </c>
    </row>
    <row r="57" spans="1:9">
      <c r="A57" s="11574">
        <v>23</v>
      </c>
      <c r="B57" s="11575" t="s">
        <v>3</v>
      </c>
      <c r="C57" s="11576">
        <f>IFERROR(SUMIFS($F$5:$F46, $C$5:$C46, A57, $D$5:$D46, B57), 0)</f>
        <v>79515.31</v>
      </c>
      <c r="D57" s="11577">
        <f>IFERROR(SUMIFS($G$5:$G46, $C$5:$C46, A57, $D$5:$D46, B57), 0)</f>
        <v>79515.31</v>
      </c>
      <c r="E57" s="11578">
        <f t="shared" si="3"/>
        <v>0</v>
      </c>
      <c r="F57" s="11579">
        <f>IFERROR(SUMIFS($I$5:$I46, $C$5:$C46, A57, $D$5:$D46, B57), 0)</f>
        <v>0</v>
      </c>
      <c r="G57" s="11580" t="str">
        <f t="shared" si="4"/>
        <v/>
      </c>
      <c r="H57" s="11581">
        <f>IFERROR(SUMIFS(Captura_Obra!$F:$F, Captura_Obra!$B:$B, B57, Captura_Obra!$M:$M, A57), 0)</f>
        <v>0</v>
      </c>
      <c r="I57" s="11582">
        <f t="shared" si="5"/>
        <v>79515.31</v>
      </c>
    </row>
    <row r="58" spans="1:9">
      <c r="A58" s="11583">
        <v>24</v>
      </c>
      <c r="B58" s="11584" t="s">
        <v>1</v>
      </c>
      <c r="C58" s="11585">
        <f>IFERROR(SUMIFS($F$5:$F46, $C$5:$C46, A58, $D$5:$D46, B58), 0)</f>
        <v>31860.160000000003</v>
      </c>
      <c r="D58" s="11586">
        <f>IFERROR(SUMIFS($G$5:$G46, $C$5:$C46, A58, $D$5:$D46, B58), 0)</f>
        <v>31860.160000000003</v>
      </c>
      <c r="E58" s="11587">
        <f t="shared" si="3"/>
        <v>0</v>
      </c>
      <c r="F58" s="11588">
        <f>IFERROR(SUMIFS($I$5:$I46, $C$5:$C46, A58, $D$5:$D46, B58), 0)</f>
        <v>0</v>
      </c>
      <c r="G58" s="11589" t="str">
        <f t="shared" si="4"/>
        <v/>
      </c>
      <c r="H58" s="11590">
        <f>IFERROR(SUMIFS(Captura_Obra!$F:$F, Captura_Obra!$B:$B, B58, Captura_Obra!$M:$M, A58), 0)</f>
        <v>1285</v>
      </c>
      <c r="I58" s="11591">
        <f t="shared" si="5"/>
        <v>31860.160000000003</v>
      </c>
    </row>
    <row r="59" spans="1:9">
      <c r="A59" s="11592">
        <v>24</v>
      </c>
      <c r="B59" s="11593" t="s">
        <v>124</v>
      </c>
      <c r="C59" s="11594">
        <f>IFERROR(SUMIFS($F$5:$F46, $C$5:$C46, A59, $D$5:$D46, B59), 0)</f>
        <v>56664.429999999993</v>
      </c>
      <c r="D59" s="11595">
        <f>IFERROR(SUMIFS($G$5:$G46, $C$5:$C46, A59, $D$5:$D46, B59), 0)</f>
        <v>56664.429999999993</v>
      </c>
      <c r="E59" s="11596">
        <f t="shared" si="3"/>
        <v>0</v>
      </c>
      <c r="F59" s="11597">
        <f>IFERROR(SUMIFS($I$5:$I46, $C$5:$C46, A59, $D$5:$D46, B59), 0)</f>
        <v>0</v>
      </c>
      <c r="G59" s="11598" t="str">
        <f t="shared" si="4"/>
        <v/>
      </c>
      <c r="H59" s="11599">
        <f>IFERROR(SUMIFS(Captura_Obra!$F:$F, Captura_Obra!$B:$B, B59, Captura_Obra!$M:$M, A59), 0)</f>
        <v>0</v>
      </c>
      <c r="I59" s="11600">
        <f t="shared" si="5"/>
        <v>56664.429999999993</v>
      </c>
    </row>
    <row r="60" spans="1:9">
      <c r="A60" s="11601">
        <v>24</v>
      </c>
      <c r="B60" s="11602" t="s">
        <v>115</v>
      </c>
      <c r="C60" s="11603">
        <f>IFERROR(SUMIFS($F$5:$F46, $C$5:$C46, A60, $D$5:$D46, B60), 0)</f>
        <v>0</v>
      </c>
      <c r="D60" s="11604">
        <f>IFERROR(SUMIFS($G$5:$G46, $C$5:$C46, A60, $D$5:$D46, B60), 0)</f>
        <v>0</v>
      </c>
      <c r="E60" s="11605">
        <f t="shared" si="3"/>
        <v>0</v>
      </c>
      <c r="F60" s="11606">
        <f>IFERROR(SUMIFS($I$5:$I46, $C$5:$C46, A60, $D$5:$D46, B60), 0)</f>
        <v>0</v>
      </c>
      <c r="G60" s="11607" t="str">
        <f t="shared" si="4"/>
        <v/>
      </c>
      <c r="H60" s="11608">
        <f>IFERROR(SUMIFS(Captura_Obra!$F:$F, Captura_Obra!$B:$B, B60, Captura_Obra!$M:$M, A60), 0)</f>
        <v>0</v>
      </c>
      <c r="I60" s="11609">
        <f t="shared" si="5"/>
        <v>0</v>
      </c>
    </row>
    <row r="61" spans="1:9">
      <c r="A61" s="11610">
        <v>24</v>
      </c>
      <c r="B61" s="11611" t="s">
        <v>3</v>
      </c>
      <c r="C61" s="11612">
        <f>IFERROR(SUMIFS($F$5:$F46, $C$5:$C46, A61, $D$5:$D46, B61), 0)</f>
        <v>18360.830000000002</v>
      </c>
      <c r="D61" s="11613">
        <f>IFERROR(SUMIFS($G$5:$G46, $C$5:$C46, A61, $D$5:$D46, B61), 0)</f>
        <v>18360.830000000002</v>
      </c>
      <c r="E61" s="11614">
        <f t="shared" si="3"/>
        <v>0</v>
      </c>
      <c r="F61" s="11615">
        <f>IFERROR(SUMIFS($I$5:$I46, $C$5:$C46, A61, $D$5:$D46, B61), 0)</f>
        <v>0</v>
      </c>
      <c r="G61" s="11616" t="str">
        <f t="shared" si="4"/>
        <v/>
      </c>
      <c r="H61" s="11617">
        <f>IFERROR(SUMIFS(Captura_Obra!$F:$F, Captura_Obra!$B:$B, B61, Captura_Obra!$M:$M, A61), 0)</f>
        <v>1693</v>
      </c>
      <c r="I61" s="11618">
        <f t="shared" si="5"/>
        <v>18360.830000000002</v>
      </c>
    </row>
    <row r="62" spans="1:9">
      <c r="A62" s="11619">
        <v>25</v>
      </c>
      <c r="B62" s="11620" t="s">
        <v>1</v>
      </c>
      <c r="C62" s="11621">
        <f>IFERROR(SUMIFS($F$5:$F46, $C$5:$C46, A62, $D$5:$D46, B62), 0)</f>
        <v>65070.369999999995</v>
      </c>
      <c r="D62" s="11622">
        <f>IFERROR(SUMIFS($G$5:$G46, $C$5:$C46, A62, $D$5:$D46, B62), 0)</f>
        <v>65070.369999999995</v>
      </c>
      <c r="E62" s="11623">
        <f t="shared" si="3"/>
        <v>0</v>
      </c>
      <c r="F62" s="11624">
        <f>IFERROR(SUMIFS($I$5:$I46, $C$5:$C46, A62, $D$5:$D46, B62), 0)</f>
        <v>2410.0139999999997</v>
      </c>
      <c r="G62" s="11625">
        <f t="shared" si="4"/>
        <v>26.99999668051721</v>
      </c>
      <c r="H62" s="11626">
        <f>IFERROR(SUMIFS(Captura_Obra!$F:$F, Captura_Obra!$B:$B, B62, Captura_Obra!$M:$M, A62), 0)</f>
        <v>2185</v>
      </c>
      <c r="I62" s="11627">
        <f t="shared" si="5"/>
        <v>6075.3772530698916</v>
      </c>
    </row>
    <row r="63" spans="1:9">
      <c r="A63" s="11628">
        <v>25</v>
      </c>
      <c r="B63" s="11629" t="s">
        <v>124</v>
      </c>
      <c r="C63" s="11630">
        <f>IFERROR(SUMIFS($F$5:$F46, $C$5:$C46, A63, $D$5:$D46, B63), 0)</f>
        <v>67500.41</v>
      </c>
      <c r="D63" s="11631">
        <f>IFERROR(SUMIFS($G$5:$G46, $C$5:$C46, A63, $D$5:$D46, B63), 0)</f>
        <v>67500.41</v>
      </c>
      <c r="E63" s="11632">
        <f t="shared" si="3"/>
        <v>0</v>
      </c>
      <c r="F63" s="11633">
        <f>IFERROR(SUMIFS($I$5:$I46, $C$5:$C46, A63, $D$5:$D46, B63), 0)</f>
        <v>2500.0160000000001</v>
      </c>
      <c r="G63" s="11634">
        <f t="shared" si="4"/>
        <v>26.999991200056321</v>
      </c>
      <c r="H63" s="11635">
        <f>IFERROR(SUMIFS(Captura_Obra!$F:$F, Captura_Obra!$B:$B, B63, Captura_Obra!$M:$M, A63), 0)</f>
        <v>1600</v>
      </c>
      <c r="I63" s="11636">
        <f t="shared" si="5"/>
        <v>24300.424079909892</v>
      </c>
    </row>
    <row r="64" spans="1:9">
      <c r="A64" s="11637">
        <v>25</v>
      </c>
      <c r="B64" s="11638" t="s">
        <v>115</v>
      </c>
      <c r="C64" s="11639">
        <f>IFERROR(SUMIFS($F$5:$F46, $C$5:$C46, A64, $D$5:$D46, B64), 0)</f>
        <v>0</v>
      </c>
      <c r="D64" s="11640">
        <f>IFERROR(SUMIFS($G$5:$G46, $C$5:$C46, A64, $D$5:$D46, B64), 0)</f>
        <v>0</v>
      </c>
      <c r="E64" s="11641">
        <f t="shared" si="3"/>
        <v>0</v>
      </c>
      <c r="F64" s="11642">
        <f>IFERROR(SUMIFS($I$5:$I46, $C$5:$C46, A64, $D$5:$D46, B64), 0)</f>
        <v>0</v>
      </c>
      <c r="G64" s="11643" t="str">
        <f t="shared" si="4"/>
        <v/>
      </c>
      <c r="H64" s="11644">
        <f>IFERROR(SUMIFS(Captura_Obra!$F:$F, Captura_Obra!$B:$B, B64, Captura_Obra!$M:$M, A64), 0)</f>
        <v>0</v>
      </c>
      <c r="I64" s="11645">
        <f t="shared" si="5"/>
        <v>0</v>
      </c>
    </row>
    <row r="65" spans="1:9">
      <c r="A65" s="11646">
        <v>26</v>
      </c>
      <c r="B65" s="11647" t="s">
        <v>1</v>
      </c>
      <c r="C65" s="11648">
        <f>IFERROR(SUMIFS($F$5:$F46, $C$5:$C46, A65, $D$5:$D46, B65), 0)</f>
        <v>54020.240000000005</v>
      </c>
      <c r="D65" s="11649">
        <f>IFERROR(SUMIFS($G$5:$G46, $C$5:$C46, A65, $D$5:$D46, B65), 0)</f>
        <v>54020.08</v>
      </c>
      <c r="E65" s="11650">
        <f t="shared" si="3"/>
        <v>0.16000000000349246</v>
      </c>
      <c r="F65" s="11651">
        <f>IFERROR(SUMIFS($I$5:$I46, $C$5:$C46, A65, $D$5:$D46, B65), 0)</f>
        <v>2033</v>
      </c>
      <c r="G65" s="11652">
        <f t="shared" si="4"/>
        <v>26.571608460403347</v>
      </c>
      <c r="H65" s="11653">
        <f>IFERROR(SUMIFS(Captura_Obra!$F:$F, Captura_Obra!$B:$B, B65, Captura_Obra!$M:$M, A65), 0)</f>
        <v>2488</v>
      </c>
      <c r="I65" s="11654">
        <f t="shared" si="5"/>
        <v>-12089.921849483522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17"/>
  <sheetViews>
    <sheetView workbookViewId="0"/>
  </sheetViews>
  <sheetFormatPr baseColWidth="10" defaultRowHeight="13.8"/>
  <sheetData>
    <row r="1" spans="1:10" ht="17.399999999999999">
      <c r="A1" s="17993" t="s">
        <v>510</v>
      </c>
    </row>
    <row r="2" spans="1:10" ht="14.4">
      <c r="A2" s="17994" t="s">
        <v>580</v>
      </c>
    </row>
    <row r="4" spans="1:10" ht="15.6">
      <c r="A4" s="17995" t="s">
        <v>581</v>
      </c>
    </row>
    <row r="5" spans="1:10" ht="41.4">
      <c r="A5" s="11655" t="s">
        <v>511</v>
      </c>
      <c r="B5" s="11656" t="s">
        <v>582</v>
      </c>
      <c r="C5" s="11657" t="s">
        <v>583</v>
      </c>
      <c r="D5" s="11658" t="s">
        <v>512</v>
      </c>
      <c r="E5" s="11659" t="s">
        <v>513</v>
      </c>
      <c r="F5" s="11660" t="s">
        <v>514</v>
      </c>
      <c r="G5" s="11661" t="s">
        <v>584</v>
      </c>
      <c r="H5" s="11662" t="s">
        <v>515</v>
      </c>
      <c r="I5" s="11663" t="s">
        <v>516</v>
      </c>
      <c r="J5" s="11664" t="s">
        <v>585</v>
      </c>
    </row>
    <row r="6" spans="1:10">
      <c r="A6" s="17996" t="s">
        <v>586</v>
      </c>
    </row>
    <row r="7" spans="1:10">
      <c r="A7" s="11665">
        <v>1</v>
      </c>
      <c r="B7" s="11666" t="s">
        <v>587</v>
      </c>
      <c r="C7" s="11667"/>
      <c r="D7" s="11668" t="s">
        <v>517</v>
      </c>
      <c r="E7" s="11669" t="s">
        <v>518</v>
      </c>
      <c r="F7" s="11670" t="s">
        <v>519</v>
      </c>
      <c r="G7" s="11671" t="s">
        <v>111</v>
      </c>
      <c r="H7" s="11672">
        <v>1200</v>
      </c>
      <c r="I7" s="11673" t="s">
        <v>520</v>
      </c>
      <c r="J7" s="11674"/>
    </row>
    <row r="8" spans="1:10">
      <c r="A8" s="11675">
        <v>2</v>
      </c>
      <c r="B8" s="11676" t="s">
        <v>587</v>
      </c>
      <c r="C8" s="11677"/>
      <c r="D8" s="11678" t="s">
        <v>521</v>
      </c>
      <c r="E8" s="11679" t="s">
        <v>522</v>
      </c>
      <c r="F8" s="11680" t="s">
        <v>538</v>
      </c>
      <c r="G8" s="11681" t="s">
        <v>111</v>
      </c>
      <c r="H8" s="11682">
        <v>500</v>
      </c>
      <c r="I8" s="11683" t="s">
        <v>520</v>
      </c>
      <c r="J8" s="11684"/>
    </row>
    <row r="9" spans="1:10">
      <c r="A9" s="11685">
        <v>3</v>
      </c>
      <c r="B9" s="11686" t="s">
        <v>587</v>
      </c>
      <c r="C9" s="11687"/>
      <c r="D9" s="11688" t="s">
        <v>523</v>
      </c>
      <c r="E9" s="11689" t="s">
        <v>524</v>
      </c>
      <c r="F9" s="11690" t="s">
        <v>525</v>
      </c>
      <c r="G9" s="11691" t="s">
        <v>588</v>
      </c>
      <c r="H9" s="11692">
        <v>2500</v>
      </c>
      <c r="I9" s="11693" t="s">
        <v>520</v>
      </c>
      <c r="J9" s="11694"/>
    </row>
    <row r="10" spans="1:10" ht="41.4">
      <c r="A10" s="11695">
        <v>4</v>
      </c>
      <c r="B10" s="11696" t="s">
        <v>587</v>
      </c>
      <c r="C10" s="11697"/>
      <c r="D10" s="11698" t="s">
        <v>526</v>
      </c>
      <c r="E10" s="11699" t="s">
        <v>518</v>
      </c>
      <c r="F10" s="11700" t="s">
        <v>589</v>
      </c>
      <c r="G10" s="11701" t="s">
        <v>1</v>
      </c>
      <c r="H10" s="11702">
        <v>1500</v>
      </c>
      <c r="I10" s="11703" t="s">
        <v>520</v>
      </c>
      <c r="J10" s="11704" t="s">
        <v>590</v>
      </c>
    </row>
    <row r="11" spans="1:10">
      <c r="A11" s="11705">
        <v>5</v>
      </c>
      <c r="B11" s="11706" t="s">
        <v>587</v>
      </c>
      <c r="C11" s="11707"/>
      <c r="D11" s="11708" t="s">
        <v>527</v>
      </c>
      <c r="E11" s="11709" t="s">
        <v>528</v>
      </c>
      <c r="F11" s="11710" t="s">
        <v>529</v>
      </c>
      <c r="G11" s="11711" t="s">
        <v>115</v>
      </c>
      <c r="H11" s="11712">
        <v>1500</v>
      </c>
      <c r="I11" s="11713" t="s">
        <v>520</v>
      </c>
      <c r="J11" s="11714"/>
    </row>
    <row r="12" spans="1:10">
      <c r="A12" s="11715">
        <v>6</v>
      </c>
      <c r="B12" s="11716" t="s">
        <v>587</v>
      </c>
      <c r="C12" s="11717"/>
      <c r="D12" s="11718" t="s">
        <v>530</v>
      </c>
      <c r="E12" s="11719" t="s">
        <v>531</v>
      </c>
      <c r="F12" s="11720" t="s">
        <v>532</v>
      </c>
      <c r="G12" s="11721" t="s">
        <v>115</v>
      </c>
      <c r="H12" s="11722">
        <v>1500</v>
      </c>
      <c r="I12" s="11723" t="s">
        <v>520</v>
      </c>
      <c r="J12" s="11724"/>
    </row>
    <row r="13" spans="1:10">
      <c r="A13" s="11725">
        <v>7</v>
      </c>
      <c r="B13" s="11726" t="s">
        <v>587</v>
      </c>
      <c r="C13" s="11727"/>
      <c r="D13" s="11728" t="s">
        <v>533</v>
      </c>
      <c r="E13" s="11729" t="s">
        <v>534</v>
      </c>
      <c r="F13" s="11730" t="s">
        <v>535</v>
      </c>
      <c r="G13" s="11731" t="s">
        <v>111</v>
      </c>
      <c r="H13" s="11732">
        <v>1500</v>
      </c>
      <c r="I13" s="11733" t="s">
        <v>520</v>
      </c>
      <c r="J13" s="11734"/>
    </row>
    <row r="14" spans="1:10">
      <c r="A14" s="11735">
        <v>8</v>
      </c>
      <c r="B14" s="11736" t="s">
        <v>587</v>
      </c>
      <c r="C14" s="11737"/>
      <c r="D14" s="11738" t="s">
        <v>536</v>
      </c>
      <c r="E14" s="11739" t="s">
        <v>537</v>
      </c>
      <c r="F14" s="11740" t="s">
        <v>538</v>
      </c>
      <c r="G14" s="11741" t="s">
        <v>111</v>
      </c>
      <c r="H14" s="11742">
        <v>500</v>
      </c>
      <c r="I14" s="11743" t="s">
        <v>520</v>
      </c>
      <c r="J14" s="11744"/>
    </row>
    <row r="15" spans="1:10">
      <c r="A15" s="11745">
        <v>9</v>
      </c>
      <c r="B15" s="11746" t="s">
        <v>587</v>
      </c>
      <c r="C15" s="11747"/>
      <c r="D15" s="11748" t="s">
        <v>539</v>
      </c>
      <c r="E15" s="11749" t="s">
        <v>534</v>
      </c>
      <c r="F15" s="11750" t="s">
        <v>540</v>
      </c>
      <c r="G15" s="11751" t="s">
        <v>1</v>
      </c>
      <c r="H15" s="11752">
        <v>3000</v>
      </c>
      <c r="I15" s="11753" t="s">
        <v>541</v>
      </c>
      <c r="J15" s="11754"/>
    </row>
    <row r="16" spans="1:10">
      <c r="A16" s="11755">
        <v>10</v>
      </c>
      <c r="B16" s="11756" t="s">
        <v>587</v>
      </c>
      <c r="C16" s="11757"/>
      <c r="D16" s="11758" t="s">
        <v>542</v>
      </c>
      <c r="E16" s="11759" t="s">
        <v>543</v>
      </c>
      <c r="F16" s="11760" t="s">
        <v>544</v>
      </c>
      <c r="G16" s="11761" t="s">
        <v>1</v>
      </c>
      <c r="H16" s="11762">
        <v>2500</v>
      </c>
      <c r="I16" s="11763" t="s">
        <v>541</v>
      </c>
      <c r="J16" s="11764"/>
    </row>
    <row r="17" spans="1:10">
      <c r="A17" s="11765">
        <v>11</v>
      </c>
      <c r="B17" s="11766" t="s">
        <v>587</v>
      </c>
      <c r="C17" s="11767"/>
      <c r="D17" s="11768" t="s">
        <v>545</v>
      </c>
      <c r="E17" s="11769" t="s">
        <v>546</v>
      </c>
      <c r="F17" s="11770" t="s">
        <v>547</v>
      </c>
      <c r="G17" s="11771" t="s">
        <v>1</v>
      </c>
      <c r="H17" s="11772">
        <v>4000</v>
      </c>
      <c r="I17" s="11773" t="s">
        <v>541</v>
      </c>
      <c r="J17" s="11774"/>
    </row>
    <row r="18" spans="1:10">
      <c r="A18" s="11775">
        <v>12</v>
      </c>
      <c r="B18" s="11776" t="s">
        <v>587</v>
      </c>
      <c r="C18" s="11777"/>
      <c r="D18" s="11778" t="s">
        <v>548</v>
      </c>
      <c r="E18" s="11779" t="s">
        <v>534</v>
      </c>
      <c r="F18" s="11780" t="s">
        <v>549</v>
      </c>
      <c r="G18" s="11781" t="s">
        <v>2</v>
      </c>
      <c r="H18" s="11782">
        <v>2500</v>
      </c>
      <c r="I18" s="11783" t="s">
        <v>520</v>
      </c>
      <c r="J18" s="11784"/>
    </row>
    <row r="19" spans="1:10">
      <c r="A19" s="11785">
        <v>13</v>
      </c>
      <c r="B19" s="11786" t="s">
        <v>587</v>
      </c>
      <c r="C19" s="11787"/>
      <c r="D19" s="11788" t="s">
        <v>550</v>
      </c>
      <c r="E19" s="11789" t="s">
        <v>534</v>
      </c>
      <c r="F19" s="11790" t="s">
        <v>551</v>
      </c>
      <c r="G19" s="11791" t="s">
        <v>2</v>
      </c>
      <c r="H19" s="11792">
        <v>1500</v>
      </c>
      <c r="I19" s="11793" t="s">
        <v>520</v>
      </c>
      <c r="J19" s="11794"/>
    </row>
    <row r="20" spans="1:10">
      <c r="A20" s="11795">
        <v>14</v>
      </c>
      <c r="B20" s="11796" t="s">
        <v>587</v>
      </c>
      <c r="C20" s="11797"/>
      <c r="D20" s="11798" t="s">
        <v>552</v>
      </c>
      <c r="E20" s="11799" t="s">
        <v>546</v>
      </c>
      <c r="F20" s="11800" t="s">
        <v>553</v>
      </c>
      <c r="G20" s="11801" t="s">
        <v>2</v>
      </c>
      <c r="H20" s="11802">
        <v>3000</v>
      </c>
      <c r="I20" s="11803" t="s">
        <v>520</v>
      </c>
      <c r="J20" s="11804"/>
    </row>
    <row r="21" spans="1:10">
      <c r="A21" s="11805">
        <v>15</v>
      </c>
      <c r="B21" s="11806" t="s">
        <v>587</v>
      </c>
      <c r="C21" s="11807"/>
      <c r="D21" s="11808" t="s">
        <v>554</v>
      </c>
      <c r="E21" s="11809" t="s">
        <v>555</v>
      </c>
      <c r="F21" s="11810" t="s">
        <v>556</v>
      </c>
      <c r="G21" s="11811" t="s">
        <v>2</v>
      </c>
      <c r="H21" s="11812">
        <v>2500</v>
      </c>
      <c r="I21" s="11813" t="s">
        <v>520</v>
      </c>
      <c r="J21" s="11814"/>
    </row>
    <row r="22" spans="1:10">
      <c r="A22" s="11815">
        <v>16</v>
      </c>
      <c r="B22" s="11816" t="s">
        <v>587</v>
      </c>
      <c r="C22" s="11817"/>
      <c r="D22" s="11818" t="s">
        <v>591</v>
      </c>
      <c r="E22" s="11819" t="s">
        <v>557</v>
      </c>
      <c r="F22" s="11820" t="s">
        <v>538</v>
      </c>
      <c r="G22" s="11821" t="s">
        <v>2</v>
      </c>
      <c r="H22" s="11822">
        <v>300</v>
      </c>
      <c r="I22" s="11823" t="s">
        <v>520</v>
      </c>
      <c r="J22" s="11824"/>
    </row>
    <row r="23" spans="1:10">
      <c r="A23" s="11825">
        <v>17</v>
      </c>
      <c r="B23" s="11826" t="s">
        <v>587</v>
      </c>
      <c r="C23" s="11827"/>
      <c r="D23" s="11828" t="s">
        <v>591</v>
      </c>
      <c r="E23" s="11829" t="s">
        <v>558</v>
      </c>
      <c r="F23" s="11830" t="s">
        <v>538</v>
      </c>
      <c r="G23" s="11831" t="s">
        <v>2</v>
      </c>
      <c r="H23" s="11832">
        <v>300</v>
      </c>
      <c r="I23" s="11833" t="s">
        <v>520</v>
      </c>
      <c r="J23" s="11834"/>
    </row>
    <row r="24" spans="1:10">
      <c r="A24" s="11835">
        <v>18</v>
      </c>
      <c r="B24" s="11836" t="s">
        <v>587</v>
      </c>
      <c r="C24" s="11837"/>
      <c r="D24" s="11838" t="s">
        <v>591</v>
      </c>
      <c r="E24" s="11839" t="s">
        <v>559</v>
      </c>
      <c r="F24" s="11840" t="s">
        <v>538</v>
      </c>
      <c r="G24" s="11841" t="s">
        <v>2</v>
      </c>
      <c r="H24" s="11842">
        <v>300</v>
      </c>
      <c r="I24" s="11843" t="s">
        <v>520</v>
      </c>
      <c r="J24" s="11844"/>
    </row>
    <row r="25" spans="1:10">
      <c r="A25" s="11845">
        <v>19</v>
      </c>
      <c r="B25" s="11846" t="s">
        <v>587</v>
      </c>
      <c r="C25" s="11847"/>
      <c r="D25" s="11848" t="s">
        <v>560</v>
      </c>
      <c r="E25" s="11849" t="s">
        <v>592</v>
      </c>
      <c r="F25" s="11850" t="s">
        <v>561</v>
      </c>
      <c r="G25" s="11851" t="s">
        <v>124</v>
      </c>
      <c r="H25" s="11852">
        <v>2500</v>
      </c>
      <c r="I25" s="11853" t="s">
        <v>541</v>
      </c>
      <c r="J25" s="11854"/>
    </row>
    <row r="26" spans="1:10">
      <c r="A26" s="11855">
        <v>20</v>
      </c>
      <c r="B26" s="11856" t="s">
        <v>587</v>
      </c>
      <c r="C26" s="11857"/>
      <c r="D26" s="11858" t="s">
        <v>562</v>
      </c>
      <c r="E26" s="11859" t="s">
        <v>563</v>
      </c>
      <c r="F26" s="11860" t="s">
        <v>538</v>
      </c>
      <c r="G26" s="11861" t="s">
        <v>124</v>
      </c>
      <c r="H26" s="11862">
        <v>1000</v>
      </c>
      <c r="I26" s="11863" t="s">
        <v>541</v>
      </c>
      <c r="J26" s="11864"/>
    </row>
    <row r="27" spans="1:10">
      <c r="A27" s="11865">
        <v>21</v>
      </c>
      <c r="B27" s="11866" t="s">
        <v>587</v>
      </c>
      <c r="C27" s="11867"/>
      <c r="D27" s="11868" t="s">
        <v>564</v>
      </c>
      <c r="E27" s="11869" t="s">
        <v>565</v>
      </c>
      <c r="F27" s="11870" t="s">
        <v>566</v>
      </c>
      <c r="G27" s="11871" t="s">
        <v>567</v>
      </c>
      <c r="H27" s="11872">
        <v>2500</v>
      </c>
      <c r="I27" s="11873" t="s">
        <v>520</v>
      </c>
      <c r="J27" s="11874"/>
    </row>
    <row r="28" spans="1:10">
      <c r="A28" s="11875">
        <v>22</v>
      </c>
      <c r="B28" s="11876" t="s">
        <v>587</v>
      </c>
      <c r="C28" s="11877"/>
      <c r="D28" s="11878" t="s">
        <v>568</v>
      </c>
      <c r="E28" s="11879" t="s">
        <v>569</v>
      </c>
      <c r="F28" s="11880" t="s">
        <v>570</v>
      </c>
      <c r="G28" s="11881" t="s">
        <v>567</v>
      </c>
      <c r="H28" s="11882">
        <v>1000</v>
      </c>
      <c r="I28" s="11883" t="s">
        <v>520</v>
      </c>
      <c r="J28" s="11884"/>
    </row>
    <row r="29" spans="1:10">
      <c r="A29" s="11885">
        <v>23</v>
      </c>
      <c r="B29" s="11886" t="s">
        <v>587</v>
      </c>
      <c r="C29" s="11887"/>
      <c r="D29" s="11888" t="s">
        <v>571</v>
      </c>
      <c r="E29" s="11889" t="s">
        <v>572</v>
      </c>
      <c r="F29" s="11890" t="s">
        <v>538</v>
      </c>
      <c r="G29" s="11891" t="s">
        <v>567</v>
      </c>
      <c r="H29" s="11892">
        <v>500</v>
      </c>
      <c r="I29" s="11893" t="s">
        <v>520</v>
      </c>
      <c r="J29" s="11894"/>
    </row>
    <row r="30" spans="1:10">
      <c r="A30" s="11895">
        <v>24</v>
      </c>
      <c r="B30" s="11896" t="s">
        <v>587</v>
      </c>
      <c r="C30" s="11897"/>
      <c r="D30" s="11898" t="s">
        <v>571</v>
      </c>
      <c r="E30" s="11899" t="s">
        <v>573</v>
      </c>
      <c r="F30" s="11900" t="s">
        <v>538</v>
      </c>
      <c r="G30" s="11901" t="s">
        <v>567</v>
      </c>
      <c r="H30" s="11902">
        <v>500</v>
      </c>
      <c r="I30" s="11903" t="s">
        <v>520</v>
      </c>
      <c r="J30" s="11904"/>
    </row>
    <row r="31" spans="1:10">
      <c r="A31" s="11905">
        <v>25</v>
      </c>
      <c r="B31" s="11906" t="s">
        <v>587</v>
      </c>
      <c r="C31" s="11907"/>
      <c r="D31" s="11908" t="s">
        <v>574</v>
      </c>
      <c r="E31" s="11909" t="s">
        <v>534</v>
      </c>
      <c r="F31" s="11910" t="s">
        <v>575</v>
      </c>
      <c r="G31" s="11911" t="s">
        <v>576</v>
      </c>
      <c r="H31" s="11912">
        <v>800</v>
      </c>
      <c r="I31" s="11913" t="s">
        <v>520</v>
      </c>
      <c r="J31" s="11914"/>
    </row>
    <row r="32" spans="1:10">
      <c r="A32" s="11915">
        <v>26</v>
      </c>
      <c r="B32" s="11916" t="s">
        <v>587</v>
      </c>
      <c r="C32" s="11917"/>
      <c r="D32" s="11918" t="s">
        <v>577</v>
      </c>
      <c r="E32" s="11919" t="s">
        <v>537</v>
      </c>
      <c r="F32" s="11920" t="s">
        <v>538</v>
      </c>
      <c r="G32" s="11921" t="s">
        <v>576</v>
      </c>
      <c r="H32" s="11922">
        <v>0</v>
      </c>
      <c r="I32" s="11923" t="s">
        <v>520</v>
      </c>
      <c r="J32" s="11924"/>
    </row>
    <row r="33" spans="1:11">
      <c r="A33" s="11925">
        <v>27</v>
      </c>
      <c r="B33" s="11926" t="s">
        <v>587</v>
      </c>
      <c r="C33" s="11927"/>
      <c r="D33" s="11928" t="s">
        <v>578</v>
      </c>
      <c r="E33" s="11929" t="s">
        <v>534</v>
      </c>
      <c r="F33" s="11930" t="s">
        <v>579</v>
      </c>
      <c r="G33" s="11931" t="s">
        <v>1</v>
      </c>
      <c r="H33" s="11932">
        <v>3000</v>
      </c>
      <c r="I33" s="11933" t="s">
        <v>541</v>
      </c>
      <c r="J33" s="11934"/>
    </row>
    <row r="34" spans="1:11">
      <c r="G34" s="11935" t="s">
        <v>593</v>
      </c>
      <c r="H34" s="11936">
        <f>SUM(H7:H33)</f>
        <v>42400</v>
      </c>
    </row>
    <row r="35" spans="1:11">
      <c r="A35" s="17997" t="s">
        <v>594</v>
      </c>
    </row>
    <row r="36" spans="1:11">
      <c r="A36" s="11937">
        <v>28</v>
      </c>
      <c r="B36" s="11938" t="s">
        <v>595</v>
      </c>
      <c r="C36" s="11939"/>
      <c r="D36" s="11940" t="s">
        <v>596</v>
      </c>
      <c r="E36" s="11941"/>
      <c r="F36" s="11942" t="s">
        <v>538</v>
      </c>
      <c r="G36" s="11943" t="s">
        <v>597</v>
      </c>
      <c r="H36" s="11944">
        <v>1700</v>
      </c>
      <c r="I36" s="11945" t="s">
        <v>520</v>
      </c>
      <c r="J36" s="11946"/>
    </row>
    <row r="37" spans="1:11">
      <c r="A37" s="11947">
        <v>29</v>
      </c>
      <c r="B37" s="11948" t="s">
        <v>595</v>
      </c>
      <c r="C37" s="11949"/>
      <c r="D37" s="11950" t="s">
        <v>598</v>
      </c>
      <c r="E37" s="11951"/>
      <c r="F37" s="11952" t="s">
        <v>538</v>
      </c>
      <c r="G37" s="11953" t="s">
        <v>597</v>
      </c>
      <c r="H37" s="11954">
        <v>2500</v>
      </c>
      <c r="I37" s="11955" t="s">
        <v>520</v>
      </c>
      <c r="J37" s="11956"/>
    </row>
    <row r="38" spans="1:11">
      <c r="A38" s="11957">
        <v>30</v>
      </c>
      <c r="B38" s="11958" t="s">
        <v>595</v>
      </c>
      <c r="C38" s="11959"/>
      <c r="D38" s="11960" t="s">
        <v>599</v>
      </c>
      <c r="E38" s="11961"/>
      <c r="F38" s="11962" t="s">
        <v>538</v>
      </c>
      <c r="G38" s="11963" t="s">
        <v>597</v>
      </c>
      <c r="H38" s="11964">
        <v>2000</v>
      </c>
      <c r="I38" s="11965" t="s">
        <v>520</v>
      </c>
      <c r="J38" s="11966"/>
    </row>
    <row r="39" spans="1:11">
      <c r="A39" s="11967">
        <v>31</v>
      </c>
      <c r="B39" s="11968" t="s">
        <v>595</v>
      </c>
      <c r="C39" s="11969"/>
      <c r="D39" s="11970" t="s">
        <v>600</v>
      </c>
      <c r="E39" s="11971"/>
      <c r="F39" s="11972" t="s">
        <v>538</v>
      </c>
      <c r="G39" s="11973" t="s">
        <v>597</v>
      </c>
      <c r="H39" s="11974">
        <v>2000</v>
      </c>
      <c r="I39" s="11975" t="s">
        <v>520</v>
      </c>
      <c r="J39" s="11976"/>
    </row>
    <row r="40" spans="1:11">
      <c r="G40" s="11977" t="s">
        <v>601</v>
      </c>
      <c r="H40" s="11978">
        <f>SUM(H36:H39)</f>
        <v>8200</v>
      </c>
    </row>
    <row r="41" spans="1:11">
      <c r="A41" s="17990" t="s">
        <v>602</v>
      </c>
    </row>
    <row r="42" spans="1:11">
      <c r="A42" s="11979">
        <v>32</v>
      </c>
      <c r="B42" s="11980" t="s">
        <v>603</v>
      </c>
      <c r="C42" s="11981" t="s">
        <v>604</v>
      </c>
      <c r="D42" s="11982" t="s">
        <v>605</v>
      </c>
      <c r="E42" s="11983" t="s">
        <v>606</v>
      </c>
      <c r="F42" s="11984" t="s">
        <v>607</v>
      </c>
      <c r="G42" s="11985" t="s">
        <v>608</v>
      </c>
      <c r="H42" s="11986">
        <v>2500</v>
      </c>
      <c r="I42" s="11987" t="s">
        <v>520</v>
      </c>
      <c r="J42" s="11988"/>
    </row>
    <row r="43" spans="1:11">
      <c r="A43" s="11989">
        <v>33</v>
      </c>
      <c r="B43" s="11990" t="s">
        <v>603</v>
      </c>
      <c r="C43" s="11991" t="s">
        <v>609</v>
      </c>
      <c r="D43" s="11992" t="s">
        <v>610</v>
      </c>
      <c r="E43" s="11993" t="s">
        <v>611</v>
      </c>
      <c r="F43" s="11994" t="s">
        <v>612</v>
      </c>
      <c r="G43" s="11995" t="s">
        <v>608</v>
      </c>
      <c r="H43" s="11996">
        <v>1500</v>
      </c>
      <c r="I43" s="11997" t="s">
        <v>520</v>
      </c>
      <c r="J43" s="11998"/>
    </row>
    <row r="44" spans="1:11">
      <c r="A44" s="11999">
        <v>34</v>
      </c>
      <c r="B44" s="12000" t="s">
        <v>603</v>
      </c>
      <c r="C44" s="12001" t="s">
        <v>613</v>
      </c>
      <c r="D44" s="12002" t="s">
        <v>614</v>
      </c>
      <c r="E44" s="12003" t="s">
        <v>615</v>
      </c>
      <c r="F44" s="12004" t="s">
        <v>616</v>
      </c>
      <c r="G44" s="12005" t="s">
        <v>608</v>
      </c>
      <c r="H44" s="12006">
        <v>2000</v>
      </c>
      <c r="I44" s="12007" t="s">
        <v>520</v>
      </c>
      <c r="J44" s="12008"/>
    </row>
    <row r="45" spans="1:11">
      <c r="A45" s="12009">
        <v>35</v>
      </c>
      <c r="B45" s="12010" t="s">
        <v>603</v>
      </c>
      <c r="C45" s="12011" t="s">
        <v>617</v>
      </c>
      <c r="D45" s="12012" t="s">
        <v>618</v>
      </c>
      <c r="E45" s="12013" t="s">
        <v>615</v>
      </c>
      <c r="F45" s="12014" t="s">
        <v>619</v>
      </c>
      <c r="G45" s="12015" t="s">
        <v>620</v>
      </c>
      <c r="H45" s="12016">
        <v>1500</v>
      </c>
      <c r="I45" s="12017" t="s">
        <v>520</v>
      </c>
      <c r="J45" s="12018"/>
    </row>
    <row r="46" spans="1:11">
      <c r="A46" s="12019">
        <v>36</v>
      </c>
      <c r="B46" s="12020" t="s">
        <v>603</v>
      </c>
      <c r="C46" s="12021" t="s">
        <v>621</v>
      </c>
      <c r="D46" s="12022" t="s">
        <v>622</v>
      </c>
      <c r="E46" s="12023" t="s">
        <v>615</v>
      </c>
      <c r="F46" s="12024" t="s">
        <v>623</v>
      </c>
      <c r="G46" s="12025" t="s">
        <v>620</v>
      </c>
      <c r="H46" s="12026">
        <v>1500</v>
      </c>
      <c r="I46" s="12027" t="s">
        <v>520</v>
      </c>
      <c r="J46" s="12028"/>
    </row>
    <row r="47" spans="1:11">
      <c r="A47" s="12029">
        <v>37</v>
      </c>
      <c r="B47" s="12030" t="s">
        <v>603</v>
      </c>
      <c r="C47" s="12031" t="s">
        <v>624</v>
      </c>
      <c r="D47" s="12032" t="s">
        <v>625</v>
      </c>
      <c r="E47" s="12033" t="s">
        <v>518</v>
      </c>
      <c r="F47" s="12034" t="s">
        <v>626</v>
      </c>
      <c r="G47" s="12035" t="s">
        <v>627</v>
      </c>
      <c r="H47" s="12036">
        <v>2000</v>
      </c>
      <c r="I47" s="12037" t="s">
        <v>520</v>
      </c>
      <c r="J47" s="12038"/>
    </row>
    <row r="48" spans="1:11">
      <c r="B48">
        <v>46195</v>
      </c>
      <c r="C48" t="s">
        <v>659</v>
      </c>
      <c r="D48" t="s">
        <v>660</v>
      </c>
      <c r="E48" t="s">
        <v>661</v>
      </c>
      <c r="G48" s="12039">
        <v>1473.84</v>
      </c>
      <c r="H48" s="12040">
        <v>64.388000000000005</v>
      </c>
      <c r="I48">
        <v>22.89</v>
      </c>
      <c r="K48" t="s">
        <v>520</v>
      </c>
    </row>
    <row r="49" spans="1:15">
      <c r="B49">
        <v>46195</v>
      </c>
      <c r="C49" t="s">
        <v>662</v>
      </c>
      <c r="D49" t="s">
        <v>663</v>
      </c>
      <c r="E49" t="s">
        <v>664</v>
      </c>
      <c r="G49" s="12041">
        <v>800</v>
      </c>
      <c r="H49" s="12042">
        <v>34.950000000000003</v>
      </c>
      <c r="I49">
        <v>22.89</v>
      </c>
      <c r="K49" t="s">
        <v>520</v>
      </c>
    </row>
    <row r="50" spans="1:15">
      <c r="B50">
        <v>46195</v>
      </c>
      <c r="C50" t="s">
        <v>662</v>
      </c>
      <c r="D50" t="s">
        <v>663</v>
      </c>
      <c r="E50" t="s">
        <v>664</v>
      </c>
      <c r="G50">
        <v>500</v>
      </c>
      <c r="H50">
        <v>21.844000000000001</v>
      </c>
      <c r="I50">
        <v>22.89</v>
      </c>
      <c r="K50" t="s">
        <v>520</v>
      </c>
    </row>
    <row r="51" spans="1:15" ht="15.6">
      <c r="A51" s="17991" t="s">
        <v>628</v>
      </c>
      <c r="B51">
        <v>46195</v>
      </c>
      <c r="C51" t="s">
        <v>665</v>
      </c>
      <c r="D51" t="s">
        <v>666</v>
      </c>
      <c r="E51" t="s">
        <v>667</v>
      </c>
      <c r="G51">
        <v>500</v>
      </c>
      <c r="H51">
        <v>21.844000000000001</v>
      </c>
      <c r="I51">
        <v>22.89</v>
      </c>
      <c r="K51" t="s">
        <v>520</v>
      </c>
    </row>
    <row r="52" spans="1:15" ht="82.8">
      <c r="A52" s="12043" t="s">
        <v>460</v>
      </c>
      <c r="B52" s="12044">
        <v>46195</v>
      </c>
      <c r="C52" s="12045" t="s">
        <v>668</v>
      </c>
      <c r="D52" s="12046" t="s">
        <v>669</v>
      </c>
      <c r="E52" s="12047" t="s">
        <v>670</v>
      </c>
      <c r="F52" s="12048" t="s">
        <v>630</v>
      </c>
      <c r="G52" s="12049">
        <v>800</v>
      </c>
      <c r="H52" s="12050">
        <v>34.950000000000003</v>
      </c>
      <c r="I52" s="12051">
        <v>22.89</v>
      </c>
      <c r="J52" s="12052" t="s">
        <v>631</v>
      </c>
      <c r="K52" s="12053" t="s">
        <v>520</v>
      </c>
      <c r="L52" s="12054" t="s">
        <v>632</v>
      </c>
      <c r="M52" s="12055" t="s">
        <v>633</v>
      </c>
      <c r="N52" s="12056" t="s">
        <v>634</v>
      </c>
      <c r="O52" s="12057" t="s">
        <v>635</v>
      </c>
    </row>
    <row r="53" spans="1:15" ht="46.2">
      <c r="A53" s="12058">
        <v>26</v>
      </c>
      <c r="B53" s="12059">
        <v>46195</v>
      </c>
      <c r="C53" s="12060" t="s">
        <v>671</v>
      </c>
      <c r="D53" s="12061" t="s">
        <v>672</v>
      </c>
      <c r="E53" s="12062" t="s">
        <v>673</v>
      </c>
      <c r="F53" s="12063">
        <v>1500</v>
      </c>
      <c r="G53" s="12064">
        <v>500</v>
      </c>
      <c r="H53" s="12065">
        <v>21.844000000000001</v>
      </c>
      <c r="I53" s="12066">
        <v>22.89</v>
      </c>
      <c r="J53" s="12067">
        <v>500</v>
      </c>
      <c r="K53" s="12068" t="s">
        <v>520</v>
      </c>
      <c r="L53" s="12069" t="s">
        <v>520</v>
      </c>
      <c r="M53" s="12070" t="s">
        <v>636</v>
      </c>
      <c r="N53" s="12071">
        <v>-500</v>
      </c>
      <c r="O53" s="12072" t="s">
        <v>637</v>
      </c>
    </row>
    <row r="54" spans="1:15">
      <c r="A54" s="12073">
        <v>26</v>
      </c>
      <c r="B54" s="12074">
        <v>46195</v>
      </c>
      <c r="C54" s="12075" t="s">
        <v>674</v>
      </c>
      <c r="D54" s="12076" t="s">
        <v>560</v>
      </c>
      <c r="E54" s="12077" t="s">
        <v>675</v>
      </c>
      <c r="F54" s="12078">
        <v>3000</v>
      </c>
      <c r="G54" s="12079">
        <v>1000</v>
      </c>
      <c r="H54" s="12080">
        <v>43.686999999999998</v>
      </c>
      <c r="I54" s="12081">
        <v>22.89</v>
      </c>
      <c r="J54" s="12082">
        <v>1000</v>
      </c>
      <c r="K54" s="12083" t="s">
        <v>520</v>
      </c>
      <c r="L54" s="12084" t="s">
        <v>541</v>
      </c>
      <c r="M54" s="12085" t="s">
        <v>638</v>
      </c>
      <c r="N54" s="12086">
        <v>-1500</v>
      </c>
      <c r="O54" s="12087" t="s">
        <v>639</v>
      </c>
    </row>
    <row r="55" spans="1:15" ht="46.2">
      <c r="A55" s="12088">
        <v>26</v>
      </c>
      <c r="B55" s="12089">
        <v>46195</v>
      </c>
      <c r="C55" s="12090" t="s">
        <v>676</v>
      </c>
      <c r="D55" s="12091" t="s">
        <v>677</v>
      </c>
      <c r="E55" s="12092" t="s">
        <v>678</v>
      </c>
      <c r="F55" s="12093">
        <v>4000</v>
      </c>
      <c r="G55" s="12094">
        <v>1500</v>
      </c>
      <c r="H55" s="12095">
        <v>65.531000000000006</v>
      </c>
      <c r="I55" s="12096">
        <v>22.89</v>
      </c>
      <c r="J55" s="12097">
        <v>2500</v>
      </c>
      <c r="K55" s="12098" t="s">
        <v>520</v>
      </c>
      <c r="L55" s="12099" t="s">
        <v>541</v>
      </c>
      <c r="M55" s="12100" t="s">
        <v>638</v>
      </c>
      <c r="N55" s="12101">
        <v>-2500</v>
      </c>
      <c r="O55" s="12102" t="s">
        <v>640</v>
      </c>
    </row>
    <row r="56" spans="1:15" ht="46.2">
      <c r="A56" s="12103">
        <v>26</v>
      </c>
      <c r="B56" s="12104">
        <v>46196</v>
      </c>
      <c r="C56" s="12105" t="s">
        <v>679</v>
      </c>
      <c r="D56" s="12106" t="s">
        <v>680</v>
      </c>
      <c r="E56" s="12107" t="s">
        <v>661</v>
      </c>
      <c r="F56" s="12108">
        <v>3000</v>
      </c>
      <c r="G56" s="12109">
        <v>1290.54</v>
      </c>
      <c r="H56" s="12110">
        <v>56.38</v>
      </c>
      <c r="I56" s="12111">
        <v>22.89</v>
      </c>
      <c r="J56" s="12112">
        <v>2000</v>
      </c>
      <c r="K56" s="12113" t="s">
        <v>520</v>
      </c>
      <c r="L56" s="12114" t="s">
        <v>541</v>
      </c>
      <c r="M56" s="12115" t="s">
        <v>638</v>
      </c>
      <c r="N56" s="12116">
        <v>-2000</v>
      </c>
      <c r="O56" s="12117" t="s">
        <v>641</v>
      </c>
    </row>
    <row r="57" spans="1:15">
      <c r="A57" s="12118">
        <f t="shared" ref="A57:A88" si="0">IF(B57="","", WEEKNUM(B57,2))</f>
        <v>26</v>
      </c>
      <c r="B57" s="12119">
        <v>46196</v>
      </c>
      <c r="C57" s="12120" t="s">
        <v>679</v>
      </c>
      <c r="D57" s="12121" t="s">
        <v>680</v>
      </c>
      <c r="E57" s="12122" t="s">
        <v>661</v>
      </c>
      <c r="F57" s="12123">
        <f>IFERROR(INDEX(H$6:H49, MATCH(SUBSTITUTE(C57,"-",""), INDEX(SUBSTITUTE(F$6:F49,"-",""),0), 0)), 0)</f>
        <v>2500</v>
      </c>
      <c r="G57" s="12124">
        <v>1000</v>
      </c>
      <c r="H57" s="12125">
        <v>43.686999999999998</v>
      </c>
      <c r="I57" s="12126">
        <v>22.89</v>
      </c>
      <c r="J57" s="12127">
        <f t="shared" ref="J57:J88" si="1">IFERROR(F57-G57, "")</f>
        <v>1500</v>
      </c>
      <c r="K57" s="12128" t="s">
        <v>520</v>
      </c>
      <c r="L57" s="12129" t="str">
        <f>IFERROR(INDEX(I$6:I49, MATCH(SUBSTITUTE(C57,"-",""), INDEX(SUBSTITUTE(F$6:F49,"-",""),0), 0)), "")</f>
        <v>LEVET</v>
      </c>
      <c r="M57" s="12130" t="str">
        <f t="shared" ref="M57:M88" si="2">IFERROR(IF(K57="","",IF(K57=L57,"✅ Correcta","❌ "&amp; K57 &amp;" (aut: "&amp; L57 &amp;")")), "")</f>
        <v>✅ Correcta</v>
      </c>
      <c r="N57" s="12131">
        <f t="shared" ref="N57:N88" si="3">IFERROR(G57-F57, "")</f>
        <v>-1500</v>
      </c>
      <c r="O57" s="12132" t="str">
        <f t="shared" ref="O57:O88" si="4">IFERROR(IF(C57="","",IF(F57=0,"⚠️ Sin Autorización (placa no en catálogo)",IF(N57=0,"✅ Cuadrado",IF(N57&gt;0,"❌ Exceso $"&amp;TEXT(N57,"#,##0.00"),"✅ OK - Saldo $"&amp;TEXT(ABS(N57),"#,##0.00"))))), "")</f>
        <v>✅ OK - Saldo $1,500.00</v>
      </c>
    </row>
    <row r="58" spans="1:15">
      <c r="A58" s="12133">
        <f t="shared" si="0"/>
        <v>26</v>
      </c>
      <c r="B58" s="12134">
        <v>46196</v>
      </c>
      <c r="C58" s="12135" t="s">
        <v>681</v>
      </c>
      <c r="D58" s="12136" t="s">
        <v>552</v>
      </c>
      <c r="E58" s="12137" t="s">
        <v>661</v>
      </c>
      <c r="F58" s="12138">
        <f>IFERROR(INDEX(H$6:H49, MATCH(SUBSTITUTE(C58,"-",""), INDEX(SUBSTITUTE(F$6:F49,"-",""),0), 0)), 0)</f>
        <v>3000</v>
      </c>
      <c r="G58" s="12139">
        <v>3000</v>
      </c>
      <c r="H58" s="12140">
        <v>131.06200000000001</v>
      </c>
      <c r="I58" s="12141">
        <v>22.89</v>
      </c>
      <c r="J58" s="12142">
        <f t="shared" si="1"/>
        <v>0</v>
      </c>
      <c r="K58" s="12143" t="s">
        <v>520</v>
      </c>
      <c r="L58" s="12144" t="str">
        <f>IFERROR(INDEX(I$6:I49, MATCH(SUBSTITUTE(C58,"-",""), INDEX(SUBSTITUTE(F$6:F49,"-",""),0), 0)), "")</f>
        <v>LEVET</v>
      </c>
      <c r="M58" s="12145" t="str">
        <f t="shared" si="2"/>
        <v>✅ Correcta</v>
      </c>
      <c r="N58" s="12146">
        <f t="shared" si="3"/>
        <v>0</v>
      </c>
      <c r="O58" s="12147" t="str">
        <f t="shared" si="4"/>
        <v>✅ Cuadrado</v>
      </c>
    </row>
    <row r="59" spans="1:15">
      <c r="A59" s="12148">
        <f t="shared" si="0"/>
        <v>26</v>
      </c>
      <c r="B59" s="12149">
        <v>46196</v>
      </c>
      <c r="C59" s="12150" t="s">
        <v>682</v>
      </c>
      <c r="D59" s="12151" t="s">
        <v>683</v>
      </c>
      <c r="E59" s="12152" t="s">
        <v>684</v>
      </c>
      <c r="F59" s="12153">
        <f>IFERROR(INDEX(H$6:H49, MATCH(SUBSTITUTE(C59,"-",""), INDEX(SUBSTITUTE(F$6:F49,"-",""),0), 0)), 0)</f>
        <v>2500</v>
      </c>
      <c r="G59" s="12154">
        <v>1850.22</v>
      </c>
      <c r="H59" s="12155">
        <v>80.831000000000003</v>
      </c>
      <c r="I59" s="12156">
        <v>22.89</v>
      </c>
      <c r="J59" s="12157">
        <f t="shared" si="1"/>
        <v>649.78</v>
      </c>
      <c r="K59" s="12158" t="s">
        <v>520</v>
      </c>
      <c r="L59" s="12159" t="str">
        <f>IFERROR(INDEX(I$6:I49, MATCH(SUBSTITUTE(C59,"-",""), INDEX(SUBSTITUTE(F$6:F49,"-",""),0), 0)), "")</f>
        <v>LEVET</v>
      </c>
      <c r="M59" s="12160" t="str">
        <f t="shared" si="2"/>
        <v>✅ Correcta</v>
      </c>
      <c r="N59" s="12161">
        <f t="shared" si="3"/>
        <v>-649.78</v>
      </c>
      <c r="O59" s="12162" t="str">
        <f t="shared" si="4"/>
        <v>✅ OK - Saldo $649.78</v>
      </c>
    </row>
    <row r="60" spans="1:15">
      <c r="A60" s="12163">
        <f t="shared" si="0"/>
        <v>26</v>
      </c>
      <c r="B60" s="12164">
        <v>46196</v>
      </c>
      <c r="C60" s="12165" t="s">
        <v>685</v>
      </c>
      <c r="D60" s="12166" t="s">
        <v>596</v>
      </c>
      <c r="E60" s="12167" t="s">
        <v>686</v>
      </c>
      <c r="F60" s="12168">
        <f>IFERROR(INDEX(H$6:H49, MATCH(SUBSTITUTE(C60,"-",""), INDEX(SUBSTITUTE(F$6:F49,"-",""),0), 0)), 0)</f>
        <v>1500</v>
      </c>
      <c r="G60" s="12169">
        <v>1700</v>
      </c>
      <c r="H60" s="12170">
        <v>74.268000000000001</v>
      </c>
      <c r="I60" s="12171">
        <v>22.89</v>
      </c>
      <c r="J60" s="12172">
        <f t="shared" si="1"/>
        <v>-200</v>
      </c>
      <c r="K60" s="12173" t="s">
        <v>520</v>
      </c>
      <c r="L60" s="12174" t="str">
        <f>IFERROR(INDEX(I$6:I49, MATCH(SUBSTITUTE(C60,"-",""), INDEX(SUBSTITUTE(F$6:F49,"-",""),0), 0)), "")</f>
        <v>LEVET</v>
      </c>
      <c r="M60" s="12175" t="str">
        <f t="shared" si="2"/>
        <v>✅ Correcta</v>
      </c>
      <c r="N60" s="12176">
        <f t="shared" si="3"/>
        <v>200</v>
      </c>
      <c r="O60" s="12177" t="str">
        <f t="shared" si="4"/>
        <v>❌ Exceso $200.00</v>
      </c>
    </row>
    <row r="61" spans="1:15">
      <c r="A61" s="12178">
        <f t="shared" si="0"/>
        <v>26</v>
      </c>
      <c r="B61" s="12179">
        <v>46197</v>
      </c>
      <c r="C61" s="12180" t="s">
        <v>687</v>
      </c>
      <c r="D61" s="12181" t="s">
        <v>688</v>
      </c>
      <c r="E61" s="12182" t="s">
        <v>678</v>
      </c>
      <c r="F61" s="12183">
        <f>IFERROR(INDEX(H$6:H49, MATCH(SUBSTITUTE(C61,"-",""), INDEX(SUBSTITUTE(F$6:F49,"-",""),0), 0)), 0)</f>
        <v>1500</v>
      </c>
      <c r="G61" s="12184">
        <v>1532.1</v>
      </c>
      <c r="H61" s="12185">
        <v>66.933000000000007</v>
      </c>
      <c r="I61" s="12186">
        <v>22.89</v>
      </c>
      <c r="J61" s="12187">
        <f t="shared" si="1"/>
        <v>-32.099999999999909</v>
      </c>
      <c r="K61" s="12188" t="s">
        <v>520</v>
      </c>
      <c r="L61" s="12189" t="str">
        <f>IFERROR(INDEX(I$6:I49, MATCH(SUBSTITUTE(C61,"-",""), INDEX(SUBSTITUTE(F$6:F49,"-",""),0), 0)), "")</f>
        <v>LEVET</v>
      </c>
      <c r="M61" s="12190" t="str">
        <f t="shared" si="2"/>
        <v>✅ Correcta</v>
      </c>
      <c r="N61" s="12191">
        <f t="shared" si="3"/>
        <v>32.099999999999909</v>
      </c>
      <c r="O61" s="12192" t="str">
        <f t="shared" si="4"/>
        <v>❌ Exceso $32.10</v>
      </c>
    </row>
    <row r="62" spans="1:15">
      <c r="A62" s="12193">
        <f t="shared" si="0"/>
        <v>26</v>
      </c>
      <c r="B62" s="12194">
        <v>46197</v>
      </c>
      <c r="C62" s="12195" t="s">
        <v>689</v>
      </c>
      <c r="D62" s="12196" t="s">
        <v>690</v>
      </c>
      <c r="E62" s="12197" t="s">
        <v>686</v>
      </c>
      <c r="F62" s="12198">
        <f>IFERROR(INDEX(H$6:H49, MATCH(SUBSTITUTE(C62,"-",""), INDEX(SUBSTITUTE(F$6:F49,"-",""),0), 0)), 0)</f>
        <v>2500</v>
      </c>
      <c r="G62" s="12199">
        <v>2010.26</v>
      </c>
      <c r="H62" s="12200">
        <v>72.078000000000003</v>
      </c>
      <c r="I62" s="12201">
        <v>27.89</v>
      </c>
      <c r="J62" s="12202">
        <f t="shared" si="1"/>
        <v>489.74</v>
      </c>
      <c r="K62" s="12203" t="s">
        <v>520</v>
      </c>
      <c r="L62" s="12204" t="str">
        <f>IFERROR(INDEX(I$6:I49, MATCH(SUBSTITUTE(C62,"-",""), INDEX(SUBSTITUTE(F$6:F49,"-",""),0), 0)), "")</f>
        <v>LEVET</v>
      </c>
      <c r="M62" s="12205" t="str">
        <f t="shared" si="2"/>
        <v>✅ Correcta</v>
      </c>
      <c r="N62" s="12206">
        <f t="shared" si="3"/>
        <v>-489.74</v>
      </c>
      <c r="O62" s="12207" t="str">
        <f t="shared" si="4"/>
        <v>✅ OK - Saldo $489.74</v>
      </c>
    </row>
    <row r="63" spans="1:15">
      <c r="A63" s="12208">
        <f t="shared" si="0"/>
        <v>26</v>
      </c>
      <c r="B63" s="12209">
        <v>46197</v>
      </c>
      <c r="C63" s="12210" t="s">
        <v>676</v>
      </c>
      <c r="D63" s="12211" t="s">
        <v>677</v>
      </c>
      <c r="E63" s="12212" t="s">
        <v>678</v>
      </c>
      <c r="F63" s="12213">
        <f>IFERROR(INDEX(H$6:H49, MATCH(SUBSTITUTE(C63,"-",""), INDEX(SUBSTITUTE(F$6:F49,"-",""),0), 0)), 0)</f>
        <v>0</v>
      </c>
      <c r="G63" s="12214">
        <v>1500</v>
      </c>
      <c r="H63" s="12215">
        <v>65.531000000000006</v>
      </c>
      <c r="I63" s="12216">
        <v>22.89</v>
      </c>
      <c r="J63" s="12217">
        <f t="shared" si="1"/>
        <v>-1500</v>
      </c>
      <c r="K63" s="12218" t="s">
        <v>520</v>
      </c>
      <c r="L63" s="12219" t="str">
        <f>IFERROR(INDEX(I$6:I49, MATCH(SUBSTITUTE(C63,"-",""), INDEX(SUBSTITUTE(F$6:F49,"-",""),0), 0)), "")</f>
        <v/>
      </c>
      <c r="M63" s="12220" t="str">
        <f t="shared" si="2"/>
        <v>❌ LEVET (aut: )</v>
      </c>
      <c r="N63" s="12221">
        <f t="shared" si="3"/>
        <v>1500</v>
      </c>
      <c r="O63" s="12222" t="str">
        <f t="shared" si="4"/>
        <v>⚠️ Sin Autorización (placa no en catálogo)</v>
      </c>
    </row>
    <row r="64" spans="1:15">
      <c r="A64" s="12223">
        <f t="shared" si="0"/>
        <v>26</v>
      </c>
      <c r="B64" s="12224">
        <v>46197</v>
      </c>
      <c r="C64" s="12225" t="s">
        <v>691</v>
      </c>
      <c r="D64" s="12226" t="s">
        <v>692</v>
      </c>
      <c r="E64" s="12227" t="s">
        <v>693</v>
      </c>
      <c r="F64" s="12228">
        <f>IFERROR(INDEX(H$6:H49, MATCH(SUBSTITUTE(C64,"-",""), INDEX(SUBSTITUTE(F$6:F49,"-",""),0), 0)), 0)</f>
        <v>0</v>
      </c>
      <c r="G64" s="12229">
        <v>8910.9699999999993</v>
      </c>
      <c r="H64" s="12230">
        <v>330.036</v>
      </c>
      <c r="I64" s="12231">
        <v>27</v>
      </c>
      <c r="J64" s="12232">
        <f t="shared" si="1"/>
        <v>-8910.9699999999993</v>
      </c>
      <c r="K64" s="12233" t="s">
        <v>520</v>
      </c>
      <c r="L64" s="12234" t="str">
        <f>IFERROR(INDEX(I$6:I49, MATCH(SUBSTITUTE(C64,"-",""), INDEX(SUBSTITUTE(F$6:F49,"-",""),0), 0)), "")</f>
        <v/>
      </c>
      <c r="M64" s="12235" t="str">
        <f t="shared" si="2"/>
        <v>❌ LEVET (aut: )</v>
      </c>
      <c r="N64" s="12236">
        <f t="shared" si="3"/>
        <v>8910.9699999999993</v>
      </c>
      <c r="O64" s="12237" t="str">
        <f t="shared" si="4"/>
        <v>⚠️ Sin Autorización (placa no en catálogo)</v>
      </c>
    </row>
    <row r="65" spans="1:15">
      <c r="A65" s="12238">
        <f t="shared" si="0"/>
        <v>26</v>
      </c>
      <c r="B65" s="12239">
        <v>46197</v>
      </c>
      <c r="C65" s="12240" t="s">
        <v>694</v>
      </c>
      <c r="D65" s="12241" t="s">
        <v>695</v>
      </c>
      <c r="E65" s="12242" t="s">
        <v>693</v>
      </c>
      <c r="F65" s="12243">
        <f>IFERROR(INDEX(H$6:H49, MATCH(SUBSTITUTE(C65,"-",""), INDEX(SUBSTITUTE(F$6:F49,"-",""),0), 0)), 0)</f>
        <v>0</v>
      </c>
      <c r="G65" s="12244">
        <v>9990</v>
      </c>
      <c r="H65" s="12245">
        <v>370</v>
      </c>
      <c r="I65" s="12246">
        <v>27</v>
      </c>
      <c r="J65" s="12247">
        <f t="shared" si="1"/>
        <v>-9990</v>
      </c>
      <c r="K65" s="12248" t="s">
        <v>520</v>
      </c>
      <c r="L65" s="12249" t="str">
        <f>IFERROR(INDEX(I$6:I49, MATCH(SUBSTITUTE(C65,"-",""), INDEX(SUBSTITUTE(F$6:F49,"-",""),0), 0)), "")</f>
        <v/>
      </c>
      <c r="M65" s="12250" t="str">
        <f t="shared" si="2"/>
        <v>❌ LEVET (aut: )</v>
      </c>
      <c r="N65" s="12251">
        <f t="shared" si="3"/>
        <v>9990</v>
      </c>
      <c r="O65" s="12252" t="str">
        <f t="shared" si="4"/>
        <v>⚠️ Sin Autorización (placa no en catálogo)</v>
      </c>
    </row>
    <row r="66" spans="1:15">
      <c r="A66" s="12253">
        <f t="shared" si="0"/>
        <v>26</v>
      </c>
      <c r="B66" s="12254">
        <v>46197</v>
      </c>
      <c r="C66" s="12255" t="s">
        <v>696</v>
      </c>
      <c r="D66" s="12256" t="s">
        <v>697</v>
      </c>
      <c r="E66" s="12257" t="s">
        <v>693</v>
      </c>
      <c r="F66" s="12258">
        <f>IFERROR(INDEX(H$6:H49, MATCH(SUBSTITUTE(C66,"-",""), INDEX(SUBSTITUTE(F$6:F49,"-",""),0), 0)), 0)</f>
        <v>0</v>
      </c>
      <c r="G66" s="12259">
        <v>3510</v>
      </c>
      <c r="H66" s="12260">
        <v>130</v>
      </c>
      <c r="I66" s="12261">
        <v>27</v>
      </c>
      <c r="J66" s="12262">
        <f t="shared" si="1"/>
        <v>-3510</v>
      </c>
      <c r="K66" s="12263" t="s">
        <v>520</v>
      </c>
      <c r="L66" s="12264" t="str">
        <f>IFERROR(INDEX(I$6:I49, MATCH(SUBSTITUTE(C66,"-",""), INDEX(SUBSTITUTE(F$6:F49,"-",""),0), 0)), "")</f>
        <v/>
      </c>
      <c r="M66" s="12265" t="str">
        <f t="shared" si="2"/>
        <v>❌ LEVET (aut: )</v>
      </c>
      <c r="N66" s="12266">
        <f t="shared" si="3"/>
        <v>3510</v>
      </c>
      <c r="O66" s="12267" t="str">
        <f t="shared" si="4"/>
        <v>⚠️ Sin Autorización (placa no en catálogo)</v>
      </c>
    </row>
    <row r="67" spans="1:15">
      <c r="A67" s="12268">
        <f t="shared" si="0"/>
        <v>26</v>
      </c>
      <c r="B67" s="12269">
        <v>46197</v>
      </c>
      <c r="C67" s="12270" t="s">
        <v>696</v>
      </c>
      <c r="D67" s="12271" t="s">
        <v>697</v>
      </c>
      <c r="E67" s="12272" t="s">
        <v>693</v>
      </c>
      <c r="F67" s="12273">
        <f>IFERROR(INDEX(H$6:H49, MATCH(SUBSTITUTE(C67,"-",""), INDEX(SUBSTITUTE(F$6:F49,"-",""),0), 0)), 0)</f>
        <v>0</v>
      </c>
      <c r="G67" s="12274">
        <v>9990</v>
      </c>
      <c r="H67" s="12275">
        <v>370</v>
      </c>
      <c r="I67" s="12276">
        <v>27</v>
      </c>
      <c r="J67" s="12277">
        <f t="shared" si="1"/>
        <v>-9990</v>
      </c>
      <c r="K67" s="12278" t="s">
        <v>520</v>
      </c>
      <c r="L67" s="12279" t="str">
        <f>IFERROR(INDEX(I$6:I49, MATCH(SUBSTITUTE(C67,"-",""), INDEX(SUBSTITUTE(F$6:F49,"-",""),0), 0)), "")</f>
        <v/>
      </c>
      <c r="M67" s="12280" t="str">
        <f t="shared" si="2"/>
        <v>❌ LEVET (aut: )</v>
      </c>
      <c r="N67" s="12281">
        <f t="shared" si="3"/>
        <v>9990</v>
      </c>
      <c r="O67" s="12282" t="str">
        <f t="shared" si="4"/>
        <v>⚠️ Sin Autorización (placa no en catálogo)</v>
      </c>
    </row>
    <row r="68" spans="1:15">
      <c r="A68" s="12283">
        <f t="shared" si="0"/>
        <v>26</v>
      </c>
      <c r="B68" s="12284">
        <v>46197</v>
      </c>
      <c r="C68" s="12285" t="s">
        <v>698</v>
      </c>
      <c r="D68" s="12286" t="s">
        <v>699</v>
      </c>
      <c r="E68" s="12287" t="s">
        <v>693</v>
      </c>
      <c r="F68" s="12288">
        <f>IFERROR(INDEX(H$6:H49, MATCH(SUBSTITUTE(C68,"-",""), INDEX(SUBSTITUTE(F$6:F49,"-",""),0), 0)), 0)</f>
        <v>0</v>
      </c>
      <c r="G68" s="12289">
        <v>8100.11</v>
      </c>
      <c r="H68" s="12290">
        <v>300.00400000000002</v>
      </c>
      <c r="I68" s="12291">
        <v>27</v>
      </c>
      <c r="J68" s="12292">
        <f t="shared" si="1"/>
        <v>-8100.11</v>
      </c>
      <c r="K68" s="12293" t="s">
        <v>520</v>
      </c>
      <c r="L68" s="12294" t="str">
        <f>IFERROR(INDEX(I$6:I49, MATCH(SUBSTITUTE(C68,"-",""), INDEX(SUBSTITUTE(F$6:F49,"-",""),0), 0)), "")</f>
        <v/>
      </c>
      <c r="M68" s="12295" t="str">
        <f t="shared" si="2"/>
        <v>❌ LEVET (aut: )</v>
      </c>
      <c r="N68" s="12296">
        <f t="shared" si="3"/>
        <v>8100.11</v>
      </c>
      <c r="O68" s="12297" t="str">
        <f t="shared" si="4"/>
        <v>⚠️ Sin Autorización (placa no en catálogo)</v>
      </c>
    </row>
    <row r="69" spans="1:15">
      <c r="A69" s="12298">
        <f t="shared" si="0"/>
        <v>26</v>
      </c>
      <c r="B69" s="12299">
        <v>46197</v>
      </c>
      <c r="C69" s="12300" t="s">
        <v>700</v>
      </c>
      <c r="D69" s="12301" t="s">
        <v>701</v>
      </c>
      <c r="E69" s="12302" t="s">
        <v>693</v>
      </c>
      <c r="F69" s="12303">
        <f>IFERROR(INDEX(H$6:H49, MATCH(SUBSTITUTE(C69,"-",""), INDEX(SUBSTITUTE(F$6:F49,"-",""),0), 0)), 0)</f>
        <v>0</v>
      </c>
      <c r="G69" s="12304">
        <v>6858</v>
      </c>
      <c r="H69" s="12305">
        <v>254</v>
      </c>
      <c r="I69" s="12306">
        <v>27</v>
      </c>
      <c r="J69" s="12307">
        <f t="shared" si="1"/>
        <v>-6858</v>
      </c>
      <c r="K69" s="12308" t="s">
        <v>520</v>
      </c>
      <c r="L69" s="12309" t="str">
        <f>IFERROR(INDEX(I$6:I49, MATCH(SUBSTITUTE(C69,"-",""), INDEX(SUBSTITUTE(F$6:F49,"-",""),0), 0)), "")</f>
        <v/>
      </c>
      <c r="M69" s="12310" t="str">
        <f t="shared" si="2"/>
        <v>❌ LEVET (aut: )</v>
      </c>
      <c r="N69" s="12311">
        <f t="shared" si="3"/>
        <v>6858</v>
      </c>
      <c r="O69" s="12312" t="str">
        <f t="shared" si="4"/>
        <v>⚠️ Sin Autorización (placa no en catálogo)</v>
      </c>
    </row>
    <row r="70" spans="1:15">
      <c r="A70" s="12313">
        <f t="shared" si="0"/>
        <v>26</v>
      </c>
      <c r="B70" s="12314">
        <v>46197</v>
      </c>
      <c r="C70" s="12315" t="s">
        <v>702</v>
      </c>
      <c r="D70" s="12316" t="s">
        <v>703</v>
      </c>
      <c r="E70" s="12317" t="s">
        <v>693</v>
      </c>
      <c r="F70" s="12318">
        <f>IFERROR(INDEX(H$6:H49, MATCH(SUBSTITUTE(C70,"-",""), INDEX(SUBSTITUTE(F$6:F49,"-",""),0), 0)), 0)</f>
        <v>0</v>
      </c>
      <c r="G70" s="12319">
        <v>8100</v>
      </c>
      <c r="H70" s="12320">
        <v>300</v>
      </c>
      <c r="I70" s="12321">
        <v>27</v>
      </c>
      <c r="J70" s="12322">
        <f t="shared" si="1"/>
        <v>-8100</v>
      </c>
      <c r="K70" s="12323" t="s">
        <v>520</v>
      </c>
      <c r="L70" s="12324" t="str">
        <f>IFERROR(INDEX(I$6:I49, MATCH(SUBSTITUTE(C70,"-",""), INDEX(SUBSTITUTE(F$6:F49,"-",""),0), 0)), "")</f>
        <v/>
      </c>
      <c r="M70" s="12325" t="str">
        <f t="shared" si="2"/>
        <v>❌ LEVET (aut: )</v>
      </c>
      <c r="N70" s="12326">
        <f t="shared" si="3"/>
        <v>8100</v>
      </c>
      <c r="O70" s="12327" t="str">
        <f t="shared" si="4"/>
        <v>⚠️ Sin Autorización (placa no en catálogo)</v>
      </c>
    </row>
    <row r="71" spans="1:15">
      <c r="A71" s="12328">
        <f t="shared" si="0"/>
        <v>26</v>
      </c>
      <c r="B71" s="12329">
        <v>46197</v>
      </c>
      <c r="C71" s="12330" t="s">
        <v>704</v>
      </c>
      <c r="D71" s="12331" t="s">
        <v>705</v>
      </c>
      <c r="E71" s="12332" t="s">
        <v>661</v>
      </c>
      <c r="F71" s="12333">
        <f>IFERROR(INDEX(H$6:H49, MATCH(SUBSTITUTE(C71,"-",""), INDEX(SUBSTITUTE(F$6:F49,"-",""),0), 0)), 0)</f>
        <v>1500</v>
      </c>
      <c r="G71" s="12334">
        <v>1500</v>
      </c>
      <c r="H71" s="12335">
        <v>65.531000000000006</v>
      </c>
      <c r="I71" s="12336">
        <v>22.89</v>
      </c>
      <c r="J71" s="12337">
        <f t="shared" si="1"/>
        <v>0</v>
      </c>
      <c r="K71" s="12338" t="s">
        <v>520</v>
      </c>
      <c r="L71" s="12339" t="str">
        <f>IFERROR(INDEX(I$6:I49, MATCH(SUBSTITUTE(C71,"-",""), INDEX(SUBSTITUTE(F$6:F49,"-",""),0), 0)), "")</f>
        <v>LEVET</v>
      </c>
      <c r="M71" s="12340" t="str">
        <f t="shared" si="2"/>
        <v>✅ Correcta</v>
      </c>
      <c r="N71" s="12341">
        <f t="shared" si="3"/>
        <v>0</v>
      </c>
      <c r="O71" s="12342" t="str">
        <f t="shared" si="4"/>
        <v>✅ Cuadrado</v>
      </c>
    </row>
    <row r="72" spans="1:15">
      <c r="A72" s="12343">
        <f t="shared" si="0"/>
        <v>26</v>
      </c>
      <c r="B72" s="12344">
        <v>46198</v>
      </c>
      <c r="C72" s="12345" t="s">
        <v>706</v>
      </c>
      <c r="D72" s="12346" t="s">
        <v>707</v>
      </c>
      <c r="E72" s="12347"/>
      <c r="F72" s="12348">
        <f>IFERROR(INDEX(H$6:H49, MATCH(SUBSTITUTE(C72,"-",""), INDEX(SUBSTITUTE(F$6:F49,"-",""),0), 0)), 0)</f>
        <v>0</v>
      </c>
      <c r="G72" s="12349">
        <v>400</v>
      </c>
      <c r="H72" s="12350">
        <v>17.475000000000001</v>
      </c>
      <c r="I72" s="12351">
        <v>22.89</v>
      </c>
      <c r="J72" s="12352">
        <f t="shared" si="1"/>
        <v>-400</v>
      </c>
      <c r="K72" s="12353" t="s">
        <v>520</v>
      </c>
      <c r="L72" s="12354" t="str">
        <f>IFERROR(INDEX(I$6:I49, MATCH(SUBSTITUTE(C72,"-",""), INDEX(SUBSTITUTE(F$6:F49,"-",""),0), 0)), "")</f>
        <v/>
      </c>
      <c r="M72" s="12355" t="str">
        <f t="shared" si="2"/>
        <v>❌ LEVET (aut: )</v>
      </c>
      <c r="N72" s="12356">
        <f t="shared" si="3"/>
        <v>400</v>
      </c>
      <c r="O72" s="12357" t="str">
        <f t="shared" si="4"/>
        <v>⚠️ Sin Autorización (placa no en catálogo)</v>
      </c>
    </row>
    <row r="73" spans="1:15">
      <c r="A73" s="12358">
        <f t="shared" si="0"/>
        <v>26</v>
      </c>
      <c r="B73" s="12359">
        <v>46199</v>
      </c>
      <c r="C73" s="12360" t="s">
        <v>689</v>
      </c>
      <c r="D73" s="12361" t="s">
        <v>690</v>
      </c>
      <c r="E73" s="12362" t="s">
        <v>686</v>
      </c>
      <c r="F73" s="12363">
        <f>IFERROR(INDEX(H$6:H49, MATCH(SUBSTITUTE(C73,"-",""), INDEX(SUBSTITUTE(F$6:F49,"-",""),0), 0)), 0)</f>
        <v>2500</v>
      </c>
      <c r="G73" s="12364">
        <v>386.67</v>
      </c>
      <c r="H73" s="12365">
        <v>13.864000000000001</v>
      </c>
      <c r="I73" s="12366">
        <v>27.89</v>
      </c>
      <c r="J73" s="12367">
        <f t="shared" si="1"/>
        <v>2113.33</v>
      </c>
      <c r="K73" s="12368" t="s">
        <v>520</v>
      </c>
      <c r="L73" s="12369" t="str">
        <f>IFERROR(INDEX(I$6:I49, MATCH(SUBSTITUTE(C73,"-",""), INDEX(SUBSTITUTE(F$6:F49,"-",""),0), 0)), "")</f>
        <v>LEVET</v>
      </c>
      <c r="M73" s="12370" t="str">
        <f t="shared" si="2"/>
        <v>✅ Correcta</v>
      </c>
      <c r="N73" s="12371">
        <f t="shared" si="3"/>
        <v>-2113.33</v>
      </c>
      <c r="O73" s="12372" t="str">
        <f t="shared" si="4"/>
        <v>✅ OK - Saldo $2,113.33</v>
      </c>
    </row>
    <row r="74" spans="1:15">
      <c r="A74" s="12373">
        <f t="shared" si="0"/>
        <v>26</v>
      </c>
      <c r="B74" s="12374">
        <v>46200</v>
      </c>
      <c r="C74" s="12375" t="s">
        <v>668</v>
      </c>
      <c r="D74" s="12376" t="s">
        <v>669</v>
      </c>
      <c r="E74" s="12377" t="s">
        <v>670</v>
      </c>
      <c r="F74" s="12378">
        <f>IFERROR(INDEX(H$6:H49, MATCH(SUBSTITUTE(C74,"-",""), INDEX(SUBSTITUTE(F$6:F49,"-",""),0), 0)), 0)</f>
        <v>800</v>
      </c>
      <c r="G74" s="12379">
        <v>300</v>
      </c>
      <c r="H74" s="12380">
        <v>13.106</v>
      </c>
      <c r="I74" s="12381">
        <v>22.89</v>
      </c>
      <c r="J74" s="12382">
        <f t="shared" si="1"/>
        <v>500</v>
      </c>
      <c r="K74" s="12383" t="s">
        <v>520</v>
      </c>
      <c r="L74" s="12384" t="str">
        <f>IFERROR(INDEX(I$6:I49, MATCH(SUBSTITUTE(C74,"-",""), INDEX(SUBSTITUTE(F$6:F49,"-",""),0), 0)), "")</f>
        <v>LEVET</v>
      </c>
      <c r="M74" s="12385" t="str">
        <f t="shared" si="2"/>
        <v>✅ Correcta</v>
      </c>
      <c r="N74" s="12386">
        <f t="shared" si="3"/>
        <v>-500</v>
      </c>
      <c r="O74" s="12387" t="str">
        <f t="shared" si="4"/>
        <v>✅ OK - Saldo $500.00</v>
      </c>
    </row>
    <row r="75" spans="1:15">
      <c r="A75" s="12388">
        <f t="shared" si="0"/>
        <v>26</v>
      </c>
      <c r="B75" s="12389">
        <v>46201</v>
      </c>
      <c r="C75" s="12390" t="s">
        <v>668</v>
      </c>
      <c r="D75" s="12391" t="s">
        <v>669</v>
      </c>
      <c r="E75" s="12392" t="s">
        <v>670</v>
      </c>
      <c r="F75" s="12393">
        <f>IFERROR(INDEX(H$6:H49, MATCH(SUBSTITUTE(C75,"-",""), INDEX(SUBSTITUTE(F$6:F49,"-",""),0), 0)), 0)</f>
        <v>800</v>
      </c>
      <c r="G75" s="12394">
        <v>1000</v>
      </c>
      <c r="H75" s="12395">
        <v>43.686999999999998</v>
      </c>
      <c r="I75" s="12396">
        <v>22.89</v>
      </c>
      <c r="J75" s="12397">
        <f t="shared" si="1"/>
        <v>-200</v>
      </c>
      <c r="K75" s="12398" t="s">
        <v>520</v>
      </c>
      <c r="L75" s="12399" t="str">
        <f>IFERROR(INDEX(I$6:I49, MATCH(SUBSTITUTE(C75,"-",""), INDEX(SUBSTITUTE(F$6:F49,"-",""),0), 0)), "")</f>
        <v>LEVET</v>
      </c>
      <c r="M75" s="12400" t="str">
        <f t="shared" si="2"/>
        <v>✅ Correcta</v>
      </c>
      <c r="N75" s="12401">
        <f t="shared" si="3"/>
        <v>200</v>
      </c>
      <c r="O75" s="12402" t="str">
        <f t="shared" si="4"/>
        <v>❌ Exceso $200.00</v>
      </c>
    </row>
    <row r="76" spans="1:15">
      <c r="A76" s="12403" t="str">
        <f t="shared" si="0"/>
        <v/>
      </c>
      <c r="B76" s="12404"/>
      <c r="C76" s="12405"/>
      <c r="D76" s="12406"/>
      <c r="E76" s="12407"/>
      <c r="F76" s="12408">
        <f>IFERROR(INDEX(H$6:H49, MATCH(SUBSTITUTE(C76,"-",""), INDEX(SUBSTITUTE(F$6:F49,"-",""),0), 0)), 0)</f>
        <v>0</v>
      </c>
      <c r="G76" s="12409"/>
      <c r="H76" s="12410"/>
      <c r="I76" s="12411"/>
      <c r="J76" s="12412">
        <f t="shared" si="1"/>
        <v>0</v>
      </c>
      <c r="K76" s="12413" t="s">
        <v>520</v>
      </c>
      <c r="L76" s="12414">
        <f>IFERROR(INDEX(I$6:I49, MATCH(SUBSTITUTE(C76,"-",""), INDEX(SUBSTITUTE(F$6:F49,"-",""),0), 0)), "")</f>
        <v>0</v>
      </c>
      <c r="M76" s="12415" t="str">
        <f t="shared" si="2"/>
        <v>❌ LEVET (aut: 0)</v>
      </c>
      <c r="N76" s="12416">
        <f t="shared" si="3"/>
        <v>0</v>
      </c>
      <c r="O76" s="12417" t="str">
        <f t="shared" si="4"/>
        <v/>
      </c>
    </row>
    <row r="77" spans="1:15">
      <c r="A77" s="12418" t="str">
        <f t="shared" si="0"/>
        <v/>
      </c>
      <c r="B77" s="12419"/>
      <c r="C77" s="12420"/>
      <c r="D77" s="12421"/>
      <c r="E77" s="12422"/>
      <c r="F77" s="12423">
        <f>IFERROR(INDEX(H$6:H49, MATCH(SUBSTITUTE(C77,"-",""), INDEX(SUBSTITUTE(F$6:F49,"-",""),0), 0)), 0)</f>
        <v>0</v>
      </c>
      <c r="G77" s="12424">
        <v>80002.710000000006</v>
      </c>
      <c r="H77" s="12425" t="s">
        <v>708</v>
      </c>
      <c r="I77" s="12426"/>
      <c r="J77" s="12427">
        <f t="shared" si="1"/>
        <v>-80002.710000000006</v>
      </c>
      <c r="K77" s="12428" t="s">
        <v>520</v>
      </c>
      <c r="L77" s="12429">
        <f>IFERROR(INDEX(I$6:I49, MATCH(SUBSTITUTE(C77,"-",""), INDEX(SUBSTITUTE(F$6:F49,"-",""),0), 0)), "")</f>
        <v>0</v>
      </c>
      <c r="M77" s="12430" t="str">
        <f t="shared" si="2"/>
        <v>❌ LEVET (aut: 0)</v>
      </c>
      <c r="N77" s="12431">
        <f t="shared" si="3"/>
        <v>80002.710000000006</v>
      </c>
      <c r="O77" s="12432" t="str">
        <f t="shared" si="4"/>
        <v/>
      </c>
    </row>
    <row r="78" spans="1:15">
      <c r="A78" s="12433" t="str">
        <f t="shared" si="0"/>
        <v/>
      </c>
      <c r="B78" s="12434"/>
      <c r="C78" s="12435"/>
      <c r="D78" s="12436"/>
      <c r="E78" s="12437"/>
      <c r="F78" s="12438">
        <f>IFERROR(INDEX(H$6:H49, MATCH(SUBSTITUTE(C78,"-",""), INDEX(SUBSTITUTE(F$6:F49,"-",""),0), 0)), 0)</f>
        <v>0</v>
      </c>
      <c r="G78" s="12439"/>
      <c r="H78" s="12440"/>
      <c r="I78" s="12441"/>
      <c r="J78" s="12442">
        <f t="shared" si="1"/>
        <v>0</v>
      </c>
      <c r="K78" s="12443" t="s">
        <v>520</v>
      </c>
      <c r="L78" s="12444">
        <f>IFERROR(INDEX(I$6:I49, MATCH(SUBSTITUTE(C78,"-",""), INDEX(SUBSTITUTE(F$6:F49,"-",""),0), 0)), "")</f>
        <v>0</v>
      </c>
      <c r="M78" s="12445" t="str">
        <f t="shared" si="2"/>
        <v>❌ LEVET (aut: 0)</v>
      </c>
      <c r="N78" s="12446">
        <f t="shared" si="3"/>
        <v>0</v>
      </c>
      <c r="O78" s="12447" t="str">
        <f t="shared" si="4"/>
        <v/>
      </c>
    </row>
    <row r="79" spans="1:15">
      <c r="A79" s="12448" t="str">
        <f t="shared" si="0"/>
        <v/>
      </c>
      <c r="B79" s="12449"/>
      <c r="C79" s="12450"/>
      <c r="D79" s="12451"/>
      <c r="E79" s="12452"/>
      <c r="F79" s="12453">
        <f>IFERROR(INDEX(H$6:H49, MATCH(SUBSTITUTE(C79,"-",""), INDEX(SUBSTITUTE(F$6:F49,"-",""),0), 0)), 0)</f>
        <v>0</v>
      </c>
      <c r="G79" s="12454"/>
      <c r="H79" s="12455"/>
      <c r="I79" s="12456"/>
      <c r="J79" s="12457">
        <f t="shared" si="1"/>
        <v>0</v>
      </c>
      <c r="K79" s="12458" t="s">
        <v>520</v>
      </c>
      <c r="L79" s="12459">
        <f>IFERROR(INDEX(I$6:I49, MATCH(SUBSTITUTE(C79,"-",""), INDEX(SUBSTITUTE(F$6:F49,"-",""),0), 0)), "")</f>
        <v>0</v>
      </c>
      <c r="M79" s="12460" t="str">
        <f t="shared" si="2"/>
        <v>❌ LEVET (aut: 0)</v>
      </c>
      <c r="N79" s="12461">
        <f t="shared" si="3"/>
        <v>0</v>
      </c>
      <c r="O79" s="12462" t="str">
        <f t="shared" si="4"/>
        <v/>
      </c>
    </row>
    <row r="80" spans="1:15">
      <c r="A80" s="12463" t="str">
        <f t="shared" si="0"/>
        <v/>
      </c>
      <c r="B80" s="12464"/>
      <c r="C80" s="12465"/>
      <c r="D80" s="12466"/>
      <c r="E80" s="12467"/>
      <c r="F80" s="12468">
        <f>IFERROR(INDEX(H$6:H49, MATCH(SUBSTITUTE(C80,"-",""), INDEX(SUBSTITUTE(F$6:F49,"-",""),0), 0)), 0)</f>
        <v>0</v>
      </c>
      <c r="G80" s="12469"/>
      <c r="H80" s="12470"/>
      <c r="I80" s="12471"/>
      <c r="J80" s="12472">
        <f t="shared" si="1"/>
        <v>0</v>
      </c>
      <c r="K80" s="12473" t="s">
        <v>520</v>
      </c>
      <c r="L80" s="12474">
        <f>IFERROR(INDEX(I$6:I49, MATCH(SUBSTITUTE(C80,"-",""), INDEX(SUBSTITUTE(F$6:F49,"-",""),0), 0)), "")</f>
        <v>0</v>
      </c>
      <c r="M80" s="12475" t="str">
        <f t="shared" si="2"/>
        <v>❌ LEVET (aut: 0)</v>
      </c>
      <c r="N80" s="12476">
        <f t="shared" si="3"/>
        <v>0</v>
      </c>
      <c r="O80" s="12477" t="str">
        <f t="shared" si="4"/>
        <v/>
      </c>
    </row>
    <row r="81" spans="1:15">
      <c r="A81" s="12478" t="str">
        <f t="shared" si="0"/>
        <v/>
      </c>
      <c r="B81" s="12479"/>
      <c r="C81" s="12480"/>
      <c r="D81" s="12481"/>
      <c r="E81" s="12482"/>
      <c r="F81" s="12483">
        <f>IFERROR(INDEX(H$6:H49, MATCH(SUBSTITUTE(C81,"-",""), INDEX(SUBSTITUTE(F$6:F49,"-",""),0), 0)), 0)</f>
        <v>0</v>
      </c>
      <c r="G81" s="12484"/>
      <c r="H81" s="12485"/>
      <c r="I81" s="12486"/>
      <c r="J81" s="12487">
        <f t="shared" si="1"/>
        <v>0</v>
      </c>
      <c r="K81" s="12488" t="s">
        <v>520</v>
      </c>
      <c r="L81" s="12489">
        <f>IFERROR(INDEX(I$6:I49, MATCH(SUBSTITUTE(C81,"-",""), INDEX(SUBSTITUTE(F$6:F49,"-",""),0), 0)), "")</f>
        <v>0</v>
      </c>
      <c r="M81" s="12490" t="str">
        <f t="shared" si="2"/>
        <v>❌ LEVET (aut: 0)</v>
      </c>
      <c r="N81" s="12491">
        <f t="shared" si="3"/>
        <v>0</v>
      </c>
      <c r="O81" s="12492" t="str">
        <f t="shared" si="4"/>
        <v/>
      </c>
    </row>
    <row r="82" spans="1:15">
      <c r="A82" s="12493" t="str">
        <f t="shared" si="0"/>
        <v/>
      </c>
      <c r="B82" s="12494"/>
      <c r="C82" s="12495"/>
      <c r="D82" s="12496"/>
      <c r="E82" s="12497"/>
      <c r="F82" s="12498">
        <f>IFERROR(INDEX(H$6:H49, MATCH(SUBSTITUTE(C82,"-",""), INDEX(SUBSTITUTE(F$6:F49,"-",""),0), 0)), 0)</f>
        <v>0</v>
      </c>
      <c r="G82" s="12499"/>
      <c r="H82" s="12500"/>
      <c r="I82" s="12501"/>
      <c r="J82" s="12502">
        <f t="shared" si="1"/>
        <v>0</v>
      </c>
      <c r="K82" s="12503" t="s">
        <v>520</v>
      </c>
      <c r="L82" s="12504">
        <f>IFERROR(INDEX(I$6:I49, MATCH(SUBSTITUTE(C82,"-",""), INDEX(SUBSTITUTE(F$6:F49,"-",""),0), 0)), "")</f>
        <v>0</v>
      </c>
      <c r="M82" s="12505" t="str">
        <f t="shared" si="2"/>
        <v>❌ LEVET (aut: 0)</v>
      </c>
      <c r="N82" s="12506">
        <f t="shared" si="3"/>
        <v>0</v>
      </c>
      <c r="O82" s="12507" t="str">
        <f t="shared" si="4"/>
        <v/>
      </c>
    </row>
    <row r="83" spans="1:15">
      <c r="A83" s="12508" t="str">
        <f t="shared" si="0"/>
        <v/>
      </c>
      <c r="B83" s="12509"/>
      <c r="C83" s="12510"/>
      <c r="D83" s="12511"/>
      <c r="E83" s="12512"/>
      <c r="F83" s="12513">
        <f>IFERROR(INDEX(H$6:H49, MATCH(SUBSTITUTE(C83,"-",""), INDEX(SUBSTITUTE(F$6:F49,"-",""),0), 0)), 0)</f>
        <v>0</v>
      </c>
      <c r="G83" s="12514"/>
      <c r="H83" s="12515"/>
      <c r="I83" s="12516"/>
      <c r="J83" s="12517">
        <f t="shared" si="1"/>
        <v>0</v>
      </c>
      <c r="K83" s="12518" t="s">
        <v>520</v>
      </c>
      <c r="L83" s="12519">
        <f>IFERROR(INDEX(I$6:I49, MATCH(SUBSTITUTE(C83,"-",""), INDEX(SUBSTITUTE(F$6:F49,"-",""),0), 0)), "")</f>
        <v>0</v>
      </c>
      <c r="M83" s="12520" t="str">
        <f t="shared" si="2"/>
        <v>❌ LEVET (aut: 0)</v>
      </c>
      <c r="N83" s="12521">
        <f t="shared" si="3"/>
        <v>0</v>
      </c>
      <c r="O83" s="12522" t="str">
        <f t="shared" si="4"/>
        <v/>
      </c>
    </row>
    <row r="84" spans="1:15">
      <c r="A84" s="12523" t="str">
        <f t="shared" si="0"/>
        <v/>
      </c>
      <c r="B84" s="12524"/>
      <c r="C84" s="12525"/>
      <c r="D84" s="12526"/>
      <c r="E84" s="12527"/>
      <c r="F84" s="12528">
        <f>IFERROR(INDEX(H$6:H49, MATCH(SUBSTITUTE(C84,"-",""), INDEX(SUBSTITUTE(F$6:F49,"-",""),0), 0)), 0)</f>
        <v>0</v>
      </c>
      <c r="G84" s="12529"/>
      <c r="H84" s="12530"/>
      <c r="I84" s="12531"/>
      <c r="J84" s="12532">
        <f t="shared" si="1"/>
        <v>0</v>
      </c>
      <c r="K84" s="12533" t="s">
        <v>520</v>
      </c>
      <c r="L84" s="12534">
        <f>IFERROR(INDEX(I$6:I49, MATCH(SUBSTITUTE(C84,"-",""), INDEX(SUBSTITUTE(F$6:F49,"-",""),0), 0)), "")</f>
        <v>0</v>
      </c>
      <c r="M84" s="12535" t="str">
        <f t="shared" si="2"/>
        <v>❌ LEVET (aut: 0)</v>
      </c>
      <c r="N84" s="12536">
        <f t="shared" si="3"/>
        <v>0</v>
      </c>
      <c r="O84" s="12537" t="str">
        <f t="shared" si="4"/>
        <v/>
      </c>
    </row>
    <row r="85" spans="1:15">
      <c r="A85" s="12538" t="str">
        <f t="shared" si="0"/>
        <v/>
      </c>
      <c r="B85" s="12539"/>
      <c r="C85" s="12540"/>
      <c r="D85" s="12541">
        <f>IFERROR(INDEX(D$6:D49, MATCH(SUBSTITUTE(C85,"-",""), INDEX(SUBSTITUTE(F$6:F49,"-",""),0), 0)), "")</f>
        <v>0</v>
      </c>
      <c r="E85" s="12542">
        <f>IFERROR(INDEX(G$6:G49, MATCH(SUBSTITUTE(C85,"-",""), INDEX(SUBSTITUTE(F$6:F49,"-",""),0), 0)), "")</f>
        <v>0</v>
      </c>
      <c r="F85" s="12543">
        <f>IFERROR(INDEX(H$6:H49, MATCH(SUBSTITUTE(C85,"-",""), INDEX(SUBSTITUTE(F$6:F49,"-",""),0), 0)), 0)</f>
        <v>0</v>
      </c>
      <c r="G85" s="12544"/>
      <c r="H85" s="12545"/>
      <c r="I85" s="12546"/>
      <c r="J85" s="12547">
        <f t="shared" si="1"/>
        <v>0</v>
      </c>
      <c r="K85" s="12548"/>
      <c r="L85" s="12549">
        <f>IFERROR(INDEX(I$6:I49, MATCH(SUBSTITUTE(C85,"-",""), INDEX(SUBSTITUTE(F$6:F49,"-",""),0), 0)), "")</f>
        <v>0</v>
      </c>
      <c r="M85" s="12550" t="str">
        <f t="shared" si="2"/>
        <v/>
      </c>
      <c r="N85" s="12551">
        <f t="shared" si="3"/>
        <v>0</v>
      </c>
      <c r="O85" s="12552" t="str">
        <f t="shared" si="4"/>
        <v/>
      </c>
    </row>
    <row r="86" spans="1:15">
      <c r="A86" s="12553" t="str">
        <f t="shared" si="0"/>
        <v/>
      </c>
      <c r="B86" s="12554"/>
      <c r="C86" s="12555"/>
      <c r="D86" s="12556">
        <f>IFERROR(INDEX(D$6:D49, MATCH(SUBSTITUTE(C86,"-",""), INDEX(SUBSTITUTE(F$6:F49,"-",""),0), 0)), "")</f>
        <v>0</v>
      </c>
      <c r="E86" s="12557">
        <f>IFERROR(INDEX(G$6:G49, MATCH(SUBSTITUTE(C86,"-",""), INDEX(SUBSTITUTE(F$6:F49,"-",""),0), 0)), "")</f>
        <v>0</v>
      </c>
      <c r="F86" s="12558">
        <f>IFERROR(INDEX(H$6:H49, MATCH(SUBSTITUTE(C86,"-",""), INDEX(SUBSTITUTE(F$6:F49,"-",""),0), 0)), 0)</f>
        <v>0</v>
      </c>
      <c r="G86" s="12559"/>
      <c r="H86" s="12560"/>
      <c r="I86" s="12561"/>
      <c r="J86" s="12562">
        <f t="shared" si="1"/>
        <v>0</v>
      </c>
      <c r="K86" s="12563"/>
      <c r="L86" s="12564">
        <f>IFERROR(INDEX(I$6:I49, MATCH(SUBSTITUTE(C86,"-",""), INDEX(SUBSTITUTE(F$6:F49,"-",""),0), 0)), "")</f>
        <v>0</v>
      </c>
      <c r="M86" s="12565" t="str">
        <f t="shared" si="2"/>
        <v/>
      </c>
      <c r="N86" s="12566">
        <f t="shared" si="3"/>
        <v>0</v>
      </c>
      <c r="O86" s="12567" t="str">
        <f t="shared" si="4"/>
        <v/>
      </c>
    </row>
    <row r="87" spans="1:15">
      <c r="A87" s="12568" t="str">
        <f t="shared" si="0"/>
        <v/>
      </c>
      <c r="B87" s="12569"/>
      <c r="C87" s="12570"/>
      <c r="D87" s="12571">
        <f>IFERROR(INDEX(D$6:D49, MATCH(SUBSTITUTE(C87,"-",""), INDEX(SUBSTITUTE(F$6:F49,"-",""),0), 0)), "")</f>
        <v>0</v>
      </c>
      <c r="E87" s="12572">
        <f>IFERROR(INDEX(G$6:G49, MATCH(SUBSTITUTE(C87,"-",""), INDEX(SUBSTITUTE(F$6:F49,"-",""),0), 0)), "")</f>
        <v>0</v>
      </c>
      <c r="F87" s="12573">
        <f>IFERROR(INDEX(H$6:H49, MATCH(SUBSTITUTE(C87,"-",""), INDEX(SUBSTITUTE(F$6:F49,"-",""),0), 0)), 0)</f>
        <v>0</v>
      </c>
      <c r="G87" s="12574"/>
      <c r="H87" s="12575"/>
      <c r="I87" s="12576"/>
      <c r="J87" s="12577">
        <f t="shared" si="1"/>
        <v>0</v>
      </c>
      <c r="K87" s="12578"/>
      <c r="L87" s="12579">
        <f>IFERROR(INDEX(I$6:I49, MATCH(SUBSTITUTE(C87,"-",""), INDEX(SUBSTITUTE(F$6:F49,"-",""),0), 0)), "")</f>
        <v>0</v>
      </c>
      <c r="M87" s="12580" t="str">
        <f t="shared" si="2"/>
        <v/>
      </c>
      <c r="N87" s="12581">
        <f t="shared" si="3"/>
        <v>0</v>
      </c>
      <c r="O87" s="12582" t="str">
        <f t="shared" si="4"/>
        <v/>
      </c>
    </row>
    <row r="88" spans="1:15">
      <c r="A88" s="12583" t="str">
        <f t="shared" si="0"/>
        <v/>
      </c>
      <c r="B88" s="12584"/>
      <c r="C88" s="12585"/>
      <c r="D88" s="12586">
        <f>IFERROR(INDEX(D$6:D49, MATCH(SUBSTITUTE(C88,"-",""), INDEX(SUBSTITUTE(F$6:F49,"-",""),0), 0)), "")</f>
        <v>0</v>
      </c>
      <c r="E88" s="12587">
        <f>IFERROR(INDEX(G$6:G49, MATCH(SUBSTITUTE(C88,"-",""), INDEX(SUBSTITUTE(F$6:F49,"-",""),0), 0)), "")</f>
        <v>0</v>
      </c>
      <c r="F88" s="12588">
        <f>IFERROR(INDEX(H$6:H49, MATCH(SUBSTITUTE(C88,"-",""), INDEX(SUBSTITUTE(F$6:F49,"-",""),0), 0)), 0)</f>
        <v>0</v>
      </c>
      <c r="G88" s="12589"/>
      <c r="H88" s="12590"/>
      <c r="I88" s="12591"/>
      <c r="J88" s="12592">
        <f t="shared" si="1"/>
        <v>0</v>
      </c>
      <c r="K88" s="12593"/>
      <c r="L88" s="12594">
        <f>IFERROR(INDEX(I$6:I49, MATCH(SUBSTITUTE(C88,"-",""), INDEX(SUBSTITUTE(F$6:F49,"-",""),0), 0)), "")</f>
        <v>0</v>
      </c>
      <c r="M88" s="12595" t="str">
        <f t="shared" si="2"/>
        <v/>
      </c>
      <c r="N88" s="12596">
        <f t="shared" si="3"/>
        <v>0</v>
      </c>
      <c r="O88" s="12597" t="str">
        <f t="shared" si="4"/>
        <v/>
      </c>
    </row>
    <row r="89" spans="1:15">
      <c r="A89" s="12598" t="str">
        <f t="shared" ref="A89:A120" si="5">IF(B89="","", WEEKNUM(B89,2))</f>
        <v/>
      </c>
      <c r="B89" s="12599"/>
      <c r="C89" s="12600"/>
      <c r="D89" s="12601">
        <f>IFERROR(INDEX(D$6:D49, MATCH(SUBSTITUTE(C89,"-",""), INDEX(SUBSTITUTE(F$6:F49,"-",""),0), 0)), "")</f>
        <v>0</v>
      </c>
      <c r="E89" s="12602">
        <f>IFERROR(INDEX(G$6:G49, MATCH(SUBSTITUTE(C89,"-",""), INDEX(SUBSTITUTE(F$6:F49,"-",""),0), 0)), "")</f>
        <v>0</v>
      </c>
      <c r="F89" s="12603">
        <f>IFERROR(INDEX(H$6:H49, MATCH(SUBSTITUTE(C89,"-",""), INDEX(SUBSTITUTE(F$6:F49,"-",""),0), 0)), 0)</f>
        <v>0</v>
      </c>
      <c r="G89" s="12604"/>
      <c r="H89" s="12605"/>
      <c r="I89" s="12606"/>
      <c r="J89" s="12607">
        <f t="shared" ref="J89:J120" si="6">IFERROR(F89-G89, "")</f>
        <v>0</v>
      </c>
      <c r="K89" s="12608"/>
      <c r="L89" s="12609">
        <f>IFERROR(INDEX(I$6:I49, MATCH(SUBSTITUTE(C89,"-",""), INDEX(SUBSTITUTE(F$6:F49,"-",""),0), 0)), "")</f>
        <v>0</v>
      </c>
      <c r="M89" s="12610" t="str">
        <f t="shared" ref="M89:M120" si="7">IFERROR(IF(K89="","",IF(K89=L89,"✅ Correcta","❌ "&amp; K89 &amp;" (aut: "&amp; L89 &amp;")")), "")</f>
        <v/>
      </c>
      <c r="N89" s="12611">
        <f t="shared" ref="N89:N120" si="8">IFERROR(G89-F89, "")</f>
        <v>0</v>
      </c>
      <c r="O89" s="12612" t="str">
        <f t="shared" ref="O89:O120" si="9">IFERROR(IF(C89="","",IF(F89=0,"⚠️ Sin Autorización (placa no en catálogo)",IF(N89=0,"✅ Cuadrado",IF(N89&gt;0,"❌ Exceso $"&amp;TEXT(N89,"#,##0.00"),"✅ OK - Saldo $"&amp;TEXT(ABS(N89),"#,##0.00"))))), "")</f>
        <v/>
      </c>
    </row>
    <row r="90" spans="1:15">
      <c r="A90" s="12613" t="str">
        <f t="shared" si="5"/>
        <v/>
      </c>
      <c r="B90" s="12614"/>
      <c r="C90" s="12615"/>
      <c r="D90" s="12616">
        <f>IFERROR(INDEX(D$6:D49, MATCH(SUBSTITUTE(C90,"-",""), INDEX(SUBSTITUTE(F$6:F49,"-",""),0), 0)), "")</f>
        <v>0</v>
      </c>
      <c r="E90" s="12617">
        <f>IFERROR(INDEX(G$6:G49, MATCH(SUBSTITUTE(C90,"-",""), INDEX(SUBSTITUTE(F$6:F49,"-",""),0), 0)), "")</f>
        <v>0</v>
      </c>
      <c r="F90" s="12618">
        <f>IFERROR(INDEX(H$6:H49, MATCH(SUBSTITUTE(C90,"-",""), INDEX(SUBSTITUTE(F$6:F49,"-",""),0), 0)), 0)</f>
        <v>0</v>
      </c>
      <c r="G90" s="12619"/>
      <c r="H90" s="12620"/>
      <c r="I90" s="12621"/>
      <c r="J90" s="12622">
        <f t="shared" si="6"/>
        <v>0</v>
      </c>
      <c r="K90" s="12623"/>
      <c r="L90" s="12624">
        <f>IFERROR(INDEX(I$6:I49, MATCH(SUBSTITUTE(C90,"-",""), INDEX(SUBSTITUTE(F$6:F49,"-",""),0), 0)), "")</f>
        <v>0</v>
      </c>
      <c r="M90" s="12625" t="str">
        <f t="shared" si="7"/>
        <v/>
      </c>
      <c r="N90" s="12626">
        <f t="shared" si="8"/>
        <v>0</v>
      </c>
      <c r="O90" s="12627" t="str">
        <f t="shared" si="9"/>
        <v/>
      </c>
    </row>
    <row r="91" spans="1:15">
      <c r="A91" s="12628" t="str">
        <f t="shared" si="5"/>
        <v/>
      </c>
      <c r="B91" s="12629"/>
      <c r="C91" s="12630"/>
      <c r="D91" s="12631">
        <f>IFERROR(INDEX(D$6:D49, MATCH(SUBSTITUTE(C91,"-",""), INDEX(SUBSTITUTE(F$6:F49,"-",""),0), 0)), "")</f>
        <v>0</v>
      </c>
      <c r="E91" s="12632">
        <f>IFERROR(INDEX(G$6:G49, MATCH(SUBSTITUTE(C91,"-",""), INDEX(SUBSTITUTE(F$6:F49,"-",""),0), 0)), "")</f>
        <v>0</v>
      </c>
      <c r="F91" s="12633">
        <f>IFERROR(INDEX(H$6:H49, MATCH(SUBSTITUTE(C91,"-",""), INDEX(SUBSTITUTE(F$6:F49,"-",""),0), 0)), 0)</f>
        <v>0</v>
      </c>
      <c r="G91" s="12634"/>
      <c r="H91" s="12635"/>
      <c r="I91" s="12636"/>
      <c r="J91" s="12637">
        <f t="shared" si="6"/>
        <v>0</v>
      </c>
      <c r="K91" s="12638"/>
      <c r="L91" s="12639">
        <f>IFERROR(INDEX(I$6:I49, MATCH(SUBSTITUTE(C91,"-",""), INDEX(SUBSTITUTE(F$6:F49,"-",""),0), 0)), "")</f>
        <v>0</v>
      </c>
      <c r="M91" s="12640" t="str">
        <f t="shared" si="7"/>
        <v/>
      </c>
      <c r="N91" s="12641">
        <f t="shared" si="8"/>
        <v>0</v>
      </c>
      <c r="O91" s="12642" t="str">
        <f t="shared" si="9"/>
        <v/>
      </c>
    </row>
    <row r="92" spans="1:15">
      <c r="A92" s="12643" t="str">
        <f t="shared" si="5"/>
        <v/>
      </c>
      <c r="B92" s="12644"/>
      <c r="C92" s="12645"/>
      <c r="D92" s="12646">
        <f>IFERROR(INDEX(D$6:D49, MATCH(SUBSTITUTE(C92,"-",""), INDEX(SUBSTITUTE(F$6:F49,"-",""),0), 0)), "")</f>
        <v>0</v>
      </c>
      <c r="E92" s="12647">
        <f>IFERROR(INDEX(G$6:G49, MATCH(SUBSTITUTE(C92,"-",""), INDEX(SUBSTITUTE(F$6:F49,"-",""),0), 0)), "")</f>
        <v>0</v>
      </c>
      <c r="F92" s="12648">
        <f>IFERROR(INDEX(H$6:H49, MATCH(SUBSTITUTE(C92,"-",""), INDEX(SUBSTITUTE(F$6:F49,"-",""),0), 0)), 0)</f>
        <v>0</v>
      </c>
      <c r="G92" s="12649"/>
      <c r="H92" s="12650"/>
      <c r="I92" s="12651"/>
      <c r="J92" s="12652">
        <f t="shared" si="6"/>
        <v>0</v>
      </c>
      <c r="K92" s="12653"/>
      <c r="L92" s="12654">
        <f>IFERROR(INDEX(I$6:I49, MATCH(SUBSTITUTE(C92,"-",""), INDEX(SUBSTITUTE(F$6:F49,"-",""),0), 0)), "")</f>
        <v>0</v>
      </c>
      <c r="M92" s="12655" t="str">
        <f t="shared" si="7"/>
        <v/>
      </c>
      <c r="N92" s="12656">
        <f t="shared" si="8"/>
        <v>0</v>
      </c>
      <c r="O92" s="12657" t="str">
        <f t="shared" si="9"/>
        <v/>
      </c>
    </row>
    <row r="93" spans="1:15">
      <c r="A93" s="12658" t="str">
        <f t="shared" si="5"/>
        <v/>
      </c>
      <c r="B93" s="12659"/>
      <c r="C93" s="12660"/>
      <c r="D93" s="12661">
        <f>IFERROR(INDEX(D$6:D49, MATCH(SUBSTITUTE(C93,"-",""), INDEX(SUBSTITUTE(F$6:F49,"-",""),0), 0)), "")</f>
        <v>0</v>
      </c>
      <c r="E93" s="12662">
        <f>IFERROR(INDEX(G$6:G49, MATCH(SUBSTITUTE(C93,"-",""), INDEX(SUBSTITUTE(F$6:F49,"-",""),0), 0)), "")</f>
        <v>0</v>
      </c>
      <c r="F93" s="12663">
        <f>IFERROR(INDEX(H$6:H49, MATCH(SUBSTITUTE(C93,"-",""), INDEX(SUBSTITUTE(F$6:F49,"-",""),0), 0)), 0)</f>
        <v>0</v>
      </c>
      <c r="G93" s="12664"/>
      <c r="H93" s="12665"/>
      <c r="I93" s="12666"/>
      <c r="J93" s="12667">
        <f t="shared" si="6"/>
        <v>0</v>
      </c>
      <c r="K93" s="12668"/>
      <c r="L93" s="12669">
        <f>IFERROR(INDEX(I$6:I49, MATCH(SUBSTITUTE(C93,"-",""), INDEX(SUBSTITUTE(F$6:F49,"-",""),0), 0)), "")</f>
        <v>0</v>
      </c>
      <c r="M93" s="12670" t="str">
        <f t="shared" si="7"/>
        <v/>
      </c>
      <c r="N93" s="12671">
        <f t="shared" si="8"/>
        <v>0</v>
      </c>
      <c r="O93" s="12672" t="str">
        <f t="shared" si="9"/>
        <v/>
      </c>
    </row>
    <row r="94" spans="1:15">
      <c r="A94" s="12673" t="str">
        <f t="shared" si="5"/>
        <v/>
      </c>
      <c r="B94" s="12674"/>
      <c r="C94" s="12675"/>
      <c r="D94" s="12676">
        <f>IFERROR(INDEX(D$6:D49, MATCH(SUBSTITUTE(C94,"-",""), INDEX(SUBSTITUTE(F$6:F49,"-",""),0), 0)), "")</f>
        <v>0</v>
      </c>
      <c r="E94" s="12677">
        <f>IFERROR(INDEX(G$6:G49, MATCH(SUBSTITUTE(C94,"-",""), INDEX(SUBSTITUTE(F$6:F49,"-",""),0), 0)), "")</f>
        <v>0</v>
      </c>
      <c r="F94" s="12678">
        <f>IFERROR(INDEX(H$6:H49, MATCH(SUBSTITUTE(C94,"-",""), INDEX(SUBSTITUTE(F$6:F49,"-",""),0), 0)), 0)</f>
        <v>0</v>
      </c>
      <c r="G94" s="12679"/>
      <c r="H94" s="12680"/>
      <c r="I94" s="12681"/>
      <c r="J94" s="12682">
        <f t="shared" si="6"/>
        <v>0</v>
      </c>
      <c r="K94" s="12683"/>
      <c r="L94" s="12684">
        <f>IFERROR(INDEX(I$6:I49, MATCH(SUBSTITUTE(C94,"-",""), INDEX(SUBSTITUTE(F$6:F49,"-",""),0), 0)), "")</f>
        <v>0</v>
      </c>
      <c r="M94" s="12685" t="str">
        <f t="shared" si="7"/>
        <v/>
      </c>
      <c r="N94" s="12686">
        <f t="shared" si="8"/>
        <v>0</v>
      </c>
      <c r="O94" s="12687" t="str">
        <f t="shared" si="9"/>
        <v/>
      </c>
    </row>
    <row r="95" spans="1:15">
      <c r="A95" s="12688" t="str">
        <f t="shared" si="5"/>
        <v/>
      </c>
      <c r="B95" s="12689"/>
      <c r="C95" s="12690"/>
      <c r="D95" s="12691">
        <f>IFERROR(INDEX(D$6:D49, MATCH(SUBSTITUTE(C95,"-",""), INDEX(SUBSTITUTE(F$6:F49,"-",""),0), 0)), "")</f>
        <v>0</v>
      </c>
      <c r="E95" s="12692">
        <f>IFERROR(INDEX(G$6:G49, MATCH(SUBSTITUTE(C95,"-",""), INDEX(SUBSTITUTE(F$6:F49,"-",""),0), 0)), "")</f>
        <v>0</v>
      </c>
      <c r="F95" s="12693">
        <f>IFERROR(INDEX(H$6:H49, MATCH(SUBSTITUTE(C95,"-",""), INDEX(SUBSTITUTE(F$6:F49,"-",""),0), 0)), 0)</f>
        <v>0</v>
      </c>
      <c r="G95" s="12694"/>
      <c r="H95" s="12695"/>
      <c r="I95" s="12696"/>
      <c r="J95" s="12697">
        <f t="shared" si="6"/>
        <v>0</v>
      </c>
      <c r="K95" s="12698"/>
      <c r="L95" s="12699">
        <f>IFERROR(INDEX(I$6:I49, MATCH(SUBSTITUTE(C95,"-",""), INDEX(SUBSTITUTE(F$6:F49,"-",""),0), 0)), "")</f>
        <v>0</v>
      </c>
      <c r="M95" s="12700" t="str">
        <f t="shared" si="7"/>
        <v/>
      </c>
      <c r="N95" s="12701">
        <f t="shared" si="8"/>
        <v>0</v>
      </c>
      <c r="O95" s="12702" t="str">
        <f t="shared" si="9"/>
        <v/>
      </c>
    </row>
    <row r="96" spans="1:15">
      <c r="A96" s="12703" t="str">
        <f t="shared" si="5"/>
        <v/>
      </c>
      <c r="B96" s="12704"/>
      <c r="C96" s="12705"/>
      <c r="D96" s="12706">
        <f>IFERROR(INDEX(D$6:D49, MATCH(SUBSTITUTE(C96,"-",""), INDEX(SUBSTITUTE(F$6:F49,"-",""),0), 0)), "")</f>
        <v>0</v>
      </c>
      <c r="E96" s="12707">
        <f>IFERROR(INDEX(G$6:G49, MATCH(SUBSTITUTE(C96,"-",""), INDEX(SUBSTITUTE(F$6:F49,"-",""),0), 0)), "")</f>
        <v>0</v>
      </c>
      <c r="F96" s="12708">
        <f>IFERROR(INDEX(H$6:H49, MATCH(SUBSTITUTE(C96,"-",""), INDEX(SUBSTITUTE(F$6:F49,"-",""),0), 0)), 0)</f>
        <v>0</v>
      </c>
      <c r="G96" s="12709"/>
      <c r="H96" s="12710"/>
      <c r="I96" s="12711"/>
      <c r="J96" s="12712">
        <f t="shared" si="6"/>
        <v>0</v>
      </c>
      <c r="K96" s="12713"/>
      <c r="L96" s="12714">
        <f>IFERROR(INDEX(I$6:I49, MATCH(SUBSTITUTE(C96,"-",""), INDEX(SUBSTITUTE(F$6:F49,"-",""),0), 0)), "")</f>
        <v>0</v>
      </c>
      <c r="M96" s="12715" t="str">
        <f t="shared" si="7"/>
        <v/>
      </c>
      <c r="N96" s="12716">
        <f t="shared" si="8"/>
        <v>0</v>
      </c>
      <c r="O96" s="12717" t="str">
        <f t="shared" si="9"/>
        <v/>
      </c>
    </row>
    <row r="97" spans="1:15">
      <c r="A97" s="12718" t="str">
        <f t="shared" si="5"/>
        <v/>
      </c>
      <c r="B97" s="12719"/>
      <c r="C97" s="12720"/>
      <c r="D97" s="12721">
        <f>IFERROR(INDEX(D$6:D49, MATCH(SUBSTITUTE(C97,"-",""), INDEX(SUBSTITUTE(F$6:F49,"-",""),0), 0)), "")</f>
        <v>0</v>
      </c>
      <c r="E97" s="12722">
        <f>IFERROR(INDEX(G$6:G49, MATCH(SUBSTITUTE(C97,"-",""), INDEX(SUBSTITUTE(F$6:F49,"-",""),0), 0)), "")</f>
        <v>0</v>
      </c>
      <c r="F97" s="12723">
        <f>IFERROR(INDEX(H$6:H49, MATCH(SUBSTITUTE(C97,"-",""), INDEX(SUBSTITUTE(F$6:F49,"-",""),0), 0)), 0)</f>
        <v>0</v>
      </c>
      <c r="G97" s="12724"/>
      <c r="H97" s="12725"/>
      <c r="I97" s="12726"/>
      <c r="J97" s="12727">
        <f t="shared" si="6"/>
        <v>0</v>
      </c>
      <c r="K97" s="12728"/>
      <c r="L97" s="12729">
        <f>IFERROR(INDEX(I$6:I49, MATCH(SUBSTITUTE(C97,"-",""), INDEX(SUBSTITUTE(F$6:F49,"-",""),0), 0)), "")</f>
        <v>0</v>
      </c>
      <c r="M97" s="12730" t="str">
        <f t="shared" si="7"/>
        <v/>
      </c>
      <c r="N97" s="12731">
        <f t="shared" si="8"/>
        <v>0</v>
      </c>
      <c r="O97" s="12732" t="str">
        <f t="shared" si="9"/>
        <v/>
      </c>
    </row>
    <row r="98" spans="1:15">
      <c r="A98" s="12733" t="str">
        <f t="shared" si="5"/>
        <v/>
      </c>
      <c r="B98" s="12734"/>
      <c r="C98" s="12735"/>
      <c r="D98" s="12736">
        <f>IFERROR(INDEX(D$6:D49, MATCH(SUBSTITUTE(C98,"-",""), INDEX(SUBSTITUTE(F$6:F49,"-",""),0), 0)), "")</f>
        <v>0</v>
      </c>
      <c r="E98" s="12737">
        <f>IFERROR(INDEX(G$6:G49, MATCH(SUBSTITUTE(C98,"-",""), INDEX(SUBSTITUTE(F$6:F49,"-",""),0), 0)), "")</f>
        <v>0</v>
      </c>
      <c r="F98" s="12738">
        <f>IFERROR(INDEX(H$6:H49, MATCH(SUBSTITUTE(C98,"-",""), INDEX(SUBSTITUTE(F$6:F49,"-",""),0), 0)), 0)</f>
        <v>0</v>
      </c>
      <c r="G98" s="12739"/>
      <c r="H98" s="12740"/>
      <c r="I98" s="12741"/>
      <c r="J98" s="12742">
        <f t="shared" si="6"/>
        <v>0</v>
      </c>
      <c r="K98" s="12743"/>
      <c r="L98" s="12744">
        <f>IFERROR(INDEX(I$6:I49, MATCH(SUBSTITUTE(C98,"-",""), INDEX(SUBSTITUTE(F$6:F49,"-",""),0), 0)), "")</f>
        <v>0</v>
      </c>
      <c r="M98" s="12745" t="str">
        <f t="shared" si="7"/>
        <v/>
      </c>
      <c r="N98" s="12746">
        <f t="shared" si="8"/>
        <v>0</v>
      </c>
      <c r="O98" s="12747" t="str">
        <f t="shared" si="9"/>
        <v/>
      </c>
    </row>
    <row r="99" spans="1:15">
      <c r="A99" s="12748" t="str">
        <f t="shared" si="5"/>
        <v/>
      </c>
      <c r="B99" s="12749"/>
      <c r="C99" s="12750"/>
      <c r="D99" s="12751">
        <f>IFERROR(INDEX(D$6:D49, MATCH(SUBSTITUTE(C99,"-",""), INDEX(SUBSTITUTE(F$6:F49,"-",""),0), 0)), "")</f>
        <v>0</v>
      </c>
      <c r="E99" s="12752">
        <f>IFERROR(INDEX(G$6:G49, MATCH(SUBSTITUTE(C99,"-",""), INDEX(SUBSTITUTE(F$6:F49,"-",""),0), 0)), "")</f>
        <v>0</v>
      </c>
      <c r="F99" s="12753">
        <f>IFERROR(INDEX(H$6:H49, MATCH(SUBSTITUTE(C99,"-",""), INDEX(SUBSTITUTE(F$6:F49,"-",""),0), 0)), 0)</f>
        <v>0</v>
      </c>
      <c r="G99" s="12754"/>
      <c r="H99" s="12755"/>
      <c r="I99" s="12756"/>
      <c r="J99" s="12757">
        <f t="shared" si="6"/>
        <v>0</v>
      </c>
      <c r="K99" s="12758"/>
      <c r="L99" s="12759">
        <f>IFERROR(INDEX(I$6:I49, MATCH(SUBSTITUTE(C99,"-",""), INDEX(SUBSTITUTE(F$6:F49,"-",""),0), 0)), "")</f>
        <v>0</v>
      </c>
      <c r="M99" s="12760" t="str">
        <f t="shared" si="7"/>
        <v/>
      </c>
      <c r="N99" s="12761">
        <f t="shared" si="8"/>
        <v>0</v>
      </c>
      <c r="O99" s="12762" t="str">
        <f t="shared" si="9"/>
        <v/>
      </c>
    </row>
    <row r="100" spans="1:15">
      <c r="A100" s="12763" t="str">
        <f t="shared" si="5"/>
        <v/>
      </c>
      <c r="B100" s="12764"/>
      <c r="C100" s="12765"/>
      <c r="D100" s="12766">
        <f>IFERROR(INDEX(D$6:D49, MATCH(SUBSTITUTE(C100,"-",""), INDEX(SUBSTITUTE(F$6:F49,"-",""),0), 0)), "")</f>
        <v>0</v>
      </c>
      <c r="E100" s="12767">
        <f>IFERROR(INDEX(G$6:G49, MATCH(SUBSTITUTE(C100,"-",""), INDEX(SUBSTITUTE(F$6:F49,"-",""),0), 0)), "")</f>
        <v>0</v>
      </c>
      <c r="F100" s="12768">
        <f>IFERROR(INDEX(H$6:H49, MATCH(SUBSTITUTE(C100,"-",""), INDEX(SUBSTITUTE(F$6:F49,"-",""),0), 0)), 0)</f>
        <v>0</v>
      </c>
      <c r="G100" s="12769"/>
      <c r="H100" s="12770"/>
      <c r="I100" s="12771"/>
      <c r="J100" s="12772">
        <f t="shared" si="6"/>
        <v>0</v>
      </c>
      <c r="K100" s="12773"/>
      <c r="L100" s="12774">
        <f>IFERROR(INDEX(I$6:I49, MATCH(SUBSTITUTE(C100,"-",""), INDEX(SUBSTITUTE(F$6:F49,"-",""),0), 0)), "")</f>
        <v>0</v>
      </c>
      <c r="M100" s="12775" t="str">
        <f t="shared" si="7"/>
        <v/>
      </c>
      <c r="N100" s="12776">
        <f t="shared" si="8"/>
        <v>0</v>
      </c>
      <c r="O100" s="12777" t="str">
        <f t="shared" si="9"/>
        <v/>
      </c>
    </row>
    <row r="101" spans="1:15">
      <c r="A101" s="12778" t="str">
        <f t="shared" si="5"/>
        <v/>
      </c>
      <c r="B101" s="12779"/>
      <c r="C101" s="12780"/>
      <c r="D101" s="12781">
        <f>IFERROR(INDEX(D$6:D49, MATCH(SUBSTITUTE(C101,"-",""), INDEX(SUBSTITUTE(F$6:F49,"-",""),0), 0)), "")</f>
        <v>0</v>
      </c>
      <c r="E101" s="12782">
        <f>IFERROR(INDEX(G$6:G49, MATCH(SUBSTITUTE(C101,"-",""), INDEX(SUBSTITUTE(F$6:F49,"-",""),0), 0)), "")</f>
        <v>0</v>
      </c>
      <c r="F101" s="12783">
        <f>IFERROR(INDEX(H$6:H49, MATCH(SUBSTITUTE(C101,"-",""), INDEX(SUBSTITUTE(F$6:F49,"-",""),0), 0)), 0)</f>
        <v>0</v>
      </c>
      <c r="G101" s="12784"/>
      <c r="H101" s="12785"/>
      <c r="I101" s="12786"/>
      <c r="J101" s="12787">
        <f t="shared" si="6"/>
        <v>0</v>
      </c>
      <c r="K101" s="12788"/>
      <c r="L101" s="12789">
        <f>IFERROR(INDEX(I$6:I49, MATCH(SUBSTITUTE(C101,"-",""), INDEX(SUBSTITUTE(F$6:F49,"-",""),0), 0)), "")</f>
        <v>0</v>
      </c>
      <c r="M101" s="12790" t="str">
        <f t="shared" si="7"/>
        <v/>
      </c>
      <c r="N101" s="12791">
        <f t="shared" si="8"/>
        <v>0</v>
      </c>
      <c r="O101" s="12792" t="str">
        <f t="shared" si="9"/>
        <v/>
      </c>
    </row>
    <row r="102" spans="1:15">
      <c r="A102" s="12793" t="str">
        <f t="shared" si="5"/>
        <v/>
      </c>
      <c r="B102" s="12794"/>
      <c r="C102" s="12795"/>
      <c r="D102" s="12796">
        <f>IFERROR(INDEX(D$6:D49, MATCH(SUBSTITUTE(C102,"-",""), INDEX(SUBSTITUTE(F$6:F49,"-",""),0), 0)), "")</f>
        <v>0</v>
      </c>
      <c r="E102" s="12797">
        <f>IFERROR(INDEX(G$6:G49, MATCH(SUBSTITUTE(C102,"-",""), INDEX(SUBSTITUTE(F$6:F49,"-",""),0), 0)), "")</f>
        <v>0</v>
      </c>
      <c r="F102" s="12798">
        <f>IFERROR(INDEX(H$6:H49, MATCH(SUBSTITUTE(C102,"-",""), INDEX(SUBSTITUTE(F$6:F49,"-",""),0), 0)), 0)</f>
        <v>0</v>
      </c>
      <c r="G102" s="12799"/>
      <c r="H102" s="12800"/>
      <c r="I102" s="12801"/>
      <c r="J102" s="12802">
        <f t="shared" si="6"/>
        <v>0</v>
      </c>
      <c r="K102" s="12803"/>
      <c r="L102" s="12804">
        <f>IFERROR(INDEX(I$6:I49, MATCH(SUBSTITUTE(C102,"-",""), INDEX(SUBSTITUTE(F$6:F49,"-",""),0), 0)), "")</f>
        <v>0</v>
      </c>
      <c r="M102" s="12805" t="str">
        <f t="shared" si="7"/>
        <v/>
      </c>
      <c r="N102" s="12806">
        <f t="shared" si="8"/>
        <v>0</v>
      </c>
      <c r="O102" s="12807" t="str">
        <f t="shared" si="9"/>
        <v/>
      </c>
    </row>
    <row r="103" spans="1:15">
      <c r="A103" s="12808" t="str">
        <f t="shared" si="5"/>
        <v/>
      </c>
      <c r="B103" s="12809"/>
      <c r="C103" s="12810"/>
      <c r="D103" s="12811">
        <f>IFERROR(INDEX(D$6:D49, MATCH(SUBSTITUTE(C103,"-",""), INDEX(SUBSTITUTE(F$6:F49,"-",""),0), 0)), "")</f>
        <v>0</v>
      </c>
      <c r="E103" s="12812">
        <f>IFERROR(INDEX(G$6:G49, MATCH(SUBSTITUTE(C103,"-",""), INDEX(SUBSTITUTE(F$6:F49,"-",""),0), 0)), "")</f>
        <v>0</v>
      </c>
      <c r="F103" s="12813">
        <f>IFERROR(INDEX(H$6:H49, MATCH(SUBSTITUTE(C103,"-",""), INDEX(SUBSTITUTE(F$6:F49,"-",""),0), 0)), 0)</f>
        <v>0</v>
      </c>
      <c r="G103" s="12814"/>
      <c r="H103" s="12815"/>
      <c r="I103" s="12816"/>
      <c r="J103" s="12817">
        <f t="shared" si="6"/>
        <v>0</v>
      </c>
      <c r="K103" s="12818"/>
      <c r="L103" s="12819">
        <f>IFERROR(INDEX(I$6:I49, MATCH(SUBSTITUTE(C103,"-",""), INDEX(SUBSTITUTE(F$6:F49,"-",""),0), 0)), "")</f>
        <v>0</v>
      </c>
      <c r="M103" s="12820" t="str">
        <f t="shared" si="7"/>
        <v/>
      </c>
      <c r="N103" s="12821">
        <f t="shared" si="8"/>
        <v>0</v>
      </c>
      <c r="O103" s="12822" t="str">
        <f t="shared" si="9"/>
        <v/>
      </c>
    </row>
    <row r="104" spans="1:15">
      <c r="A104" s="12823" t="str">
        <f t="shared" si="5"/>
        <v/>
      </c>
      <c r="B104" s="12824"/>
      <c r="C104" s="12825"/>
      <c r="D104" s="12826">
        <f>IFERROR(INDEX(D$6:D49, MATCH(SUBSTITUTE(C104,"-",""), INDEX(SUBSTITUTE(F$6:F49,"-",""),0), 0)), "")</f>
        <v>0</v>
      </c>
      <c r="E104" s="12827">
        <f>IFERROR(INDEX(G$6:G49, MATCH(SUBSTITUTE(C104,"-",""), INDEX(SUBSTITUTE(F$6:F49,"-",""),0), 0)), "")</f>
        <v>0</v>
      </c>
      <c r="F104" s="12828">
        <f>IFERROR(INDEX(H$6:H49, MATCH(SUBSTITUTE(C104,"-",""), INDEX(SUBSTITUTE(F$6:F49,"-",""),0), 0)), 0)</f>
        <v>0</v>
      </c>
      <c r="G104" s="12829"/>
      <c r="H104" s="12830"/>
      <c r="I104" s="12831"/>
      <c r="J104" s="12832">
        <f t="shared" si="6"/>
        <v>0</v>
      </c>
      <c r="K104" s="12833"/>
      <c r="L104" s="12834">
        <f>IFERROR(INDEX(I$6:I49, MATCH(SUBSTITUTE(C104,"-",""), INDEX(SUBSTITUTE(F$6:F49,"-",""),0), 0)), "")</f>
        <v>0</v>
      </c>
      <c r="M104" s="12835" t="str">
        <f t="shared" si="7"/>
        <v/>
      </c>
      <c r="N104" s="12836">
        <f t="shared" si="8"/>
        <v>0</v>
      </c>
      <c r="O104" s="12837" t="str">
        <f t="shared" si="9"/>
        <v/>
      </c>
    </row>
    <row r="105" spans="1:15">
      <c r="A105" s="12838" t="str">
        <f t="shared" si="5"/>
        <v/>
      </c>
      <c r="B105" s="12839"/>
      <c r="C105" s="12840"/>
      <c r="D105" s="12841">
        <f>IFERROR(INDEX(D$6:D49, MATCH(SUBSTITUTE(C105,"-",""), INDEX(SUBSTITUTE(F$6:F49,"-",""),0), 0)), "")</f>
        <v>0</v>
      </c>
      <c r="E105" s="12842">
        <f>IFERROR(INDEX(G$6:G49, MATCH(SUBSTITUTE(C105,"-",""), INDEX(SUBSTITUTE(F$6:F49,"-",""),0), 0)), "")</f>
        <v>0</v>
      </c>
      <c r="F105" s="12843">
        <f>IFERROR(INDEX(H$6:H49, MATCH(SUBSTITUTE(C105,"-",""), INDEX(SUBSTITUTE(F$6:F49,"-",""),0), 0)), 0)</f>
        <v>0</v>
      </c>
      <c r="G105" s="12844"/>
      <c r="H105" s="12845"/>
      <c r="I105" s="12846"/>
      <c r="J105" s="12847">
        <f t="shared" si="6"/>
        <v>0</v>
      </c>
      <c r="K105" s="12848"/>
      <c r="L105" s="12849">
        <f>IFERROR(INDEX(I$6:I49, MATCH(SUBSTITUTE(C105,"-",""), INDEX(SUBSTITUTE(F$6:F49,"-",""),0), 0)), "")</f>
        <v>0</v>
      </c>
      <c r="M105" s="12850" t="str">
        <f t="shared" si="7"/>
        <v/>
      </c>
      <c r="N105" s="12851">
        <f t="shared" si="8"/>
        <v>0</v>
      </c>
      <c r="O105" s="12852" t="str">
        <f t="shared" si="9"/>
        <v/>
      </c>
    </row>
    <row r="106" spans="1:15">
      <c r="A106" s="12853" t="str">
        <f t="shared" si="5"/>
        <v/>
      </c>
      <c r="B106" s="12854"/>
      <c r="C106" s="12855"/>
      <c r="D106" s="12856">
        <f>IFERROR(INDEX(D$6:D49, MATCH(SUBSTITUTE(C106,"-",""), INDEX(SUBSTITUTE(F$6:F49,"-",""),0), 0)), "")</f>
        <v>0</v>
      </c>
      <c r="E106" s="12857">
        <f>IFERROR(INDEX(G$6:G49, MATCH(SUBSTITUTE(C106,"-",""), INDEX(SUBSTITUTE(F$6:F49,"-",""),0), 0)), "")</f>
        <v>0</v>
      </c>
      <c r="F106" s="12858">
        <f>IFERROR(INDEX(H$6:H49, MATCH(SUBSTITUTE(C106,"-",""), INDEX(SUBSTITUTE(F$6:F49,"-",""),0), 0)), 0)</f>
        <v>0</v>
      </c>
      <c r="G106" s="12859"/>
      <c r="H106" s="12860"/>
      <c r="I106" s="12861"/>
      <c r="J106" s="12862">
        <f t="shared" si="6"/>
        <v>0</v>
      </c>
      <c r="K106" s="12863"/>
      <c r="L106" s="12864">
        <f>IFERROR(INDEX(I$6:I49, MATCH(SUBSTITUTE(C106,"-",""), INDEX(SUBSTITUTE(F$6:F49,"-",""),0), 0)), "")</f>
        <v>0</v>
      </c>
      <c r="M106" s="12865" t="str">
        <f t="shared" si="7"/>
        <v/>
      </c>
      <c r="N106" s="12866">
        <f t="shared" si="8"/>
        <v>0</v>
      </c>
      <c r="O106" s="12867" t="str">
        <f t="shared" si="9"/>
        <v/>
      </c>
    </row>
    <row r="107" spans="1:15">
      <c r="A107" s="12868" t="str">
        <f t="shared" si="5"/>
        <v/>
      </c>
      <c r="B107" s="12869"/>
      <c r="C107" s="12870"/>
      <c r="D107" s="12871">
        <f>IFERROR(INDEX(D$6:D49, MATCH(SUBSTITUTE(C107,"-",""), INDEX(SUBSTITUTE(F$6:F49,"-",""),0), 0)), "")</f>
        <v>0</v>
      </c>
      <c r="E107" s="12872">
        <f>IFERROR(INDEX(G$6:G49, MATCH(SUBSTITUTE(C107,"-",""), INDEX(SUBSTITUTE(F$6:F49,"-",""),0), 0)), "")</f>
        <v>0</v>
      </c>
      <c r="F107" s="12873">
        <f>IFERROR(INDEX(H$6:H49, MATCH(SUBSTITUTE(C107,"-",""), INDEX(SUBSTITUTE(F$6:F49,"-",""),0), 0)), 0)</f>
        <v>0</v>
      </c>
      <c r="G107" s="12874"/>
      <c r="H107" s="12875"/>
      <c r="I107" s="12876"/>
      <c r="J107" s="12877">
        <f t="shared" si="6"/>
        <v>0</v>
      </c>
      <c r="K107" s="12878"/>
      <c r="L107" s="12879">
        <f>IFERROR(INDEX(I$6:I49, MATCH(SUBSTITUTE(C107,"-",""), INDEX(SUBSTITUTE(F$6:F49,"-",""),0), 0)), "")</f>
        <v>0</v>
      </c>
      <c r="M107" s="12880" t="str">
        <f t="shared" si="7"/>
        <v/>
      </c>
      <c r="N107" s="12881">
        <f t="shared" si="8"/>
        <v>0</v>
      </c>
      <c r="O107" s="12882" t="str">
        <f t="shared" si="9"/>
        <v/>
      </c>
    </row>
    <row r="108" spans="1:15">
      <c r="A108" s="12883" t="str">
        <f t="shared" si="5"/>
        <v/>
      </c>
      <c r="B108" s="12884"/>
      <c r="C108" s="12885"/>
      <c r="D108" s="12886">
        <f>IFERROR(INDEX(D$6:D49, MATCH(SUBSTITUTE(C108,"-",""), INDEX(SUBSTITUTE(F$6:F49,"-",""),0), 0)), "")</f>
        <v>0</v>
      </c>
      <c r="E108" s="12887">
        <f>IFERROR(INDEX(G$6:G49, MATCH(SUBSTITUTE(C108,"-",""), INDEX(SUBSTITUTE(F$6:F49,"-",""),0), 0)), "")</f>
        <v>0</v>
      </c>
      <c r="F108" s="12888">
        <f>IFERROR(INDEX(H$6:H49, MATCH(SUBSTITUTE(C108,"-",""), INDEX(SUBSTITUTE(F$6:F49,"-",""),0), 0)), 0)</f>
        <v>0</v>
      </c>
      <c r="G108" s="12889"/>
      <c r="H108" s="12890"/>
      <c r="I108" s="12891"/>
      <c r="J108" s="12892">
        <f t="shared" si="6"/>
        <v>0</v>
      </c>
      <c r="K108" s="12893"/>
      <c r="L108" s="12894">
        <f>IFERROR(INDEX(I$6:I49, MATCH(SUBSTITUTE(C108,"-",""), INDEX(SUBSTITUTE(F$6:F49,"-",""),0), 0)), "")</f>
        <v>0</v>
      </c>
      <c r="M108" s="12895" t="str">
        <f t="shared" si="7"/>
        <v/>
      </c>
      <c r="N108" s="12896">
        <f t="shared" si="8"/>
        <v>0</v>
      </c>
      <c r="O108" s="12897" t="str">
        <f t="shared" si="9"/>
        <v/>
      </c>
    </row>
    <row r="109" spans="1:15">
      <c r="A109" s="12898" t="str">
        <f t="shared" si="5"/>
        <v/>
      </c>
      <c r="B109" s="12899"/>
      <c r="C109" s="12900"/>
      <c r="D109" s="12901">
        <f>IFERROR(INDEX(D$6:D49, MATCH(SUBSTITUTE(C109,"-",""), INDEX(SUBSTITUTE(F$6:F49,"-",""),0), 0)), "")</f>
        <v>0</v>
      </c>
      <c r="E109" s="12902">
        <f>IFERROR(INDEX(G$6:G49, MATCH(SUBSTITUTE(C109,"-",""), INDEX(SUBSTITUTE(F$6:F49,"-",""),0), 0)), "")</f>
        <v>0</v>
      </c>
      <c r="F109" s="12903">
        <f>IFERROR(INDEX(H$6:H49, MATCH(SUBSTITUTE(C109,"-",""), INDEX(SUBSTITUTE(F$6:F49,"-",""),0), 0)), 0)</f>
        <v>0</v>
      </c>
      <c r="G109" s="12904"/>
      <c r="H109" s="12905"/>
      <c r="I109" s="12906"/>
      <c r="J109" s="12907">
        <f t="shared" si="6"/>
        <v>0</v>
      </c>
      <c r="K109" s="12908"/>
      <c r="L109" s="12909">
        <f>IFERROR(INDEX(I$6:I49, MATCH(SUBSTITUTE(C109,"-",""), INDEX(SUBSTITUTE(F$6:F49,"-",""),0), 0)), "")</f>
        <v>0</v>
      </c>
      <c r="M109" s="12910" t="str">
        <f t="shared" si="7"/>
        <v/>
      </c>
      <c r="N109" s="12911">
        <f t="shared" si="8"/>
        <v>0</v>
      </c>
      <c r="O109" s="12912" t="str">
        <f t="shared" si="9"/>
        <v/>
      </c>
    </row>
    <row r="110" spans="1:15">
      <c r="A110" s="12913" t="str">
        <f t="shared" si="5"/>
        <v/>
      </c>
      <c r="B110" s="12914"/>
      <c r="C110" s="12915"/>
      <c r="D110" s="12916">
        <f>IFERROR(INDEX(D$6:D49, MATCH(SUBSTITUTE(C110,"-",""), INDEX(SUBSTITUTE(F$6:F49,"-",""),0), 0)), "")</f>
        <v>0</v>
      </c>
      <c r="E110" s="12917">
        <f>IFERROR(INDEX(G$6:G49, MATCH(SUBSTITUTE(C110,"-",""), INDEX(SUBSTITUTE(F$6:F49,"-",""),0), 0)), "")</f>
        <v>0</v>
      </c>
      <c r="F110" s="12918">
        <f>IFERROR(INDEX(H$6:H49, MATCH(SUBSTITUTE(C110,"-",""), INDEX(SUBSTITUTE(F$6:F49,"-",""),0), 0)), 0)</f>
        <v>0</v>
      </c>
      <c r="G110" s="12919"/>
      <c r="H110" s="12920"/>
      <c r="I110" s="12921"/>
      <c r="J110" s="12922">
        <f t="shared" si="6"/>
        <v>0</v>
      </c>
      <c r="K110" s="12923"/>
      <c r="L110" s="12924">
        <f>IFERROR(INDEX(I$6:I49, MATCH(SUBSTITUTE(C110,"-",""), INDEX(SUBSTITUTE(F$6:F49,"-",""),0), 0)), "")</f>
        <v>0</v>
      </c>
      <c r="M110" s="12925" t="str">
        <f t="shared" si="7"/>
        <v/>
      </c>
      <c r="N110" s="12926">
        <f t="shared" si="8"/>
        <v>0</v>
      </c>
      <c r="O110" s="12927" t="str">
        <f t="shared" si="9"/>
        <v/>
      </c>
    </row>
    <row r="111" spans="1:15">
      <c r="A111" s="12928" t="str">
        <f t="shared" si="5"/>
        <v/>
      </c>
      <c r="B111" s="12929"/>
      <c r="C111" s="12930"/>
      <c r="D111" s="12931">
        <f>IFERROR(INDEX(D$6:D49, MATCH(SUBSTITUTE(C111,"-",""), INDEX(SUBSTITUTE(F$6:F49,"-",""),0), 0)), "")</f>
        <v>0</v>
      </c>
      <c r="E111" s="12932">
        <f>IFERROR(INDEX(G$6:G49, MATCH(SUBSTITUTE(C111,"-",""), INDEX(SUBSTITUTE(F$6:F49,"-",""),0), 0)), "")</f>
        <v>0</v>
      </c>
      <c r="F111" s="12933">
        <f>IFERROR(INDEX(H$6:H49, MATCH(SUBSTITUTE(C111,"-",""), INDEX(SUBSTITUTE(F$6:F49,"-",""),0), 0)), 0)</f>
        <v>0</v>
      </c>
      <c r="G111" s="12934"/>
      <c r="H111" s="12935"/>
      <c r="I111" s="12936"/>
      <c r="J111" s="12937">
        <f t="shared" si="6"/>
        <v>0</v>
      </c>
      <c r="K111" s="12938"/>
      <c r="L111" s="12939">
        <f>IFERROR(INDEX(I$6:I49, MATCH(SUBSTITUTE(C111,"-",""), INDEX(SUBSTITUTE(F$6:F49,"-",""),0), 0)), "")</f>
        <v>0</v>
      </c>
      <c r="M111" s="12940" t="str">
        <f t="shared" si="7"/>
        <v/>
      </c>
      <c r="N111" s="12941">
        <f t="shared" si="8"/>
        <v>0</v>
      </c>
      <c r="O111" s="12942" t="str">
        <f t="shared" si="9"/>
        <v/>
      </c>
    </row>
    <row r="112" spans="1:15">
      <c r="A112" s="12943" t="str">
        <f t="shared" si="5"/>
        <v/>
      </c>
      <c r="B112" s="12944"/>
      <c r="C112" s="12945"/>
      <c r="D112" s="12946">
        <f>IFERROR(INDEX(D$6:D49, MATCH(SUBSTITUTE(C112,"-",""), INDEX(SUBSTITUTE(F$6:F49,"-",""),0), 0)), "")</f>
        <v>0</v>
      </c>
      <c r="E112" s="12947">
        <f>IFERROR(INDEX(G$6:G49, MATCH(SUBSTITUTE(C112,"-",""), INDEX(SUBSTITUTE(F$6:F49,"-",""),0), 0)), "")</f>
        <v>0</v>
      </c>
      <c r="F112" s="12948">
        <f>IFERROR(INDEX(H$6:H49, MATCH(SUBSTITUTE(C112,"-",""), INDEX(SUBSTITUTE(F$6:F49,"-",""),0), 0)), 0)</f>
        <v>0</v>
      </c>
      <c r="G112" s="12949"/>
      <c r="H112" s="12950"/>
      <c r="I112" s="12951"/>
      <c r="J112" s="12952">
        <f t="shared" si="6"/>
        <v>0</v>
      </c>
      <c r="K112" s="12953"/>
      <c r="L112" s="12954">
        <f>IFERROR(INDEX(I$6:I49, MATCH(SUBSTITUTE(C112,"-",""), INDEX(SUBSTITUTE(F$6:F49,"-",""),0), 0)), "")</f>
        <v>0</v>
      </c>
      <c r="M112" s="12955" t="str">
        <f t="shared" si="7"/>
        <v/>
      </c>
      <c r="N112" s="12956">
        <f t="shared" si="8"/>
        <v>0</v>
      </c>
      <c r="O112" s="12957" t="str">
        <f t="shared" si="9"/>
        <v/>
      </c>
    </row>
    <row r="113" spans="1:15">
      <c r="A113" s="12958" t="str">
        <f t="shared" si="5"/>
        <v/>
      </c>
      <c r="B113" s="12959"/>
      <c r="C113" s="12960"/>
      <c r="D113" s="12961">
        <f>IFERROR(INDEX(D$6:D49, MATCH(SUBSTITUTE(C113,"-",""), INDEX(SUBSTITUTE(F$6:F49,"-",""),0), 0)), "")</f>
        <v>0</v>
      </c>
      <c r="E113" s="12962">
        <f>IFERROR(INDEX(G$6:G49, MATCH(SUBSTITUTE(C113,"-",""), INDEX(SUBSTITUTE(F$6:F49,"-",""),0), 0)), "")</f>
        <v>0</v>
      </c>
      <c r="F113" s="12963">
        <f>IFERROR(INDEX(H$6:H49, MATCH(SUBSTITUTE(C113,"-",""), INDEX(SUBSTITUTE(F$6:F49,"-",""),0), 0)), 0)</f>
        <v>0</v>
      </c>
      <c r="G113" s="12964"/>
      <c r="H113" s="12965"/>
      <c r="I113" s="12966"/>
      <c r="J113" s="12967">
        <f t="shared" si="6"/>
        <v>0</v>
      </c>
      <c r="K113" s="12968"/>
      <c r="L113" s="12969">
        <f>IFERROR(INDEX(I$6:I49, MATCH(SUBSTITUTE(C113,"-",""), INDEX(SUBSTITUTE(F$6:F49,"-",""),0), 0)), "")</f>
        <v>0</v>
      </c>
      <c r="M113" s="12970" t="str">
        <f t="shared" si="7"/>
        <v/>
      </c>
      <c r="N113" s="12971">
        <f t="shared" si="8"/>
        <v>0</v>
      </c>
      <c r="O113" s="12972" t="str">
        <f t="shared" si="9"/>
        <v/>
      </c>
    </row>
    <row r="114" spans="1:15">
      <c r="A114" s="12973" t="str">
        <f t="shared" si="5"/>
        <v/>
      </c>
      <c r="B114" s="12974"/>
      <c r="C114" s="12975"/>
      <c r="D114" s="12976">
        <f>IFERROR(INDEX(D$6:D49, MATCH(SUBSTITUTE(C114,"-",""), INDEX(SUBSTITUTE(F$6:F49,"-",""),0), 0)), "")</f>
        <v>0</v>
      </c>
      <c r="E114" s="12977">
        <f>IFERROR(INDEX(G$6:G49, MATCH(SUBSTITUTE(C114,"-",""), INDEX(SUBSTITUTE(F$6:F49,"-",""),0), 0)), "")</f>
        <v>0</v>
      </c>
      <c r="F114" s="12978">
        <f>IFERROR(INDEX(H$6:H49, MATCH(SUBSTITUTE(C114,"-",""), INDEX(SUBSTITUTE(F$6:F49,"-",""),0), 0)), 0)</f>
        <v>0</v>
      </c>
      <c r="G114" s="12979"/>
      <c r="H114" s="12980"/>
      <c r="I114" s="12981"/>
      <c r="J114" s="12982">
        <f t="shared" si="6"/>
        <v>0</v>
      </c>
      <c r="K114" s="12983"/>
      <c r="L114" s="12984">
        <f>IFERROR(INDEX(I$6:I49, MATCH(SUBSTITUTE(C114,"-",""), INDEX(SUBSTITUTE(F$6:F49,"-",""),0), 0)), "")</f>
        <v>0</v>
      </c>
      <c r="M114" s="12985" t="str">
        <f t="shared" si="7"/>
        <v/>
      </c>
      <c r="N114" s="12986">
        <f t="shared" si="8"/>
        <v>0</v>
      </c>
      <c r="O114" s="12987" t="str">
        <f t="shared" si="9"/>
        <v/>
      </c>
    </row>
    <row r="115" spans="1:15">
      <c r="A115" s="12988" t="str">
        <f t="shared" si="5"/>
        <v/>
      </c>
      <c r="B115" s="12989"/>
      <c r="C115" s="12990"/>
      <c r="D115" s="12991">
        <f>IFERROR(INDEX(D$6:D49, MATCH(SUBSTITUTE(C115,"-",""), INDEX(SUBSTITUTE(F$6:F49,"-",""),0), 0)), "")</f>
        <v>0</v>
      </c>
      <c r="E115" s="12992">
        <f>IFERROR(INDEX(G$6:G49, MATCH(SUBSTITUTE(C115,"-",""), INDEX(SUBSTITUTE(F$6:F49,"-",""),0), 0)), "")</f>
        <v>0</v>
      </c>
      <c r="F115" s="12993">
        <f>IFERROR(INDEX(H$6:H49, MATCH(SUBSTITUTE(C115,"-",""), INDEX(SUBSTITUTE(F$6:F49,"-",""),0), 0)), 0)</f>
        <v>0</v>
      </c>
      <c r="G115" s="12994"/>
      <c r="H115" s="12995"/>
      <c r="I115" s="12996"/>
      <c r="J115" s="12997">
        <f t="shared" si="6"/>
        <v>0</v>
      </c>
      <c r="K115" s="12998"/>
      <c r="L115" s="12999">
        <f>IFERROR(INDEX(I$6:I49, MATCH(SUBSTITUTE(C115,"-",""), INDEX(SUBSTITUTE(F$6:F49,"-",""),0), 0)), "")</f>
        <v>0</v>
      </c>
      <c r="M115" s="13000" t="str">
        <f t="shared" si="7"/>
        <v/>
      </c>
      <c r="N115" s="13001">
        <f t="shared" si="8"/>
        <v>0</v>
      </c>
      <c r="O115" s="13002" t="str">
        <f t="shared" si="9"/>
        <v/>
      </c>
    </row>
    <row r="116" spans="1:15">
      <c r="A116" s="13003" t="str">
        <f t="shared" si="5"/>
        <v/>
      </c>
      <c r="B116" s="13004"/>
      <c r="C116" s="13005"/>
      <c r="D116" s="13006">
        <f>IFERROR(INDEX(D$6:D49, MATCH(SUBSTITUTE(C116,"-",""), INDEX(SUBSTITUTE(F$6:F49,"-",""),0), 0)), "")</f>
        <v>0</v>
      </c>
      <c r="E116" s="13007">
        <f>IFERROR(INDEX(G$6:G49, MATCH(SUBSTITUTE(C116,"-",""), INDEX(SUBSTITUTE(F$6:F49,"-",""),0), 0)), "")</f>
        <v>0</v>
      </c>
      <c r="F116" s="13008">
        <f>IFERROR(INDEX(H$6:H49, MATCH(SUBSTITUTE(C116,"-",""), INDEX(SUBSTITUTE(F$6:F49,"-",""),0), 0)), 0)</f>
        <v>0</v>
      </c>
      <c r="G116" s="13009"/>
      <c r="H116" s="13010"/>
      <c r="I116" s="13011"/>
      <c r="J116" s="13012">
        <f t="shared" si="6"/>
        <v>0</v>
      </c>
      <c r="K116" s="13013"/>
      <c r="L116" s="13014">
        <f>IFERROR(INDEX(I$6:I49, MATCH(SUBSTITUTE(C116,"-",""), INDEX(SUBSTITUTE(F$6:F49,"-",""),0), 0)), "")</f>
        <v>0</v>
      </c>
      <c r="M116" s="13015" t="str">
        <f t="shared" si="7"/>
        <v/>
      </c>
      <c r="N116" s="13016">
        <f t="shared" si="8"/>
        <v>0</v>
      </c>
      <c r="O116" s="13017" t="str">
        <f t="shared" si="9"/>
        <v/>
      </c>
    </row>
    <row r="117" spans="1:15">
      <c r="A117" s="13018" t="str">
        <f t="shared" si="5"/>
        <v/>
      </c>
      <c r="B117" s="13019"/>
      <c r="C117" s="13020"/>
      <c r="D117" s="13021">
        <f>IFERROR(INDEX(D$6:D49, MATCH(SUBSTITUTE(C117,"-",""), INDEX(SUBSTITUTE(F$6:F49,"-",""),0), 0)), "")</f>
        <v>0</v>
      </c>
      <c r="E117" s="13022">
        <f>IFERROR(INDEX(G$6:G49, MATCH(SUBSTITUTE(C117,"-",""), INDEX(SUBSTITUTE(F$6:F49,"-",""),0), 0)), "")</f>
        <v>0</v>
      </c>
      <c r="F117" s="13023">
        <f>IFERROR(INDEX(H$6:H49, MATCH(SUBSTITUTE(C117,"-",""), INDEX(SUBSTITUTE(F$6:F49,"-",""),0), 0)), 0)</f>
        <v>0</v>
      </c>
      <c r="G117" s="13024"/>
      <c r="H117" s="13025"/>
      <c r="I117" s="13026"/>
      <c r="J117" s="13027">
        <f t="shared" si="6"/>
        <v>0</v>
      </c>
      <c r="K117" s="13028"/>
      <c r="L117" s="13029">
        <f>IFERROR(INDEX(I$6:I49, MATCH(SUBSTITUTE(C117,"-",""), INDEX(SUBSTITUTE(F$6:F49,"-",""),0), 0)), "")</f>
        <v>0</v>
      </c>
      <c r="M117" s="13030" t="str">
        <f t="shared" si="7"/>
        <v/>
      </c>
      <c r="N117" s="13031">
        <f t="shared" si="8"/>
        <v>0</v>
      </c>
      <c r="O117" s="13032" t="str">
        <f t="shared" si="9"/>
        <v/>
      </c>
    </row>
    <row r="118" spans="1:15">
      <c r="A118" s="13033" t="str">
        <f t="shared" si="5"/>
        <v/>
      </c>
      <c r="B118" s="13034"/>
      <c r="C118" s="13035"/>
      <c r="D118" s="13036">
        <f>IFERROR(INDEX(D$6:D49, MATCH(SUBSTITUTE(C118,"-",""), INDEX(SUBSTITUTE(F$6:F49,"-",""),0), 0)), "")</f>
        <v>0</v>
      </c>
      <c r="E118" s="13037">
        <f>IFERROR(INDEX(G$6:G49, MATCH(SUBSTITUTE(C118,"-",""), INDEX(SUBSTITUTE(F$6:F49,"-",""),0), 0)), "")</f>
        <v>0</v>
      </c>
      <c r="F118" s="13038">
        <f>IFERROR(INDEX(H$6:H49, MATCH(SUBSTITUTE(C118,"-",""), INDEX(SUBSTITUTE(F$6:F49,"-",""),0), 0)), 0)</f>
        <v>0</v>
      </c>
      <c r="G118" s="13039"/>
      <c r="H118" s="13040"/>
      <c r="I118" s="13041"/>
      <c r="J118" s="13042">
        <f t="shared" si="6"/>
        <v>0</v>
      </c>
      <c r="K118" s="13043"/>
      <c r="L118" s="13044">
        <f>IFERROR(INDEX(I$6:I49, MATCH(SUBSTITUTE(C118,"-",""), INDEX(SUBSTITUTE(F$6:F49,"-",""),0), 0)), "")</f>
        <v>0</v>
      </c>
      <c r="M118" s="13045" t="str">
        <f t="shared" si="7"/>
        <v/>
      </c>
      <c r="N118" s="13046">
        <f t="shared" si="8"/>
        <v>0</v>
      </c>
      <c r="O118" s="13047" t="str">
        <f t="shared" si="9"/>
        <v/>
      </c>
    </row>
    <row r="119" spans="1:15">
      <c r="A119" s="13048" t="str">
        <f t="shared" si="5"/>
        <v/>
      </c>
      <c r="B119" s="13049"/>
      <c r="C119" s="13050"/>
      <c r="D119" s="13051">
        <f>IFERROR(INDEX(D$6:D49, MATCH(SUBSTITUTE(C119,"-",""), INDEX(SUBSTITUTE(F$6:F49,"-",""),0), 0)), "")</f>
        <v>0</v>
      </c>
      <c r="E119" s="13052">
        <f>IFERROR(INDEX(G$6:G49, MATCH(SUBSTITUTE(C119,"-",""), INDEX(SUBSTITUTE(F$6:F49,"-",""),0), 0)), "")</f>
        <v>0</v>
      </c>
      <c r="F119" s="13053">
        <f>IFERROR(INDEX(H$6:H49, MATCH(SUBSTITUTE(C119,"-",""), INDEX(SUBSTITUTE(F$6:F49,"-",""),0), 0)), 0)</f>
        <v>0</v>
      </c>
      <c r="G119" s="13054"/>
      <c r="H119" s="13055"/>
      <c r="I119" s="13056"/>
      <c r="J119" s="13057">
        <f t="shared" si="6"/>
        <v>0</v>
      </c>
      <c r="K119" s="13058"/>
      <c r="L119" s="13059">
        <f>IFERROR(INDEX(I$6:I49, MATCH(SUBSTITUTE(C119,"-",""), INDEX(SUBSTITUTE(F$6:F49,"-",""),0), 0)), "")</f>
        <v>0</v>
      </c>
      <c r="M119" s="13060" t="str">
        <f t="shared" si="7"/>
        <v/>
      </c>
      <c r="N119" s="13061">
        <f t="shared" si="8"/>
        <v>0</v>
      </c>
      <c r="O119" s="13062" t="str">
        <f t="shared" si="9"/>
        <v/>
      </c>
    </row>
    <row r="120" spans="1:15">
      <c r="A120" s="13063" t="str">
        <f t="shared" si="5"/>
        <v/>
      </c>
      <c r="B120" s="13064"/>
      <c r="C120" s="13065"/>
      <c r="D120" s="13066">
        <f>IFERROR(INDEX(D$6:D49, MATCH(SUBSTITUTE(C120,"-",""), INDEX(SUBSTITUTE(F$6:F49,"-",""),0), 0)), "")</f>
        <v>0</v>
      </c>
      <c r="E120" s="13067">
        <f>IFERROR(INDEX(G$6:G49, MATCH(SUBSTITUTE(C120,"-",""), INDEX(SUBSTITUTE(F$6:F49,"-",""),0), 0)), "")</f>
        <v>0</v>
      </c>
      <c r="F120" s="13068">
        <f>IFERROR(INDEX(H$6:H49, MATCH(SUBSTITUTE(C120,"-",""), INDEX(SUBSTITUTE(F$6:F49,"-",""),0), 0)), 0)</f>
        <v>0</v>
      </c>
      <c r="G120" s="13069"/>
      <c r="H120" s="13070"/>
      <c r="I120" s="13071"/>
      <c r="J120" s="13072">
        <f t="shared" si="6"/>
        <v>0</v>
      </c>
      <c r="K120" s="13073"/>
      <c r="L120" s="13074">
        <f>IFERROR(INDEX(I$6:I49, MATCH(SUBSTITUTE(C120,"-",""), INDEX(SUBSTITUTE(F$6:F49,"-",""),0), 0)), "")</f>
        <v>0</v>
      </c>
      <c r="M120" s="13075" t="str">
        <f t="shared" si="7"/>
        <v/>
      </c>
      <c r="N120" s="13076">
        <f t="shared" si="8"/>
        <v>0</v>
      </c>
      <c r="O120" s="13077" t="str">
        <f t="shared" si="9"/>
        <v/>
      </c>
    </row>
    <row r="121" spans="1:15">
      <c r="A121" s="13078" t="str">
        <f t="shared" ref="A121:A152" si="10">IF(B121="","", WEEKNUM(B121,2))</f>
        <v/>
      </c>
      <c r="B121" s="13079"/>
      <c r="C121" s="13080"/>
      <c r="D121" s="13081">
        <f>IFERROR(INDEX(D$6:D49, MATCH(SUBSTITUTE(C121,"-",""), INDEX(SUBSTITUTE(F$6:F49,"-",""),0), 0)), "")</f>
        <v>0</v>
      </c>
      <c r="E121" s="13082">
        <f>IFERROR(INDEX(G$6:G49, MATCH(SUBSTITUTE(C121,"-",""), INDEX(SUBSTITUTE(F$6:F49,"-",""),0), 0)), "")</f>
        <v>0</v>
      </c>
      <c r="F121" s="13083">
        <f>IFERROR(INDEX(H$6:H49, MATCH(SUBSTITUTE(C121,"-",""), INDEX(SUBSTITUTE(F$6:F49,"-",""),0), 0)), 0)</f>
        <v>0</v>
      </c>
      <c r="G121" s="13084"/>
      <c r="H121" s="13085"/>
      <c r="I121" s="13086"/>
      <c r="J121" s="13087">
        <f t="shared" ref="J121:J152" si="11">IFERROR(F121-G121, "")</f>
        <v>0</v>
      </c>
      <c r="K121" s="13088"/>
      <c r="L121" s="13089">
        <f>IFERROR(INDEX(I$6:I49, MATCH(SUBSTITUTE(C121,"-",""), INDEX(SUBSTITUTE(F$6:F49,"-",""),0), 0)), "")</f>
        <v>0</v>
      </c>
      <c r="M121" s="13090" t="str">
        <f t="shared" ref="M121:M152" si="12">IFERROR(IF(K121="","",IF(K121=L121,"✅ Correcta","❌ "&amp; K121 &amp;" (aut: "&amp; L121 &amp;")")), "")</f>
        <v/>
      </c>
      <c r="N121" s="13091">
        <f t="shared" ref="N121:N152" si="13">IFERROR(G121-F121, "")</f>
        <v>0</v>
      </c>
      <c r="O121" s="13092" t="str">
        <f t="shared" ref="O121:O152" si="14">IFERROR(IF(C121="","",IF(F121=0,"⚠️ Sin Autorización (placa no en catálogo)",IF(N121=0,"✅ Cuadrado",IF(N121&gt;0,"❌ Exceso $"&amp;TEXT(N121,"#,##0.00"),"✅ OK - Saldo $"&amp;TEXT(ABS(N121),"#,##0.00"))))), "")</f>
        <v/>
      </c>
    </row>
    <row r="122" spans="1:15">
      <c r="A122" s="13093" t="str">
        <f t="shared" si="10"/>
        <v/>
      </c>
      <c r="B122" s="13094"/>
      <c r="C122" s="13095"/>
      <c r="D122" s="13096">
        <f>IFERROR(INDEX(D$6:D49, MATCH(SUBSTITUTE(C122,"-",""), INDEX(SUBSTITUTE(F$6:F49,"-",""),0), 0)), "")</f>
        <v>0</v>
      </c>
      <c r="E122" s="13097">
        <f>IFERROR(INDEX(G$6:G49, MATCH(SUBSTITUTE(C122,"-",""), INDEX(SUBSTITUTE(F$6:F49,"-",""),0), 0)), "")</f>
        <v>0</v>
      </c>
      <c r="F122" s="13098">
        <f>IFERROR(INDEX(H$6:H49, MATCH(SUBSTITUTE(C122,"-",""), INDEX(SUBSTITUTE(F$6:F49,"-",""),0), 0)), 0)</f>
        <v>0</v>
      </c>
      <c r="G122" s="13099"/>
      <c r="H122" s="13100"/>
      <c r="I122" s="13101"/>
      <c r="J122" s="13102">
        <f t="shared" si="11"/>
        <v>0</v>
      </c>
      <c r="K122" s="13103"/>
      <c r="L122" s="13104">
        <f>IFERROR(INDEX(I$6:I49, MATCH(SUBSTITUTE(C122,"-",""), INDEX(SUBSTITUTE(F$6:F49,"-",""),0), 0)), "")</f>
        <v>0</v>
      </c>
      <c r="M122" s="13105" t="str">
        <f t="shared" si="12"/>
        <v/>
      </c>
      <c r="N122" s="13106">
        <f t="shared" si="13"/>
        <v>0</v>
      </c>
      <c r="O122" s="13107" t="str">
        <f t="shared" si="14"/>
        <v/>
      </c>
    </row>
    <row r="123" spans="1:15">
      <c r="A123" s="13108" t="str">
        <f t="shared" si="10"/>
        <v/>
      </c>
      <c r="B123" s="13109"/>
      <c r="C123" s="13110"/>
      <c r="D123" s="13111">
        <f>IFERROR(INDEX(D$6:D49, MATCH(SUBSTITUTE(C123,"-",""), INDEX(SUBSTITUTE(F$6:F49,"-",""),0), 0)), "")</f>
        <v>0</v>
      </c>
      <c r="E123" s="13112">
        <f>IFERROR(INDEX(G$6:G49, MATCH(SUBSTITUTE(C123,"-",""), INDEX(SUBSTITUTE(F$6:F49,"-",""),0), 0)), "")</f>
        <v>0</v>
      </c>
      <c r="F123" s="13113">
        <f>IFERROR(INDEX(H$6:H49, MATCH(SUBSTITUTE(C123,"-",""), INDEX(SUBSTITUTE(F$6:F49,"-",""),0), 0)), 0)</f>
        <v>0</v>
      </c>
      <c r="G123" s="13114"/>
      <c r="H123" s="13115"/>
      <c r="I123" s="13116"/>
      <c r="J123" s="13117">
        <f t="shared" si="11"/>
        <v>0</v>
      </c>
      <c r="K123" s="13118"/>
      <c r="L123" s="13119">
        <f>IFERROR(INDEX(I$6:I49, MATCH(SUBSTITUTE(C123,"-",""), INDEX(SUBSTITUTE(F$6:F49,"-",""),0), 0)), "")</f>
        <v>0</v>
      </c>
      <c r="M123" s="13120" t="str">
        <f t="shared" si="12"/>
        <v/>
      </c>
      <c r="N123" s="13121">
        <f t="shared" si="13"/>
        <v>0</v>
      </c>
      <c r="O123" s="13122" t="str">
        <f t="shared" si="14"/>
        <v/>
      </c>
    </row>
    <row r="124" spans="1:15">
      <c r="A124" s="13123" t="str">
        <f t="shared" si="10"/>
        <v/>
      </c>
      <c r="B124" s="13124"/>
      <c r="C124" s="13125"/>
      <c r="D124" s="13126">
        <f>IFERROR(INDEX(D$6:D49, MATCH(SUBSTITUTE(C124,"-",""), INDEX(SUBSTITUTE(F$6:F49,"-",""),0), 0)), "")</f>
        <v>0</v>
      </c>
      <c r="E124" s="13127">
        <f>IFERROR(INDEX(G$6:G49, MATCH(SUBSTITUTE(C124,"-",""), INDEX(SUBSTITUTE(F$6:F49,"-",""),0), 0)), "")</f>
        <v>0</v>
      </c>
      <c r="F124" s="13128">
        <f>IFERROR(INDEX(H$6:H49, MATCH(SUBSTITUTE(C124,"-",""), INDEX(SUBSTITUTE(F$6:F49,"-",""),0), 0)), 0)</f>
        <v>0</v>
      </c>
      <c r="G124" s="13129"/>
      <c r="H124" s="13130"/>
      <c r="I124" s="13131"/>
      <c r="J124" s="13132">
        <f t="shared" si="11"/>
        <v>0</v>
      </c>
      <c r="K124" s="13133"/>
      <c r="L124" s="13134">
        <f>IFERROR(INDEX(I$6:I49, MATCH(SUBSTITUTE(C124,"-",""), INDEX(SUBSTITUTE(F$6:F49,"-",""),0), 0)), "")</f>
        <v>0</v>
      </c>
      <c r="M124" s="13135" t="str">
        <f t="shared" si="12"/>
        <v/>
      </c>
      <c r="N124" s="13136">
        <f t="shared" si="13"/>
        <v>0</v>
      </c>
      <c r="O124" s="13137" t="str">
        <f t="shared" si="14"/>
        <v/>
      </c>
    </row>
    <row r="125" spans="1:15">
      <c r="A125" s="13138" t="str">
        <f t="shared" si="10"/>
        <v/>
      </c>
      <c r="B125" s="13139"/>
      <c r="C125" s="13140"/>
      <c r="D125" s="13141">
        <f>IFERROR(INDEX(D$6:D49, MATCH(SUBSTITUTE(C125,"-",""), INDEX(SUBSTITUTE(F$6:F49,"-",""),0), 0)), "")</f>
        <v>0</v>
      </c>
      <c r="E125" s="13142">
        <f>IFERROR(INDEX(G$6:G49, MATCH(SUBSTITUTE(C125,"-",""), INDEX(SUBSTITUTE(F$6:F49,"-",""),0), 0)), "")</f>
        <v>0</v>
      </c>
      <c r="F125" s="13143">
        <f>IFERROR(INDEX(H$6:H49, MATCH(SUBSTITUTE(C125,"-",""), INDEX(SUBSTITUTE(F$6:F49,"-",""),0), 0)), 0)</f>
        <v>0</v>
      </c>
      <c r="G125" s="13144"/>
      <c r="H125" s="13145"/>
      <c r="I125" s="13146"/>
      <c r="J125" s="13147">
        <f t="shared" si="11"/>
        <v>0</v>
      </c>
      <c r="K125" s="13148"/>
      <c r="L125" s="13149">
        <f>IFERROR(INDEX(I$6:I49, MATCH(SUBSTITUTE(C125,"-",""), INDEX(SUBSTITUTE(F$6:F49,"-",""),0), 0)), "")</f>
        <v>0</v>
      </c>
      <c r="M125" s="13150" t="str">
        <f t="shared" si="12"/>
        <v/>
      </c>
      <c r="N125" s="13151">
        <f t="shared" si="13"/>
        <v>0</v>
      </c>
      <c r="O125" s="13152" t="str">
        <f t="shared" si="14"/>
        <v/>
      </c>
    </row>
    <row r="126" spans="1:15">
      <c r="A126" s="13153" t="str">
        <f t="shared" si="10"/>
        <v/>
      </c>
      <c r="B126" s="13154"/>
      <c r="C126" s="13155"/>
      <c r="D126" s="13156">
        <f>IFERROR(INDEX(D$6:D49, MATCH(SUBSTITUTE(C126,"-",""), INDEX(SUBSTITUTE(F$6:F49,"-",""),0), 0)), "")</f>
        <v>0</v>
      </c>
      <c r="E126" s="13157">
        <f>IFERROR(INDEX(G$6:G49, MATCH(SUBSTITUTE(C126,"-",""), INDEX(SUBSTITUTE(F$6:F49,"-",""),0), 0)), "")</f>
        <v>0</v>
      </c>
      <c r="F126" s="13158">
        <f>IFERROR(INDEX(H$6:H49, MATCH(SUBSTITUTE(C126,"-",""), INDEX(SUBSTITUTE(F$6:F49,"-",""),0), 0)), 0)</f>
        <v>0</v>
      </c>
      <c r="G126" s="13159"/>
      <c r="H126" s="13160"/>
      <c r="I126" s="13161"/>
      <c r="J126" s="13162">
        <f t="shared" si="11"/>
        <v>0</v>
      </c>
      <c r="K126" s="13163"/>
      <c r="L126" s="13164">
        <f>IFERROR(INDEX(I$6:I49, MATCH(SUBSTITUTE(C126,"-",""), INDEX(SUBSTITUTE(F$6:F49,"-",""),0), 0)), "")</f>
        <v>0</v>
      </c>
      <c r="M126" s="13165" t="str">
        <f t="shared" si="12"/>
        <v/>
      </c>
      <c r="N126" s="13166">
        <f t="shared" si="13"/>
        <v>0</v>
      </c>
      <c r="O126" s="13167" t="str">
        <f t="shared" si="14"/>
        <v/>
      </c>
    </row>
    <row r="127" spans="1:15">
      <c r="A127" s="13168" t="str">
        <f t="shared" si="10"/>
        <v/>
      </c>
      <c r="B127" s="13169"/>
      <c r="C127" s="13170"/>
      <c r="D127" s="13171">
        <f>IFERROR(INDEX(D$6:D49, MATCH(SUBSTITUTE(C127,"-",""), INDEX(SUBSTITUTE(F$6:F49,"-",""),0), 0)), "")</f>
        <v>0</v>
      </c>
      <c r="E127" s="13172">
        <f>IFERROR(INDEX(G$6:G49, MATCH(SUBSTITUTE(C127,"-",""), INDEX(SUBSTITUTE(F$6:F49,"-",""),0), 0)), "")</f>
        <v>0</v>
      </c>
      <c r="F127" s="13173">
        <f>IFERROR(INDEX(H$6:H49, MATCH(SUBSTITUTE(C127,"-",""), INDEX(SUBSTITUTE(F$6:F49,"-",""),0), 0)), 0)</f>
        <v>0</v>
      </c>
      <c r="G127" s="13174"/>
      <c r="H127" s="13175"/>
      <c r="I127" s="13176"/>
      <c r="J127" s="13177">
        <f t="shared" si="11"/>
        <v>0</v>
      </c>
      <c r="K127" s="13178"/>
      <c r="L127" s="13179">
        <f>IFERROR(INDEX(I$6:I49, MATCH(SUBSTITUTE(C127,"-",""), INDEX(SUBSTITUTE(F$6:F49,"-",""),0), 0)), "")</f>
        <v>0</v>
      </c>
      <c r="M127" s="13180" t="str">
        <f t="shared" si="12"/>
        <v/>
      </c>
      <c r="N127" s="13181">
        <f t="shared" si="13"/>
        <v>0</v>
      </c>
      <c r="O127" s="13182" t="str">
        <f t="shared" si="14"/>
        <v/>
      </c>
    </row>
    <row r="128" spans="1:15">
      <c r="A128" s="13183" t="str">
        <f t="shared" si="10"/>
        <v/>
      </c>
      <c r="B128" s="13184"/>
      <c r="C128" s="13185"/>
      <c r="D128" s="13186">
        <f>IFERROR(INDEX(D$6:D49, MATCH(SUBSTITUTE(C128,"-",""), INDEX(SUBSTITUTE(F$6:F49,"-",""),0), 0)), "")</f>
        <v>0</v>
      </c>
      <c r="E128" s="13187">
        <f>IFERROR(INDEX(G$6:G49, MATCH(SUBSTITUTE(C128,"-",""), INDEX(SUBSTITUTE(F$6:F49,"-",""),0), 0)), "")</f>
        <v>0</v>
      </c>
      <c r="F128" s="13188">
        <f>IFERROR(INDEX(H$6:H49, MATCH(SUBSTITUTE(C128,"-",""), INDEX(SUBSTITUTE(F$6:F49,"-",""),0), 0)), 0)</f>
        <v>0</v>
      </c>
      <c r="G128" s="13189"/>
      <c r="H128" s="13190"/>
      <c r="I128" s="13191"/>
      <c r="J128" s="13192">
        <f t="shared" si="11"/>
        <v>0</v>
      </c>
      <c r="K128" s="13193"/>
      <c r="L128" s="13194">
        <f>IFERROR(INDEX(I$6:I49, MATCH(SUBSTITUTE(C128,"-",""), INDEX(SUBSTITUTE(F$6:F49,"-",""),0), 0)), "")</f>
        <v>0</v>
      </c>
      <c r="M128" s="13195" t="str">
        <f t="shared" si="12"/>
        <v/>
      </c>
      <c r="N128" s="13196">
        <f t="shared" si="13"/>
        <v>0</v>
      </c>
      <c r="O128" s="13197" t="str">
        <f t="shared" si="14"/>
        <v/>
      </c>
    </row>
    <row r="129" spans="1:15">
      <c r="A129" s="13198" t="str">
        <f t="shared" si="10"/>
        <v/>
      </c>
      <c r="B129" s="13199"/>
      <c r="C129" s="13200"/>
      <c r="D129" s="13201">
        <f>IFERROR(INDEX(D$6:D49, MATCH(SUBSTITUTE(C129,"-",""), INDEX(SUBSTITUTE(F$6:F49,"-",""),0), 0)), "")</f>
        <v>0</v>
      </c>
      <c r="E129" s="13202">
        <f>IFERROR(INDEX(G$6:G49, MATCH(SUBSTITUTE(C129,"-",""), INDEX(SUBSTITUTE(F$6:F49,"-",""),0), 0)), "")</f>
        <v>0</v>
      </c>
      <c r="F129" s="13203">
        <f>IFERROR(INDEX(H$6:H49, MATCH(SUBSTITUTE(C129,"-",""), INDEX(SUBSTITUTE(F$6:F49,"-",""),0), 0)), 0)</f>
        <v>0</v>
      </c>
      <c r="G129" s="13204"/>
      <c r="H129" s="13205"/>
      <c r="I129" s="13206"/>
      <c r="J129" s="13207">
        <f t="shared" si="11"/>
        <v>0</v>
      </c>
      <c r="K129" s="13208"/>
      <c r="L129" s="13209">
        <f>IFERROR(INDEX(I$6:I49, MATCH(SUBSTITUTE(C129,"-",""), INDEX(SUBSTITUTE(F$6:F49,"-",""),0), 0)), "")</f>
        <v>0</v>
      </c>
      <c r="M129" s="13210" t="str">
        <f t="shared" si="12"/>
        <v/>
      </c>
      <c r="N129" s="13211">
        <f t="shared" si="13"/>
        <v>0</v>
      </c>
      <c r="O129" s="13212" t="str">
        <f t="shared" si="14"/>
        <v/>
      </c>
    </row>
    <row r="130" spans="1:15">
      <c r="A130" s="13213" t="str">
        <f t="shared" si="10"/>
        <v/>
      </c>
      <c r="B130" s="13214"/>
      <c r="C130" s="13215"/>
      <c r="D130" s="13216">
        <f>IFERROR(INDEX(D$6:D49, MATCH(SUBSTITUTE(C130,"-",""), INDEX(SUBSTITUTE(F$6:F49,"-",""),0), 0)), "")</f>
        <v>0</v>
      </c>
      <c r="E130" s="13217">
        <f>IFERROR(INDEX(G$6:G49, MATCH(SUBSTITUTE(C130,"-",""), INDEX(SUBSTITUTE(F$6:F49,"-",""),0), 0)), "")</f>
        <v>0</v>
      </c>
      <c r="F130" s="13218">
        <f>IFERROR(INDEX(H$6:H49, MATCH(SUBSTITUTE(C130,"-",""), INDEX(SUBSTITUTE(F$6:F49,"-",""),0), 0)), 0)</f>
        <v>0</v>
      </c>
      <c r="G130" s="13219"/>
      <c r="H130" s="13220"/>
      <c r="I130" s="13221"/>
      <c r="J130" s="13222">
        <f t="shared" si="11"/>
        <v>0</v>
      </c>
      <c r="K130" s="13223"/>
      <c r="L130" s="13224">
        <f>IFERROR(INDEX(I$6:I49, MATCH(SUBSTITUTE(C130,"-",""), INDEX(SUBSTITUTE(F$6:F49,"-",""),0), 0)), "")</f>
        <v>0</v>
      </c>
      <c r="M130" s="13225" t="str">
        <f t="shared" si="12"/>
        <v/>
      </c>
      <c r="N130" s="13226">
        <f t="shared" si="13"/>
        <v>0</v>
      </c>
      <c r="O130" s="13227" t="str">
        <f t="shared" si="14"/>
        <v/>
      </c>
    </row>
    <row r="131" spans="1:15">
      <c r="A131" s="13228" t="str">
        <f t="shared" si="10"/>
        <v/>
      </c>
      <c r="B131" s="13229"/>
      <c r="C131" s="13230"/>
      <c r="D131" s="13231">
        <f>IFERROR(INDEX(D$6:D49, MATCH(SUBSTITUTE(C131,"-",""), INDEX(SUBSTITUTE(F$6:F49,"-",""),0), 0)), "")</f>
        <v>0</v>
      </c>
      <c r="E131" s="13232">
        <f>IFERROR(INDEX(G$6:G49, MATCH(SUBSTITUTE(C131,"-",""), INDEX(SUBSTITUTE(F$6:F49,"-",""),0), 0)), "")</f>
        <v>0</v>
      </c>
      <c r="F131" s="13233">
        <f>IFERROR(INDEX(H$6:H49, MATCH(SUBSTITUTE(C131,"-",""), INDEX(SUBSTITUTE(F$6:F49,"-",""),0), 0)), 0)</f>
        <v>0</v>
      </c>
      <c r="G131" s="13234"/>
      <c r="H131" s="13235"/>
      <c r="I131" s="13236"/>
      <c r="J131" s="13237">
        <f t="shared" si="11"/>
        <v>0</v>
      </c>
      <c r="K131" s="13238"/>
      <c r="L131" s="13239">
        <f>IFERROR(INDEX(I$6:I49, MATCH(SUBSTITUTE(C131,"-",""), INDEX(SUBSTITUTE(F$6:F49,"-",""),0), 0)), "")</f>
        <v>0</v>
      </c>
      <c r="M131" s="13240" t="str">
        <f t="shared" si="12"/>
        <v/>
      </c>
      <c r="N131" s="13241">
        <f t="shared" si="13"/>
        <v>0</v>
      </c>
      <c r="O131" s="13242" t="str">
        <f t="shared" si="14"/>
        <v/>
      </c>
    </row>
    <row r="132" spans="1:15">
      <c r="A132" s="13243" t="str">
        <f t="shared" si="10"/>
        <v/>
      </c>
      <c r="B132" s="13244"/>
      <c r="C132" s="13245"/>
      <c r="D132" s="13246">
        <f>IFERROR(INDEX(D$6:D49, MATCH(SUBSTITUTE(C132,"-",""), INDEX(SUBSTITUTE(F$6:F49,"-",""),0), 0)), "")</f>
        <v>0</v>
      </c>
      <c r="E132" s="13247">
        <f>IFERROR(INDEX(G$6:G49, MATCH(SUBSTITUTE(C132,"-",""), INDEX(SUBSTITUTE(F$6:F49,"-",""),0), 0)), "")</f>
        <v>0</v>
      </c>
      <c r="F132" s="13248">
        <f>IFERROR(INDEX(H$6:H49, MATCH(SUBSTITUTE(C132,"-",""), INDEX(SUBSTITUTE(F$6:F49,"-",""),0), 0)), 0)</f>
        <v>0</v>
      </c>
      <c r="G132" s="13249"/>
      <c r="H132" s="13250"/>
      <c r="I132" s="13251"/>
      <c r="J132" s="13252">
        <f t="shared" si="11"/>
        <v>0</v>
      </c>
      <c r="K132" s="13253"/>
      <c r="L132" s="13254">
        <f>IFERROR(INDEX(I$6:I49, MATCH(SUBSTITUTE(C132,"-",""), INDEX(SUBSTITUTE(F$6:F49,"-",""),0), 0)), "")</f>
        <v>0</v>
      </c>
      <c r="M132" s="13255" t="str">
        <f t="shared" si="12"/>
        <v/>
      </c>
      <c r="N132" s="13256">
        <f t="shared" si="13"/>
        <v>0</v>
      </c>
      <c r="O132" s="13257" t="str">
        <f t="shared" si="14"/>
        <v/>
      </c>
    </row>
    <row r="133" spans="1:15">
      <c r="A133" s="13258" t="str">
        <f t="shared" si="10"/>
        <v/>
      </c>
      <c r="B133" s="13259"/>
      <c r="C133" s="13260"/>
      <c r="D133" s="13261">
        <f>IFERROR(INDEX(D$6:D49, MATCH(SUBSTITUTE(C133,"-",""), INDEX(SUBSTITUTE(F$6:F49,"-",""),0), 0)), "")</f>
        <v>0</v>
      </c>
      <c r="E133" s="13262">
        <f>IFERROR(INDEX(G$6:G49, MATCH(SUBSTITUTE(C133,"-",""), INDEX(SUBSTITUTE(F$6:F49,"-",""),0), 0)), "")</f>
        <v>0</v>
      </c>
      <c r="F133" s="13263">
        <f>IFERROR(INDEX(H$6:H49, MATCH(SUBSTITUTE(C133,"-",""), INDEX(SUBSTITUTE(F$6:F49,"-",""),0), 0)), 0)</f>
        <v>0</v>
      </c>
      <c r="G133" s="13264"/>
      <c r="H133" s="13265"/>
      <c r="I133" s="13266"/>
      <c r="J133" s="13267">
        <f t="shared" si="11"/>
        <v>0</v>
      </c>
      <c r="K133" s="13268"/>
      <c r="L133" s="13269">
        <f>IFERROR(INDEX(I$6:I49, MATCH(SUBSTITUTE(C133,"-",""), INDEX(SUBSTITUTE(F$6:F49,"-",""),0), 0)), "")</f>
        <v>0</v>
      </c>
      <c r="M133" s="13270" t="str">
        <f t="shared" si="12"/>
        <v/>
      </c>
      <c r="N133" s="13271">
        <f t="shared" si="13"/>
        <v>0</v>
      </c>
      <c r="O133" s="13272" t="str">
        <f t="shared" si="14"/>
        <v/>
      </c>
    </row>
    <row r="134" spans="1:15">
      <c r="A134" s="13273" t="str">
        <f t="shared" si="10"/>
        <v/>
      </c>
      <c r="B134" s="13274"/>
      <c r="C134" s="13275"/>
      <c r="D134" s="13276">
        <f>IFERROR(INDEX(D$6:D49, MATCH(SUBSTITUTE(C134,"-",""), INDEX(SUBSTITUTE(F$6:F49,"-",""),0), 0)), "")</f>
        <v>0</v>
      </c>
      <c r="E134" s="13277">
        <f>IFERROR(INDEX(G$6:G49, MATCH(SUBSTITUTE(C134,"-",""), INDEX(SUBSTITUTE(F$6:F49,"-",""),0), 0)), "")</f>
        <v>0</v>
      </c>
      <c r="F134" s="13278">
        <f>IFERROR(INDEX(H$6:H49, MATCH(SUBSTITUTE(C134,"-",""), INDEX(SUBSTITUTE(F$6:F49,"-",""),0), 0)), 0)</f>
        <v>0</v>
      </c>
      <c r="G134" s="13279"/>
      <c r="H134" s="13280"/>
      <c r="I134" s="13281"/>
      <c r="J134" s="13282">
        <f t="shared" si="11"/>
        <v>0</v>
      </c>
      <c r="K134" s="13283"/>
      <c r="L134" s="13284">
        <f>IFERROR(INDEX(I$6:I49, MATCH(SUBSTITUTE(C134,"-",""), INDEX(SUBSTITUTE(F$6:F49,"-",""),0), 0)), "")</f>
        <v>0</v>
      </c>
      <c r="M134" s="13285" t="str">
        <f t="shared" si="12"/>
        <v/>
      </c>
      <c r="N134" s="13286">
        <f t="shared" si="13"/>
        <v>0</v>
      </c>
      <c r="O134" s="13287" t="str">
        <f t="shared" si="14"/>
        <v/>
      </c>
    </row>
    <row r="135" spans="1:15">
      <c r="A135" s="13288" t="str">
        <f t="shared" si="10"/>
        <v/>
      </c>
      <c r="B135" s="13289"/>
      <c r="C135" s="13290"/>
      <c r="D135" s="13291">
        <f>IFERROR(INDEX(D$6:D49, MATCH(SUBSTITUTE(C135,"-",""), INDEX(SUBSTITUTE(F$6:F49,"-",""),0), 0)), "")</f>
        <v>0</v>
      </c>
      <c r="E135" s="13292">
        <f>IFERROR(INDEX(G$6:G49, MATCH(SUBSTITUTE(C135,"-",""), INDEX(SUBSTITUTE(F$6:F49,"-",""),0), 0)), "")</f>
        <v>0</v>
      </c>
      <c r="F135" s="13293">
        <f>IFERROR(INDEX(H$6:H49, MATCH(SUBSTITUTE(C135,"-",""), INDEX(SUBSTITUTE(F$6:F49,"-",""),0), 0)), 0)</f>
        <v>0</v>
      </c>
      <c r="G135" s="13294"/>
      <c r="H135" s="13295"/>
      <c r="I135" s="13296"/>
      <c r="J135" s="13297">
        <f t="shared" si="11"/>
        <v>0</v>
      </c>
      <c r="K135" s="13298"/>
      <c r="L135" s="13299">
        <f>IFERROR(INDEX(I$6:I49, MATCH(SUBSTITUTE(C135,"-",""), INDEX(SUBSTITUTE(F$6:F49,"-",""),0), 0)), "")</f>
        <v>0</v>
      </c>
      <c r="M135" s="13300" t="str">
        <f t="shared" si="12"/>
        <v/>
      </c>
      <c r="N135" s="13301">
        <f t="shared" si="13"/>
        <v>0</v>
      </c>
      <c r="O135" s="13302" t="str">
        <f t="shared" si="14"/>
        <v/>
      </c>
    </row>
    <row r="136" spans="1:15">
      <c r="A136" s="13303" t="str">
        <f t="shared" si="10"/>
        <v/>
      </c>
      <c r="B136" s="13304"/>
      <c r="C136" s="13305"/>
      <c r="D136" s="13306">
        <f>IFERROR(INDEX(D$6:D49, MATCH(SUBSTITUTE(C136,"-",""), INDEX(SUBSTITUTE(F$6:F49,"-",""),0), 0)), "")</f>
        <v>0</v>
      </c>
      <c r="E136" s="13307">
        <f>IFERROR(INDEX(G$6:G49, MATCH(SUBSTITUTE(C136,"-",""), INDEX(SUBSTITUTE(F$6:F49,"-",""),0), 0)), "")</f>
        <v>0</v>
      </c>
      <c r="F136" s="13308">
        <f>IFERROR(INDEX(H$6:H49, MATCH(SUBSTITUTE(C136,"-",""), INDEX(SUBSTITUTE(F$6:F49,"-",""),0), 0)), 0)</f>
        <v>0</v>
      </c>
      <c r="G136" s="13309"/>
      <c r="H136" s="13310"/>
      <c r="I136" s="13311"/>
      <c r="J136" s="13312">
        <f t="shared" si="11"/>
        <v>0</v>
      </c>
      <c r="K136" s="13313"/>
      <c r="L136" s="13314">
        <f>IFERROR(INDEX(I$6:I49, MATCH(SUBSTITUTE(C136,"-",""), INDEX(SUBSTITUTE(F$6:F49,"-",""),0), 0)), "")</f>
        <v>0</v>
      </c>
      <c r="M136" s="13315" t="str">
        <f t="shared" si="12"/>
        <v/>
      </c>
      <c r="N136" s="13316">
        <f t="shared" si="13"/>
        <v>0</v>
      </c>
      <c r="O136" s="13317" t="str">
        <f t="shared" si="14"/>
        <v/>
      </c>
    </row>
    <row r="137" spans="1:15">
      <c r="A137" s="13318" t="str">
        <f t="shared" si="10"/>
        <v/>
      </c>
      <c r="B137" s="13319"/>
      <c r="C137" s="13320"/>
      <c r="D137" s="13321">
        <f>IFERROR(INDEX(D$6:D49, MATCH(SUBSTITUTE(C137,"-",""), INDEX(SUBSTITUTE(F$6:F49,"-",""),0), 0)), "")</f>
        <v>0</v>
      </c>
      <c r="E137" s="13322">
        <f>IFERROR(INDEX(G$6:G49, MATCH(SUBSTITUTE(C137,"-",""), INDEX(SUBSTITUTE(F$6:F49,"-",""),0), 0)), "")</f>
        <v>0</v>
      </c>
      <c r="F137" s="13323">
        <f>IFERROR(INDEX(H$6:H49, MATCH(SUBSTITUTE(C137,"-",""), INDEX(SUBSTITUTE(F$6:F49,"-",""),0), 0)), 0)</f>
        <v>0</v>
      </c>
      <c r="G137" s="13324"/>
      <c r="H137" s="13325"/>
      <c r="I137" s="13326"/>
      <c r="J137" s="13327">
        <f t="shared" si="11"/>
        <v>0</v>
      </c>
      <c r="K137" s="13328"/>
      <c r="L137" s="13329">
        <f>IFERROR(INDEX(I$6:I49, MATCH(SUBSTITUTE(C137,"-",""), INDEX(SUBSTITUTE(F$6:F49,"-",""),0), 0)), "")</f>
        <v>0</v>
      </c>
      <c r="M137" s="13330" t="str">
        <f t="shared" si="12"/>
        <v/>
      </c>
      <c r="N137" s="13331">
        <f t="shared" si="13"/>
        <v>0</v>
      </c>
      <c r="O137" s="13332" t="str">
        <f t="shared" si="14"/>
        <v/>
      </c>
    </row>
    <row r="138" spans="1:15">
      <c r="A138" s="13333" t="str">
        <f t="shared" si="10"/>
        <v/>
      </c>
      <c r="B138" s="13334"/>
      <c r="C138" s="13335"/>
      <c r="D138" s="13336">
        <f>IFERROR(INDEX(D$6:D49, MATCH(SUBSTITUTE(C138,"-",""), INDEX(SUBSTITUTE(F$6:F49,"-",""),0), 0)), "")</f>
        <v>0</v>
      </c>
      <c r="E138" s="13337">
        <f>IFERROR(INDEX(G$6:G49, MATCH(SUBSTITUTE(C138,"-",""), INDEX(SUBSTITUTE(F$6:F49,"-",""),0), 0)), "")</f>
        <v>0</v>
      </c>
      <c r="F138" s="13338">
        <f>IFERROR(INDEX(H$6:H49, MATCH(SUBSTITUTE(C138,"-",""), INDEX(SUBSTITUTE(F$6:F49,"-",""),0), 0)), 0)</f>
        <v>0</v>
      </c>
      <c r="G138" s="13339"/>
      <c r="H138" s="13340"/>
      <c r="I138" s="13341"/>
      <c r="J138" s="13342">
        <f t="shared" si="11"/>
        <v>0</v>
      </c>
      <c r="K138" s="13343"/>
      <c r="L138" s="13344">
        <f>IFERROR(INDEX(I$6:I49, MATCH(SUBSTITUTE(C138,"-",""), INDEX(SUBSTITUTE(F$6:F49,"-",""),0), 0)), "")</f>
        <v>0</v>
      </c>
      <c r="M138" s="13345" t="str">
        <f t="shared" si="12"/>
        <v/>
      </c>
      <c r="N138" s="13346">
        <f t="shared" si="13"/>
        <v>0</v>
      </c>
      <c r="O138" s="13347" t="str">
        <f t="shared" si="14"/>
        <v/>
      </c>
    </row>
    <row r="139" spans="1:15">
      <c r="A139" s="13348" t="str">
        <f t="shared" si="10"/>
        <v/>
      </c>
      <c r="B139" s="13349"/>
      <c r="C139" s="13350"/>
      <c r="D139" s="13351">
        <f>IFERROR(INDEX(D$6:D49, MATCH(SUBSTITUTE(C139,"-",""), INDEX(SUBSTITUTE(F$6:F49,"-",""),0), 0)), "")</f>
        <v>0</v>
      </c>
      <c r="E139" s="13352">
        <f>IFERROR(INDEX(G$6:G49, MATCH(SUBSTITUTE(C139,"-",""), INDEX(SUBSTITUTE(F$6:F49,"-",""),0), 0)), "")</f>
        <v>0</v>
      </c>
      <c r="F139" s="13353">
        <f>IFERROR(INDEX(H$6:H49, MATCH(SUBSTITUTE(C139,"-",""), INDEX(SUBSTITUTE(F$6:F49,"-",""),0), 0)), 0)</f>
        <v>0</v>
      </c>
      <c r="G139" s="13354"/>
      <c r="H139" s="13355"/>
      <c r="I139" s="13356"/>
      <c r="J139" s="13357">
        <f t="shared" si="11"/>
        <v>0</v>
      </c>
      <c r="K139" s="13358"/>
      <c r="L139" s="13359">
        <f>IFERROR(INDEX(I$6:I49, MATCH(SUBSTITUTE(C139,"-",""), INDEX(SUBSTITUTE(F$6:F49,"-",""),0), 0)), "")</f>
        <v>0</v>
      </c>
      <c r="M139" s="13360" t="str">
        <f t="shared" si="12"/>
        <v/>
      </c>
      <c r="N139" s="13361">
        <f t="shared" si="13"/>
        <v>0</v>
      </c>
      <c r="O139" s="13362" t="str">
        <f t="shared" si="14"/>
        <v/>
      </c>
    </row>
    <row r="140" spans="1:15">
      <c r="A140" s="13363" t="str">
        <f t="shared" si="10"/>
        <v/>
      </c>
      <c r="B140" s="13364"/>
      <c r="C140" s="13365"/>
      <c r="D140" s="13366">
        <f>IFERROR(INDEX(D$6:D49, MATCH(SUBSTITUTE(C140,"-",""), INDEX(SUBSTITUTE(F$6:F49,"-",""),0), 0)), "")</f>
        <v>0</v>
      </c>
      <c r="E140" s="13367">
        <f>IFERROR(INDEX(G$6:G49, MATCH(SUBSTITUTE(C140,"-",""), INDEX(SUBSTITUTE(F$6:F49,"-",""),0), 0)), "")</f>
        <v>0</v>
      </c>
      <c r="F140" s="13368">
        <f>IFERROR(INDEX(H$6:H49, MATCH(SUBSTITUTE(C140,"-",""), INDEX(SUBSTITUTE(F$6:F49,"-",""),0), 0)), 0)</f>
        <v>0</v>
      </c>
      <c r="G140" s="13369"/>
      <c r="H140" s="13370"/>
      <c r="I140" s="13371"/>
      <c r="J140" s="13372">
        <f t="shared" si="11"/>
        <v>0</v>
      </c>
      <c r="K140" s="13373"/>
      <c r="L140" s="13374">
        <f>IFERROR(INDEX(I$6:I49, MATCH(SUBSTITUTE(C140,"-",""), INDEX(SUBSTITUTE(F$6:F49,"-",""),0), 0)), "")</f>
        <v>0</v>
      </c>
      <c r="M140" s="13375" t="str">
        <f t="shared" si="12"/>
        <v/>
      </c>
      <c r="N140" s="13376">
        <f t="shared" si="13"/>
        <v>0</v>
      </c>
      <c r="O140" s="13377" t="str">
        <f t="shared" si="14"/>
        <v/>
      </c>
    </row>
    <row r="141" spans="1:15">
      <c r="A141" s="13378" t="str">
        <f t="shared" si="10"/>
        <v/>
      </c>
      <c r="B141" s="13379"/>
      <c r="C141" s="13380"/>
      <c r="D141" s="13381">
        <f>IFERROR(INDEX(D$6:D49, MATCH(SUBSTITUTE(C141,"-",""), INDEX(SUBSTITUTE(F$6:F49,"-",""),0), 0)), "")</f>
        <v>0</v>
      </c>
      <c r="E141" s="13382">
        <f>IFERROR(INDEX(G$6:G49, MATCH(SUBSTITUTE(C141,"-",""), INDEX(SUBSTITUTE(F$6:F49,"-",""),0), 0)), "")</f>
        <v>0</v>
      </c>
      <c r="F141" s="13383">
        <f>IFERROR(INDEX(H$6:H49, MATCH(SUBSTITUTE(C141,"-",""), INDEX(SUBSTITUTE(F$6:F49,"-",""),0), 0)), 0)</f>
        <v>0</v>
      </c>
      <c r="G141" s="13384"/>
      <c r="H141" s="13385"/>
      <c r="I141" s="13386"/>
      <c r="J141" s="13387">
        <f t="shared" si="11"/>
        <v>0</v>
      </c>
      <c r="K141" s="13388"/>
      <c r="L141" s="13389">
        <f>IFERROR(INDEX(I$6:I49, MATCH(SUBSTITUTE(C141,"-",""), INDEX(SUBSTITUTE(F$6:F49,"-",""),0), 0)), "")</f>
        <v>0</v>
      </c>
      <c r="M141" s="13390" t="str">
        <f t="shared" si="12"/>
        <v/>
      </c>
      <c r="N141" s="13391">
        <f t="shared" si="13"/>
        <v>0</v>
      </c>
      <c r="O141" s="13392" t="str">
        <f t="shared" si="14"/>
        <v/>
      </c>
    </row>
    <row r="142" spans="1:15">
      <c r="A142" s="13393" t="str">
        <f t="shared" si="10"/>
        <v/>
      </c>
      <c r="B142" s="13394"/>
      <c r="C142" s="13395"/>
      <c r="D142" s="13396">
        <f>IFERROR(INDEX(D$6:D49, MATCH(SUBSTITUTE(C142,"-",""), INDEX(SUBSTITUTE(F$6:F49,"-",""),0), 0)), "")</f>
        <v>0</v>
      </c>
      <c r="E142" s="13397">
        <f>IFERROR(INDEX(G$6:G49, MATCH(SUBSTITUTE(C142,"-",""), INDEX(SUBSTITUTE(F$6:F49,"-",""),0), 0)), "")</f>
        <v>0</v>
      </c>
      <c r="F142" s="13398">
        <f>IFERROR(INDEX(H$6:H49, MATCH(SUBSTITUTE(C142,"-",""), INDEX(SUBSTITUTE(F$6:F49,"-",""),0), 0)), 0)</f>
        <v>0</v>
      </c>
      <c r="G142" s="13399"/>
      <c r="H142" s="13400"/>
      <c r="I142" s="13401"/>
      <c r="J142" s="13402">
        <f t="shared" si="11"/>
        <v>0</v>
      </c>
      <c r="K142" s="13403"/>
      <c r="L142" s="13404">
        <f>IFERROR(INDEX(I$6:I49, MATCH(SUBSTITUTE(C142,"-",""), INDEX(SUBSTITUTE(F$6:F49,"-",""),0), 0)), "")</f>
        <v>0</v>
      </c>
      <c r="M142" s="13405" t="str">
        <f t="shared" si="12"/>
        <v/>
      </c>
      <c r="N142" s="13406">
        <f t="shared" si="13"/>
        <v>0</v>
      </c>
      <c r="O142" s="13407" t="str">
        <f t="shared" si="14"/>
        <v/>
      </c>
    </row>
    <row r="143" spans="1:15">
      <c r="A143" s="13408" t="str">
        <f t="shared" si="10"/>
        <v/>
      </c>
      <c r="B143" s="13409"/>
      <c r="C143" s="13410"/>
      <c r="D143" s="13411">
        <f>IFERROR(INDEX(D$6:D49, MATCH(SUBSTITUTE(C143,"-",""), INDEX(SUBSTITUTE(F$6:F49,"-",""),0), 0)), "")</f>
        <v>0</v>
      </c>
      <c r="E143" s="13412">
        <f>IFERROR(INDEX(G$6:G49, MATCH(SUBSTITUTE(C143,"-",""), INDEX(SUBSTITUTE(F$6:F49,"-",""),0), 0)), "")</f>
        <v>0</v>
      </c>
      <c r="F143" s="13413">
        <f>IFERROR(INDEX(H$6:H49, MATCH(SUBSTITUTE(C143,"-",""), INDEX(SUBSTITUTE(F$6:F49,"-",""),0), 0)), 0)</f>
        <v>0</v>
      </c>
      <c r="G143" s="13414"/>
      <c r="H143" s="13415"/>
      <c r="I143" s="13416"/>
      <c r="J143" s="13417">
        <f t="shared" si="11"/>
        <v>0</v>
      </c>
      <c r="K143" s="13418"/>
      <c r="L143" s="13419">
        <f>IFERROR(INDEX(I$6:I49, MATCH(SUBSTITUTE(C143,"-",""), INDEX(SUBSTITUTE(F$6:F49,"-",""),0), 0)), "")</f>
        <v>0</v>
      </c>
      <c r="M143" s="13420" t="str">
        <f t="shared" si="12"/>
        <v/>
      </c>
      <c r="N143" s="13421">
        <f t="shared" si="13"/>
        <v>0</v>
      </c>
      <c r="O143" s="13422" t="str">
        <f t="shared" si="14"/>
        <v/>
      </c>
    </row>
    <row r="144" spans="1:15">
      <c r="A144" s="13423" t="str">
        <f t="shared" si="10"/>
        <v/>
      </c>
      <c r="B144" s="13424"/>
      <c r="C144" s="13425"/>
      <c r="D144" s="13426">
        <f>IFERROR(INDEX(D$6:D49, MATCH(SUBSTITUTE(C144,"-",""), INDEX(SUBSTITUTE(F$6:F49,"-",""),0), 0)), "")</f>
        <v>0</v>
      </c>
      <c r="E144" s="13427">
        <f>IFERROR(INDEX(G$6:G49, MATCH(SUBSTITUTE(C144,"-",""), INDEX(SUBSTITUTE(F$6:F49,"-",""),0), 0)), "")</f>
        <v>0</v>
      </c>
      <c r="F144" s="13428">
        <f>IFERROR(INDEX(H$6:H49, MATCH(SUBSTITUTE(C144,"-",""), INDEX(SUBSTITUTE(F$6:F49,"-",""),0), 0)), 0)</f>
        <v>0</v>
      </c>
      <c r="G144" s="13429"/>
      <c r="H144" s="13430"/>
      <c r="I144" s="13431"/>
      <c r="J144" s="13432">
        <f t="shared" si="11"/>
        <v>0</v>
      </c>
      <c r="K144" s="13433"/>
      <c r="L144" s="13434">
        <f>IFERROR(INDEX(I$6:I49, MATCH(SUBSTITUTE(C144,"-",""), INDEX(SUBSTITUTE(F$6:F49,"-",""),0), 0)), "")</f>
        <v>0</v>
      </c>
      <c r="M144" s="13435" t="str">
        <f t="shared" si="12"/>
        <v/>
      </c>
      <c r="N144" s="13436">
        <f t="shared" si="13"/>
        <v>0</v>
      </c>
      <c r="O144" s="13437" t="str">
        <f t="shared" si="14"/>
        <v/>
      </c>
    </row>
    <row r="145" spans="1:15">
      <c r="A145" s="13438" t="str">
        <f t="shared" si="10"/>
        <v/>
      </c>
      <c r="B145" s="13439"/>
      <c r="C145" s="13440"/>
      <c r="D145" s="13441">
        <f>IFERROR(INDEX(D$6:D49, MATCH(SUBSTITUTE(C145,"-",""), INDEX(SUBSTITUTE(F$6:F49,"-",""),0), 0)), "")</f>
        <v>0</v>
      </c>
      <c r="E145" s="13442">
        <f>IFERROR(INDEX(G$6:G49, MATCH(SUBSTITUTE(C145,"-",""), INDEX(SUBSTITUTE(F$6:F49,"-",""),0), 0)), "")</f>
        <v>0</v>
      </c>
      <c r="F145" s="13443">
        <f>IFERROR(INDEX(H$6:H49, MATCH(SUBSTITUTE(C145,"-",""), INDEX(SUBSTITUTE(F$6:F49,"-",""),0), 0)), 0)</f>
        <v>0</v>
      </c>
      <c r="G145" s="13444"/>
      <c r="H145" s="13445"/>
      <c r="I145" s="13446"/>
      <c r="J145" s="13447">
        <f t="shared" si="11"/>
        <v>0</v>
      </c>
      <c r="K145" s="13448"/>
      <c r="L145" s="13449">
        <f>IFERROR(INDEX(I$6:I49, MATCH(SUBSTITUTE(C145,"-",""), INDEX(SUBSTITUTE(F$6:F49,"-",""),0), 0)), "")</f>
        <v>0</v>
      </c>
      <c r="M145" s="13450" t="str">
        <f t="shared" si="12"/>
        <v/>
      </c>
      <c r="N145" s="13451">
        <f t="shared" si="13"/>
        <v>0</v>
      </c>
      <c r="O145" s="13452" t="str">
        <f t="shared" si="14"/>
        <v/>
      </c>
    </row>
    <row r="146" spans="1:15">
      <c r="A146" s="13453" t="str">
        <f t="shared" si="10"/>
        <v/>
      </c>
      <c r="B146" s="13454"/>
      <c r="C146" s="13455"/>
      <c r="D146" s="13456">
        <f>IFERROR(INDEX(D$6:D49, MATCH(SUBSTITUTE(C146,"-",""), INDEX(SUBSTITUTE(F$6:F49,"-",""),0), 0)), "")</f>
        <v>0</v>
      </c>
      <c r="E146" s="13457">
        <f>IFERROR(INDEX(G$6:G49, MATCH(SUBSTITUTE(C146,"-",""), INDEX(SUBSTITUTE(F$6:F49,"-",""),0), 0)), "")</f>
        <v>0</v>
      </c>
      <c r="F146" s="13458">
        <f>IFERROR(INDEX(H$6:H49, MATCH(SUBSTITUTE(C146,"-",""), INDEX(SUBSTITUTE(F$6:F49,"-",""),0), 0)), 0)</f>
        <v>0</v>
      </c>
      <c r="G146" s="13459"/>
      <c r="H146" s="13460"/>
      <c r="I146" s="13461"/>
      <c r="J146" s="13462">
        <f t="shared" si="11"/>
        <v>0</v>
      </c>
      <c r="K146" s="13463"/>
      <c r="L146" s="13464">
        <f>IFERROR(INDEX(I$6:I49, MATCH(SUBSTITUTE(C146,"-",""), INDEX(SUBSTITUTE(F$6:F49,"-",""),0), 0)), "")</f>
        <v>0</v>
      </c>
      <c r="M146" s="13465" t="str">
        <f t="shared" si="12"/>
        <v/>
      </c>
      <c r="N146" s="13466">
        <f t="shared" si="13"/>
        <v>0</v>
      </c>
      <c r="O146" s="13467" t="str">
        <f t="shared" si="14"/>
        <v/>
      </c>
    </row>
    <row r="147" spans="1:15">
      <c r="A147" s="13468" t="str">
        <f t="shared" si="10"/>
        <v/>
      </c>
      <c r="B147" s="13469"/>
      <c r="C147" s="13470"/>
      <c r="D147" s="13471">
        <f>IFERROR(INDEX(D$6:D49, MATCH(SUBSTITUTE(C147,"-",""), INDEX(SUBSTITUTE(F$6:F49,"-",""),0), 0)), "")</f>
        <v>0</v>
      </c>
      <c r="E147" s="13472">
        <f>IFERROR(INDEX(G$6:G49, MATCH(SUBSTITUTE(C147,"-",""), INDEX(SUBSTITUTE(F$6:F49,"-",""),0), 0)), "")</f>
        <v>0</v>
      </c>
      <c r="F147" s="13473">
        <f>IFERROR(INDEX(H$6:H49, MATCH(SUBSTITUTE(C147,"-",""), INDEX(SUBSTITUTE(F$6:F49,"-",""),0), 0)), 0)</f>
        <v>0</v>
      </c>
      <c r="G147" s="13474"/>
      <c r="H147" s="13475"/>
      <c r="I147" s="13476"/>
      <c r="J147" s="13477">
        <f t="shared" si="11"/>
        <v>0</v>
      </c>
      <c r="K147" s="13478"/>
      <c r="L147" s="13479">
        <f>IFERROR(INDEX(I$6:I49, MATCH(SUBSTITUTE(C147,"-",""), INDEX(SUBSTITUTE(F$6:F49,"-",""),0), 0)), "")</f>
        <v>0</v>
      </c>
      <c r="M147" s="13480" t="str">
        <f t="shared" si="12"/>
        <v/>
      </c>
      <c r="N147" s="13481">
        <f t="shared" si="13"/>
        <v>0</v>
      </c>
      <c r="O147" s="13482" t="str">
        <f t="shared" si="14"/>
        <v/>
      </c>
    </row>
    <row r="148" spans="1:15">
      <c r="A148" s="13483" t="str">
        <f t="shared" si="10"/>
        <v/>
      </c>
      <c r="B148" s="13484"/>
      <c r="C148" s="13485"/>
      <c r="D148" s="13486">
        <f>IFERROR(INDEX(D$6:D49, MATCH(SUBSTITUTE(C148,"-",""), INDEX(SUBSTITUTE(F$6:F49,"-",""),0), 0)), "")</f>
        <v>0</v>
      </c>
      <c r="E148" s="13487">
        <f>IFERROR(INDEX(G$6:G49, MATCH(SUBSTITUTE(C148,"-",""), INDEX(SUBSTITUTE(F$6:F49,"-",""),0), 0)), "")</f>
        <v>0</v>
      </c>
      <c r="F148" s="13488">
        <f>IFERROR(INDEX(H$6:H49, MATCH(SUBSTITUTE(C148,"-",""), INDEX(SUBSTITUTE(F$6:F49,"-",""),0), 0)), 0)</f>
        <v>0</v>
      </c>
      <c r="G148" s="13489"/>
      <c r="H148" s="13490"/>
      <c r="I148" s="13491"/>
      <c r="J148" s="13492">
        <f t="shared" si="11"/>
        <v>0</v>
      </c>
      <c r="K148" s="13493"/>
      <c r="L148" s="13494">
        <f>IFERROR(INDEX(I$6:I49, MATCH(SUBSTITUTE(C148,"-",""), INDEX(SUBSTITUTE(F$6:F49,"-",""),0), 0)), "")</f>
        <v>0</v>
      </c>
      <c r="M148" s="13495" t="str">
        <f t="shared" si="12"/>
        <v/>
      </c>
      <c r="N148" s="13496">
        <f t="shared" si="13"/>
        <v>0</v>
      </c>
      <c r="O148" s="13497" t="str">
        <f t="shared" si="14"/>
        <v/>
      </c>
    </row>
    <row r="149" spans="1:15">
      <c r="A149" s="13498" t="str">
        <f t="shared" si="10"/>
        <v/>
      </c>
      <c r="B149" s="13499"/>
      <c r="C149" s="13500"/>
      <c r="D149" s="13501">
        <f>IFERROR(INDEX(D$6:D49, MATCH(SUBSTITUTE(C149,"-",""), INDEX(SUBSTITUTE(F$6:F49,"-",""),0), 0)), "")</f>
        <v>0</v>
      </c>
      <c r="E149" s="13502">
        <f>IFERROR(INDEX(G$6:G49, MATCH(SUBSTITUTE(C149,"-",""), INDEX(SUBSTITUTE(F$6:F49,"-",""),0), 0)), "")</f>
        <v>0</v>
      </c>
      <c r="F149" s="13503">
        <f>IFERROR(INDEX(H$6:H49, MATCH(SUBSTITUTE(C149,"-",""), INDEX(SUBSTITUTE(F$6:F49,"-",""),0), 0)), 0)</f>
        <v>0</v>
      </c>
      <c r="G149" s="13504"/>
      <c r="H149" s="13505"/>
      <c r="I149" s="13506"/>
      <c r="J149" s="13507">
        <f t="shared" si="11"/>
        <v>0</v>
      </c>
      <c r="K149" s="13508"/>
      <c r="L149" s="13509">
        <f>IFERROR(INDEX(I$6:I49, MATCH(SUBSTITUTE(C149,"-",""), INDEX(SUBSTITUTE(F$6:F49,"-",""),0), 0)), "")</f>
        <v>0</v>
      </c>
      <c r="M149" s="13510" t="str">
        <f t="shared" si="12"/>
        <v/>
      </c>
      <c r="N149" s="13511">
        <f t="shared" si="13"/>
        <v>0</v>
      </c>
      <c r="O149" s="13512" t="str">
        <f t="shared" si="14"/>
        <v/>
      </c>
    </row>
    <row r="150" spans="1:15">
      <c r="A150" s="13513" t="str">
        <f t="shared" si="10"/>
        <v/>
      </c>
      <c r="B150" s="13514"/>
      <c r="C150" s="13515"/>
      <c r="D150" s="13516">
        <f>IFERROR(INDEX(D$6:D49, MATCH(SUBSTITUTE(C150,"-",""), INDEX(SUBSTITUTE(F$6:F49,"-",""),0), 0)), "")</f>
        <v>0</v>
      </c>
      <c r="E150" s="13517">
        <f>IFERROR(INDEX(G$6:G49, MATCH(SUBSTITUTE(C150,"-",""), INDEX(SUBSTITUTE(F$6:F49,"-",""),0), 0)), "")</f>
        <v>0</v>
      </c>
      <c r="F150" s="13518">
        <f>IFERROR(INDEX(H$6:H49, MATCH(SUBSTITUTE(C150,"-",""), INDEX(SUBSTITUTE(F$6:F49,"-",""),0), 0)), 0)</f>
        <v>0</v>
      </c>
      <c r="G150" s="13519"/>
      <c r="H150" s="13520"/>
      <c r="I150" s="13521"/>
      <c r="J150" s="13522">
        <f t="shared" si="11"/>
        <v>0</v>
      </c>
      <c r="K150" s="13523"/>
      <c r="L150" s="13524">
        <f>IFERROR(INDEX(I$6:I49, MATCH(SUBSTITUTE(C150,"-",""), INDEX(SUBSTITUTE(F$6:F49,"-",""),0), 0)), "")</f>
        <v>0</v>
      </c>
      <c r="M150" s="13525" t="str">
        <f t="shared" si="12"/>
        <v/>
      </c>
      <c r="N150" s="13526">
        <f t="shared" si="13"/>
        <v>0</v>
      </c>
      <c r="O150" s="13527" t="str">
        <f t="shared" si="14"/>
        <v/>
      </c>
    </row>
    <row r="151" spans="1:15">
      <c r="A151" s="13528" t="str">
        <f t="shared" si="10"/>
        <v/>
      </c>
      <c r="B151" s="13529"/>
      <c r="C151" s="13530"/>
      <c r="D151" s="13531">
        <f>IFERROR(INDEX(D$6:D49, MATCH(SUBSTITUTE(C151,"-",""), INDEX(SUBSTITUTE(F$6:F49,"-",""),0), 0)), "")</f>
        <v>0</v>
      </c>
      <c r="E151" s="13532">
        <f>IFERROR(INDEX(G$6:G49, MATCH(SUBSTITUTE(C151,"-",""), INDEX(SUBSTITUTE(F$6:F49,"-",""),0), 0)), "")</f>
        <v>0</v>
      </c>
      <c r="F151" s="13533">
        <f>IFERROR(INDEX(H$6:H49, MATCH(SUBSTITUTE(C151,"-",""), INDEX(SUBSTITUTE(F$6:F49,"-",""),0), 0)), 0)</f>
        <v>0</v>
      </c>
      <c r="G151" s="13534"/>
      <c r="H151" s="13535"/>
      <c r="I151" s="13536"/>
      <c r="J151" s="13537">
        <f t="shared" si="11"/>
        <v>0</v>
      </c>
      <c r="K151" s="13538"/>
      <c r="L151" s="13539">
        <f>IFERROR(INDEX(I$6:I49, MATCH(SUBSTITUTE(C151,"-",""), INDEX(SUBSTITUTE(F$6:F49,"-",""),0), 0)), "")</f>
        <v>0</v>
      </c>
      <c r="M151" s="13540" t="str">
        <f t="shared" si="12"/>
        <v/>
      </c>
      <c r="N151" s="13541">
        <f t="shared" si="13"/>
        <v>0</v>
      </c>
      <c r="O151" s="13542" t="str">
        <f t="shared" si="14"/>
        <v/>
      </c>
    </row>
    <row r="152" spans="1:15">
      <c r="A152" s="13543" t="str">
        <f t="shared" si="10"/>
        <v/>
      </c>
      <c r="B152" s="13544"/>
      <c r="C152" s="13545"/>
      <c r="D152" s="13546">
        <f>IFERROR(INDEX(D$6:D49, MATCH(SUBSTITUTE(C152,"-",""), INDEX(SUBSTITUTE(F$6:F49,"-",""),0), 0)), "")</f>
        <v>0</v>
      </c>
      <c r="E152" s="13547">
        <f>IFERROR(INDEX(G$6:G49, MATCH(SUBSTITUTE(C152,"-",""), INDEX(SUBSTITUTE(F$6:F49,"-",""),0), 0)), "")</f>
        <v>0</v>
      </c>
      <c r="F152" s="13548">
        <f>IFERROR(INDEX(H$6:H49, MATCH(SUBSTITUTE(C152,"-",""), INDEX(SUBSTITUTE(F$6:F49,"-",""),0), 0)), 0)</f>
        <v>0</v>
      </c>
      <c r="G152" s="13549"/>
      <c r="H152" s="13550"/>
      <c r="I152" s="13551"/>
      <c r="J152" s="13552">
        <f t="shared" si="11"/>
        <v>0</v>
      </c>
      <c r="K152" s="13553"/>
      <c r="L152" s="13554">
        <f>IFERROR(INDEX(I$6:I49, MATCH(SUBSTITUTE(C152,"-",""), INDEX(SUBSTITUTE(F$6:F49,"-",""),0), 0)), "")</f>
        <v>0</v>
      </c>
      <c r="M152" s="13555" t="str">
        <f t="shared" si="12"/>
        <v/>
      </c>
      <c r="N152" s="13556">
        <f t="shared" si="13"/>
        <v>0</v>
      </c>
      <c r="O152" s="13557" t="str">
        <f t="shared" si="14"/>
        <v/>
      </c>
    </row>
    <row r="153" spans="1:15">
      <c r="A153" s="13558" t="str">
        <f t="shared" ref="A153:A184" si="15">IF(B153="","", WEEKNUM(B153,2))</f>
        <v/>
      </c>
      <c r="B153" s="13559"/>
      <c r="C153" s="13560"/>
      <c r="D153" s="13561">
        <f>IFERROR(INDEX(D$6:D49, MATCH(SUBSTITUTE(C153,"-",""), INDEX(SUBSTITUTE(F$6:F49,"-",""),0), 0)), "")</f>
        <v>0</v>
      </c>
      <c r="E153" s="13562">
        <f>IFERROR(INDEX(G$6:G49, MATCH(SUBSTITUTE(C153,"-",""), INDEX(SUBSTITUTE(F$6:F49,"-",""),0), 0)), "")</f>
        <v>0</v>
      </c>
      <c r="F153" s="13563">
        <f>IFERROR(INDEX(H$6:H49, MATCH(SUBSTITUTE(C153,"-",""), INDEX(SUBSTITUTE(F$6:F49,"-",""),0), 0)), 0)</f>
        <v>0</v>
      </c>
      <c r="G153" s="13564"/>
      <c r="H153" s="13565"/>
      <c r="I153" s="13566"/>
      <c r="J153" s="13567">
        <f t="shared" ref="J153:J184" si="16">IFERROR(F153-G153, "")</f>
        <v>0</v>
      </c>
      <c r="K153" s="13568"/>
      <c r="L153" s="13569">
        <f>IFERROR(INDEX(I$6:I49, MATCH(SUBSTITUTE(C153,"-",""), INDEX(SUBSTITUTE(F$6:F49,"-",""),0), 0)), "")</f>
        <v>0</v>
      </c>
      <c r="M153" s="13570" t="str">
        <f t="shared" ref="M153:M184" si="17">IFERROR(IF(K153="","",IF(K153=L153,"✅ Correcta","❌ "&amp; K153 &amp;" (aut: "&amp; L153 &amp;")")), "")</f>
        <v/>
      </c>
      <c r="N153" s="13571">
        <f t="shared" ref="N153:N184" si="18">IFERROR(G153-F153, "")</f>
        <v>0</v>
      </c>
      <c r="O153" s="13572" t="str">
        <f t="shared" ref="O153:O184" si="19">IFERROR(IF(C153="","",IF(F153=0,"⚠️ Sin Autorización (placa no en catálogo)",IF(N153=0,"✅ Cuadrado",IF(N153&gt;0,"❌ Exceso $"&amp;TEXT(N153,"#,##0.00"),"✅ OK - Saldo $"&amp;TEXT(ABS(N153),"#,##0.00"))))), "")</f>
        <v/>
      </c>
    </row>
    <row r="154" spans="1:15">
      <c r="A154" s="13573" t="str">
        <f t="shared" si="15"/>
        <v/>
      </c>
      <c r="B154" s="13574"/>
      <c r="C154" s="13575"/>
      <c r="D154" s="13576">
        <f>IFERROR(INDEX(D$6:D49, MATCH(SUBSTITUTE(C154,"-",""), INDEX(SUBSTITUTE(F$6:F49,"-",""),0), 0)), "")</f>
        <v>0</v>
      </c>
      <c r="E154" s="13577">
        <f>IFERROR(INDEX(G$6:G49, MATCH(SUBSTITUTE(C154,"-",""), INDEX(SUBSTITUTE(F$6:F49,"-",""),0), 0)), "")</f>
        <v>0</v>
      </c>
      <c r="F154" s="13578">
        <f>IFERROR(INDEX(H$6:H49, MATCH(SUBSTITUTE(C154,"-",""), INDEX(SUBSTITUTE(F$6:F49,"-",""),0), 0)), 0)</f>
        <v>0</v>
      </c>
      <c r="G154" s="13579"/>
      <c r="H154" s="13580"/>
      <c r="I154" s="13581"/>
      <c r="J154" s="13582">
        <f t="shared" si="16"/>
        <v>0</v>
      </c>
      <c r="K154" s="13583"/>
      <c r="L154" s="13584">
        <f>IFERROR(INDEX(I$6:I49, MATCH(SUBSTITUTE(C154,"-",""), INDEX(SUBSTITUTE(F$6:F49,"-",""),0), 0)), "")</f>
        <v>0</v>
      </c>
      <c r="M154" s="13585" t="str">
        <f t="shared" si="17"/>
        <v/>
      </c>
      <c r="N154" s="13586">
        <f t="shared" si="18"/>
        <v>0</v>
      </c>
      <c r="O154" s="13587" t="str">
        <f t="shared" si="19"/>
        <v/>
      </c>
    </row>
    <row r="155" spans="1:15">
      <c r="A155" s="13588" t="str">
        <f t="shared" si="15"/>
        <v/>
      </c>
      <c r="B155" s="13589"/>
      <c r="C155" s="13590"/>
      <c r="D155" s="13591">
        <f>IFERROR(INDEX(D$6:D49, MATCH(SUBSTITUTE(C155,"-",""), INDEX(SUBSTITUTE(F$6:F49,"-",""),0), 0)), "")</f>
        <v>0</v>
      </c>
      <c r="E155" s="13592">
        <f>IFERROR(INDEX(G$6:G49, MATCH(SUBSTITUTE(C155,"-",""), INDEX(SUBSTITUTE(F$6:F49,"-",""),0), 0)), "")</f>
        <v>0</v>
      </c>
      <c r="F155" s="13593">
        <f>IFERROR(INDEX(H$6:H49, MATCH(SUBSTITUTE(C155,"-",""), INDEX(SUBSTITUTE(F$6:F49,"-",""),0), 0)), 0)</f>
        <v>0</v>
      </c>
      <c r="G155" s="13594"/>
      <c r="H155" s="13595"/>
      <c r="I155" s="13596"/>
      <c r="J155" s="13597">
        <f t="shared" si="16"/>
        <v>0</v>
      </c>
      <c r="K155" s="13598"/>
      <c r="L155" s="13599">
        <f>IFERROR(INDEX(I$6:I49, MATCH(SUBSTITUTE(C155,"-",""), INDEX(SUBSTITUTE(F$6:F49,"-",""),0), 0)), "")</f>
        <v>0</v>
      </c>
      <c r="M155" s="13600" t="str">
        <f t="shared" si="17"/>
        <v/>
      </c>
      <c r="N155" s="13601">
        <f t="shared" si="18"/>
        <v>0</v>
      </c>
      <c r="O155" s="13602" t="str">
        <f t="shared" si="19"/>
        <v/>
      </c>
    </row>
    <row r="156" spans="1:15">
      <c r="A156" s="13603" t="str">
        <f t="shared" si="15"/>
        <v/>
      </c>
      <c r="B156" s="13604"/>
      <c r="C156" s="13605"/>
      <c r="D156" s="13606">
        <f>IFERROR(INDEX(D$6:D49, MATCH(SUBSTITUTE(C156,"-",""), INDEX(SUBSTITUTE(F$6:F49,"-",""),0), 0)), "")</f>
        <v>0</v>
      </c>
      <c r="E156" s="13607">
        <f>IFERROR(INDEX(G$6:G49, MATCH(SUBSTITUTE(C156,"-",""), INDEX(SUBSTITUTE(F$6:F49,"-",""),0), 0)), "")</f>
        <v>0</v>
      </c>
      <c r="F156" s="13608">
        <f>IFERROR(INDEX(H$6:H49, MATCH(SUBSTITUTE(C156,"-",""), INDEX(SUBSTITUTE(F$6:F49,"-",""),0), 0)), 0)</f>
        <v>0</v>
      </c>
      <c r="G156" s="13609"/>
      <c r="H156" s="13610"/>
      <c r="I156" s="13611"/>
      <c r="J156" s="13612">
        <f t="shared" si="16"/>
        <v>0</v>
      </c>
      <c r="K156" s="13613"/>
      <c r="L156" s="13614">
        <f>IFERROR(INDEX(I$6:I49, MATCH(SUBSTITUTE(C156,"-",""), INDEX(SUBSTITUTE(F$6:F49,"-",""),0), 0)), "")</f>
        <v>0</v>
      </c>
      <c r="M156" s="13615" t="str">
        <f t="shared" si="17"/>
        <v/>
      </c>
      <c r="N156" s="13616">
        <f t="shared" si="18"/>
        <v>0</v>
      </c>
      <c r="O156" s="13617" t="str">
        <f t="shared" si="19"/>
        <v/>
      </c>
    </row>
    <row r="157" spans="1:15">
      <c r="A157" s="13618" t="str">
        <f t="shared" si="15"/>
        <v/>
      </c>
      <c r="B157" s="13619"/>
      <c r="C157" s="13620"/>
      <c r="D157" s="13621">
        <f>IFERROR(INDEX(D$6:D49, MATCH(SUBSTITUTE(C157,"-",""), INDEX(SUBSTITUTE(F$6:F49,"-",""),0), 0)), "")</f>
        <v>0</v>
      </c>
      <c r="E157" s="13622">
        <f>IFERROR(INDEX(G$6:G49, MATCH(SUBSTITUTE(C157,"-",""), INDEX(SUBSTITUTE(F$6:F49,"-",""),0), 0)), "")</f>
        <v>0</v>
      </c>
      <c r="F157" s="13623">
        <f>IFERROR(INDEX(H$6:H49, MATCH(SUBSTITUTE(C157,"-",""), INDEX(SUBSTITUTE(F$6:F49,"-",""),0), 0)), 0)</f>
        <v>0</v>
      </c>
      <c r="G157" s="13624"/>
      <c r="H157" s="13625"/>
      <c r="I157" s="13626"/>
      <c r="J157" s="13627">
        <f t="shared" si="16"/>
        <v>0</v>
      </c>
      <c r="K157" s="13628"/>
      <c r="L157" s="13629">
        <f>IFERROR(INDEX(I$6:I49, MATCH(SUBSTITUTE(C157,"-",""), INDEX(SUBSTITUTE(F$6:F49,"-",""),0), 0)), "")</f>
        <v>0</v>
      </c>
      <c r="M157" s="13630" t="str">
        <f t="shared" si="17"/>
        <v/>
      </c>
      <c r="N157" s="13631">
        <f t="shared" si="18"/>
        <v>0</v>
      </c>
      <c r="O157" s="13632" t="str">
        <f t="shared" si="19"/>
        <v/>
      </c>
    </row>
    <row r="158" spans="1:15">
      <c r="A158" s="13633" t="str">
        <f t="shared" si="15"/>
        <v/>
      </c>
      <c r="B158" s="13634"/>
      <c r="C158" s="13635"/>
      <c r="D158" s="13636">
        <f>IFERROR(INDEX(D$6:D49, MATCH(SUBSTITUTE(C158,"-",""), INDEX(SUBSTITUTE(F$6:F49,"-",""),0), 0)), "")</f>
        <v>0</v>
      </c>
      <c r="E158" s="13637">
        <f>IFERROR(INDEX(G$6:G49, MATCH(SUBSTITUTE(C158,"-",""), INDEX(SUBSTITUTE(F$6:F49,"-",""),0), 0)), "")</f>
        <v>0</v>
      </c>
      <c r="F158" s="13638">
        <f>IFERROR(INDEX(H$6:H49, MATCH(SUBSTITUTE(C158,"-",""), INDEX(SUBSTITUTE(F$6:F49,"-",""),0), 0)), 0)</f>
        <v>0</v>
      </c>
      <c r="G158" s="13639"/>
      <c r="H158" s="13640"/>
      <c r="I158" s="13641"/>
      <c r="J158" s="13642">
        <f t="shared" si="16"/>
        <v>0</v>
      </c>
      <c r="K158" s="13643"/>
      <c r="L158" s="13644">
        <f>IFERROR(INDEX(I$6:I49, MATCH(SUBSTITUTE(C158,"-",""), INDEX(SUBSTITUTE(F$6:F49,"-",""),0), 0)), "")</f>
        <v>0</v>
      </c>
      <c r="M158" s="13645" t="str">
        <f t="shared" si="17"/>
        <v/>
      </c>
      <c r="N158" s="13646">
        <f t="shared" si="18"/>
        <v>0</v>
      </c>
      <c r="O158" s="13647" t="str">
        <f t="shared" si="19"/>
        <v/>
      </c>
    </row>
    <row r="159" spans="1:15">
      <c r="A159" s="13648" t="str">
        <f t="shared" si="15"/>
        <v/>
      </c>
      <c r="B159" s="13649"/>
      <c r="C159" s="13650"/>
      <c r="D159" s="13651">
        <f>IFERROR(INDEX(D$6:D49, MATCH(SUBSTITUTE(C159,"-",""), INDEX(SUBSTITUTE(F$6:F49,"-",""),0), 0)), "")</f>
        <v>0</v>
      </c>
      <c r="E159" s="13652">
        <f>IFERROR(INDEX(G$6:G49, MATCH(SUBSTITUTE(C159,"-",""), INDEX(SUBSTITUTE(F$6:F49,"-",""),0), 0)), "")</f>
        <v>0</v>
      </c>
      <c r="F159" s="13653">
        <f>IFERROR(INDEX(H$6:H49, MATCH(SUBSTITUTE(C159,"-",""), INDEX(SUBSTITUTE(F$6:F49,"-",""),0), 0)), 0)</f>
        <v>0</v>
      </c>
      <c r="G159" s="13654"/>
      <c r="H159" s="13655"/>
      <c r="I159" s="13656"/>
      <c r="J159" s="13657">
        <f t="shared" si="16"/>
        <v>0</v>
      </c>
      <c r="K159" s="13658"/>
      <c r="L159" s="13659">
        <f>IFERROR(INDEX(I$6:I49, MATCH(SUBSTITUTE(C159,"-",""), INDEX(SUBSTITUTE(F$6:F49,"-",""),0), 0)), "")</f>
        <v>0</v>
      </c>
      <c r="M159" s="13660" t="str">
        <f t="shared" si="17"/>
        <v/>
      </c>
      <c r="N159" s="13661">
        <f t="shared" si="18"/>
        <v>0</v>
      </c>
      <c r="O159" s="13662" t="str">
        <f t="shared" si="19"/>
        <v/>
      </c>
    </row>
    <row r="160" spans="1:15">
      <c r="A160" s="13663" t="str">
        <f t="shared" si="15"/>
        <v/>
      </c>
      <c r="B160" s="13664"/>
      <c r="C160" s="13665"/>
      <c r="D160" s="13666">
        <f>IFERROR(INDEX(D$6:D49, MATCH(SUBSTITUTE(C160,"-",""), INDEX(SUBSTITUTE(F$6:F49,"-",""),0), 0)), "")</f>
        <v>0</v>
      </c>
      <c r="E160" s="13667">
        <f>IFERROR(INDEX(G$6:G49, MATCH(SUBSTITUTE(C160,"-",""), INDEX(SUBSTITUTE(F$6:F49,"-",""),0), 0)), "")</f>
        <v>0</v>
      </c>
      <c r="F160" s="13668">
        <f>IFERROR(INDEX(H$6:H49, MATCH(SUBSTITUTE(C160,"-",""), INDEX(SUBSTITUTE(F$6:F49,"-",""),0), 0)), 0)</f>
        <v>0</v>
      </c>
      <c r="G160" s="13669"/>
      <c r="H160" s="13670"/>
      <c r="I160" s="13671"/>
      <c r="J160" s="13672">
        <f t="shared" si="16"/>
        <v>0</v>
      </c>
      <c r="K160" s="13673"/>
      <c r="L160" s="13674">
        <f>IFERROR(INDEX(I$6:I49, MATCH(SUBSTITUTE(C160,"-",""), INDEX(SUBSTITUTE(F$6:F49,"-",""),0), 0)), "")</f>
        <v>0</v>
      </c>
      <c r="M160" s="13675" t="str">
        <f t="shared" si="17"/>
        <v/>
      </c>
      <c r="N160" s="13676">
        <f t="shared" si="18"/>
        <v>0</v>
      </c>
      <c r="O160" s="13677" t="str">
        <f t="shared" si="19"/>
        <v/>
      </c>
    </row>
    <row r="161" spans="1:15">
      <c r="A161" s="13678" t="str">
        <f t="shared" si="15"/>
        <v/>
      </c>
      <c r="B161" s="13679"/>
      <c r="C161" s="13680"/>
      <c r="D161" s="13681">
        <f>IFERROR(INDEX(D$6:D49, MATCH(SUBSTITUTE(C161,"-",""), INDEX(SUBSTITUTE(F$6:F49,"-",""),0), 0)), "")</f>
        <v>0</v>
      </c>
      <c r="E161" s="13682">
        <f>IFERROR(INDEX(G$6:G49, MATCH(SUBSTITUTE(C161,"-",""), INDEX(SUBSTITUTE(F$6:F49,"-",""),0), 0)), "")</f>
        <v>0</v>
      </c>
      <c r="F161" s="13683">
        <f>IFERROR(INDEX(H$6:H49, MATCH(SUBSTITUTE(C161,"-",""), INDEX(SUBSTITUTE(F$6:F49,"-",""),0), 0)), 0)</f>
        <v>0</v>
      </c>
      <c r="G161" s="13684"/>
      <c r="H161" s="13685"/>
      <c r="I161" s="13686"/>
      <c r="J161" s="13687">
        <f t="shared" si="16"/>
        <v>0</v>
      </c>
      <c r="K161" s="13688"/>
      <c r="L161" s="13689">
        <f>IFERROR(INDEX(I$6:I49, MATCH(SUBSTITUTE(C161,"-",""), INDEX(SUBSTITUTE(F$6:F49,"-",""),0), 0)), "")</f>
        <v>0</v>
      </c>
      <c r="M161" s="13690" t="str">
        <f t="shared" si="17"/>
        <v/>
      </c>
      <c r="N161" s="13691">
        <f t="shared" si="18"/>
        <v>0</v>
      </c>
      <c r="O161" s="13692" t="str">
        <f t="shared" si="19"/>
        <v/>
      </c>
    </row>
    <row r="162" spans="1:15">
      <c r="A162" s="13693" t="str">
        <f t="shared" si="15"/>
        <v/>
      </c>
      <c r="B162" s="13694"/>
      <c r="C162" s="13695"/>
      <c r="D162" s="13696">
        <f>IFERROR(INDEX(D$6:D49, MATCH(SUBSTITUTE(C162,"-",""), INDEX(SUBSTITUTE(F$6:F49,"-",""),0), 0)), "")</f>
        <v>0</v>
      </c>
      <c r="E162" s="13697">
        <f>IFERROR(INDEX(G$6:G49, MATCH(SUBSTITUTE(C162,"-",""), INDEX(SUBSTITUTE(F$6:F49,"-",""),0), 0)), "")</f>
        <v>0</v>
      </c>
      <c r="F162" s="13698">
        <f>IFERROR(INDEX(H$6:H49, MATCH(SUBSTITUTE(C162,"-",""), INDEX(SUBSTITUTE(F$6:F49,"-",""),0), 0)), 0)</f>
        <v>0</v>
      </c>
      <c r="G162" s="13699"/>
      <c r="H162" s="13700"/>
      <c r="I162" s="13701"/>
      <c r="J162" s="13702">
        <f t="shared" si="16"/>
        <v>0</v>
      </c>
      <c r="K162" s="13703"/>
      <c r="L162" s="13704">
        <f>IFERROR(INDEX(I$6:I49, MATCH(SUBSTITUTE(C162,"-",""), INDEX(SUBSTITUTE(F$6:F49,"-",""),0), 0)), "")</f>
        <v>0</v>
      </c>
      <c r="M162" s="13705" t="str">
        <f t="shared" si="17"/>
        <v/>
      </c>
      <c r="N162" s="13706">
        <f t="shared" si="18"/>
        <v>0</v>
      </c>
      <c r="O162" s="13707" t="str">
        <f t="shared" si="19"/>
        <v/>
      </c>
    </row>
    <row r="163" spans="1:15">
      <c r="A163" s="13708" t="str">
        <f t="shared" si="15"/>
        <v/>
      </c>
      <c r="B163" s="13709"/>
      <c r="C163" s="13710"/>
      <c r="D163" s="13711">
        <f>IFERROR(INDEX(D$6:D49, MATCH(SUBSTITUTE(C163,"-",""), INDEX(SUBSTITUTE(F$6:F49,"-",""),0), 0)), "")</f>
        <v>0</v>
      </c>
      <c r="E163" s="13712">
        <f>IFERROR(INDEX(G$6:G49, MATCH(SUBSTITUTE(C163,"-",""), INDEX(SUBSTITUTE(F$6:F49,"-",""),0), 0)), "")</f>
        <v>0</v>
      </c>
      <c r="F163" s="13713">
        <f>IFERROR(INDEX(H$6:H49, MATCH(SUBSTITUTE(C163,"-",""), INDEX(SUBSTITUTE(F$6:F49,"-",""),0), 0)), 0)</f>
        <v>0</v>
      </c>
      <c r="G163" s="13714"/>
      <c r="H163" s="13715"/>
      <c r="I163" s="13716"/>
      <c r="J163" s="13717">
        <f t="shared" si="16"/>
        <v>0</v>
      </c>
      <c r="K163" s="13718"/>
      <c r="L163" s="13719">
        <f>IFERROR(INDEX(I$6:I49, MATCH(SUBSTITUTE(C163,"-",""), INDEX(SUBSTITUTE(F$6:F49,"-",""),0), 0)), "")</f>
        <v>0</v>
      </c>
      <c r="M163" s="13720" t="str">
        <f t="shared" si="17"/>
        <v/>
      </c>
      <c r="N163" s="13721">
        <f t="shared" si="18"/>
        <v>0</v>
      </c>
      <c r="O163" s="13722" t="str">
        <f t="shared" si="19"/>
        <v/>
      </c>
    </row>
    <row r="164" spans="1:15">
      <c r="A164" s="13723" t="str">
        <f t="shared" si="15"/>
        <v/>
      </c>
      <c r="B164" s="13724"/>
      <c r="C164" s="13725"/>
      <c r="D164" s="13726">
        <f>IFERROR(INDEX(D$6:D49, MATCH(SUBSTITUTE(C164,"-",""), INDEX(SUBSTITUTE(F$6:F49,"-",""),0), 0)), "")</f>
        <v>0</v>
      </c>
      <c r="E164" s="13727">
        <f>IFERROR(INDEX(G$6:G49, MATCH(SUBSTITUTE(C164,"-",""), INDEX(SUBSTITUTE(F$6:F49,"-",""),0), 0)), "")</f>
        <v>0</v>
      </c>
      <c r="F164" s="13728">
        <f>IFERROR(INDEX(H$6:H49, MATCH(SUBSTITUTE(C164,"-",""), INDEX(SUBSTITUTE(F$6:F49,"-",""),0), 0)), 0)</f>
        <v>0</v>
      </c>
      <c r="G164" s="13729"/>
      <c r="H164" s="13730"/>
      <c r="I164" s="13731"/>
      <c r="J164" s="13732">
        <f t="shared" si="16"/>
        <v>0</v>
      </c>
      <c r="K164" s="13733"/>
      <c r="L164" s="13734">
        <f>IFERROR(INDEX(I$6:I49, MATCH(SUBSTITUTE(C164,"-",""), INDEX(SUBSTITUTE(F$6:F49,"-",""),0), 0)), "")</f>
        <v>0</v>
      </c>
      <c r="M164" s="13735" t="str">
        <f t="shared" si="17"/>
        <v/>
      </c>
      <c r="N164" s="13736">
        <f t="shared" si="18"/>
        <v>0</v>
      </c>
      <c r="O164" s="13737" t="str">
        <f t="shared" si="19"/>
        <v/>
      </c>
    </row>
    <row r="165" spans="1:15">
      <c r="A165" s="13738" t="str">
        <f t="shared" si="15"/>
        <v/>
      </c>
      <c r="B165" s="13739"/>
      <c r="C165" s="13740"/>
      <c r="D165" s="13741">
        <f>IFERROR(INDEX(D$6:D49, MATCH(SUBSTITUTE(C165,"-",""), INDEX(SUBSTITUTE(F$6:F49,"-",""),0), 0)), "")</f>
        <v>0</v>
      </c>
      <c r="E165" s="13742">
        <f>IFERROR(INDEX(G$6:G49, MATCH(SUBSTITUTE(C165,"-",""), INDEX(SUBSTITUTE(F$6:F49,"-",""),0), 0)), "")</f>
        <v>0</v>
      </c>
      <c r="F165" s="13743">
        <f>IFERROR(INDEX(H$6:H49, MATCH(SUBSTITUTE(C165,"-",""), INDEX(SUBSTITUTE(F$6:F49,"-",""),0), 0)), 0)</f>
        <v>0</v>
      </c>
      <c r="G165" s="13744"/>
      <c r="H165" s="13745"/>
      <c r="I165" s="13746"/>
      <c r="J165" s="13747">
        <f t="shared" si="16"/>
        <v>0</v>
      </c>
      <c r="K165" s="13748"/>
      <c r="L165" s="13749">
        <f>IFERROR(INDEX(I$6:I49, MATCH(SUBSTITUTE(C165,"-",""), INDEX(SUBSTITUTE(F$6:F49,"-",""),0), 0)), "")</f>
        <v>0</v>
      </c>
      <c r="M165" s="13750" t="str">
        <f t="shared" si="17"/>
        <v/>
      </c>
      <c r="N165" s="13751">
        <f t="shared" si="18"/>
        <v>0</v>
      </c>
      <c r="O165" s="13752" t="str">
        <f t="shared" si="19"/>
        <v/>
      </c>
    </row>
    <row r="166" spans="1:15">
      <c r="A166" s="13753" t="str">
        <f t="shared" si="15"/>
        <v/>
      </c>
      <c r="B166" s="13754"/>
      <c r="C166" s="13755"/>
      <c r="D166" s="13756">
        <f>IFERROR(INDEX(D$6:D49, MATCH(SUBSTITUTE(C166,"-",""), INDEX(SUBSTITUTE(F$6:F49,"-",""),0), 0)), "")</f>
        <v>0</v>
      </c>
      <c r="E166" s="13757">
        <f>IFERROR(INDEX(G$6:G49, MATCH(SUBSTITUTE(C166,"-",""), INDEX(SUBSTITUTE(F$6:F49,"-",""),0), 0)), "")</f>
        <v>0</v>
      </c>
      <c r="F166" s="13758">
        <f>IFERROR(INDEX(H$6:H49, MATCH(SUBSTITUTE(C166,"-",""), INDEX(SUBSTITUTE(F$6:F49,"-",""),0), 0)), 0)</f>
        <v>0</v>
      </c>
      <c r="G166" s="13759"/>
      <c r="H166" s="13760"/>
      <c r="I166" s="13761"/>
      <c r="J166" s="13762">
        <f t="shared" si="16"/>
        <v>0</v>
      </c>
      <c r="K166" s="13763"/>
      <c r="L166" s="13764">
        <f>IFERROR(INDEX(I$6:I49, MATCH(SUBSTITUTE(C166,"-",""), INDEX(SUBSTITUTE(F$6:F49,"-",""),0), 0)), "")</f>
        <v>0</v>
      </c>
      <c r="M166" s="13765" t="str">
        <f t="shared" si="17"/>
        <v/>
      </c>
      <c r="N166" s="13766">
        <f t="shared" si="18"/>
        <v>0</v>
      </c>
      <c r="O166" s="13767" t="str">
        <f t="shared" si="19"/>
        <v/>
      </c>
    </row>
    <row r="167" spans="1:15">
      <c r="A167" s="13768" t="str">
        <f t="shared" si="15"/>
        <v/>
      </c>
      <c r="B167" s="13769"/>
      <c r="C167" s="13770"/>
      <c r="D167" s="13771">
        <f>IFERROR(INDEX(D$6:D49, MATCH(SUBSTITUTE(C167,"-",""), INDEX(SUBSTITUTE(F$6:F49,"-",""),0), 0)), "")</f>
        <v>0</v>
      </c>
      <c r="E167" s="13772">
        <f>IFERROR(INDEX(G$6:G49, MATCH(SUBSTITUTE(C167,"-",""), INDEX(SUBSTITUTE(F$6:F49,"-",""),0), 0)), "")</f>
        <v>0</v>
      </c>
      <c r="F167" s="13773">
        <f>IFERROR(INDEX(H$6:H49, MATCH(SUBSTITUTE(C167,"-",""), INDEX(SUBSTITUTE(F$6:F49,"-",""),0), 0)), 0)</f>
        <v>0</v>
      </c>
      <c r="G167" s="13774"/>
      <c r="H167" s="13775"/>
      <c r="I167" s="13776"/>
      <c r="J167" s="13777">
        <f t="shared" si="16"/>
        <v>0</v>
      </c>
      <c r="K167" s="13778"/>
      <c r="L167" s="13779">
        <f>IFERROR(INDEX(I$6:I49, MATCH(SUBSTITUTE(C167,"-",""), INDEX(SUBSTITUTE(F$6:F49,"-",""),0), 0)), "")</f>
        <v>0</v>
      </c>
      <c r="M167" s="13780" t="str">
        <f t="shared" si="17"/>
        <v/>
      </c>
      <c r="N167" s="13781">
        <f t="shared" si="18"/>
        <v>0</v>
      </c>
      <c r="O167" s="13782" t="str">
        <f t="shared" si="19"/>
        <v/>
      </c>
    </row>
    <row r="168" spans="1:15">
      <c r="A168" s="13783" t="str">
        <f t="shared" si="15"/>
        <v/>
      </c>
      <c r="B168" s="13784"/>
      <c r="C168" s="13785"/>
      <c r="D168" s="13786">
        <f>IFERROR(INDEX(D$6:D49, MATCH(SUBSTITUTE(C168,"-",""), INDEX(SUBSTITUTE(F$6:F49,"-",""),0), 0)), "")</f>
        <v>0</v>
      </c>
      <c r="E168" s="13787">
        <f>IFERROR(INDEX(G$6:G49, MATCH(SUBSTITUTE(C168,"-",""), INDEX(SUBSTITUTE(F$6:F49,"-",""),0), 0)), "")</f>
        <v>0</v>
      </c>
      <c r="F168" s="13788">
        <f>IFERROR(INDEX(H$6:H49, MATCH(SUBSTITUTE(C168,"-",""), INDEX(SUBSTITUTE(F$6:F49,"-",""),0), 0)), 0)</f>
        <v>0</v>
      </c>
      <c r="G168" s="13789"/>
      <c r="H168" s="13790"/>
      <c r="I168" s="13791"/>
      <c r="J168" s="13792">
        <f t="shared" si="16"/>
        <v>0</v>
      </c>
      <c r="K168" s="13793"/>
      <c r="L168" s="13794">
        <f>IFERROR(INDEX(I$6:I49, MATCH(SUBSTITUTE(C168,"-",""), INDEX(SUBSTITUTE(F$6:F49,"-",""),0), 0)), "")</f>
        <v>0</v>
      </c>
      <c r="M168" s="13795" t="str">
        <f t="shared" si="17"/>
        <v/>
      </c>
      <c r="N168" s="13796">
        <f t="shared" si="18"/>
        <v>0</v>
      </c>
      <c r="O168" s="13797" t="str">
        <f t="shared" si="19"/>
        <v/>
      </c>
    </row>
    <row r="169" spans="1:15">
      <c r="A169" s="13798" t="str">
        <f t="shared" si="15"/>
        <v/>
      </c>
      <c r="B169" s="13799"/>
      <c r="C169" s="13800"/>
      <c r="D169" s="13801">
        <f>IFERROR(INDEX(D$6:D49, MATCH(SUBSTITUTE(C169,"-",""), INDEX(SUBSTITUTE(F$6:F49,"-",""),0), 0)), "")</f>
        <v>0</v>
      </c>
      <c r="E169" s="13802">
        <f>IFERROR(INDEX(G$6:G49, MATCH(SUBSTITUTE(C169,"-",""), INDEX(SUBSTITUTE(F$6:F49,"-",""),0), 0)), "")</f>
        <v>0</v>
      </c>
      <c r="F169" s="13803">
        <f>IFERROR(INDEX(H$6:H49, MATCH(SUBSTITUTE(C169,"-",""), INDEX(SUBSTITUTE(F$6:F49,"-",""),0), 0)), 0)</f>
        <v>0</v>
      </c>
      <c r="G169" s="13804"/>
      <c r="H169" s="13805"/>
      <c r="I169" s="13806"/>
      <c r="J169" s="13807">
        <f t="shared" si="16"/>
        <v>0</v>
      </c>
      <c r="K169" s="13808"/>
      <c r="L169" s="13809">
        <f>IFERROR(INDEX(I$6:I49, MATCH(SUBSTITUTE(C169,"-",""), INDEX(SUBSTITUTE(F$6:F49,"-",""),0), 0)), "")</f>
        <v>0</v>
      </c>
      <c r="M169" s="13810" t="str">
        <f t="shared" si="17"/>
        <v/>
      </c>
      <c r="N169" s="13811">
        <f t="shared" si="18"/>
        <v>0</v>
      </c>
      <c r="O169" s="13812" t="str">
        <f t="shared" si="19"/>
        <v/>
      </c>
    </row>
    <row r="170" spans="1:15">
      <c r="A170" s="13813" t="str">
        <f t="shared" si="15"/>
        <v/>
      </c>
      <c r="B170" s="13814"/>
      <c r="C170" s="13815"/>
      <c r="D170" s="13816">
        <f>IFERROR(INDEX(D$6:D49, MATCH(SUBSTITUTE(C170,"-",""), INDEX(SUBSTITUTE(F$6:F49,"-",""),0), 0)), "")</f>
        <v>0</v>
      </c>
      <c r="E170" s="13817">
        <f>IFERROR(INDEX(G$6:G49, MATCH(SUBSTITUTE(C170,"-",""), INDEX(SUBSTITUTE(F$6:F49,"-",""),0), 0)), "")</f>
        <v>0</v>
      </c>
      <c r="F170" s="13818">
        <f>IFERROR(INDEX(H$6:H49, MATCH(SUBSTITUTE(C170,"-",""), INDEX(SUBSTITUTE(F$6:F49,"-",""),0), 0)), 0)</f>
        <v>0</v>
      </c>
      <c r="G170" s="13819"/>
      <c r="H170" s="13820"/>
      <c r="I170" s="13821"/>
      <c r="J170" s="13822">
        <f t="shared" si="16"/>
        <v>0</v>
      </c>
      <c r="K170" s="13823"/>
      <c r="L170" s="13824">
        <f>IFERROR(INDEX(I$6:I49, MATCH(SUBSTITUTE(C170,"-",""), INDEX(SUBSTITUTE(F$6:F49,"-",""),0), 0)), "")</f>
        <v>0</v>
      </c>
      <c r="M170" s="13825" t="str">
        <f t="shared" si="17"/>
        <v/>
      </c>
      <c r="N170" s="13826">
        <f t="shared" si="18"/>
        <v>0</v>
      </c>
      <c r="O170" s="13827" t="str">
        <f t="shared" si="19"/>
        <v/>
      </c>
    </row>
    <row r="171" spans="1:15">
      <c r="A171" s="13828" t="str">
        <f t="shared" si="15"/>
        <v/>
      </c>
      <c r="B171" s="13829"/>
      <c r="C171" s="13830"/>
      <c r="D171" s="13831">
        <f>IFERROR(INDEX(D$6:D49, MATCH(SUBSTITUTE(C171,"-",""), INDEX(SUBSTITUTE(F$6:F49,"-",""),0), 0)), "")</f>
        <v>0</v>
      </c>
      <c r="E171" s="13832">
        <f>IFERROR(INDEX(G$6:G49, MATCH(SUBSTITUTE(C171,"-",""), INDEX(SUBSTITUTE(F$6:F49,"-",""),0), 0)), "")</f>
        <v>0</v>
      </c>
      <c r="F171" s="13833">
        <f>IFERROR(INDEX(H$6:H49, MATCH(SUBSTITUTE(C171,"-",""), INDEX(SUBSTITUTE(F$6:F49,"-",""),0), 0)), 0)</f>
        <v>0</v>
      </c>
      <c r="G171" s="13834"/>
      <c r="H171" s="13835"/>
      <c r="I171" s="13836"/>
      <c r="J171" s="13837">
        <f t="shared" si="16"/>
        <v>0</v>
      </c>
      <c r="K171" s="13838"/>
      <c r="L171" s="13839">
        <f>IFERROR(INDEX(I$6:I49, MATCH(SUBSTITUTE(C171,"-",""), INDEX(SUBSTITUTE(F$6:F49,"-",""),0), 0)), "")</f>
        <v>0</v>
      </c>
      <c r="M171" s="13840" t="str">
        <f t="shared" si="17"/>
        <v/>
      </c>
      <c r="N171" s="13841">
        <f t="shared" si="18"/>
        <v>0</v>
      </c>
      <c r="O171" s="13842" t="str">
        <f t="shared" si="19"/>
        <v/>
      </c>
    </row>
    <row r="172" spans="1:15">
      <c r="A172" s="13843" t="str">
        <f t="shared" si="15"/>
        <v/>
      </c>
      <c r="B172" s="13844"/>
      <c r="C172" s="13845"/>
      <c r="D172" s="13846">
        <f>IFERROR(INDEX(D$6:D49, MATCH(SUBSTITUTE(C172,"-",""), INDEX(SUBSTITUTE(F$6:F49,"-",""),0), 0)), "")</f>
        <v>0</v>
      </c>
      <c r="E172" s="13847">
        <f>IFERROR(INDEX(G$6:G49, MATCH(SUBSTITUTE(C172,"-",""), INDEX(SUBSTITUTE(F$6:F49,"-",""),0), 0)), "")</f>
        <v>0</v>
      </c>
      <c r="F172" s="13848">
        <f>IFERROR(INDEX(H$6:H49, MATCH(SUBSTITUTE(C172,"-",""), INDEX(SUBSTITUTE(F$6:F49,"-",""),0), 0)), 0)</f>
        <v>0</v>
      </c>
      <c r="G172" s="13849"/>
      <c r="H172" s="13850"/>
      <c r="I172" s="13851"/>
      <c r="J172" s="13852">
        <f t="shared" si="16"/>
        <v>0</v>
      </c>
      <c r="K172" s="13853"/>
      <c r="L172" s="13854">
        <f>IFERROR(INDEX(I$6:I49, MATCH(SUBSTITUTE(C172,"-",""), INDEX(SUBSTITUTE(F$6:F49,"-",""),0), 0)), "")</f>
        <v>0</v>
      </c>
      <c r="M172" s="13855" t="str">
        <f t="shared" si="17"/>
        <v/>
      </c>
      <c r="N172" s="13856">
        <f t="shared" si="18"/>
        <v>0</v>
      </c>
      <c r="O172" s="13857" t="str">
        <f t="shared" si="19"/>
        <v/>
      </c>
    </row>
    <row r="173" spans="1:15">
      <c r="A173" s="13858" t="str">
        <f t="shared" si="15"/>
        <v/>
      </c>
      <c r="B173" s="13859"/>
      <c r="C173" s="13860"/>
      <c r="D173" s="13861">
        <f>IFERROR(INDEX(D$6:D49, MATCH(SUBSTITUTE(C173,"-",""), INDEX(SUBSTITUTE(F$6:F49,"-",""),0), 0)), "")</f>
        <v>0</v>
      </c>
      <c r="E173" s="13862">
        <f>IFERROR(INDEX(G$6:G49, MATCH(SUBSTITUTE(C173,"-",""), INDEX(SUBSTITUTE(F$6:F49,"-",""),0), 0)), "")</f>
        <v>0</v>
      </c>
      <c r="F173" s="13863">
        <f>IFERROR(INDEX(H$6:H49, MATCH(SUBSTITUTE(C173,"-",""), INDEX(SUBSTITUTE(F$6:F49,"-",""),0), 0)), 0)</f>
        <v>0</v>
      </c>
      <c r="G173" s="13864"/>
      <c r="H173" s="13865"/>
      <c r="I173" s="13866"/>
      <c r="J173" s="13867">
        <f t="shared" si="16"/>
        <v>0</v>
      </c>
      <c r="K173" s="13868"/>
      <c r="L173" s="13869">
        <f>IFERROR(INDEX(I$6:I49, MATCH(SUBSTITUTE(C173,"-",""), INDEX(SUBSTITUTE(F$6:F49,"-",""),0), 0)), "")</f>
        <v>0</v>
      </c>
      <c r="M173" s="13870" t="str">
        <f t="shared" si="17"/>
        <v/>
      </c>
      <c r="N173" s="13871">
        <f t="shared" si="18"/>
        <v>0</v>
      </c>
      <c r="O173" s="13872" t="str">
        <f t="shared" si="19"/>
        <v/>
      </c>
    </row>
    <row r="174" spans="1:15">
      <c r="A174" s="13873" t="str">
        <f t="shared" si="15"/>
        <v/>
      </c>
      <c r="B174" s="13874"/>
      <c r="C174" s="13875"/>
      <c r="D174" s="13876">
        <f>IFERROR(INDEX(D$6:D49, MATCH(SUBSTITUTE(C174,"-",""), INDEX(SUBSTITUTE(F$6:F49,"-",""),0), 0)), "")</f>
        <v>0</v>
      </c>
      <c r="E174" s="13877">
        <f>IFERROR(INDEX(G$6:G49, MATCH(SUBSTITUTE(C174,"-",""), INDEX(SUBSTITUTE(F$6:F49,"-",""),0), 0)), "")</f>
        <v>0</v>
      </c>
      <c r="F174" s="13878">
        <f>IFERROR(INDEX(H$6:H49, MATCH(SUBSTITUTE(C174,"-",""), INDEX(SUBSTITUTE(F$6:F49,"-",""),0), 0)), 0)</f>
        <v>0</v>
      </c>
      <c r="G174" s="13879"/>
      <c r="H174" s="13880"/>
      <c r="I174" s="13881"/>
      <c r="J174" s="13882">
        <f t="shared" si="16"/>
        <v>0</v>
      </c>
      <c r="K174" s="13883"/>
      <c r="L174" s="13884">
        <f>IFERROR(INDEX(I$6:I49, MATCH(SUBSTITUTE(C174,"-",""), INDEX(SUBSTITUTE(F$6:F49,"-",""),0), 0)), "")</f>
        <v>0</v>
      </c>
      <c r="M174" s="13885" t="str">
        <f t="shared" si="17"/>
        <v/>
      </c>
      <c r="N174" s="13886">
        <f t="shared" si="18"/>
        <v>0</v>
      </c>
      <c r="O174" s="13887" t="str">
        <f t="shared" si="19"/>
        <v/>
      </c>
    </row>
    <row r="175" spans="1:15">
      <c r="A175" s="13888" t="str">
        <f t="shared" si="15"/>
        <v/>
      </c>
      <c r="B175" s="13889"/>
      <c r="C175" s="13890"/>
      <c r="D175" s="13891">
        <f>IFERROR(INDEX(D$6:D49, MATCH(SUBSTITUTE(C175,"-",""), INDEX(SUBSTITUTE(F$6:F49,"-",""),0), 0)), "")</f>
        <v>0</v>
      </c>
      <c r="E175" s="13892">
        <f>IFERROR(INDEX(G$6:G49, MATCH(SUBSTITUTE(C175,"-",""), INDEX(SUBSTITUTE(F$6:F49,"-",""),0), 0)), "")</f>
        <v>0</v>
      </c>
      <c r="F175" s="13893">
        <f>IFERROR(INDEX(H$6:H49, MATCH(SUBSTITUTE(C175,"-",""), INDEX(SUBSTITUTE(F$6:F49,"-",""),0), 0)), 0)</f>
        <v>0</v>
      </c>
      <c r="G175" s="13894"/>
      <c r="H175" s="13895"/>
      <c r="I175" s="13896"/>
      <c r="J175" s="13897">
        <f t="shared" si="16"/>
        <v>0</v>
      </c>
      <c r="K175" s="13898"/>
      <c r="L175" s="13899">
        <f>IFERROR(INDEX(I$6:I49, MATCH(SUBSTITUTE(C175,"-",""), INDEX(SUBSTITUTE(F$6:F49,"-",""),0), 0)), "")</f>
        <v>0</v>
      </c>
      <c r="M175" s="13900" t="str">
        <f t="shared" si="17"/>
        <v/>
      </c>
      <c r="N175" s="13901">
        <f t="shared" si="18"/>
        <v>0</v>
      </c>
      <c r="O175" s="13902" t="str">
        <f t="shared" si="19"/>
        <v/>
      </c>
    </row>
    <row r="176" spans="1:15">
      <c r="A176" s="13903" t="str">
        <f t="shared" si="15"/>
        <v/>
      </c>
      <c r="B176" s="13904"/>
      <c r="C176" s="13905"/>
      <c r="D176" s="13906">
        <f>IFERROR(INDEX(D$6:D49, MATCH(SUBSTITUTE(C176,"-",""), INDEX(SUBSTITUTE(F$6:F49,"-",""),0), 0)), "")</f>
        <v>0</v>
      </c>
      <c r="E176" s="13907">
        <f>IFERROR(INDEX(G$6:G49, MATCH(SUBSTITUTE(C176,"-",""), INDEX(SUBSTITUTE(F$6:F49,"-",""),0), 0)), "")</f>
        <v>0</v>
      </c>
      <c r="F176" s="13908">
        <f>IFERROR(INDEX(H$6:H49, MATCH(SUBSTITUTE(C176,"-",""), INDEX(SUBSTITUTE(F$6:F49,"-",""),0), 0)), 0)</f>
        <v>0</v>
      </c>
      <c r="G176" s="13909"/>
      <c r="H176" s="13910"/>
      <c r="I176" s="13911"/>
      <c r="J176" s="13912">
        <f t="shared" si="16"/>
        <v>0</v>
      </c>
      <c r="K176" s="13913"/>
      <c r="L176" s="13914">
        <f>IFERROR(INDEX(I$6:I49, MATCH(SUBSTITUTE(C176,"-",""), INDEX(SUBSTITUTE(F$6:F49,"-",""),0), 0)), "")</f>
        <v>0</v>
      </c>
      <c r="M176" s="13915" t="str">
        <f t="shared" si="17"/>
        <v/>
      </c>
      <c r="N176" s="13916">
        <f t="shared" si="18"/>
        <v>0</v>
      </c>
      <c r="O176" s="13917" t="str">
        <f t="shared" si="19"/>
        <v/>
      </c>
    </row>
    <row r="177" spans="1:15">
      <c r="A177" s="13918" t="str">
        <f t="shared" si="15"/>
        <v/>
      </c>
      <c r="B177" s="13919"/>
      <c r="C177" s="13920"/>
      <c r="D177" s="13921">
        <f>IFERROR(INDEX(D$6:D49, MATCH(SUBSTITUTE(C177,"-",""), INDEX(SUBSTITUTE(F$6:F49,"-",""),0), 0)), "")</f>
        <v>0</v>
      </c>
      <c r="E177" s="13922">
        <f>IFERROR(INDEX(G$6:G49, MATCH(SUBSTITUTE(C177,"-",""), INDEX(SUBSTITUTE(F$6:F49,"-",""),0), 0)), "")</f>
        <v>0</v>
      </c>
      <c r="F177" s="13923">
        <f>IFERROR(INDEX(H$6:H49, MATCH(SUBSTITUTE(C177,"-",""), INDEX(SUBSTITUTE(F$6:F49,"-",""),0), 0)), 0)</f>
        <v>0</v>
      </c>
      <c r="G177" s="13924"/>
      <c r="H177" s="13925"/>
      <c r="I177" s="13926"/>
      <c r="J177" s="13927">
        <f t="shared" si="16"/>
        <v>0</v>
      </c>
      <c r="K177" s="13928"/>
      <c r="L177" s="13929">
        <f>IFERROR(INDEX(I$6:I49, MATCH(SUBSTITUTE(C177,"-",""), INDEX(SUBSTITUTE(F$6:F49,"-",""),0), 0)), "")</f>
        <v>0</v>
      </c>
      <c r="M177" s="13930" t="str">
        <f t="shared" si="17"/>
        <v/>
      </c>
      <c r="N177" s="13931">
        <f t="shared" si="18"/>
        <v>0</v>
      </c>
      <c r="O177" s="13932" t="str">
        <f t="shared" si="19"/>
        <v/>
      </c>
    </row>
    <row r="178" spans="1:15">
      <c r="A178" s="13933" t="str">
        <f t="shared" si="15"/>
        <v/>
      </c>
      <c r="B178" s="13934"/>
      <c r="C178" s="13935"/>
      <c r="D178" s="13936">
        <f>IFERROR(INDEX(D$6:D49, MATCH(SUBSTITUTE(C178,"-",""), INDEX(SUBSTITUTE(F$6:F49,"-",""),0), 0)), "")</f>
        <v>0</v>
      </c>
      <c r="E178" s="13937">
        <f>IFERROR(INDEX(G$6:G49, MATCH(SUBSTITUTE(C178,"-",""), INDEX(SUBSTITUTE(F$6:F49,"-",""),0), 0)), "")</f>
        <v>0</v>
      </c>
      <c r="F178" s="13938">
        <f>IFERROR(INDEX(H$6:H49, MATCH(SUBSTITUTE(C178,"-",""), INDEX(SUBSTITUTE(F$6:F49,"-",""),0), 0)), 0)</f>
        <v>0</v>
      </c>
      <c r="G178" s="13939"/>
      <c r="H178" s="13940"/>
      <c r="I178" s="13941"/>
      <c r="J178" s="13942">
        <f t="shared" si="16"/>
        <v>0</v>
      </c>
      <c r="K178" s="13943"/>
      <c r="L178" s="13944">
        <f>IFERROR(INDEX(I$6:I49, MATCH(SUBSTITUTE(C178,"-",""), INDEX(SUBSTITUTE(F$6:F49,"-",""),0), 0)), "")</f>
        <v>0</v>
      </c>
      <c r="M178" s="13945" t="str">
        <f t="shared" si="17"/>
        <v/>
      </c>
      <c r="N178" s="13946">
        <f t="shared" si="18"/>
        <v>0</v>
      </c>
      <c r="O178" s="13947" t="str">
        <f t="shared" si="19"/>
        <v/>
      </c>
    </row>
    <row r="179" spans="1:15">
      <c r="A179" s="13948" t="str">
        <f t="shared" si="15"/>
        <v/>
      </c>
      <c r="B179" s="13949"/>
      <c r="C179" s="13950"/>
      <c r="D179" s="13951">
        <f>IFERROR(INDEX(D$6:D49, MATCH(SUBSTITUTE(C179,"-",""), INDEX(SUBSTITUTE(F$6:F49,"-",""),0), 0)), "")</f>
        <v>0</v>
      </c>
      <c r="E179" s="13952">
        <f>IFERROR(INDEX(G$6:G49, MATCH(SUBSTITUTE(C179,"-",""), INDEX(SUBSTITUTE(F$6:F49,"-",""),0), 0)), "")</f>
        <v>0</v>
      </c>
      <c r="F179" s="13953">
        <f>IFERROR(INDEX(H$6:H49, MATCH(SUBSTITUTE(C179,"-",""), INDEX(SUBSTITUTE(F$6:F49,"-",""),0), 0)), 0)</f>
        <v>0</v>
      </c>
      <c r="G179" s="13954"/>
      <c r="H179" s="13955"/>
      <c r="I179" s="13956"/>
      <c r="J179" s="13957">
        <f t="shared" si="16"/>
        <v>0</v>
      </c>
      <c r="K179" s="13958"/>
      <c r="L179" s="13959">
        <f>IFERROR(INDEX(I$6:I49, MATCH(SUBSTITUTE(C179,"-",""), INDEX(SUBSTITUTE(F$6:F49,"-",""),0), 0)), "")</f>
        <v>0</v>
      </c>
      <c r="M179" s="13960" t="str">
        <f t="shared" si="17"/>
        <v/>
      </c>
      <c r="N179" s="13961">
        <f t="shared" si="18"/>
        <v>0</v>
      </c>
      <c r="O179" s="13962" t="str">
        <f t="shared" si="19"/>
        <v/>
      </c>
    </row>
    <row r="180" spans="1:15">
      <c r="A180" s="13963" t="str">
        <f t="shared" si="15"/>
        <v/>
      </c>
      <c r="B180" s="13964"/>
      <c r="C180" s="13965"/>
      <c r="D180" s="13966">
        <f>IFERROR(INDEX(D$6:D49, MATCH(SUBSTITUTE(C180,"-",""), INDEX(SUBSTITUTE(F$6:F49,"-",""),0), 0)), "")</f>
        <v>0</v>
      </c>
      <c r="E180" s="13967">
        <f>IFERROR(INDEX(G$6:G49, MATCH(SUBSTITUTE(C180,"-",""), INDEX(SUBSTITUTE(F$6:F49,"-",""),0), 0)), "")</f>
        <v>0</v>
      </c>
      <c r="F180" s="13968">
        <f>IFERROR(INDEX(H$6:H49, MATCH(SUBSTITUTE(C180,"-",""), INDEX(SUBSTITUTE(F$6:F49,"-",""),0), 0)), 0)</f>
        <v>0</v>
      </c>
      <c r="G180" s="13969"/>
      <c r="H180" s="13970"/>
      <c r="I180" s="13971"/>
      <c r="J180" s="13972">
        <f t="shared" si="16"/>
        <v>0</v>
      </c>
      <c r="K180" s="13973"/>
      <c r="L180" s="13974">
        <f>IFERROR(INDEX(I$6:I49, MATCH(SUBSTITUTE(C180,"-",""), INDEX(SUBSTITUTE(F$6:F49,"-",""),0), 0)), "")</f>
        <v>0</v>
      </c>
      <c r="M180" s="13975" t="str">
        <f t="shared" si="17"/>
        <v/>
      </c>
      <c r="N180" s="13976">
        <f t="shared" si="18"/>
        <v>0</v>
      </c>
      <c r="O180" s="13977" t="str">
        <f t="shared" si="19"/>
        <v/>
      </c>
    </row>
    <row r="181" spans="1:15">
      <c r="A181" s="13978" t="str">
        <f t="shared" si="15"/>
        <v/>
      </c>
      <c r="B181" s="13979"/>
      <c r="C181" s="13980"/>
      <c r="D181" s="13981">
        <f>IFERROR(INDEX(D$6:D49, MATCH(SUBSTITUTE(C181,"-",""), INDEX(SUBSTITUTE(F$6:F49,"-",""),0), 0)), "")</f>
        <v>0</v>
      </c>
      <c r="E181" s="13982">
        <f>IFERROR(INDEX(G$6:G49, MATCH(SUBSTITUTE(C181,"-",""), INDEX(SUBSTITUTE(F$6:F49,"-",""),0), 0)), "")</f>
        <v>0</v>
      </c>
      <c r="F181" s="13983">
        <f>IFERROR(INDEX(H$6:H49, MATCH(SUBSTITUTE(C181,"-",""), INDEX(SUBSTITUTE(F$6:F49,"-",""),0), 0)), 0)</f>
        <v>0</v>
      </c>
      <c r="G181" s="13984"/>
      <c r="H181" s="13985"/>
      <c r="I181" s="13986"/>
      <c r="J181" s="13987">
        <f t="shared" si="16"/>
        <v>0</v>
      </c>
      <c r="K181" s="13988"/>
      <c r="L181" s="13989">
        <f>IFERROR(INDEX(I$6:I49, MATCH(SUBSTITUTE(C181,"-",""), INDEX(SUBSTITUTE(F$6:F49,"-",""),0), 0)), "")</f>
        <v>0</v>
      </c>
      <c r="M181" s="13990" t="str">
        <f t="shared" si="17"/>
        <v/>
      </c>
      <c r="N181" s="13991">
        <f t="shared" si="18"/>
        <v>0</v>
      </c>
      <c r="O181" s="13992" t="str">
        <f t="shared" si="19"/>
        <v/>
      </c>
    </row>
    <row r="182" spans="1:15">
      <c r="A182" s="13993" t="str">
        <f t="shared" si="15"/>
        <v/>
      </c>
      <c r="B182" s="13994"/>
      <c r="C182" s="13995"/>
      <c r="D182" s="13996">
        <f>IFERROR(INDEX(D$6:D49, MATCH(SUBSTITUTE(C182,"-",""), INDEX(SUBSTITUTE(F$6:F49,"-",""),0), 0)), "")</f>
        <v>0</v>
      </c>
      <c r="E182" s="13997">
        <f>IFERROR(INDEX(G$6:G49, MATCH(SUBSTITUTE(C182,"-",""), INDEX(SUBSTITUTE(F$6:F49,"-",""),0), 0)), "")</f>
        <v>0</v>
      </c>
      <c r="F182" s="13998">
        <f>IFERROR(INDEX(H$6:H49, MATCH(SUBSTITUTE(C182,"-",""), INDEX(SUBSTITUTE(F$6:F49,"-",""),0), 0)), 0)</f>
        <v>0</v>
      </c>
      <c r="G182" s="13999"/>
      <c r="H182" s="14000"/>
      <c r="I182" s="14001"/>
      <c r="J182" s="14002">
        <f t="shared" si="16"/>
        <v>0</v>
      </c>
      <c r="K182" s="14003"/>
      <c r="L182" s="14004">
        <f>IFERROR(INDEX(I$6:I49, MATCH(SUBSTITUTE(C182,"-",""), INDEX(SUBSTITUTE(F$6:F49,"-",""),0), 0)), "")</f>
        <v>0</v>
      </c>
      <c r="M182" s="14005" t="str">
        <f t="shared" si="17"/>
        <v/>
      </c>
      <c r="N182" s="14006">
        <f t="shared" si="18"/>
        <v>0</v>
      </c>
      <c r="O182" s="14007" t="str">
        <f t="shared" si="19"/>
        <v/>
      </c>
    </row>
    <row r="183" spans="1:15">
      <c r="A183" s="14008" t="str">
        <f t="shared" si="15"/>
        <v/>
      </c>
      <c r="B183" s="14009"/>
      <c r="C183" s="14010"/>
      <c r="D183" s="14011">
        <f>IFERROR(INDEX(D$6:D49, MATCH(SUBSTITUTE(C183,"-",""), INDEX(SUBSTITUTE(F$6:F49,"-",""),0), 0)), "")</f>
        <v>0</v>
      </c>
      <c r="E183" s="14012">
        <f>IFERROR(INDEX(G$6:G49, MATCH(SUBSTITUTE(C183,"-",""), INDEX(SUBSTITUTE(F$6:F49,"-",""),0), 0)), "")</f>
        <v>0</v>
      </c>
      <c r="F183" s="14013">
        <f>IFERROR(INDEX(H$6:H49, MATCH(SUBSTITUTE(C183,"-",""), INDEX(SUBSTITUTE(F$6:F49,"-",""),0), 0)), 0)</f>
        <v>0</v>
      </c>
      <c r="G183" s="14014"/>
      <c r="H183" s="14015"/>
      <c r="I183" s="14016"/>
      <c r="J183" s="14017">
        <f t="shared" si="16"/>
        <v>0</v>
      </c>
      <c r="K183" s="14018"/>
      <c r="L183" s="14019">
        <f>IFERROR(INDEX(I$6:I49, MATCH(SUBSTITUTE(C183,"-",""), INDEX(SUBSTITUTE(F$6:F49,"-",""),0), 0)), "")</f>
        <v>0</v>
      </c>
      <c r="M183" s="14020" t="str">
        <f t="shared" si="17"/>
        <v/>
      </c>
      <c r="N183" s="14021">
        <f t="shared" si="18"/>
        <v>0</v>
      </c>
      <c r="O183" s="14022" t="str">
        <f t="shared" si="19"/>
        <v/>
      </c>
    </row>
    <row r="184" spans="1:15">
      <c r="A184" s="14023" t="str">
        <f t="shared" si="15"/>
        <v/>
      </c>
      <c r="B184" s="14024"/>
      <c r="C184" s="14025"/>
      <c r="D184" s="14026">
        <f>IFERROR(INDEX(D$6:D49, MATCH(SUBSTITUTE(C184,"-",""), INDEX(SUBSTITUTE(F$6:F49,"-",""),0), 0)), "")</f>
        <v>0</v>
      </c>
      <c r="E184" s="14027">
        <f>IFERROR(INDEX(G$6:G49, MATCH(SUBSTITUTE(C184,"-",""), INDEX(SUBSTITUTE(F$6:F49,"-",""),0), 0)), "")</f>
        <v>0</v>
      </c>
      <c r="F184" s="14028">
        <f>IFERROR(INDEX(H$6:H49, MATCH(SUBSTITUTE(C184,"-",""), INDEX(SUBSTITUTE(F$6:F49,"-",""),0), 0)), 0)</f>
        <v>0</v>
      </c>
      <c r="G184" s="14029"/>
      <c r="H184" s="14030"/>
      <c r="I184" s="14031"/>
      <c r="J184" s="14032">
        <f t="shared" si="16"/>
        <v>0</v>
      </c>
      <c r="K184" s="14033"/>
      <c r="L184" s="14034">
        <f>IFERROR(INDEX(I$6:I49, MATCH(SUBSTITUTE(C184,"-",""), INDEX(SUBSTITUTE(F$6:F49,"-",""),0), 0)), "")</f>
        <v>0</v>
      </c>
      <c r="M184" s="14035" t="str">
        <f t="shared" si="17"/>
        <v/>
      </c>
      <c r="N184" s="14036">
        <f t="shared" si="18"/>
        <v>0</v>
      </c>
      <c r="O184" s="14037" t="str">
        <f t="shared" si="19"/>
        <v/>
      </c>
    </row>
    <row r="185" spans="1:15">
      <c r="A185" s="14038" t="str">
        <f t="shared" ref="A185:A206" si="20">IF(B185="","", WEEKNUM(B185,2))</f>
        <v/>
      </c>
      <c r="B185" s="14039"/>
      <c r="C185" s="14040"/>
      <c r="D185" s="14041">
        <f>IFERROR(INDEX(D$6:D49, MATCH(SUBSTITUTE(C185,"-",""), INDEX(SUBSTITUTE(F$6:F49,"-",""),0), 0)), "")</f>
        <v>0</v>
      </c>
      <c r="E185" s="14042">
        <f>IFERROR(INDEX(G$6:G49, MATCH(SUBSTITUTE(C185,"-",""), INDEX(SUBSTITUTE(F$6:F49,"-",""),0), 0)), "")</f>
        <v>0</v>
      </c>
      <c r="F185" s="14043">
        <f>IFERROR(INDEX(H$6:H49, MATCH(SUBSTITUTE(C185,"-",""), INDEX(SUBSTITUTE(F$6:F49,"-",""),0), 0)), 0)</f>
        <v>0</v>
      </c>
      <c r="G185" s="14044"/>
      <c r="H185" s="14045"/>
      <c r="I185" s="14046"/>
      <c r="J185" s="14047">
        <f t="shared" ref="J185:J206" si="21">IFERROR(F185-G185, "")</f>
        <v>0</v>
      </c>
      <c r="K185" s="14048"/>
      <c r="L185" s="14049">
        <f>IFERROR(INDEX(I$6:I49, MATCH(SUBSTITUTE(C185,"-",""), INDEX(SUBSTITUTE(F$6:F49,"-",""),0), 0)), "")</f>
        <v>0</v>
      </c>
      <c r="M185" s="14050" t="str">
        <f t="shared" ref="M185:M206" si="22">IFERROR(IF(K185="","",IF(K185=L185,"✅ Correcta","❌ "&amp; K185 &amp;" (aut: "&amp; L185 &amp;")")), "")</f>
        <v/>
      </c>
      <c r="N185" s="14051">
        <f t="shared" ref="N185:N206" si="23">IFERROR(G185-F185, "")</f>
        <v>0</v>
      </c>
      <c r="O185" s="14052" t="str">
        <f t="shared" ref="O185:O206" si="24">IFERROR(IF(C185="","",IF(F185=0,"⚠️ Sin Autorización (placa no en catálogo)",IF(N185=0,"✅ Cuadrado",IF(N185&gt;0,"❌ Exceso $"&amp;TEXT(N185,"#,##0.00"),"✅ OK - Saldo $"&amp;TEXT(ABS(N185),"#,##0.00"))))), "")</f>
        <v/>
      </c>
    </row>
    <row r="186" spans="1:15">
      <c r="A186" s="14053" t="str">
        <f t="shared" si="20"/>
        <v/>
      </c>
      <c r="B186" s="14054"/>
      <c r="C186" s="14055"/>
      <c r="D186" s="14056">
        <f>IFERROR(INDEX(D$6:D49, MATCH(SUBSTITUTE(C186,"-",""), INDEX(SUBSTITUTE(F$6:F49,"-",""),0), 0)), "")</f>
        <v>0</v>
      </c>
      <c r="E186" s="14057">
        <f>IFERROR(INDEX(G$6:G49, MATCH(SUBSTITUTE(C186,"-",""), INDEX(SUBSTITUTE(F$6:F49,"-",""),0), 0)), "")</f>
        <v>0</v>
      </c>
      <c r="F186" s="14058">
        <f>IFERROR(INDEX(H$6:H49, MATCH(SUBSTITUTE(C186,"-",""), INDEX(SUBSTITUTE(F$6:F49,"-",""),0), 0)), 0)</f>
        <v>0</v>
      </c>
      <c r="G186" s="14059"/>
      <c r="H186" s="14060"/>
      <c r="I186" s="14061"/>
      <c r="J186" s="14062">
        <f t="shared" si="21"/>
        <v>0</v>
      </c>
      <c r="K186" s="14063"/>
      <c r="L186" s="14064">
        <f>IFERROR(INDEX(I$6:I49, MATCH(SUBSTITUTE(C186,"-",""), INDEX(SUBSTITUTE(F$6:F49,"-",""),0), 0)), "")</f>
        <v>0</v>
      </c>
      <c r="M186" s="14065" t="str">
        <f t="shared" si="22"/>
        <v/>
      </c>
      <c r="N186" s="14066">
        <f t="shared" si="23"/>
        <v>0</v>
      </c>
      <c r="O186" s="14067" t="str">
        <f t="shared" si="24"/>
        <v/>
      </c>
    </row>
    <row r="187" spans="1:15">
      <c r="A187" s="14068" t="str">
        <f t="shared" si="20"/>
        <v/>
      </c>
      <c r="B187" s="14069"/>
      <c r="C187" s="14070"/>
      <c r="D187" s="14071">
        <f>IFERROR(INDEX(D$6:D49, MATCH(SUBSTITUTE(C187,"-",""), INDEX(SUBSTITUTE(F$6:F49,"-",""),0), 0)), "")</f>
        <v>0</v>
      </c>
      <c r="E187" s="14072">
        <f>IFERROR(INDEX(G$6:G49, MATCH(SUBSTITUTE(C187,"-",""), INDEX(SUBSTITUTE(F$6:F49,"-",""),0), 0)), "")</f>
        <v>0</v>
      </c>
      <c r="F187" s="14073">
        <f>IFERROR(INDEX(H$6:H49, MATCH(SUBSTITUTE(C187,"-",""), INDEX(SUBSTITUTE(F$6:F49,"-",""),0), 0)), 0)</f>
        <v>0</v>
      </c>
      <c r="G187" s="14074"/>
      <c r="H187" s="14075"/>
      <c r="I187" s="14076"/>
      <c r="J187" s="14077">
        <f t="shared" si="21"/>
        <v>0</v>
      </c>
      <c r="K187" s="14078"/>
      <c r="L187" s="14079">
        <f>IFERROR(INDEX(I$6:I49, MATCH(SUBSTITUTE(C187,"-",""), INDEX(SUBSTITUTE(F$6:F49,"-",""),0), 0)), "")</f>
        <v>0</v>
      </c>
      <c r="M187" s="14080" t="str">
        <f t="shared" si="22"/>
        <v/>
      </c>
      <c r="N187" s="14081">
        <f t="shared" si="23"/>
        <v>0</v>
      </c>
      <c r="O187" s="14082" t="str">
        <f t="shared" si="24"/>
        <v/>
      </c>
    </row>
    <row r="188" spans="1:15">
      <c r="A188" s="14083" t="str">
        <f t="shared" si="20"/>
        <v/>
      </c>
      <c r="B188" s="14084"/>
      <c r="C188" s="14085"/>
      <c r="D188" s="14086">
        <f>IFERROR(INDEX(D$6:D49, MATCH(SUBSTITUTE(C188,"-",""), INDEX(SUBSTITUTE(F$6:F49,"-",""),0), 0)), "")</f>
        <v>0</v>
      </c>
      <c r="E188" s="14087">
        <f>IFERROR(INDEX(G$6:G49, MATCH(SUBSTITUTE(C188,"-",""), INDEX(SUBSTITUTE(F$6:F49,"-",""),0), 0)), "")</f>
        <v>0</v>
      </c>
      <c r="F188" s="14088">
        <f>IFERROR(INDEX(H$6:H49, MATCH(SUBSTITUTE(C188,"-",""), INDEX(SUBSTITUTE(F$6:F49,"-",""),0), 0)), 0)</f>
        <v>0</v>
      </c>
      <c r="G188" s="14089"/>
      <c r="H188" s="14090"/>
      <c r="I188" s="14091"/>
      <c r="J188" s="14092">
        <f t="shared" si="21"/>
        <v>0</v>
      </c>
      <c r="K188" s="14093"/>
      <c r="L188" s="14094">
        <f>IFERROR(INDEX(I$6:I49, MATCH(SUBSTITUTE(C188,"-",""), INDEX(SUBSTITUTE(F$6:F49,"-",""),0), 0)), "")</f>
        <v>0</v>
      </c>
      <c r="M188" s="14095" t="str">
        <f t="shared" si="22"/>
        <v/>
      </c>
      <c r="N188" s="14096">
        <f t="shared" si="23"/>
        <v>0</v>
      </c>
      <c r="O188" s="14097" t="str">
        <f t="shared" si="24"/>
        <v/>
      </c>
    </row>
    <row r="189" spans="1:15">
      <c r="A189" s="14098" t="str">
        <f t="shared" si="20"/>
        <v/>
      </c>
      <c r="B189" s="14099"/>
      <c r="C189" s="14100"/>
      <c r="D189" s="14101">
        <f>IFERROR(INDEX(D$6:D49, MATCH(SUBSTITUTE(C189,"-",""), INDEX(SUBSTITUTE(F$6:F49,"-",""),0), 0)), "")</f>
        <v>0</v>
      </c>
      <c r="E189" s="14102">
        <f>IFERROR(INDEX(G$6:G49, MATCH(SUBSTITUTE(C189,"-",""), INDEX(SUBSTITUTE(F$6:F49,"-",""),0), 0)), "")</f>
        <v>0</v>
      </c>
      <c r="F189" s="14103">
        <f>IFERROR(INDEX(H$6:H49, MATCH(SUBSTITUTE(C189,"-",""), INDEX(SUBSTITUTE(F$6:F49,"-",""),0), 0)), 0)</f>
        <v>0</v>
      </c>
      <c r="G189" s="14104"/>
      <c r="H189" s="14105"/>
      <c r="I189" s="14106"/>
      <c r="J189" s="14107">
        <f t="shared" si="21"/>
        <v>0</v>
      </c>
      <c r="K189" s="14108"/>
      <c r="L189" s="14109">
        <f>IFERROR(INDEX(I$6:I49, MATCH(SUBSTITUTE(C189,"-",""), INDEX(SUBSTITUTE(F$6:F49,"-",""),0), 0)), "")</f>
        <v>0</v>
      </c>
      <c r="M189" s="14110" t="str">
        <f t="shared" si="22"/>
        <v/>
      </c>
      <c r="N189" s="14111">
        <f t="shared" si="23"/>
        <v>0</v>
      </c>
      <c r="O189" s="14112" t="str">
        <f t="shared" si="24"/>
        <v/>
      </c>
    </row>
    <row r="190" spans="1:15">
      <c r="A190" s="14113" t="str">
        <f t="shared" si="20"/>
        <v/>
      </c>
      <c r="B190" s="14114"/>
      <c r="C190" s="14115"/>
      <c r="D190" s="14116">
        <f>IFERROR(INDEX(D$6:D49, MATCH(SUBSTITUTE(C190,"-",""), INDEX(SUBSTITUTE(F$6:F49,"-",""),0), 0)), "")</f>
        <v>0</v>
      </c>
      <c r="E190" s="14117">
        <f>IFERROR(INDEX(G$6:G49, MATCH(SUBSTITUTE(C190,"-",""), INDEX(SUBSTITUTE(F$6:F49,"-",""),0), 0)), "")</f>
        <v>0</v>
      </c>
      <c r="F190" s="14118">
        <f>IFERROR(INDEX(H$6:H49, MATCH(SUBSTITUTE(C190,"-",""), INDEX(SUBSTITUTE(F$6:F49,"-",""),0), 0)), 0)</f>
        <v>0</v>
      </c>
      <c r="G190" s="14119"/>
      <c r="H190" s="14120"/>
      <c r="I190" s="14121"/>
      <c r="J190" s="14122">
        <f t="shared" si="21"/>
        <v>0</v>
      </c>
      <c r="K190" s="14123"/>
      <c r="L190" s="14124">
        <f>IFERROR(INDEX(I$6:I49, MATCH(SUBSTITUTE(C190,"-",""), INDEX(SUBSTITUTE(F$6:F49,"-",""),0), 0)), "")</f>
        <v>0</v>
      </c>
      <c r="M190" s="14125" t="str">
        <f t="shared" si="22"/>
        <v/>
      </c>
      <c r="N190" s="14126">
        <f t="shared" si="23"/>
        <v>0</v>
      </c>
      <c r="O190" s="14127" t="str">
        <f t="shared" si="24"/>
        <v/>
      </c>
    </row>
    <row r="191" spans="1:15">
      <c r="A191" s="14128" t="str">
        <f t="shared" si="20"/>
        <v/>
      </c>
      <c r="B191" s="14129"/>
      <c r="C191" s="14130"/>
      <c r="D191" s="14131">
        <f>IFERROR(INDEX(D$6:D49, MATCH(SUBSTITUTE(C191,"-",""), INDEX(SUBSTITUTE(F$6:F49,"-",""),0), 0)), "")</f>
        <v>0</v>
      </c>
      <c r="E191" s="14132">
        <f>IFERROR(INDEX(G$6:G49, MATCH(SUBSTITUTE(C191,"-",""), INDEX(SUBSTITUTE(F$6:F49,"-",""),0), 0)), "")</f>
        <v>0</v>
      </c>
      <c r="F191" s="14133">
        <f>IFERROR(INDEX(H$6:H49, MATCH(SUBSTITUTE(C191,"-",""), INDEX(SUBSTITUTE(F$6:F49,"-",""),0), 0)), 0)</f>
        <v>0</v>
      </c>
      <c r="G191" s="14134"/>
      <c r="H191" s="14135"/>
      <c r="I191" s="14136"/>
      <c r="J191" s="14137">
        <f t="shared" si="21"/>
        <v>0</v>
      </c>
      <c r="K191" s="14138"/>
      <c r="L191" s="14139">
        <f>IFERROR(INDEX(I$6:I49, MATCH(SUBSTITUTE(C191,"-",""), INDEX(SUBSTITUTE(F$6:F49,"-",""),0), 0)), "")</f>
        <v>0</v>
      </c>
      <c r="M191" s="14140" t="str">
        <f t="shared" si="22"/>
        <v/>
      </c>
      <c r="N191" s="14141">
        <f t="shared" si="23"/>
        <v>0</v>
      </c>
      <c r="O191" s="14142" t="str">
        <f t="shared" si="24"/>
        <v/>
      </c>
    </row>
    <row r="192" spans="1:15">
      <c r="A192" s="14143" t="str">
        <f t="shared" si="20"/>
        <v/>
      </c>
      <c r="B192" s="14144"/>
      <c r="C192" s="14145"/>
      <c r="D192" s="14146">
        <f>IFERROR(INDEX(D$6:D49, MATCH(SUBSTITUTE(C192,"-",""), INDEX(SUBSTITUTE(F$6:F49,"-",""),0), 0)), "")</f>
        <v>0</v>
      </c>
      <c r="E192" s="14147">
        <f>IFERROR(INDEX(G$6:G49, MATCH(SUBSTITUTE(C192,"-",""), INDEX(SUBSTITUTE(F$6:F49,"-",""),0), 0)), "")</f>
        <v>0</v>
      </c>
      <c r="F192" s="14148">
        <f>IFERROR(INDEX(H$6:H49, MATCH(SUBSTITUTE(C192,"-",""), INDEX(SUBSTITUTE(F$6:F49,"-",""),0), 0)), 0)</f>
        <v>0</v>
      </c>
      <c r="G192" s="14149"/>
      <c r="H192" s="14150"/>
      <c r="I192" s="14151"/>
      <c r="J192" s="14152">
        <f t="shared" si="21"/>
        <v>0</v>
      </c>
      <c r="K192" s="14153"/>
      <c r="L192" s="14154">
        <f>IFERROR(INDEX(I$6:I49, MATCH(SUBSTITUTE(C192,"-",""), INDEX(SUBSTITUTE(F$6:F49,"-",""),0), 0)), "")</f>
        <v>0</v>
      </c>
      <c r="M192" s="14155" t="str">
        <f t="shared" si="22"/>
        <v/>
      </c>
      <c r="N192" s="14156">
        <f t="shared" si="23"/>
        <v>0</v>
      </c>
      <c r="O192" s="14157" t="str">
        <f t="shared" si="24"/>
        <v/>
      </c>
    </row>
    <row r="193" spans="1:15">
      <c r="A193" s="14158" t="str">
        <f t="shared" si="20"/>
        <v/>
      </c>
      <c r="B193" s="14159"/>
      <c r="C193" s="14160"/>
      <c r="D193" s="14161">
        <f>IFERROR(INDEX(D$6:D49, MATCH(SUBSTITUTE(C193,"-",""), INDEX(SUBSTITUTE(F$6:F49,"-",""),0), 0)), "")</f>
        <v>0</v>
      </c>
      <c r="E193" s="14162">
        <f>IFERROR(INDEX(G$6:G49, MATCH(SUBSTITUTE(C193,"-",""), INDEX(SUBSTITUTE(F$6:F49,"-",""),0), 0)), "")</f>
        <v>0</v>
      </c>
      <c r="F193" s="14163">
        <f>IFERROR(INDEX(H$6:H49, MATCH(SUBSTITUTE(C193,"-",""), INDEX(SUBSTITUTE(F$6:F49,"-",""),0), 0)), 0)</f>
        <v>0</v>
      </c>
      <c r="G193" s="14164"/>
      <c r="H193" s="14165"/>
      <c r="I193" s="14166"/>
      <c r="J193" s="14167">
        <f t="shared" si="21"/>
        <v>0</v>
      </c>
      <c r="K193" s="14168"/>
      <c r="L193" s="14169">
        <f>IFERROR(INDEX(I$6:I49, MATCH(SUBSTITUTE(C193,"-",""), INDEX(SUBSTITUTE(F$6:F49,"-",""),0), 0)), "")</f>
        <v>0</v>
      </c>
      <c r="M193" s="14170" t="str">
        <f t="shared" si="22"/>
        <v/>
      </c>
      <c r="N193" s="14171">
        <f t="shared" si="23"/>
        <v>0</v>
      </c>
      <c r="O193" s="14172" t="str">
        <f t="shared" si="24"/>
        <v/>
      </c>
    </row>
    <row r="194" spans="1:15">
      <c r="A194" s="14173" t="str">
        <f t="shared" si="20"/>
        <v/>
      </c>
      <c r="B194" s="14174"/>
      <c r="C194" s="14175"/>
      <c r="D194" s="14176">
        <f>IFERROR(INDEX(D$6:D49, MATCH(SUBSTITUTE(C194,"-",""), INDEX(SUBSTITUTE(F$6:F49,"-",""),0), 0)), "")</f>
        <v>0</v>
      </c>
      <c r="E194" s="14177">
        <f>IFERROR(INDEX(G$6:G49, MATCH(SUBSTITUTE(C194,"-",""), INDEX(SUBSTITUTE(F$6:F49,"-",""),0), 0)), "")</f>
        <v>0</v>
      </c>
      <c r="F194" s="14178">
        <f>IFERROR(INDEX(H$6:H49, MATCH(SUBSTITUTE(C194,"-",""), INDEX(SUBSTITUTE(F$6:F49,"-",""),0), 0)), 0)</f>
        <v>0</v>
      </c>
      <c r="G194" s="14179"/>
      <c r="H194" s="14180"/>
      <c r="I194" s="14181"/>
      <c r="J194" s="14182">
        <f t="shared" si="21"/>
        <v>0</v>
      </c>
      <c r="K194" s="14183"/>
      <c r="L194" s="14184">
        <f>IFERROR(INDEX(I$6:I49, MATCH(SUBSTITUTE(C194,"-",""), INDEX(SUBSTITUTE(F$6:F49,"-",""),0), 0)), "")</f>
        <v>0</v>
      </c>
      <c r="M194" s="14185" t="str">
        <f t="shared" si="22"/>
        <v/>
      </c>
      <c r="N194" s="14186">
        <f t="shared" si="23"/>
        <v>0</v>
      </c>
      <c r="O194" s="14187" t="str">
        <f t="shared" si="24"/>
        <v/>
      </c>
    </row>
    <row r="195" spans="1:15">
      <c r="A195" s="14188" t="str">
        <f t="shared" si="20"/>
        <v/>
      </c>
      <c r="B195" s="14189"/>
      <c r="C195" s="14190"/>
      <c r="D195" s="14191">
        <f>IFERROR(INDEX(D$6:D49, MATCH(SUBSTITUTE(C195,"-",""), INDEX(SUBSTITUTE(F$6:F49,"-",""),0), 0)), "")</f>
        <v>0</v>
      </c>
      <c r="E195" s="14192">
        <f>IFERROR(INDEX(G$6:G49, MATCH(SUBSTITUTE(C195,"-",""), INDEX(SUBSTITUTE(F$6:F49,"-",""),0), 0)), "")</f>
        <v>0</v>
      </c>
      <c r="F195" s="14193">
        <f>IFERROR(INDEX(H$6:H49, MATCH(SUBSTITUTE(C195,"-",""), INDEX(SUBSTITUTE(F$6:F49,"-",""),0), 0)), 0)</f>
        <v>0</v>
      </c>
      <c r="G195" s="14194"/>
      <c r="H195" s="14195"/>
      <c r="I195" s="14196"/>
      <c r="J195" s="14197">
        <f t="shared" si="21"/>
        <v>0</v>
      </c>
      <c r="K195" s="14198"/>
      <c r="L195" s="14199">
        <f>IFERROR(INDEX(I$6:I49, MATCH(SUBSTITUTE(C195,"-",""), INDEX(SUBSTITUTE(F$6:F49,"-",""),0), 0)), "")</f>
        <v>0</v>
      </c>
      <c r="M195" s="14200" t="str">
        <f t="shared" si="22"/>
        <v/>
      </c>
      <c r="N195" s="14201">
        <f t="shared" si="23"/>
        <v>0</v>
      </c>
      <c r="O195" s="14202" t="str">
        <f t="shared" si="24"/>
        <v/>
      </c>
    </row>
    <row r="196" spans="1:15">
      <c r="A196" s="14203" t="str">
        <f t="shared" si="20"/>
        <v/>
      </c>
      <c r="B196" s="14204"/>
      <c r="C196" s="14205"/>
      <c r="D196" s="14206">
        <f>IFERROR(INDEX(D$6:D49, MATCH(SUBSTITUTE(C196,"-",""), INDEX(SUBSTITUTE(F$6:F49,"-",""),0), 0)), "")</f>
        <v>0</v>
      </c>
      <c r="E196" s="14207">
        <f>IFERROR(INDEX(G$6:G49, MATCH(SUBSTITUTE(C196,"-",""), INDEX(SUBSTITUTE(F$6:F49,"-",""),0), 0)), "")</f>
        <v>0</v>
      </c>
      <c r="F196" s="14208">
        <f>IFERROR(INDEX(H$6:H49, MATCH(SUBSTITUTE(C196,"-",""), INDEX(SUBSTITUTE(F$6:F49,"-",""),0), 0)), 0)</f>
        <v>0</v>
      </c>
      <c r="G196" s="14209"/>
      <c r="H196" s="14210"/>
      <c r="I196" s="14211"/>
      <c r="J196" s="14212">
        <f t="shared" si="21"/>
        <v>0</v>
      </c>
      <c r="K196" s="14213"/>
      <c r="L196" s="14214">
        <f>IFERROR(INDEX(I$6:I49, MATCH(SUBSTITUTE(C196,"-",""), INDEX(SUBSTITUTE(F$6:F49,"-",""),0), 0)), "")</f>
        <v>0</v>
      </c>
      <c r="M196" s="14215" t="str">
        <f t="shared" si="22"/>
        <v/>
      </c>
      <c r="N196" s="14216">
        <f t="shared" si="23"/>
        <v>0</v>
      </c>
      <c r="O196" s="14217" t="str">
        <f t="shared" si="24"/>
        <v/>
      </c>
    </row>
    <row r="197" spans="1:15">
      <c r="A197" s="14218" t="str">
        <f t="shared" si="20"/>
        <v/>
      </c>
      <c r="B197" s="14219"/>
      <c r="C197" s="14220"/>
      <c r="D197" s="14221">
        <f>IFERROR(INDEX(D$6:D49, MATCH(SUBSTITUTE(C197,"-",""), INDEX(SUBSTITUTE(F$6:F49,"-",""),0), 0)), "")</f>
        <v>0</v>
      </c>
      <c r="E197" s="14222">
        <f>IFERROR(INDEX(G$6:G49, MATCH(SUBSTITUTE(C197,"-",""), INDEX(SUBSTITUTE(F$6:F49,"-",""),0), 0)), "")</f>
        <v>0</v>
      </c>
      <c r="F197" s="14223">
        <f>IFERROR(INDEX(H$6:H49, MATCH(SUBSTITUTE(C197,"-",""), INDEX(SUBSTITUTE(F$6:F49,"-",""),0), 0)), 0)</f>
        <v>0</v>
      </c>
      <c r="G197" s="14224"/>
      <c r="H197" s="14225"/>
      <c r="I197" s="14226"/>
      <c r="J197" s="14227">
        <f t="shared" si="21"/>
        <v>0</v>
      </c>
      <c r="K197" s="14228"/>
      <c r="L197" s="14229">
        <f>IFERROR(INDEX(I$6:I49, MATCH(SUBSTITUTE(C197,"-",""), INDEX(SUBSTITUTE(F$6:F49,"-",""),0), 0)), "")</f>
        <v>0</v>
      </c>
      <c r="M197" s="14230" t="str">
        <f t="shared" si="22"/>
        <v/>
      </c>
      <c r="N197" s="14231">
        <f t="shared" si="23"/>
        <v>0</v>
      </c>
      <c r="O197" s="14232" t="str">
        <f t="shared" si="24"/>
        <v/>
      </c>
    </row>
    <row r="198" spans="1:15">
      <c r="A198" s="14233" t="str">
        <f t="shared" si="20"/>
        <v/>
      </c>
      <c r="B198" s="14234"/>
      <c r="C198" s="14235"/>
      <c r="D198" s="14236">
        <f>IFERROR(INDEX(D$6:D49, MATCH(SUBSTITUTE(C198,"-",""), INDEX(SUBSTITUTE(F$6:F49,"-",""),0), 0)), "")</f>
        <v>0</v>
      </c>
      <c r="E198" s="14237">
        <f>IFERROR(INDEX(G$6:G49, MATCH(SUBSTITUTE(C198,"-",""), INDEX(SUBSTITUTE(F$6:F49,"-",""),0), 0)), "")</f>
        <v>0</v>
      </c>
      <c r="F198" s="14238">
        <f>IFERROR(INDEX(H$6:H49, MATCH(SUBSTITUTE(C198,"-",""), INDEX(SUBSTITUTE(F$6:F49,"-",""),0), 0)), 0)</f>
        <v>0</v>
      </c>
      <c r="G198" s="14239"/>
      <c r="H198" s="14240"/>
      <c r="I198" s="14241"/>
      <c r="J198" s="14242">
        <f t="shared" si="21"/>
        <v>0</v>
      </c>
      <c r="K198" s="14243"/>
      <c r="L198" s="14244">
        <f>IFERROR(INDEX(I$6:I49, MATCH(SUBSTITUTE(C198,"-",""), INDEX(SUBSTITUTE(F$6:F49,"-",""),0), 0)), "")</f>
        <v>0</v>
      </c>
      <c r="M198" s="14245" t="str">
        <f t="shared" si="22"/>
        <v/>
      </c>
      <c r="N198" s="14246">
        <f t="shared" si="23"/>
        <v>0</v>
      </c>
      <c r="O198" s="14247" t="str">
        <f t="shared" si="24"/>
        <v/>
      </c>
    </row>
    <row r="199" spans="1:15">
      <c r="A199" s="14248" t="str">
        <f t="shared" si="20"/>
        <v/>
      </c>
      <c r="B199" s="14249"/>
      <c r="C199" s="14250"/>
      <c r="D199" s="14251">
        <f>IFERROR(INDEX(D$6:D49, MATCH(SUBSTITUTE(C199,"-",""), INDEX(SUBSTITUTE(F$6:F49,"-",""),0), 0)), "")</f>
        <v>0</v>
      </c>
      <c r="E199" s="14252">
        <f>IFERROR(INDEX(G$6:G49, MATCH(SUBSTITUTE(C199,"-",""), INDEX(SUBSTITUTE(F$6:F49,"-",""),0), 0)), "")</f>
        <v>0</v>
      </c>
      <c r="F199" s="14253">
        <f>IFERROR(INDEX(H$6:H49, MATCH(SUBSTITUTE(C199,"-",""), INDEX(SUBSTITUTE(F$6:F49,"-",""),0), 0)), 0)</f>
        <v>0</v>
      </c>
      <c r="G199" s="14254"/>
      <c r="H199" s="14255"/>
      <c r="I199" s="14256"/>
      <c r="J199" s="14257">
        <f t="shared" si="21"/>
        <v>0</v>
      </c>
      <c r="K199" s="14258"/>
      <c r="L199" s="14259">
        <f>IFERROR(INDEX(I$6:I49, MATCH(SUBSTITUTE(C199,"-",""), INDEX(SUBSTITUTE(F$6:F49,"-",""),0), 0)), "")</f>
        <v>0</v>
      </c>
      <c r="M199" s="14260" t="str">
        <f t="shared" si="22"/>
        <v/>
      </c>
      <c r="N199" s="14261">
        <f t="shared" si="23"/>
        <v>0</v>
      </c>
      <c r="O199" s="14262" t="str">
        <f t="shared" si="24"/>
        <v/>
      </c>
    </row>
    <row r="200" spans="1:15">
      <c r="A200" s="14263" t="str">
        <f t="shared" si="20"/>
        <v/>
      </c>
      <c r="B200" s="14264"/>
      <c r="C200" s="14265"/>
      <c r="D200" s="14266">
        <f>IFERROR(INDEX(D$6:D49, MATCH(SUBSTITUTE(C200,"-",""), INDEX(SUBSTITUTE(F$6:F49,"-",""),0), 0)), "")</f>
        <v>0</v>
      </c>
      <c r="E200" s="14267">
        <f>IFERROR(INDEX(G$6:G49, MATCH(SUBSTITUTE(C200,"-",""), INDEX(SUBSTITUTE(F$6:F49,"-",""),0), 0)), "")</f>
        <v>0</v>
      </c>
      <c r="F200" s="14268">
        <f>IFERROR(INDEX(H$6:H49, MATCH(SUBSTITUTE(C200,"-",""), INDEX(SUBSTITUTE(F$6:F49,"-",""),0), 0)), 0)</f>
        <v>0</v>
      </c>
      <c r="G200" s="14269"/>
      <c r="H200" s="14270"/>
      <c r="I200" s="14271"/>
      <c r="J200" s="14272">
        <f t="shared" si="21"/>
        <v>0</v>
      </c>
      <c r="K200" s="14273"/>
      <c r="L200" s="14274">
        <f>IFERROR(INDEX(I$6:I49, MATCH(SUBSTITUTE(C200,"-",""), INDEX(SUBSTITUTE(F$6:F49,"-",""),0), 0)), "")</f>
        <v>0</v>
      </c>
      <c r="M200" s="14275" t="str">
        <f t="shared" si="22"/>
        <v/>
      </c>
      <c r="N200" s="14276">
        <f t="shared" si="23"/>
        <v>0</v>
      </c>
      <c r="O200" s="14277" t="str">
        <f t="shared" si="24"/>
        <v/>
      </c>
    </row>
    <row r="201" spans="1:15">
      <c r="A201" s="14278" t="str">
        <f t="shared" si="20"/>
        <v/>
      </c>
      <c r="B201" s="14279"/>
      <c r="C201" s="14280"/>
      <c r="D201" s="14281">
        <f>IFERROR(INDEX(D$6:D49, MATCH(SUBSTITUTE(C201,"-",""), INDEX(SUBSTITUTE(F$6:F49,"-",""),0), 0)), "")</f>
        <v>0</v>
      </c>
      <c r="E201" s="14282">
        <f>IFERROR(INDEX(G$6:G49, MATCH(SUBSTITUTE(C201,"-",""), INDEX(SUBSTITUTE(F$6:F49,"-",""),0), 0)), "")</f>
        <v>0</v>
      </c>
      <c r="F201" s="14283">
        <f>IFERROR(INDEX(H$6:H49, MATCH(SUBSTITUTE(C201,"-",""), INDEX(SUBSTITUTE(F$6:F49,"-",""),0), 0)), 0)</f>
        <v>0</v>
      </c>
      <c r="G201" s="14284"/>
      <c r="H201" s="14285"/>
      <c r="I201" s="14286"/>
      <c r="J201" s="14287">
        <f t="shared" si="21"/>
        <v>0</v>
      </c>
      <c r="K201" s="14288"/>
      <c r="L201" s="14289">
        <f>IFERROR(INDEX(I$6:I49, MATCH(SUBSTITUTE(C201,"-",""), INDEX(SUBSTITUTE(F$6:F49,"-",""),0), 0)), "")</f>
        <v>0</v>
      </c>
      <c r="M201" s="14290" t="str">
        <f t="shared" si="22"/>
        <v/>
      </c>
      <c r="N201" s="14291">
        <f t="shared" si="23"/>
        <v>0</v>
      </c>
      <c r="O201" s="14292" t="str">
        <f t="shared" si="24"/>
        <v/>
      </c>
    </row>
    <row r="202" spans="1:15">
      <c r="A202" s="14293" t="str">
        <f t="shared" si="20"/>
        <v/>
      </c>
      <c r="B202" s="14294"/>
      <c r="C202" s="14295"/>
      <c r="D202" s="14296">
        <f>IFERROR(INDEX(D$6:D49, MATCH(SUBSTITUTE(C202,"-",""), INDEX(SUBSTITUTE(F$6:F49,"-",""),0), 0)), "")</f>
        <v>0</v>
      </c>
      <c r="E202" s="14297">
        <f>IFERROR(INDEX(G$6:G49, MATCH(SUBSTITUTE(C202,"-",""), INDEX(SUBSTITUTE(F$6:F49,"-",""),0), 0)), "")</f>
        <v>0</v>
      </c>
      <c r="F202" s="14298">
        <f>IFERROR(INDEX(H$6:H49, MATCH(SUBSTITUTE(C202,"-",""), INDEX(SUBSTITUTE(F$6:F49,"-",""),0), 0)), 0)</f>
        <v>0</v>
      </c>
      <c r="G202" s="14299"/>
      <c r="H202" s="14300"/>
      <c r="I202" s="14301"/>
      <c r="J202" s="14302">
        <f t="shared" si="21"/>
        <v>0</v>
      </c>
      <c r="K202" s="14303"/>
      <c r="L202" s="14304">
        <f>IFERROR(INDEX(I$6:I49, MATCH(SUBSTITUTE(C202,"-",""), INDEX(SUBSTITUTE(F$6:F49,"-",""),0), 0)), "")</f>
        <v>0</v>
      </c>
      <c r="M202" s="14305" t="str">
        <f t="shared" si="22"/>
        <v/>
      </c>
      <c r="N202" s="14306">
        <f t="shared" si="23"/>
        <v>0</v>
      </c>
      <c r="O202" s="14307" t="str">
        <f t="shared" si="24"/>
        <v/>
      </c>
    </row>
    <row r="203" spans="1:15">
      <c r="A203" s="14308" t="str">
        <f t="shared" si="20"/>
        <v/>
      </c>
      <c r="B203" s="14309"/>
      <c r="C203" s="14310"/>
      <c r="D203" s="14311">
        <f>IFERROR(INDEX(D$6:D49, MATCH(SUBSTITUTE(C203,"-",""), INDEX(SUBSTITUTE(F$6:F49,"-",""),0), 0)), "")</f>
        <v>0</v>
      </c>
      <c r="E203" s="14312">
        <f>IFERROR(INDEX(G$6:G49, MATCH(SUBSTITUTE(C203,"-",""), INDEX(SUBSTITUTE(F$6:F49,"-",""),0), 0)), "")</f>
        <v>0</v>
      </c>
      <c r="F203" s="14313">
        <f>IFERROR(INDEX(H$6:H49, MATCH(SUBSTITUTE(C203,"-",""), INDEX(SUBSTITUTE(F$6:F49,"-",""),0), 0)), 0)</f>
        <v>0</v>
      </c>
      <c r="G203" s="14314"/>
      <c r="H203" s="14315"/>
      <c r="I203" s="14316"/>
      <c r="J203" s="14317">
        <f t="shared" si="21"/>
        <v>0</v>
      </c>
      <c r="K203" s="14318"/>
      <c r="L203" s="14319">
        <f>IFERROR(INDEX(I$6:I49, MATCH(SUBSTITUTE(C203,"-",""), INDEX(SUBSTITUTE(F$6:F49,"-",""),0), 0)), "")</f>
        <v>0</v>
      </c>
      <c r="M203" s="14320" t="str">
        <f t="shared" si="22"/>
        <v/>
      </c>
      <c r="N203" s="14321">
        <f t="shared" si="23"/>
        <v>0</v>
      </c>
      <c r="O203" s="14322" t="str">
        <f t="shared" si="24"/>
        <v/>
      </c>
    </row>
    <row r="204" spans="1:15">
      <c r="A204" s="14323" t="str">
        <f t="shared" si="20"/>
        <v/>
      </c>
      <c r="B204" s="14324"/>
      <c r="C204" s="14325"/>
      <c r="D204" s="14326">
        <f>IFERROR(INDEX(D$6:D49, MATCH(SUBSTITUTE(C204,"-",""), INDEX(SUBSTITUTE(F$6:F49,"-",""),0), 0)), "")</f>
        <v>0</v>
      </c>
      <c r="E204" s="14327">
        <f>IFERROR(INDEX(G$6:G49, MATCH(SUBSTITUTE(C204,"-",""), INDEX(SUBSTITUTE(F$6:F49,"-",""),0), 0)), "")</f>
        <v>0</v>
      </c>
      <c r="F204" s="14328">
        <f>IFERROR(INDEX(H$6:H49, MATCH(SUBSTITUTE(C204,"-",""), INDEX(SUBSTITUTE(F$6:F49,"-",""),0), 0)), 0)</f>
        <v>0</v>
      </c>
      <c r="G204" s="14329"/>
      <c r="H204" s="14330"/>
      <c r="I204" s="14331"/>
      <c r="J204" s="14332">
        <f t="shared" si="21"/>
        <v>0</v>
      </c>
      <c r="K204" s="14333"/>
      <c r="L204" s="14334">
        <f>IFERROR(INDEX(I$6:I49, MATCH(SUBSTITUTE(C204,"-",""), INDEX(SUBSTITUTE(F$6:F49,"-",""),0), 0)), "")</f>
        <v>0</v>
      </c>
      <c r="M204" s="14335" t="str">
        <f t="shared" si="22"/>
        <v/>
      </c>
      <c r="N204" s="14336">
        <f t="shared" si="23"/>
        <v>0</v>
      </c>
      <c r="O204" s="14337" t="str">
        <f t="shared" si="24"/>
        <v/>
      </c>
    </row>
    <row r="205" spans="1:15">
      <c r="A205" s="14338" t="str">
        <f t="shared" si="20"/>
        <v/>
      </c>
      <c r="B205" s="14339"/>
      <c r="C205" s="14340"/>
      <c r="D205" s="14341">
        <f>IFERROR(INDEX(D$6:D49, MATCH(SUBSTITUTE(C205,"-",""), INDEX(SUBSTITUTE(F$6:F49,"-",""),0), 0)), "")</f>
        <v>0</v>
      </c>
      <c r="E205" s="14342">
        <f>IFERROR(INDEX(G$6:G49, MATCH(SUBSTITUTE(C205,"-",""), INDEX(SUBSTITUTE(F$6:F49,"-",""),0), 0)), "")</f>
        <v>0</v>
      </c>
      <c r="F205" s="14343">
        <f>IFERROR(INDEX(H$6:H49, MATCH(SUBSTITUTE(C205,"-",""), INDEX(SUBSTITUTE(F$6:F49,"-",""),0), 0)), 0)</f>
        <v>0</v>
      </c>
      <c r="G205" s="14344"/>
      <c r="H205" s="14345"/>
      <c r="I205" s="14346"/>
      <c r="J205" s="14347">
        <f t="shared" si="21"/>
        <v>0</v>
      </c>
      <c r="K205" s="14348"/>
      <c r="L205" s="14349">
        <f>IFERROR(INDEX(I$6:I49, MATCH(SUBSTITUTE(C205,"-",""), INDEX(SUBSTITUTE(F$6:F49,"-",""),0), 0)), "")</f>
        <v>0</v>
      </c>
      <c r="M205" s="14350" t="str">
        <f t="shared" si="22"/>
        <v/>
      </c>
      <c r="N205" s="14351">
        <f t="shared" si="23"/>
        <v>0</v>
      </c>
      <c r="O205" s="14352" t="str">
        <f t="shared" si="24"/>
        <v/>
      </c>
    </row>
    <row r="206" spans="1:15">
      <c r="A206" s="14353" t="str">
        <f t="shared" si="20"/>
        <v/>
      </c>
      <c r="B206" s="14354"/>
      <c r="C206" s="14355"/>
      <c r="D206" s="14356">
        <f>IFERROR(INDEX(D$6:D49, MATCH(SUBSTITUTE(C206,"-",""), INDEX(SUBSTITUTE(F$6:F49,"-",""),0), 0)), "")</f>
        <v>0</v>
      </c>
      <c r="E206" s="14357">
        <f>IFERROR(INDEX(G$6:G49, MATCH(SUBSTITUTE(C206,"-",""), INDEX(SUBSTITUTE(F$6:F49,"-",""),0), 0)), "")</f>
        <v>0</v>
      </c>
      <c r="F206" s="14358">
        <f>IFERROR(INDEX(H$6:H49, MATCH(SUBSTITUTE(C206,"-",""), INDEX(SUBSTITUTE(F$6:F49,"-",""),0), 0)), 0)</f>
        <v>0</v>
      </c>
      <c r="G206" s="14359"/>
      <c r="H206" s="14360"/>
      <c r="I206" s="14361"/>
      <c r="J206" s="14362">
        <f t="shared" si="21"/>
        <v>0</v>
      </c>
      <c r="K206" s="14363"/>
      <c r="L206" s="14364">
        <f>IFERROR(INDEX(I$6:I49, MATCH(SUBSTITUTE(C206,"-",""), INDEX(SUBSTITUTE(F$6:F49,"-",""),0), 0)), "")</f>
        <v>0</v>
      </c>
      <c r="M206" s="14365" t="str">
        <f t="shared" si="22"/>
        <v/>
      </c>
      <c r="N206" s="14366">
        <f t="shared" si="23"/>
        <v>0</v>
      </c>
      <c r="O206" s="14367" t="str">
        <f t="shared" si="24"/>
        <v/>
      </c>
    </row>
    <row r="210" spans="1:10" ht="15.6">
      <c r="A210" s="17992" t="s">
        <v>642</v>
      </c>
    </row>
    <row r="211" spans="1:10" ht="41.4">
      <c r="A211" s="14368" t="s">
        <v>643</v>
      </c>
      <c r="B211" s="14369" t="s">
        <v>644</v>
      </c>
      <c r="C211" s="14370" t="s">
        <v>425</v>
      </c>
      <c r="D211" s="14371" t="s">
        <v>645</v>
      </c>
      <c r="E211" s="14372" t="s">
        <v>646</v>
      </c>
      <c r="F211" s="14373" t="s">
        <v>647</v>
      </c>
      <c r="G211" s="14374" t="s">
        <v>629</v>
      </c>
      <c r="H211" s="14375" t="s">
        <v>648</v>
      </c>
      <c r="I211" s="14376" t="s">
        <v>649</v>
      </c>
      <c r="J211" s="14377" t="s">
        <v>414</v>
      </c>
    </row>
    <row r="212" spans="1:10">
      <c r="A212" s="14378">
        <v>1</v>
      </c>
      <c r="B212" s="14379" t="s">
        <v>650</v>
      </c>
      <c r="C212" s="14380" t="s">
        <v>651</v>
      </c>
      <c r="D212" s="14381" t="s">
        <v>652</v>
      </c>
      <c r="E212" s="14382">
        <v>550</v>
      </c>
      <c r="F212" s="14383">
        <v>2750</v>
      </c>
      <c r="G212" s="14384">
        <v>46195.75</v>
      </c>
      <c r="H212" s="14385">
        <v>660</v>
      </c>
      <c r="I212" s="14386">
        <v>2030</v>
      </c>
      <c r="J212" s="14387" t="str">
        <f>IF(F212=0,"",IF(H212=0,"⏳ Pendiente",IF(H212&lt;=F212,"✅ OK","❌ Excede autorizado")))</f>
        <v>✅ OK</v>
      </c>
    </row>
    <row r="213" spans="1:10">
      <c r="A213" s="14388">
        <v>2</v>
      </c>
      <c r="B213" s="14389" t="s">
        <v>653</v>
      </c>
      <c r="C213" s="14390" t="s">
        <v>654</v>
      </c>
      <c r="D213" s="14391" t="s">
        <v>655</v>
      </c>
      <c r="E213" s="14392">
        <v>500</v>
      </c>
      <c r="F213" s="14393">
        <v>2500</v>
      </c>
      <c r="G213" s="14394"/>
      <c r="H213" s="14395"/>
      <c r="I213" s="14396"/>
      <c r="J213" s="14397" t="str">
        <f>IF(F213=0,"",IF(H213=0,"⏳ Pendiente",IF(H213&lt;=F213,"✅ OK","❌ Excede autorizado")))</f>
        <v>⏳ Pendiente</v>
      </c>
    </row>
    <row r="214" spans="1:10">
      <c r="A214" s="14398">
        <v>3</v>
      </c>
      <c r="B214" s="14399" t="s">
        <v>656</v>
      </c>
      <c r="C214" s="14400" t="s">
        <v>2</v>
      </c>
      <c r="D214" s="14401" t="s">
        <v>657</v>
      </c>
      <c r="E214" s="14402">
        <v>400</v>
      </c>
      <c r="F214" s="14403">
        <v>2000</v>
      </c>
      <c r="G214" s="14404"/>
      <c r="H214" s="14405"/>
      <c r="I214" s="14406"/>
      <c r="J214" s="14407" t="str">
        <f>IF(F214=0,"",IF(H214=0,"⏳ Pendiente",IF(H214&lt;=F214,"✅ OK","❌ Excede autorizado")))</f>
        <v>⏳ Pendiente</v>
      </c>
    </row>
    <row r="215" spans="1:10">
      <c r="A215" s="14408">
        <v>4</v>
      </c>
      <c r="B215" s="14409" t="s">
        <v>656</v>
      </c>
      <c r="C215" s="14410" t="s">
        <v>115</v>
      </c>
      <c r="D215" s="14411"/>
      <c r="E215" s="14412">
        <v>1600</v>
      </c>
      <c r="F215" s="14413">
        <v>1600</v>
      </c>
      <c r="G215" s="14414"/>
      <c r="H215" s="14415"/>
      <c r="I215" s="14416"/>
      <c r="J215" s="14417" t="str">
        <f>IF(F215=0,"",IF(H215=0,"⏳ Pendiente",IF(H215&lt;=F215,"✅ OK","❌ Excede autorizado")))</f>
        <v>⏳ Pendiente</v>
      </c>
    </row>
    <row r="216" spans="1:10">
      <c r="A216" s="14418">
        <v>5</v>
      </c>
      <c r="B216" s="14419" t="s">
        <v>656</v>
      </c>
      <c r="C216" s="14420" t="s">
        <v>111</v>
      </c>
      <c r="D216" s="14421"/>
      <c r="E216" s="14422">
        <v>100</v>
      </c>
      <c r="F216" s="14423">
        <v>500</v>
      </c>
      <c r="G216" s="14424"/>
      <c r="H216" s="14425"/>
      <c r="I216" s="14426"/>
      <c r="J216" s="14427" t="str">
        <f>IF(F216=0,"",IF(H216=0,"⏳ Pendiente",IF(H216&lt;=F216,"✅ OK","❌ Excede autorizado")))</f>
        <v>⏳ Pendiente</v>
      </c>
    </row>
    <row r="217" spans="1:10">
      <c r="E217" s="14428" t="s">
        <v>658</v>
      </c>
      <c r="F217" s="14429">
        <f>SUM(F212:F216)</f>
        <v>9350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62"/>
  <sheetViews>
    <sheetView workbookViewId="0"/>
  </sheetViews>
  <sheetFormatPr baseColWidth="10" defaultRowHeight="13.8"/>
  <cols>
    <col min="1" max="1" width="84" bestFit="1" customWidth="1"/>
    <col min="4" max="4" width="24.296875" bestFit="1" customWidth="1"/>
    <col min="5" max="5" width="36.5" bestFit="1" customWidth="1"/>
    <col min="6" max="6" width="52.19921875" bestFit="1" customWidth="1"/>
  </cols>
  <sheetData>
    <row r="1" spans="1:13" ht="21">
      <c r="A1" s="18021" t="s">
        <v>770</v>
      </c>
    </row>
    <row r="2" spans="1:13">
      <c r="M2" s="17666">
        <f>DATE(2026,1,1)-WEEKDAY(DATE(2026,1,1),2)+1 + ($B$3-1)*7</f>
        <v>46195</v>
      </c>
    </row>
    <row r="3" spans="1:13" ht="15.6">
      <c r="A3" s="16617" t="s">
        <v>771</v>
      </c>
      <c r="B3" s="16618">
        <v>26</v>
      </c>
      <c r="D3" s="16619" t="s">
        <v>772</v>
      </c>
      <c r="E3" s="16620">
        <v>27</v>
      </c>
      <c r="F3" s="18022" t="s">
        <v>773</v>
      </c>
      <c r="M3" s="17667">
        <f>M2+6</f>
        <v>46201</v>
      </c>
    </row>
    <row r="5" spans="1:13">
      <c r="A5" s="16621"/>
      <c r="B5" s="16622"/>
      <c r="C5" s="16623"/>
      <c r="D5" s="16624"/>
      <c r="E5" s="16625"/>
      <c r="F5" s="16626"/>
      <c r="G5" s="16627"/>
      <c r="H5" s="16628"/>
      <c r="I5" s="16629"/>
      <c r="J5" s="16630"/>
      <c r="K5" s="16631"/>
      <c r="L5" s="16632"/>
    </row>
    <row r="6" spans="1:13">
      <c r="A6" s="18023" t="s">
        <v>802</v>
      </c>
      <c r="B6" s="18024"/>
      <c r="C6" s="18025"/>
      <c r="D6" s="18026"/>
      <c r="E6" s="18027"/>
      <c r="F6" s="18028"/>
      <c r="G6" s="18029"/>
      <c r="H6" s="17484"/>
      <c r="I6" s="17485"/>
      <c r="J6" s="17486"/>
      <c r="K6" s="17487"/>
      <c r="L6" s="17488"/>
    </row>
    <row r="7" spans="1:13" ht="43.2">
      <c r="A7" s="17489" t="s">
        <v>425</v>
      </c>
      <c r="B7" s="17490" t="s">
        <v>803</v>
      </c>
      <c r="C7" s="17491" t="s">
        <v>804</v>
      </c>
      <c r="D7" s="17492" t="s">
        <v>805</v>
      </c>
      <c r="E7" s="17493" t="s">
        <v>806</v>
      </c>
      <c r="F7" s="17494" t="s">
        <v>807</v>
      </c>
      <c r="G7" s="17495" t="s">
        <v>808</v>
      </c>
      <c r="H7" s="17496" t="s">
        <v>809</v>
      </c>
      <c r="I7" s="17497" t="s">
        <v>810</v>
      </c>
      <c r="J7" s="17498"/>
      <c r="K7" s="17499"/>
      <c r="L7" s="17500"/>
    </row>
    <row r="8" spans="1:13">
      <c r="A8" s="17501" t="s">
        <v>1</v>
      </c>
      <c r="B8" s="17502">
        <f>SUMIFS(Captura_Facturas_Mobil!$E:$E, Captura_Facturas_Mobil!$D:$D, A8, Captura_Facturas_Mobil!$N:$N, "&gt;=25", Captura_Facturas_Mobil!$N:$N, "&lt;"&amp;$B$3) - SUMIFS(Captura_Obra!$F:$F, Captura_Obra!$B:$B, A8, Captura_Obra!$M:$M, "&gt;=25", Captura_Obra!$M:$M, "&lt;"&amp;$B$3)</f>
        <v>225.01400000000012</v>
      </c>
      <c r="C8" s="17503">
        <f>SUMIFS(Captura_Facturas_Mobil!$E:$E, Captura_Facturas_Mobil!$D:$D, A8, Captura_Facturas_Mobil!$N:$N, $B$3)</f>
        <v>2513</v>
      </c>
      <c r="D8" s="17504">
        <f>SUMIFS(Captura_Obra!$F:$F, Captura_Obra!$B:$B, A8, Captura_Obra!$M:$M, $B$3)</f>
        <v>2488</v>
      </c>
      <c r="E8" s="17505">
        <f>(B8+C8)-D8</f>
        <v>250.01400000000012</v>
      </c>
      <c r="F8" s="17506">
        <f>B8+C8-D8</f>
        <v>250.01400000000012</v>
      </c>
      <c r="G8" s="17507">
        <f>IFERROR(D8/(B8+C8), 0)</f>
        <v>0.90868782993804997</v>
      </c>
      <c r="H8" s="17508">
        <f>SUMIFS(Captura_Horas!$G:$G, Captura_Horas!$C:$C, A8, Captura_Horas!$J:$J, $B$3)</f>
        <v>0</v>
      </c>
      <c r="I8" s="17509">
        <f>IFERROR(D8/H8, 0)</f>
        <v>0</v>
      </c>
      <c r="J8" s="17510"/>
      <c r="K8" s="17511"/>
      <c r="L8" s="17512"/>
    </row>
    <row r="9" spans="1:13">
      <c r="A9" s="17513" t="s">
        <v>400</v>
      </c>
      <c r="B9" s="17502">
        <f>SUMIFS(Captura_Pegaso!$G:$G, Captura_Pegaso!$M:$M, $B$3)</f>
        <v>6036.51</v>
      </c>
      <c r="C9" s="17503">
        <f>SUMIFS(Captura_Facturas_Mobil!$E:$E, Captura_Facturas_Mobil!$D:$D, A9, Captura_Facturas_Mobil!$N:$N, $B$3)</f>
        <v>0</v>
      </c>
      <c r="D9" s="17514">
        <f>SUMIFS(Captura_Obra!$F:$F, Captura_Obra!$B:$B, "Maquinaria Pegaso", Captura_Obra!$M:$M, $B$3)+SUMIFS(Captura_Obra!$F:$F, Captura_Obra!$B:$B, "Lerma - Tres Marías", Captura_Obra!$M:$M, $B$3)+SUMIFS(Captura_Obra!$F:$F, Captura_Obra!$B:$B, "Chamapa-Lechería", Captura_Obra!$M:$M, $B$3)+SUMIFS(Captura_Obra!$F:$F, Captura_Obra!$B:$B, "Bacheo Toluca", Captura_Obra!$M:$M, $B$3)+SUMIFS(Captura_Obra!$F:$F, Captura_Obra!$B:$B, "Dragones", Captura_Obra!$M:$M, $B$3)+SUMIFS(Captura_Obra!$F:$F, Captura_Obra!$B:$B, "Colegio Militar", Captura_Obra!$M:$M, $B$3)+SUMIFS(Captura_Obra!$F:$F, Captura_Obra!$B:$B, "NO DETECTADA", Captura_Obra!$M:$M, $B$3)</f>
        <v>4779</v>
      </c>
      <c r="E9" s="17505">
        <f t="shared" ref="E9:E10" si="0">(B9+C9)-D9</f>
        <v>1257.5100000000002</v>
      </c>
      <c r="F9" s="17515">
        <f>B9+C9-D9</f>
        <v>1257.5100000000002</v>
      </c>
      <c r="G9" s="17516">
        <f>IFERROR(D9/(B9+C9), 0)</f>
        <v>0.79168261131017759</v>
      </c>
      <c r="H9" s="17517">
        <f>SUMIFS(Captura_Horas!$G:$G, Captura_Horas!$C:$C, "Maquinaria Pegaso", Captura_Horas!$J:$J, $B$3)+SUMIFS(Captura_Horas!$G:$G, Captura_Horas!$C:$C, "Lerma - Tres Marías", Captura_Horas!$J:$J, $B$3)+SUMIFS(Captura_Horas!$G:$G, Captura_Horas!$C:$C, "Chamapa-Lechería", Captura_Horas!$J:$J, $B$3)+SUMIFS(Captura_Horas!$G:$G, Captura_Horas!$C:$C, "Bacheo Toluca", Captura_Horas!$J:$J, $B$3)+SUMIFS(Captura_Horas!$G:$G, Captura_Horas!$C:$C, "Dragones", Captura_Horas!$J:$J, $B$3)+SUMIFS(Captura_Horas!$G:$G, Captura_Horas!$C:$C, "Colegio Militar", Captura_Horas!$J:$J, $B$3)+SUMIFS(Captura_Horas!$G:$G, Captura_Horas!$C:$C, "NO DETECTADA", Captura_Horas!$J:$J, $B$3)</f>
        <v>0</v>
      </c>
      <c r="I9" s="17518">
        <f>IFERROR(D9/H9, 0)</f>
        <v>0</v>
      </c>
      <c r="J9" s="17519"/>
      <c r="K9" s="17520"/>
      <c r="L9" s="17521"/>
    </row>
    <row r="10" spans="1:13">
      <c r="A10" s="17522" t="s">
        <v>124</v>
      </c>
      <c r="B10" s="17502">
        <f>SUMIFS(Captura_Facturas_Mobil!$E:$E, Captura_Facturas_Mobil!$D:$D, A10, Captura_Facturas_Mobil!$N:$N, "&gt;=25", Captura_Facturas_Mobil!$N:$N, "&lt;"&amp;$B$3) - SUMIFS(Captura_Obra!$F:$F, Captura_Obra!$B:$B, A10, Captura_Obra!$M:$M, "&gt;=25", Captura_Obra!$M:$M, "&lt;"&amp;$B$3)</f>
        <v>900.01600000000008</v>
      </c>
      <c r="C10" s="17503">
        <f>SUMIFS(Captura_Facturas_Mobil!$E:$E, Captura_Facturas_Mobil!$D:$D, A10, Captura_Facturas_Mobil!$N:$N, $B$3)</f>
        <v>400</v>
      </c>
      <c r="D10" s="17523">
        <f>SUMIFS(Captura_Obra!$F:$F, Captura_Obra!$B:$B, A10, Captura_Obra!$M:$M, $B$3)</f>
        <v>1050</v>
      </c>
      <c r="E10" s="17505">
        <f t="shared" si="0"/>
        <v>250.01600000000008</v>
      </c>
      <c r="F10" s="17524">
        <f>B10+C10-D10</f>
        <v>250.01600000000008</v>
      </c>
      <c r="G10" s="17525">
        <f>IFERROR(D10/(B10+C10), 0)</f>
        <v>0.8076823669862524</v>
      </c>
      <c r="H10" s="17526">
        <f>SUMIFS(Captura_Horas!$G:$G, Captura_Horas!$C:$C, A10, Captura_Horas!$J:$J, $B$3)</f>
        <v>0</v>
      </c>
      <c r="I10" s="17527">
        <f>IFERROR(D10/H10, 0)</f>
        <v>0</v>
      </c>
      <c r="J10" s="17528"/>
      <c r="K10" s="17529"/>
      <c r="L10" s="17530"/>
    </row>
    <row r="11" spans="1:13">
      <c r="A11" s="17531" t="s">
        <v>174</v>
      </c>
      <c r="B11" s="17532">
        <f>SUM(B8:B10)</f>
        <v>7161.5400000000009</v>
      </c>
      <c r="C11" s="17533">
        <f>SUM(C8:C10)</f>
        <v>2913</v>
      </c>
      <c r="D11" s="17534">
        <f>SUM(D8:D10)</f>
        <v>8317</v>
      </c>
      <c r="E11" s="17535">
        <f>SUM(E8:E10)</f>
        <v>1757.5400000000004</v>
      </c>
      <c r="F11" s="17536">
        <f>SUM(F8:F10)</f>
        <v>1757.5400000000004</v>
      </c>
      <c r="G11" s="17537">
        <f>IFERROR(D11/(B11+C11), 0)</f>
        <v>0.82554637730357905</v>
      </c>
      <c r="H11" s="17538">
        <f>SUM(H8:H10)</f>
        <v>0</v>
      </c>
      <c r="I11" s="17539">
        <f>IFERROR(D11/H11, 0)</f>
        <v>0</v>
      </c>
      <c r="J11" s="17540"/>
      <c r="K11" s="17541"/>
      <c r="L11" s="17542"/>
    </row>
    <row r="12" spans="1:13">
      <c r="A12" s="17543"/>
      <c r="B12" s="17544"/>
      <c r="C12" s="17545"/>
      <c r="D12" s="17546"/>
      <c r="E12" s="17547"/>
      <c r="F12" s="17548"/>
      <c r="G12" s="17549"/>
      <c r="H12" s="17550"/>
      <c r="I12" s="17551"/>
      <c r="J12" s="17552"/>
      <c r="K12" s="17553"/>
      <c r="L12" s="17554"/>
    </row>
    <row r="13" spans="1:13">
      <c r="A13" s="17555"/>
      <c r="B13" s="17556"/>
      <c r="C13" s="17557"/>
      <c r="D13" s="17558"/>
      <c r="E13" s="17559"/>
      <c r="F13" s="17560"/>
      <c r="G13" s="17561"/>
      <c r="H13" s="17562"/>
      <c r="I13" s="17563"/>
      <c r="J13" s="17564"/>
      <c r="K13" s="17565"/>
      <c r="L13" s="17566"/>
    </row>
    <row r="14" spans="1:13">
      <c r="A14" s="18030" t="s">
        <v>797</v>
      </c>
      <c r="B14" s="18031"/>
      <c r="C14" s="18032"/>
      <c r="D14" s="18033"/>
      <c r="E14" s="18034"/>
      <c r="F14" s="18035"/>
      <c r="G14" s="18036"/>
      <c r="H14" s="17567"/>
      <c r="I14" s="17568"/>
      <c r="J14" s="17569"/>
      <c r="K14" s="17570"/>
      <c r="L14" s="17571"/>
    </row>
    <row r="15" spans="1:13" ht="57.6">
      <c r="A15" s="17572" t="s">
        <v>425</v>
      </c>
      <c r="B15" s="17573" t="s">
        <v>811</v>
      </c>
      <c r="C15" s="17574" t="s">
        <v>812</v>
      </c>
      <c r="D15" s="17575" t="s">
        <v>813</v>
      </c>
      <c r="E15" s="17576" t="s">
        <v>774</v>
      </c>
      <c r="F15" s="17577"/>
      <c r="G15" s="17578"/>
      <c r="H15" s="17579"/>
      <c r="I15" s="17580"/>
      <c r="J15" s="17581"/>
      <c r="K15" s="17582"/>
      <c r="L15" s="17583"/>
    </row>
    <row r="16" spans="1:13" ht="14.4">
      <c r="A16" s="17584" t="s">
        <v>1</v>
      </c>
      <c r="B16" s="17585">
        <f>SUMIFS(Captura_Facturas_Mobil!$G:$G, Captura_Facturas_Mobil!$D:$D, A16, Captura_Facturas_Mobil!$N:$N, $B$3)</f>
        <v>68870.16</v>
      </c>
      <c r="C16" s="17586">
        <f>D8 * $E$3</f>
        <v>67176</v>
      </c>
      <c r="D16" s="17587">
        <f>B16-C16</f>
        <v>1694.1600000000035</v>
      </c>
      <c r="E16" s="17588" t="str">
        <f>IF(F8&lt;0,"🚨 Consumo excedió combustible disponible",IF(AND(B16=0,C16&gt;0),"📦 Consumo de Reserva (Tanque Vaciado)",IF(B16+C16=0,"",IF(D16&gt;100,"⚠️ Combustible en almacén","✅ Operación Cuadrada"))))</f>
        <v>⚠️ Combustible en almacén</v>
      </c>
      <c r="F16" s="17589"/>
      <c r="G16" s="17590"/>
      <c r="H16" s="17591"/>
      <c r="I16" s="17592"/>
      <c r="J16" s="17593"/>
      <c r="K16" s="17594"/>
      <c r="L16" s="17595"/>
    </row>
    <row r="17" spans="1:12">
      <c r="A17" s="17596" t="s">
        <v>400</v>
      </c>
      <c r="B17" s="17585">
        <f>SUMIFS(Captura_Facturas_Mobil!$G:$G, Captura_Facturas_Mobil!$D:$D, A17, Captura_Facturas_Mobil!$N:$N, $B$3)</f>
        <v>0</v>
      </c>
      <c r="C17" s="17597">
        <f>D9 * $E$3</f>
        <v>129033</v>
      </c>
      <c r="D17" s="17598">
        <f>B17-C17</f>
        <v>-129033</v>
      </c>
      <c r="E17" s="17599" t="str">
        <f>IF(F9&lt;0,"🚨 Consumo excedió combustible disponible",IF(AND(B17=0,C17&gt;0),"📦 Consumo de Reserva (Tanque Vaciado)",IF(B17+C17=0,"",IF(D17&gt;100,"⚠️ Combustible en almacén","✅ Operación Cuadrada"))))</f>
        <v>📦 Consumo de Reserva (Tanque Vaciado)</v>
      </c>
      <c r="F17" s="17600"/>
      <c r="G17" s="17601"/>
      <c r="H17" s="17602"/>
      <c r="I17" s="17603"/>
      <c r="J17" s="17604"/>
      <c r="K17" s="17605"/>
      <c r="L17" s="17606"/>
    </row>
    <row r="18" spans="1:12">
      <c r="A18" s="17607" t="s">
        <v>124</v>
      </c>
      <c r="B18" s="17585">
        <f>SUMIFS(Captura_Facturas_Mobil!$G:$G, Captura_Facturas_Mobil!$D:$D, A18, Captura_Facturas_Mobil!$N:$N, $B$3)</f>
        <v>17700.099999999999</v>
      </c>
      <c r="C18" s="17608">
        <f>D10 * $E$3</f>
        <v>28350</v>
      </c>
      <c r="D18" s="17609">
        <f>B18-C18</f>
        <v>-10649.900000000001</v>
      </c>
      <c r="E18" s="17610" t="str">
        <f>IF(F10&lt;0,"🚨 Consumo excedió combustible disponible",IF(AND(B18=0,C18&gt;0),"📦 Consumo de Reserva (Tanque Vaciado)",IF(B18+C18=0,"",IF(D18&gt;100,"⚠️ Combustible en almacén","✅ Operación Cuadrada"))))</f>
        <v>✅ Operación Cuadrada</v>
      </c>
      <c r="F18" s="17611"/>
      <c r="G18" s="17612"/>
      <c r="H18" s="17613"/>
      <c r="I18" s="17614"/>
      <c r="J18" s="17615"/>
      <c r="K18" s="17616"/>
      <c r="L18" s="17617"/>
    </row>
    <row r="19" spans="1:12">
      <c r="A19" s="17618" t="s">
        <v>174</v>
      </c>
      <c r="B19" s="17619">
        <f>SUM(B16:B18)</f>
        <v>86570.260000000009</v>
      </c>
      <c r="C19" s="17620">
        <f>SUM(C16:C18)</f>
        <v>224559</v>
      </c>
      <c r="D19" s="17621">
        <f>SUM(D16:D18)</f>
        <v>-137988.74</v>
      </c>
      <c r="E19" s="17622"/>
      <c r="F19" s="17623"/>
      <c r="G19" s="17624"/>
      <c r="H19" s="17625"/>
      <c r="I19" s="17626"/>
      <c r="J19" s="17627"/>
      <c r="K19" s="17628"/>
      <c r="L19" s="17629"/>
    </row>
    <row r="20" spans="1:12">
      <c r="A20" s="17630"/>
      <c r="B20" s="17631"/>
      <c r="C20" s="17632"/>
      <c r="D20" s="17633"/>
      <c r="E20" s="17634"/>
      <c r="F20" s="17635"/>
      <c r="G20" s="17636"/>
      <c r="H20" s="17637"/>
      <c r="I20" s="17638"/>
      <c r="J20" s="17639"/>
      <c r="K20" s="17640"/>
      <c r="L20" s="17641"/>
    </row>
    <row r="21" spans="1:12">
      <c r="A21" s="17642"/>
      <c r="B21" s="17643"/>
      <c r="C21" s="17644"/>
      <c r="D21" s="17645"/>
      <c r="E21" s="17646"/>
      <c r="F21" s="17647"/>
      <c r="G21" s="17648"/>
      <c r="H21" s="17649"/>
      <c r="I21" s="17650"/>
      <c r="J21" s="17651"/>
      <c r="K21" s="17652"/>
      <c r="L21" s="17653"/>
    </row>
    <row r="22" spans="1:12">
      <c r="A22" s="16633"/>
      <c r="B22" s="16634"/>
      <c r="C22" s="16635"/>
      <c r="D22" s="16636"/>
      <c r="E22" s="16637"/>
      <c r="F22" s="16638"/>
      <c r="G22" s="16639"/>
      <c r="H22" s="16640"/>
      <c r="I22" s="16641"/>
      <c r="J22" s="16642"/>
      <c r="K22" s="16643"/>
      <c r="L22" s="16644"/>
    </row>
    <row r="23" spans="1:12">
      <c r="A23" s="16645"/>
      <c r="B23" s="16646"/>
      <c r="C23" s="16647"/>
      <c r="D23" s="16648"/>
      <c r="E23" s="16649"/>
      <c r="F23" s="16650"/>
      <c r="G23" s="16651"/>
      <c r="H23" s="16652"/>
      <c r="I23" s="16653"/>
      <c r="J23" s="16654"/>
      <c r="K23" s="16655"/>
      <c r="L23" s="16656"/>
    </row>
    <row r="24" spans="1:12">
      <c r="A24" s="18037" t="s">
        <v>780</v>
      </c>
      <c r="B24" s="18038"/>
      <c r="C24" s="18039"/>
      <c r="D24" s="18040"/>
      <c r="E24" s="18041"/>
      <c r="F24" s="18042"/>
      <c r="G24" s="18043"/>
      <c r="H24" s="18044"/>
      <c r="I24" s="18045"/>
      <c r="J24" s="16657"/>
      <c r="K24" s="16658"/>
      <c r="L24" s="16659"/>
    </row>
    <row r="25" spans="1:12" ht="28.8">
      <c r="A25" s="16660" t="s">
        <v>183</v>
      </c>
      <c r="B25" s="16661" t="s">
        <v>192</v>
      </c>
      <c r="C25" s="16662" t="s">
        <v>184</v>
      </c>
      <c r="D25" s="16663" t="s">
        <v>185</v>
      </c>
      <c r="E25" s="16664" t="s">
        <v>186</v>
      </c>
      <c r="F25" s="16665" t="s">
        <v>191</v>
      </c>
      <c r="G25" s="16666" t="s">
        <v>193</v>
      </c>
      <c r="H25" s="16667" t="s">
        <v>194</v>
      </c>
      <c r="I25" s="16668" t="s">
        <v>781</v>
      </c>
      <c r="J25" s="16669"/>
      <c r="K25" s="16670"/>
      <c r="L25" s="16671"/>
    </row>
    <row r="26" spans="1:12">
      <c r="A26" s="16672">
        <v>46167</v>
      </c>
      <c r="B26" s="16673">
        <f>Captura_Jalisco!K5</f>
        <v>21600</v>
      </c>
      <c r="C26" s="16674">
        <f>SUMIFS(Captura_Jalisco!$G:$G, Captura_Jalisco!$B:$B, "Salida", Captura_Jalisco!$A:$A, "&gt;="&amp;A26, Captura_Jalisco!$A:$A, "&lt;="&amp;(A26+6))</f>
        <v>556</v>
      </c>
      <c r="D26" s="16675">
        <f>$E$3</f>
        <v>27</v>
      </c>
      <c r="E26" s="16676">
        <f>C26*D26</f>
        <v>15012</v>
      </c>
      <c r="F26" s="16677">
        <f>SUMIFS(Captura_Jalisco!$N:$N, Captura_Jalisco!$A:$A, "&gt;="&amp;A26, Captura_Jalisco!$A:$A, "&lt;="&amp;(A26+6))</f>
        <v>0</v>
      </c>
      <c r="G26" s="16678">
        <f>B26-E26-F26</f>
        <v>6588</v>
      </c>
      <c r="H26" s="16818">
        <v>25056</v>
      </c>
      <c r="I26" s="16679">
        <f>C26</f>
        <v>556</v>
      </c>
      <c r="J26" s="16680"/>
      <c r="K26" s="16681"/>
      <c r="L26" s="16682"/>
    </row>
    <row r="27" spans="1:12">
      <c r="A27" s="16683">
        <v>46174</v>
      </c>
      <c r="B27" s="16684">
        <f>G26+H26</f>
        <v>31644</v>
      </c>
      <c r="C27" s="16685">
        <f>SUMIFS(Captura_Jalisco!$G:$G, Captura_Jalisco!$B:$B, "Salida", Captura_Jalisco!$A:$A, "&gt;="&amp;A27, Captura_Jalisco!$A:$A, "&lt;="&amp;(A27+6))</f>
        <v>824</v>
      </c>
      <c r="D27" s="16686">
        <f>$E$3</f>
        <v>27</v>
      </c>
      <c r="E27" s="16687">
        <f>C27*D27</f>
        <v>22248</v>
      </c>
      <c r="F27" s="16688">
        <f>SUMIFS(Captura_Jalisco!$N:$N, Captura_Jalisco!$A:$A, "&gt;="&amp;A27, Captura_Jalisco!$A:$A, "&lt;="&amp;(A27+6))</f>
        <v>3000</v>
      </c>
      <c r="G27" s="16689">
        <f>B27-E27-F27</f>
        <v>6396</v>
      </c>
      <c r="H27" s="16690">
        <v>31320</v>
      </c>
      <c r="I27" s="16691">
        <f>I26+C27</f>
        <v>1380</v>
      </c>
      <c r="J27" s="16692"/>
      <c r="K27" s="16693"/>
      <c r="L27" s="16694"/>
    </row>
    <row r="28" spans="1:12">
      <c r="A28" s="16695">
        <v>46181</v>
      </c>
      <c r="B28" s="16819">
        <f t="shared" ref="B28:B30" si="1">G27+H27</f>
        <v>37716</v>
      </c>
      <c r="C28" s="16696">
        <f>SUMIFS(Captura_Jalisco!$G:$G, Captura_Jalisco!$B:$B, "Salida", Captura_Jalisco!$A:$A, "&gt;="&amp;A28, Captura_Jalisco!$A:$A, "&lt;="&amp;(A28+6))</f>
        <v>180</v>
      </c>
      <c r="D28" s="16697">
        <f>$E$3</f>
        <v>27</v>
      </c>
      <c r="E28" s="16698">
        <f>C28*D28</f>
        <v>4860</v>
      </c>
      <c r="F28" s="16699">
        <f>SUMIFS(Captura_Jalisco!$N:$N, Captura_Jalisco!$A:$A, "&gt;="&amp;A28, Captura_Jalisco!$A:$A, "&lt;="&amp;(A28+6))</f>
        <v>1556</v>
      </c>
      <c r="G28" s="16700">
        <f>B28-E28-F28</f>
        <v>31300</v>
      </c>
      <c r="H28" s="16701">
        <v>0</v>
      </c>
      <c r="I28" s="16702">
        <f>I27+C28</f>
        <v>1560</v>
      </c>
      <c r="J28" s="16703"/>
      <c r="K28" s="16704"/>
      <c r="L28" s="16705"/>
    </row>
    <row r="29" spans="1:12">
      <c r="A29" s="16706">
        <v>46188</v>
      </c>
      <c r="B29" s="16684">
        <f t="shared" si="1"/>
        <v>31300</v>
      </c>
      <c r="C29" s="16707">
        <f>SUMIFS(Captura_Jalisco!$G:$G, Captura_Jalisco!$B:$B, "Salida", Captura_Jalisco!$A:$A, "&gt;="&amp;A29, Captura_Jalisco!$A:$A, "&lt;="&amp;(A29+6))</f>
        <v>930</v>
      </c>
      <c r="D29" s="16708">
        <f>$E$3</f>
        <v>27</v>
      </c>
      <c r="E29" s="16709">
        <f>C29*D29</f>
        <v>25110</v>
      </c>
      <c r="F29" s="16710">
        <v>5660</v>
      </c>
      <c r="G29" s="16711">
        <f>B29-E29-F29</f>
        <v>530</v>
      </c>
      <c r="H29" s="16712">
        <v>40500</v>
      </c>
      <c r="I29" s="16713">
        <f>I28+C29</f>
        <v>2490</v>
      </c>
      <c r="J29" s="16714"/>
      <c r="K29" s="16715"/>
      <c r="L29" s="16716"/>
    </row>
    <row r="30" spans="1:12">
      <c r="A30" s="16717">
        <v>46195</v>
      </c>
      <c r="B30" s="16820">
        <f t="shared" si="1"/>
        <v>41030</v>
      </c>
      <c r="C30" s="16718">
        <f>SUMIFS(Captura_Jalisco!$G:$G, Captura_Jalisco!$B:$B, "Salida", Captura_Jalisco!$A:$A, "&gt;="&amp;A30, Captura_Jalisco!$A:$A, "&lt;="&amp;(A30+6))</f>
        <v>1338</v>
      </c>
      <c r="D30" s="16719">
        <f>$E$3</f>
        <v>27</v>
      </c>
      <c r="E30" s="16720">
        <f>C30*D30</f>
        <v>36126</v>
      </c>
      <c r="F30" s="16721">
        <v>3000</v>
      </c>
      <c r="G30" s="16722">
        <f>B30-E30-F30</f>
        <v>1904</v>
      </c>
      <c r="H30" s="16723">
        <v>0</v>
      </c>
      <c r="I30" s="16724">
        <f>I29+C30</f>
        <v>3828</v>
      </c>
      <c r="J30" s="16725"/>
      <c r="K30" s="16726"/>
      <c r="L30" s="16727"/>
    </row>
    <row r="31" spans="1:12">
      <c r="A31" s="16728" t="s">
        <v>187</v>
      </c>
      <c r="B31" s="16729">
        <f>B26</f>
        <v>21600</v>
      </c>
      <c r="C31" s="16730">
        <f>SUM(C26:C30)</f>
        <v>3828</v>
      </c>
      <c r="D31" s="16731"/>
      <c r="E31" s="16732">
        <f>SUM(E26:E30)</f>
        <v>103356</v>
      </c>
      <c r="F31" s="16733">
        <f>SUM(F26:F30)</f>
        <v>13216</v>
      </c>
      <c r="G31" s="16734">
        <f>G30</f>
        <v>1904</v>
      </c>
      <c r="H31" s="16735">
        <f>SUM(H26:H30)</f>
        <v>96876</v>
      </c>
      <c r="I31" s="16736">
        <f>I30</f>
        <v>3828</v>
      </c>
      <c r="J31" s="16737"/>
      <c r="K31" s="16738"/>
      <c r="L31" s="16739"/>
    </row>
    <row r="32" spans="1:12">
      <c r="A32" s="16740"/>
      <c r="B32" s="16741"/>
      <c r="C32" s="16742"/>
      <c r="D32" s="16743"/>
      <c r="E32" s="16744"/>
      <c r="F32" s="16745"/>
      <c r="G32" s="16746"/>
      <c r="H32" s="16747"/>
      <c r="I32" s="16748"/>
      <c r="J32" s="16749"/>
      <c r="K32" s="16750"/>
      <c r="L32" s="16751"/>
    </row>
    <row r="33" spans="1:12">
      <c r="A33" s="16752"/>
      <c r="B33" s="16753"/>
      <c r="C33" s="16754"/>
      <c r="D33" s="16755"/>
      <c r="E33" s="16756"/>
      <c r="F33" s="16757"/>
      <c r="G33" s="16758"/>
      <c r="H33" s="16759"/>
      <c r="I33" s="16760"/>
      <c r="J33" s="16761"/>
      <c r="K33" s="16762"/>
      <c r="L33" s="16763"/>
    </row>
    <row r="34" spans="1:12">
      <c r="A34" s="18015" t="s">
        <v>782</v>
      </c>
      <c r="B34" s="18016"/>
      <c r="C34" s="18017"/>
      <c r="D34" s="18018"/>
      <c r="E34" s="18019"/>
      <c r="F34" s="18020"/>
      <c r="G34" s="16764"/>
      <c r="H34" s="16765"/>
      <c r="I34" s="16766"/>
      <c r="J34" s="16767"/>
      <c r="K34" s="16768"/>
      <c r="L34" s="16769"/>
    </row>
    <row r="35" spans="1:12" ht="43.2">
      <c r="A35" s="16770" t="s">
        <v>460</v>
      </c>
      <c r="B35" s="16771" t="s">
        <v>783</v>
      </c>
      <c r="C35" s="16772" t="s">
        <v>784</v>
      </c>
      <c r="D35" s="16773" t="s">
        <v>785</v>
      </c>
      <c r="E35" s="16774" t="s">
        <v>786</v>
      </c>
      <c r="F35" s="16775" t="s">
        <v>787</v>
      </c>
      <c r="G35" s="16776"/>
      <c r="H35" s="16777"/>
      <c r="I35" s="16778"/>
      <c r="J35" s="16779"/>
      <c r="K35" s="16780"/>
      <c r="L35" s="16781"/>
    </row>
    <row r="36" spans="1:12">
      <c r="A36" s="16782" t="s">
        <v>788</v>
      </c>
      <c r="B36" s="16783">
        <v>0</v>
      </c>
      <c r="C36" s="16784">
        <f>SUMIFS(Captura_Pegaso!$G:$G, Captura_Pegaso!$B:$B, "Entrada", Captura_Pegaso!$M:$M, 25)</f>
        <v>0</v>
      </c>
      <c r="D36" s="16785">
        <f>SUMIFS(Captura_Obra!$F:$F, Captura_Obra!$M:$M, 25, Captura_Obra!$B:$B, "Maquinaria Pegaso")+SUMIFS(Captura_Obra!$F:$F, Captura_Obra!$M:$M, 25, Captura_Obra!$B:$B, "Lerma - Tres Marías")+SUMIFS(Captura_Obra!$F:$F, Captura_Obra!$M:$M, 25, Captura_Obra!$B:$B, "Chamapa-Lechería")+SUMIFS(Captura_Obra!$F:$F, Captura_Obra!$M:$M, 25, Captura_Obra!$B:$B, "Bacheo Toluca")+SUMIFS(Captura_Obra!$F:$F, Captura_Obra!$M:$M, 25, Captura_Obra!$B:$B, "Dragones")+SUMIFS(Captura_Obra!$F:$F, Captura_Obra!$M:$M, 25, Captura_Obra!$B:$B, "Colegio Militar")+SUMIFS(Captura_Obra!$F:$F, Captura_Obra!$M:$M, 25, Captura_Obra!$B:$B, "NO DETECTADA")</f>
        <v>3436</v>
      </c>
      <c r="E36" s="16786">
        <f>B36+C36-D36</f>
        <v>-3436</v>
      </c>
      <c r="F36" s="16787" t="str">
        <f>IF(E36&lt;=50, "📭 VACÍO (Reserva Agotada)", "🔋 Con Reserva (" &amp; TEXT(E36, "#,##0") &amp; " L)")</f>
        <v>📭 VACÍO (Reserva Agotada)</v>
      </c>
      <c r="G36" s="16788"/>
      <c r="H36" s="16789"/>
      <c r="I36" s="16790"/>
      <c r="J36" s="16791"/>
      <c r="K36" s="16792"/>
      <c r="L36" s="16793"/>
    </row>
    <row r="37" spans="1:12">
      <c r="A37" s="16794" t="s">
        <v>789</v>
      </c>
      <c r="B37" s="16795">
        <v>6036.15</v>
      </c>
      <c r="C37" s="16796">
        <v>0</v>
      </c>
      <c r="D37" s="16797">
        <f>SUMIFS(Captura_Obra!$F:$F, Captura_Obra!$M:$M, 26, Captura_Obra!$B:$B, "Maquinaria Pegaso")+SUMIFS(Captura_Obra!$F:$F, Captura_Obra!$M:$M, 26, Captura_Obra!$B:$B, "Lerma - Tres Marías")+SUMIFS(Captura_Obra!$F:$F, Captura_Obra!$M:$M, 26, Captura_Obra!$B:$B, "Chamapa-Lechería")+SUMIFS(Captura_Obra!$F:$F, Captura_Obra!$M:$M, 26, Captura_Obra!$B:$B, "Bacheo Toluca")+SUMIFS(Captura_Obra!$F:$F, Captura_Obra!$M:$M, 26, Captura_Obra!$B:$B, "Dragones")+SUMIFS(Captura_Obra!$F:$F, Captura_Obra!$M:$M, 26, Captura_Obra!$B:$B, "Colegio Militar")+SUMIFS(Captura_Obra!$F:$F, Captura_Obra!$M:$M, 26, Captura_Obra!$B:$B, "NO DETECTADA")</f>
        <v>4779</v>
      </c>
      <c r="E37" s="16798">
        <f>B37+C37-D37</f>
        <v>1257.1499999999996</v>
      </c>
      <c r="F37" s="16799" t="str">
        <f>IF(E37&lt;=50, "📭 VACÍO (Reserva Agotada)", "🔋 Con Reserva (" &amp; TEXT(E37, "#,##0") &amp; " L)")</f>
        <v>🔋 Con Reserva (1,257 L)</v>
      </c>
      <c r="G37" s="16800"/>
      <c r="H37" s="16801"/>
      <c r="I37" s="16802"/>
      <c r="J37" s="16803"/>
      <c r="K37" s="16804"/>
      <c r="L37" s="16805"/>
    </row>
    <row r="38" spans="1:12">
      <c r="A38" s="16821" t="s">
        <v>790</v>
      </c>
      <c r="B38" s="16822">
        <f>E37</f>
        <v>1257.1499999999996</v>
      </c>
      <c r="C38" s="16823">
        <f>SUMIFS(Captura_Pegaso!$G:$G, Captura_Pegaso!$B:$B, "Entrada", Captura_Pegaso!$M:$M, 27)</f>
        <v>0</v>
      </c>
      <c r="D38" s="16824">
        <f>SUMIFS(Captura_Obra!$F:$F, Captura_Obra!$M:$M, 27, Captura_Obra!$B:$B, "Maquinaria Pegaso")+SUMIFS(Captura_Obra!$F:$F, Captura_Obra!$M:$M, 27, Captura_Obra!$B:$B, "Lerma - Tres Marías")+SUMIFS(Captura_Obra!$F:$F, Captura_Obra!$M:$M, 27, Captura_Obra!$B:$B, "Chamapa-Lechería")+SUMIFS(Captura_Obra!$F:$F, Captura_Obra!$M:$M, 27, Captura_Obra!$B:$B, "Bacheo Toluca")+SUMIFS(Captura_Obra!$F:$F, Captura_Obra!$M:$M, 27, Captura_Obra!$B:$B, "Dragones")+SUMIFS(Captura_Obra!$F:$F, Captura_Obra!$M:$M, 27, Captura_Obra!$B:$B, "Colegio Militar")+SUMIFS(Captura_Obra!$F:$F, Captura_Obra!$M:$M, 27, Captura_Obra!$B:$B, "NO DETECTADA")</f>
        <v>1452</v>
      </c>
      <c r="E38" s="16825">
        <f>B38+C38-D38</f>
        <v>-194.85000000000036</v>
      </c>
      <c r="F38" s="16826" t="str">
        <f>IF(E38&lt;=50, "📭 VACÍO (Reserva Agotada)", "🔋 Con Reserva (" &amp; TEXT(E38, "#,##0") &amp; " L)")</f>
        <v>📭 VACÍO (Reserva Agotada)</v>
      </c>
      <c r="G38" s="16806"/>
      <c r="H38" s="16807"/>
      <c r="I38" s="16808"/>
      <c r="J38" s="16809"/>
      <c r="K38" s="16810"/>
      <c r="L38" s="16811"/>
    </row>
    <row r="39" spans="1:12">
      <c r="A39" s="16827"/>
      <c r="B39" s="16828"/>
      <c r="C39" s="16829"/>
      <c r="D39" s="16830"/>
      <c r="E39" s="16831"/>
      <c r="F39" s="16832"/>
      <c r="G39" s="16812"/>
      <c r="H39" s="16813"/>
      <c r="I39" s="16814"/>
      <c r="J39" s="16815"/>
      <c r="K39" s="16816"/>
      <c r="L39" s="16817"/>
    </row>
    <row r="40" spans="1:12">
      <c r="A40" s="17295"/>
      <c r="B40" s="17296"/>
      <c r="C40" s="17297"/>
      <c r="D40" s="17298"/>
      <c r="E40" s="17299"/>
      <c r="F40" s="17300"/>
      <c r="G40" s="17301"/>
      <c r="H40" s="17302"/>
      <c r="I40" s="17303"/>
      <c r="J40" s="17304"/>
      <c r="K40" s="17305"/>
      <c r="L40" s="17306"/>
    </row>
    <row r="41" spans="1:12">
      <c r="A41" s="18007" t="s">
        <v>796</v>
      </c>
      <c r="B41" s="18008"/>
      <c r="C41" s="18009"/>
      <c r="D41" s="18010"/>
      <c r="E41" s="18011"/>
      <c r="F41" s="18012"/>
      <c r="G41" s="18013"/>
      <c r="H41" s="18014"/>
      <c r="I41" s="17307"/>
      <c r="J41" s="17308"/>
      <c r="K41" s="17309"/>
      <c r="L41" s="17310"/>
    </row>
    <row r="42" spans="1:12" ht="28.8">
      <c r="A42" s="17998" t="s">
        <v>824</v>
      </c>
      <c r="B42" s="17999" t="s">
        <v>791</v>
      </c>
      <c r="C42" s="18000" t="s">
        <v>792</v>
      </c>
      <c r="D42" s="18001" t="s">
        <v>793</v>
      </c>
      <c r="E42" s="18002" t="s">
        <v>794</v>
      </c>
      <c r="F42" s="18003" t="s">
        <v>788</v>
      </c>
      <c r="G42" s="18004" t="s">
        <v>789</v>
      </c>
      <c r="H42" s="18005" t="s">
        <v>795</v>
      </c>
      <c r="I42" s="18006"/>
      <c r="J42" s="17311"/>
      <c r="K42" s="17312"/>
      <c r="L42" s="17313"/>
    </row>
    <row r="43" spans="1:12" ht="28.8">
      <c r="A43" s="17668" t="s">
        <v>425</v>
      </c>
      <c r="B43" s="17669" t="s">
        <v>134</v>
      </c>
      <c r="C43" s="17670" t="s">
        <v>825</v>
      </c>
      <c r="D43" s="17671" t="s">
        <v>826</v>
      </c>
      <c r="E43" s="17672" t="s">
        <v>827</v>
      </c>
      <c r="F43" s="17673" t="s">
        <v>828</v>
      </c>
      <c r="G43" s="17674" t="s">
        <v>829</v>
      </c>
      <c r="H43" s="17675" t="s">
        <v>830</v>
      </c>
      <c r="I43" s="17676" t="s">
        <v>831</v>
      </c>
      <c r="J43" s="17677" t="s">
        <v>832</v>
      </c>
      <c r="K43" s="17314"/>
      <c r="L43" s="17315"/>
    </row>
    <row r="44" spans="1:12">
      <c r="A44" s="17655" t="s">
        <v>1</v>
      </c>
      <c r="B44" s="17678">
        <f>SUMIFS(Solicitudes!$F:$F, Solicitudes!$B:$B, A44, Solicitudes!$K:$K, $B$3)</f>
        <v>2900</v>
      </c>
      <c r="C44" s="17679">
        <f>IF($B$3=26, 2750, 0)</f>
        <v>2750</v>
      </c>
      <c r="D44" s="17680">
        <f>SUMIFS(Captura_Obra!$F:$F, Captura_Obra!$B:$B, A44, Captura_Obra!$M:$M, $B$3)</f>
        <v>2488</v>
      </c>
      <c r="E44" s="17681">
        <f>STDEV(SUMIFS(Captura_Obra!$F:$F,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  <v>327.95012687036075</v>
      </c>
      <c r="F44" s="17682">
        <f t="shared" ref="F44:F49" si="2">IF(B44&gt;0, (D44-B44)/B44, 0)</f>
        <v>-0.14206896551724138</v>
      </c>
      <c r="G44" s="17683">
        <f t="shared" ref="G44:G49" si="3">IF(C44&gt;0, (D44-C44)/C44, 0)</f>
        <v>-9.5272727272727273E-2</v>
      </c>
      <c r="H44" s="17684">
        <f>AVERAGE(SUMIFS(Solicitudes!$F:$F, Solicitudes!$B:$B, A44, Solicitudes!$C:$C, $M$2+0), SUMIFS(Solicitudes!$F:$F, Solicitudes!$B:$B, A44, Solicitudes!$C:$C, $M$2+1), SUMIFS(Solicitudes!$F:$F, Solicitudes!$B:$B, A44, Solicitudes!$C:$C, $M$2+2), SUMIFS(Solicitudes!$F:$F, Solicitudes!$B:$B, A44, Solicitudes!$C:$C, $M$2+3), SUMIFS(Solicitudes!$F:$F, Solicitudes!$B:$B, A44, Solicitudes!$C:$C, $M$2+4), SUMIFS(Solicitudes!$F:$F, Solicitudes!$B:$B, A44, Solicitudes!$C:$C, $M$2+5), SUMIFS(Solicitudes!$F:$F, Solicitudes!$B:$B, A44, Solicitudes!$C:$C, $M$2+6))</f>
        <v>414.28571428571428</v>
      </c>
      <c r="I44" s="17685">
        <f t="shared" ref="I44:I49" si="4">IF(C44&gt;0, C44/6, 0)</f>
        <v>458.33333333333331</v>
      </c>
      <c r="J44" s="17686">
        <f>AVERAGE(SUMIFS(Captura_Obra!$F:$F,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  <v>355.42857142857144</v>
      </c>
      <c r="K44" s="17316"/>
      <c r="L44" s="17317"/>
    </row>
    <row r="45" spans="1:12">
      <c r="A45" s="17656" t="s">
        <v>124</v>
      </c>
      <c r="B45" s="17687">
        <f>SUMIFS(Solicitudes!$F:$F, Solicitudes!$B:$B, "*Huixquilucan*", Solicitudes!$K:$K, $B$3)</f>
        <v>3100</v>
      </c>
      <c r="C45" s="17688">
        <f>IF($B$3=26, 2500, 0)</f>
        <v>2500</v>
      </c>
      <c r="D45" s="17689">
        <f>SUMIFS(Captura_Obra!$F:$F, Captura_Obra!$B:$B, A45, Captura_Obra!$M:$M, $B$3)</f>
        <v>1050</v>
      </c>
      <c r="E45" s="17690">
        <f>STDEV(SUMIFS(Captura_Obra!$F:$F,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  <v>214.08720964441883</v>
      </c>
      <c r="F45" s="17691">
        <f t="shared" si="2"/>
        <v>-0.66129032258064513</v>
      </c>
      <c r="G45" s="17692">
        <f t="shared" si="3"/>
        <v>-0.57999999999999996</v>
      </c>
      <c r="H45" s="17693">
        <f>AVERAGE(SUMIFS(Solicitudes!$F:$F, Solicitudes!$B:$B, "*Huixquilucan*", Solicitudes!$C:$C, $M$2+0), SUMIFS(Solicitudes!$F:$F, Solicitudes!$B:$B, "*Huixquilucan*", Solicitudes!$C:$C, $M$2+1), SUMIFS(Solicitudes!$F:$F, Solicitudes!$B:$B, "*Huixquilucan*", Solicitudes!$C:$C, $M$2+2), SUMIFS(Solicitudes!$F:$F, Solicitudes!$B:$B, "*Huixquilucan*", Solicitudes!$C:$C, $M$2+3), SUMIFS(Solicitudes!$F:$F, Solicitudes!$B:$B, "*Huixquilucan*", Solicitudes!$C:$C, $M$2+4), SUMIFS(Solicitudes!$F:$F, Solicitudes!$B:$B, "*Huixquilucan*", Solicitudes!$C:$C, $M$2+5), SUMIFS(Solicitudes!$F:$F, Solicitudes!$B:$B, "*Huixquilucan*", Solicitudes!$C:$C, $M$2+6))</f>
        <v>371.42857142857144</v>
      </c>
      <c r="I45" s="17694">
        <f t="shared" si="4"/>
        <v>416.66666666666669</v>
      </c>
      <c r="J45" s="17695">
        <f>AVERAGE(SUMIFS(Captura_Obra!$F:$F,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  <v>150</v>
      </c>
      <c r="K45" s="17318"/>
      <c r="L45" s="17319"/>
    </row>
    <row r="46" spans="1:12">
      <c r="A46" s="17657" t="s">
        <v>2</v>
      </c>
      <c r="B46" s="17696">
        <f>SUMIFS(Solicitudes!$F:$F, Solicitudes!$B:$B, A46, Solicitudes!$K:$K, $B$3)</f>
        <v>3740</v>
      </c>
      <c r="C46" s="17697">
        <f>IF($B$3=26, 2000, 0)</f>
        <v>2000</v>
      </c>
      <c r="D46" s="17698">
        <f>SUMIFS(Captura_Obra!$F:$F, Captura_Obra!$B:$B, A46, Captura_Obra!$M:$M, $B$3)</f>
        <v>1279</v>
      </c>
      <c r="E46" s="17699">
        <f>STDEV(SUMIFS(Captura_Obra!$F:$F,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  <v>200.8911100453131</v>
      </c>
      <c r="F46" s="17700">
        <f t="shared" si="2"/>
        <v>-0.65802139037433161</v>
      </c>
      <c r="G46" s="17701">
        <f t="shared" si="3"/>
        <v>-0.36049999999999999</v>
      </c>
      <c r="H46" s="17702">
        <f>AVERAGE(SUMIFS(Solicitudes!$F:$F, Solicitudes!$B:$B, A46, Solicitudes!$C:$C, $M$2+0), SUMIFS(Solicitudes!$F:$F, Solicitudes!$B:$B, A46, Solicitudes!$C:$C, $M$2+1), SUMIFS(Solicitudes!$F:$F, Solicitudes!$B:$B, A46, Solicitudes!$C:$C, $M$2+2), SUMIFS(Solicitudes!$F:$F, Solicitudes!$B:$B, A46, Solicitudes!$C:$C, $M$2+3), SUMIFS(Solicitudes!$F:$F, Solicitudes!$B:$B, A46, Solicitudes!$C:$C, $M$2+4), SUMIFS(Solicitudes!$F:$F, Solicitudes!$B:$B, A46, Solicitudes!$C:$C, $M$2+5), SUMIFS(Solicitudes!$F:$F, Solicitudes!$B:$B, A46, Solicitudes!$C:$C, $M$2+6))</f>
        <v>434.28571428571428</v>
      </c>
      <c r="I46" s="17703">
        <f t="shared" si="4"/>
        <v>333.33333333333331</v>
      </c>
      <c r="J46" s="17704">
        <f>AVERAGE(SUMIFS(Captura_Obra!$F:$F,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  <v>182.71428571428572</v>
      </c>
      <c r="K46" s="17320"/>
      <c r="L46" s="17321"/>
    </row>
    <row r="47" spans="1:12">
      <c r="A47" s="17658" t="s">
        <v>400</v>
      </c>
      <c r="B47" s="17705">
        <f>SUMIFS(Solicitudes!$F:$F, Solicitudes!$B:$B, A47, Solicitudes!$K:$K, $B$3)</f>
        <v>0</v>
      </c>
      <c r="C47" s="17706">
        <f>IF($B$3=26, 1600, 0)</f>
        <v>1600</v>
      </c>
      <c r="D47" s="17707">
        <f>SUMIFS(Captura_Obra!$F:$F, Captura_Obra!$B:$B, A47, Captura_Obra!$M:$M, $B$3)</f>
        <v>1844</v>
      </c>
      <c r="E47" s="17708">
        <f>STDEV(SUMIFS(Captura_Obra!$F:$F,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  <v>543.11811396259441</v>
      </c>
      <c r="F47" s="17709">
        <f t="shared" si="2"/>
        <v>0</v>
      </c>
      <c r="G47" s="17710">
        <f t="shared" si="3"/>
        <v>0.1525</v>
      </c>
      <c r="H47" s="17711">
        <f>AVERAGE(SUMIFS(Solicitudes!$F:$F, Solicitudes!$B:$B, A47, Solicitudes!$C:$C, $M$2+0), SUMIFS(Solicitudes!$F:$F, Solicitudes!$B:$B, A47, Solicitudes!$C:$C, $M$2+1), SUMIFS(Solicitudes!$F:$F, Solicitudes!$B:$B, A47, Solicitudes!$C:$C, $M$2+2), SUMIFS(Solicitudes!$F:$F, Solicitudes!$B:$B, A47, Solicitudes!$C:$C, $M$2+3), SUMIFS(Solicitudes!$F:$F, Solicitudes!$B:$B, A47, Solicitudes!$C:$C, $M$2+4), SUMIFS(Solicitudes!$F:$F, Solicitudes!$B:$B, A47, Solicitudes!$C:$C, $M$2+5), SUMIFS(Solicitudes!$F:$F, Solicitudes!$B:$B, A47, Solicitudes!$C:$C, $M$2+6))</f>
        <v>0</v>
      </c>
      <c r="I47" s="17712">
        <f t="shared" si="4"/>
        <v>266.66666666666669</v>
      </c>
      <c r="J47" s="17713">
        <f>AVERAGE(SUMIFS(Captura_Obra!$F:$F,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  <v>263.42857142857144</v>
      </c>
      <c r="K47" s="17322"/>
      <c r="L47" s="17323"/>
    </row>
    <row r="48" spans="1:12">
      <c r="A48" s="17659" t="s">
        <v>111</v>
      </c>
      <c r="B48" s="17714">
        <f>SUMIFS(Solicitudes!$F:$F, Solicitudes!$B:$B, A48, Solicitudes!$K:$K, $B$3)</f>
        <v>574</v>
      </c>
      <c r="C48" s="17715">
        <f>IF($B$3=26, 500, 0)</f>
        <v>500</v>
      </c>
      <c r="D48" s="17716">
        <f>SUMIFS(Captura_Obra!$F:$F, Captura_Obra!$B:$B, A48, Captura_Obra!$M:$M, $B$3)</f>
        <v>1554</v>
      </c>
      <c r="E48" s="17717">
        <f>STDEV(SUMIFS(Captura_Obra!$F:$F,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  <v>349.84568026488478</v>
      </c>
      <c r="F48" s="17718">
        <f t="shared" si="2"/>
        <v>1.7073170731707317</v>
      </c>
      <c r="G48" s="17719">
        <f t="shared" si="3"/>
        <v>2.1080000000000001</v>
      </c>
      <c r="H48" s="17720">
        <f>AVERAGE(SUMIFS(Solicitudes!$F:$F, Solicitudes!$B:$B, A48, Solicitudes!$C:$C, $M$2+0), SUMIFS(Solicitudes!$F:$F, Solicitudes!$B:$B, A48, Solicitudes!$C:$C, $M$2+1), SUMIFS(Solicitudes!$F:$F, Solicitudes!$B:$B, A48, Solicitudes!$C:$C, $M$2+2), SUMIFS(Solicitudes!$F:$F, Solicitudes!$B:$B, A48, Solicitudes!$C:$C, $M$2+3), SUMIFS(Solicitudes!$F:$F, Solicitudes!$B:$B, A48, Solicitudes!$C:$C, $M$2+4), SUMIFS(Solicitudes!$F:$F, Solicitudes!$B:$B, A48, Solicitudes!$C:$C, $M$2+5), SUMIFS(Solicitudes!$F:$F, Solicitudes!$B:$B, A48, Solicitudes!$C:$C, $M$2+6))</f>
        <v>82</v>
      </c>
      <c r="I48" s="17721">
        <f t="shared" si="4"/>
        <v>83.333333333333329</v>
      </c>
      <c r="J48" s="17722">
        <f>AVERAGE(SUMIFS(Captura_Obra!$F:$F,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  <v>222</v>
      </c>
      <c r="K48" s="17324"/>
      <c r="L48" s="17325"/>
    </row>
    <row r="49" spans="1:12">
      <c r="A49" s="17660" t="s">
        <v>174</v>
      </c>
      <c r="B49" s="17661">
        <f t="shared" ref="B49:D49" si="5">SUM(B44:B48)</f>
        <v>10314</v>
      </c>
      <c r="C49" s="17662">
        <f t="shared" si="5"/>
        <v>9350</v>
      </c>
      <c r="D49" s="17663">
        <f t="shared" si="5"/>
        <v>8215</v>
      </c>
      <c r="E49" s="17723">
        <f>STDEV(SUMIFS(Captura_Obra!$F:$F,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  <v>766.84514485681927</v>
      </c>
      <c r="F49" s="17724">
        <f t="shared" si="2"/>
        <v>-0.20350979251502813</v>
      </c>
      <c r="G49" s="17725">
        <f t="shared" si="3"/>
        <v>-0.1213903743315508</v>
      </c>
      <c r="H49" s="17664">
        <f>AVERAGE(SUMIFS(Solicitudes!$F:$F, Solicitudes!$C:$C, $M$2+0), SUMIFS(Solicitudes!$F:$F, Solicitudes!$C:$C, $M$2+1), SUMIFS(Solicitudes!$F:$F, Solicitudes!$C:$C, $M$2+2), SUMIFS(Solicitudes!$F:$F, Solicitudes!$C:$C, $M$2+3), SUMIFS(Solicitudes!$F:$F, Solicitudes!$C:$C, $M$2+4), SUMIFS(Solicitudes!$F:$F, Solicitudes!$C:$C, $M$2+5), SUMIFS(Solicitudes!$F:$F, Solicitudes!$C:$C, $M$2+6))</f>
        <v>1530.5714285714287</v>
      </c>
      <c r="I49" s="17665">
        <f t="shared" si="4"/>
        <v>1558.3333333333333</v>
      </c>
      <c r="J49" s="17726">
        <f>AVERAGE(SUMIFS(Captura_Obra!$F:$F,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  <v>1188.1428571428571</v>
      </c>
      <c r="K49" s="17326"/>
      <c r="L49" s="17327"/>
    </row>
    <row r="50" spans="1:12">
      <c r="A50" s="17328"/>
      <c r="B50" s="17329"/>
      <c r="C50" s="17330"/>
      <c r="D50" s="17331"/>
      <c r="E50" s="17332"/>
      <c r="F50" s="17333"/>
      <c r="G50" s="17334"/>
      <c r="H50" s="17335"/>
      <c r="I50" s="17336"/>
      <c r="J50" s="17337"/>
      <c r="K50" s="17338"/>
      <c r="L50" s="17339"/>
    </row>
    <row r="51" spans="1:12">
      <c r="A51" s="17340"/>
      <c r="B51" s="17341"/>
      <c r="C51" s="17342"/>
      <c r="D51" s="17343"/>
      <c r="E51" s="17344"/>
      <c r="F51" s="17345"/>
      <c r="G51" s="17346"/>
      <c r="H51" s="17347"/>
      <c r="I51" s="17348"/>
      <c r="J51" s="17349"/>
      <c r="K51" s="17350"/>
      <c r="L51" s="17351"/>
    </row>
    <row r="52" spans="1:12">
      <c r="A52" s="17352"/>
      <c r="B52" s="17353"/>
      <c r="C52" s="17354"/>
      <c r="D52" s="17355"/>
      <c r="E52" s="17356"/>
      <c r="F52" s="17357"/>
      <c r="G52" s="17358"/>
      <c r="H52" s="17359"/>
      <c r="I52" s="17360"/>
      <c r="J52" s="17361"/>
      <c r="K52" s="17362"/>
      <c r="L52" s="17363"/>
    </row>
    <row r="53" spans="1:12">
      <c r="A53" s="17364"/>
      <c r="B53" s="17365"/>
      <c r="C53" s="17366"/>
      <c r="D53" s="17367"/>
      <c r="E53" s="17368"/>
      <c r="F53" s="17369"/>
      <c r="G53" s="17370"/>
      <c r="H53" s="17371"/>
      <c r="I53" s="17372"/>
      <c r="J53" s="17373"/>
      <c r="K53" s="17374"/>
      <c r="L53" s="17375"/>
    </row>
    <row r="54" spans="1:12">
      <c r="A54" s="17376"/>
      <c r="B54" s="17377"/>
      <c r="C54" s="17378"/>
      <c r="D54" s="17379"/>
      <c r="E54" s="17380"/>
      <c r="F54" s="17381"/>
      <c r="G54" s="17382"/>
      <c r="H54" s="17383"/>
      <c r="I54" s="17384"/>
      <c r="J54" s="17385"/>
      <c r="K54" s="17386"/>
      <c r="L54" s="17387"/>
    </row>
    <row r="55" spans="1:12">
      <c r="A55" s="17388"/>
      <c r="B55" s="17389"/>
      <c r="C55" s="17390"/>
      <c r="D55" s="17391"/>
      <c r="E55" s="17392"/>
      <c r="F55" s="17393"/>
      <c r="G55" s="17394"/>
      <c r="H55" s="17395"/>
      <c r="I55" s="17396"/>
      <c r="J55" s="17397"/>
      <c r="K55" s="17398"/>
      <c r="L55" s="17399"/>
    </row>
    <row r="56" spans="1:12">
      <c r="A56" s="17400"/>
      <c r="B56" s="17401"/>
      <c r="C56" s="17402"/>
      <c r="D56" s="17403"/>
      <c r="E56" s="17404"/>
      <c r="F56" s="17405"/>
      <c r="G56" s="17406"/>
      <c r="H56" s="17407"/>
      <c r="I56" s="17408"/>
      <c r="J56" s="17409"/>
      <c r="K56" s="17410"/>
      <c r="L56" s="17411"/>
    </row>
    <row r="57" spans="1:12">
      <c r="A57" s="17412"/>
      <c r="B57" s="17413"/>
      <c r="C57" s="17414"/>
      <c r="D57" s="17415"/>
      <c r="E57" s="17416"/>
      <c r="F57" s="17417"/>
      <c r="G57" s="17418"/>
      <c r="H57" s="17419"/>
      <c r="I57" s="17420"/>
      <c r="J57" s="17421"/>
      <c r="K57" s="17422"/>
      <c r="L57" s="17423"/>
    </row>
    <row r="58" spans="1:12">
      <c r="A58" s="17424"/>
      <c r="B58" s="17425"/>
      <c r="C58" s="17426"/>
      <c r="D58" s="17427"/>
      <c r="E58" s="17428"/>
      <c r="F58" s="17429"/>
      <c r="G58" s="17430"/>
      <c r="H58" s="17431"/>
      <c r="I58" s="17432"/>
      <c r="J58" s="17433"/>
      <c r="K58" s="17434"/>
      <c r="L58" s="17435"/>
    </row>
    <row r="59" spans="1:12">
      <c r="A59" s="17436"/>
      <c r="B59" s="17437"/>
      <c r="C59" s="17438"/>
      <c r="D59" s="17439"/>
      <c r="E59" s="17440"/>
      <c r="F59" s="17441"/>
      <c r="G59" s="17442"/>
      <c r="H59" s="17443"/>
      <c r="I59" s="17444"/>
      <c r="J59" s="17445"/>
      <c r="K59" s="17446"/>
      <c r="L59" s="17447"/>
    </row>
    <row r="60" spans="1:12">
      <c r="A60" s="17448"/>
      <c r="B60" s="17449"/>
      <c r="C60" s="17450"/>
      <c r="D60" s="17451"/>
      <c r="E60" s="17452"/>
      <c r="F60" s="17453"/>
      <c r="G60" s="17454"/>
      <c r="H60" s="17455"/>
      <c r="I60" s="17456"/>
      <c r="J60" s="17457"/>
      <c r="K60" s="17458"/>
      <c r="L60" s="17459"/>
    </row>
    <row r="61" spans="1:12">
      <c r="A61" s="17460"/>
      <c r="B61" s="17461"/>
      <c r="C61" s="17462"/>
      <c r="D61" s="17463"/>
      <c r="E61" s="17464"/>
      <c r="F61" s="17465"/>
      <c r="G61" s="17466"/>
      <c r="H61" s="17467"/>
      <c r="I61" s="17468"/>
      <c r="J61" s="17469"/>
      <c r="K61" s="17470"/>
      <c r="L61" s="17471"/>
    </row>
    <row r="62" spans="1:12">
      <c r="A62" s="17472"/>
      <c r="B62" s="17473"/>
      <c r="C62" s="17474"/>
      <c r="D62" s="17475"/>
      <c r="E62" s="17476"/>
      <c r="F62" s="17477"/>
      <c r="G62" s="17478"/>
      <c r="H62" s="17479"/>
      <c r="I62" s="17480"/>
      <c r="J62" s="17481"/>
      <c r="K62" s="17482"/>
      <c r="L62" s="1748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4F695-8EA8-46BF-9D5B-CB9799FA2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Resumen_Ejecutivo_Copia</vt:lpstr>
      <vt:lpstr>Dashboard_Copia</vt:lpstr>
      <vt:lpstr>Base_Datos</vt:lpstr>
      <vt:lpstr>Dashboard</vt:lpstr>
      <vt:lpstr>Conciliacion_Auditoria</vt:lpstr>
      <vt:lpstr>Captura_Pegaso</vt:lpstr>
      <vt:lpstr>Captura_Obra</vt:lpstr>
      <vt:lpstr>Captura_Marimba_M01</vt:lpstr>
      <vt:lpstr>Captura_Jalisco</vt:lpstr>
      <vt:lpstr>Solicitudes</vt:lpstr>
      <vt:lpstr>Captura_Horas</vt:lpstr>
      <vt:lpstr>Catalogos</vt:lpstr>
      <vt:lpstr>Maquinaria_Inventario</vt:lpstr>
      <vt:lpstr>Captura_Facturas_Mobil</vt:lpstr>
      <vt:lpstr>Dashboard_Ejecutivo</vt:lpstr>
      <vt:lpstr>Estados_Cuenta_Mobil</vt:lpstr>
      <vt:lpstr>Captura_Gasolina</vt:lpstr>
      <vt:lpstr>Resumen_Ejecutivo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GRUPO TRUJANO 03</cp:lastModifiedBy>
  <dcterms:created xsi:type="dcterms:W3CDTF">2026-06-08T23:01:45Z</dcterms:created>
  <dcterms:modified xsi:type="dcterms:W3CDTF">2026-07-01T20:26:24Z</dcterms:modified>
</cp:coreProperties>
</file>