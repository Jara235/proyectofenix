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2bd38c19ee70afa/Escritorio/Proyecto fenix/"/>
    </mc:Choice>
  </mc:AlternateContent>
  <xr:revisionPtr revIDLastSave="875" documentId="8_{C8FEC6AC-F1AA-4090-9629-EF28AB89140C}" xr6:coauthVersionLast="47" xr6:coauthVersionMax="47" xr10:uidLastSave="{E9A74F34-E012-4C17-A6E8-7461A301DC28}"/>
  <bookViews>
    <workbookView xWindow="-108" yWindow="-108" windowWidth="23256" windowHeight="12456" activeTab="1" xr2:uid="{00000000-000D-0000-FFFF-FFFF00000000}"/>
  </bookViews>
  <sheets>
    <sheet name="Dashboard" sheetId="12" r:id="rId17"/>
    <sheet name="Dashboard_Ejecutivo" sheetId="11" r:id="rId2"/>
    <sheet name="Captura_Pegaso" sheetId="2" r:id="rId3"/>
    <sheet name="Captura_Marimba_M01" sheetId="3" r:id="rId4"/>
    <sheet name="Solicitudes" sheetId="10" r:id="rId5"/>
    <sheet name="Captura_Obra" sheetId="4" r:id="rId6"/>
    <sheet name="Conciliacion" sheetId="5" r:id="rId7"/>
    <sheet name="Catalogos" sheetId="6" r:id="rId8"/>
    <sheet name="Formatos_Fisicos" sheetId="7" r:id="rId9"/>
    <sheet name="Instrucciones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<sst xmlns="http://schemas.openxmlformats.org/spreadsheetml/2006/main">
  <si>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DASHBOARD EJECUTIVO DE COMBUSTIBLE | GRUPO TRUJANO</t>
  </si>
  <si>
    <t>Indicador</t>
  </si>
  <si>
    <t>Litros</t>
  </si>
  <si>
    <t>Obra</t>
  </si>
  <si>
    <t>Costo</t>
  </si>
  <si>
    <t>Entradas Pegaso</t>
  </si>
  <si>
    <t>México-Toluca</t>
  </si>
  <si>
    <t>Salidas Pegaso</t>
  </si>
  <si>
    <t>Lerma - Tres Marías</t>
  </si>
  <si>
    <t>Suministrado Marimba</t>
  </si>
  <si>
    <t>Chamapa-Lechería</t>
  </si>
  <si>
    <t>Reconocido por Obras</t>
  </si>
  <si>
    <t>TOTAL</t>
  </si>
  <si>
    <t>Diferencia Total</t>
  </si>
  <si>
    <t>Lectura Ejecutiva</t>
  </si>
  <si>
    <t>1. Revisar primero la diferencia total. Si es diferente de 0, bajar a conciliación.</t>
  </si>
  <si>
    <t>2. Pegaso debe cuadrar entradas contra factura/remisión de gasolinera.</t>
  </si>
  <si>
    <t>3. Marimba M-01 debe cuadrar entradas recibidas contra salidas de Pegaso.</t>
  </si>
  <si>
    <t>4. Obra debe reconocer los litros suministrados por Marimba y Pegaso directo.</t>
  </si>
  <si>
    <t>5. El costo se calcula con costo/litro capturado.</t>
  </si>
  <si>
    <t>6. La documentación física debe firmarse y archivarse semanalmente.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</si>
  <si>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</si>
  <si>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</si>
  <si>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</si>
  <si>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</si>
  <si>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</si>
  <si>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</si>
  <si>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</si>
  <si>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</si>
  <si>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</si>
  <si>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</si>
  <si>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Equipo/Económico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</si>
  <si>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</si>
  <si>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</si>
  <si>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</si>
  <si>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</si>
  <si>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</si>
  <si>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</si>
  <si>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</si>
  <si>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</si>
  <si>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</si>
  <si>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</si>
  <si>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</si>
  <si>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</si>
  <si>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</si>
  <si>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</si>
  <si>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</si>
  <si>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</si>
  <si>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</si>
  <si>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</si>
  <si>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</si>
  <si>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</si>
  <si>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</si>
  <si>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</si>
  <si>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</si>
  <si>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CONCILIACIÓN SEMANAL / MENSUAL</t>
  </si>
  <si>
    <t>Concepto</t>
  </si>
  <si>
    <t>Entradas a Pegaso</t>
  </si>
  <si>
    <t>Salidas Pegaso a Marimba</t>
  </si>
  <si>
    <t>Salidas Pegaso directo a Máquinas</t>
  </si>
  <si>
    <t>Entradas registradas en Marimba</t>
  </si>
  <si>
    <t>Salidas Marimba a Obra</t>
  </si>
  <si>
    <t>Litros reconocidos por Obras</t>
  </si>
  <si>
    <t>Diferencia Pegaso vs Marimba</t>
  </si>
  <si>
    <t>Diferencia Marimba vs Obra</t>
  </si>
  <si>
    <t>Diferencia Total a Revisar</t>
  </si>
  <si>
    <t>% Consumo</t>
  </si>
  <si>
    <t>Validación Corporativa</t>
  </si>
  <si>
    <t>Revisó Gobierno Corporativo</t>
  </si>
  <si>
    <t>Estatus</t>
  </si>
  <si>
    <t>□ Correcto  □ Observado  □ Pendiente</t>
  </si>
  <si>
    <t>Firma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</si>
  <si>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</si>
  <si>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</si>
  <si>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</si>
  <si>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</si>
  <si>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</si>
  <si>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</si>
  <si>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</si>
  <si>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</si>
  <si>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FR-01</t>
  </si>
  <si>
    <t>Fresadora</t>
  </si>
  <si>
    <t>L3M</t>
  </si>
  <si>
    <t>PEG</t>
  </si>
  <si>
    <t>Tanque Pegaso</t>
  </si>
  <si>
    <t>CP-01</t>
  </si>
  <si>
    <t>Compactador</t>
  </si>
  <si>
    <t>CL</t>
  </si>
  <si>
    <t>M01</t>
  </si>
  <si>
    <t>Marimba M-01</t>
  </si>
  <si>
    <t>EX-01</t>
  </si>
  <si>
    <t>Excavadora</t>
  </si>
  <si>
    <t>DIR</t>
  </si>
  <si>
    <t>Carga directa</t>
  </si>
  <si>
    <t>RT-01</t>
  </si>
  <si>
    <t>Retroexcavadora</t>
  </si>
  <si>
    <t>Otro</t>
  </si>
  <si>
    <t>MG-01</t>
  </si>
  <si>
    <t>Motoconformadora</t>
  </si>
  <si>
    <t>PT-01</t>
  </si>
  <si>
    <t>Petrolizadora</t>
  </si>
  <si>
    <t>PP-01</t>
  </si>
  <si>
    <t>Pipa</t>
  </si>
  <si>
    <t>CM-01</t>
  </si>
  <si>
    <t>Camión</t>
  </si>
  <si>
    <t>CR-01</t>
  </si>
  <si>
    <t>Cargador</t>
  </si>
  <si>
    <t>FORMATOS FÍSICOS PARA IMPRESIÓN Y FIRMA</t>
  </si>
  <si>
    <t>GC-COMB-001 BITÁCORA PEGASO</t>
  </si>
  <si>
    <t>Existencia Inicial:</t>
  </si>
  <si>
    <t>Existencia Final Física:</t>
  </si>
  <si>
    <t>Fecha Entrega:</t>
  </si>
  <si>
    <t>Firma:</t>
  </si>
  <si>
    <t>GC-COMB-002 BITÁCORA MARIMBA M-01</t>
  </si>
  <si>
    <t>Inventario Inicial:</t>
  </si>
  <si>
    <t>Inventario Final:</t>
  </si>
  <si>
    <t>GC-COMB-003 BITÁCORA DE OBRA</t>
  </si>
  <si>
    <t>Actividad</t>
  </si>
  <si>
    <t>PROCEDIMIENTO OPERATIVO GC-COMB-01</t>
  </si>
  <si>
    <t>1</t>
  </si>
  <si>
    <t>Gasolinera → Pegaso</t>
  </si>
  <si>
    <t>Vigilante registra entrada en GC-COMB-001 con factura/remisión y litros recibidos.</t>
  </si>
  <si>
    <t>2</t>
  </si>
  <si>
    <t>Pegaso → Marimba M-01</t>
  </si>
  <si>
    <t>Vigilante registra salida en GC-COMB-001. Operador de Marimba registra entrada en GC-COMB-002.</t>
  </si>
  <si>
    <t>3</t>
  </si>
  <si>
    <t>Pegaso → Máquina</t>
  </si>
  <si>
    <t>Vigilante registra salida directa en GC-COMB-001. Ingeniero registra recepción en GC-COMB-003.</t>
  </si>
  <si>
    <t>4</t>
  </si>
  <si>
    <t>Marimba → Obras/Máquinas</t>
  </si>
  <si>
    <t>Operador registra cada suministro en GC-COMB-002. Ingeniero reconoce litros por obra en GC-COMB-003.</t>
  </si>
  <si>
    <t>5</t>
  </si>
  <si>
    <t>Obras actuales</t>
  </si>
  <si>
    <t>México-Toluca, Lerma - Tres Marías y Chamapa-Lechería.</t>
  </si>
  <si>
    <t>6</t>
  </si>
  <si>
    <t>Horómetro</t>
  </si>
  <si>
    <t>No es obligatorio porque no funciona en la mayoría de equipos. El control principal será por litros, obra, equipo, actividad e incidencia.</t>
  </si>
  <si>
    <t>7</t>
  </si>
  <si>
    <t>Capturar costo/litro en cada registro para obtener costo por obra y costo total semanal.</t>
  </si>
  <si>
    <t>8</t>
  </si>
  <si>
    <t>Cierre semanal</t>
  </si>
  <si>
    <t>Todos entregan bitácoras físicas firmadas. Gobierno Corporativo captura y revisa conciliación.</t>
  </si>
  <si>
    <t>9</t>
  </si>
  <si>
    <t>Alertas</t>
  </si>
  <si>
    <t>Si la diferencia total es distinta de cero, revisar Pegaso vs Marimba y Marimba/Pegaso vs Obra.</t>
  </si>
  <si>
    <t>10</t>
  </si>
  <si>
    <t>Reunión lunes</t>
  </si>
  <si>
    <t>Usar Dashboard para mostrar consumo, costo y diferencias al Ing. Pepe.</t>
  </si>
  <si>
    <t>Responsables</t>
  </si>
  <si>
    <t>Vigilante Pegaso = inventario / Operador Marimba = distribución / Ingeniero = validación de obra / Gobierno Corporativo = conciliación y pago.</t>
  </si>
  <si>
    <t>Documentación soporte</t>
  </si>
  <si>
    <t>Factura, remisión, bitácoras físicas firmadas, evidencias de incidencias cuando existan.</t>
  </si>
  <si>
    <t>Nota</t>
  </si>
  <si>
    <t>Este archivo no usa macros. Funciona con fórmulas, catálogos y validaciones para evitar dependencia de VBA.</t>
  </si>
  <si>
    <t>Salida Directa Máquina</t>
  </si>
  <si>
    <t>Salida a Obra</t>
  </si>
  <si>
    <t>Pegaso Directo</t>
  </si>
  <si>
    <t xml:space="preserve">Ingeniero Responsable </t>
  </si>
  <si>
    <t>Operador (firma)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</si>
  <si>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</si>
  <si>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</si>
  <si>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</si>
  <si>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</si>
  <si>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</si>
  <si>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</si>
  <si>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</si>
  <si>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</si>
  <si>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</si>
  <si>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</si>
  <si>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</si>
  <si>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</si>
  <si>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</si>
  <si>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</si>
  <si>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</si>
  <si>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PR-03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</si>
  <si>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</si>
  <si>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</si>
  <si>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</si>
  <si>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</si>
  <si>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</si>
  <si>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</si>
  <si>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</si>
  <si>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</si>
  <si>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</si>
  <si>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</si>
  <si>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</si>
  <si>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</si>
  <si>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</si>
  <si>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</si>
  <si>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</si>
  <si>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</si>
  <si>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</si>
  <si>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</si>
  <si>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</si>
  <si>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</si>
  <si>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</si>
  <si>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</si>
  <si>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</si>
  <si>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</si>
  <si>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</si>
  <si>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</si>
  <si>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</si>
  <si>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Segunda solicitud, el dia 7/06/2026, no se relizo la carga</t>
  </si>
  <si>
    <t>Solicitante</t>
  </si>
  <si>
    <t>Ingeniero</t>
  </si>
  <si>
    <t>Samuel Ortega</t>
  </si>
  <si>
    <t>Apolinar</t>
  </si>
  <si>
    <t>Francisco Javier</t>
  </si>
  <si>
    <t>Diego Carreola Monroy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</si>
  <si>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</si>
  <si>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</si>
  <si>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</si>
  <si>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</si>
  <si>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</si>
  <si>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</si>
  <si>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</si>
  <si>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Otr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</si>
  <si>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</si>
  <si>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</si>
  <si>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</si>
  <si>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</si>
  <si>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</si>
  <si>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</si>
  <si>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</si>
  <si>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</si>
  <si>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</si>
  <si>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</si>
  <si>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Peticiones por Día y Obra</t>
  </si>
  <si>
    <t>Salidas Marimba por Día y Obra</t>
  </si>
  <si>
    <t>Salidas Pegaso a Obra</t>
  </si>
  <si>
    <t>Consumo Total en Obra</t>
  </si>
  <si>
    <t>Resumen Semanal por Obra</t>
  </si>
  <si>
    <t>Costo Estimado ($)</t>
  </si>
  <si>
    <t>Costo Surtido ($)</t>
  </si>
  <si>
    <t>2026-06-07</t>
  </si>
  <si>
    <t>2026-06-08</t>
  </si>
  <si>
    <t>2026-06-09</t>
  </si>
  <si>
    <t>2026-06-10</t>
  </si>
  <si>
    <t>2026-06-11</t>
  </si>
  <si>
    <t>2026-06-12</t>
  </si>
  <si>
    <t>Costos por Día (Petición vs Surtido)</t>
  </si>
  <si>
    <t>Costos por Obra (Petición vs Surtido)</t>
  </si>
  <si>
    <t>Totales Generales por Día</t>
  </si>
  <si>
    <t>Totales Generales por Obra</t>
  </si>
  <si>
    <t>Reporte de Discrepancias (Faltantes/Sobrantes)</t>
  </si>
  <si>
    <t>Costo Solicitado ($)</t>
  </si>
  <si>
    <t>Litros Totales</t>
  </si>
  <si>
    <t>Costo Total ($)</t>
  </si>
  <si>
    <t>Litros Surtidos</t>
  </si>
  <si>
    <t>Discrepancia (L)</t>
  </si>
  <si>
    <t xml:space="preserve">DASHBOARD EJECUTIVO DE CONTROL DE COMBUSTIBLE | GRUPO TRUJANO</t>
  </si>
  <si>
    <t xml:space="preserve">FILTROS DEL DASHBOARD (Celdas en amarillo editables en Excel)</t>
  </si>
  <si>
    <t xml:space="preserve">Obra Seleccionada:</t>
  </si>
  <si>
    <t xml:space="preserve">Fecha Inicio (Lunes):</t>
  </si>
  <si>
    <t xml:space="preserve">Precio Diésel ($/L):</t>
  </si>
  <si>
    <t xml:space="preserve">COMPARATIVA: SOLICITADO (PETICIONES) VS ENTREGADO EN OBRA</t>
  </si>
  <si>
    <t xml:space="preserve">Día</t>
  </si>
  <si>
    <t xml:space="preserve">Lts Solicitados</t>
  </si>
  <si>
    <t xml:space="preserve">Lts Recibidos Obra</t>
  </si>
  <si>
    <t xml:space="preserve">Dif. Litros (Obra-Sol)</t>
  </si>
  <si>
    <t xml:space="preserve">Costo Solicitado</t>
  </si>
  <si>
    <t xml:space="preserve">Costo Real Obra</t>
  </si>
  <si>
    <t xml:space="preserve">Dif. Costo (Real-Sol)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</si>
  <si>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</si>
  <si>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</si>
  <si>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</si>
  <si>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</si>
  <si>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</si>
  <si>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</si>
  <si>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TOTAL SEMANAL</t>
  </si>
  <si>
    <t xml:space="preserve">CONCILIACIÓN FÍSICA Y DISCREPANCIAS (OBRA VS MARIMBA Y PEGASO)</t>
  </si>
  <si>
    <t xml:space="preserve">Obra Recibió (M)</t>
  </si>
  <si>
    <t xml:space="preserve">Marimba Despachó</t>
  </si>
  <si>
    <t xml:space="preserve">Dif. Marimba</t>
  </si>
  <si>
    <t xml:space="preserve">Obra Recibió (P)</t>
  </si>
  <si>
    <t xml:space="preserve">Pegaso Despachó</t>
  </si>
  <si>
    <t xml:space="preserve">Dif. Pegaso</t>
  </si>
  <si>
    <t xml:space="preserve">Dif. Total (L)</t>
  </si>
  <si>
    <t xml:space="preserve">Obras Dropdown</t>
  </si>
  <si>
    <t xml:space="preserve">Semanas Dropdown</t>
  </si>
  <si>
    <t xml:space="preserve">Todas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</si>
</sst>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\$#,##0.00"/>
    <numFmt numFmtId="165" formatCode="&quot;$&quot;#,##0.00"/>
    <numFmt numFmtId="166" formatCode="yyyy-mm-dd"/>
    <numFmt numFmtId="167" formatCode="$#,##0.00"/>
  </numFmts>
  <fonts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8"/>
      <name val="Carlito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FF"/>
      <name val="Segoe UI"/>
    </font>
    <font>
      <b/>
      <sz val="11"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sz val="11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sz val="11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</fonts>
  <fills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002060"/>
      </patternFill>
    </fill>
    <fill>
      <patternFill patternType="solid">
        <fgColor rgb="D9D9D9"/>
      </patternFill>
    </fill>
    <fill/>
    <fill/>
    <fill/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D9D9D9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D9D9D9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3" fillId="2" borderId="0" xfId="0" applyNumberFormat="1" applyFont="1" applyFill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1" applyFont="1"/>
    <xf numFmtId="0" fontId="1" fillId="0" borderId="0" xfId="1"/>
    <xf numFmtId="0" fontId="6" fillId="3" borderId="1" xfId="1" applyFont="1" applyFill="1" applyBorder="1" applyAlignment="1">
      <alignment horizontal="center"/>
    </xf>
    <xf numFmtId="0" fontId="1" fillId="0" borderId="1" xfId="1" applyBorder="1"/>
    <xf numFmtId="165" fontId="1" fillId="0" borderId="1" xfId="1" applyNumberFormat="1" applyBorder="1"/>
    <xf numFmtId="0" fontId="7" fillId="0" borderId="0" xfId="1" applyFont="1"/>
    <xf numFmtId="0" fontId="6" fillId="4" borderId="1" xfId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5" fontId="1" fillId="0" borderId="0" xfId="1" applyNumberFormat="1"/>
    <xf fontId="8" fillId="5" borderId="2" applyFont="1" applyFill="1" applyBorder="1">
      <alignment horizontal="center" vertical="center"/>
    </xf>
    <xf fontId="9" fillId="6" borderId="3" applyFont="1" applyFill="1" applyBorder="1">
      <alignment vertical="center"/>
    </xf>
    <xf fontId="10" fillId="7" borderId="4" applyFont="1" applyFill="1" applyBorder="1">
      <alignment horizontal="right"/>
    </xf>
    <xf fontId="11" fillId="8" borderId="5" applyFont="1" applyFill="1" applyBorder="1">
      <alignment horizontal="right"/>
    </xf>
    <xf fontId="12" fillId="9" borderId="6" applyFont="1" applyFill="1" applyBorder="1">
      <alignment horizontal="right"/>
    </xf>
    <xf fontId="13" fillId="10" borderId="7" applyFont="1" applyFill="1" applyBorder="1"/>
    <xf fontId="14" fillId="11" borderId="8" applyFont="1" applyFill="1" applyBorder="1" numFmtId="166"/>
    <xf fontId="15" fillId="12" borderId="9" applyFont="1" applyFill="1" applyBorder="1" numFmtId="167"/>
    <xf fontId="16" fillId="13" borderId="10" applyFont="1" applyFill="1" applyBorder="1">
      <alignment vertical="center"/>
    </xf>
    <xf fontId="17" fillId="14" borderId="11" applyFont="1" applyFill="1" applyBorder="1">
      <alignment horizontal="center" vertical="center"/>
    </xf>
    <xf fontId="18" fillId="15" borderId="12" applyFont="1" applyFill="1" applyBorder="1">
      <alignment horizontal="center" vertical="center"/>
    </xf>
    <xf fontId="19" fillId="16" borderId="13" applyFont="1" applyFill="1" applyBorder="1">
      <alignment horizontal="center" vertical="center"/>
    </xf>
    <xf fontId="20" fillId="17" borderId="14" applyFont="1" applyFill="1" applyBorder="1">
      <alignment horizontal="center" vertical="center"/>
    </xf>
    <xf fontId="21" fillId="18" borderId="15" applyFont="1" applyFill="1" applyBorder="1">
      <alignment horizontal="center" vertical="center"/>
    </xf>
    <xf fontId="22" fillId="19" borderId="16" applyFont="1" applyFill="1" applyBorder="1">
      <alignment horizontal="center" vertical="center"/>
    </xf>
    <xf fontId="23" fillId="20" borderId="17" applyFont="1" applyFill="1" applyBorder="1">
      <alignment horizontal="center" vertical="center"/>
    </xf>
    <xf fontId="24" fillId="21" borderId="18" applyFont="1" applyFill="1" applyBorder="1">
      <alignment horizontal="center" vertical="center"/>
    </xf>
    <xf fontId="25" fillId="22" borderId="19" applyFont="1" applyFill="1" applyBorder="1">
      <alignment horizontal="center"/>
    </xf>
    <xf fontId="26" fillId="23" borderId="20" applyFont="1" applyFill="1" applyBorder="1" numFmtId="166">
      <alignment horizontal="center"/>
    </xf>
    <xf fontId="27" fillId="24" borderId="21" applyFont="1" applyFill="1" applyBorder="1" numFmtId="3"/>
    <xf fontId="28" fillId="25" borderId="22" applyFont="1" applyFill="1" applyBorder="1" numFmtId="3"/>
    <xf fontId="29" fillId="26" borderId="23" applyFont="1" applyFill="1" applyBorder="1" numFmtId="3"/>
    <xf fontId="30" fillId="27" borderId="24" applyFont="1" applyFill="1" applyBorder="1" numFmtId="167"/>
    <xf fontId="31" fillId="28" borderId="25" applyFont="1" applyFill="1" applyBorder="1" numFmtId="167"/>
    <xf fontId="32" fillId="29" borderId="26" applyFont="1" applyFill="1" applyBorder="1" numFmtId="167"/>
    <xf fontId="33" fillId="30" borderId="27" applyFont="1" applyFill="1" applyBorder="1">
      <alignment horizontal="center"/>
    </xf>
    <xf fontId="34" fillId="31" borderId="28" applyFont="1" applyFill="1" applyBorder="1" numFmtId="166">
      <alignment horizontal="center"/>
    </xf>
    <xf fontId="35" fillId="32" borderId="29" applyFont="1" applyFill="1" applyBorder="1" numFmtId="3"/>
    <xf fontId="36" fillId="33" borderId="30" applyFont="1" applyFill="1" applyBorder="1" numFmtId="3"/>
    <xf fontId="37" fillId="34" borderId="31" applyFont="1" applyFill="1" applyBorder="1" numFmtId="3"/>
    <xf fontId="38" fillId="35" borderId="32" applyFont="1" applyFill="1" applyBorder="1" numFmtId="167"/>
    <xf fontId="39" fillId="36" borderId="33" applyFont="1" applyFill="1" applyBorder="1" numFmtId="167"/>
    <xf fontId="40" fillId="37" borderId="34" applyFont="1" applyFill="1" applyBorder="1" numFmtId="167"/>
    <xf fontId="41" fillId="38" borderId="35" applyFont="1" applyFill="1" applyBorder="1">
      <alignment horizontal="center"/>
    </xf>
    <xf fontId="42" fillId="39" borderId="36" applyFont="1" applyFill="1" applyBorder="1" numFmtId="166">
      <alignment horizontal="center"/>
    </xf>
    <xf fontId="43" fillId="40" borderId="37" applyFont="1" applyFill="1" applyBorder="1" numFmtId="3"/>
    <xf fontId="44" fillId="41" borderId="38" applyFont="1" applyFill="1" applyBorder="1" numFmtId="3"/>
    <xf fontId="45" fillId="42" borderId="39" applyFont="1" applyFill="1" applyBorder="1" numFmtId="3"/>
    <xf fontId="46" fillId="43" borderId="40" applyFont="1" applyFill="1" applyBorder="1" numFmtId="167"/>
    <xf fontId="47" fillId="44" borderId="41" applyFont="1" applyFill="1" applyBorder="1" numFmtId="167"/>
    <xf fontId="48" fillId="45" borderId="42" applyFont="1" applyFill="1" applyBorder="1" numFmtId="167"/>
    <xf fontId="49" fillId="46" borderId="43" applyFont="1" applyFill="1" applyBorder="1">
      <alignment horizontal="center"/>
    </xf>
    <xf fontId="50" fillId="47" borderId="44" applyFont="1" applyFill="1" applyBorder="1" numFmtId="166">
      <alignment horizontal="center"/>
    </xf>
    <xf fontId="51" fillId="48" borderId="45" applyFont="1" applyFill="1" applyBorder="1" numFmtId="3"/>
    <xf fontId="52" fillId="49" borderId="46" applyFont="1" applyFill="1" applyBorder="1" numFmtId="3"/>
    <xf fontId="53" fillId="50" borderId="47" applyFont="1" applyFill="1" applyBorder="1" numFmtId="3"/>
    <xf fontId="54" fillId="51" borderId="48" applyFont="1" applyFill="1" applyBorder="1" numFmtId="167"/>
    <xf fontId="55" fillId="52" borderId="49" applyFont="1" applyFill="1" applyBorder="1" numFmtId="167"/>
    <xf fontId="56" fillId="53" borderId="50" applyFont="1" applyFill="1" applyBorder="1" numFmtId="167"/>
    <xf fontId="57" fillId="54" borderId="51" applyFont="1" applyFill="1" applyBorder="1">
      <alignment horizontal="center"/>
    </xf>
    <xf fontId="58" fillId="55" borderId="52" applyFont="1" applyFill="1" applyBorder="1" numFmtId="166">
      <alignment horizontal="center"/>
    </xf>
    <xf fontId="59" fillId="56" borderId="53" applyFont="1" applyFill="1" applyBorder="1" numFmtId="3"/>
    <xf fontId="60" fillId="57" borderId="54" applyFont="1" applyFill="1" applyBorder="1" numFmtId="3"/>
    <xf fontId="61" fillId="58" borderId="55" applyFont="1" applyFill="1" applyBorder="1" numFmtId="3"/>
    <xf fontId="62" fillId="59" borderId="56" applyFont="1" applyFill="1" applyBorder="1" numFmtId="167"/>
    <xf fontId="63" fillId="60" borderId="57" applyFont="1" applyFill="1" applyBorder="1" numFmtId="167"/>
    <xf fontId="64" fillId="61" borderId="58" applyFont="1" applyFill="1" applyBorder="1" numFmtId="167"/>
    <xf fontId="65" fillId="62" borderId="59" applyFont="1" applyFill="1" applyBorder="1">
      <alignment horizontal="center"/>
    </xf>
    <xf fontId="66" fillId="63" borderId="60" applyFont="1" applyFill="1" applyBorder="1" numFmtId="166">
      <alignment horizontal="center"/>
    </xf>
    <xf fontId="67" fillId="64" borderId="61" applyFont="1" applyFill="1" applyBorder="1" numFmtId="3"/>
    <xf fontId="68" fillId="65" borderId="62" applyFont="1" applyFill="1" applyBorder="1" numFmtId="3"/>
    <xf fontId="69" fillId="66" borderId="63" applyFont="1" applyFill="1" applyBorder="1" numFmtId="3"/>
    <xf fontId="70" fillId="67" borderId="64" applyFont="1" applyFill="1" applyBorder="1" numFmtId="167"/>
    <xf fontId="71" fillId="68" borderId="65" applyFont="1" applyFill="1" applyBorder="1" numFmtId="167"/>
    <xf fontId="72" fillId="69" borderId="66" applyFont="1" applyFill="1" applyBorder="1" numFmtId="167"/>
    <xf fontId="73" fillId="70" borderId="67" applyFont="1" applyFill="1" applyBorder="1">
      <alignment horizontal="center"/>
    </xf>
    <xf fontId="74" fillId="71" borderId="68" applyFont="1" applyFill="1" applyBorder="1"/>
    <xf fontId="75" fillId="72" borderId="69" applyFont="1" applyFill="1" applyBorder="1" numFmtId="3"/>
    <xf fontId="76" fillId="73" borderId="70" applyFont="1" applyFill="1" applyBorder="1" numFmtId="3"/>
    <xf fontId="77" fillId="74" borderId="71" applyFont="1" applyFill="1" applyBorder="1" numFmtId="3"/>
    <xf fontId="78" fillId="75" borderId="72" applyFont="1" applyFill="1" applyBorder="1" numFmtId="167"/>
    <xf fontId="79" fillId="76" borderId="73" applyFont="1" applyFill="1" applyBorder="1" numFmtId="167"/>
    <xf fontId="80" fillId="77" borderId="74" applyFont="1" applyFill="1" applyBorder="1" numFmtId="167"/>
    <xf fontId="81" fillId="78" borderId="75" applyFont="1" applyFill="1" applyBorder="1">
      <alignment vertical="center"/>
    </xf>
    <xf fontId="82" fillId="79" borderId="76" applyFont="1" applyFill="1" applyBorder="1">
      <alignment horizontal="center" vertical="center"/>
    </xf>
    <xf fontId="83" fillId="80" borderId="77" applyFont="1" applyFill="1" applyBorder="1">
      <alignment horizontal="center" vertical="center"/>
    </xf>
    <xf fontId="84" fillId="81" borderId="78" applyFont="1" applyFill="1" applyBorder="1">
      <alignment horizontal="center" vertical="center"/>
    </xf>
    <xf fontId="85" fillId="82" borderId="79" applyFont="1" applyFill="1" applyBorder="1">
      <alignment horizontal="center" vertical="center"/>
    </xf>
    <xf fontId="86" fillId="83" borderId="80" applyFont="1" applyFill="1" applyBorder="1">
      <alignment horizontal="center" vertical="center"/>
    </xf>
    <xf fontId="87" fillId="84" borderId="81" applyFont="1" applyFill="1" applyBorder="1">
      <alignment horizontal="center" vertical="center"/>
    </xf>
    <xf fontId="88" fillId="85" borderId="82" applyFont="1" applyFill="1" applyBorder="1">
      <alignment horizontal="center" vertical="center"/>
    </xf>
    <xf fontId="89" fillId="86" borderId="83" applyFont="1" applyFill="1" applyBorder="1">
      <alignment horizontal="center" vertical="center"/>
    </xf>
    <xf fontId="90" fillId="87" borderId="84" applyFont="1" applyFill="1" applyBorder="1">
      <alignment horizontal="center" vertical="center"/>
    </xf>
    <xf fontId="91" fillId="88" borderId="85" applyFont="1" applyFill="1" applyBorder="1">
      <alignment horizontal="center"/>
    </xf>
    <xf fontId="92" fillId="89" borderId="86" applyFont="1" applyFill="1" applyBorder="1" numFmtId="166">
      <alignment horizontal="center"/>
    </xf>
    <xf fontId="93" fillId="90" borderId="87" applyFont="1" applyFill="1" applyBorder="1" numFmtId="3"/>
    <xf fontId="94" fillId="91" borderId="88" applyFont="1" applyFill="1" applyBorder="1" numFmtId="3"/>
    <xf fontId="95" fillId="92" borderId="89" applyFont="1" applyFill="1" applyBorder="1" numFmtId="3"/>
    <xf fontId="96" fillId="93" borderId="90" applyFont="1" applyFill="1" applyBorder="1" numFmtId="3"/>
    <xf fontId="97" fillId="94" borderId="91" applyFont="1" applyFill="1" applyBorder="1" numFmtId="3"/>
    <xf fontId="98" fillId="95" borderId="92" applyFont="1" applyFill="1" applyBorder="1" numFmtId="3"/>
    <xf fontId="99" fillId="96" borderId="93" applyFont="1" applyFill="1" applyBorder="1" numFmtId="3"/>
    <xf fontId="100" fillId="97" borderId="94" applyFont="1" applyFill="1" applyBorder="1">
      <alignment horizontal="center"/>
    </xf>
    <xf fontId="101" fillId="98" borderId="95" applyFont="1" applyFill="1" applyBorder="1" numFmtId="166">
      <alignment horizontal="center"/>
    </xf>
    <xf fontId="102" fillId="99" borderId="96" applyFont="1" applyFill="1" applyBorder="1" numFmtId="3"/>
    <xf fontId="103" fillId="100" borderId="97" applyFont="1" applyFill="1" applyBorder="1" numFmtId="3"/>
    <xf fontId="104" fillId="101" borderId="98" applyFont="1" applyFill="1" applyBorder="1" numFmtId="3"/>
    <xf fontId="105" fillId="102" borderId="99" applyFont="1" applyFill="1" applyBorder="1" numFmtId="3"/>
    <xf fontId="106" fillId="103" borderId="100" applyFont="1" applyFill="1" applyBorder="1" numFmtId="3"/>
    <xf fontId="107" fillId="104" borderId="101" applyFont="1" applyFill="1" applyBorder="1" numFmtId="3"/>
    <xf fontId="108" fillId="105" borderId="102" applyFont="1" applyFill="1" applyBorder="1" numFmtId="3"/>
    <xf fontId="109" fillId="106" borderId="103" applyFont="1" applyFill="1" applyBorder="1">
      <alignment horizontal="center"/>
    </xf>
    <xf fontId="110" fillId="107" borderId="104" applyFont="1" applyFill="1" applyBorder="1" numFmtId="166">
      <alignment horizontal="center"/>
    </xf>
    <xf fontId="111" fillId="108" borderId="105" applyFont="1" applyFill="1" applyBorder="1" numFmtId="3"/>
    <xf fontId="112" fillId="109" borderId="106" applyFont="1" applyFill="1" applyBorder="1" numFmtId="3"/>
    <xf fontId="113" fillId="110" borderId="107" applyFont="1" applyFill="1" applyBorder="1" numFmtId="3"/>
    <xf fontId="114" fillId="111" borderId="108" applyFont="1" applyFill="1" applyBorder="1" numFmtId="3"/>
    <xf fontId="115" fillId="112" borderId="109" applyFont="1" applyFill="1" applyBorder="1" numFmtId="3"/>
    <xf fontId="116" fillId="113" borderId="110" applyFont="1" applyFill="1" applyBorder="1" numFmtId="3"/>
    <xf fontId="117" fillId="114" borderId="111" applyFont="1" applyFill="1" applyBorder="1" numFmtId="3"/>
    <xf fontId="118" fillId="115" borderId="112" applyFont="1" applyFill="1" applyBorder="1">
      <alignment horizontal="center"/>
    </xf>
    <xf fontId="119" fillId="116" borderId="113" applyFont="1" applyFill="1" applyBorder="1" numFmtId="166">
      <alignment horizontal="center"/>
    </xf>
    <xf fontId="120" fillId="117" borderId="114" applyFont="1" applyFill="1" applyBorder="1" numFmtId="3"/>
    <xf fontId="121" fillId="118" borderId="115" applyFont="1" applyFill="1" applyBorder="1" numFmtId="3"/>
    <xf fontId="122" fillId="119" borderId="116" applyFont="1" applyFill="1" applyBorder="1" numFmtId="3"/>
    <xf fontId="123" fillId="120" borderId="117" applyFont="1" applyFill="1" applyBorder="1" numFmtId="3"/>
    <xf fontId="124" fillId="121" borderId="118" applyFont="1" applyFill="1" applyBorder="1" numFmtId="3"/>
    <xf fontId="125" fillId="122" borderId="119" applyFont="1" applyFill="1" applyBorder="1" numFmtId="3"/>
    <xf fontId="126" fillId="123" borderId="120" applyFont="1" applyFill="1" applyBorder="1" numFmtId="3"/>
    <xf fontId="127" fillId="124" borderId="121" applyFont="1" applyFill="1" applyBorder="1">
      <alignment horizontal="center"/>
    </xf>
    <xf fontId="128" fillId="125" borderId="122" applyFont="1" applyFill="1" applyBorder="1" numFmtId="166">
      <alignment horizontal="center"/>
    </xf>
    <xf fontId="129" fillId="126" borderId="123" applyFont="1" applyFill="1" applyBorder="1" numFmtId="3"/>
    <xf fontId="130" fillId="127" borderId="124" applyFont="1" applyFill="1" applyBorder="1" numFmtId="3"/>
    <xf fontId="131" fillId="128" borderId="125" applyFont="1" applyFill="1" applyBorder="1" numFmtId="3"/>
    <xf fontId="132" fillId="129" borderId="126" applyFont="1" applyFill="1" applyBorder="1" numFmtId="3"/>
    <xf fontId="133" fillId="130" borderId="127" applyFont="1" applyFill="1" applyBorder="1" numFmtId="3"/>
    <xf fontId="134" fillId="131" borderId="128" applyFont="1" applyFill="1" applyBorder="1" numFmtId="3"/>
    <xf fontId="135" fillId="132" borderId="129" applyFont="1" applyFill="1" applyBorder="1" numFmtId="3"/>
    <xf fontId="136" fillId="133" borderId="130" applyFont="1" applyFill="1" applyBorder="1">
      <alignment horizontal="center"/>
    </xf>
    <xf fontId="137" fillId="134" borderId="131" applyFont="1" applyFill="1" applyBorder="1" numFmtId="166">
      <alignment horizontal="center"/>
    </xf>
    <xf fontId="138" fillId="135" borderId="132" applyFont="1" applyFill="1" applyBorder="1" numFmtId="3"/>
    <xf fontId="139" fillId="136" borderId="133" applyFont="1" applyFill="1" applyBorder="1" numFmtId="3"/>
    <xf fontId="140" fillId="137" borderId="134" applyFont="1" applyFill="1" applyBorder="1" numFmtId="3"/>
    <xf fontId="141" fillId="138" borderId="135" applyFont="1" applyFill="1" applyBorder="1" numFmtId="3"/>
    <xf fontId="142" fillId="139" borderId="136" applyFont="1" applyFill="1" applyBorder="1" numFmtId="3"/>
    <xf fontId="143" fillId="140" borderId="137" applyFont="1" applyFill="1" applyBorder="1" numFmtId="3"/>
    <xf fontId="144" fillId="141" borderId="138" applyFont="1" applyFill="1" applyBorder="1" numFmtId="3"/>
    <xf fontId="145" fillId="142" borderId="139" applyFont="1" applyFill="1" applyBorder="1">
      <alignment horizontal="center"/>
    </xf>
    <xf fontId="146" fillId="143" borderId="140" applyFont="1" applyFill="1" applyBorder="1" numFmtId="3"/>
    <xf fontId="147" fillId="144" borderId="141" applyFont="1" applyFill="1" applyBorder="1" numFmtId="3"/>
    <xf fontId="148" fillId="145" borderId="142" applyFont="1" applyFill="1" applyBorder="1" numFmtId="3"/>
    <xf fontId="149" fillId="146" borderId="143" applyFont="1" applyFill="1" applyBorder="1" numFmtId="3"/>
    <xf fontId="150" fillId="147" borderId="144" applyFont="1" applyFill="1" applyBorder="1" numFmtId="3"/>
    <xf fontId="151" fillId="148" borderId="145" applyFont="1" applyFill="1" applyBorder="1" numFmtId="3"/>
    <xf fontId="152" fillId="149" borderId="146" applyFont="1" applyFill="1" applyBorder="1" numFmtId="3"/>
    <xf fontId="153" fillId="150" borderId="147" applyFont="1" applyFill="1" applyBorder="1" numFmtId="3"/>
    <xf fontId="154" fillId="151" borderId="148" applyFont="1" applyFill="1" applyBorder="1"/>
    <xf fontId="155" fillId="152" borderId="149" applyFont="1" applyFill="1" applyBorder="1"/>
    <xf fontId="156" fillId="153" borderId="150" applyFont="1" applyFill="1" applyBorder="1"/>
    <xf fontId="157" fillId="154" borderId="151" applyFont="1" applyFill="1" applyBorder="1"/>
    <xf fontId="158" fillId="155" borderId="152" applyFont="1" applyFill="1" applyBorder="1"/>
    <xf fontId="159" fillId="156" borderId="153" applyFont="1" applyFill="1" applyBorder="1"/>
    <xf fontId="160" fillId="157" borderId="154" applyFont="1" applyFill="1" applyBorder="1"/>
    <xf fontId="161" fillId="158" borderId="155" applyFont="1" applyFill="1" applyBorder="1"/>
    <xf fontId="162" fillId="159" borderId="156" applyFont="1" applyFill="1" applyBorder="1"/>
    <xf fontId="163" fillId="160" borderId="157" applyFont="1" applyFill="1" applyBorder="1"/>
    <xf fontId="164" fillId="161" borderId="158" applyFont="1" applyFill="1" applyBorder="1"/>
    <xf fontId="165" fillId="162" borderId="159" applyFont="1" applyFill="1" applyBorder="1"/>
    <xf fontId="166" fillId="163" borderId="160" applyFont="1" applyFill="1" applyBorder="1"/>
    <xf fontId="167" fillId="164" borderId="161" applyFont="1" applyFill="1" applyBorder="1"/>
    <xf fontId="168" fillId="165" borderId="162" applyFont="1" applyFill="1" applyBorder="1"/>
    <xf fontId="169" fillId="166" borderId="163" applyFont="1" applyFill="1" applyBorder="1"/>
    <xf fontId="170" fillId="167" borderId="164" applyFont="1" applyFill="1" applyBorder="1"/>
    <xf fontId="171" fillId="168" borderId="165" applyFont="1" applyFill="1" applyBorder="1"/>
    <xf fontId="172" fillId="169" borderId="166" applyFont="1" applyFill="1" applyBorder="1"/>
    <xf fontId="173" fillId="170" borderId="167" applyFont="1" applyFill="1" applyBorder="1"/>
    <xf fontId="174" fillId="171" borderId="168" applyFont="1" applyFill="1" applyBorder="1"/>
    <xf fontId="175" fillId="172" borderId="169" applyFont="1" applyFill="1" applyBorder="1"/>
    <xf fontId="176" fillId="173" borderId="170" applyFont="1" applyFill="1" applyBorder="1"/>
    <xf fontId="177" fillId="174" borderId="171" applyFont="1" applyFill="1" applyBorder="1"/>
    <xf fontId="178" fillId="175" borderId="172" applyFont="1" applyFill="1" applyBorder="1"/>
    <xf fontId="179" fillId="176" borderId="173" applyFont="1" applyFill="1" applyBorder="1"/>
    <xf fontId="180" fillId="177" borderId="174" applyFont="1" applyFill="1" applyBorder="1"/>
    <xf fontId="181" fillId="178" borderId="175" applyFont="1" applyFill="1" applyBorder="1"/>
    <xf fontId="182" fillId="179" borderId="176" applyFont="1" applyFill="1" applyBorder="1"/>
    <xf fontId="183" fillId="180" borderId="177" applyFont="1" applyFill="1" applyBorder="1"/>
    <xf fontId="184" fillId="181" borderId="178" applyFont="1" applyFill="1" applyBorder="1"/>
    <xf fontId="185" fillId="182" borderId="179" applyFont="1" applyFill="1" applyBorder="1"/>
    <xf fontId="186" fillId="183" borderId="180" applyFont="1" applyFill="1" applyBorder="1"/>
    <xf fontId="187" fillId="184" borderId="181" applyFont="1" applyFill="1" applyBorder="1"/>
    <xf fontId="188" fillId="185" borderId="182" applyFont="1" applyFill="1" applyBorder="1"/>
    <xf fontId="189" fillId="186" borderId="183" applyFont="1" applyFill="1" applyBorder="1"/>
    <xf fontId="190" fillId="187" borderId="184" applyFont="1" applyFill="1" applyBorder="1"/>
    <xf fontId="191" fillId="188" borderId="185" applyFont="1" applyFill="1" applyBorder="1"/>
    <xf fontId="192" fillId="189" borderId="186" applyFont="1" applyFill="1" applyBorder="1"/>
    <xf fontId="193" fillId="190" borderId="187" applyFont="1" applyFill="1" applyBorder="1"/>
    <xf fontId="194" fillId="191" borderId="188" applyFont="1" applyFill="1" applyBorder="1"/>
    <xf fontId="195" fillId="192" borderId="189" applyFont="1" applyFill="1" applyBorder="1"/>
    <xf fontId="196" fillId="193" borderId="190" applyFont="1" applyFill="1" applyBorder="1"/>
    <xf fontId="197" fillId="194" borderId="191" applyFont="1" applyFill="1" applyBorder="1"/>
    <xf fontId="198" fillId="195" borderId="192" applyFont="1" applyFill="1" applyBorder="1"/>
    <xf fontId="199" fillId="196" borderId="193" applyFont="1" applyFill="1" applyBorder="1"/>
    <xf fontId="200" fillId="197" borderId="194" applyFont="1" applyFill="1" applyBorder="1"/>
    <xf fontId="201" fillId="198" borderId="195" applyFont="1" applyFill="1" applyBorder="1"/>
    <xf fontId="202" fillId="199" borderId="196" applyFont="1" applyFill="1" applyBorder="1"/>
    <xf fontId="203" fillId="200" borderId="197" applyFont="1" applyFill="1" applyBorder="1"/>
    <xf fontId="204" fillId="201" borderId="198" applyFont="1" applyFill="1" applyBorder="1"/>
    <xf fontId="205" fillId="202" borderId="199" applyFont="1" applyFill="1" applyBorder="1"/>
    <xf fontId="206" fillId="203" borderId="200" applyFont="1" applyFill="1" applyBorder="1"/>
    <xf fontId="207" fillId="204" borderId="201" applyFont="1" applyFill="1" applyBorder="1"/>
    <xf fontId="208" fillId="205" borderId="202" applyFont="1" applyFill="1" applyBorder="1"/>
    <xf fontId="209" fillId="206" borderId="203" applyFont="1" applyFill="1" applyBorder="1"/>
    <xf fontId="210" fillId="207" borderId="204" applyFont="1" applyFill="1" applyBorder="1"/>
    <xf fontId="211" fillId="208" borderId="205" applyFont="1" applyFill="1" applyBorder="1"/>
    <xf fontId="212" fillId="209" borderId="206" applyFont="1" applyFill="1" applyBorder="1"/>
    <xf fontId="213" fillId="210" borderId="207" applyFont="1" applyFill="1" applyBorder="1"/>
    <xf fontId="214" fillId="211" borderId="208" applyFont="1" applyFill="1" applyBorder="1"/>
    <xf fontId="215" fillId="212" borderId="209" applyFont="1" applyFill="1" applyBorder="1"/>
    <xf fontId="216" fillId="213" borderId="210" applyFont="1" applyFill="1" applyBorder="1"/>
    <xf fontId="217" fillId="214" borderId="211" applyFont="1" applyFill="1" applyBorder="1"/>
    <xf fontId="218" fillId="215" borderId="212" applyFont="1" applyFill="1" applyBorder="1"/>
    <xf fontId="219" fillId="216" borderId="213" applyFont="1" applyFill="1" applyBorder="1"/>
    <xf fontId="220" fillId="217" borderId="214" applyFont="1" applyFill="1" applyBorder="1"/>
    <xf fontId="221" fillId="218" borderId="215" applyFont="1" applyFill="1" applyBorder="1"/>
    <xf fontId="222" fillId="219" borderId="216" applyFont="1" applyFill="1" applyBorder="1"/>
    <xf fontId="223" fillId="220" borderId="217" applyFont="1" applyFill="1" applyBorder="1"/>
    <xf fontId="224" fillId="221" borderId="218" applyFont="1" applyFill="1" applyBorder="1"/>
    <xf fontId="225" fillId="222" borderId="219" applyFont="1" applyFill="1" applyBorder="1"/>
    <xf fontId="226" fillId="223" borderId="220" applyFont="1" applyFill="1" applyBorder="1"/>
    <xf fontId="227" fillId="224" borderId="221" applyFont="1" applyFill="1" applyBorder="1"/>
    <xf fontId="228" fillId="225" borderId="222" applyFont="1" applyFill="1" applyBorder="1"/>
    <xf fontId="229" fillId="226" borderId="223" applyFont="1" applyFill="1" applyBorder="1"/>
    <xf fontId="230" fillId="227" borderId="224" applyFont="1" applyFill="1" applyBorder="1"/>
    <xf fontId="231" fillId="228" borderId="225" applyFont="1" applyFill="1" applyBorder="1"/>
    <xf fontId="232" fillId="229" borderId="226" applyFont="1" applyFill="1" applyBorder="1"/>
    <xf fontId="233" fillId="230" borderId="227" applyFont="1" applyFill="1" applyBorder="1"/>
    <xf fontId="234" fillId="231" borderId="228" applyFont="1" applyFill="1" applyBorder="1"/>
    <xf fontId="235" fillId="232" borderId="229" applyFont="1" applyFill="1" applyBorder="1"/>
    <xf fontId="236" fillId="233" borderId="230" applyFont="1" applyFill="1" applyBorder="1"/>
    <xf fontId="237" fillId="234" borderId="231" applyFont="1" applyFill="1" applyBorder="1"/>
    <xf fontId="238" fillId="235" borderId="232" applyFont="1" applyFill="1" applyBorder="1"/>
    <xf fontId="239" fillId="236" borderId="233" applyFont="1" applyFill="1" applyBorder="1"/>
    <xf fontId="240" fillId="237" borderId="234" applyFont="1" applyFill="1" applyBorder="1"/>
    <xf fontId="241" fillId="238" borderId="235" applyFont="1" applyFill="1" applyBorder="1"/>
    <xf fontId="242" fillId="239" borderId="236" applyFont="1" applyFill="1" applyBorder="1"/>
    <xf fontId="243" fillId="240" borderId="237" applyFont="1" applyFill="1" applyBorder="1"/>
    <xf fontId="244" fillId="241" borderId="238" applyFont="1" applyFill="1" applyBorder="1"/>
    <xf fontId="245" fillId="242" borderId="239" applyFont="1" applyFill="1" applyBorder="1"/>
    <xf fontId="246" fillId="243" borderId="240" applyFont="1" applyFill="1" applyBorder="1"/>
    <xf fontId="247" fillId="244" borderId="241" applyFont="1" applyFill="1" applyBorder="1"/>
    <xf fontId="248" fillId="245" borderId="242" applyFont="1" applyFill="1" applyBorder="1"/>
    <xf fontId="249" fillId="246" borderId="243" applyFont="1" applyFill="1" applyBorder="1"/>
    <xf fontId="250" fillId="247" borderId="244" applyFont="1" applyFill="1" applyBorder="1"/>
    <xf fontId="251" fillId="248" borderId="245" applyFont="1" applyFill="1" applyBorder="1"/>
    <xf fontId="252" fillId="249" borderId="246" applyFont="1" applyFill="1" applyBorder="1"/>
    <xf fontId="253" fillId="250" borderId="247" applyFont="1" applyFill="1" applyBorder="1"/>
    <xf fontId="254" fillId="251" borderId="248" applyFont="1" applyFill="1" applyBorder="1"/>
    <xf fontId="255" fillId="252" borderId="249" applyFont="1" applyFill="1" applyBorder="1"/>
    <xf fontId="256" fillId="253" borderId="250" applyFont="1" applyFill="1" applyBorder="1"/>
    <xf fontId="257" fillId="254" borderId="251" applyFont="1" applyFill="1" applyBorder="1"/>
    <xf fontId="258" fillId="255" borderId="252" applyFont="1" applyFill="1" applyBorder="1"/>
    <xf fontId="259" fillId="256" borderId="253" applyFont="1" applyFill="1" applyBorder="1"/>
    <xf fontId="260" fillId="257" borderId="254" applyFont="1" applyFill="1" applyBorder="1"/>
    <xf fontId="261" fillId="258" borderId="255" applyFont="1" applyFill="1" applyBorder="1"/>
    <xf fontId="262" fillId="259" borderId="256" applyFont="1" applyFill="1" applyBorder="1"/>
    <xf fontId="263" fillId="260" borderId="257" applyFont="1" applyFill="1" applyBorder="1"/>
    <xf fontId="264" fillId="261" borderId="258" applyFont="1" applyFill="1" applyBorder="1"/>
    <xf fontId="265" fillId="262" borderId="259" applyFont="1" applyFill="1" applyBorder="1"/>
    <xf fontId="266" fillId="263" borderId="260" applyFont="1" applyFill="1" applyBorder="1"/>
    <xf fontId="267" fillId="264" borderId="261" applyFont="1" applyFill="1" applyBorder="1"/>
    <xf fontId="268" fillId="265" borderId="262" applyFont="1" applyFill="1" applyBorder="1"/>
    <xf fontId="269" fillId="266" borderId="263" applyFont="1" applyFill="1" applyBorder="1"/>
    <xf fontId="270" fillId="267" borderId="264" applyFont="1" applyFill="1" applyBorder="1"/>
    <xf fontId="271" fillId="268" borderId="265" applyFont="1" applyFill="1" applyBorder="1"/>
    <xf fontId="272" fillId="269" borderId="266" applyFont="1" applyFill="1" applyBorder="1"/>
    <xf fontId="273" fillId="270" borderId="267" applyFont="1" applyFill="1" applyBorder="1"/>
    <xf fontId="274" fillId="271" borderId="268" applyFont="1" applyFill="1" applyBorder="1"/>
    <xf fontId="275" fillId="272" borderId="269" applyFont="1" applyFill="1" applyBorder="1"/>
    <xf fontId="276" fillId="273" borderId="270" applyFont="1" applyFill="1" applyBorder="1"/>
    <xf fontId="277" fillId="274" borderId="271" applyFont="1" applyFill="1" applyBorder="1"/>
    <xf fontId="278" fillId="275" borderId="272" applyFont="1" applyFill="1" applyBorder="1"/>
    <xf fontId="279" fillId="276" borderId="273" applyFont="1" applyFill="1" applyBorder="1"/>
    <xf fontId="280" fillId="277" borderId="274" applyFont="1" applyFill="1" applyBorder="1"/>
    <xf fontId="281" fillId="278" borderId="275" applyFont="1" applyFill="1" applyBorder="1"/>
    <xf fontId="282" fillId="279" borderId="276" applyFont="1" applyFill="1" applyBorder="1"/>
    <xf fontId="283" fillId="280" borderId="277" applyFont="1" applyFill="1" applyBorder="1"/>
    <xf fontId="284" fillId="281" borderId="278" applyFont="1" applyFill="1" applyBorder="1"/>
    <xf fontId="285" fillId="282" borderId="279" applyFont="1" applyFill="1" applyBorder="1"/>
    <xf fontId="286" fillId="283" borderId="280" applyFont="1" applyFill="1" applyBorder="1"/>
    <xf fontId="287" fillId="284" borderId="281" applyFont="1" applyFill="1" applyBorder="1"/>
    <xf fontId="288" fillId="285" borderId="282" applyFont="1" applyFill="1" applyBorder="1"/>
    <xf fontId="289" fillId="286" borderId="283" applyFont="1" applyFill="1" applyBorder="1"/>
    <xf fontId="290" fillId="287" borderId="284" applyFont="1" applyFill="1" applyBorder="1"/>
    <xf fontId="291" fillId="288" borderId="285" applyFont="1" applyFill="1" applyBorder="1"/>
    <xf fontId="292" fillId="289" borderId="286" applyFont="1" applyFill="1" applyBorder="1"/>
    <xf fontId="293" fillId="290" borderId="287" applyFont="1" applyFill="1" applyBorder="1"/>
    <xf fontId="294" fillId="291" borderId="288" applyFont="1" applyFill="1" applyBorder="1"/>
    <xf fontId="295" fillId="292" borderId="289" applyFont="1" applyFill="1" applyBorder="1"/>
    <xf fontId="296" fillId="293" borderId="290" applyFont="1" applyFill="1" applyBorder="1"/>
    <xf fontId="297" fillId="294" borderId="291" applyFont="1" applyFill="1" applyBorder="1"/>
    <xf fontId="298" fillId="295" borderId="292" applyFont="1" applyFill="1" applyBorder="1"/>
    <xf fontId="299" fillId="296" borderId="293" applyFont="1" applyFill="1" applyBorder="1"/>
    <xf fontId="300" fillId="297" borderId="294" applyFont="1" applyFill="1" applyBorder="1"/>
    <xf fontId="301" fillId="298" borderId="295" applyFont="1" applyFill="1" applyBorder="1"/>
    <xf fontId="302" fillId="299" borderId="296" applyFont="1" applyFill="1" applyBorder="1"/>
    <xf fontId="303" fillId="300" borderId="297" applyFont="1" applyFill="1" applyBorder="1"/>
    <xf fontId="304" fillId="301" borderId="298" applyFont="1" applyFill="1" applyBorder="1"/>
    <xf fontId="305" fillId="302" borderId="299" applyFont="1" applyFill="1" applyBorder="1"/>
    <xf fontId="306" fillId="303" borderId="300" applyFont="1" applyFill="1" applyBorder="1"/>
    <xf fontId="307" fillId="304" borderId="301" applyFont="1" applyFill="1" applyBorder="1"/>
    <xf fontId="308" fillId="305" borderId="302" applyFont="1" applyFill="1" applyBorder="1"/>
    <xf fontId="309" fillId="306" borderId="303" applyFont="1" applyFill="1" applyBorder="1"/>
    <xf fontId="310" fillId="307" borderId="304" applyFont="1" applyFill="1" applyBorder="1"/>
    <xf fontId="311" fillId="308" borderId="305" applyFont="1" applyFill="1" applyBorder="1"/>
    <xf fontId="312" fillId="309" borderId="306" applyFont="1" applyFill="1" applyBorder="1"/>
    <xf fontId="313" fillId="310" borderId="307" applyFont="1" applyFill="1" applyBorder="1"/>
    <xf fontId="314" fillId="311" borderId="308" applyFont="1" applyFill="1" applyBorder="1"/>
    <xf fontId="315" fillId="312" borderId="309" applyFont="1" applyFill="1" applyBorder="1"/>
    <xf fontId="316" fillId="313" borderId="310" applyFont="1" applyFill="1" applyBorder="1"/>
    <xf fontId="317" fillId="314" borderId="311" applyFont="1" applyFill="1" applyBorder="1"/>
    <xf fontId="318" fillId="315" borderId="312" applyFont="1" applyFill="1" applyBorder="1"/>
    <xf fontId="319" fillId="316" borderId="313" applyFont="1" applyFill="1" applyBorder="1"/>
    <xf fontId="320" fillId="317" borderId="314" applyFont="1" applyFill="1" applyBorder="1"/>
    <xf fontId="321" fillId="318" borderId="315" applyFont="1" applyFill="1" applyBorder="1"/>
    <xf fontId="322" fillId="319" borderId="316" applyFont="1" applyFill="1" applyBorder="1"/>
    <xf fontId="323" fillId="320" borderId="317" applyFont="1" applyFill="1" applyBorder="1"/>
    <xf fontId="324" fillId="321" borderId="318" applyFont="1" applyFill="1" applyBorder="1"/>
    <xf fontId="325" fillId="322" borderId="319" applyFont="1" applyFill="1" applyBorder="1" numFmtId="166"/>
    <xf fontId="326" fillId="323" borderId="320" applyFont="1" applyFill="1" applyBorder="1" numFmtId="166"/>
    <xf fontId="327" fillId="324" borderId="321" applyFont="1" applyFill="1" applyBorder="1" numFmtId="166"/>
    <xf fontId="328" fillId="325" borderId="322" applyFont="1" applyFill="1" applyBorder="1" numFmtId="166"/>
    <xf fontId="329" fillId="326" borderId="323" applyFont="1" applyFill="1" applyBorder="1" numFmtId="166"/>
    <xf fontId="330" fillId="327" borderId="324" applyFont="1" applyFill="1" applyBorder="1" numFmtId="166"/>
    <xf fontId="331" fillId="328" borderId="325" applyFont="1" applyFill="1" applyBorder="1" numFmtId="166"/>
    <xf fontId="332" fillId="329" borderId="326" applyFont="1" applyFill="1" applyBorder="1" numFmtId="166"/>
    <xf fontId="333" fillId="330" borderId="327" applyFont="1" applyFill="1" applyBorder="1" numFmtId="166"/>
    <xf fontId="334" fillId="331" borderId="328" applyFont="1" applyFill="1" applyBorder="1" numFmtId="166"/>
    <xf fontId="335" fillId="332" borderId="329" applyFont="1" applyFill="1" applyBorder="1" numFmtId="166"/>
    <xf fontId="336" fillId="333" borderId="330" applyFont="1" applyFill="1" applyBorder="1" numFmtId="166"/>
    <xf fontId="337" fillId="334" borderId="331" applyFont="1" applyFill="1" applyBorder="1" numFmtId="166"/>
    <xf fontId="338" fillId="335" borderId="332" applyFont="1" applyFill="1" applyBorder="1" numFmtId="166"/>
    <xf fontId="339" fillId="336" borderId="333" applyFont="1" applyFill="1" applyBorder="1" numFmtId="166"/>
    <xf fontId="340" fillId="337" borderId="334" applyFont="1" applyFill="1" applyBorder="1" numFmtId="166"/>
    <xf fontId="341" fillId="338" borderId="335" applyFont="1" applyFill="1" applyBorder="1" numFmtId="166"/>
    <xf fontId="342" fillId="339" borderId="336" applyFont="1" applyFill="1" applyBorder="1" numFmtId="166"/>
    <xf fontId="343" fillId="340" borderId="337" applyFont="1" applyFill="1" applyBorder="1" numFmtId="166"/>
    <xf fontId="344" fillId="341" borderId="338" applyFont="1" applyFill="1" applyBorder="1" numFmtId="166"/>
    <xf fontId="345" fillId="342" borderId="339" applyFont="1" applyFill="1" applyBorder="1" numFmtId="166"/>
    <xf fontId="346" fillId="343" borderId="340" applyFont="1" applyFill="1" applyBorder="1" numFmtId="166"/>
    <xf fontId="347" fillId="344" borderId="341" applyFont="1" applyFill="1" applyBorder="1" numFmtId="166"/>
    <xf fontId="348" fillId="345" borderId="342" applyFont="1" applyFill="1" applyBorder="1" numFmtId="166"/>
    <xf fontId="349" fillId="346" borderId="343" applyFont="1" applyFill="1" applyBorder="1" numFmtId="166"/>
    <xf fontId="350" fillId="347" borderId="344" applyFont="1" applyFill="1" applyBorder="1" numFmtId="166"/>
    <xf fontId="351" fillId="348" borderId="345" applyFont="1" applyFill="1" applyBorder="1" numFmtId="166"/>
    <xf fontId="352" fillId="349" borderId="346" applyFont="1" applyFill="1" applyBorder="1" numFmtId="166"/>
    <xf fontId="353" fillId="350" borderId="347" applyFont="1" applyFill="1" applyBorder="1" numFmtId="166"/>
    <xf fontId="354" fillId="351" borderId="348" applyFont="1" applyFill="1" applyBorder="1" numFmtId="166"/>
    <xf fontId="355" fillId="352" borderId="349" applyFont="1" applyFill="1" applyBorder="1"/>
    <xf fontId="356" fillId="353" borderId="350" applyFont="1" applyFill="1" applyBorder="1"/>
    <xf fontId="357" fillId="354" borderId="351" applyFont="1" applyFill="1" applyBorder="1"/>
    <xf fontId="358" fillId="355" borderId="352" applyFont="1" applyFill="1" applyBorder="1"/>
    <xf fontId="359" fillId="356" borderId="353" applyFont="1" applyFill="1" applyBorder="1"/>
    <xf fontId="360" fillId="357" borderId="354" applyFont="1" applyFill="1" applyBorder="1"/>
    <xf fontId="361" fillId="358" borderId="355" applyFont="1" applyFill="1" applyBorder="1"/>
    <xf fontId="362" fillId="359" borderId="356" applyFont="1" applyFill="1" applyBorder="1"/>
    <xf fontId="363" fillId="360" borderId="357" applyFont="1" applyFill="1" applyBorder="1"/>
    <xf fontId="364" fillId="361" borderId="358" applyFont="1" applyFill="1" applyBorder="1"/>
    <xf fontId="365" fillId="362" borderId="359" applyFont="1" applyFill="1" applyBorder="1"/>
    <xf fontId="366" fillId="363" borderId="360" applyFont="1" applyFill="1" applyBorder="1"/>
    <xf fontId="367" fillId="364" borderId="361" applyFont="1" applyFill="1" applyBorder="1"/>
    <xf fontId="368" fillId="365" borderId="362" applyFont="1" applyFill="1" applyBorder="1"/>
    <xf fontId="369" fillId="366" borderId="363" applyFont="1" applyFill="1" applyBorder="1"/>
    <xf fontId="370" fillId="367" borderId="364" applyFont="1" applyFill="1" applyBorder="1"/>
    <xf fontId="371" fillId="368" borderId="365" applyFont="1" applyFill="1" applyBorder="1"/>
    <xf fontId="372" fillId="369" borderId="366" applyFont="1" applyFill="1" applyBorder="1"/>
    <xf fontId="373" fillId="370" borderId="367" applyFont="1" applyFill="1" applyBorder="1"/>
    <xf fontId="374" fillId="371" borderId="368" applyFont="1" applyFill="1" applyBorder="1"/>
    <xf fontId="375" fillId="372" borderId="369" applyFont="1" applyFill="1" applyBorder="1"/>
    <xf fontId="376" fillId="373" borderId="370" applyFont="1" applyFill="1" applyBorder="1"/>
    <xf fontId="377" fillId="374" borderId="371" applyFont="1" applyFill="1" applyBorder="1"/>
    <xf fontId="378" fillId="375" borderId="372" applyFont="1" applyFill="1" applyBorder="1"/>
    <xf fontId="379" fillId="376" borderId="373" applyFont="1" applyFill="1" applyBorder="1"/>
    <xf fontId="380" fillId="377" borderId="374" applyFont="1" applyFill="1" applyBorder="1"/>
    <xf fontId="381" fillId="378" borderId="375" applyFont="1" applyFill="1" applyBorder="1"/>
    <xf fontId="382" fillId="379" borderId="376" applyFont="1" applyFill="1" applyBorder="1"/>
    <xf fontId="383" fillId="380" borderId="377" applyFont="1" applyFill="1" applyBorder="1"/>
    <xf fontId="384" fillId="381" borderId="378" applyFont="1" applyFill="1" applyBorder="1"/>
    <xf fontId="385" fillId="382" borderId="379" applyFont="1" applyFill="1" applyBorder="1"/>
    <xf fontId="386" fillId="383" borderId="380" applyFont="1" applyFill="1" applyBorder="1"/>
    <xf fontId="387" fillId="384" borderId="381" applyFont="1" applyFill="1" applyBorder="1"/>
    <xf fontId="388" fillId="385" borderId="382" applyFont="1" applyFill="1" applyBorder="1"/>
    <xf fontId="389" fillId="386" borderId="383" applyFont="1" applyFill="1" applyBorder="1"/>
    <xf fontId="390" fillId="387" borderId="384" applyFont="1" applyFill="1" applyBorder="1"/>
    <xf fontId="391" fillId="388" borderId="385" applyFont="1" applyFill="1" applyBorder="1"/>
    <xf fontId="392" fillId="389" borderId="386" applyFont="1" applyFill="1" applyBorder="1"/>
  </cellXfs>
  <cellStyles count="2">
    <cellStyle name="Normal" xfId="0" builtinId="0"/>
    <cellStyle name="Normal 2" xfId="1" xr:uid="{BCCA1864-8AB9-44B7-BD98-57B365AB0C60}"/>
  </cellStyles>
  <dxfs count="7">
    <dxf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Relationship Id="rId17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Litros</c:v>
          </c:tx>
          <c:invertIfNegative val="1"/>
          <c:cat>
            <c:strRef>
              <c:f>Dashboard!$D$4:$D$6</c:f>
              <c:strCache>
                <c:ptCount val="3"/>
                <c:pt idx="0">
                  <c:v>México-Toluca</c:v>
                </c:pt>
                <c:pt idx="1">
                  <c:v>Lerma - Tres Marías</c:v>
                </c:pt>
                <c:pt idx="2">
                  <c:v>Chamapa-Lechería</c:v>
                </c:pt>
              </c:strCache>
            </c:strRef>
          </c:cat>
          <c:val>
            <c:numRef>
              <c:f>Dashboard!$E$4:$E$6</c:f>
              <c:numCache>
                <c:formatCode>#,##0.00</c:formatCode>
                <c:ptCount val="3"/>
                <c:pt idx="0">
                  <c:v>1285</c:v>
                </c:pt>
                <c:pt idx="1">
                  <c:v>872</c:v>
                </c:pt>
                <c:pt idx="2">
                  <c:v>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0-485C-850E-CD4FBAC68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Peticiones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Dashboard_Ejecutivo!$D$4</c:f>
              <c:strCache>
                <c:ptCount val="1"/>
                <c:pt idx="0">
                  <c:v>Litros Solicitados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Dashboard_Ejecutivo!$D$5:$D$16</c:f>
              <c:numCache>
                <c:formatCode>General</c:formatCode>
                <c:ptCount val="12"/>
                <c:pt idx="0">
                  <c:v>160</c:v>
                </c:pt>
                <c:pt idx="1">
                  <c:v>640</c:v>
                </c:pt>
                <c:pt idx="2">
                  <c:v>100</c:v>
                </c:pt>
                <c:pt idx="3">
                  <c:v>990</c:v>
                </c:pt>
                <c:pt idx="4">
                  <c:v>100</c:v>
                </c:pt>
                <c:pt idx="5">
                  <c:v>790</c:v>
                </c:pt>
                <c:pt idx="6">
                  <c:v>210</c:v>
                </c:pt>
                <c:pt idx="7">
                  <c:v>320</c:v>
                </c:pt>
                <c:pt idx="8">
                  <c:v>70</c:v>
                </c:pt>
                <c:pt idx="9">
                  <c:v>460</c:v>
                </c:pt>
                <c:pt idx="10">
                  <c:v>620</c:v>
                </c:pt>
                <c:pt idx="1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5-4955-817E-309108568BD8}"/>
            </c:ext>
          </c:extLst>
        </c:ser>
        <c:ser>
          <c:idx val="1"/>
          <c:order val="1"/>
          <c:tx>
            <c:strRef>
              <c:f>Dashboard_Ejecutivo!$E$4</c:f>
              <c:strCache>
                <c:ptCount val="1"/>
                <c:pt idx="0">
                  <c:v>Costo Estimado ($)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Dashboard_Ejecutivo!$E$5:$E$16</c:f>
              <c:numCache>
                <c:formatCode>"$"#,##0.00</c:formatCode>
                <c:ptCount val="12"/>
                <c:pt idx="0">
                  <c:v>4528</c:v>
                </c:pt>
                <c:pt idx="1">
                  <c:v>18112</c:v>
                </c:pt>
                <c:pt idx="2">
                  <c:v>2830</c:v>
                </c:pt>
                <c:pt idx="3">
                  <c:v>28017</c:v>
                </c:pt>
                <c:pt idx="4">
                  <c:v>2830</c:v>
                </c:pt>
                <c:pt idx="5">
                  <c:v>22357</c:v>
                </c:pt>
                <c:pt idx="6">
                  <c:v>5943</c:v>
                </c:pt>
                <c:pt idx="7">
                  <c:v>9056</c:v>
                </c:pt>
                <c:pt idx="8">
                  <c:v>1981</c:v>
                </c:pt>
                <c:pt idx="9">
                  <c:v>13018</c:v>
                </c:pt>
                <c:pt idx="10">
                  <c:v>17546</c:v>
                </c:pt>
                <c:pt idx="11">
                  <c:v>15282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5-4955-817E-309108568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Salidas Marimba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Dashboard_Ejecutivo!$I$4</c:f>
              <c:strCache>
                <c:ptCount val="1"/>
                <c:pt idx="0">
                  <c:v>Salida (L)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Dashboard_Ejecutivo!$I$5:$I$12</c:f>
              <c:numCache>
                <c:formatCode>General</c:formatCode>
                <c:ptCount val="8"/>
                <c:pt idx="0">
                  <c:v>455</c:v>
                </c:pt>
                <c:pt idx="1">
                  <c:v>97</c:v>
                </c:pt>
                <c:pt idx="2">
                  <c:v>369</c:v>
                </c:pt>
                <c:pt idx="3">
                  <c:v>736</c:v>
                </c:pt>
                <c:pt idx="4">
                  <c:v>300</c:v>
                </c:pt>
                <c:pt idx="5">
                  <c:v>256</c:v>
                </c:pt>
                <c:pt idx="6">
                  <c:v>502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B-490F-91B3-6FB220771F47}"/>
            </c:ext>
          </c:extLst>
        </c:ser>
        <c:ser>
          <c:idx val="1"/>
          <c:order val="1"/>
          <c:tx>
            <c:strRef>
              <c:f>Dashboard_Ejecutivo!$J$4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Dashboard_Ejecutivo!$J$5:$J$12</c:f>
              <c:numCache>
                <c:formatCode>"$"#,##0.00</c:formatCode>
                <c:ptCount val="8"/>
                <c:pt idx="0">
                  <c:v>12876.5</c:v>
                </c:pt>
                <c:pt idx="1">
                  <c:v>2745.1</c:v>
                </c:pt>
                <c:pt idx="2">
                  <c:v>10442.700000000001</c:v>
                </c:pt>
                <c:pt idx="3">
                  <c:v>20828.8</c:v>
                </c:pt>
                <c:pt idx="4">
                  <c:v>8490</c:v>
                </c:pt>
                <c:pt idx="5">
                  <c:v>7244.8</c:v>
                </c:pt>
                <c:pt idx="6">
                  <c:v>14206.6</c:v>
                </c:pt>
                <c:pt idx="7">
                  <c:v>10188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B-490F-91B3-6FB22077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Consumo Total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Dashboard_Ejecutivo!$W$4</c:f>
              <c:strCache>
                <c:ptCount val="1"/>
                <c:pt idx="0">
                  <c:v>Litros Recibidos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Dashboard_Ejecutivo!$W$5:$W$9</c:f>
              <c:numCache>
                <c:formatCode>General</c:formatCode>
                <c:ptCount val="5"/>
                <c:pt idx="0">
                  <c:v>200</c:v>
                </c:pt>
                <c:pt idx="1">
                  <c:v>1693</c:v>
                </c:pt>
                <c:pt idx="2">
                  <c:v>872</c:v>
                </c:pt>
                <c:pt idx="3">
                  <c:v>1285</c:v>
                </c:pt>
                <c:pt idx="4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BC3-82EA-419FC4AF9D62}"/>
            </c:ext>
          </c:extLst>
        </c:ser>
        <c:ser>
          <c:idx val="1"/>
          <c:order val="1"/>
          <c:tx>
            <c:strRef>
              <c:f>Dashboard_Ejecutivo!$X$4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Dashboard_Ejecutivo!$X$5:$X$9</c:f>
              <c:numCache>
                <c:formatCode>"$"#,##0.00</c:formatCode>
                <c:ptCount val="5"/>
                <c:pt idx="0">
                  <c:v>5660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A-4BC3-82EA-419FC4AF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Dashboard_Ejecutivo!$C$37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Dashboard_Ejecutivo!$C$38:$C$43</c:f>
              <c:numCache>
                <c:formatCode>"$"#,##0.00</c:formatCode>
                <c:ptCount val="6"/>
                <c:pt idx="0">
                  <c:v>22640</c:v>
                </c:pt>
                <c:pt idx="1">
                  <c:v>30847</c:v>
                </c:pt>
                <c:pt idx="2">
                  <c:v>31130</c:v>
                </c:pt>
                <c:pt idx="3">
                  <c:v>9056</c:v>
                </c:pt>
                <c:pt idx="4">
                  <c:v>14999</c:v>
                </c:pt>
                <c:pt idx="5">
                  <c:v>32828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F-4BE7-99F7-2D965B12A74E}"/>
            </c:ext>
          </c:extLst>
        </c:ser>
        <c:ser>
          <c:idx val="1"/>
          <c:order val="1"/>
          <c:tx>
            <c:strRef>
              <c:f>Dashboard_Ejecutivo!$D$37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Dashboard_Ejecutivo!$D$38:$D$43</c:f>
              <c:numCache>
                <c:formatCode>"$"#,##0.00</c:formatCode>
                <c:ptCount val="6"/>
                <c:pt idx="0">
                  <c:v>0</c:v>
                </c:pt>
                <c:pt idx="1">
                  <c:v>42733</c:v>
                </c:pt>
                <c:pt idx="2">
                  <c:v>25922.799999999999</c:v>
                </c:pt>
                <c:pt idx="3">
                  <c:v>11320</c:v>
                </c:pt>
                <c:pt idx="4">
                  <c:v>30818.7</c:v>
                </c:pt>
                <c:pt idx="5">
                  <c:v>26375.599999999999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F-4BE7-99F7-2D965B12A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Obra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Dashboard_Ejecutivo!$H$37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Dashboard_Ejecutivo!$H$38:$H$42</c:f>
              <c:numCache>
                <c:formatCode>"$"#,##0.00</c:formatCode>
                <c:ptCount val="5"/>
                <c:pt idx="0">
                  <c:v>7641</c:v>
                </c:pt>
                <c:pt idx="1">
                  <c:v>67920</c:v>
                </c:pt>
                <c:pt idx="2">
                  <c:v>23489</c:v>
                </c:pt>
                <c:pt idx="3">
                  <c:v>42450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B-4881-B489-5D0800D67203}"/>
            </c:ext>
          </c:extLst>
        </c:ser>
        <c:ser>
          <c:idx val="1"/>
          <c:order val="1"/>
          <c:tx>
            <c:strRef>
              <c:f>Dashboard_Ejecutivo!$I$37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Dashboard_Ejecutivo!$I$38:$I$42</c:f>
              <c:numCache>
                <c:formatCode>"$"#,##0.00</c:formatCode>
                <c:ptCount val="5"/>
                <c:pt idx="0">
                  <c:v>9905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B-4881-B489-5D0800D6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17</xdr:row>
      <xdr:rowOff>53340</xdr:rowOff>
    </xdr:from>
    <xdr:to>
      <xdr:col>6</xdr:col>
      <xdr:colOff>220980</xdr:colOff>
      <xdr:row>31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43E3C-B075-4E82-821B-77B252845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15</xdr:row>
      <xdr:rowOff>0</xdr:rowOff>
    </xdr:from>
    <xdr:to>
      <xdr:col>13</xdr:col>
      <xdr:colOff>7620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967A1-1FEB-4E6F-B493-B5BA8B2C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15</xdr:row>
      <xdr:rowOff>0</xdr:rowOff>
    </xdr:from>
    <xdr:to>
      <xdr:col>26</xdr:col>
      <xdr:colOff>142875</xdr:colOff>
      <xdr:row>32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663C7-0557-43D8-8AC6-A65FEAB30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594360</xdr:colOff>
      <xdr:row>43</xdr:row>
      <xdr:rowOff>144780</xdr:rowOff>
    </xdr:from>
    <xdr:to>
      <xdr:col>6</xdr:col>
      <xdr:colOff>632460</xdr:colOff>
      <xdr:row>61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D413E-68BD-4E87-9037-E224A4C67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1074420</xdr:colOff>
      <xdr:row>44</xdr:row>
      <xdr:rowOff>7620</xdr:rowOff>
    </xdr:from>
    <xdr:to>
      <xdr:col>12</xdr:col>
      <xdr:colOff>579120</xdr:colOff>
      <xdr:row>61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C4B658-F7D8-4FBF-94AF-11F2369E3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6"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6FC56168-92C9-4A15-92BB-9B6C0E40C899}" name="Equipo"/>
    <tableColumn id="5" xr3:uid="{00000000-0010-0000-0000-000005000000}" name="Economico" dataDxfId="6">
      <calculatedColumnFormula>VLOOKUP(TablaPegaso[[#This Row],[Equipo]],Catalogos!$I$4:$J$34,2,FALSE)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rimba" displayName="TablaMarimba" ref="A4:L204">
  <tableColumns count="12">
    <tableColumn id="1" xr3:uid="{00000000-0010-0000-0100-000001000000}" name="Fecha"/>
    <tableColumn id="2" xr3:uid="{00000000-0010-0000-0100-000002000000}" name="Movimiento"/>
    <tableColumn id="3" xr3:uid="{00000000-0010-0000-0100-000003000000}" name="Origen/Obra"/>
    <tableColumn id="4" xr3:uid="{00000000-0010-0000-0100-000004000000}" name="Equipo"/>
    <tableColumn id="5" xr3:uid="{00000000-0010-0000-0100-000005000000}" name="Económico" dataDxfId="5">
      <calculatedColumnFormula>VLOOKUP(TablaMarimba[[#This Row],[Equipo]],Catalogos!$I$4:$J$34,2,FALSE)</calculatedColumnFormula>
    </tableColumn>
    <tableColumn id="6" xr3:uid="{00000000-0010-0000-0100-000006000000}" name="Entrada (L)"/>
    <tableColumn id="7" xr3:uid="{00000000-0010-0000-0100-000007000000}" name="Salida (L)"/>
    <tableColumn id="8" xr3:uid="{00000000-0010-0000-0100-000008000000}" name="Existencia Teórica"/>
    <tableColumn id="9" xr3:uid="{00000000-0010-0000-0100-000009000000}" name="Costo/L"/>
    <tableColumn id="10" xr3:uid="{00000000-0010-0000-0100-00000A000000}" name="Importe"/>
    <tableColumn id="11" xr3:uid="{00000000-0010-0000-0100-00000B000000}" name="Firma/Validación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1E1A0-46C0-4363-819E-C11C2C696F1C}" name="TablaObra5" displayName="TablaObra5" ref="A4:K306">
  <autoFilter ref="A4:K306" xr:uid="{9851E1A0-46C0-4363-819E-C11C2C696F1C}"/>
  <tableColumns count="11">
    <tableColumn id="1" xr3:uid="{1461E643-B1E3-492E-BC5A-066B8171677D}" name="Fecha de Solicitud"/>
    <tableColumn id="2" xr3:uid="{E50BD36F-ABD4-438F-AA45-39F57D395FF0}" name="Obra"/>
    <tableColumn id="3" xr3:uid="{53E110DB-361B-4AEE-AD5B-CE674074FD06}" name="Fecha de Trabajo"/>
    <tableColumn id="4" xr3:uid="{27E90FDA-03DE-4CAD-A83C-4B98937C8772}" name="Equipo"/>
    <tableColumn id="5" xr3:uid="{BB8BB4E0-3E58-479F-9990-B9C53949B459}" name="Económico" dataDxfId="4">
      <calculatedColumnFormula>VLOOKUP(TablaObra5[[#This Row],[Equipo]],Catalogos!$I$3:$J$34,2,FALSE)</calculatedColumnFormula>
    </tableColumn>
    <tableColumn id="6" xr3:uid="{A8C23F3C-BA7E-4A96-AF9D-0B9C2D8E2ED0}" name="Litros Solicitados"/>
    <tableColumn id="7" xr3:uid="{028C8286-16D5-4B91-A81F-1C92ED643D5D}" name="Costo/L"/>
    <tableColumn id="8" xr3:uid="{6B42E0B4-BE5B-4B8C-9683-6446D1D5811E}" name="Importe">
      <calculatedColumnFormula>IFERROR(F5*G5,0)</calculatedColumnFormula>
    </tableColumn>
    <tableColumn id="9" xr3:uid="{ED06D6D7-0C20-41DA-9A35-599A98082C50}" name="Solicitante" dataDxfId="3">
      <calculatedColumnFormula>VLOOKUP(TablaObra5[[#This Row],[Obra]],Catalogos!$B$3:$C$8,2,FALSE)</calculatedColumnFormula>
    </tableColumn>
    <tableColumn id="10" xr3:uid="{3356B847-A103-4C3D-AA1D-A6F252B567C6}" name="Incidencia"/>
    <tableColumn id="11" xr3:uid="{24ECEB33-E884-4825-9717-D5F9957DA85D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ra" displayName="TablaObra" ref="A4:K304">
  <autoFilter ref="A4:K304" xr:uid="{00000000-000C-0000-FFFF-FFFF02000000}"/>
  <tableColumns count="11">
    <tableColumn id="1" xr3:uid="{00000000-0010-0000-0200-000001000000}" name="Fecha"/>
    <tableColumn id="2" xr3:uid="{00000000-0010-0000-0200-000002000000}" name="Obra"/>
    <tableColumn id="3" xr3:uid="{00000000-0010-0000-0200-000003000000}" name="Fuente"/>
    <tableColumn id="4" xr3:uid="{00000000-0010-0000-0200-000004000000}" name="Equipo"/>
    <tableColumn id="5" xr3:uid="{00000000-0010-0000-0200-000005000000}" name="Económico" dataDxfId="2">
      <calculatedColumnFormula>VLOOKUP(TablaObra[[#This Row],[Equipo]],Catalogos!I$4:J$34,2,FALSE)</calculatedColumnFormula>
    </tableColumn>
    <tableColumn id="6" xr3:uid="{00000000-0010-0000-0200-000006000000}" name="Litros Recibidos"/>
    <tableColumn id="7" xr3:uid="{00000000-0010-0000-0200-000007000000}" name="Costo/L"/>
    <tableColumn id="8" xr3:uid="{00000000-0010-0000-0200-000008000000}" name="Importe"/>
    <tableColumn id="9" xr3:uid="{00000000-0010-0000-0200-000009000000}" name="Actividad Ejecutada"/>
    <tableColumn id="10" xr3:uid="{00000000-0010-0000-0200-00000A000000}" name="Incidencia"/>
    <tableColumn id="11" xr3:uid="{00000000-0010-0000-0200-00000B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18" customWidth="1"/>
    <col min="2" max="2" width="1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 ht="35" customHeight="1">
      <c r="A1" t="s" s="21">
        <v>250</v>
      </c>
      <c r="B1" s="167"/>
      <c r="C1" s="168"/>
      <c r="D1" s="169"/>
      <c r="E1" s="170"/>
      <c r="F1" s="171"/>
      <c r="G1" s="172"/>
      <c r="H1" s="173"/>
      <c r="I1" s="174"/>
    </row>
    <row r="2">
      <c r="A2" s="175"/>
      <c r="B2" s="176"/>
      <c r="C2" s="177"/>
      <c r="D2" s="178"/>
      <c r="E2" s="179"/>
      <c r="F2" s="180"/>
      <c r="G2" s="181"/>
      <c r="H2" s="182"/>
      <c r="I2" s="183"/>
    </row>
    <row r="3" ht="20" customHeight="1">
      <c r="A3" t="s" s="22">
        <v>251</v>
      </c>
      <c r="B3" s="184"/>
      <c r="C3" s="185"/>
      <c r="D3" s="186"/>
      <c r="E3" s="187"/>
      <c r="F3" s="188"/>
      <c r="G3" s="189"/>
      <c r="H3" s="190"/>
      <c r="I3" s="191"/>
    </row>
    <row r="4">
      <c r="A4" s="192"/>
      <c r="B4" t="s" s="23">
        <v>252</v>
      </c>
      <c r="C4" t="s" s="26">
        <v>6</v>
      </c>
      <c r="D4" s="193"/>
      <c r="E4" s="194"/>
      <c r="F4" s="195"/>
      <c r="G4" s="196"/>
      <c r="H4" s="197"/>
      <c r="I4" s="198"/>
    </row>
    <row r="5">
      <c r="A5" s="199"/>
      <c r="B5" t="s" s="24">
        <v>253</v>
      </c>
      <c r="C5" s="27">
        <v>46181</v>
      </c>
      <c r="D5" s="200"/>
      <c r="E5" s="201"/>
      <c r="F5" s="202"/>
      <c r="G5" s="203"/>
      <c r="H5" s="204"/>
      <c r="I5" s="205"/>
    </row>
    <row r="6">
      <c r="A6" s="206"/>
      <c r="B6" t="s" s="25">
        <v>254</v>
      </c>
      <c r="C6" s="28">
        <v>28.3</v>
      </c>
      <c r="D6" s="207"/>
      <c r="E6" s="208"/>
      <c r="F6" s="209"/>
      <c r="G6" s="210"/>
      <c r="H6" s="211"/>
      <c r="I6" s="212"/>
    </row>
    <row r="7">
      <c r="A7" s="213"/>
      <c r="B7" s="214"/>
      <c r="C7" s="215"/>
      <c r="D7" s="216"/>
      <c r="E7" s="217"/>
      <c r="F7" s="218"/>
      <c r="G7" s="219"/>
      <c r="H7" s="220"/>
      <c r="I7" s="221"/>
    </row>
    <row r="8" ht="20" customHeight="1">
      <c r="A8" t="s" s="29">
        <v>255</v>
      </c>
      <c r="B8" s="222"/>
      <c r="C8" s="223"/>
      <c r="D8" s="224"/>
      <c r="E8" s="225"/>
      <c r="F8" s="226"/>
      <c r="G8" s="227"/>
      <c r="H8" s="228"/>
      <c r="I8" s="229"/>
    </row>
    <row r="9" ht="24" customHeight="1">
      <c r="A9" t="s" s="30">
        <v>256</v>
      </c>
      <c r="B9" t="s" s="31">
        <v>28</v>
      </c>
      <c r="C9" t="s" s="32">
        <v>257</v>
      </c>
      <c r="D9" t="s" s="33">
        <v>258</v>
      </c>
      <c r="E9" t="s" s="34">
        <v>259</v>
      </c>
      <c r="F9" t="s" s="35">
        <v>260</v>
      </c>
      <c r="G9" t="s" s="36">
        <v>261</v>
      </c>
      <c r="H9" t="s" s="37">
        <v>262</v>
      </c>
      <c r="I9" s="230"/>
    </row>
    <row r="10" ht="20" customHeight="1">
      <c r="A10" t="s" s="38">
        <v>263</v>
      </c>
      <c r="B10" s="39">
        <f>C$5</f>
      </c>
      <c r="C10" s="40">
        <f>IF(C$4="Todas", SUMIFS(Solicitudes!F:F, Solicitudes!C:C, B10), SUMIFS(Solicitudes!F:F, Solicitudes!B:B, C$4, Solicitudes!C:C, B10))</f>
      </c>
      <c r="D10" s="41">
        <f>IF(C$4="Todas", SUMIFS(Captura_Obra!F:F, Captura_Obra!A:A, B10), SUMIFS(Captura_Obra!F:F, Captura_Obra!B:B, C$4, Captura_Obra!A:A, B10))</f>
      </c>
      <c r="E10" s="42">
        <f>D10-C10</f>
      </c>
      <c r="F10" s="43">
        <f>C10*C$6</f>
      </c>
      <c r="G10" s="44">
        <f>D10*C$6</f>
      </c>
      <c r="H10" s="45">
        <f>G10-F10</f>
      </c>
      <c r="I10" s="231"/>
    </row>
    <row r="11" ht="20" customHeight="1">
      <c r="A11" t="s" s="46">
        <v>264</v>
      </c>
      <c r="B11" s="47">
        <f>B10+1</f>
      </c>
      <c r="C11" s="48">
        <f>IF(C$4="Todas", SUMIFS(Solicitudes!F:F, Solicitudes!C:C, B11), SUMIFS(Solicitudes!F:F, Solicitudes!B:B, C$4, Solicitudes!C:C, B11))</f>
      </c>
      <c r="D11" s="49">
        <f>IF(C$4="Todas", SUMIFS(Captura_Obra!F:F, Captura_Obra!A:A, B11), SUMIFS(Captura_Obra!F:F, Captura_Obra!B:B, C$4, Captura_Obra!A:A, B11))</f>
      </c>
      <c r="E11" s="50">
        <f>D11-C11</f>
      </c>
      <c r="F11" s="51">
        <f>C11*C$6</f>
      </c>
      <c r="G11" s="52">
        <f>D11*C$6</f>
      </c>
      <c r="H11" s="53">
        <f>G11-F11</f>
      </c>
      <c r="I11" s="232"/>
    </row>
    <row r="12" ht="20" customHeight="1">
      <c r="A12" t="s" s="54">
        <v>265</v>
      </c>
      <c r="B12" s="55">
        <f>B11+1</f>
      </c>
      <c r="C12" s="56">
        <f>IF(C$4="Todas", SUMIFS(Solicitudes!F:F, Solicitudes!C:C, B12), SUMIFS(Solicitudes!F:F, Solicitudes!B:B, C$4, Solicitudes!C:C, B12))</f>
      </c>
      <c r="D12" s="57">
        <f>IF(C$4="Todas", SUMIFS(Captura_Obra!F:F, Captura_Obra!A:A, B12), SUMIFS(Captura_Obra!F:F, Captura_Obra!B:B, C$4, Captura_Obra!A:A, B12))</f>
      </c>
      <c r="E12" s="58">
        <f>D12-C12</f>
      </c>
      <c r="F12" s="59">
        <f>C12*C$6</f>
      </c>
      <c r="G12" s="60">
        <f>D12*C$6</f>
      </c>
      <c r="H12" s="61">
        <f>G12-F12</f>
      </c>
      <c r="I12" s="233"/>
    </row>
    <row r="13" ht="20" customHeight="1">
      <c r="A13" t="s" s="62">
        <v>266</v>
      </c>
      <c r="B13" s="63">
        <f>B12+1</f>
      </c>
      <c r="C13" s="64">
        <f>IF(C$4="Todas", SUMIFS(Solicitudes!F:F, Solicitudes!C:C, B13), SUMIFS(Solicitudes!F:F, Solicitudes!B:B, C$4, Solicitudes!C:C, B13))</f>
      </c>
      <c r="D13" s="65">
        <f>IF(C$4="Todas", SUMIFS(Captura_Obra!F:F, Captura_Obra!A:A, B13), SUMIFS(Captura_Obra!F:F, Captura_Obra!B:B, C$4, Captura_Obra!A:A, B13))</f>
      </c>
      <c r="E13" s="66">
        <f>D13-C13</f>
      </c>
      <c r="F13" s="67">
        <f>C13*C$6</f>
      </c>
      <c r="G13" s="68">
        <f>D13*C$6</f>
      </c>
      <c r="H13" s="69">
        <f>G13-F13</f>
      </c>
      <c r="I13" s="234"/>
    </row>
    <row r="14" ht="20" customHeight="1">
      <c r="A14" t="s" s="70">
        <v>267</v>
      </c>
      <c r="B14" s="71">
        <f>B13+1</f>
      </c>
      <c r="C14" s="72">
        <f>IF(C$4="Todas", SUMIFS(Solicitudes!F:F, Solicitudes!C:C, B14), SUMIFS(Solicitudes!F:F, Solicitudes!B:B, C$4, Solicitudes!C:C, B14))</f>
      </c>
      <c r="D14" s="73">
        <f>IF(C$4="Todas", SUMIFS(Captura_Obra!F:F, Captura_Obra!A:A, B14), SUMIFS(Captura_Obra!F:F, Captura_Obra!B:B, C$4, Captura_Obra!A:A, B14))</f>
      </c>
      <c r="E14" s="74">
        <f>D14-C14</f>
      </c>
      <c r="F14" s="75">
        <f>C14*C$6</f>
      </c>
      <c r="G14" s="76">
        <f>D14*C$6</f>
      </c>
      <c r="H14" s="77">
        <f>G14-F14</f>
      </c>
      <c r="I14" s="235"/>
    </row>
    <row r="15" ht="20" customHeight="1">
      <c r="A15" t="s" s="78">
        <v>268</v>
      </c>
      <c r="B15" s="79">
        <f>B14+1</f>
      </c>
      <c r="C15" s="80">
        <f>IF(C$4="Todas", SUMIFS(Solicitudes!F:F, Solicitudes!C:C, B15), SUMIFS(Solicitudes!F:F, Solicitudes!B:B, C$4, Solicitudes!C:C, B15))</f>
      </c>
      <c r="D15" s="81">
        <f>IF(C$4="Todas", SUMIFS(Captura_Obra!F:F, Captura_Obra!A:A, B15), SUMIFS(Captura_Obra!F:F, Captura_Obra!B:B, C$4, Captura_Obra!A:A, B15))</f>
      </c>
      <c r="E15" s="82">
        <f>D15-C15</f>
      </c>
      <c r="F15" s="83">
        <f>C15*C$6</f>
      </c>
      <c r="G15" s="84">
        <f>D15*C$6</f>
      </c>
      <c r="H15" s="85">
        <f>G15-F15</f>
      </c>
      <c r="I15" s="236"/>
    </row>
    <row r="16" ht="22" customHeight="1">
      <c r="A16" t="s" s="86">
        <v>269</v>
      </c>
      <c r="B16" s="87"/>
      <c r="C16" s="88">
        <f>SUM(C10:C15)</f>
      </c>
      <c r="D16" s="89">
        <f>SUM(D10:D15)</f>
      </c>
      <c r="E16" s="90">
        <f>SUM(E10:E15)</f>
      </c>
      <c r="F16" s="91">
        <f>SUM(F10:F15)</f>
      </c>
      <c r="G16" s="92">
        <f>SUM(G10:G15)</f>
      </c>
      <c r="H16" s="93">
        <f>SUM(H10:H15)</f>
      </c>
      <c r="I16" s="237"/>
    </row>
    <row r="17">
      <c r="A17" s="238"/>
      <c r="B17" s="239"/>
      <c r="C17" s="240"/>
      <c r="D17" s="241"/>
      <c r="E17" s="242"/>
      <c r="F17" s="243"/>
      <c r="G17" s="244"/>
      <c r="H17" s="245"/>
      <c r="I17" s="246"/>
    </row>
    <row r="18">
      <c r="A18" s="247"/>
      <c r="B18" s="248"/>
      <c r="C18" s="249"/>
      <c r="D18" s="250"/>
      <c r="E18" s="251"/>
      <c r="F18" s="252"/>
      <c r="G18" s="253"/>
      <c r="H18" s="254"/>
      <c r="I18" s="255"/>
    </row>
    <row r="19" ht="20" customHeight="1">
      <c r="A19" t="s" s="94">
        <v>270</v>
      </c>
      <c r="B19" s="256"/>
      <c r="C19" s="257"/>
      <c r="D19" s="258"/>
      <c r="E19" s="259"/>
      <c r="F19" s="260"/>
      <c r="G19" s="261"/>
      <c r="H19" s="262"/>
      <c r="I19" s="263"/>
    </row>
    <row r="20" ht="24" customHeight="1">
      <c r="A20" t="s" s="95">
        <v>256</v>
      </c>
      <c r="B20" t="s" s="96">
        <v>28</v>
      </c>
      <c r="C20" t="s" s="97">
        <v>271</v>
      </c>
      <c r="D20" t="s" s="98">
        <v>272</v>
      </c>
      <c r="E20" t="s" s="99">
        <v>273</v>
      </c>
      <c r="F20" t="s" s="100">
        <v>274</v>
      </c>
      <c r="G20" t="s" s="101">
        <v>275</v>
      </c>
      <c r="H20" t="s" s="102">
        <v>276</v>
      </c>
      <c r="I20" t="s" s="103">
        <v>277</v>
      </c>
    </row>
    <row r="21" ht="20" customHeight="1">
      <c r="A21" t="s" s="104">
        <v>263</v>
      </c>
      <c r="B21" s="105">
        <f>B10</f>
      </c>
      <c r="C21" s="106">
        <f>IF(C$4="Todas", SUMIFS(Captura_Obra!F:F, Captura_Obra!A:A, B21, Captura_Obra!C:C, "Marimba M-01"), SUMIFS(Captura_Obra!F:F, Captura_Obra!B:B, C$4, Captura_Obra!A:A, B21, Captura_Obra!C:C, "Marimba M-01"))</f>
      </c>
      <c r="D21" s="107">
        <f>IF(C$4="Todas", SUMIFS(Captura_Marimba_M01!G:G, Captura_Marimba_M01!A:A, B21, Captura_Marimba_M01!B:B, "Salida a Obra"), SUMIFS(Captura_Marimba_M01!G:G, Captura_Marimba_M01!C:C, C$4, Captura_Marimba_M01!A:A, B21, Captura_Marimba_M01!B:B, "Salida a Obra"))</f>
      </c>
      <c r="E21" s="108">
        <f>C21-D21</f>
      </c>
      <c r="F21" s="109">
        <f>IF(C$4="Todas", SUMIFS(Captura_Obra!F:F, Captura_Obra!A:A, B21, Captura_Obra!C:C, "Pegaso Directo"), SUMIFS(Captura_Obra!F:F, Captura_Obra!B:B, C$4, Captura_Obra!A:A, B21, Captura_Obra!C:C, "Pegaso Directo"))</f>
      </c>
      <c r="G21" s="110">
        <f>IF(C$4="Todas", SUMIFS(Captura_Pegaso!H:H, Captura_Pegaso!A:A, B21, Captura_Pegaso!B:B, "Salida Directa Máquina"), SUMIFS(Captura_Pegaso!H:H, Captura_Pegaso!D:D, C$4, Captura_Pegaso!A:A, B21, Captura_Pegaso!B:B, "Salida Directa Máquina"))</f>
      </c>
      <c r="H21" s="111">
        <f>F21-G21</f>
      </c>
      <c r="I21" s="112">
        <f>E21+H21</f>
      </c>
    </row>
    <row r="22" ht="20" customHeight="1">
      <c r="A22" t="s" s="113">
        <v>264</v>
      </c>
      <c r="B22" s="114">
        <f>B11</f>
      </c>
      <c r="C22" s="115">
        <f>IF(C$4="Todas", SUMIFS(Captura_Obra!F:F, Captura_Obra!A:A, B22, Captura_Obra!C:C, "Marimba M-01"), SUMIFS(Captura_Obra!F:F, Captura_Obra!B:B, C$4, Captura_Obra!A:A, B22, Captura_Obra!C:C, "Marimba M-01"))</f>
      </c>
      <c r="D22" s="116">
        <f>IF(C$4="Todas", SUMIFS(Captura_Marimba_M01!G:G, Captura_Marimba_M01!A:A, B22, Captura_Marimba_M01!B:B, "Salida a Obra"), SUMIFS(Captura_Marimba_M01!G:G, Captura_Marimba_M01!C:C, C$4, Captura_Marimba_M01!A:A, B22, Captura_Marimba_M01!B:B, "Salida a Obra"))</f>
      </c>
      <c r="E22" s="117">
        <f>C22-D22</f>
      </c>
      <c r="F22" s="118">
        <f>IF(C$4="Todas", SUMIFS(Captura_Obra!F:F, Captura_Obra!A:A, B22, Captura_Obra!C:C, "Pegaso Directo"), SUMIFS(Captura_Obra!F:F, Captura_Obra!B:B, C$4, Captura_Obra!A:A, B22, Captura_Obra!C:C, "Pegaso Directo"))</f>
      </c>
      <c r="G22" s="119">
        <f>IF(C$4="Todas", SUMIFS(Captura_Pegaso!H:H, Captura_Pegaso!A:A, B22, Captura_Pegaso!B:B, "Salida Directa Máquina"), SUMIFS(Captura_Pegaso!H:H, Captura_Pegaso!D:D, C$4, Captura_Pegaso!A:A, B22, Captura_Pegaso!B:B, "Salida Directa Máquina"))</f>
      </c>
      <c r="H22" s="120">
        <f>F22-G22</f>
      </c>
      <c r="I22" s="121">
        <f>E22+H22</f>
      </c>
    </row>
    <row r="23" ht="20" customHeight="1">
      <c r="A23" t="s" s="122">
        <v>265</v>
      </c>
      <c r="B23" s="123">
        <f>B12</f>
      </c>
      <c r="C23" s="124">
        <f>IF(C$4="Todas", SUMIFS(Captura_Obra!F:F, Captura_Obra!A:A, B23, Captura_Obra!C:C, "Marimba M-01"), SUMIFS(Captura_Obra!F:F, Captura_Obra!B:B, C$4, Captura_Obra!A:A, B23, Captura_Obra!C:C, "Marimba M-01"))</f>
      </c>
      <c r="D23" s="125">
        <f>IF(C$4="Todas", SUMIFS(Captura_Marimba_M01!G:G, Captura_Marimba_M01!A:A, B23, Captura_Marimba_M01!B:B, "Salida a Obra"), SUMIFS(Captura_Marimba_M01!G:G, Captura_Marimba_M01!C:C, C$4, Captura_Marimba_M01!A:A, B23, Captura_Marimba_M01!B:B, "Salida a Obra"))</f>
      </c>
      <c r="E23" s="126">
        <f>C23-D23</f>
      </c>
      <c r="F23" s="127">
        <f>IF(C$4="Todas", SUMIFS(Captura_Obra!F:F, Captura_Obra!A:A, B23, Captura_Obra!C:C, "Pegaso Directo"), SUMIFS(Captura_Obra!F:F, Captura_Obra!B:B, C$4, Captura_Obra!A:A, B23, Captura_Obra!C:C, "Pegaso Directo"))</f>
      </c>
      <c r="G23" s="128">
        <f>IF(C$4="Todas", SUMIFS(Captura_Pegaso!H:H, Captura_Pegaso!A:A, B23, Captura_Pegaso!B:B, "Salida Directa Máquina"), SUMIFS(Captura_Pegaso!H:H, Captura_Pegaso!D:D, C$4, Captura_Pegaso!A:A, B23, Captura_Pegaso!B:B, "Salida Directa Máquina"))</f>
      </c>
      <c r="H23" s="129">
        <f>F23-G23</f>
      </c>
      <c r="I23" s="130">
        <f>E23+H23</f>
      </c>
    </row>
    <row r="24" ht="20" customHeight="1">
      <c r="A24" t="s" s="131">
        <v>266</v>
      </c>
      <c r="B24" s="132">
        <f>B13</f>
      </c>
      <c r="C24" s="133">
        <f>IF(C$4="Todas", SUMIFS(Captura_Obra!F:F, Captura_Obra!A:A, B24, Captura_Obra!C:C, "Marimba M-01"), SUMIFS(Captura_Obra!F:F, Captura_Obra!B:B, C$4, Captura_Obra!A:A, B24, Captura_Obra!C:C, "Marimba M-01"))</f>
      </c>
      <c r="D24" s="134">
        <f>IF(C$4="Todas", SUMIFS(Captura_Marimba_M01!G:G, Captura_Marimba_M01!A:A, B24, Captura_Marimba_M01!B:B, "Salida a Obra"), SUMIFS(Captura_Marimba_M01!G:G, Captura_Marimba_M01!C:C, C$4, Captura_Marimba_M01!A:A, B24, Captura_Marimba_M01!B:B, "Salida a Obra"))</f>
      </c>
      <c r="E24" s="135">
        <f>C24-D24</f>
      </c>
      <c r="F24" s="136">
        <f>IF(C$4="Todas", SUMIFS(Captura_Obra!F:F, Captura_Obra!A:A, B24, Captura_Obra!C:C, "Pegaso Directo"), SUMIFS(Captura_Obra!F:F, Captura_Obra!B:B, C$4, Captura_Obra!A:A, B24, Captura_Obra!C:C, "Pegaso Directo"))</f>
      </c>
      <c r="G24" s="137">
        <f>IF(C$4="Todas", SUMIFS(Captura_Pegaso!H:H, Captura_Pegaso!A:A, B24, Captura_Pegaso!B:B, "Salida Directa Máquina"), SUMIFS(Captura_Pegaso!H:H, Captura_Pegaso!D:D, C$4, Captura_Pegaso!A:A, B24, Captura_Pegaso!B:B, "Salida Directa Máquina"))</f>
      </c>
      <c r="H24" s="138">
        <f>F24-G24</f>
      </c>
      <c r="I24" s="139">
        <f>E24+H24</f>
      </c>
    </row>
    <row r="25" ht="20" customHeight="1">
      <c r="A25" t="s" s="140">
        <v>267</v>
      </c>
      <c r="B25" s="141">
        <f>B14</f>
      </c>
      <c r="C25" s="142">
        <f>IF(C$4="Todas", SUMIFS(Captura_Obra!F:F, Captura_Obra!A:A, B25, Captura_Obra!C:C, "Marimba M-01"), SUMIFS(Captura_Obra!F:F, Captura_Obra!B:B, C$4, Captura_Obra!A:A, B25, Captura_Obra!C:C, "Marimba M-01"))</f>
      </c>
      <c r="D25" s="143">
        <f>IF(C$4="Todas", SUMIFS(Captura_Marimba_M01!G:G, Captura_Marimba_M01!A:A, B25, Captura_Marimba_M01!B:B, "Salida a Obra"), SUMIFS(Captura_Marimba_M01!G:G, Captura_Marimba_M01!C:C, C$4, Captura_Marimba_M01!A:A, B25, Captura_Marimba_M01!B:B, "Salida a Obra"))</f>
      </c>
      <c r="E25" s="144">
        <f>C25-D25</f>
      </c>
      <c r="F25" s="145">
        <f>IF(C$4="Todas", SUMIFS(Captura_Obra!F:F, Captura_Obra!A:A, B25, Captura_Obra!C:C, "Pegaso Directo"), SUMIFS(Captura_Obra!F:F, Captura_Obra!B:B, C$4, Captura_Obra!A:A, B25, Captura_Obra!C:C, "Pegaso Directo"))</f>
      </c>
      <c r="G25" s="146">
        <f>IF(C$4="Todas", SUMIFS(Captura_Pegaso!H:H, Captura_Pegaso!A:A, B25, Captura_Pegaso!B:B, "Salida Directa Máquina"), SUMIFS(Captura_Pegaso!H:H, Captura_Pegaso!D:D, C$4, Captura_Pegaso!A:A, B25, Captura_Pegaso!B:B, "Salida Directa Máquina"))</f>
      </c>
      <c r="H25" s="147">
        <f>F25-G25</f>
      </c>
      <c r="I25" s="148">
        <f>E25+H25</f>
      </c>
    </row>
    <row r="26" ht="20" customHeight="1">
      <c r="A26" t="s" s="149">
        <v>268</v>
      </c>
      <c r="B26" s="150">
        <f>B15</f>
      </c>
      <c r="C26" s="151">
        <f>IF(C$4="Todas", SUMIFS(Captura_Obra!F:F, Captura_Obra!A:A, B26, Captura_Obra!C:C, "Marimba M-01"), SUMIFS(Captura_Obra!F:F, Captura_Obra!B:B, C$4, Captura_Obra!A:A, B26, Captura_Obra!C:C, "Marimba M-01"))</f>
      </c>
      <c r="D26" s="152">
        <f>IF(C$4="Todas", SUMIFS(Captura_Marimba_M01!G:G, Captura_Marimba_M01!A:A, B26, Captura_Marimba_M01!B:B, "Salida a Obra"), SUMIFS(Captura_Marimba_M01!G:G, Captura_Marimba_M01!C:C, C$4, Captura_Marimba_M01!A:A, B26, Captura_Marimba_M01!B:B, "Salida a Obra"))</f>
      </c>
      <c r="E26" s="153">
        <f>C26-D26</f>
      </c>
      <c r="F26" s="154">
        <f>IF(C$4="Todas", SUMIFS(Captura_Obra!F:F, Captura_Obra!A:A, B26, Captura_Obra!C:C, "Pegaso Directo"), SUMIFS(Captura_Obra!F:F, Captura_Obra!B:B, C$4, Captura_Obra!A:A, B26, Captura_Obra!C:C, "Pegaso Directo"))</f>
      </c>
      <c r="G26" s="155">
        <f>IF(C$4="Todas", SUMIFS(Captura_Pegaso!H:H, Captura_Pegaso!A:A, B26, Captura_Pegaso!B:B, "Salida Directa Máquina"), SUMIFS(Captura_Pegaso!H:H, Captura_Pegaso!D:D, C$4, Captura_Pegaso!A:A, B26, Captura_Pegaso!B:B, "Salida Directa Máquina"))</f>
      </c>
      <c r="H26" s="156">
        <f>F26-G26</f>
      </c>
      <c r="I26" s="157">
        <f>E26+H26</f>
      </c>
    </row>
    <row r="27" ht="22" customHeight="1">
      <c r="A27" t="s" s="158">
        <v>269</v>
      </c>
      <c r="B27" s="159"/>
      <c r="C27" s="160">
        <f>SUM(C21:C26)</f>
      </c>
      <c r="D27" s="161">
        <f>SUM(D21:D26)</f>
      </c>
      <c r="E27" s="162">
        <f>SUM(E21:E26)</f>
      </c>
      <c r="F27" s="163">
        <f>SUM(F21:F26)</f>
      </c>
      <c r="G27" s="164">
        <f>SUM(G21:G26)</f>
      </c>
      <c r="H27" s="165">
        <f>SUM(H21:H26)</f>
      </c>
      <c r="I27" s="166">
        <f>SUM(I21:I26)</f>
      </c>
    </row>
    <row r="28">
      <c r="A28" s="264"/>
      <c r="B28" s="265"/>
      <c r="C28" s="266"/>
      <c r="D28" s="267"/>
      <c r="E28" s="268"/>
      <c r="F28" s="269"/>
      <c r="G28" s="270"/>
      <c r="H28" s="271"/>
      <c r="I28" s="272"/>
    </row>
    <row r="29">
      <c r="A29" s="273"/>
      <c r="B29" s="274"/>
      <c r="C29" s="275"/>
      <c r="D29" s="276"/>
      <c r="E29" s="277"/>
      <c r="F29" s="278"/>
      <c r="G29" s="279"/>
      <c r="H29" s="280"/>
      <c r="I29" s="281"/>
    </row>
    <row r="30">
      <c r="A30" s="282"/>
      <c r="B30" s="283"/>
      <c r="C30" s="284"/>
      <c r="D30" s="285"/>
      <c r="E30" s="286"/>
      <c r="F30" s="287"/>
      <c r="G30" s="288"/>
      <c r="H30" s="289"/>
      <c r="I30" s="290"/>
    </row>
    <row r="31">
      <c r="A31" s="291"/>
      <c r="B31" s="292"/>
      <c r="C31" s="293"/>
      <c r="D31" s="294"/>
      <c r="E31" s="295"/>
      <c r="F31" s="296"/>
      <c r="G31" s="297"/>
      <c r="H31" s="298"/>
      <c r="I31" s="299"/>
    </row>
    <row r="32">
      <c r="A32" s="300"/>
      <c r="B32" s="301"/>
      <c r="C32" s="302"/>
      <c r="D32" s="303"/>
      <c r="E32" s="304"/>
      <c r="F32" s="305"/>
      <c r="G32" s="306"/>
      <c r="H32" s="307"/>
      <c r="I32" s="308"/>
    </row>
    <row r="33">
      <c r="A33" s="309"/>
      <c r="B33" s="310"/>
      <c r="C33" s="311"/>
      <c r="D33" s="312"/>
      <c r="E33" s="313"/>
      <c r="F33" s="314"/>
      <c r="G33" s="315"/>
      <c r="H33" s="316"/>
      <c r="I33" s="317"/>
    </row>
    <row r="34">
      <c r="A34" s="318"/>
      <c r="B34" s="319"/>
      <c r="C34" s="320"/>
      <c r="D34" s="321"/>
      <c r="E34" s="322"/>
      <c r="F34" s="323"/>
      <c r="G34" s="324"/>
      <c r="H34" s="325"/>
      <c r="I34" s="326"/>
    </row>
    <row r="35">
      <c r="A35" s="327"/>
      <c r="B35" s="328"/>
      <c r="C35" s="329"/>
      <c r="D35" s="330"/>
      <c r="E35" s="331"/>
      <c r="F35" s="332"/>
      <c r="G35" s="333"/>
      <c r="H35" s="334"/>
      <c r="I35" s="335"/>
    </row>
  </sheetData>
  <mergeCells>
    <mergeCell ref="A1:I1"/>
    <mergeCell ref="A3:I3"/>
    <mergeCell ref="A8:I8"/>
    <mergeCell ref="A19:I19"/>
  </mergeCells>
  <dataValidations>
    <dataValidation type="list" allowBlank="true" showInputMessage="true" prompt="undefined" promptTitle="undefined" showErrorMessage="true" error="undefined" errorTitle="Obra no válida" operator="undefined" sqref="C4">
      <formula1>Catalogos!$K$4:$K$15</formula1>
      <formula2/>
    </dataValidation>
    <dataValidation type="list" allowBlank="true" showInputMessage="true" prompt="undefined" promptTitle="undefined" showErrorMessage="true" error="undefined" errorTitle="Semana no válida" operator="undefined" sqref="C5">
      <formula1>Catalogos!$L$4:$L$33</formula1>
      <formula2/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530-3CEF-4812-A2D2-C7473890D598}">
  <sheetPr/>
  <sheetViews>
    <sheetView showGridLines="0" tabSelected="1" topLeftCell="P1" zoomScale="118" zoomScaleNormal="80" workbookViewId="0">
      <selection activeCell="X11" sqref="X11"/>
    </sheetView>
  </sheetViews>
  <sheetFormatPr baseColWidth="10" defaultColWidth="8" defaultRowHeight="14.4"/>
  <cols>
    <col min="1" max="1" width="8" style="11"/>
    <col min="2" max="5" width="15" style="11" customWidth="1"/>
    <col min="6" max="6" width="8" style="11"/>
    <col min="7" max="10" width="15" style="11" customWidth="1"/>
    <col min="11" max="11" width="8" style="11"/>
    <col min="12" max="15" width="15" style="11" customWidth="1"/>
    <col min="16" max="16" width="8" style="11"/>
    <col min="17" max="20" width="15" style="11" customWidth="1"/>
    <col min="21" max="21" width="8" style="11"/>
    <col min="22" max="26" width="15" style="11" customWidth="1"/>
    <col min="27" max="16384" width="8" style="11"/>
  </cols>
  <sheetData>
    <row r="2" spans="2:24" ht="18">
      <c r="B2" t="s" s="10">
        <v>227</v>
      </c>
      <c r="G2" t="s" s="10">
        <v>228</v>
      </c>
      <c r="L2" t="s" s="10">
        <v>229</v>
      </c>
      <c r="Q2" t="s" s="10">
        <v>230</v>
      </c>
      <c r="V2" t="s" s="10">
        <v>231</v>
      </c>
    </row>
    <row r="4" spans="2:24">
      <c r="B4" t="s" s="12">
        <v>28</v>
      </c>
      <c r="C4" t="s" s="12">
        <v>3</v>
      </c>
      <c r="D4" t="s" s="12">
        <v>162</v>
      </c>
      <c r="E4" t="s" s="12">
        <v>232</v>
      </c>
      <c r="G4" t="s" s="12">
        <v>28</v>
      </c>
      <c r="H4" t="s" s="12">
        <v>3</v>
      </c>
      <c r="I4" t="s" s="12">
        <v>33</v>
      </c>
      <c r="J4" t="s" s="12">
        <v>233</v>
      </c>
      <c r="L4" t="s" s="12">
        <v>28</v>
      </c>
      <c r="M4" t="s" s="12">
        <v>3</v>
      </c>
      <c r="N4" t="s" s="12">
        <v>33</v>
      </c>
      <c r="O4" t="s" s="12">
        <v>233</v>
      </c>
      <c r="Q4" t="s" s="12">
        <v>28</v>
      </c>
      <c r="R4" t="s" s="12">
        <v>3</v>
      </c>
      <c r="S4" t="s" s="12">
        <v>52</v>
      </c>
      <c r="T4" t="s" s="12">
        <v>233</v>
      </c>
      <c r="V4" t="s" s="12">
        <v>3</v>
      </c>
      <c r="W4" t="s" s="12">
        <v>52</v>
      </c>
      <c r="X4" t="s" s="12">
        <v>233</v>
      </c>
    </row>
    <row r="5" spans="2:24">
      <c r="B5" t="s" s="13">
        <v>234</v>
      </c>
      <c r="C5" t="s" s="13">
        <v>8</v>
      </c>
      <c r="D5" s="13">
        <v>160</v>
      </c>
      <c r="E5" s="14">
        <v>4528</v>
      </c>
      <c r="G5" t="s" s="13">
        <v>235</v>
      </c>
      <c r="H5" t="s" s="13">
        <v>10</v>
      </c>
      <c r="I5" s="13">
        <v>455</v>
      </c>
      <c r="J5" s="14">
        <v>12876.5</v>
      </c>
      <c r="L5" t="s" s="13">
        <v>235</v>
      </c>
      <c r="M5" t="s" s="13">
        <v>210</v>
      </c>
      <c r="N5" s="13">
        <v>180</v>
      </c>
      <c r="O5" s="14">
        <v>5094</v>
      </c>
      <c r="Q5" t="s" s="13">
        <v>235</v>
      </c>
      <c r="R5" t="s" s="13">
        <v>210</v>
      </c>
      <c r="S5" s="13">
        <v>100</v>
      </c>
      <c r="T5" s="14">
        <v>2830</v>
      </c>
      <c r="V5" t="s" s="13">
        <v>210</v>
      </c>
      <c r="W5" s="13">
        <v>200</v>
      </c>
      <c r="X5" s="14">
        <v>5660</v>
      </c>
    </row>
    <row r="6" spans="2:24">
      <c r="B6" t="s" s="13">
        <v>234</v>
      </c>
      <c r="C6" t="s" s="13">
        <v>6</v>
      </c>
      <c r="D6" s="13">
        <v>640</v>
      </c>
      <c r="E6" s="14">
        <v>18112</v>
      </c>
      <c r="G6" t="s" s="13">
        <v>235</v>
      </c>
      <c r="H6" t="s" s="13">
        <v>8</v>
      </c>
      <c r="I6" s="13">
        <v>97</v>
      </c>
      <c r="J6" s="14">
        <v>2745.1</v>
      </c>
      <c r="L6" t="s" s="13">
        <v>235</v>
      </c>
      <c r="M6" t="s" s="13">
        <v>214</v>
      </c>
      <c r="N6" s="13">
        <v>409</v>
      </c>
      <c r="O6" s="14">
        <v>11574.7</v>
      </c>
      <c r="Q6" t="s" s="13">
        <v>235</v>
      </c>
      <c r="R6" t="s" s="13">
        <v>10</v>
      </c>
      <c r="S6" s="13">
        <v>455</v>
      </c>
      <c r="T6" s="14">
        <v>12876.5</v>
      </c>
      <c r="V6" t="s" s="13">
        <v>10</v>
      </c>
      <c r="W6" s="13">
        <v>1693</v>
      </c>
      <c r="X6" s="14">
        <v>47911.9</v>
      </c>
    </row>
    <row r="7" spans="2:24">
      <c r="B7" t="s" s="13">
        <v>235</v>
      </c>
      <c r="C7" t="s" s="13">
        <v>210</v>
      </c>
      <c r="D7" s="13">
        <v>100</v>
      </c>
      <c r="E7" s="14">
        <v>2830</v>
      </c>
      <c r="G7" t="s" s="13">
        <v>235</v>
      </c>
      <c r="H7" t="s" s="13">
        <v>6</v>
      </c>
      <c r="I7" s="13">
        <v>369</v>
      </c>
      <c r="J7" s="14">
        <v>10442.7</v>
      </c>
      <c r="L7" t="s" s="13">
        <v>236</v>
      </c>
      <c r="M7" t="s" s="13">
        <v>8</v>
      </c>
      <c r="N7" s="13">
        <v>180</v>
      </c>
      <c r="O7" s="14">
        <v>5094</v>
      </c>
      <c r="Q7" t="s" s="13">
        <v>235</v>
      </c>
      <c r="R7" t="s" s="13">
        <v>8</v>
      </c>
      <c r="S7" s="13">
        <v>97</v>
      </c>
      <c r="T7" s="14">
        <v>2745.1</v>
      </c>
      <c r="V7" t="s" s="13">
        <v>8</v>
      </c>
      <c r="W7" s="13">
        <v>872</v>
      </c>
      <c r="X7" s="14">
        <v>24677.6</v>
      </c>
    </row>
    <row r="8" spans="2:24">
      <c r="B8" t="s" s="13">
        <v>235</v>
      </c>
      <c r="C8" t="s" s="13">
        <v>10</v>
      </c>
      <c r="D8" s="13">
        <v>990</v>
      </c>
      <c r="E8" s="14">
        <v>28017</v>
      </c>
      <c r="G8" t="s" s="13">
        <v>236</v>
      </c>
      <c r="H8" t="s" s="13">
        <v>10</v>
      </c>
      <c r="I8" s="13">
        <v>736</v>
      </c>
      <c r="J8" s="14">
        <v>20828.8</v>
      </c>
      <c r="L8" t="s" s="13">
        <v>237</v>
      </c>
      <c r="M8" t="s" s="13">
        <v>210</v>
      </c>
      <c r="N8" s="13">
        <v>100</v>
      </c>
      <c r="O8" s="14">
        <v>2830</v>
      </c>
      <c r="Q8" t="s" s="13">
        <v>235</v>
      </c>
      <c r="R8" t="s" s="13">
        <v>6</v>
      </c>
      <c r="S8" s="13">
        <v>369</v>
      </c>
      <c r="T8" s="14">
        <v>10442.7</v>
      </c>
      <c r="V8" t="s" s="13">
        <v>6</v>
      </c>
      <c r="W8" s="13">
        <v>1285</v>
      </c>
      <c r="X8" s="14">
        <v>36365.5</v>
      </c>
    </row>
    <row r="9" spans="2:24">
      <c r="B9" t="s" s="13">
        <v>236</v>
      </c>
      <c r="C9" t="s" s="13">
        <v>210</v>
      </c>
      <c r="D9" s="13">
        <v>100</v>
      </c>
      <c r="E9" s="14">
        <v>2830</v>
      </c>
      <c r="G9" t="s" s="13">
        <v>237</v>
      </c>
      <c r="H9" t="s" s="13">
        <v>6</v>
      </c>
      <c r="I9" s="13">
        <v>300</v>
      </c>
      <c r="J9" s="14">
        <v>8490</v>
      </c>
      <c r="L9" t="s" s="13">
        <v>238</v>
      </c>
      <c r="M9" t="s" s="13">
        <v>8</v>
      </c>
      <c r="N9" s="13">
        <v>595</v>
      </c>
      <c r="O9" s="14">
        <v>16838.5</v>
      </c>
      <c r="Q9" t="s" s="13">
        <v>235</v>
      </c>
      <c r="R9" t="s" s="13">
        <v>214</v>
      </c>
      <c r="S9" s="13">
        <v>409</v>
      </c>
      <c r="T9" s="14">
        <v>11574.7</v>
      </c>
      <c r="V9" t="s" s="13">
        <v>214</v>
      </c>
      <c r="W9" s="13">
        <v>647</v>
      </c>
      <c r="X9" s="14">
        <v>18310.1</v>
      </c>
    </row>
    <row r="10" spans="2:24">
      <c r="B10" t="s" s="13">
        <v>236</v>
      </c>
      <c r="C10" t="s" s="13">
        <v>10</v>
      </c>
      <c r="D10" s="13">
        <v>790</v>
      </c>
      <c r="E10" s="14">
        <v>22357</v>
      </c>
      <c r="G10" t="s" s="13">
        <v>238</v>
      </c>
      <c r="H10" t="s" s="13">
        <v>6</v>
      </c>
      <c r="I10" s="13">
        <v>256</v>
      </c>
      <c r="J10" s="14">
        <v>7244.8</v>
      </c>
      <c r="L10" t="s" s="13">
        <v>238</v>
      </c>
      <c r="M10" t="s" s="13">
        <v>214</v>
      </c>
      <c r="N10" s="13">
        <v>238</v>
      </c>
      <c r="O10" s="14">
        <v>6735.400000000001</v>
      </c>
      <c r="Q10" t="s" s="13">
        <v>236</v>
      </c>
      <c r="R10" t="s" s="13">
        <v>10</v>
      </c>
      <c r="S10" s="13">
        <v>736</v>
      </c>
      <c r="T10" s="14">
        <v>20828.8</v>
      </c>
      <c r="X10" s="20">
        <f>SUM(X5:X9)</f>
      </c>
    </row>
    <row r="11" spans="2:24">
      <c r="B11" t="s" s="13">
        <v>236</v>
      </c>
      <c r="C11" t="s" s="13">
        <v>8</v>
      </c>
      <c r="D11" s="13">
        <v>210</v>
      </c>
      <c r="E11" s="14">
        <v>5943</v>
      </c>
      <c r="G11" t="s" s="13">
        <v>239</v>
      </c>
      <c r="H11" t="s" s="13">
        <v>10</v>
      </c>
      <c r="I11" s="13">
        <v>502</v>
      </c>
      <c r="J11" s="14">
        <v>14206.6</v>
      </c>
      <c r="L11" t="s" s="13">
        <v>239</v>
      </c>
      <c r="M11" t="s" s="13">
        <v>210</v>
      </c>
      <c r="N11" s="13">
        <v>70</v>
      </c>
      <c r="O11" s="14">
        <v>1981</v>
      </c>
      <c r="Q11" t="s" s="13">
        <v>236</v>
      </c>
      <c r="R11" t="s" s="13">
        <v>8</v>
      </c>
      <c r="S11" s="13">
        <v>180</v>
      </c>
      <c r="T11" s="14">
        <v>5094</v>
      </c>
    </row>
    <row r="12" spans="2:24">
      <c r="B12" t="s" s="13">
        <v>237</v>
      </c>
      <c r="C12" t="s" s="13">
        <v>6</v>
      </c>
      <c r="D12" s="13">
        <v>320</v>
      </c>
      <c r="E12" s="14">
        <v>9056</v>
      </c>
      <c r="G12" t="s" s="13">
        <v>239</v>
      </c>
      <c r="H12" t="s" s="13">
        <v>6</v>
      </c>
      <c r="I12" s="13">
        <v>360</v>
      </c>
      <c r="J12" s="14">
        <v>10188</v>
      </c>
      <c r="Q12" t="s" s="13">
        <v>237</v>
      </c>
      <c r="R12" t="s" s="13">
        <v>210</v>
      </c>
      <c r="S12" s="13">
        <v>100</v>
      </c>
      <c r="T12" s="14">
        <v>2830</v>
      </c>
    </row>
    <row r="13" spans="2:24">
      <c r="B13" t="s" s="13">
        <v>238</v>
      </c>
      <c r="C13" t="s" s="13">
        <v>210</v>
      </c>
      <c r="D13" s="13">
        <v>70</v>
      </c>
      <c r="E13" s="14">
        <v>1981</v>
      </c>
      <c r="Q13" t="s" s="13">
        <v>237</v>
      </c>
      <c r="R13" t="s" s="13">
        <v>6</v>
      </c>
      <c r="S13" s="13">
        <v>300</v>
      </c>
      <c r="T13" s="14">
        <v>8490</v>
      </c>
    </row>
    <row r="14" spans="2:24">
      <c r="B14" t="s" s="13">
        <v>238</v>
      </c>
      <c r="C14" t="s" s="13">
        <v>8</v>
      </c>
      <c r="D14" s="13">
        <v>460</v>
      </c>
      <c r="E14" s="14">
        <v>13018</v>
      </c>
      <c r="Q14" t="s" s="13">
        <v>238</v>
      </c>
      <c r="R14" t="s" s="13">
        <v>8</v>
      </c>
      <c r="S14" s="13">
        <v>595</v>
      </c>
      <c r="T14" s="14">
        <v>16838.5</v>
      </c>
    </row>
    <row r="15" spans="2:24">
      <c r="B15" t="s" s="13">
        <v>239</v>
      </c>
      <c r="C15" t="s" s="13">
        <v>10</v>
      </c>
      <c r="D15" s="13">
        <v>620</v>
      </c>
      <c r="E15" s="14">
        <v>17546</v>
      </c>
      <c r="Q15" t="s" s="13">
        <v>238</v>
      </c>
      <c r="R15" t="s" s="13">
        <v>6</v>
      </c>
      <c r="S15" s="13">
        <v>256</v>
      </c>
      <c r="T15" s="14">
        <v>7244.8</v>
      </c>
    </row>
    <row r="16" spans="2:24">
      <c r="B16" t="s" s="13">
        <v>239</v>
      </c>
      <c r="C16" t="s" s="13">
        <v>6</v>
      </c>
      <c r="D16" s="13">
        <v>540</v>
      </c>
      <c r="E16" s="14">
        <v>15282</v>
      </c>
      <c r="Q16" t="s" s="13">
        <v>238</v>
      </c>
      <c r="R16" t="s" s="13">
        <v>214</v>
      </c>
      <c r="S16" s="13">
        <v>238</v>
      </c>
      <c r="T16" s="14">
        <v>6735.400000000001</v>
      </c>
    </row>
    <row r="17" spans="17:20">
      <c r="Q17" t="s" s="13">
        <v>239</v>
      </c>
      <c r="R17" t="s" s="13">
        <v>10</v>
      </c>
      <c r="S17" s="13">
        <v>502</v>
      </c>
      <c r="T17" s="14">
        <v>14206.6</v>
      </c>
    </row>
    <row r="18" spans="17:20">
      <c r="Q18" t="s" s="13">
        <v>239</v>
      </c>
      <c r="R18" t="s" s="13">
        <v>6</v>
      </c>
      <c r="S18" s="13">
        <v>360</v>
      </c>
      <c r="T18" s="14">
        <v>10188</v>
      </c>
    </row>
    <row r="35" spans="2:26" ht="18">
      <c r="B35" t="s" s="10">
        <v>240</v>
      </c>
      <c r="G35" t="s" s="10">
        <v>241</v>
      </c>
      <c r="L35" t="s" s="10">
        <v>242</v>
      </c>
      <c r="Q35" t="s" s="10">
        <v>243</v>
      </c>
      <c r="V35" t="s" s="15">
        <v>244</v>
      </c>
    </row>
    <row r="37" spans="2:26">
      <c r="B37" t="s" s="12">
        <v>28</v>
      </c>
      <c r="C37" t="s" s="12">
        <v>245</v>
      </c>
      <c r="D37" t="s" s="12">
        <v>233</v>
      </c>
      <c r="G37" t="s" s="12">
        <v>3</v>
      </c>
      <c r="H37" t="s" s="12">
        <v>245</v>
      </c>
      <c r="I37" t="s" s="12">
        <v>233</v>
      </c>
      <c r="L37" t="s" s="12">
        <v>28</v>
      </c>
      <c r="M37" t="s" s="12">
        <v>246</v>
      </c>
      <c r="N37" t="s" s="12">
        <v>247</v>
      </c>
      <c r="Q37" t="s" s="12">
        <v>3</v>
      </c>
      <c r="R37" t="s" s="12">
        <v>246</v>
      </c>
      <c r="S37" t="s" s="12">
        <v>247</v>
      </c>
      <c r="V37" t="s" s="16">
        <v>28</v>
      </c>
      <c r="W37" t="s" s="16">
        <v>3</v>
      </c>
      <c r="X37" t="s" s="16">
        <v>248</v>
      </c>
      <c r="Y37" t="s" s="16">
        <v>52</v>
      </c>
      <c r="Z37" t="s" s="16">
        <v>249</v>
      </c>
    </row>
    <row r="38" spans="2:26">
      <c r="B38" t="s" s="13">
        <v>234</v>
      </c>
      <c r="C38" s="14">
        <v>22640</v>
      </c>
      <c r="D38" s="14">
        <v>0</v>
      </c>
      <c r="G38" t="s" s="13">
        <v>210</v>
      </c>
      <c r="H38" s="14">
        <v>7641</v>
      </c>
      <c r="I38" s="14">
        <v>9905</v>
      </c>
      <c r="L38" t="s" s="13">
        <v>235</v>
      </c>
      <c r="M38" s="13">
        <v>1510</v>
      </c>
      <c r="N38" s="14">
        <v>42733</v>
      </c>
      <c r="Q38" t="s" s="13">
        <v>210</v>
      </c>
      <c r="R38" s="13">
        <v>350</v>
      </c>
      <c r="S38" s="14">
        <v>9905</v>
      </c>
      <c r="V38" t="s" s="13">
        <v>235</v>
      </c>
      <c r="W38" t="s" s="13">
        <v>210</v>
      </c>
      <c r="X38" s="13">
        <v>180</v>
      </c>
      <c r="Y38" s="13">
        <v>100</v>
      </c>
      <c r="Z38" s="13">
        <v>80</v>
      </c>
    </row>
    <row r="39" spans="2:26">
      <c r="B39" t="s" s="13">
        <v>235</v>
      </c>
      <c r="C39" s="14">
        <v>30847</v>
      </c>
      <c r="D39" s="14">
        <v>42733</v>
      </c>
      <c r="G39" t="s" s="13">
        <v>10</v>
      </c>
      <c r="H39" s="14">
        <v>67920</v>
      </c>
      <c r="I39" s="14">
        <v>47911.9</v>
      </c>
      <c r="L39" t="s" s="13">
        <v>236</v>
      </c>
      <c r="M39" s="13">
        <v>916</v>
      </c>
      <c r="N39" s="14">
        <v>25922.8</v>
      </c>
      <c r="Q39" t="s" s="13">
        <v>10</v>
      </c>
      <c r="R39" s="13">
        <v>1693</v>
      </c>
      <c r="S39" s="14">
        <v>47911.9</v>
      </c>
      <c r="V39" t="s" s="13">
        <v>239</v>
      </c>
      <c r="W39" t="s" s="13">
        <v>210</v>
      </c>
      <c r="X39" s="13">
        <v>70</v>
      </c>
      <c r="Y39" s="13">
        <v>0</v>
      </c>
      <c r="Z39" s="13">
        <v>70</v>
      </c>
    </row>
    <row r="40" spans="2:26">
      <c r="B40" t="s" s="13">
        <v>236</v>
      </c>
      <c r="C40" s="14">
        <v>31130</v>
      </c>
      <c r="D40" s="14">
        <v>25922.8</v>
      </c>
      <c r="G40" t="s" s="13">
        <v>8</v>
      </c>
      <c r="H40" s="14">
        <v>23489</v>
      </c>
      <c r="I40" s="14">
        <v>24677.6</v>
      </c>
      <c r="L40" t="s" s="13">
        <v>237</v>
      </c>
      <c r="M40" s="13">
        <v>400</v>
      </c>
      <c r="N40" s="14">
        <v>11320</v>
      </c>
      <c r="Q40" t="s" s="13">
        <v>8</v>
      </c>
      <c r="R40" s="13">
        <v>872</v>
      </c>
      <c r="S40" s="14">
        <v>24677.6</v>
      </c>
    </row>
    <row r="41" spans="2:26">
      <c r="B41" t="s" s="13">
        <v>237</v>
      </c>
      <c r="C41" s="14">
        <v>9056</v>
      </c>
      <c r="D41" s="14">
        <v>11320</v>
      </c>
      <c r="G41" t="s" s="13">
        <v>6</v>
      </c>
      <c r="H41" s="14">
        <v>42450</v>
      </c>
      <c r="I41" s="14">
        <v>36365.5</v>
      </c>
      <c r="L41" t="s" s="13">
        <v>238</v>
      </c>
      <c r="M41" s="13">
        <v>1089</v>
      </c>
      <c r="N41" s="14">
        <v>30818.7</v>
      </c>
      <c r="Q41" t="s" s="13">
        <v>6</v>
      </c>
      <c r="R41" s="13">
        <v>1285</v>
      </c>
      <c r="S41" s="14">
        <v>36365.5</v>
      </c>
    </row>
    <row r="42" spans="2:26">
      <c r="B42" t="s" s="13">
        <v>238</v>
      </c>
      <c r="C42" s="14">
        <v>14999</v>
      </c>
      <c r="D42" s="14">
        <v>30818.7</v>
      </c>
      <c r="G42" t="s" s="13">
        <v>214</v>
      </c>
      <c r="H42" s="14">
        <v>0</v>
      </c>
      <c r="I42" s="14">
        <v>18310.1</v>
      </c>
      <c r="L42" t="s" s="13">
        <v>239</v>
      </c>
      <c r="M42" s="13">
        <v>932</v>
      </c>
      <c r="N42" s="14">
        <v>26375.6</v>
      </c>
      <c r="Q42" t="s" s="13">
        <v>214</v>
      </c>
      <c r="R42" s="13">
        <v>647</v>
      </c>
      <c r="S42" s="14">
        <v>18310.1</v>
      </c>
    </row>
    <row r="43" spans="2:26">
      <c r="B43" t="s" s="13">
        <v>239</v>
      </c>
      <c r="C43" s="14">
        <v>32828</v>
      </c>
      <c r="D43" s="14">
        <v>26375.6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workbookViewId="0">
      <selection activeCell="L8" sqref="L8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5" width="20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</cols>
  <sheetData>
    <row r="1" spans="1:12" ht="22.35" customHeight="1">
      <c r="A1" t="s" s="17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t="s">
        <v>22</v>
      </c>
      <c r="C2" t="s">
        <v>23</v>
      </c>
      <c r="F2" t="s">
        <v>24</v>
      </c>
      <c r="H2" t="s">
        <v>25</v>
      </c>
      <c r="I2" t="s">
        <v>26</v>
      </c>
      <c r="J2" t="s">
        <v>27</v>
      </c>
    </row>
    <row r="4" spans="1:12" ht="27.6">
      <c r="A4" t="s" s="1">
        <v>28</v>
      </c>
      <c r="B4" t="s" s="1">
        <v>29</v>
      </c>
      <c r="C4" t="s" s="1">
        <v>30</v>
      </c>
      <c r="D4" t="s" s="1">
        <v>3</v>
      </c>
      <c r="E4" t="s" s="1">
        <v>45</v>
      </c>
      <c r="F4" t="s" s="1">
        <v>209</v>
      </c>
      <c r="G4" t="s" s="1">
        <v>32</v>
      </c>
      <c r="H4" t="s" s="1">
        <v>33</v>
      </c>
      <c r="I4" t="s" s="1">
        <v>34</v>
      </c>
      <c r="J4" t="s" s="1">
        <v>35</v>
      </c>
      <c r="K4" t="s" s="1">
        <v>36</v>
      </c>
      <c r="L4" t="s" s="1">
        <v>37</v>
      </c>
    </row>
    <row r="5" spans="1:12">
      <c r="A5" s="2">
        <v>46181</v>
      </c>
      <c r="B5" t="s">
        <v>154</v>
      </c>
      <c r="C5" t="s">
        <v>96</v>
      </c>
      <c r="D5" t="s">
        <v>210</v>
      </c>
      <c r="E5" t="s">
        <v>211</v>
      </c>
      <c r="F5">
        <f>VLOOKUP(TablaPegaso[[#This Row],[Equipo]],Catalogos!$I$4:$J$34,2,FALSE)</f>
      </c>
      <c r="G5" s="3"/>
      <c r="H5" s="3">
        <v>100</v>
      </c>
      <c r="I5" s="3">
        <f t="shared" ref="I5:I38" si="0">IF(ROW()=5,G5-H5,I4+G5-H5)</f>
      </c>
      <c r="J5" s="4">
        <v>28.3</v>
      </c>
      <c r="K5" s="4">
        <f t="shared" ref="K5:K38" si="1">IFERROR((G5+H5)*J5,0)</f>
      </c>
    </row>
    <row r="6" spans="1:12">
      <c r="A6" s="2">
        <v>46181</v>
      </c>
      <c r="B6" t="s">
        <v>154</v>
      </c>
      <c r="C6" t="s">
        <v>214</v>
      </c>
      <c r="D6" t="s">
        <v>214</v>
      </c>
      <c r="E6" t="s">
        <v>211</v>
      </c>
      <c r="F6">
        <f>VLOOKUP(TablaPegaso[[#This Row],[Equipo]],Catalogos!$I$4:$J$34,2,FALSE)</f>
      </c>
      <c r="G6" s="3"/>
      <c r="H6" s="3">
        <v>200</v>
      </c>
      <c r="I6" s="3">
        <f t="shared" si="0"/>
      </c>
      <c r="J6" s="4">
        <v>28.3</v>
      </c>
      <c r="K6" s="4">
        <f t="shared" si="1"/>
      </c>
    </row>
    <row r="7" spans="1:12">
      <c r="A7" s="2">
        <v>46181</v>
      </c>
      <c r="B7" t="s">
        <v>154</v>
      </c>
      <c r="C7" t="s">
        <v>215</v>
      </c>
      <c r="D7" t="s">
        <v>214</v>
      </c>
      <c r="E7" t="s">
        <v>211</v>
      </c>
      <c r="F7">
        <f>VLOOKUP(TablaPegaso[[#This Row],[Equipo]],Catalogos!$I$4:$J$34,2,FALSE)</f>
      </c>
      <c r="G7" s="3"/>
      <c r="H7" s="3">
        <v>209</v>
      </c>
      <c r="I7" s="3">
        <f t="shared" si="0"/>
      </c>
      <c r="J7" s="4">
        <v>28.3</v>
      </c>
      <c r="K7" s="4">
        <f t="shared" si="1"/>
      </c>
    </row>
    <row r="8" spans="1:12">
      <c r="A8" s="2">
        <v>46181</v>
      </c>
      <c r="B8" t="s">
        <v>225</v>
      </c>
      <c r="F8">
        <f>VLOOKUP(TablaPegaso[[#This Row],[Equipo]],Catalogos!$I$4:$J$34,2,FALSE)</f>
      </c>
      <c r="G8" s="3">
        <v>2800</v>
      </c>
      <c r="H8" s="3"/>
      <c r="I8" s="3">
        <f t="shared" si="0"/>
      </c>
      <c r="J8" s="4">
        <v>28.3</v>
      </c>
      <c r="K8" s="4">
        <f t="shared" si="1"/>
      </c>
    </row>
    <row r="9" spans="1:12">
      <c r="A9" s="2">
        <v>46181</v>
      </c>
      <c r="B9" t="s">
        <v>154</v>
      </c>
      <c r="C9" t="s">
        <v>93</v>
      </c>
      <c r="D9" t="s">
        <v>210</v>
      </c>
      <c r="E9" t="s">
        <v>211</v>
      </c>
      <c r="F9">
        <f>VLOOKUP(TablaPegaso[[#This Row],[Equipo]],Catalogos!$I$4:$J$34,2,FALSE)</f>
      </c>
      <c r="G9" s="3"/>
      <c r="H9" s="3">
        <v>80</v>
      </c>
      <c r="I9" s="3">
        <f t="shared" si="0"/>
      </c>
      <c r="J9" s="4">
        <v>28.3</v>
      </c>
      <c r="K9" s="4">
        <f t="shared" si="1"/>
      </c>
    </row>
    <row r="10" spans="1:12">
      <c r="A10" s="2">
        <v>46182</v>
      </c>
      <c r="B10" t="s">
        <v>154</v>
      </c>
      <c r="C10" t="s">
        <v>93</v>
      </c>
      <c r="D10" t="s">
        <v>8</v>
      </c>
      <c r="E10" t="s">
        <v>95</v>
      </c>
      <c r="F10">
        <f>VLOOKUP(TablaPegaso[[#This Row],[Equipo]],Catalogos!$I$4:$J$34,2,FALSE)</f>
      </c>
      <c r="G10" s="3"/>
      <c r="H10" s="3">
        <v>70</v>
      </c>
      <c r="I10" s="3">
        <f t="shared" si="0"/>
      </c>
      <c r="J10" s="4">
        <v>28.3</v>
      </c>
      <c r="K10" s="4">
        <f t="shared" si="1"/>
      </c>
    </row>
    <row r="11" spans="1:12">
      <c r="A11" s="2">
        <v>46182</v>
      </c>
      <c r="B11" t="s">
        <v>154</v>
      </c>
      <c r="C11" t="s">
        <v>93</v>
      </c>
      <c r="D11" t="s">
        <v>8</v>
      </c>
      <c r="E11" t="s">
        <v>200</v>
      </c>
      <c r="F11">
        <f>VLOOKUP(TablaPegaso[[#This Row],[Equipo]],Catalogos!$I$4:$J$34,2,FALSE)</f>
      </c>
      <c r="G11" s="3"/>
      <c r="H11" s="3">
        <v>50</v>
      </c>
      <c r="I11" s="3">
        <f t="shared" si="0"/>
      </c>
      <c r="J11" s="4">
        <v>28.3</v>
      </c>
      <c r="K11" s="4">
        <f t="shared" si="1"/>
      </c>
    </row>
    <row r="12" spans="1:12">
      <c r="A12" s="2">
        <v>46182</v>
      </c>
      <c r="B12" t="s">
        <v>154</v>
      </c>
      <c r="C12" t="s">
        <v>93</v>
      </c>
      <c r="D12" t="s">
        <v>8</v>
      </c>
      <c r="E12" t="s">
        <v>100</v>
      </c>
      <c r="F12">
        <f>VLOOKUP(TablaPegaso[[#This Row],[Equipo]],Catalogos!$I$4:$J$34,2,FALSE)</f>
      </c>
      <c r="G12" s="3"/>
      <c r="H12" s="3">
        <v>60</v>
      </c>
      <c r="I12" s="3">
        <f t="shared" si="0"/>
      </c>
      <c r="J12" s="4">
        <v>28.3</v>
      </c>
      <c r="K12" s="4">
        <f t="shared" si="1"/>
      </c>
    </row>
    <row r="13" spans="1:12">
      <c r="A13" s="2">
        <v>46183</v>
      </c>
      <c r="B13" t="s">
        <v>154</v>
      </c>
      <c r="C13" t="s">
        <v>96</v>
      </c>
      <c r="D13" t="s">
        <v>210</v>
      </c>
      <c r="E13" t="s">
        <v>211</v>
      </c>
      <c r="F13">
        <f>VLOOKUP(TablaPegaso[[#This Row],[Equipo]],Catalogos!$I$4:$J$34,2,FALSE)</f>
      </c>
      <c r="G13" s="3"/>
      <c r="H13" s="3">
        <v>100</v>
      </c>
      <c r="I13" s="3">
        <f t="shared" si="0"/>
      </c>
      <c r="J13" s="4">
        <v>28.3</v>
      </c>
      <c r="K13" s="4">
        <f t="shared" si="1"/>
      </c>
    </row>
    <row r="14" spans="1:12">
      <c r="A14" s="2">
        <v>46184</v>
      </c>
      <c r="B14" t="s">
        <v>154</v>
      </c>
      <c r="C14" t="s">
        <v>214</v>
      </c>
      <c r="D14" t="s">
        <v>214</v>
      </c>
      <c r="E14" t="s">
        <v>217</v>
      </c>
      <c r="F14">
        <f>VLOOKUP(TablaPegaso[[#This Row],[Equipo]],Catalogos!$I$4:$J$34,2,FALSE)</f>
      </c>
      <c r="G14" s="3"/>
      <c r="H14" s="3">
        <v>238</v>
      </c>
      <c r="I14" s="3">
        <f t="shared" si="0"/>
      </c>
      <c r="J14" s="4">
        <v>28.3</v>
      </c>
      <c r="K14" s="4">
        <f t="shared" si="1"/>
      </c>
    </row>
    <row r="15" spans="1:12">
      <c r="A15" s="2">
        <v>46184</v>
      </c>
      <c r="B15" t="s">
        <v>154</v>
      </c>
      <c r="C15" t="s">
        <v>93</v>
      </c>
      <c r="D15" t="s">
        <v>8</v>
      </c>
      <c r="E15" t="s">
        <v>100</v>
      </c>
      <c r="F15">
        <f>VLOOKUP(TablaPegaso[[#This Row],[Equipo]],Catalogos!$I$4:$J$34,2,FALSE)</f>
      </c>
      <c r="G15" s="3"/>
      <c r="H15" s="3">
        <v>80</v>
      </c>
      <c r="I15" s="3">
        <f t="shared" si="0"/>
      </c>
      <c r="J15" s="4">
        <v>28.3</v>
      </c>
      <c r="K15" s="4">
        <f t="shared" si="1"/>
      </c>
    </row>
    <row r="16" spans="1:12">
      <c r="A16" s="2">
        <v>46184</v>
      </c>
      <c r="B16" t="s">
        <v>154</v>
      </c>
      <c r="C16" t="s">
        <v>93</v>
      </c>
      <c r="D16" t="s">
        <v>8</v>
      </c>
      <c r="E16" t="s">
        <v>194</v>
      </c>
      <c r="F16">
        <f>VLOOKUP(TablaPegaso[[#This Row],[Equipo]],Catalogos!$I$4:$J$34,2,FALSE)</f>
      </c>
      <c r="G16" s="3"/>
      <c r="H16" s="3">
        <v>50</v>
      </c>
      <c r="I16" s="3">
        <f t="shared" si="0"/>
      </c>
      <c r="J16" s="4">
        <v>28.3</v>
      </c>
      <c r="K16" s="4">
        <f t="shared" si="1"/>
      </c>
    </row>
    <row r="17" spans="1:11">
      <c r="A17" s="2">
        <v>46184</v>
      </c>
      <c r="B17" t="s">
        <v>154</v>
      </c>
      <c r="C17" t="s">
        <v>93</v>
      </c>
      <c r="D17" t="s">
        <v>8</v>
      </c>
      <c r="E17" t="s">
        <v>95</v>
      </c>
      <c r="F17">
        <f>VLOOKUP(TablaPegaso[[#This Row],[Equipo]],Catalogos!$I$4:$J$34,2,FALSE)</f>
      </c>
      <c r="G17" s="3"/>
      <c r="H17" s="3">
        <v>70</v>
      </c>
      <c r="I17" s="3">
        <f t="shared" si="0"/>
      </c>
      <c r="J17" s="4">
        <v>28.3</v>
      </c>
      <c r="K17" s="4">
        <f t="shared" si="1"/>
      </c>
    </row>
    <row r="18" spans="1:11">
      <c r="A18" s="2">
        <v>46184</v>
      </c>
      <c r="B18" t="s">
        <v>154</v>
      </c>
      <c r="C18" t="s">
        <v>93</v>
      </c>
      <c r="D18" t="s">
        <v>8</v>
      </c>
      <c r="E18" t="s">
        <v>190</v>
      </c>
      <c r="F18">
        <f>VLOOKUP(TablaPegaso[[#This Row],[Equipo]],Catalogos!$I$4:$J$34,2,FALSE)</f>
      </c>
      <c r="G18" s="3"/>
      <c r="H18" s="3">
        <v>80</v>
      </c>
      <c r="I18" s="3">
        <f t="shared" si="0"/>
      </c>
      <c r="J18" s="4">
        <v>28.3</v>
      </c>
      <c r="K18" s="4">
        <f t="shared" si="1"/>
      </c>
    </row>
    <row r="19" spans="1:11">
      <c r="A19" s="2">
        <v>46184</v>
      </c>
      <c r="B19" t="s">
        <v>154</v>
      </c>
      <c r="C19" t="s">
        <v>93</v>
      </c>
      <c r="D19" t="s">
        <v>8</v>
      </c>
      <c r="E19" t="s">
        <v>160</v>
      </c>
      <c r="F19">
        <f>VLOOKUP(TablaPegaso[[#This Row],[Equipo]],Catalogos!$I$4:$J$34,2,FALSE)</f>
      </c>
      <c r="G19" s="3"/>
      <c r="H19" s="3">
        <v>185</v>
      </c>
      <c r="I19" s="3">
        <f t="shared" si="0"/>
      </c>
      <c r="J19" s="4">
        <v>28.3</v>
      </c>
      <c r="K19" s="4">
        <f t="shared" si="1"/>
      </c>
    </row>
    <row r="20" spans="1:11">
      <c r="A20" s="2">
        <v>46184</v>
      </c>
      <c r="B20" t="s">
        <v>154</v>
      </c>
      <c r="C20" t="s">
        <v>93</v>
      </c>
      <c r="D20" t="s">
        <v>8</v>
      </c>
      <c r="E20" t="s">
        <v>200</v>
      </c>
      <c r="F20">
        <f>VLOOKUP(TablaPegaso[[#This Row],[Equipo]],Catalogos!$I$4:$J$34,2,FALSE)</f>
      </c>
      <c r="G20" s="3"/>
      <c r="H20" s="3">
        <v>50</v>
      </c>
      <c r="I20" s="3">
        <f t="shared" si="0"/>
      </c>
      <c r="J20" s="4">
        <v>28.3</v>
      </c>
      <c r="K20" s="4">
        <f t="shared" si="1"/>
      </c>
    </row>
    <row r="21" spans="1:11">
      <c r="A21" s="2">
        <v>46184</v>
      </c>
      <c r="B21" t="s">
        <v>154</v>
      </c>
      <c r="C21" t="s">
        <v>93</v>
      </c>
      <c r="D21" t="s">
        <v>8</v>
      </c>
      <c r="E21" t="s">
        <v>200</v>
      </c>
      <c r="F21">
        <f>VLOOKUP(TablaPegaso[[#This Row],[Equipo]],Catalogos!$I$4:$J$34,2,FALSE)</f>
      </c>
      <c r="G21" s="3"/>
      <c r="H21" s="3">
        <v>40</v>
      </c>
      <c r="I21" s="3">
        <f t="shared" si="0"/>
      </c>
      <c r="J21" s="4">
        <v>28.3</v>
      </c>
      <c r="K21" s="4">
        <f t="shared" si="1"/>
      </c>
    </row>
    <row r="22" spans="1:11">
      <c r="A22" s="2">
        <v>46184</v>
      </c>
      <c r="B22" t="s">
        <v>154</v>
      </c>
      <c r="C22" t="s">
        <v>93</v>
      </c>
      <c r="D22" t="s">
        <v>8</v>
      </c>
      <c r="E22" t="s">
        <v>181</v>
      </c>
      <c r="F22">
        <f>VLOOKUP(TablaPegaso[[#This Row],[Equipo]],Catalogos!$I$4:$J$34,2,FALSE)</f>
      </c>
      <c r="G22" s="3"/>
      <c r="H22" s="3">
        <v>40</v>
      </c>
      <c r="I22" s="3">
        <f t="shared" si="0"/>
      </c>
      <c r="J22" s="4">
        <v>28.3</v>
      </c>
      <c r="K22" s="4">
        <f t="shared" si="1"/>
      </c>
    </row>
    <row r="23" spans="1:11">
      <c r="A23" s="2">
        <v>46185</v>
      </c>
      <c r="B23" t="s">
        <v>154</v>
      </c>
      <c r="C23" t="s">
        <v>93</v>
      </c>
      <c r="D23" t="s">
        <v>210</v>
      </c>
      <c r="E23" t="s">
        <v>175</v>
      </c>
      <c r="F23">
        <f>VLOOKUP(TablaPegaso[[#This Row],[Equipo]],Catalogos!$I$4:$J$34,2,FALSE)</f>
      </c>
      <c r="G23" s="3"/>
      <c r="H23" s="3">
        <v>70</v>
      </c>
      <c r="I23" s="3">
        <f t="shared" si="0"/>
      </c>
      <c r="J23" s="4">
        <v>28.3</v>
      </c>
      <c r="K23" s="4">
        <f t="shared" si="1"/>
      </c>
    </row>
    <row r="24" spans="1:11">
      <c r="A24" s="2"/>
      <c r="F24">
        <f>VLOOKUP(TablaPegaso[[#This Row],[Equipo]],Catalogos!$I$4:$J$34,2,FALSE)</f>
      </c>
      <c r="G24" s="3"/>
      <c r="H24" s="3"/>
      <c r="I24" s="3">
        <f t="shared" si="0"/>
      </c>
      <c r="J24" s="4"/>
      <c r="K24" s="4">
        <f t="shared" si="1"/>
      </c>
    </row>
    <row r="25" spans="1:11">
      <c r="A25" s="2"/>
      <c r="F25">
        <f>VLOOKUP(TablaPegaso[[#This Row],[Equipo]],Catalogos!$I$4:$J$34,2,FALSE)</f>
      </c>
      <c r="G25" s="3"/>
      <c r="H25" s="3"/>
      <c r="I25" s="3">
        <f t="shared" si="0"/>
      </c>
      <c r="J25" s="4"/>
      <c r="K25" s="4">
        <f t="shared" si="1"/>
      </c>
    </row>
    <row r="26" spans="1:11">
      <c r="A26" s="2"/>
      <c r="F26">
        <f>VLOOKUP(TablaPegaso[[#This Row],[Equipo]],Catalogos!$I$4:$J$34,2,FALSE)</f>
      </c>
      <c r="G26" s="3"/>
      <c r="H26" s="3"/>
      <c r="I26" s="3">
        <f t="shared" si="0"/>
      </c>
      <c r="J26" s="4"/>
      <c r="K26" s="4">
        <f t="shared" si="1"/>
      </c>
    </row>
    <row r="27" spans="1:11">
      <c r="A27" s="2"/>
      <c r="F27">
        <f>VLOOKUP(TablaPegaso[[#This Row],[Equipo]],Catalogos!$I$4:$J$34,2,FALSE)</f>
      </c>
      <c r="G27" s="3"/>
      <c r="H27" s="3"/>
      <c r="I27" s="3">
        <f t="shared" si="0"/>
      </c>
      <c r="J27" s="4"/>
      <c r="K27" s="4">
        <f t="shared" si="1"/>
      </c>
    </row>
    <row r="28" spans="1:11">
      <c r="A28" s="2"/>
      <c r="F28">
        <f>VLOOKUP(TablaPegaso[[#This Row],[Equipo]],Catalogos!$I$4:$J$34,2,FALSE)</f>
      </c>
      <c r="G28" s="3"/>
      <c r="H28" s="3"/>
      <c r="I28" s="3">
        <f t="shared" si="0"/>
      </c>
      <c r="J28" s="4"/>
      <c r="K28" s="4">
        <f t="shared" si="1"/>
      </c>
    </row>
    <row r="29" spans="1:11">
      <c r="A29" s="2"/>
      <c r="F29">
        <f>VLOOKUP(TablaPegaso[[#This Row],[Equipo]],Catalogos!$I$4:$J$34,2,FALSE)</f>
      </c>
      <c r="G29" s="3"/>
      <c r="H29" s="3"/>
      <c r="I29" s="3">
        <f t="shared" si="0"/>
      </c>
      <c r="J29" s="4"/>
      <c r="K29" s="4">
        <f t="shared" si="1"/>
      </c>
    </row>
    <row r="30" spans="1:11">
      <c r="A30" s="2"/>
      <c r="F30">
        <f>VLOOKUP(TablaPegaso[[#This Row],[Equipo]],Catalogos!$I$4:$J$34,2,FALSE)</f>
      </c>
      <c r="G30" s="3"/>
      <c r="H30" s="3"/>
      <c r="I30" s="3">
        <f t="shared" si="0"/>
      </c>
      <c r="J30" s="4"/>
      <c r="K30" s="4">
        <f t="shared" si="1"/>
      </c>
    </row>
    <row r="31" spans="1:11">
      <c r="A31" s="2"/>
      <c r="F31">
        <f>VLOOKUP(TablaPegaso[[#This Row],[Equipo]],Catalogos!$I$4:$J$34,2,FALSE)</f>
      </c>
      <c r="G31" s="3"/>
      <c r="H31" s="3"/>
      <c r="I31" s="3">
        <f t="shared" si="0"/>
      </c>
      <c r="J31" s="4"/>
      <c r="K31" s="4">
        <f t="shared" si="1"/>
      </c>
    </row>
    <row r="32" spans="1:11">
      <c r="A32" s="2"/>
      <c r="F32">
        <f>VLOOKUP(TablaPegaso[[#This Row],[Equipo]],Catalogos!$I$4:$J$34,2,FALSE)</f>
      </c>
      <c r="G32" s="3"/>
      <c r="H32" s="3"/>
      <c r="I32" s="3">
        <f t="shared" si="0"/>
      </c>
      <c r="J32" s="4"/>
      <c r="K32" s="4">
        <f t="shared" si="1"/>
      </c>
    </row>
    <row r="33" spans="1:11">
      <c r="A33" s="2"/>
      <c r="F33">
        <f>VLOOKUP(TablaPegaso[[#This Row],[Equipo]],Catalogos!$I$4:$J$34,2,FALSE)</f>
      </c>
      <c r="G33" s="3"/>
      <c r="H33" s="3"/>
      <c r="I33" s="3">
        <f t="shared" si="0"/>
      </c>
      <c r="J33" s="4"/>
      <c r="K33" s="4">
        <f t="shared" si="1"/>
      </c>
    </row>
    <row r="34" spans="1:11">
      <c r="A34" s="2"/>
      <c r="F34">
        <f>VLOOKUP(TablaPegaso[[#This Row],[Equipo]],Catalogos!$I$4:$J$34,2,FALSE)</f>
      </c>
      <c r="G34" s="3"/>
      <c r="H34" s="3"/>
      <c r="I34" s="3">
        <f t="shared" si="0"/>
      </c>
      <c r="J34" s="4"/>
      <c r="K34" s="4">
        <f t="shared" si="1"/>
      </c>
    </row>
    <row r="35" spans="1:11">
      <c r="A35" s="2"/>
      <c r="F35">
        <f>VLOOKUP(TablaPegaso[[#This Row],[Equipo]],Catalogos!$I$4:$J$34,2,FALSE)</f>
      </c>
      <c r="G35" s="3"/>
      <c r="H35" s="3"/>
      <c r="I35" s="3">
        <f t="shared" si="0"/>
      </c>
      <c r="J35" s="4"/>
      <c r="K35" s="4">
        <f t="shared" si="1"/>
      </c>
    </row>
    <row r="36" spans="1:11">
      <c r="A36" s="2"/>
      <c r="F36">
        <f>VLOOKUP(TablaPegaso[[#This Row],[Equipo]],Catalogos!$I$4:$J$34,2,FALSE)</f>
      </c>
      <c r="G36" s="3"/>
      <c r="H36" s="3"/>
      <c r="I36" s="3">
        <f t="shared" si="0"/>
      </c>
      <c r="J36" s="4"/>
      <c r="K36" s="4">
        <f t="shared" si="1"/>
      </c>
    </row>
    <row r="37" spans="1:11">
      <c r="A37" s="2"/>
      <c r="F37">
        <f>VLOOKUP(TablaPegaso[[#This Row],[Equipo]],Catalogos!$I$4:$J$34,2,FALSE)</f>
      </c>
      <c r="G37" s="3"/>
      <c r="H37" s="3"/>
      <c r="I37" s="3">
        <f t="shared" si="0"/>
      </c>
      <c r="J37" s="4"/>
      <c r="K37" s="4">
        <f t="shared" si="1"/>
      </c>
    </row>
    <row r="38" spans="1:11">
      <c r="A38" s="2"/>
      <c r="F38">
        <f>VLOOKUP(TablaPegaso[[#This Row],[Equipo]],Catalogos!$I$4:$J$34,2,FALSE)</f>
      </c>
      <c r="G38" s="3"/>
      <c r="H38" s="3"/>
      <c r="I38" s="3">
        <f t="shared" si="0"/>
      </c>
      <c r="J38" s="4"/>
      <c r="K38" s="4">
        <f t="shared" si="1"/>
      </c>
    </row>
    <row r="39" spans="1:11">
      <c r="A39" s="2"/>
      <c r="F39">
        <f>VLOOKUP(TablaPegaso[[#This Row],[Equipo]],Catalogos!$I$4:$J$34,2,FALSE)</f>
      </c>
      <c r="G39" s="3"/>
      <c r="H39" s="3"/>
      <c r="I39" s="3">
        <f t="shared" ref="I39:I70" si="2">IF(ROW()=5,G39-H39,I38+G39-H39)</f>
      </c>
      <c r="J39" s="4"/>
      <c r="K39" s="4">
        <f t="shared" ref="K39:K70" si="3">IFERROR((G39+H39)*J39,0)</f>
      </c>
    </row>
    <row r="40" spans="1:11">
      <c r="A40" s="2"/>
      <c r="F40">
        <f>VLOOKUP(TablaPegaso[[#This Row],[Equipo]],Catalogos!$I$4:$J$34,2,FALSE)</f>
      </c>
      <c r="G40" s="3"/>
      <c r="H40" s="3"/>
      <c r="I40" s="3">
        <f t="shared" si="2"/>
      </c>
      <c r="J40" s="4"/>
      <c r="K40" s="4">
        <f t="shared" si="3"/>
      </c>
    </row>
    <row r="41" spans="1:11">
      <c r="A41" s="2"/>
      <c r="F41">
        <f>VLOOKUP(TablaPegaso[[#This Row],[Equipo]],Catalogos!$I$4:$J$34,2,FALSE)</f>
      </c>
      <c r="G41" s="3"/>
      <c r="H41" s="3"/>
      <c r="I41" s="3">
        <f t="shared" si="2"/>
      </c>
      <c r="J41" s="4"/>
      <c r="K41" s="4">
        <f t="shared" si="3"/>
      </c>
    </row>
    <row r="42" spans="1:11">
      <c r="A42" s="2"/>
      <c r="F42">
        <f>VLOOKUP(TablaPegaso[[#This Row],[Equipo]],Catalogos!$I$4:$J$34,2,FALSE)</f>
      </c>
      <c r="G42" s="3"/>
      <c r="H42" s="3"/>
      <c r="I42" s="3">
        <f t="shared" si="2"/>
      </c>
      <c r="J42" s="4"/>
      <c r="K42" s="4">
        <f t="shared" si="3"/>
      </c>
    </row>
    <row r="43" spans="1:11">
      <c r="A43" s="2"/>
      <c r="F43">
        <f>VLOOKUP(TablaPegaso[[#This Row],[Equipo]],Catalogos!$I$4:$J$34,2,FALSE)</f>
      </c>
      <c r="G43" s="3"/>
      <c r="H43" s="3"/>
      <c r="I43" s="3">
        <f t="shared" si="2"/>
      </c>
      <c r="J43" s="4"/>
      <c r="K43" s="4">
        <f t="shared" si="3"/>
      </c>
    </row>
    <row r="44" spans="1:11">
      <c r="A44" s="2"/>
      <c r="F44">
        <f>VLOOKUP(TablaPegaso[[#This Row],[Equipo]],Catalogos!$I$4:$J$34,2,FALSE)</f>
      </c>
      <c r="G44" s="3"/>
      <c r="H44" s="3"/>
      <c r="I44" s="3">
        <f t="shared" si="2"/>
      </c>
      <c r="J44" s="4"/>
      <c r="K44" s="4">
        <f t="shared" si="3"/>
      </c>
    </row>
    <row r="45" spans="1:11">
      <c r="A45" s="2"/>
      <c r="F45">
        <f>VLOOKUP(TablaPegaso[[#This Row],[Equipo]],Catalogos!$I$4:$J$34,2,FALSE)</f>
      </c>
      <c r="G45" s="3"/>
      <c r="H45" s="3"/>
      <c r="I45" s="3">
        <f t="shared" si="2"/>
      </c>
      <c r="J45" s="4"/>
      <c r="K45" s="4">
        <f t="shared" si="3"/>
      </c>
    </row>
    <row r="46" spans="1:11">
      <c r="A46" s="2"/>
      <c r="F46">
        <f>VLOOKUP(TablaPegaso[[#This Row],[Equipo]],Catalogos!$I$4:$J$34,2,FALSE)</f>
      </c>
      <c r="G46" s="3"/>
      <c r="H46" s="3"/>
      <c r="I46" s="3">
        <f t="shared" si="2"/>
      </c>
      <c r="J46" s="4"/>
      <c r="K46" s="4">
        <f t="shared" si="3"/>
      </c>
    </row>
    <row r="47" spans="1:11">
      <c r="A47" s="2"/>
      <c r="F47">
        <f>VLOOKUP(TablaPegaso[[#This Row],[Equipo]],Catalogos!$I$4:$J$34,2,FALSE)</f>
      </c>
      <c r="G47" s="3"/>
      <c r="H47" s="3"/>
      <c r="I47" s="3">
        <f t="shared" si="2"/>
      </c>
      <c r="J47" s="4"/>
      <c r="K47" s="4">
        <f t="shared" si="3"/>
      </c>
    </row>
    <row r="48" spans="1:11">
      <c r="A48" s="2"/>
      <c r="F48">
        <f>VLOOKUP(TablaPegaso[[#This Row],[Equipo]],Catalogos!$I$4:$J$34,2,FALSE)</f>
      </c>
      <c r="G48" s="3"/>
      <c r="H48" s="3"/>
      <c r="I48" s="3">
        <f t="shared" si="2"/>
      </c>
      <c r="J48" s="4"/>
      <c r="K48" s="4">
        <f t="shared" si="3"/>
      </c>
    </row>
    <row r="49" spans="1:11">
      <c r="A49" s="2"/>
      <c r="F49">
        <f>VLOOKUP(TablaPegaso[[#This Row],[Equipo]],Catalogos!$I$4:$J$34,2,FALSE)</f>
      </c>
      <c r="G49" s="3"/>
      <c r="H49" s="3"/>
      <c r="I49" s="3">
        <f t="shared" si="2"/>
      </c>
      <c r="J49" s="4"/>
      <c r="K49" s="4">
        <f t="shared" si="3"/>
      </c>
    </row>
    <row r="50" spans="1:11">
      <c r="A50" s="2"/>
      <c r="F50">
        <f>VLOOKUP(TablaPegaso[[#This Row],[Equipo]],Catalogos!$I$4:$J$34,2,FALSE)</f>
      </c>
      <c r="G50" s="3"/>
      <c r="H50" s="3"/>
      <c r="I50" s="3">
        <f t="shared" si="2"/>
      </c>
      <c r="J50" s="4"/>
      <c r="K50" s="4">
        <f t="shared" si="3"/>
      </c>
    </row>
    <row r="51" spans="1:11">
      <c r="A51" s="2"/>
      <c r="F51">
        <f>VLOOKUP(TablaPegaso[[#This Row],[Equipo]],Catalogos!$I$4:$J$34,2,FALSE)</f>
      </c>
      <c r="G51" s="3"/>
      <c r="H51" s="3"/>
      <c r="I51" s="3">
        <f t="shared" si="2"/>
      </c>
      <c r="J51" s="4"/>
      <c r="K51" s="4">
        <f t="shared" si="3"/>
      </c>
    </row>
    <row r="52" spans="1:11">
      <c r="A52" s="2"/>
      <c r="F52">
        <f>VLOOKUP(TablaPegaso[[#This Row],[Equipo]],Catalogos!$I$4:$J$34,2,FALSE)</f>
      </c>
      <c r="G52" s="3"/>
      <c r="H52" s="3"/>
      <c r="I52" s="3">
        <f t="shared" si="2"/>
      </c>
      <c r="J52" s="4"/>
      <c r="K52" s="4">
        <f t="shared" si="3"/>
      </c>
    </row>
    <row r="53" spans="1:11">
      <c r="A53" s="2"/>
      <c r="F53">
        <f>VLOOKUP(TablaPegaso[[#This Row],[Equipo]],Catalogos!$I$4:$J$34,2,FALSE)</f>
      </c>
      <c r="G53" s="3"/>
      <c r="H53" s="3"/>
      <c r="I53" s="3">
        <f t="shared" si="2"/>
      </c>
      <c r="J53" s="4"/>
      <c r="K53" s="4">
        <f t="shared" si="3"/>
      </c>
    </row>
    <row r="54" spans="1:11">
      <c r="A54" s="2"/>
      <c r="F54">
        <f>VLOOKUP(TablaPegaso[[#This Row],[Equipo]],Catalogos!$I$4:$J$34,2,FALSE)</f>
      </c>
      <c r="G54" s="3"/>
      <c r="H54" s="3"/>
      <c r="I54" s="3">
        <f t="shared" si="2"/>
      </c>
      <c r="J54" s="4"/>
      <c r="K54" s="4">
        <f t="shared" si="3"/>
      </c>
    </row>
    <row r="55" spans="1:11">
      <c r="A55" s="2"/>
      <c r="F55">
        <f>VLOOKUP(TablaPegaso[[#This Row],[Equipo]],Catalogos!$I$4:$J$34,2,FALSE)</f>
      </c>
      <c r="G55" s="3"/>
      <c r="H55" s="3"/>
      <c r="I55" s="3">
        <f t="shared" si="2"/>
      </c>
      <c r="J55" s="4"/>
      <c r="K55" s="4">
        <f t="shared" si="3"/>
      </c>
    </row>
    <row r="56" spans="1:11">
      <c r="A56" s="2"/>
      <c r="F56">
        <f>VLOOKUP(TablaPegaso[[#This Row],[Equipo]],Catalogos!$I$4:$J$34,2,FALSE)</f>
      </c>
      <c r="G56" s="3"/>
      <c r="H56" s="3"/>
      <c r="I56" s="3">
        <f t="shared" si="2"/>
      </c>
      <c r="J56" s="4"/>
      <c r="K56" s="4">
        <f t="shared" si="3"/>
      </c>
    </row>
    <row r="57" spans="1:11">
      <c r="A57" s="2"/>
      <c r="F57">
        <f>VLOOKUP(TablaPegaso[[#This Row],[Equipo]],Catalogos!$I$4:$J$34,2,FALSE)</f>
      </c>
      <c r="G57" s="3"/>
      <c r="H57" s="3"/>
      <c r="I57" s="3">
        <f t="shared" si="2"/>
      </c>
      <c r="J57" s="4"/>
      <c r="K57" s="4">
        <f t="shared" si="3"/>
      </c>
    </row>
    <row r="58" spans="1:11">
      <c r="A58" s="2"/>
      <c r="F58">
        <f>VLOOKUP(TablaPegaso[[#This Row],[Equipo]],Catalogos!$I$4:$J$34,2,FALSE)</f>
      </c>
      <c r="G58" s="3"/>
      <c r="H58" s="3"/>
      <c r="I58" s="3">
        <f t="shared" si="2"/>
      </c>
      <c r="J58" s="4"/>
      <c r="K58" s="4">
        <f t="shared" si="3"/>
      </c>
    </row>
    <row r="59" spans="1:11">
      <c r="A59" s="2"/>
      <c r="F59">
        <f>VLOOKUP(TablaPegaso[[#This Row],[Equipo]],Catalogos!$I$4:$J$34,2,FALSE)</f>
      </c>
      <c r="G59" s="3"/>
      <c r="H59" s="3"/>
      <c r="I59" s="3">
        <f t="shared" si="2"/>
      </c>
      <c r="J59" s="4"/>
      <c r="K59" s="4">
        <f t="shared" si="3"/>
      </c>
    </row>
    <row r="60" spans="1:11">
      <c r="A60" s="2"/>
      <c r="F60">
        <f>VLOOKUP(TablaPegaso[[#This Row],[Equipo]],Catalogos!$I$4:$J$34,2,FALSE)</f>
      </c>
      <c r="G60" s="3"/>
      <c r="H60" s="3"/>
      <c r="I60" s="3">
        <f t="shared" si="2"/>
      </c>
      <c r="J60" s="4"/>
      <c r="K60" s="4">
        <f t="shared" si="3"/>
      </c>
    </row>
    <row r="61" spans="1:11">
      <c r="A61" s="2"/>
      <c r="F61">
        <f>VLOOKUP(TablaPegaso[[#This Row],[Equipo]],Catalogos!$I$4:$J$34,2,FALSE)</f>
      </c>
      <c r="G61" s="3"/>
      <c r="H61" s="3"/>
      <c r="I61" s="3">
        <f t="shared" si="2"/>
      </c>
      <c r="J61" s="4"/>
      <c r="K61" s="4">
        <f t="shared" si="3"/>
      </c>
    </row>
    <row r="62" spans="1:11">
      <c r="A62" s="2"/>
      <c r="F62">
        <f>VLOOKUP(TablaPegaso[[#This Row],[Equipo]],Catalogos!$I$4:$J$34,2,FALSE)</f>
      </c>
      <c r="G62" s="3"/>
      <c r="H62" s="3"/>
      <c r="I62" s="3">
        <f t="shared" si="2"/>
      </c>
      <c r="J62" s="4"/>
      <c r="K62" s="4">
        <f t="shared" si="3"/>
      </c>
    </row>
    <row r="63" spans="1:11">
      <c r="A63" s="2"/>
      <c r="F63">
        <f>VLOOKUP(TablaPegaso[[#This Row],[Equipo]],Catalogos!$I$4:$J$34,2,FALSE)</f>
      </c>
      <c r="G63" s="3"/>
      <c r="H63" s="3"/>
      <c r="I63" s="3">
        <f t="shared" si="2"/>
      </c>
      <c r="J63" s="4"/>
      <c r="K63" s="4">
        <f t="shared" si="3"/>
      </c>
    </row>
    <row r="64" spans="1:11">
      <c r="A64" s="2"/>
      <c r="F64">
        <f>VLOOKUP(TablaPegaso[[#This Row],[Equipo]],Catalogos!$I$4:$J$34,2,FALSE)</f>
      </c>
      <c r="G64" s="3"/>
      <c r="H64" s="3"/>
      <c r="I64" s="3">
        <f t="shared" si="2"/>
      </c>
      <c r="J64" s="4"/>
      <c r="K64" s="4">
        <f t="shared" si="3"/>
      </c>
    </row>
    <row r="65" spans="1:11">
      <c r="A65" s="2"/>
      <c r="F65">
        <f>VLOOKUP(TablaPegaso[[#This Row],[Equipo]],Catalogos!$I$4:$J$34,2,FALSE)</f>
      </c>
      <c r="G65" s="3"/>
      <c r="H65" s="3"/>
      <c r="I65" s="3">
        <f t="shared" si="2"/>
      </c>
      <c r="J65" s="4"/>
      <c r="K65" s="4">
        <f t="shared" si="3"/>
      </c>
    </row>
    <row r="66" spans="1:11">
      <c r="A66" s="2"/>
      <c r="F66">
        <f>VLOOKUP(TablaPegaso[[#This Row],[Equipo]],Catalogos!$I$4:$J$34,2,FALSE)</f>
      </c>
      <c r="G66" s="3"/>
      <c r="H66" s="3"/>
      <c r="I66" s="3">
        <f t="shared" si="2"/>
      </c>
      <c r="J66" s="4"/>
      <c r="K66" s="4">
        <f t="shared" si="3"/>
      </c>
    </row>
    <row r="67" spans="1:11">
      <c r="A67" s="2"/>
      <c r="F67">
        <f>VLOOKUP(TablaPegaso[[#This Row],[Equipo]],Catalogos!$I$4:$J$34,2,FALSE)</f>
      </c>
      <c r="G67" s="3"/>
      <c r="H67" s="3"/>
      <c r="I67" s="3">
        <f t="shared" si="2"/>
      </c>
      <c r="J67" s="4"/>
      <c r="K67" s="4">
        <f t="shared" si="3"/>
      </c>
    </row>
    <row r="68" spans="1:11">
      <c r="A68" s="2"/>
      <c r="F68">
        <f>VLOOKUP(TablaPegaso[[#This Row],[Equipo]],Catalogos!$I$4:$J$34,2,FALSE)</f>
      </c>
      <c r="G68" s="3"/>
      <c r="H68" s="3"/>
      <c r="I68" s="3">
        <f t="shared" si="2"/>
      </c>
      <c r="J68" s="4"/>
      <c r="K68" s="4">
        <f t="shared" si="3"/>
      </c>
    </row>
    <row r="69" spans="1:11">
      <c r="A69" s="2"/>
      <c r="F69">
        <f>VLOOKUP(TablaPegaso[[#This Row],[Equipo]],Catalogos!$I$4:$J$34,2,FALSE)</f>
      </c>
      <c r="G69" s="3"/>
      <c r="H69" s="3"/>
      <c r="I69" s="3">
        <f t="shared" si="2"/>
      </c>
      <c r="J69" s="4"/>
      <c r="K69" s="4">
        <f t="shared" si="3"/>
      </c>
    </row>
    <row r="70" spans="1:11">
      <c r="A70" s="2"/>
      <c r="F70">
        <f>VLOOKUP(TablaPegaso[[#This Row],[Equipo]],Catalogos!$I$4:$J$34,2,FALSE)</f>
      </c>
      <c r="G70" s="3"/>
      <c r="H70" s="3"/>
      <c r="I70" s="3">
        <f t="shared" si="2"/>
      </c>
      <c r="J70" s="4"/>
      <c r="K70" s="4">
        <f t="shared" si="3"/>
      </c>
    </row>
    <row r="71" spans="1:11">
      <c r="A71" s="2"/>
      <c r="F71">
        <f>VLOOKUP(TablaPegaso[[#This Row],[Equipo]],Catalogos!$I$4:$J$34,2,FALSE)</f>
      </c>
      <c r="G71" s="3"/>
      <c r="H71" s="3"/>
      <c r="I71" s="3">
        <f t="shared" ref="I71:I102" si="4">IF(ROW()=5,G71-H71,I70+G71-H71)</f>
      </c>
      <c r="J71" s="4"/>
      <c r="K71" s="4">
        <f t="shared" ref="K71:K102" si="5">IFERROR((G71+H71)*J71,0)</f>
      </c>
    </row>
    <row r="72" spans="1:11">
      <c r="A72" s="2"/>
      <c r="F72">
        <f>VLOOKUP(TablaPegaso[[#This Row],[Equipo]],Catalogos!$I$4:$J$34,2,FALSE)</f>
      </c>
      <c r="G72" s="3"/>
      <c r="H72" s="3"/>
      <c r="I72" s="3">
        <f t="shared" si="4"/>
      </c>
      <c r="J72" s="4"/>
      <c r="K72" s="4">
        <f t="shared" si="5"/>
      </c>
    </row>
    <row r="73" spans="1:11">
      <c r="A73" s="2"/>
      <c r="F73">
        <f>VLOOKUP(TablaPegaso[[#This Row],[Equipo]],Catalogos!$I$4:$J$34,2,FALSE)</f>
      </c>
      <c r="G73" s="3"/>
      <c r="H73" s="3"/>
      <c r="I73" s="3">
        <f t="shared" si="4"/>
      </c>
      <c r="J73" s="4"/>
      <c r="K73" s="4">
        <f t="shared" si="5"/>
      </c>
    </row>
    <row r="74" spans="1:11">
      <c r="A74" s="2"/>
      <c r="F74">
        <f>VLOOKUP(TablaPegaso[[#This Row],[Equipo]],Catalogos!$I$4:$J$34,2,FALSE)</f>
      </c>
      <c r="G74" s="3"/>
      <c r="H74" s="3"/>
      <c r="I74" s="3">
        <f t="shared" si="4"/>
      </c>
      <c r="J74" s="4"/>
      <c r="K74" s="4">
        <f t="shared" si="5"/>
      </c>
    </row>
    <row r="75" spans="1:11">
      <c r="A75" s="2"/>
      <c r="F75">
        <f>VLOOKUP(TablaPegaso[[#This Row],[Equipo]],Catalogos!$I$4:$J$34,2,FALSE)</f>
      </c>
      <c r="G75" s="3"/>
      <c r="H75" s="3"/>
      <c r="I75" s="3">
        <f t="shared" si="4"/>
      </c>
      <c r="J75" s="4"/>
      <c r="K75" s="4">
        <f t="shared" si="5"/>
      </c>
    </row>
    <row r="76" spans="1:11">
      <c r="A76" s="2"/>
      <c r="F76">
        <f>VLOOKUP(TablaPegaso[[#This Row],[Equipo]],Catalogos!$I$4:$J$34,2,FALSE)</f>
      </c>
      <c r="G76" s="3"/>
      <c r="H76" s="3"/>
      <c r="I76" s="3">
        <f t="shared" si="4"/>
      </c>
      <c r="J76" s="4"/>
      <c r="K76" s="4">
        <f t="shared" si="5"/>
      </c>
    </row>
    <row r="77" spans="1:11">
      <c r="A77" s="2"/>
      <c r="F77">
        <f>VLOOKUP(TablaPegaso[[#This Row],[Equipo]],Catalogos!$I$4:$J$34,2,FALSE)</f>
      </c>
      <c r="G77" s="3"/>
      <c r="H77" s="3"/>
      <c r="I77" s="3">
        <f t="shared" si="4"/>
      </c>
      <c r="J77" s="4"/>
      <c r="K77" s="4">
        <f t="shared" si="5"/>
      </c>
    </row>
    <row r="78" spans="1:11">
      <c r="A78" s="2"/>
      <c r="F78">
        <f>VLOOKUP(TablaPegaso[[#This Row],[Equipo]],Catalogos!$I$4:$J$34,2,FALSE)</f>
      </c>
      <c r="G78" s="3"/>
      <c r="H78" s="3"/>
      <c r="I78" s="3">
        <f t="shared" si="4"/>
      </c>
      <c r="J78" s="4"/>
      <c r="K78" s="4">
        <f t="shared" si="5"/>
      </c>
    </row>
    <row r="79" spans="1:11">
      <c r="A79" s="2"/>
      <c r="F79">
        <f>VLOOKUP(TablaPegaso[[#This Row],[Equipo]],Catalogos!$I$4:$J$34,2,FALSE)</f>
      </c>
      <c r="G79" s="3"/>
      <c r="H79" s="3"/>
      <c r="I79" s="3">
        <f t="shared" si="4"/>
      </c>
      <c r="J79" s="4"/>
      <c r="K79" s="4">
        <f t="shared" si="5"/>
      </c>
    </row>
    <row r="80" spans="1:11">
      <c r="A80" s="2"/>
      <c r="F80">
        <f>VLOOKUP(TablaPegaso[[#This Row],[Equipo]],Catalogos!$I$4:$J$34,2,FALSE)</f>
      </c>
      <c r="G80" s="3"/>
      <c r="H80" s="3"/>
      <c r="I80" s="3">
        <f t="shared" si="4"/>
      </c>
      <c r="J80" s="4"/>
      <c r="K80" s="4">
        <f t="shared" si="5"/>
      </c>
    </row>
    <row r="81" spans="1:11">
      <c r="A81" s="2"/>
      <c r="F81">
        <f>VLOOKUP(TablaPegaso[[#This Row],[Equipo]],Catalogos!$I$4:$J$34,2,FALSE)</f>
      </c>
      <c r="G81" s="3"/>
      <c r="H81" s="3"/>
      <c r="I81" s="3">
        <f t="shared" si="4"/>
      </c>
      <c r="J81" s="4"/>
      <c r="K81" s="4">
        <f t="shared" si="5"/>
      </c>
    </row>
    <row r="82" spans="1:11">
      <c r="A82" s="2"/>
      <c r="F82">
        <f>VLOOKUP(TablaPegaso[[#This Row],[Equipo]],Catalogos!$I$4:$J$34,2,FALSE)</f>
      </c>
      <c r="G82" s="3"/>
      <c r="H82" s="3"/>
      <c r="I82" s="3">
        <f t="shared" si="4"/>
      </c>
      <c r="J82" s="4"/>
      <c r="K82" s="4">
        <f t="shared" si="5"/>
      </c>
    </row>
    <row r="83" spans="1:11">
      <c r="A83" s="2"/>
      <c r="F83">
        <f>VLOOKUP(TablaPegaso[[#This Row],[Equipo]],Catalogos!$I$4:$J$34,2,FALSE)</f>
      </c>
      <c r="G83" s="3"/>
      <c r="H83" s="3"/>
      <c r="I83" s="3">
        <f t="shared" si="4"/>
      </c>
      <c r="J83" s="4"/>
      <c r="K83" s="4">
        <f t="shared" si="5"/>
      </c>
    </row>
    <row r="84" spans="1:11">
      <c r="A84" s="2"/>
      <c r="F84">
        <f>VLOOKUP(TablaPegaso[[#This Row],[Equipo]],Catalogos!$I$4:$J$34,2,FALSE)</f>
      </c>
      <c r="G84" s="3"/>
      <c r="H84" s="3"/>
      <c r="I84" s="3">
        <f t="shared" si="4"/>
      </c>
      <c r="J84" s="4"/>
      <c r="K84" s="4">
        <f t="shared" si="5"/>
      </c>
    </row>
    <row r="85" spans="1:11">
      <c r="A85" s="2"/>
      <c r="F85">
        <f>VLOOKUP(TablaPegaso[[#This Row],[Equipo]],Catalogos!$I$4:$J$34,2,FALSE)</f>
      </c>
      <c r="G85" s="3"/>
      <c r="H85" s="3"/>
      <c r="I85" s="3">
        <f t="shared" si="4"/>
      </c>
      <c r="J85" s="4"/>
      <c r="K85" s="4">
        <f t="shared" si="5"/>
      </c>
    </row>
    <row r="86" spans="1:11">
      <c r="A86" s="2"/>
      <c r="F86">
        <f>VLOOKUP(TablaPegaso[[#This Row],[Equipo]],Catalogos!$I$4:$J$34,2,FALSE)</f>
      </c>
      <c r="G86" s="3"/>
      <c r="H86" s="3"/>
      <c r="I86" s="3">
        <f t="shared" si="4"/>
      </c>
      <c r="J86" s="4"/>
      <c r="K86" s="4">
        <f t="shared" si="5"/>
      </c>
    </row>
    <row r="87" spans="1:11">
      <c r="A87" s="2"/>
      <c r="F87">
        <f>VLOOKUP(TablaPegaso[[#This Row],[Equipo]],Catalogos!$I$4:$J$34,2,FALSE)</f>
      </c>
      <c r="G87" s="3"/>
      <c r="H87" s="3"/>
      <c r="I87" s="3">
        <f t="shared" si="4"/>
      </c>
      <c r="J87" s="4"/>
      <c r="K87" s="4">
        <f t="shared" si="5"/>
      </c>
    </row>
    <row r="88" spans="1:11">
      <c r="A88" s="2"/>
      <c r="F88">
        <f>VLOOKUP(TablaPegaso[[#This Row],[Equipo]],Catalogos!$I$4:$J$34,2,FALSE)</f>
      </c>
      <c r="G88" s="3"/>
      <c r="H88" s="3"/>
      <c r="I88" s="3">
        <f t="shared" si="4"/>
      </c>
      <c r="J88" s="4"/>
      <c r="K88" s="4">
        <f t="shared" si="5"/>
      </c>
    </row>
    <row r="89" spans="1:11">
      <c r="A89" s="2"/>
      <c r="F89">
        <f>VLOOKUP(TablaPegaso[[#This Row],[Equipo]],Catalogos!$I$4:$J$34,2,FALSE)</f>
      </c>
      <c r="G89" s="3"/>
      <c r="H89" s="3"/>
      <c r="I89" s="3">
        <f t="shared" si="4"/>
      </c>
      <c r="J89" s="4"/>
      <c r="K89" s="4">
        <f t="shared" si="5"/>
      </c>
    </row>
    <row r="90" spans="1:11">
      <c r="A90" s="2"/>
      <c r="F90">
        <f>VLOOKUP(TablaPegaso[[#This Row],[Equipo]],Catalogos!$I$4:$J$34,2,FALSE)</f>
      </c>
      <c r="G90" s="3"/>
      <c r="H90" s="3"/>
      <c r="I90" s="3">
        <f t="shared" si="4"/>
      </c>
      <c r="J90" s="4"/>
      <c r="K90" s="4">
        <f t="shared" si="5"/>
      </c>
    </row>
    <row r="91" spans="1:11">
      <c r="A91" s="2"/>
      <c r="F91">
        <f>VLOOKUP(TablaPegaso[[#This Row],[Equipo]],Catalogos!$I$4:$J$34,2,FALSE)</f>
      </c>
      <c r="G91" s="3"/>
      <c r="H91" s="3"/>
      <c r="I91" s="3">
        <f t="shared" si="4"/>
      </c>
      <c r="J91" s="4"/>
      <c r="K91" s="4">
        <f t="shared" si="5"/>
      </c>
    </row>
    <row r="92" spans="1:11">
      <c r="A92" s="2"/>
      <c r="F92">
        <f>VLOOKUP(TablaPegaso[[#This Row],[Equipo]],Catalogos!$I$4:$J$34,2,FALSE)</f>
      </c>
      <c r="G92" s="3"/>
      <c r="H92" s="3"/>
      <c r="I92" s="3">
        <f t="shared" si="4"/>
      </c>
      <c r="J92" s="4"/>
      <c r="K92" s="4">
        <f t="shared" si="5"/>
      </c>
    </row>
    <row r="93" spans="1:11">
      <c r="A93" s="2"/>
      <c r="F93">
        <f>VLOOKUP(TablaPegaso[[#This Row],[Equipo]],Catalogos!$I$4:$J$34,2,FALSE)</f>
      </c>
      <c r="G93" s="3"/>
      <c r="H93" s="3"/>
      <c r="I93" s="3">
        <f t="shared" si="4"/>
      </c>
      <c r="J93" s="4"/>
      <c r="K93" s="4">
        <f t="shared" si="5"/>
      </c>
    </row>
    <row r="94" spans="1:11">
      <c r="A94" s="2"/>
      <c r="F94">
        <f>VLOOKUP(TablaPegaso[[#This Row],[Equipo]],Catalogos!$I$4:$J$34,2,FALSE)</f>
      </c>
      <c r="G94" s="3"/>
      <c r="H94" s="3"/>
      <c r="I94" s="3">
        <f t="shared" si="4"/>
      </c>
      <c r="J94" s="4"/>
      <c r="K94" s="4">
        <f t="shared" si="5"/>
      </c>
    </row>
    <row r="95" spans="1:11">
      <c r="A95" s="2"/>
      <c r="F95">
        <f>VLOOKUP(TablaPegaso[[#This Row],[Equipo]],Catalogos!$I$4:$J$34,2,FALSE)</f>
      </c>
      <c r="G95" s="3"/>
      <c r="H95" s="3"/>
      <c r="I95" s="3">
        <f t="shared" si="4"/>
      </c>
      <c r="J95" s="4"/>
      <c r="K95" s="4">
        <f t="shared" si="5"/>
      </c>
    </row>
    <row r="96" spans="1:11">
      <c r="A96" s="2"/>
      <c r="F96">
        <f>VLOOKUP(TablaPegaso[[#This Row],[Equipo]],Catalogos!$I$4:$J$34,2,FALSE)</f>
      </c>
      <c r="G96" s="3"/>
      <c r="H96" s="3"/>
      <c r="I96" s="3">
        <f t="shared" si="4"/>
      </c>
      <c r="J96" s="4"/>
      <c r="K96" s="4">
        <f t="shared" si="5"/>
      </c>
    </row>
    <row r="97" spans="1:11">
      <c r="A97" s="2"/>
      <c r="F97">
        <f>VLOOKUP(TablaPegaso[[#This Row],[Equipo]],Catalogos!$I$4:$J$34,2,FALSE)</f>
      </c>
      <c r="G97" s="3"/>
      <c r="H97" s="3"/>
      <c r="I97" s="3">
        <f t="shared" si="4"/>
      </c>
      <c r="J97" s="4"/>
      <c r="K97" s="4">
        <f t="shared" si="5"/>
      </c>
    </row>
    <row r="98" spans="1:11">
      <c r="A98" s="2"/>
      <c r="F98">
        <f>VLOOKUP(TablaPegaso[[#This Row],[Equipo]],Catalogos!$I$4:$J$34,2,FALSE)</f>
      </c>
      <c r="G98" s="3"/>
      <c r="H98" s="3"/>
      <c r="I98" s="3">
        <f t="shared" si="4"/>
      </c>
      <c r="J98" s="4"/>
      <c r="K98" s="4">
        <f t="shared" si="5"/>
      </c>
    </row>
    <row r="99" spans="1:11">
      <c r="A99" s="2"/>
      <c r="F99">
        <f>VLOOKUP(TablaPegaso[[#This Row],[Equipo]],Catalogos!$I$4:$J$34,2,FALSE)</f>
      </c>
      <c r="G99" s="3"/>
      <c r="H99" s="3"/>
      <c r="I99" s="3">
        <f t="shared" si="4"/>
      </c>
      <c r="J99" s="4"/>
      <c r="K99" s="4">
        <f t="shared" si="5"/>
      </c>
    </row>
    <row r="100" spans="1:11">
      <c r="A100" s="2"/>
      <c r="F100">
        <f>VLOOKUP(TablaPegaso[[#This Row],[Equipo]],Catalogos!$I$4:$J$34,2,FALSE)</f>
      </c>
      <c r="G100" s="3"/>
      <c r="H100" s="3"/>
      <c r="I100" s="3">
        <f t="shared" si="4"/>
      </c>
      <c r="J100" s="4"/>
      <c r="K100" s="4">
        <f t="shared" si="5"/>
      </c>
    </row>
    <row r="101" spans="1:11">
      <c r="A101" s="2"/>
      <c r="F101">
        <f>VLOOKUP(TablaPegaso[[#This Row],[Equipo]],Catalogos!$I$4:$J$34,2,FALSE)</f>
      </c>
      <c r="G101" s="3"/>
      <c r="H101" s="3"/>
      <c r="I101" s="3">
        <f t="shared" si="4"/>
      </c>
      <c r="J101" s="4"/>
      <c r="K101" s="4">
        <f t="shared" si="5"/>
      </c>
    </row>
    <row r="102" spans="1:11">
      <c r="A102" s="2"/>
      <c r="F102">
        <f>VLOOKUP(TablaPegaso[[#This Row],[Equipo]],Catalogos!$I$4:$J$34,2,FALSE)</f>
      </c>
      <c r="G102" s="3"/>
      <c r="H102" s="3"/>
      <c r="I102" s="3">
        <f t="shared" si="4"/>
      </c>
      <c r="J102" s="4"/>
      <c r="K102" s="4">
        <f t="shared" si="5"/>
      </c>
    </row>
    <row r="103" spans="1:11">
      <c r="A103" s="2"/>
      <c r="F103">
        <f>VLOOKUP(TablaPegaso[[#This Row],[Equipo]],Catalogos!$I$4:$J$34,2,FALSE)</f>
      </c>
      <c r="G103" s="3"/>
      <c r="H103" s="3"/>
      <c r="I103" s="3">
        <f t="shared" ref="I103:I134" si="6">IF(ROW()=5,G103-H103,I102+G103-H103)</f>
      </c>
      <c r="J103" s="4"/>
      <c r="K103" s="4">
        <f t="shared" ref="K103:K134" si="7">IFERROR((G103+H103)*J103,0)</f>
      </c>
    </row>
    <row r="104" spans="1:11">
      <c r="A104" s="2"/>
      <c r="F104">
        <f>VLOOKUP(TablaPegaso[[#This Row],[Equipo]],Catalogos!$I$4:$J$34,2,FALSE)</f>
      </c>
      <c r="G104" s="3"/>
      <c r="H104" s="3"/>
      <c r="I104" s="3">
        <f t="shared" si="6"/>
      </c>
      <c r="J104" s="4"/>
      <c r="K104" s="4">
        <f t="shared" si="7"/>
      </c>
    </row>
    <row r="105" spans="1:11">
      <c r="A105" s="2"/>
      <c r="F105">
        <f>VLOOKUP(TablaPegaso[[#This Row],[Equipo]],Catalogos!$I$4:$J$34,2,FALSE)</f>
      </c>
      <c r="G105" s="3"/>
      <c r="H105" s="3"/>
      <c r="I105" s="3">
        <f t="shared" si="6"/>
      </c>
      <c r="J105" s="4"/>
      <c r="K105" s="4">
        <f t="shared" si="7"/>
      </c>
    </row>
    <row r="106" spans="1:11">
      <c r="A106" s="2"/>
      <c r="F106">
        <f>VLOOKUP(TablaPegaso[[#This Row],[Equipo]],Catalogos!$I$4:$J$34,2,FALSE)</f>
      </c>
      <c r="G106" s="3"/>
      <c r="H106" s="3"/>
      <c r="I106" s="3">
        <f t="shared" si="6"/>
      </c>
      <c r="J106" s="4"/>
      <c r="K106" s="4">
        <f t="shared" si="7"/>
      </c>
    </row>
    <row r="107" spans="1:11">
      <c r="A107" s="2"/>
      <c r="F107">
        <f>VLOOKUP(TablaPegaso[[#This Row],[Equipo]],Catalogos!$I$4:$J$34,2,FALSE)</f>
      </c>
      <c r="G107" s="3"/>
      <c r="H107" s="3"/>
      <c r="I107" s="3">
        <f t="shared" si="6"/>
      </c>
      <c r="J107" s="4"/>
      <c r="K107" s="4">
        <f t="shared" si="7"/>
      </c>
    </row>
    <row r="108" spans="1:11">
      <c r="A108" s="2"/>
      <c r="F108">
        <f>VLOOKUP(TablaPegaso[[#This Row],[Equipo]],Catalogos!$I$4:$J$34,2,FALSE)</f>
      </c>
      <c r="G108" s="3"/>
      <c r="H108" s="3"/>
      <c r="I108" s="3">
        <f t="shared" si="6"/>
      </c>
      <c r="J108" s="4"/>
      <c r="K108" s="4">
        <f t="shared" si="7"/>
      </c>
    </row>
    <row r="109" spans="1:11">
      <c r="A109" s="2"/>
      <c r="F109">
        <f>VLOOKUP(TablaPegaso[[#This Row],[Equipo]],Catalogos!$I$4:$J$34,2,FALSE)</f>
      </c>
      <c r="G109" s="3"/>
      <c r="H109" s="3"/>
      <c r="I109" s="3">
        <f t="shared" si="6"/>
      </c>
      <c r="J109" s="4"/>
      <c r="K109" s="4">
        <f t="shared" si="7"/>
      </c>
    </row>
    <row r="110" spans="1:11">
      <c r="A110" s="2"/>
      <c r="F110">
        <f>VLOOKUP(TablaPegaso[[#This Row],[Equipo]],Catalogos!$I$4:$J$34,2,FALSE)</f>
      </c>
      <c r="G110" s="3"/>
      <c r="H110" s="3"/>
      <c r="I110" s="3">
        <f t="shared" si="6"/>
      </c>
      <c r="J110" s="4"/>
      <c r="K110" s="4">
        <f t="shared" si="7"/>
      </c>
    </row>
    <row r="111" spans="1:11">
      <c r="A111" s="2"/>
      <c r="F111">
        <f>VLOOKUP(TablaPegaso[[#This Row],[Equipo]],Catalogos!$I$4:$J$34,2,FALSE)</f>
      </c>
      <c r="G111" s="3"/>
      <c r="H111" s="3"/>
      <c r="I111" s="3">
        <f t="shared" si="6"/>
      </c>
      <c r="J111" s="4"/>
      <c r="K111" s="4">
        <f t="shared" si="7"/>
      </c>
    </row>
    <row r="112" spans="1:11">
      <c r="A112" s="2"/>
      <c r="F112">
        <f>VLOOKUP(TablaPegaso[[#This Row],[Equipo]],Catalogos!$I$4:$J$34,2,FALSE)</f>
      </c>
      <c r="G112" s="3"/>
      <c r="H112" s="3"/>
      <c r="I112" s="3">
        <f t="shared" si="6"/>
      </c>
      <c r="J112" s="4"/>
      <c r="K112" s="4">
        <f t="shared" si="7"/>
      </c>
    </row>
    <row r="113" spans="1:11">
      <c r="A113" s="2"/>
      <c r="F113">
        <f>VLOOKUP(TablaPegaso[[#This Row],[Equipo]],Catalogos!$I$4:$J$34,2,FALSE)</f>
      </c>
      <c r="G113" s="3"/>
      <c r="H113" s="3"/>
      <c r="I113" s="3">
        <f t="shared" si="6"/>
      </c>
      <c r="J113" s="4"/>
      <c r="K113" s="4">
        <f t="shared" si="7"/>
      </c>
    </row>
    <row r="114" spans="1:11">
      <c r="A114" s="2"/>
      <c r="F114">
        <f>VLOOKUP(TablaPegaso[[#This Row],[Equipo]],Catalogos!$I$4:$J$34,2,FALSE)</f>
      </c>
      <c r="G114" s="3"/>
      <c r="H114" s="3"/>
      <c r="I114" s="3">
        <f t="shared" si="6"/>
      </c>
      <c r="J114" s="4"/>
      <c r="K114" s="4">
        <f t="shared" si="7"/>
      </c>
    </row>
    <row r="115" spans="1:11">
      <c r="A115" s="2"/>
      <c r="F115">
        <f>VLOOKUP(TablaPegaso[[#This Row],[Equipo]],Catalogos!$I$4:$J$34,2,FALSE)</f>
      </c>
      <c r="G115" s="3"/>
      <c r="H115" s="3"/>
      <c r="I115" s="3">
        <f t="shared" si="6"/>
      </c>
      <c r="J115" s="4"/>
      <c r="K115" s="4">
        <f t="shared" si="7"/>
      </c>
    </row>
    <row r="116" spans="1:11">
      <c r="A116" s="2"/>
      <c r="F116">
        <f>VLOOKUP(TablaPegaso[[#This Row],[Equipo]],Catalogos!$I$4:$J$34,2,FALSE)</f>
      </c>
      <c r="G116" s="3"/>
      <c r="H116" s="3"/>
      <c r="I116" s="3">
        <f t="shared" si="6"/>
      </c>
      <c r="J116" s="4"/>
      <c r="K116" s="4">
        <f t="shared" si="7"/>
      </c>
    </row>
    <row r="117" spans="1:11">
      <c r="A117" s="2"/>
      <c r="F117">
        <f>VLOOKUP(TablaPegaso[[#This Row],[Equipo]],Catalogos!$I$4:$J$34,2,FALSE)</f>
      </c>
      <c r="G117" s="3"/>
      <c r="H117" s="3"/>
      <c r="I117" s="3">
        <f t="shared" si="6"/>
      </c>
      <c r="J117" s="4"/>
      <c r="K117" s="4">
        <f t="shared" si="7"/>
      </c>
    </row>
    <row r="118" spans="1:11">
      <c r="A118" s="2"/>
      <c r="F118">
        <f>VLOOKUP(TablaPegaso[[#This Row],[Equipo]],Catalogos!$I$4:$J$34,2,FALSE)</f>
      </c>
      <c r="G118" s="3"/>
      <c r="H118" s="3"/>
      <c r="I118" s="3">
        <f t="shared" si="6"/>
      </c>
      <c r="J118" s="4"/>
      <c r="K118" s="4">
        <f t="shared" si="7"/>
      </c>
    </row>
    <row r="119" spans="1:11">
      <c r="A119" s="2"/>
      <c r="F119">
        <f>VLOOKUP(TablaPegaso[[#This Row],[Equipo]],Catalogos!$I$4:$J$34,2,FALSE)</f>
      </c>
      <c r="G119" s="3"/>
      <c r="H119" s="3"/>
      <c r="I119" s="3">
        <f t="shared" si="6"/>
      </c>
      <c r="J119" s="4"/>
      <c r="K119" s="4">
        <f t="shared" si="7"/>
      </c>
    </row>
    <row r="120" spans="1:11">
      <c r="A120" s="2"/>
      <c r="F120">
        <f>VLOOKUP(TablaPegaso[[#This Row],[Equipo]],Catalogos!$I$4:$J$34,2,FALSE)</f>
      </c>
      <c r="G120" s="3"/>
      <c r="H120" s="3"/>
      <c r="I120" s="3">
        <f t="shared" si="6"/>
      </c>
      <c r="J120" s="4"/>
      <c r="K120" s="4">
        <f t="shared" si="7"/>
      </c>
    </row>
    <row r="121" spans="1:11">
      <c r="A121" s="2"/>
      <c r="F121">
        <f>VLOOKUP(TablaPegaso[[#This Row],[Equipo]],Catalogos!$I$4:$J$34,2,FALSE)</f>
      </c>
      <c r="G121" s="3"/>
      <c r="H121" s="3"/>
      <c r="I121" s="3">
        <f t="shared" si="6"/>
      </c>
      <c r="J121" s="4"/>
      <c r="K121" s="4">
        <f t="shared" si="7"/>
      </c>
    </row>
    <row r="122" spans="1:11">
      <c r="A122" s="2"/>
      <c r="F122">
        <f>VLOOKUP(TablaPegaso[[#This Row],[Equipo]],Catalogos!$I$4:$J$34,2,FALSE)</f>
      </c>
      <c r="G122" s="3"/>
      <c r="H122" s="3"/>
      <c r="I122" s="3">
        <f t="shared" si="6"/>
      </c>
      <c r="J122" s="4"/>
      <c r="K122" s="4">
        <f t="shared" si="7"/>
      </c>
    </row>
    <row r="123" spans="1:11">
      <c r="A123" s="2"/>
      <c r="F123">
        <f>VLOOKUP(TablaPegaso[[#This Row],[Equipo]],Catalogos!$I$4:$J$34,2,FALSE)</f>
      </c>
      <c r="G123" s="3"/>
      <c r="H123" s="3"/>
      <c r="I123" s="3">
        <f t="shared" si="6"/>
      </c>
      <c r="J123" s="4"/>
      <c r="K123" s="4">
        <f t="shared" si="7"/>
      </c>
    </row>
    <row r="124" spans="1:11">
      <c r="A124" s="2"/>
      <c r="F124">
        <f>VLOOKUP(TablaPegaso[[#This Row],[Equipo]],Catalogos!$I$4:$J$34,2,FALSE)</f>
      </c>
      <c r="G124" s="3"/>
      <c r="H124" s="3"/>
      <c r="I124" s="3">
        <f t="shared" si="6"/>
      </c>
      <c r="J124" s="4"/>
      <c r="K124" s="4">
        <f t="shared" si="7"/>
      </c>
    </row>
    <row r="125" spans="1:11">
      <c r="A125" s="2"/>
      <c r="F125">
        <f>VLOOKUP(TablaPegaso[[#This Row],[Equipo]],Catalogos!$I$4:$J$34,2,FALSE)</f>
      </c>
      <c r="G125" s="3"/>
      <c r="H125" s="3"/>
      <c r="I125" s="3">
        <f t="shared" si="6"/>
      </c>
      <c r="J125" s="4"/>
      <c r="K125" s="4">
        <f t="shared" si="7"/>
      </c>
    </row>
    <row r="126" spans="1:11">
      <c r="A126" s="2"/>
      <c r="F126">
        <f>VLOOKUP(TablaPegaso[[#This Row],[Equipo]],Catalogos!$I$4:$J$34,2,FALSE)</f>
      </c>
      <c r="G126" s="3"/>
      <c r="H126" s="3"/>
      <c r="I126" s="3">
        <f t="shared" si="6"/>
      </c>
      <c r="J126" s="4"/>
      <c r="K126" s="4">
        <f t="shared" si="7"/>
      </c>
    </row>
    <row r="127" spans="1:11">
      <c r="A127" s="2"/>
      <c r="F127">
        <f>VLOOKUP(TablaPegaso[[#This Row],[Equipo]],Catalogos!$I$4:$J$34,2,FALSE)</f>
      </c>
      <c r="G127" s="3"/>
      <c r="H127" s="3"/>
      <c r="I127" s="3">
        <f t="shared" si="6"/>
      </c>
      <c r="J127" s="4"/>
      <c r="K127" s="4">
        <f t="shared" si="7"/>
      </c>
    </row>
    <row r="128" spans="1:11">
      <c r="A128" s="2"/>
      <c r="F128">
        <f>VLOOKUP(TablaPegaso[[#This Row],[Equipo]],Catalogos!$I$4:$J$34,2,FALSE)</f>
      </c>
      <c r="G128" s="3"/>
      <c r="H128" s="3"/>
      <c r="I128" s="3">
        <f t="shared" si="6"/>
      </c>
      <c r="J128" s="4"/>
      <c r="K128" s="4">
        <f t="shared" si="7"/>
      </c>
    </row>
    <row r="129" spans="1:11">
      <c r="A129" s="2"/>
      <c r="F129">
        <f>VLOOKUP(TablaPegaso[[#This Row],[Equipo]],Catalogos!$I$4:$J$34,2,FALSE)</f>
      </c>
      <c r="G129" s="3"/>
      <c r="H129" s="3"/>
      <c r="I129" s="3">
        <f t="shared" si="6"/>
      </c>
      <c r="J129" s="4"/>
      <c r="K129" s="4">
        <f t="shared" si="7"/>
      </c>
    </row>
    <row r="130" spans="1:11">
      <c r="A130" s="2"/>
      <c r="F130">
        <f>VLOOKUP(TablaPegaso[[#This Row],[Equipo]],Catalogos!$I$4:$J$34,2,FALSE)</f>
      </c>
      <c r="G130" s="3"/>
      <c r="H130" s="3"/>
      <c r="I130" s="3">
        <f t="shared" si="6"/>
      </c>
      <c r="J130" s="4"/>
      <c r="K130" s="4">
        <f t="shared" si="7"/>
      </c>
    </row>
    <row r="131" spans="1:11">
      <c r="A131" s="2"/>
      <c r="F131">
        <f>VLOOKUP(TablaPegaso[[#This Row],[Equipo]],Catalogos!$I$4:$J$34,2,FALSE)</f>
      </c>
      <c r="G131" s="3"/>
      <c r="H131" s="3"/>
      <c r="I131" s="3">
        <f t="shared" si="6"/>
      </c>
      <c r="J131" s="4"/>
      <c r="K131" s="4">
        <f t="shared" si="7"/>
      </c>
    </row>
    <row r="132" spans="1:11">
      <c r="A132" s="2"/>
      <c r="F132">
        <f>VLOOKUP(TablaPegaso[[#This Row],[Equipo]],Catalogos!$I$4:$J$34,2,FALSE)</f>
      </c>
      <c r="G132" s="3"/>
      <c r="H132" s="3"/>
      <c r="I132" s="3">
        <f t="shared" si="6"/>
      </c>
      <c r="J132" s="4"/>
      <c r="K132" s="4">
        <f t="shared" si="7"/>
      </c>
    </row>
    <row r="133" spans="1:11">
      <c r="A133" s="2"/>
      <c r="F133">
        <f>VLOOKUP(TablaPegaso[[#This Row],[Equipo]],Catalogos!$I$4:$J$34,2,FALSE)</f>
      </c>
      <c r="G133" s="3"/>
      <c r="H133" s="3"/>
      <c r="I133" s="3">
        <f t="shared" si="6"/>
      </c>
      <c r="J133" s="4"/>
      <c r="K133" s="4">
        <f t="shared" si="7"/>
      </c>
    </row>
    <row r="134" spans="1:11">
      <c r="A134" s="2"/>
      <c r="F134">
        <f>VLOOKUP(TablaPegaso[[#This Row],[Equipo]],Catalogos!$I$4:$J$34,2,FALSE)</f>
      </c>
      <c r="G134" s="3"/>
      <c r="H134" s="3"/>
      <c r="I134" s="3">
        <f t="shared" si="6"/>
      </c>
      <c r="J134" s="4"/>
      <c r="K134" s="4">
        <f t="shared" si="7"/>
      </c>
    </row>
    <row r="135" spans="1:11">
      <c r="A135" s="2"/>
      <c r="F135">
        <f>VLOOKUP(TablaPegaso[[#This Row],[Equipo]],Catalogos!$I$4:$J$34,2,FALSE)</f>
      </c>
      <c r="G135" s="3"/>
      <c r="H135" s="3"/>
      <c r="I135" s="3">
        <f t="shared" ref="I135:I166" si="8">IF(ROW()=5,G135-H135,I134+G135-H135)</f>
      </c>
      <c r="J135" s="4"/>
      <c r="K135" s="4">
        <f t="shared" ref="K135:K166" si="9">IFERROR((G135+H135)*J135,0)</f>
      </c>
    </row>
    <row r="136" spans="1:11">
      <c r="A136" s="2"/>
      <c r="F136">
        <f>VLOOKUP(TablaPegaso[[#This Row],[Equipo]],Catalogos!$I$4:$J$34,2,FALSE)</f>
      </c>
      <c r="G136" s="3"/>
      <c r="H136" s="3"/>
      <c r="I136" s="3">
        <f t="shared" si="8"/>
      </c>
      <c r="J136" s="4"/>
      <c r="K136" s="4">
        <f t="shared" si="9"/>
      </c>
    </row>
    <row r="137" spans="1:11">
      <c r="A137" s="2"/>
      <c r="F137">
        <f>VLOOKUP(TablaPegaso[[#This Row],[Equipo]],Catalogos!$I$4:$J$34,2,FALSE)</f>
      </c>
      <c r="G137" s="3"/>
      <c r="H137" s="3"/>
      <c r="I137" s="3">
        <f t="shared" si="8"/>
      </c>
      <c r="J137" s="4"/>
      <c r="K137" s="4">
        <f t="shared" si="9"/>
      </c>
    </row>
    <row r="138" spans="1:11">
      <c r="A138" s="2"/>
      <c r="F138">
        <f>VLOOKUP(TablaPegaso[[#This Row],[Equipo]],Catalogos!$I$4:$J$34,2,FALSE)</f>
      </c>
      <c r="G138" s="3"/>
      <c r="H138" s="3"/>
      <c r="I138" s="3">
        <f t="shared" si="8"/>
      </c>
      <c r="J138" s="4"/>
      <c r="K138" s="4">
        <f t="shared" si="9"/>
      </c>
    </row>
    <row r="139" spans="1:11">
      <c r="A139" s="2"/>
      <c r="F139">
        <f>VLOOKUP(TablaPegaso[[#This Row],[Equipo]],Catalogos!$I$4:$J$34,2,FALSE)</f>
      </c>
      <c r="G139" s="3"/>
      <c r="H139" s="3"/>
      <c r="I139" s="3">
        <f t="shared" si="8"/>
      </c>
      <c r="J139" s="4"/>
      <c r="K139" s="4">
        <f t="shared" si="9"/>
      </c>
    </row>
    <row r="140" spans="1:11">
      <c r="A140" s="2"/>
      <c r="F140">
        <f>VLOOKUP(TablaPegaso[[#This Row],[Equipo]],Catalogos!$I$4:$J$34,2,FALSE)</f>
      </c>
      <c r="G140" s="3"/>
      <c r="H140" s="3"/>
      <c r="I140" s="3">
        <f t="shared" si="8"/>
      </c>
      <c r="J140" s="4"/>
      <c r="K140" s="4">
        <f t="shared" si="9"/>
      </c>
    </row>
    <row r="141" spans="1:11">
      <c r="A141" s="2"/>
      <c r="F141">
        <f>VLOOKUP(TablaPegaso[[#This Row],[Equipo]],Catalogos!$I$4:$J$34,2,FALSE)</f>
      </c>
      <c r="G141" s="3"/>
      <c r="H141" s="3"/>
      <c r="I141" s="3">
        <f t="shared" si="8"/>
      </c>
      <c r="J141" s="4"/>
      <c r="K141" s="4">
        <f t="shared" si="9"/>
      </c>
    </row>
    <row r="142" spans="1:11">
      <c r="A142" s="2"/>
      <c r="F142">
        <f>VLOOKUP(TablaPegaso[[#This Row],[Equipo]],Catalogos!$I$4:$J$34,2,FALSE)</f>
      </c>
      <c r="G142" s="3"/>
      <c r="H142" s="3"/>
      <c r="I142" s="3">
        <f t="shared" si="8"/>
      </c>
      <c r="J142" s="4"/>
      <c r="K142" s="4">
        <f t="shared" si="9"/>
      </c>
    </row>
    <row r="143" spans="1:11">
      <c r="A143" s="2"/>
      <c r="F143">
        <f>VLOOKUP(TablaPegaso[[#This Row],[Equipo]],Catalogos!$I$4:$J$34,2,FALSE)</f>
      </c>
      <c r="G143" s="3"/>
      <c r="H143" s="3"/>
      <c r="I143" s="3">
        <f t="shared" si="8"/>
      </c>
      <c r="J143" s="4"/>
      <c r="K143" s="4">
        <f t="shared" si="9"/>
      </c>
    </row>
    <row r="144" spans="1:11">
      <c r="A144" s="2"/>
      <c r="F144">
        <f>VLOOKUP(TablaPegaso[[#This Row],[Equipo]],Catalogos!$I$4:$J$34,2,FALSE)</f>
      </c>
      <c r="G144" s="3"/>
      <c r="H144" s="3"/>
      <c r="I144" s="3">
        <f t="shared" si="8"/>
      </c>
      <c r="J144" s="4"/>
      <c r="K144" s="4">
        <f t="shared" si="9"/>
      </c>
    </row>
    <row r="145" spans="1:11">
      <c r="A145" s="2"/>
      <c r="F145">
        <f>VLOOKUP(TablaPegaso[[#This Row],[Equipo]],Catalogos!$I$4:$J$34,2,FALSE)</f>
      </c>
      <c r="G145" s="3"/>
      <c r="H145" s="3"/>
      <c r="I145" s="3">
        <f t="shared" si="8"/>
      </c>
      <c r="J145" s="4"/>
      <c r="K145" s="4">
        <f t="shared" si="9"/>
      </c>
    </row>
    <row r="146" spans="1:11">
      <c r="A146" s="2"/>
      <c r="F146">
        <f>VLOOKUP(TablaPegaso[[#This Row],[Equipo]],Catalogos!$I$4:$J$34,2,FALSE)</f>
      </c>
      <c r="G146" s="3"/>
      <c r="H146" s="3"/>
      <c r="I146" s="3">
        <f t="shared" si="8"/>
      </c>
      <c r="J146" s="4"/>
      <c r="K146" s="4">
        <f t="shared" si="9"/>
      </c>
    </row>
    <row r="147" spans="1:11">
      <c r="A147" s="2"/>
      <c r="F147">
        <f>VLOOKUP(TablaPegaso[[#This Row],[Equipo]],Catalogos!$I$4:$J$34,2,FALSE)</f>
      </c>
      <c r="G147" s="3"/>
      <c r="H147" s="3"/>
      <c r="I147" s="3">
        <f t="shared" si="8"/>
      </c>
      <c r="J147" s="4"/>
      <c r="K147" s="4">
        <f t="shared" si="9"/>
      </c>
    </row>
    <row r="148" spans="1:11">
      <c r="A148" s="2"/>
      <c r="F148">
        <f>VLOOKUP(TablaPegaso[[#This Row],[Equipo]],Catalogos!$I$4:$J$34,2,FALSE)</f>
      </c>
      <c r="G148" s="3"/>
      <c r="H148" s="3"/>
      <c r="I148" s="3">
        <f t="shared" si="8"/>
      </c>
      <c r="J148" s="4"/>
      <c r="K148" s="4">
        <f t="shared" si="9"/>
      </c>
    </row>
    <row r="149" spans="1:11">
      <c r="A149" s="2"/>
      <c r="F149">
        <f>VLOOKUP(TablaPegaso[[#This Row],[Equipo]],Catalogos!$I$4:$J$34,2,FALSE)</f>
      </c>
      <c r="G149" s="3"/>
      <c r="H149" s="3"/>
      <c r="I149" s="3">
        <f t="shared" si="8"/>
      </c>
      <c r="J149" s="4"/>
      <c r="K149" s="4">
        <f t="shared" si="9"/>
      </c>
    </row>
    <row r="150" spans="1:11">
      <c r="A150" s="2"/>
      <c r="F150">
        <f>VLOOKUP(TablaPegaso[[#This Row],[Equipo]],Catalogos!$I$4:$J$34,2,FALSE)</f>
      </c>
      <c r="G150" s="3"/>
      <c r="H150" s="3"/>
      <c r="I150" s="3">
        <f t="shared" si="8"/>
      </c>
      <c r="J150" s="4"/>
      <c r="K150" s="4">
        <f t="shared" si="9"/>
      </c>
    </row>
    <row r="151" spans="1:11">
      <c r="A151" s="2"/>
      <c r="F151">
        <f>VLOOKUP(TablaPegaso[[#This Row],[Equipo]],Catalogos!$I$4:$J$34,2,FALSE)</f>
      </c>
      <c r="G151" s="3"/>
      <c r="H151" s="3"/>
      <c r="I151" s="3">
        <f t="shared" si="8"/>
      </c>
      <c r="J151" s="4"/>
      <c r="K151" s="4">
        <f t="shared" si="9"/>
      </c>
    </row>
    <row r="152" spans="1:11">
      <c r="A152" s="2"/>
      <c r="F152">
        <f>VLOOKUP(TablaPegaso[[#This Row],[Equipo]],Catalogos!$I$4:$J$34,2,FALSE)</f>
      </c>
      <c r="G152" s="3"/>
      <c r="H152" s="3"/>
      <c r="I152" s="3">
        <f t="shared" si="8"/>
      </c>
      <c r="J152" s="4"/>
      <c r="K152" s="4">
        <f t="shared" si="9"/>
      </c>
    </row>
    <row r="153" spans="1:11">
      <c r="A153" s="2"/>
      <c r="F153">
        <f>VLOOKUP(TablaPegaso[[#This Row],[Equipo]],Catalogos!$I$4:$J$34,2,FALSE)</f>
      </c>
      <c r="G153" s="3"/>
      <c r="H153" s="3"/>
      <c r="I153" s="3">
        <f t="shared" si="8"/>
      </c>
      <c r="J153" s="4"/>
      <c r="K153" s="4">
        <f t="shared" si="9"/>
      </c>
    </row>
    <row r="154" spans="1:11">
      <c r="A154" s="2"/>
      <c r="F154">
        <f>VLOOKUP(TablaPegaso[[#This Row],[Equipo]],Catalogos!$I$4:$J$34,2,FALSE)</f>
      </c>
      <c r="G154" s="3"/>
      <c r="H154" s="3"/>
      <c r="I154" s="3">
        <f t="shared" si="8"/>
      </c>
      <c r="J154" s="4"/>
      <c r="K154" s="4">
        <f t="shared" si="9"/>
      </c>
    </row>
    <row r="155" spans="1:11">
      <c r="A155" s="2"/>
      <c r="F155">
        <f>VLOOKUP(TablaPegaso[[#This Row],[Equipo]],Catalogos!$I$4:$J$34,2,FALSE)</f>
      </c>
      <c r="G155" s="3"/>
      <c r="H155" s="3"/>
      <c r="I155" s="3">
        <f t="shared" si="8"/>
      </c>
      <c r="J155" s="4"/>
      <c r="K155" s="4">
        <f t="shared" si="9"/>
      </c>
    </row>
    <row r="156" spans="1:11">
      <c r="A156" s="2"/>
      <c r="F156">
        <f>VLOOKUP(TablaPegaso[[#This Row],[Equipo]],Catalogos!$I$4:$J$34,2,FALSE)</f>
      </c>
      <c r="G156" s="3"/>
      <c r="H156" s="3"/>
      <c r="I156" s="3">
        <f t="shared" si="8"/>
      </c>
      <c r="J156" s="4"/>
      <c r="K156" s="4">
        <f t="shared" si="9"/>
      </c>
    </row>
    <row r="157" spans="1:11">
      <c r="A157" s="2"/>
      <c r="F157">
        <f>VLOOKUP(TablaPegaso[[#This Row],[Equipo]],Catalogos!$I$4:$J$34,2,FALSE)</f>
      </c>
      <c r="G157" s="3"/>
      <c r="H157" s="3"/>
      <c r="I157" s="3">
        <f t="shared" si="8"/>
      </c>
      <c r="J157" s="4"/>
      <c r="K157" s="4">
        <f t="shared" si="9"/>
      </c>
    </row>
    <row r="158" spans="1:11">
      <c r="A158" s="2"/>
      <c r="F158">
        <f>VLOOKUP(TablaPegaso[[#This Row],[Equipo]],Catalogos!$I$4:$J$34,2,FALSE)</f>
      </c>
      <c r="G158" s="3"/>
      <c r="H158" s="3"/>
      <c r="I158" s="3">
        <f t="shared" si="8"/>
      </c>
      <c r="J158" s="4"/>
      <c r="K158" s="4">
        <f t="shared" si="9"/>
      </c>
    </row>
    <row r="159" spans="1:11">
      <c r="A159" s="2"/>
      <c r="F159">
        <f>VLOOKUP(TablaPegaso[[#This Row],[Equipo]],Catalogos!$I$4:$J$34,2,FALSE)</f>
      </c>
      <c r="G159" s="3"/>
      <c r="H159" s="3"/>
      <c r="I159" s="3">
        <f t="shared" si="8"/>
      </c>
      <c r="J159" s="4"/>
      <c r="K159" s="4">
        <f t="shared" si="9"/>
      </c>
    </row>
    <row r="160" spans="1:11">
      <c r="A160" s="2"/>
      <c r="F160">
        <f>VLOOKUP(TablaPegaso[[#This Row],[Equipo]],Catalogos!$I$4:$J$34,2,FALSE)</f>
      </c>
      <c r="G160" s="3"/>
      <c r="H160" s="3"/>
      <c r="I160" s="3">
        <f t="shared" si="8"/>
      </c>
      <c r="J160" s="4"/>
      <c r="K160" s="4">
        <f t="shared" si="9"/>
      </c>
    </row>
    <row r="161" spans="1:11">
      <c r="A161" s="2"/>
      <c r="F161">
        <f>VLOOKUP(TablaPegaso[[#This Row],[Equipo]],Catalogos!$I$4:$J$34,2,FALSE)</f>
      </c>
      <c r="G161" s="3"/>
      <c r="H161" s="3"/>
      <c r="I161" s="3">
        <f t="shared" si="8"/>
      </c>
      <c r="J161" s="4"/>
      <c r="K161" s="4">
        <f t="shared" si="9"/>
      </c>
    </row>
    <row r="162" spans="1:11">
      <c r="A162" s="2"/>
      <c r="F162">
        <f>VLOOKUP(TablaPegaso[[#This Row],[Equipo]],Catalogos!$I$4:$J$34,2,FALSE)</f>
      </c>
      <c r="G162" s="3"/>
      <c r="H162" s="3"/>
      <c r="I162" s="3">
        <f t="shared" si="8"/>
      </c>
      <c r="J162" s="4"/>
      <c r="K162" s="4">
        <f t="shared" si="9"/>
      </c>
    </row>
    <row r="163" spans="1:11">
      <c r="A163" s="2"/>
      <c r="F163">
        <f>VLOOKUP(TablaPegaso[[#This Row],[Equipo]],Catalogos!$I$4:$J$34,2,FALSE)</f>
      </c>
      <c r="G163" s="3"/>
      <c r="H163" s="3"/>
      <c r="I163" s="3">
        <f t="shared" si="8"/>
      </c>
      <c r="J163" s="4"/>
      <c r="K163" s="4">
        <f t="shared" si="9"/>
      </c>
    </row>
    <row r="164" spans="1:11">
      <c r="A164" s="2"/>
      <c r="F164">
        <f>VLOOKUP(TablaPegaso[[#This Row],[Equipo]],Catalogos!$I$4:$J$34,2,FALSE)</f>
      </c>
      <c r="G164" s="3"/>
      <c r="H164" s="3"/>
      <c r="I164" s="3">
        <f t="shared" si="8"/>
      </c>
      <c r="J164" s="4"/>
      <c r="K164" s="4">
        <f t="shared" si="9"/>
      </c>
    </row>
    <row r="165" spans="1:11">
      <c r="A165" s="2"/>
      <c r="F165">
        <f>VLOOKUP(TablaPegaso[[#This Row],[Equipo]],Catalogos!$I$4:$J$34,2,FALSE)</f>
      </c>
      <c r="G165" s="3"/>
      <c r="H165" s="3"/>
      <c r="I165" s="3">
        <f t="shared" si="8"/>
      </c>
      <c r="J165" s="4"/>
      <c r="K165" s="4">
        <f t="shared" si="9"/>
      </c>
    </row>
    <row r="166" spans="1:11">
      <c r="A166" s="2"/>
      <c r="F166">
        <f>VLOOKUP(TablaPegaso[[#This Row],[Equipo]],Catalogos!$I$4:$J$34,2,FALSE)</f>
      </c>
      <c r="G166" s="3"/>
      <c r="H166" s="3"/>
      <c r="I166" s="3">
        <f t="shared" si="8"/>
      </c>
      <c r="J166" s="4"/>
      <c r="K166" s="4">
        <f t="shared" si="9"/>
      </c>
    </row>
    <row r="167" spans="1:11">
      <c r="A167" s="2"/>
      <c r="F167">
        <f>VLOOKUP(TablaPegaso[[#This Row],[Equipo]],Catalogos!$I$4:$J$34,2,FALSE)</f>
      </c>
      <c r="G167" s="3"/>
      <c r="H167" s="3"/>
      <c r="I167" s="3">
        <f t="shared" ref="I167:I198" si="10">IF(ROW()=5,G167-H167,I166+G167-H167)</f>
      </c>
      <c r="J167" s="4"/>
      <c r="K167" s="4">
        <f t="shared" ref="K167:K198" si="11">IFERROR((G167+H167)*J167,0)</f>
      </c>
    </row>
    <row r="168" spans="1:11">
      <c r="A168" s="2"/>
      <c r="F168">
        <f>VLOOKUP(TablaPegaso[[#This Row],[Equipo]],Catalogos!$I$4:$J$34,2,FALSE)</f>
      </c>
      <c r="G168" s="3"/>
      <c r="H168" s="3"/>
      <c r="I168" s="3">
        <f t="shared" si="10"/>
      </c>
      <c r="J168" s="4"/>
      <c r="K168" s="4">
        <f t="shared" si="11"/>
      </c>
    </row>
    <row r="169" spans="1:11">
      <c r="A169" s="2"/>
      <c r="F169">
        <f>VLOOKUP(TablaPegaso[[#This Row],[Equipo]],Catalogos!$I$4:$J$34,2,FALSE)</f>
      </c>
      <c r="G169" s="3"/>
      <c r="H169" s="3"/>
      <c r="I169" s="3">
        <f t="shared" si="10"/>
      </c>
      <c r="J169" s="4"/>
      <c r="K169" s="4">
        <f t="shared" si="11"/>
      </c>
    </row>
    <row r="170" spans="1:11">
      <c r="A170" s="2"/>
      <c r="F170">
        <f>VLOOKUP(TablaPegaso[[#This Row],[Equipo]],Catalogos!$I$4:$J$34,2,FALSE)</f>
      </c>
      <c r="G170" s="3"/>
      <c r="H170" s="3"/>
      <c r="I170" s="3">
        <f t="shared" si="10"/>
      </c>
      <c r="J170" s="4"/>
      <c r="K170" s="4">
        <f t="shared" si="11"/>
      </c>
    </row>
    <row r="171" spans="1:11">
      <c r="A171" s="2"/>
      <c r="F171">
        <f>VLOOKUP(TablaPegaso[[#This Row],[Equipo]],Catalogos!$I$4:$J$34,2,FALSE)</f>
      </c>
      <c r="G171" s="3"/>
      <c r="H171" s="3"/>
      <c r="I171" s="3">
        <f t="shared" si="10"/>
      </c>
      <c r="J171" s="4"/>
      <c r="K171" s="4">
        <f t="shared" si="11"/>
      </c>
    </row>
    <row r="172" spans="1:11">
      <c r="A172" s="2"/>
      <c r="F172">
        <f>VLOOKUP(TablaPegaso[[#This Row],[Equipo]],Catalogos!$I$4:$J$34,2,FALSE)</f>
      </c>
      <c r="G172" s="3"/>
      <c r="H172" s="3"/>
      <c r="I172" s="3">
        <f t="shared" si="10"/>
      </c>
      <c r="J172" s="4"/>
      <c r="K172" s="4">
        <f t="shared" si="11"/>
      </c>
    </row>
    <row r="173" spans="1:11">
      <c r="A173" s="2"/>
      <c r="F173">
        <f>VLOOKUP(TablaPegaso[[#This Row],[Equipo]],Catalogos!$I$4:$J$34,2,FALSE)</f>
      </c>
      <c r="G173" s="3"/>
      <c r="H173" s="3"/>
      <c r="I173" s="3">
        <f t="shared" si="10"/>
      </c>
      <c r="J173" s="4"/>
      <c r="K173" s="4">
        <f t="shared" si="11"/>
      </c>
    </row>
    <row r="174" spans="1:11">
      <c r="A174" s="2"/>
      <c r="F174">
        <f>VLOOKUP(TablaPegaso[[#This Row],[Equipo]],Catalogos!$I$4:$J$34,2,FALSE)</f>
      </c>
      <c r="G174" s="3"/>
      <c r="H174" s="3"/>
      <c r="I174" s="3">
        <f t="shared" si="10"/>
      </c>
      <c r="J174" s="4"/>
      <c r="K174" s="4">
        <f t="shared" si="11"/>
      </c>
    </row>
    <row r="175" spans="1:11">
      <c r="A175" s="2"/>
      <c r="F175">
        <f>VLOOKUP(TablaPegaso[[#This Row],[Equipo]],Catalogos!$I$4:$J$34,2,FALSE)</f>
      </c>
      <c r="G175" s="3"/>
      <c r="H175" s="3"/>
      <c r="I175" s="3">
        <f t="shared" si="10"/>
      </c>
      <c r="J175" s="4"/>
      <c r="K175" s="4">
        <f t="shared" si="11"/>
      </c>
    </row>
    <row r="176" spans="1:11">
      <c r="A176" s="2"/>
      <c r="F176">
        <f>VLOOKUP(TablaPegaso[[#This Row],[Equipo]],Catalogos!$I$4:$J$34,2,FALSE)</f>
      </c>
      <c r="G176" s="3"/>
      <c r="H176" s="3"/>
      <c r="I176" s="3">
        <f t="shared" si="10"/>
      </c>
      <c r="J176" s="4"/>
      <c r="K176" s="4">
        <f t="shared" si="11"/>
      </c>
    </row>
    <row r="177" spans="1:11">
      <c r="A177" s="2"/>
      <c r="F177">
        <f>VLOOKUP(TablaPegaso[[#This Row],[Equipo]],Catalogos!$I$4:$J$34,2,FALSE)</f>
      </c>
      <c r="G177" s="3"/>
      <c r="H177" s="3"/>
      <c r="I177" s="3">
        <f t="shared" si="10"/>
      </c>
      <c r="J177" s="4"/>
      <c r="K177" s="4">
        <f t="shared" si="11"/>
      </c>
    </row>
    <row r="178" spans="1:11">
      <c r="A178" s="2"/>
      <c r="F178">
        <f>VLOOKUP(TablaPegaso[[#This Row],[Equipo]],Catalogos!$I$4:$J$34,2,FALSE)</f>
      </c>
      <c r="G178" s="3"/>
      <c r="H178" s="3"/>
      <c r="I178" s="3">
        <f t="shared" si="10"/>
      </c>
      <c r="J178" s="4"/>
      <c r="K178" s="4">
        <f t="shared" si="11"/>
      </c>
    </row>
    <row r="179" spans="1:11">
      <c r="A179" s="2"/>
      <c r="F179">
        <f>VLOOKUP(TablaPegaso[[#This Row],[Equipo]],Catalogos!$I$4:$J$34,2,FALSE)</f>
      </c>
      <c r="G179" s="3"/>
      <c r="H179" s="3"/>
      <c r="I179" s="3">
        <f t="shared" si="10"/>
      </c>
      <c r="J179" s="4"/>
      <c r="K179" s="4">
        <f t="shared" si="11"/>
      </c>
    </row>
    <row r="180" spans="1:11">
      <c r="A180" s="2"/>
      <c r="F180">
        <f>VLOOKUP(TablaPegaso[[#This Row],[Equipo]],Catalogos!$I$4:$J$34,2,FALSE)</f>
      </c>
      <c r="G180" s="3"/>
      <c r="H180" s="3"/>
      <c r="I180" s="3">
        <f t="shared" si="10"/>
      </c>
      <c r="J180" s="4"/>
      <c r="K180" s="4">
        <f t="shared" si="11"/>
      </c>
    </row>
    <row r="181" spans="1:11">
      <c r="A181" s="2"/>
      <c r="F181">
        <f>VLOOKUP(TablaPegaso[[#This Row],[Equipo]],Catalogos!$I$4:$J$34,2,FALSE)</f>
      </c>
      <c r="G181" s="3"/>
      <c r="H181" s="3"/>
      <c r="I181" s="3">
        <f t="shared" si="10"/>
      </c>
      <c r="J181" s="4"/>
      <c r="K181" s="4">
        <f t="shared" si="11"/>
      </c>
    </row>
    <row r="182" spans="1:11">
      <c r="A182" s="2"/>
      <c r="F182">
        <f>VLOOKUP(TablaPegaso[[#This Row],[Equipo]],Catalogos!$I$4:$J$34,2,FALSE)</f>
      </c>
      <c r="G182" s="3"/>
      <c r="H182" s="3"/>
      <c r="I182" s="3">
        <f t="shared" si="10"/>
      </c>
      <c r="J182" s="4"/>
      <c r="K182" s="4">
        <f t="shared" si="11"/>
      </c>
    </row>
    <row r="183" spans="1:11">
      <c r="A183" s="2"/>
      <c r="F183">
        <f>VLOOKUP(TablaPegaso[[#This Row],[Equipo]],Catalogos!$I$4:$J$34,2,FALSE)</f>
      </c>
      <c r="G183" s="3"/>
      <c r="H183" s="3"/>
      <c r="I183" s="3">
        <f t="shared" si="10"/>
      </c>
      <c r="J183" s="4"/>
      <c r="K183" s="4">
        <f t="shared" si="11"/>
      </c>
    </row>
    <row r="184" spans="1:11">
      <c r="A184" s="2"/>
      <c r="F184">
        <f>VLOOKUP(TablaPegaso[[#This Row],[Equipo]],Catalogos!$I$4:$J$34,2,FALSE)</f>
      </c>
      <c r="G184" s="3"/>
      <c r="H184" s="3"/>
      <c r="I184" s="3">
        <f t="shared" si="10"/>
      </c>
      <c r="J184" s="4"/>
      <c r="K184" s="4">
        <f t="shared" si="11"/>
      </c>
    </row>
    <row r="185" spans="1:11">
      <c r="A185" s="2"/>
      <c r="F185">
        <f>VLOOKUP(TablaPegaso[[#This Row],[Equipo]],Catalogos!$I$4:$J$34,2,FALSE)</f>
      </c>
      <c r="G185" s="3"/>
      <c r="H185" s="3"/>
      <c r="I185" s="3">
        <f t="shared" si="10"/>
      </c>
      <c r="J185" s="4"/>
      <c r="K185" s="4">
        <f t="shared" si="11"/>
      </c>
    </row>
    <row r="186" spans="1:11">
      <c r="A186" s="2"/>
      <c r="F186">
        <f>VLOOKUP(TablaPegaso[[#This Row],[Equipo]],Catalogos!$I$4:$J$34,2,FALSE)</f>
      </c>
      <c r="G186" s="3"/>
      <c r="H186" s="3"/>
      <c r="I186" s="3">
        <f t="shared" si="10"/>
      </c>
      <c r="J186" s="4"/>
      <c r="K186" s="4">
        <f t="shared" si="11"/>
      </c>
    </row>
    <row r="187" spans="1:11">
      <c r="A187" s="2"/>
      <c r="F187">
        <f>VLOOKUP(TablaPegaso[[#This Row],[Equipo]],Catalogos!$I$4:$J$34,2,FALSE)</f>
      </c>
      <c r="G187" s="3"/>
      <c r="H187" s="3"/>
      <c r="I187" s="3">
        <f t="shared" si="10"/>
      </c>
      <c r="J187" s="4"/>
      <c r="K187" s="4">
        <f t="shared" si="11"/>
      </c>
    </row>
    <row r="188" spans="1:11">
      <c r="A188" s="2"/>
      <c r="F188">
        <f>VLOOKUP(TablaPegaso[[#This Row],[Equipo]],Catalogos!$I$4:$J$34,2,FALSE)</f>
      </c>
      <c r="G188" s="3"/>
      <c r="H188" s="3"/>
      <c r="I188" s="3">
        <f t="shared" si="10"/>
      </c>
      <c r="J188" s="4"/>
      <c r="K188" s="4">
        <f t="shared" si="11"/>
      </c>
    </row>
    <row r="189" spans="1:11">
      <c r="A189" s="2"/>
      <c r="F189">
        <f>VLOOKUP(TablaPegaso[[#This Row],[Equipo]],Catalogos!$I$4:$J$34,2,FALSE)</f>
      </c>
      <c r="G189" s="3"/>
      <c r="H189" s="3"/>
      <c r="I189" s="3">
        <f t="shared" si="10"/>
      </c>
      <c r="J189" s="4"/>
      <c r="K189" s="4">
        <f t="shared" si="11"/>
      </c>
    </row>
    <row r="190" spans="1:11">
      <c r="A190" s="2"/>
      <c r="F190">
        <f>VLOOKUP(TablaPegaso[[#This Row],[Equipo]],Catalogos!$I$4:$J$34,2,FALSE)</f>
      </c>
      <c r="G190" s="3"/>
      <c r="H190" s="3"/>
      <c r="I190" s="3">
        <f t="shared" si="10"/>
      </c>
      <c r="J190" s="4"/>
      <c r="K190" s="4">
        <f t="shared" si="11"/>
      </c>
    </row>
    <row r="191" spans="1:11">
      <c r="A191" s="2"/>
      <c r="F191">
        <f>VLOOKUP(TablaPegaso[[#This Row],[Equipo]],Catalogos!$I$4:$J$34,2,FALSE)</f>
      </c>
      <c r="G191" s="3"/>
      <c r="H191" s="3"/>
      <c r="I191" s="3">
        <f t="shared" si="10"/>
      </c>
      <c r="J191" s="4"/>
      <c r="K191" s="4">
        <f t="shared" si="11"/>
      </c>
    </row>
    <row r="192" spans="1:11">
      <c r="A192" s="2"/>
      <c r="F192">
        <f>VLOOKUP(TablaPegaso[[#This Row],[Equipo]],Catalogos!$I$4:$J$34,2,FALSE)</f>
      </c>
      <c r="G192" s="3"/>
      <c r="H192" s="3"/>
      <c r="I192" s="3">
        <f t="shared" si="10"/>
      </c>
      <c r="J192" s="4"/>
      <c r="K192" s="4">
        <f t="shared" si="11"/>
      </c>
    </row>
    <row r="193" spans="1:11">
      <c r="A193" s="2"/>
      <c r="F193">
        <f>VLOOKUP(TablaPegaso[[#This Row],[Equipo]],Catalogos!$I$4:$J$34,2,FALSE)</f>
      </c>
      <c r="G193" s="3"/>
      <c r="H193" s="3"/>
      <c r="I193" s="3">
        <f t="shared" si="10"/>
      </c>
      <c r="J193" s="4"/>
      <c r="K193" s="4">
        <f t="shared" si="11"/>
      </c>
    </row>
    <row r="194" spans="1:11">
      <c r="A194" s="2"/>
      <c r="F194">
        <f>VLOOKUP(TablaPegaso[[#This Row],[Equipo]],Catalogos!$I$4:$J$34,2,FALSE)</f>
      </c>
      <c r="G194" s="3"/>
      <c r="H194" s="3"/>
      <c r="I194" s="3">
        <f t="shared" si="10"/>
      </c>
      <c r="J194" s="4"/>
      <c r="K194" s="4">
        <f t="shared" si="11"/>
      </c>
    </row>
    <row r="195" spans="1:11">
      <c r="A195" s="2"/>
      <c r="F195">
        <f>VLOOKUP(TablaPegaso[[#This Row],[Equipo]],Catalogos!$I$4:$J$34,2,FALSE)</f>
      </c>
      <c r="G195" s="3"/>
      <c r="H195" s="3"/>
      <c r="I195" s="3">
        <f t="shared" si="10"/>
      </c>
      <c r="J195" s="4"/>
      <c r="K195" s="4">
        <f t="shared" si="11"/>
      </c>
    </row>
    <row r="196" spans="1:11">
      <c r="A196" s="2"/>
      <c r="F196">
        <f>VLOOKUP(TablaPegaso[[#This Row],[Equipo]],Catalogos!$I$4:$J$34,2,FALSE)</f>
      </c>
      <c r="G196" s="3"/>
      <c r="H196" s="3"/>
      <c r="I196" s="3">
        <f t="shared" si="10"/>
      </c>
      <c r="J196" s="4"/>
      <c r="K196" s="4">
        <f t="shared" si="11"/>
      </c>
    </row>
    <row r="197" spans="1:11">
      <c r="A197" s="2"/>
      <c r="F197">
        <f>VLOOKUP(TablaPegaso[[#This Row],[Equipo]],Catalogos!$I$4:$J$34,2,FALSE)</f>
      </c>
      <c r="G197" s="3"/>
      <c r="H197" s="3"/>
      <c r="I197" s="3">
        <f t="shared" si="10"/>
      </c>
      <c r="J197" s="4"/>
      <c r="K197" s="4">
        <f t="shared" si="11"/>
      </c>
    </row>
    <row r="198" spans="1:11">
      <c r="A198" s="2"/>
      <c r="F198">
        <f>VLOOKUP(TablaPegaso[[#This Row],[Equipo]],Catalogos!$I$4:$J$34,2,FALSE)</f>
      </c>
      <c r="G198" s="3"/>
      <c r="H198" s="3"/>
      <c r="I198" s="3">
        <f t="shared" si="10"/>
      </c>
      <c r="J198" s="4"/>
      <c r="K198" s="4">
        <f t="shared" si="11"/>
      </c>
    </row>
    <row r="199" spans="1:11">
      <c r="A199" s="2"/>
      <c r="F199">
        <f>VLOOKUP(TablaPegaso[[#This Row],[Equipo]],Catalogos!$I$4:$J$34,2,FALSE)</f>
      </c>
      <c r="G199" s="3"/>
      <c r="H199" s="3"/>
      <c r="I199" s="3">
        <f t="shared" ref="I199:I206" si="12">IF(ROW()=5,G199-H199,I198+G199-H199)</f>
      </c>
      <c r="J199" s="4"/>
      <c r="K199" s="4">
        <f t="shared" ref="K199:K206" si="13">IFERROR((G199+H199)*J199,0)</f>
      </c>
    </row>
    <row r="200" spans="1:11">
      <c r="A200" s="2"/>
      <c r="F200">
        <f>VLOOKUP(TablaPegaso[[#This Row],[Equipo]],Catalogos!$I$4:$J$34,2,FALSE)</f>
      </c>
      <c r="G200" s="3"/>
      <c r="H200" s="3"/>
      <c r="I200" s="3">
        <f t="shared" si="12"/>
      </c>
      <c r="J200" s="4"/>
      <c r="K200" s="4">
        <f t="shared" si="13"/>
      </c>
    </row>
    <row r="201" spans="1:11">
      <c r="A201" s="2"/>
      <c r="F201">
        <f>VLOOKUP(TablaPegaso[[#This Row],[Equipo]],Catalogos!$I$4:$J$34,2,FALSE)</f>
      </c>
      <c r="G201" s="3"/>
      <c r="H201" s="3"/>
      <c r="I201" s="3">
        <f t="shared" si="12"/>
      </c>
      <c r="J201" s="4"/>
      <c r="K201" s="4">
        <f t="shared" si="13"/>
      </c>
    </row>
    <row r="202" spans="1:11">
      <c r="A202" s="2"/>
      <c r="F202">
        <f>VLOOKUP(TablaPegaso[[#This Row],[Equipo]],Catalogos!$I$4:$J$34,2,FALSE)</f>
      </c>
      <c r="G202" s="3"/>
      <c r="H202" s="3"/>
      <c r="I202" s="3">
        <f t="shared" si="12"/>
      </c>
      <c r="J202" s="4"/>
      <c r="K202" s="4">
        <f t="shared" si="13"/>
      </c>
    </row>
    <row r="203" spans="1:11">
      <c r="A203" s="2"/>
      <c r="F203">
        <f>VLOOKUP(TablaPegaso[[#This Row],[Equipo]],Catalogos!$I$4:$J$34,2,FALSE)</f>
      </c>
      <c r="G203" s="3"/>
      <c r="H203" s="3"/>
      <c r="I203" s="3">
        <f t="shared" si="12"/>
      </c>
      <c r="J203" s="4"/>
      <c r="K203" s="4">
        <f t="shared" si="13"/>
      </c>
    </row>
    <row r="204" spans="1:11">
      <c r="A204" s="2"/>
      <c r="F204">
        <f>VLOOKUP(TablaPegaso[[#This Row],[Equipo]],Catalogos!$I$4:$J$34,2,FALSE)</f>
      </c>
      <c r="G204" s="3"/>
      <c r="H204" s="3"/>
      <c r="I204" s="3">
        <f t="shared" si="12"/>
      </c>
      <c r="J204" s="4"/>
      <c r="K204" s="4">
        <f t="shared" si="13"/>
      </c>
    </row>
    <row r="205" spans="1:11">
      <c r="A205" s="2"/>
      <c r="F205">
        <f>VLOOKUP(TablaPegaso[[#This Row],[Equipo]],Catalogos!$I$4:$J$34,2,FALSE)</f>
      </c>
      <c r="G205" s="3"/>
      <c r="H205" s="3"/>
      <c r="I205" s="3">
        <f t="shared" si="12"/>
      </c>
      <c r="J205" s="4"/>
      <c r="K205" s="4">
        <f t="shared" si="13"/>
      </c>
    </row>
    <row r="206" spans="1:11">
      <c r="A206" s="2"/>
      <c r="F206">
        <f>VLOOKUP(TablaPegaso[[#This Row],[Equipo]],Catalogos!$I$4:$J$34,2,FALSE)</f>
      </c>
      <c r="G206" s="3"/>
      <c r="H206" s="3"/>
      <c r="I206" s="3">
        <f t="shared" si="12"/>
      </c>
      <c r="J206" s="4"/>
      <c r="K206" s="4">
        <f t="shared" si="13"/>
      </c>
    </row>
  </sheetData>
  <mergeCells count="1">
    <mergeCell ref="A1:L1"/>
  </mergeCells>
  <dataValidations count="1">
    <dataValidation type="list" sqref="B5:B206" xr:uid="{00000000-0002-0000-0100-000000000000}">
      <formula1>"Entrada,Salida a Marimba,Salida Directa Máquina,Ajuste"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2000000}">
          <x14:formula1>
            <xm:f>Catalogos!$F$4:$F$10</xm:f>
          </x14:formula1>
          <xm:sqref>C5:C206</xm:sqref>
        </x14:dataValidation>
        <x14:dataValidation type="list" xr:uid="{7B984EB1-655C-4D3B-8650-CA17F7D94687}">
          <x14:formula1>
            <xm:f>Catalogos!$I$4:$I$34</xm:f>
          </x14:formula1>
          <xm:sqref>E5:E206</xm:sqref>
        </x14:dataValidation>
        <x14:dataValidation type="list" allowBlank="1" showInputMessage="1" showErrorMessage="1" xr:uid="{FB469301-41B0-4BE9-B3E1-9A5865756AE3}">
          <x14:formula1>
            <xm:f>Catalogos!$B$4:$B$8</xm:f>
          </x14:formula1>
          <xm:sqref>D23:D206</xm:sqref>
        </x14:dataValidation>
        <x14:dataValidation type="list" allowBlank="1" showInputMessage="1" showErrorMessage="1" xr:uid="{C1F6665C-5A85-44AD-A8F1-7F889B86B46E}">
          <x14:formula1>
            <xm:f>Catalogos!$B$4:$B$10</xm:f>
          </x14:formula1>
          <xm:sqref>D5:D22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workbookViewId="0">
      <selection activeCell="F36" sqref="F36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</cols>
  <sheetData>
    <row r="1" spans="1:12" ht="22.35" customHeight="1">
      <c r="A1" t="s" s="17">
        <v>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t="s">
        <v>39</v>
      </c>
      <c r="C2" t="s">
        <v>23</v>
      </c>
      <c r="E2" t="s">
        <v>24</v>
      </c>
      <c r="G2" t="s">
        <v>40</v>
      </c>
      <c r="H2" t="s">
        <v>41</v>
      </c>
      <c r="I2" t="s">
        <v>42</v>
      </c>
    </row>
    <row r="4" spans="1:12" ht="27.6">
      <c r="A4" t="s" s="1">
        <v>28</v>
      </c>
      <c r="B4" t="s" s="1">
        <v>43</v>
      </c>
      <c r="C4" t="s" s="1">
        <v>44</v>
      </c>
      <c r="D4" t="s" s="1">
        <v>45</v>
      </c>
      <c r="E4" t="s" s="1">
        <v>46</v>
      </c>
      <c r="F4" t="s" s="1">
        <v>32</v>
      </c>
      <c r="G4" t="s" s="1">
        <v>33</v>
      </c>
      <c r="H4" t="s" s="1">
        <v>34</v>
      </c>
      <c r="I4" t="s" s="1">
        <v>35</v>
      </c>
      <c r="J4" t="s" s="1">
        <v>36</v>
      </c>
      <c r="K4" t="s" s="1">
        <v>47</v>
      </c>
      <c r="L4" t="s" s="1">
        <v>37</v>
      </c>
    </row>
    <row r="5" spans="1:12">
      <c r="A5" s="2">
        <v>46181</v>
      </c>
      <c r="B5" t="s">
        <v>155</v>
      </c>
      <c r="C5" t="s">
        <v>6</v>
      </c>
      <c r="D5" t="s">
        <v>181</v>
      </c>
      <c r="E5">
        <f>VLOOKUP(TablaMarimba[[#This Row],[Equipo]],Catalogos!$I$4:$J$34,2,FALSE)</f>
      </c>
      <c r="F5" s="3">
        <v>0</v>
      </c>
      <c r="G5" s="3">
        <v>30</v>
      </c>
      <c r="H5" s="3">
        <f t="shared" ref="H5:H36" si="0">IF(ROW()=5,F5-G5,H4+F5-G5)</f>
      </c>
      <c r="I5" s="4">
        <v>28.3</v>
      </c>
      <c r="J5" s="4">
        <f t="shared" ref="J5:J36" si="1">IFERROR((F5+G5)*I5,0)</f>
      </c>
    </row>
    <row r="6" spans="1:12">
      <c r="A6" s="2">
        <v>46181</v>
      </c>
      <c r="B6" t="s">
        <v>155</v>
      </c>
      <c r="C6" t="s">
        <v>6</v>
      </c>
      <c r="D6" t="s">
        <v>86</v>
      </c>
      <c r="E6">
        <f>VLOOKUP(TablaMarimba[[#This Row],[Equipo]],Catalogos!$I$4:$J$34,2,FALSE)</f>
      </c>
      <c r="F6" s="3"/>
      <c r="G6" s="3">
        <v>32</v>
      </c>
      <c r="H6" s="3">
        <f t="shared" si="0"/>
      </c>
      <c r="I6" s="4">
        <v>28.3</v>
      </c>
      <c r="J6" s="4">
        <f t="shared" si="1"/>
      </c>
    </row>
    <row r="7" spans="1:12">
      <c r="A7" s="2">
        <v>46181</v>
      </c>
      <c r="B7" t="s">
        <v>155</v>
      </c>
      <c r="C7" t="s">
        <v>6</v>
      </c>
      <c r="D7" t="s">
        <v>164</v>
      </c>
      <c r="E7">
        <f>VLOOKUP(TablaMarimba[[#This Row],[Equipo]],Catalogos!$I$4:$J$34,2,FALSE)</f>
      </c>
      <c r="F7" s="3"/>
      <c r="G7" s="3">
        <v>277</v>
      </c>
      <c r="H7" s="3">
        <f t="shared" si="0"/>
      </c>
      <c r="I7" s="4">
        <v>28.3</v>
      </c>
      <c r="J7" s="4">
        <f t="shared" si="1"/>
      </c>
    </row>
    <row r="8" spans="1:12">
      <c r="A8" s="2">
        <v>46181</v>
      </c>
      <c r="B8" t="s">
        <v>155</v>
      </c>
      <c r="C8" t="s">
        <v>6</v>
      </c>
      <c r="D8" t="s">
        <v>95</v>
      </c>
      <c r="E8">
        <f>VLOOKUP(TablaMarimba[[#This Row],[Equipo]],Catalogos!$I$4:$J$34,2,FALSE)</f>
      </c>
      <c r="F8" s="3"/>
      <c r="G8" s="3">
        <v>30</v>
      </c>
      <c r="H8" s="3">
        <f t="shared" si="0"/>
      </c>
      <c r="I8" s="4">
        <v>28.3</v>
      </c>
      <c r="J8" s="4">
        <f t="shared" si="1"/>
      </c>
    </row>
    <row r="9" spans="1:12">
      <c r="A9" s="2">
        <v>46181</v>
      </c>
      <c r="B9" t="s">
        <v>155</v>
      </c>
      <c r="C9" t="s">
        <v>8</v>
      </c>
      <c r="D9" t="s">
        <v>160</v>
      </c>
      <c r="E9">
        <f>VLOOKUP(TablaMarimba[[#This Row],[Equipo]],Catalogos!$I$4:$J$34,2,FALSE)</f>
      </c>
      <c r="F9" s="3"/>
      <c r="G9" s="3">
        <v>97</v>
      </c>
      <c r="H9" s="3">
        <f t="shared" si="0"/>
      </c>
      <c r="I9" s="4">
        <v>28.3</v>
      </c>
      <c r="J9" s="4">
        <f t="shared" si="1"/>
      </c>
    </row>
    <row r="10" spans="1:12">
      <c r="A10" s="2">
        <v>46181</v>
      </c>
      <c r="B10" t="s">
        <v>155</v>
      </c>
      <c r="C10" t="s">
        <v>10</v>
      </c>
      <c r="D10" t="s">
        <v>171</v>
      </c>
      <c r="E10">
        <f>VLOOKUP(TablaMarimba[[#This Row],[Equipo]],Catalogos!$I$4:$J$34,2,FALSE)</f>
      </c>
      <c r="F10" s="3"/>
      <c r="G10" s="3">
        <v>198</v>
      </c>
      <c r="H10" s="3">
        <f t="shared" si="0"/>
      </c>
      <c r="I10" s="4">
        <v>28.3</v>
      </c>
      <c r="J10" s="4">
        <f t="shared" si="1"/>
      </c>
    </row>
    <row r="11" spans="1:12">
      <c r="A11" s="2">
        <v>46181</v>
      </c>
      <c r="B11" t="s">
        <v>155</v>
      </c>
      <c r="C11" t="s">
        <v>10</v>
      </c>
      <c r="D11" t="s">
        <v>192</v>
      </c>
      <c r="E11">
        <f>VLOOKUP(TablaMarimba[[#This Row],[Equipo]],Catalogos!$I$4:$J$34,2,FALSE)</f>
      </c>
      <c r="F11" s="3"/>
      <c r="G11" s="3">
        <v>10</v>
      </c>
      <c r="H11" s="3">
        <f t="shared" si="0"/>
      </c>
      <c r="I11" s="4">
        <v>28.3</v>
      </c>
      <c r="J11" s="4">
        <f t="shared" si="1"/>
      </c>
    </row>
    <row r="12" spans="1:12">
      <c r="A12" s="2">
        <v>46181</v>
      </c>
      <c r="B12" t="s">
        <v>155</v>
      </c>
      <c r="C12" t="s">
        <v>10</v>
      </c>
      <c r="D12" t="s">
        <v>186</v>
      </c>
      <c r="E12">
        <f>VLOOKUP(TablaMarimba[[#This Row],[Equipo]],Catalogos!$I$4:$J$34,2,FALSE)</f>
      </c>
      <c r="F12" s="3"/>
      <c r="G12" s="3">
        <v>27</v>
      </c>
      <c r="H12" s="3">
        <f t="shared" si="0"/>
      </c>
      <c r="I12" s="4">
        <v>28.3</v>
      </c>
      <c r="J12" s="4">
        <f t="shared" si="1"/>
      </c>
    </row>
    <row r="13" spans="1:12">
      <c r="A13" s="2">
        <v>46181</v>
      </c>
      <c r="B13" t="s">
        <v>155</v>
      </c>
      <c r="C13" t="s">
        <v>10</v>
      </c>
      <c r="D13" t="s">
        <v>194</v>
      </c>
      <c r="E13">
        <f>VLOOKUP(TablaMarimba[[#This Row],[Equipo]],Catalogos!$I$4:$J$34,2,FALSE)</f>
      </c>
      <c r="F13" s="3"/>
      <c r="G13" s="3">
        <v>30</v>
      </c>
      <c r="H13" s="3">
        <f t="shared" si="0"/>
      </c>
      <c r="I13" s="4">
        <v>28.3</v>
      </c>
      <c r="J13" s="4">
        <f t="shared" si="1"/>
      </c>
    </row>
    <row r="14" spans="1:12">
      <c r="A14" s="2">
        <v>46181</v>
      </c>
      <c r="B14" t="s">
        <v>155</v>
      </c>
      <c r="C14" t="s">
        <v>10</v>
      </c>
      <c r="D14" t="s">
        <v>177</v>
      </c>
      <c r="E14">
        <f>VLOOKUP(TablaMarimba[[#This Row],[Equipo]],Catalogos!$I$4:$J$34,2,FALSE)</f>
      </c>
      <c r="F14" s="3"/>
      <c r="G14" s="3">
        <v>40</v>
      </c>
      <c r="H14" s="3">
        <f t="shared" si="0"/>
      </c>
      <c r="I14" s="4">
        <v>28.3</v>
      </c>
      <c r="J14" s="4">
        <f t="shared" si="1"/>
      </c>
    </row>
    <row r="15" spans="1:12">
      <c r="A15" s="2">
        <v>46181</v>
      </c>
      <c r="B15" t="s">
        <v>155</v>
      </c>
      <c r="C15" t="s">
        <v>10</v>
      </c>
      <c r="D15" t="s">
        <v>182</v>
      </c>
      <c r="E15">
        <f>VLOOKUP(TablaMarimba[[#This Row],[Equipo]],Catalogos!$I$4:$J$34,2,FALSE)</f>
      </c>
      <c r="F15" s="3"/>
      <c r="G15" s="3">
        <v>120</v>
      </c>
      <c r="H15" s="3">
        <f t="shared" si="0"/>
      </c>
      <c r="I15" s="4">
        <v>28.3</v>
      </c>
      <c r="J15" s="4">
        <f t="shared" si="1"/>
      </c>
    </row>
    <row r="16" spans="1:12">
      <c r="A16" s="2">
        <v>46181</v>
      </c>
      <c r="B16" t="s">
        <v>155</v>
      </c>
      <c r="C16" t="s">
        <v>10</v>
      </c>
      <c r="D16" t="s">
        <v>188</v>
      </c>
      <c r="E16">
        <f>VLOOKUP(TablaMarimba[[#This Row],[Equipo]],Catalogos!$I$4:$J$34,2,FALSE)</f>
      </c>
      <c r="F16" s="3"/>
      <c r="G16" s="3">
        <v>30</v>
      </c>
      <c r="H16" s="3">
        <f t="shared" si="0"/>
      </c>
      <c r="I16" s="4">
        <v>28.3</v>
      </c>
      <c r="J16" s="4">
        <f t="shared" si="1"/>
      </c>
    </row>
    <row r="17" spans="1:10">
      <c r="A17" s="2">
        <v>46182</v>
      </c>
      <c r="B17" t="s">
        <v>155</v>
      </c>
      <c r="C17" t="s">
        <v>10</v>
      </c>
      <c r="D17" t="s">
        <v>175</v>
      </c>
      <c r="E17">
        <f>VLOOKUP(TablaMarimba[[#This Row],[Equipo]],Catalogos!$I$4:$J$34,2,FALSE)</f>
      </c>
      <c r="F17" s="3"/>
      <c r="G17" s="3">
        <v>30</v>
      </c>
      <c r="H17" s="3">
        <f t="shared" si="0"/>
      </c>
      <c r="I17" s="4">
        <v>28.3</v>
      </c>
      <c r="J17" s="4">
        <f t="shared" si="1"/>
      </c>
    </row>
    <row r="18" spans="1:10">
      <c r="A18" s="2">
        <v>46182</v>
      </c>
      <c r="B18" t="s">
        <v>155</v>
      </c>
      <c r="C18" t="s">
        <v>10</v>
      </c>
      <c r="D18" t="s">
        <v>179</v>
      </c>
      <c r="E18">
        <f>VLOOKUP(TablaMarimba[[#This Row],[Equipo]],Catalogos!$I$4:$J$34,2,FALSE)</f>
      </c>
      <c r="F18" s="3"/>
      <c r="G18" s="3">
        <v>100</v>
      </c>
      <c r="H18" s="3">
        <f t="shared" si="0"/>
      </c>
      <c r="I18" s="4">
        <v>28.3</v>
      </c>
      <c r="J18" s="4">
        <f t="shared" si="1"/>
      </c>
    </row>
    <row r="19" spans="1:10">
      <c r="A19" s="2">
        <v>46182</v>
      </c>
      <c r="B19" t="s">
        <v>155</v>
      </c>
      <c r="C19" t="s">
        <v>10</v>
      </c>
      <c r="D19" t="s">
        <v>184</v>
      </c>
      <c r="E19">
        <f>VLOOKUP(TablaMarimba[[#This Row],[Equipo]],Catalogos!$I$4:$J$34,2,FALSE)</f>
      </c>
      <c r="F19" s="3"/>
      <c r="G19" s="3">
        <v>30</v>
      </c>
      <c r="H19" s="3">
        <f t="shared" si="0"/>
      </c>
      <c r="I19" s="4">
        <v>28.3</v>
      </c>
      <c r="J19" s="4">
        <f t="shared" si="1"/>
      </c>
    </row>
    <row r="20" spans="1:10">
      <c r="A20" s="2">
        <v>46182</v>
      </c>
      <c r="B20" t="s">
        <v>155</v>
      </c>
      <c r="C20" t="s">
        <v>10</v>
      </c>
      <c r="D20" t="s">
        <v>171</v>
      </c>
      <c r="E20">
        <f>VLOOKUP(TablaMarimba[[#This Row],[Equipo]],Catalogos!$I$4:$J$34,2,FALSE)</f>
      </c>
      <c r="F20" s="3"/>
      <c r="G20" s="3">
        <v>150</v>
      </c>
      <c r="H20" s="3">
        <f t="shared" si="0"/>
      </c>
      <c r="I20" s="4">
        <v>28.3</v>
      </c>
      <c r="J20" s="4">
        <f t="shared" si="1"/>
      </c>
    </row>
    <row r="21" spans="1:10">
      <c r="A21" s="2">
        <v>46182</v>
      </c>
      <c r="B21" t="s">
        <v>155</v>
      </c>
      <c r="C21" t="s">
        <v>10</v>
      </c>
      <c r="D21" t="s">
        <v>188</v>
      </c>
      <c r="E21">
        <f>VLOOKUP(TablaMarimba[[#This Row],[Equipo]],Catalogos!$I$4:$J$34,2,FALSE)</f>
      </c>
      <c r="F21" s="3"/>
      <c r="G21" s="3">
        <v>50</v>
      </c>
      <c r="H21" s="3">
        <f t="shared" si="0"/>
      </c>
      <c r="I21" s="4">
        <v>28.3</v>
      </c>
      <c r="J21" s="4">
        <f t="shared" si="1"/>
      </c>
    </row>
    <row r="22" spans="1:10">
      <c r="A22" s="2">
        <v>46182</v>
      </c>
      <c r="B22" t="s">
        <v>155</v>
      </c>
      <c r="C22" t="s">
        <v>10</v>
      </c>
      <c r="D22" t="s">
        <v>182</v>
      </c>
      <c r="E22">
        <f>VLOOKUP(TablaMarimba[[#This Row],[Equipo]],Catalogos!$I$4:$J$34,2,FALSE)</f>
      </c>
      <c r="F22" s="3"/>
      <c r="G22" s="3">
        <v>136</v>
      </c>
      <c r="H22" s="3">
        <f t="shared" si="0"/>
      </c>
      <c r="I22" s="4">
        <v>28.3</v>
      </c>
      <c r="J22" s="4">
        <f t="shared" si="1"/>
      </c>
    </row>
    <row r="23" spans="1:10">
      <c r="A23" s="2">
        <v>46182</v>
      </c>
      <c r="B23" t="s">
        <v>155</v>
      </c>
      <c r="C23" t="s">
        <v>10</v>
      </c>
      <c r="D23" t="s">
        <v>184</v>
      </c>
      <c r="E23">
        <f>VLOOKUP(TablaMarimba[[#This Row],[Equipo]],Catalogos!$I$4:$J$34,2,FALSE)</f>
      </c>
      <c r="F23" s="3"/>
      <c r="G23" s="3">
        <v>30</v>
      </c>
      <c r="H23" s="3">
        <f t="shared" si="0"/>
      </c>
      <c r="I23" s="4">
        <v>28.3</v>
      </c>
      <c r="J23" s="4">
        <f t="shared" si="1"/>
      </c>
    </row>
    <row r="24" spans="1:10">
      <c r="A24" s="2">
        <v>46182</v>
      </c>
      <c r="B24" t="s">
        <v>155</v>
      </c>
      <c r="C24" t="s">
        <v>10</v>
      </c>
      <c r="D24" t="s">
        <v>181</v>
      </c>
      <c r="E24">
        <f>VLOOKUP(TablaMarimba[[#This Row],[Equipo]],Catalogos!$I$4:$J$34,2,FALSE)</f>
      </c>
      <c r="F24" s="3"/>
      <c r="G24" s="3">
        <v>30</v>
      </c>
      <c r="H24" s="3">
        <f t="shared" si="0"/>
      </c>
      <c r="I24" s="4">
        <v>28.3</v>
      </c>
      <c r="J24" s="4">
        <f t="shared" si="1"/>
      </c>
    </row>
    <row r="25" spans="1:10">
      <c r="A25" s="2">
        <v>46182</v>
      </c>
      <c r="B25" t="s">
        <v>155</v>
      </c>
      <c r="C25" t="s">
        <v>10</v>
      </c>
      <c r="D25" t="s">
        <v>179</v>
      </c>
      <c r="E25">
        <f>VLOOKUP(TablaMarimba[[#This Row],[Equipo]],Catalogos!$I$4:$J$34,2,FALSE)</f>
      </c>
      <c r="F25" s="3"/>
      <c r="G25" s="3">
        <v>100</v>
      </c>
      <c r="H25" s="3">
        <f t="shared" si="0"/>
      </c>
      <c r="I25" s="4">
        <v>28.3</v>
      </c>
      <c r="J25" s="4">
        <f t="shared" si="1"/>
      </c>
    </row>
    <row r="26" spans="1:10">
      <c r="A26" s="2">
        <v>46182</v>
      </c>
      <c r="B26" t="s">
        <v>155</v>
      </c>
      <c r="C26" t="s">
        <v>10</v>
      </c>
      <c r="D26" t="s">
        <v>177</v>
      </c>
      <c r="E26">
        <f>VLOOKUP(TablaMarimba[[#This Row],[Equipo]],Catalogos!$I$4:$J$34,2,FALSE)</f>
      </c>
      <c r="F26" s="3"/>
      <c r="G26" s="3">
        <v>60</v>
      </c>
      <c r="H26" s="3">
        <f t="shared" si="0"/>
      </c>
      <c r="I26" s="4">
        <v>28.3</v>
      </c>
      <c r="J26" s="4">
        <f t="shared" si="1"/>
      </c>
    </row>
    <row r="27" spans="1:10">
      <c r="A27" s="2">
        <v>46182</v>
      </c>
      <c r="B27" t="s">
        <v>155</v>
      </c>
      <c r="C27" t="s">
        <v>10</v>
      </c>
      <c r="D27" t="s">
        <v>194</v>
      </c>
      <c r="E27">
        <f>VLOOKUP(TablaMarimba[[#This Row],[Equipo]],Catalogos!$I$4:$J$34,2,FALSE)</f>
      </c>
      <c r="F27" s="3"/>
      <c r="G27" s="3">
        <v>20</v>
      </c>
      <c r="H27" s="3">
        <f t="shared" si="0"/>
      </c>
      <c r="I27" s="4">
        <v>28.3</v>
      </c>
      <c r="J27" s="4">
        <f t="shared" si="1"/>
      </c>
    </row>
    <row r="28" spans="1:10">
      <c r="A28" s="2">
        <v>46183</v>
      </c>
      <c r="B28" t="s">
        <v>155</v>
      </c>
      <c r="C28" t="s">
        <v>6</v>
      </c>
      <c r="D28" t="s">
        <v>165</v>
      </c>
      <c r="E28">
        <f>VLOOKUP(TablaMarimba[[#This Row],[Equipo]],Catalogos!$I$4:$J$34,2,FALSE)</f>
      </c>
      <c r="F28" s="3"/>
      <c r="G28" s="3">
        <v>20</v>
      </c>
      <c r="H28" s="3">
        <f t="shared" si="0"/>
      </c>
      <c r="I28" s="4">
        <v>28.3</v>
      </c>
      <c r="J28" s="4">
        <f t="shared" si="1"/>
      </c>
    </row>
    <row r="29" spans="1:10">
      <c r="A29" s="2">
        <v>46183</v>
      </c>
      <c r="B29" t="s">
        <v>155</v>
      </c>
      <c r="C29" t="s">
        <v>6</v>
      </c>
      <c r="D29" t="s">
        <v>164</v>
      </c>
      <c r="E29">
        <f>VLOOKUP(TablaMarimba[[#This Row],[Equipo]],Catalogos!$I$4:$J$34,2,FALSE)</f>
      </c>
      <c r="F29" s="3"/>
      <c r="G29" s="3">
        <v>250</v>
      </c>
      <c r="H29" s="3">
        <f t="shared" si="0"/>
      </c>
      <c r="I29" s="4">
        <v>28.3</v>
      </c>
      <c r="J29" s="4">
        <f t="shared" si="1"/>
      </c>
    </row>
    <row r="30" spans="1:10">
      <c r="A30" s="2">
        <v>46183</v>
      </c>
      <c r="B30" t="s">
        <v>155</v>
      </c>
      <c r="C30" t="s">
        <v>6</v>
      </c>
      <c r="D30" t="s">
        <v>95</v>
      </c>
      <c r="E30">
        <f>VLOOKUP(TablaMarimba[[#This Row],[Equipo]],Catalogos!$I$4:$J$34,2,FALSE)</f>
      </c>
      <c r="F30" s="3"/>
      <c r="G30" s="3">
        <v>30</v>
      </c>
      <c r="H30" s="3">
        <f t="shared" si="0"/>
      </c>
      <c r="I30" s="4">
        <v>28.3</v>
      </c>
      <c r="J30" s="4">
        <f t="shared" si="1"/>
      </c>
    </row>
    <row r="31" spans="1:10">
      <c r="A31" s="2">
        <v>46184</v>
      </c>
      <c r="B31" t="s">
        <v>155</v>
      </c>
      <c r="C31" t="s">
        <v>6</v>
      </c>
      <c r="D31" t="s">
        <v>86</v>
      </c>
      <c r="E31">
        <f>VLOOKUP(TablaMarimba[[#This Row],[Equipo]],Catalogos!$I$4:$J$34,2,FALSE)</f>
      </c>
      <c r="F31" s="3"/>
      <c r="G31" s="3">
        <v>30</v>
      </c>
      <c r="H31" s="3">
        <f t="shared" si="0"/>
      </c>
      <c r="I31" s="4">
        <v>28.3</v>
      </c>
      <c r="J31" s="4">
        <f t="shared" si="1"/>
      </c>
    </row>
    <row r="32" spans="1:10">
      <c r="A32" s="2">
        <v>46184</v>
      </c>
      <c r="B32" t="s">
        <v>155</v>
      </c>
      <c r="C32" t="s">
        <v>6</v>
      </c>
      <c r="D32" t="s">
        <v>181</v>
      </c>
      <c r="E32">
        <f>VLOOKUP(TablaMarimba[[#This Row],[Equipo]],Catalogos!$I$4:$J$34,2,FALSE)</f>
      </c>
      <c r="F32" s="3"/>
      <c r="G32" s="3">
        <v>30</v>
      </c>
      <c r="H32" s="3">
        <f t="shared" si="0"/>
      </c>
      <c r="I32" s="4">
        <v>28.3</v>
      </c>
      <c r="J32" s="4">
        <f t="shared" si="1"/>
      </c>
    </row>
    <row r="33" spans="1:14">
      <c r="A33" s="2">
        <v>46184</v>
      </c>
      <c r="B33" t="s">
        <v>155</v>
      </c>
      <c r="C33" t="s">
        <v>6</v>
      </c>
      <c r="D33" t="s">
        <v>160</v>
      </c>
      <c r="E33">
        <f>VLOOKUP(TablaMarimba[[#This Row],[Equipo]],Catalogos!$I$4:$J$34,2,FALSE)</f>
      </c>
      <c r="F33" s="3"/>
      <c r="G33" s="3">
        <v>136</v>
      </c>
      <c r="H33" s="3">
        <f t="shared" si="0"/>
      </c>
      <c r="I33" s="4">
        <v>28.3</v>
      </c>
      <c r="J33" s="4">
        <f t="shared" si="1"/>
      </c>
    </row>
    <row r="34" spans="1:14">
      <c r="A34" s="2">
        <v>46184</v>
      </c>
      <c r="B34" t="s">
        <v>155</v>
      </c>
      <c r="C34" t="s">
        <v>6</v>
      </c>
      <c r="D34" t="s">
        <v>165</v>
      </c>
      <c r="E34">
        <f>VLOOKUP(TablaMarimba[[#This Row],[Equipo]],Catalogos!$I$4:$J$34,2,FALSE)</f>
      </c>
      <c r="F34" s="3"/>
      <c r="G34" s="3">
        <v>20</v>
      </c>
      <c r="H34" s="3">
        <f t="shared" si="0"/>
      </c>
      <c r="I34" s="4">
        <v>28.3</v>
      </c>
      <c r="J34" s="4">
        <f t="shared" si="1"/>
      </c>
    </row>
    <row r="35" spans="1:14">
      <c r="A35" s="2">
        <v>46184</v>
      </c>
      <c r="B35" t="s">
        <v>155</v>
      </c>
      <c r="C35" t="s">
        <v>6</v>
      </c>
      <c r="D35" t="s">
        <v>95</v>
      </c>
      <c r="E35">
        <f>VLOOKUP(TablaMarimba[[#This Row],[Equipo]],Catalogos!$I$4:$J$34,2,FALSE)</f>
      </c>
      <c r="F35" s="3"/>
      <c r="G35" s="3">
        <v>20</v>
      </c>
      <c r="H35" s="3">
        <f t="shared" si="0"/>
      </c>
      <c r="I35" s="4">
        <v>28.3</v>
      </c>
      <c r="J35" s="4">
        <f t="shared" si="1"/>
      </c>
    </row>
    <row r="36" spans="1:14">
      <c r="A36" s="2">
        <v>46184</v>
      </c>
      <c r="B36" t="s">
        <v>155</v>
      </c>
      <c r="C36" t="s">
        <v>6</v>
      </c>
      <c r="D36" t="s">
        <v>192</v>
      </c>
      <c r="E36">
        <f>VLOOKUP(TablaMarimba[[#This Row],[Equipo]],Catalogos!$I$4:$J$34,2,FALSE)</f>
      </c>
      <c r="F36" s="3"/>
      <c r="G36" s="3">
        <v>20</v>
      </c>
      <c r="H36" s="3">
        <f t="shared" si="0"/>
      </c>
      <c r="I36" s="4">
        <v>28.3</v>
      </c>
      <c r="J36" s="4">
        <f t="shared" si="1"/>
      </c>
    </row>
    <row r="37" spans="1:14">
      <c r="A37" s="2">
        <v>46185</v>
      </c>
      <c r="B37" t="s">
        <v>155</v>
      </c>
      <c r="C37" t="s">
        <v>10</v>
      </c>
      <c r="D37" t="s">
        <v>184</v>
      </c>
      <c r="E37">
        <f>VLOOKUP(TablaMarimba[[#This Row],[Equipo]],Catalogos!$I$4:$J$34,2,FALSE)</f>
      </c>
      <c r="F37" s="3"/>
      <c r="G37" s="3">
        <v>32</v>
      </c>
      <c r="H37" s="3">
        <f t="shared" ref="H37:H68" si="2">IF(ROW()=5,F37-G37,H36+F37-G37)</f>
      </c>
      <c r="I37" s="4">
        <v>28.3</v>
      </c>
      <c r="J37" s="4">
        <f t="shared" ref="J37:J68" si="3">IFERROR((F37+G37)*I37,0)</f>
      </c>
    </row>
    <row r="38" spans="1:14">
      <c r="A38" s="2">
        <v>46185</v>
      </c>
      <c r="B38" t="s">
        <v>155</v>
      </c>
      <c r="C38" t="s">
        <v>10</v>
      </c>
      <c r="D38" t="s">
        <v>186</v>
      </c>
      <c r="E38">
        <f>VLOOKUP(TablaMarimba[[#This Row],[Equipo]],Catalogos!$I$4:$J$34,2,FALSE)</f>
      </c>
      <c r="F38" s="3"/>
      <c r="G38" s="3">
        <v>30</v>
      </c>
      <c r="H38" s="3">
        <f t="shared" si="2"/>
      </c>
      <c r="I38" s="4">
        <v>28.3</v>
      </c>
      <c r="J38" s="4">
        <f t="shared" si="3"/>
      </c>
    </row>
    <row r="39" spans="1:14">
      <c r="A39" s="2">
        <v>46185</v>
      </c>
      <c r="B39" t="s">
        <v>155</v>
      </c>
      <c r="C39" t="s">
        <v>10</v>
      </c>
      <c r="D39" t="s">
        <v>175</v>
      </c>
      <c r="E39">
        <f>VLOOKUP(TablaMarimba[[#This Row],[Equipo]],Catalogos!$I$4:$J$34,2,FALSE)</f>
      </c>
      <c r="F39" s="3"/>
      <c r="G39" s="3">
        <v>30</v>
      </c>
      <c r="H39" s="3">
        <f t="shared" si="2"/>
      </c>
      <c r="I39" s="4">
        <v>28.3</v>
      </c>
      <c r="J39" s="4">
        <f t="shared" si="3"/>
      </c>
    </row>
    <row r="40" spans="1:14">
      <c r="A40" s="2">
        <v>46185</v>
      </c>
      <c r="B40" t="s">
        <v>155</v>
      </c>
      <c r="C40" t="s">
        <v>10</v>
      </c>
      <c r="D40" t="s">
        <v>177</v>
      </c>
      <c r="E40">
        <f>VLOOKUP(TablaMarimba[[#This Row],[Equipo]],Catalogos!$I$4:$J$34,2,FALSE)</f>
      </c>
      <c r="F40" s="3"/>
      <c r="G40" s="3">
        <v>50</v>
      </c>
      <c r="H40" s="3">
        <f t="shared" si="2"/>
      </c>
      <c r="I40" s="4">
        <v>28.3</v>
      </c>
      <c r="J40" s="4">
        <f t="shared" si="3"/>
      </c>
    </row>
    <row r="41" spans="1:14">
      <c r="A41" s="2">
        <v>46185</v>
      </c>
      <c r="B41" t="s">
        <v>155</v>
      </c>
      <c r="C41" t="s">
        <v>10</v>
      </c>
      <c r="D41" t="s">
        <v>182</v>
      </c>
      <c r="E41">
        <f>VLOOKUP(TablaMarimba[[#This Row],[Equipo]],Catalogos!$I$4:$J$34,2,FALSE)</f>
      </c>
      <c r="F41" s="3"/>
      <c r="G41" s="3">
        <v>120</v>
      </c>
      <c r="H41" s="3">
        <f t="shared" si="2"/>
      </c>
      <c r="I41" s="4">
        <v>28.3</v>
      </c>
      <c r="J41" s="4">
        <f t="shared" si="3"/>
      </c>
    </row>
    <row r="42" spans="1:14">
      <c r="A42" s="2">
        <v>46185</v>
      </c>
      <c r="B42" t="s">
        <v>155</v>
      </c>
      <c r="C42" t="s">
        <v>10</v>
      </c>
      <c r="D42" t="s">
        <v>188</v>
      </c>
      <c r="E42">
        <f>VLOOKUP(TablaMarimba[[#This Row],[Equipo]],Catalogos!$I$4:$J$34,2,FALSE)</f>
      </c>
      <c r="F42" s="3"/>
      <c r="G42" s="3">
        <v>40</v>
      </c>
      <c r="H42" s="3">
        <f t="shared" si="2"/>
      </c>
      <c r="I42" s="4">
        <v>28.3</v>
      </c>
      <c r="J42" s="4">
        <f t="shared" si="3"/>
      </c>
    </row>
    <row r="43" spans="1:14">
      <c r="A43" s="2">
        <v>46185</v>
      </c>
      <c r="B43" t="s">
        <v>155</v>
      </c>
      <c r="C43" t="s">
        <v>10</v>
      </c>
      <c r="D43" t="s">
        <v>171</v>
      </c>
      <c r="E43">
        <f>VLOOKUP(TablaMarimba[[#This Row],[Equipo]],Catalogos!$I$4:$J$34,2,FALSE)</f>
      </c>
      <c r="F43" s="3"/>
      <c r="G43" s="3">
        <v>200</v>
      </c>
      <c r="H43" s="3">
        <f t="shared" si="2"/>
      </c>
      <c r="I43" s="4">
        <v>28.3</v>
      </c>
      <c r="J43" s="4">
        <f t="shared" si="3"/>
      </c>
      <c r="N43" s="3">
        <f>SUM(G5:G48)</f>
      </c>
    </row>
    <row r="44" spans="1:14">
      <c r="A44" s="2">
        <v>46185</v>
      </c>
      <c r="B44" t="s">
        <v>155</v>
      </c>
      <c r="C44" t="s">
        <v>6</v>
      </c>
      <c r="D44" t="s">
        <v>165</v>
      </c>
      <c r="E44">
        <f>VLOOKUP(TablaMarimba[[#This Row],[Equipo]],Catalogos!$I$4:$J$34,2,FALSE)</f>
      </c>
      <c r="F44" s="3"/>
      <c r="G44" s="3">
        <v>20</v>
      </c>
      <c r="H44" s="3">
        <f t="shared" si="2"/>
      </c>
      <c r="I44" s="4">
        <v>28.3</v>
      </c>
      <c r="J44" s="4">
        <f t="shared" si="3"/>
      </c>
    </row>
    <row r="45" spans="1:14">
      <c r="A45" s="2">
        <v>46185</v>
      </c>
      <c r="B45" t="s">
        <v>155</v>
      </c>
      <c r="C45" t="s">
        <v>6</v>
      </c>
      <c r="D45" t="s">
        <v>181</v>
      </c>
      <c r="E45">
        <f>VLOOKUP(TablaMarimba[[#This Row],[Equipo]],Catalogos!$I$4:$J$34,2,FALSE)</f>
      </c>
      <c r="F45" s="3"/>
      <c r="G45" s="3">
        <v>30</v>
      </c>
      <c r="H45" s="3">
        <f t="shared" si="2"/>
      </c>
      <c r="I45" s="4">
        <v>28.3</v>
      </c>
      <c r="J45" s="4">
        <f t="shared" si="3"/>
      </c>
    </row>
    <row r="46" spans="1:14">
      <c r="A46" s="2">
        <v>46185</v>
      </c>
      <c r="B46" t="s">
        <v>155</v>
      </c>
      <c r="C46" t="s">
        <v>6</v>
      </c>
      <c r="D46" t="s">
        <v>192</v>
      </c>
      <c r="E46">
        <f>VLOOKUP(TablaMarimba[[#This Row],[Equipo]],Catalogos!$I$4:$J$34,2,FALSE)</f>
      </c>
      <c r="F46" s="3"/>
      <c r="G46" s="3">
        <v>20</v>
      </c>
      <c r="H46" s="3">
        <f t="shared" si="2"/>
      </c>
      <c r="I46" s="4">
        <v>28.3</v>
      </c>
      <c r="J46" s="4">
        <f t="shared" si="3"/>
      </c>
    </row>
    <row r="47" spans="1:14">
      <c r="A47" s="2">
        <v>46185</v>
      </c>
      <c r="B47" t="s">
        <v>155</v>
      </c>
      <c r="C47" t="s">
        <v>6</v>
      </c>
      <c r="D47" t="s">
        <v>86</v>
      </c>
      <c r="E47">
        <f>VLOOKUP(TablaMarimba[[#This Row],[Equipo]],Catalogos!$I$4:$J$34,2,FALSE)</f>
      </c>
      <c r="F47" s="3"/>
      <c r="G47" s="3">
        <v>40</v>
      </c>
      <c r="H47" s="3">
        <f t="shared" si="2"/>
      </c>
      <c r="I47" s="4">
        <v>28.3</v>
      </c>
      <c r="J47" s="4">
        <f t="shared" si="3"/>
      </c>
    </row>
    <row r="48" spans="1:14">
      <c r="A48" s="2">
        <v>46185</v>
      </c>
      <c r="B48" t="s">
        <v>155</v>
      </c>
      <c r="C48" t="s">
        <v>6</v>
      </c>
      <c r="D48" t="s">
        <v>164</v>
      </c>
      <c r="E48">
        <f>VLOOKUP(TablaMarimba[[#This Row],[Equipo]],Catalogos!$I$4:$J$34,2,FALSE)</f>
      </c>
      <c r="F48" s="3"/>
      <c r="G48" s="3">
        <v>250</v>
      </c>
      <c r="H48" s="3">
        <f t="shared" si="2"/>
      </c>
      <c r="I48" s="4">
        <v>28.3</v>
      </c>
      <c r="J48" s="4">
        <f t="shared" si="3"/>
      </c>
    </row>
    <row r="49" spans="1:10">
      <c r="A49" s="2"/>
      <c r="E49">
        <f>VLOOKUP(TablaMarimba[[#This Row],[Equipo]],Catalogos!$I$4:$J$34,2,FALSE)</f>
      </c>
      <c r="F49" s="3"/>
      <c r="G49" s="3"/>
      <c r="H49" s="3">
        <f t="shared" si="2"/>
      </c>
      <c r="I49" s="4">
        <v>28.3</v>
      </c>
      <c r="J49" s="4">
        <f t="shared" si="3"/>
      </c>
    </row>
    <row r="50" spans="1:10">
      <c r="A50" s="2"/>
      <c r="E50">
        <f>VLOOKUP(TablaMarimba[[#This Row],[Equipo]],Catalogos!$I$4:$J$34,2,FALSE)</f>
      </c>
      <c r="F50" s="3"/>
      <c r="G50" s="3"/>
      <c r="H50" s="3">
        <f t="shared" si="2"/>
      </c>
      <c r="I50" s="4">
        <v>28.3</v>
      </c>
      <c r="J50" s="4">
        <f t="shared" si="3"/>
      </c>
    </row>
    <row r="51" spans="1:10">
      <c r="A51" s="2"/>
      <c r="E51">
        <f>VLOOKUP(TablaMarimba[[#This Row],[Equipo]],Catalogos!$I$4:$J$34,2,FALSE)</f>
      </c>
      <c r="F51" s="3"/>
      <c r="G51" s="3"/>
      <c r="H51" s="3">
        <f t="shared" si="2"/>
      </c>
      <c r="I51" s="4">
        <v>28.3</v>
      </c>
      <c r="J51" s="4">
        <f t="shared" si="3"/>
      </c>
    </row>
    <row r="52" spans="1:10">
      <c r="A52" s="2"/>
      <c r="E52">
        <f>VLOOKUP(TablaMarimba[[#This Row],[Equipo]],Catalogos!$I$4:$J$34,2,FALSE)</f>
      </c>
      <c r="F52" s="3"/>
      <c r="G52" s="3"/>
      <c r="H52" s="3">
        <f t="shared" si="2"/>
      </c>
      <c r="I52" s="4">
        <v>28.3</v>
      </c>
      <c r="J52" s="4">
        <f t="shared" si="3"/>
      </c>
    </row>
    <row r="53" spans="1:10">
      <c r="A53" s="2"/>
      <c r="E53">
        <f>VLOOKUP(TablaMarimba[[#This Row],[Equipo]],Catalogos!$I$4:$J$34,2,FALSE)</f>
      </c>
      <c r="F53" s="3"/>
      <c r="G53" s="3"/>
      <c r="H53" s="3">
        <f t="shared" si="2"/>
      </c>
      <c r="I53" s="4">
        <v>28.3</v>
      </c>
      <c r="J53" s="4">
        <f t="shared" si="3"/>
      </c>
    </row>
    <row r="54" spans="1:10">
      <c r="A54" s="2"/>
      <c r="E54">
        <f>VLOOKUP(TablaMarimba[[#This Row],[Equipo]],Catalogos!$I$4:$J$34,2,FALSE)</f>
      </c>
      <c r="F54" s="3"/>
      <c r="G54" s="3"/>
      <c r="H54" s="3">
        <f t="shared" si="2"/>
      </c>
      <c r="I54" s="4">
        <v>28.3</v>
      </c>
      <c r="J54" s="4">
        <f t="shared" si="3"/>
      </c>
    </row>
    <row r="55" spans="1:10">
      <c r="A55" s="2"/>
      <c r="E55">
        <f>VLOOKUP(TablaMarimba[[#This Row],[Equipo]],Catalogos!$I$4:$J$34,2,FALSE)</f>
      </c>
      <c r="F55" s="3"/>
      <c r="G55" s="3"/>
      <c r="H55" s="3">
        <f t="shared" si="2"/>
      </c>
      <c r="I55" s="4">
        <v>28.3</v>
      </c>
      <c r="J55" s="4">
        <f t="shared" si="3"/>
      </c>
    </row>
    <row r="56" spans="1:10">
      <c r="A56" s="2"/>
      <c r="E56">
        <f>VLOOKUP(TablaMarimba[[#This Row],[Equipo]],Catalogos!$I$4:$J$34,2,FALSE)</f>
      </c>
      <c r="F56" s="3"/>
      <c r="G56" s="3"/>
      <c r="H56" s="3">
        <f t="shared" si="2"/>
      </c>
      <c r="I56" s="4">
        <v>28.3</v>
      </c>
      <c r="J56" s="4">
        <f t="shared" si="3"/>
      </c>
    </row>
    <row r="57" spans="1:10">
      <c r="A57" s="2"/>
      <c r="E57">
        <f>VLOOKUP(TablaMarimba[[#This Row],[Equipo]],Catalogos!$I$4:$J$34,2,FALSE)</f>
      </c>
      <c r="F57" s="3"/>
      <c r="G57" s="3"/>
      <c r="H57" s="3">
        <f t="shared" si="2"/>
      </c>
      <c r="I57" s="4">
        <v>28.3</v>
      </c>
      <c r="J57" s="4">
        <f t="shared" si="3"/>
      </c>
    </row>
    <row r="58" spans="1:10">
      <c r="A58" s="2"/>
      <c r="E58">
        <f>VLOOKUP(TablaMarimba[[#This Row],[Equipo]],Catalogos!$I$4:$J$34,2,FALSE)</f>
      </c>
      <c r="F58" s="3"/>
      <c r="G58" s="3"/>
      <c r="H58" s="3">
        <f t="shared" si="2"/>
      </c>
      <c r="I58" s="4">
        <v>28.3</v>
      </c>
      <c r="J58" s="4">
        <f t="shared" si="3"/>
      </c>
    </row>
    <row r="59" spans="1:10">
      <c r="A59" s="2"/>
      <c r="E59">
        <f>VLOOKUP(TablaMarimba[[#This Row],[Equipo]],Catalogos!$I$4:$J$34,2,FALSE)</f>
      </c>
      <c r="F59" s="3"/>
      <c r="G59" s="3"/>
      <c r="H59" s="3">
        <f t="shared" si="2"/>
      </c>
      <c r="I59" s="4">
        <v>28.3</v>
      </c>
      <c r="J59" s="4">
        <f t="shared" si="3"/>
      </c>
    </row>
    <row r="60" spans="1:10">
      <c r="A60" s="2"/>
      <c r="E60">
        <f>VLOOKUP(TablaMarimba[[#This Row],[Equipo]],Catalogos!$I$4:$J$34,2,FALSE)</f>
      </c>
      <c r="F60" s="3"/>
      <c r="G60" s="3"/>
      <c r="H60" s="3">
        <f t="shared" si="2"/>
      </c>
      <c r="I60" s="4">
        <v>28.3</v>
      </c>
      <c r="J60" s="4">
        <f t="shared" si="3"/>
      </c>
    </row>
    <row r="61" spans="1:10">
      <c r="A61" s="2"/>
      <c r="E61">
        <f>VLOOKUP(TablaMarimba[[#This Row],[Equipo]],Catalogos!$I$4:$J$34,2,FALSE)</f>
      </c>
      <c r="F61" s="3"/>
      <c r="G61" s="3"/>
      <c r="H61" s="3">
        <f t="shared" si="2"/>
      </c>
      <c r="I61" s="4">
        <v>28.3</v>
      </c>
      <c r="J61" s="4">
        <f t="shared" si="3"/>
      </c>
    </row>
    <row r="62" spans="1:10">
      <c r="A62" s="2"/>
      <c r="E62">
        <f>VLOOKUP(TablaMarimba[[#This Row],[Equipo]],Catalogos!$I$4:$J$34,2,FALSE)</f>
      </c>
      <c r="F62" s="3"/>
      <c r="G62" s="3"/>
      <c r="H62" s="3">
        <f t="shared" si="2"/>
      </c>
      <c r="I62" s="4">
        <v>28.3</v>
      </c>
      <c r="J62" s="4">
        <f t="shared" si="3"/>
      </c>
    </row>
    <row r="63" spans="1:10">
      <c r="A63" s="2"/>
      <c r="E63">
        <f>VLOOKUP(TablaMarimba[[#This Row],[Equipo]],Catalogos!$I$4:$J$34,2,FALSE)</f>
      </c>
      <c r="F63" s="3"/>
      <c r="G63" s="3"/>
      <c r="H63" s="3">
        <f t="shared" si="2"/>
      </c>
      <c r="I63" s="4">
        <v>28.3</v>
      </c>
      <c r="J63" s="4">
        <f t="shared" si="3"/>
      </c>
    </row>
    <row r="64" spans="1:10">
      <c r="A64" s="2"/>
      <c r="E64">
        <f>VLOOKUP(TablaMarimba[[#This Row],[Equipo]],Catalogos!$I$4:$J$34,2,FALSE)</f>
      </c>
      <c r="F64" s="3"/>
      <c r="G64" s="3"/>
      <c r="H64" s="3">
        <f t="shared" si="2"/>
      </c>
      <c r="I64" s="4">
        <v>28.3</v>
      </c>
      <c r="J64" s="4">
        <f t="shared" si="3"/>
      </c>
    </row>
    <row r="65" spans="1:10">
      <c r="A65" s="2"/>
      <c r="E65">
        <f>VLOOKUP(TablaMarimba[[#This Row],[Equipo]],Catalogos!$I$4:$J$34,2,FALSE)</f>
      </c>
      <c r="F65" s="3"/>
      <c r="G65" s="3"/>
      <c r="H65" s="3">
        <f t="shared" si="2"/>
      </c>
      <c r="I65" s="4">
        <v>28.3</v>
      </c>
      <c r="J65" s="4">
        <f t="shared" si="3"/>
      </c>
    </row>
    <row r="66" spans="1:10">
      <c r="A66" s="2"/>
      <c r="E66">
        <f>VLOOKUP(TablaMarimba[[#This Row],[Equipo]],Catalogos!$I$4:$J$34,2,FALSE)</f>
      </c>
      <c r="F66" s="3"/>
      <c r="G66" s="3"/>
      <c r="H66" s="3">
        <f t="shared" si="2"/>
      </c>
      <c r="I66" s="4">
        <v>28.3</v>
      </c>
      <c r="J66" s="4">
        <f t="shared" si="3"/>
      </c>
    </row>
    <row r="67" spans="1:10">
      <c r="A67" s="2"/>
      <c r="E67">
        <f>VLOOKUP(TablaMarimba[[#This Row],[Equipo]],Catalogos!$I$4:$J$34,2,FALSE)</f>
      </c>
      <c r="F67" s="3"/>
      <c r="G67" s="3"/>
      <c r="H67" s="3">
        <f t="shared" si="2"/>
      </c>
      <c r="I67" s="4">
        <v>28.3</v>
      </c>
      <c r="J67" s="4">
        <f t="shared" si="3"/>
      </c>
    </row>
    <row r="68" spans="1:10">
      <c r="A68" s="2"/>
      <c r="E68">
        <f>VLOOKUP(TablaMarimba[[#This Row],[Equipo]],Catalogos!$I$4:$J$34,2,FALSE)</f>
      </c>
      <c r="F68" s="3"/>
      <c r="G68" s="3"/>
      <c r="H68" s="3">
        <f t="shared" si="2"/>
      </c>
      <c r="I68" s="4">
        <v>28.3</v>
      </c>
      <c r="J68" s="4">
        <f t="shared" si="3"/>
      </c>
    </row>
    <row r="69" spans="1:10">
      <c r="A69" s="2"/>
      <c r="E69">
        <f>VLOOKUP(TablaMarimba[[#This Row],[Equipo]],Catalogos!$I$4:$J$34,2,FALSE)</f>
      </c>
      <c r="F69" s="3"/>
      <c r="G69" s="3"/>
      <c r="H69" s="3">
        <f t="shared" ref="H69:H100" si="4">IF(ROW()=5,F69-G69,H68+F69-G69)</f>
      </c>
      <c r="I69" s="4">
        <v>28.3</v>
      </c>
      <c r="J69" s="4">
        <f t="shared" ref="J69:J100" si="5">IFERROR((F69+G69)*I69,0)</f>
      </c>
    </row>
    <row r="70" spans="1:10">
      <c r="A70" s="2"/>
      <c r="E70">
        <f>VLOOKUP(TablaMarimba[[#This Row],[Equipo]],Catalogos!$I$4:$J$34,2,FALSE)</f>
      </c>
      <c r="F70" s="3"/>
      <c r="G70" s="3"/>
      <c r="H70" s="3">
        <f t="shared" si="4"/>
      </c>
      <c r="I70" s="4">
        <v>28.3</v>
      </c>
      <c r="J70" s="4">
        <f t="shared" si="5"/>
      </c>
    </row>
    <row r="71" spans="1:10">
      <c r="A71" s="2"/>
      <c r="E71">
        <f>VLOOKUP(TablaMarimba[[#This Row],[Equipo]],Catalogos!$I$4:$J$34,2,FALSE)</f>
      </c>
      <c r="F71" s="3"/>
      <c r="G71" s="3"/>
      <c r="H71" s="3">
        <f t="shared" si="4"/>
      </c>
      <c r="I71" s="4">
        <v>28.3</v>
      </c>
      <c r="J71" s="4">
        <f t="shared" si="5"/>
      </c>
    </row>
    <row r="72" spans="1:10">
      <c r="A72" s="2"/>
      <c r="E72">
        <f>VLOOKUP(TablaMarimba[[#This Row],[Equipo]],Catalogos!$I$4:$J$34,2,FALSE)</f>
      </c>
      <c r="F72" s="3"/>
      <c r="G72" s="3"/>
      <c r="H72" s="3">
        <f t="shared" si="4"/>
      </c>
      <c r="I72" s="4">
        <v>28.3</v>
      </c>
      <c r="J72" s="4">
        <f t="shared" si="5"/>
      </c>
    </row>
    <row r="73" spans="1:10">
      <c r="A73" s="2"/>
      <c r="E73">
        <f>VLOOKUP(TablaMarimba[[#This Row],[Equipo]],Catalogos!$I$4:$J$34,2,FALSE)</f>
      </c>
      <c r="F73" s="3"/>
      <c r="G73" s="3"/>
      <c r="H73" s="3">
        <f t="shared" si="4"/>
      </c>
      <c r="I73" s="4">
        <v>28.3</v>
      </c>
      <c r="J73" s="4">
        <f t="shared" si="5"/>
      </c>
    </row>
    <row r="74" spans="1:10">
      <c r="A74" s="2"/>
      <c r="E74">
        <f>VLOOKUP(TablaMarimba[[#This Row],[Equipo]],Catalogos!$I$4:$J$34,2,FALSE)</f>
      </c>
      <c r="F74" s="3"/>
      <c r="G74" s="3"/>
      <c r="H74" s="3">
        <f t="shared" si="4"/>
      </c>
      <c r="I74" s="4">
        <v>28.3</v>
      </c>
      <c r="J74" s="4">
        <f t="shared" si="5"/>
      </c>
    </row>
    <row r="75" spans="1:10">
      <c r="A75" s="2"/>
      <c r="E75">
        <f>VLOOKUP(TablaMarimba[[#This Row],[Equipo]],Catalogos!$I$4:$J$34,2,FALSE)</f>
      </c>
      <c r="F75" s="3"/>
      <c r="G75" s="3"/>
      <c r="H75" s="3">
        <f t="shared" si="4"/>
      </c>
      <c r="I75" s="4">
        <v>28.3</v>
      </c>
      <c r="J75" s="4">
        <f t="shared" si="5"/>
      </c>
    </row>
    <row r="76" spans="1:10">
      <c r="A76" s="2"/>
      <c r="E76">
        <f>VLOOKUP(TablaMarimba[[#This Row],[Equipo]],Catalogos!$I$4:$J$34,2,FALSE)</f>
      </c>
      <c r="F76" s="3"/>
      <c r="G76" s="3"/>
      <c r="H76" s="3">
        <f t="shared" si="4"/>
      </c>
      <c r="I76" s="4">
        <v>28.3</v>
      </c>
      <c r="J76" s="4">
        <f t="shared" si="5"/>
      </c>
    </row>
    <row r="77" spans="1:10">
      <c r="A77" s="2"/>
      <c r="E77">
        <f>VLOOKUP(TablaMarimba[[#This Row],[Equipo]],Catalogos!$I$4:$J$34,2,FALSE)</f>
      </c>
      <c r="F77" s="3"/>
      <c r="G77" s="3"/>
      <c r="H77" s="3">
        <f t="shared" si="4"/>
      </c>
      <c r="I77" s="4">
        <v>28.3</v>
      </c>
      <c r="J77" s="4">
        <f t="shared" si="5"/>
      </c>
    </row>
    <row r="78" spans="1:10">
      <c r="A78" s="2"/>
      <c r="E78">
        <f>VLOOKUP(TablaMarimba[[#This Row],[Equipo]],Catalogos!$I$4:$J$34,2,FALSE)</f>
      </c>
      <c r="F78" s="3"/>
      <c r="G78" s="3"/>
      <c r="H78" s="3">
        <f t="shared" si="4"/>
      </c>
      <c r="I78" s="4">
        <v>28.3</v>
      </c>
      <c r="J78" s="4">
        <f t="shared" si="5"/>
      </c>
    </row>
    <row r="79" spans="1:10">
      <c r="A79" s="2"/>
      <c r="E79">
        <f>VLOOKUP(TablaMarimba[[#This Row],[Equipo]],Catalogos!$I$4:$J$34,2,FALSE)</f>
      </c>
      <c r="F79" s="3"/>
      <c r="G79" s="3"/>
      <c r="H79" s="3">
        <f t="shared" si="4"/>
      </c>
      <c r="I79" s="4">
        <v>28.3</v>
      </c>
      <c r="J79" s="4">
        <f t="shared" si="5"/>
      </c>
    </row>
    <row r="80" spans="1:10">
      <c r="A80" s="2"/>
      <c r="E80">
        <f>VLOOKUP(TablaMarimba[[#This Row],[Equipo]],Catalogos!$I$4:$J$34,2,FALSE)</f>
      </c>
      <c r="F80" s="3"/>
      <c r="G80" s="3"/>
      <c r="H80" s="3">
        <f t="shared" si="4"/>
      </c>
      <c r="I80" s="4">
        <v>28.3</v>
      </c>
      <c r="J80" s="4">
        <f t="shared" si="5"/>
      </c>
    </row>
    <row r="81" spans="1:10">
      <c r="A81" s="2"/>
      <c r="E81">
        <f>VLOOKUP(TablaMarimba[[#This Row],[Equipo]],Catalogos!$I$4:$J$34,2,FALSE)</f>
      </c>
      <c r="F81" s="3"/>
      <c r="G81" s="3"/>
      <c r="H81" s="3">
        <f t="shared" si="4"/>
      </c>
      <c r="I81" s="4">
        <v>28.3</v>
      </c>
      <c r="J81" s="4">
        <f t="shared" si="5"/>
      </c>
    </row>
    <row r="82" spans="1:10">
      <c r="A82" s="2"/>
      <c r="E82">
        <f>VLOOKUP(TablaMarimba[[#This Row],[Equipo]],Catalogos!$I$4:$J$34,2,FALSE)</f>
      </c>
      <c r="F82" s="3"/>
      <c r="G82" s="3"/>
      <c r="H82" s="3">
        <f t="shared" si="4"/>
      </c>
      <c r="I82" s="4">
        <v>28.3</v>
      </c>
      <c r="J82" s="4">
        <f t="shared" si="5"/>
      </c>
    </row>
    <row r="83" spans="1:10">
      <c r="A83" s="2"/>
      <c r="E83">
        <f>VLOOKUP(TablaMarimba[[#This Row],[Equipo]],Catalogos!$I$4:$J$34,2,FALSE)</f>
      </c>
      <c r="F83" s="3"/>
      <c r="G83" s="3"/>
      <c r="H83" s="3">
        <f t="shared" si="4"/>
      </c>
      <c r="I83" s="4">
        <v>28.3</v>
      </c>
      <c r="J83" s="4">
        <f t="shared" si="5"/>
      </c>
    </row>
    <row r="84" spans="1:10">
      <c r="A84" s="2"/>
      <c r="E84">
        <f>VLOOKUP(TablaMarimba[[#This Row],[Equipo]],Catalogos!$I$4:$J$34,2,FALSE)</f>
      </c>
      <c r="F84" s="3"/>
      <c r="G84" s="3"/>
      <c r="H84" s="3">
        <f t="shared" si="4"/>
      </c>
      <c r="I84" s="4">
        <v>28.3</v>
      </c>
      <c r="J84" s="4">
        <f t="shared" si="5"/>
      </c>
    </row>
    <row r="85" spans="1:10">
      <c r="A85" s="2"/>
      <c r="E85">
        <f>VLOOKUP(TablaMarimba[[#This Row],[Equipo]],Catalogos!$I$4:$J$34,2,FALSE)</f>
      </c>
      <c r="F85" s="3"/>
      <c r="G85" s="3"/>
      <c r="H85" s="3">
        <f t="shared" si="4"/>
      </c>
      <c r="I85" s="4">
        <v>28.3</v>
      </c>
      <c r="J85" s="4">
        <f t="shared" si="5"/>
      </c>
    </row>
    <row r="86" spans="1:10">
      <c r="A86" s="2"/>
      <c r="E86">
        <f>VLOOKUP(TablaMarimba[[#This Row],[Equipo]],Catalogos!$I$4:$J$34,2,FALSE)</f>
      </c>
      <c r="F86" s="3"/>
      <c r="G86" s="3"/>
      <c r="H86" s="3">
        <f t="shared" si="4"/>
      </c>
      <c r="I86" s="4">
        <v>28.3</v>
      </c>
      <c r="J86" s="4">
        <f t="shared" si="5"/>
      </c>
    </row>
    <row r="87" spans="1:10">
      <c r="A87" s="2"/>
      <c r="E87">
        <f>VLOOKUP(TablaMarimba[[#This Row],[Equipo]],Catalogos!$I$4:$J$34,2,FALSE)</f>
      </c>
      <c r="F87" s="3"/>
      <c r="G87" s="3"/>
      <c r="H87" s="3">
        <f t="shared" si="4"/>
      </c>
      <c r="I87" s="4">
        <v>28.3</v>
      </c>
      <c r="J87" s="4">
        <f t="shared" si="5"/>
      </c>
    </row>
    <row r="88" spans="1:10">
      <c r="A88" s="2"/>
      <c r="E88">
        <f>VLOOKUP(TablaMarimba[[#This Row],[Equipo]],Catalogos!$I$4:$J$34,2,FALSE)</f>
      </c>
      <c r="F88" s="3"/>
      <c r="G88" s="3"/>
      <c r="H88" s="3">
        <f t="shared" si="4"/>
      </c>
      <c r="I88" s="4">
        <v>28.3</v>
      </c>
      <c r="J88" s="4">
        <f t="shared" si="5"/>
      </c>
    </row>
    <row r="89" spans="1:10">
      <c r="A89" s="2"/>
      <c r="E89">
        <f>VLOOKUP(TablaMarimba[[#This Row],[Equipo]],Catalogos!$I$4:$J$34,2,FALSE)</f>
      </c>
      <c r="F89" s="3"/>
      <c r="G89" s="3"/>
      <c r="H89" s="3">
        <f t="shared" si="4"/>
      </c>
      <c r="I89" s="4">
        <v>28.3</v>
      </c>
      <c r="J89" s="4">
        <f t="shared" si="5"/>
      </c>
    </row>
    <row r="90" spans="1:10">
      <c r="A90" s="2"/>
      <c r="E90">
        <f>VLOOKUP(TablaMarimba[[#This Row],[Equipo]],Catalogos!$I$4:$J$34,2,FALSE)</f>
      </c>
      <c r="F90" s="3"/>
      <c r="G90" s="3"/>
      <c r="H90" s="3">
        <f t="shared" si="4"/>
      </c>
      <c r="I90" s="4">
        <v>28.3</v>
      </c>
      <c r="J90" s="4">
        <f t="shared" si="5"/>
      </c>
    </row>
    <row r="91" spans="1:10">
      <c r="A91" s="2"/>
      <c r="E91">
        <f>VLOOKUP(TablaMarimba[[#This Row],[Equipo]],Catalogos!$I$4:$J$34,2,FALSE)</f>
      </c>
      <c r="F91" s="3"/>
      <c r="G91" s="3"/>
      <c r="H91" s="3">
        <f t="shared" si="4"/>
      </c>
      <c r="I91" s="4">
        <v>28.3</v>
      </c>
      <c r="J91" s="4">
        <f t="shared" si="5"/>
      </c>
    </row>
    <row r="92" spans="1:10">
      <c r="A92" s="2"/>
      <c r="E92">
        <f>VLOOKUP(TablaMarimba[[#This Row],[Equipo]],Catalogos!$I$4:$J$34,2,FALSE)</f>
      </c>
      <c r="F92" s="3"/>
      <c r="G92" s="3"/>
      <c r="H92" s="3">
        <f t="shared" si="4"/>
      </c>
      <c r="I92" s="4">
        <v>28.3</v>
      </c>
      <c r="J92" s="4">
        <f t="shared" si="5"/>
      </c>
    </row>
    <row r="93" spans="1:10">
      <c r="A93" s="2"/>
      <c r="E93">
        <f>VLOOKUP(TablaMarimba[[#This Row],[Equipo]],Catalogos!$I$4:$J$34,2,FALSE)</f>
      </c>
      <c r="F93" s="3"/>
      <c r="G93" s="3"/>
      <c r="H93" s="3">
        <f t="shared" si="4"/>
      </c>
      <c r="I93" s="4">
        <v>28.3</v>
      </c>
      <c r="J93" s="4">
        <f t="shared" si="5"/>
      </c>
    </row>
    <row r="94" spans="1:10">
      <c r="A94" s="2"/>
      <c r="E94">
        <f>VLOOKUP(TablaMarimba[[#This Row],[Equipo]],Catalogos!$I$4:$J$34,2,FALSE)</f>
      </c>
      <c r="F94" s="3"/>
      <c r="G94" s="3"/>
      <c r="H94" s="3">
        <f t="shared" si="4"/>
      </c>
      <c r="I94" s="4">
        <v>28.3</v>
      </c>
      <c r="J94" s="4">
        <f t="shared" si="5"/>
      </c>
    </row>
    <row r="95" spans="1:10">
      <c r="A95" s="2"/>
      <c r="E95">
        <f>VLOOKUP(TablaMarimba[[#This Row],[Equipo]],Catalogos!$I$4:$J$34,2,FALSE)</f>
      </c>
      <c r="F95" s="3"/>
      <c r="G95" s="3"/>
      <c r="H95" s="3">
        <f t="shared" si="4"/>
      </c>
      <c r="I95" s="4">
        <v>28.3</v>
      </c>
      <c r="J95" s="4">
        <f t="shared" si="5"/>
      </c>
    </row>
    <row r="96" spans="1:10">
      <c r="A96" s="2"/>
      <c r="E96">
        <f>VLOOKUP(TablaMarimba[[#This Row],[Equipo]],Catalogos!$I$4:$J$34,2,FALSE)</f>
      </c>
      <c r="F96" s="3"/>
      <c r="G96" s="3"/>
      <c r="H96" s="3">
        <f t="shared" si="4"/>
      </c>
      <c r="I96" s="4">
        <v>28.3</v>
      </c>
      <c r="J96" s="4">
        <f t="shared" si="5"/>
      </c>
    </row>
    <row r="97" spans="1:10">
      <c r="A97" s="2"/>
      <c r="E97">
        <f>VLOOKUP(TablaMarimba[[#This Row],[Equipo]],Catalogos!$I$4:$J$34,2,FALSE)</f>
      </c>
      <c r="F97" s="3"/>
      <c r="G97" s="3"/>
      <c r="H97" s="3">
        <f t="shared" si="4"/>
      </c>
      <c r="I97" s="4">
        <v>28.3</v>
      </c>
      <c r="J97" s="4">
        <f t="shared" si="5"/>
      </c>
    </row>
    <row r="98" spans="1:10">
      <c r="A98" s="2"/>
      <c r="E98">
        <f>VLOOKUP(TablaMarimba[[#This Row],[Equipo]],Catalogos!$I$4:$J$34,2,FALSE)</f>
      </c>
      <c r="F98" s="3"/>
      <c r="G98" s="3"/>
      <c r="H98" s="3">
        <f t="shared" si="4"/>
      </c>
      <c r="I98" s="4">
        <v>28.3</v>
      </c>
      <c r="J98" s="4">
        <f t="shared" si="5"/>
      </c>
    </row>
    <row r="99" spans="1:10">
      <c r="A99" s="2"/>
      <c r="E99">
        <f>VLOOKUP(TablaMarimba[[#This Row],[Equipo]],Catalogos!$I$4:$J$34,2,FALSE)</f>
      </c>
      <c r="F99" s="3"/>
      <c r="G99" s="3"/>
      <c r="H99" s="3">
        <f t="shared" si="4"/>
      </c>
      <c r="I99" s="4">
        <v>28.3</v>
      </c>
      <c r="J99" s="4">
        <f t="shared" si="5"/>
      </c>
    </row>
    <row r="100" spans="1:10">
      <c r="A100" s="2"/>
      <c r="E100">
        <f>VLOOKUP(TablaMarimba[[#This Row],[Equipo]],Catalogos!$I$4:$J$34,2,FALSE)</f>
      </c>
      <c r="F100" s="3"/>
      <c r="G100" s="3"/>
      <c r="H100" s="3">
        <f t="shared" si="4"/>
      </c>
      <c r="I100" s="4">
        <v>28.3</v>
      </c>
      <c r="J100" s="4">
        <f t="shared" si="5"/>
      </c>
    </row>
    <row r="101" spans="1:10">
      <c r="A101" s="2"/>
      <c r="E101">
        <f>VLOOKUP(TablaMarimba[[#This Row],[Equipo]],Catalogos!$I$4:$J$34,2,FALSE)</f>
      </c>
      <c r="F101" s="3"/>
      <c r="G101" s="3"/>
      <c r="H101" s="3">
        <f t="shared" ref="H101:H132" si="6">IF(ROW()=5,F101-G101,H100+F101-G101)</f>
      </c>
      <c r="I101" s="4">
        <v>28.3</v>
      </c>
      <c r="J101" s="4">
        <f t="shared" ref="J101:J132" si="7">IFERROR((F101+G101)*I101,0)</f>
      </c>
    </row>
    <row r="102" spans="1:10">
      <c r="A102" s="2"/>
      <c r="E102">
        <f>VLOOKUP(TablaMarimba[[#This Row],[Equipo]],Catalogos!$I$4:$J$34,2,FALSE)</f>
      </c>
      <c r="F102" s="3"/>
      <c r="G102" s="3"/>
      <c r="H102" s="3">
        <f t="shared" si="6"/>
      </c>
      <c r="I102" s="4">
        <v>28.3</v>
      </c>
      <c r="J102" s="4">
        <f t="shared" si="7"/>
      </c>
    </row>
    <row r="103" spans="1:10">
      <c r="A103" s="2"/>
      <c r="E103">
        <f>VLOOKUP(TablaMarimba[[#This Row],[Equipo]],Catalogos!$I$4:$J$34,2,FALSE)</f>
      </c>
      <c r="F103" s="3"/>
      <c r="G103" s="3"/>
      <c r="H103" s="3">
        <f t="shared" si="6"/>
      </c>
      <c r="I103" s="4">
        <v>28.3</v>
      </c>
      <c r="J103" s="4">
        <f t="shared" si="7"/>
      </c>
    </row>
    <row r="104" spans="1:10">
      <c r="A104" s="2"/>
      <c r="E104">
        <f>VLOOKUP(TablaMarimba[[#This Row],[Equipo]],Catalogos!$I$4:$J$34,2,FALSE)</f>
      </c>
      <c r="F104" s="3"/>
      <c r="G104" s="3"/>
      <c r="H104" s="3">
        <f t="shared" si="6"/>
      </c>
      <c r="I104" s="4">
        <v>28.3</v>
      </c>
      <c r="J104" s="4">
        <f t="shared" si="7"/>
      </c>
    </row>
    <row r="105" spans="1:10">
      <c r="A105" s="2"/>
      <c r="E105">
        <f>VLOOKUP(TablaMarimba[[#This Row],[Equipo]],Catalogos!$I$4:$J$34,2,FALSE)</f>
      </c>
      <c r="F105" s="3"/>
      <c r="G105" s="3"/>
      <c r="H105" s="3">
        <f t="shared" si="6"/>
      </c>
      <c r="I105" s="4">
        <v>28.3</v>
      </c>
      <c r="J105" s="4">
        <f t="shared" si="7"/>
      </c>
    </row>
    <row r="106" spans="1:10">
      <c r="A106" s="2"/>
      <c r="E106">
        <f>VLOOKUP(TablaMarimba[[#This Row],[Equipo]],Catalogos!$I$4:$J$34,2,FALSE)</f>
      </c>
      <c r="F106" s="3"/>
      <c r="G106" s="3"/>
      <c r="H106" s="3">
        <f t="shared" si="6"/>
      </c>
      <c r="I106" s="4">
        <v>28.3</v>
      </c>
      <c r="J106" s="4">
        <f t="shared" si="7"/>
      </c>
    </row>
    <row r="107" spans="1:10">
      <c r="A107" s="2"/>
      <c r="E107">
        <f>VLOOKUP(TablaMarimba[[#This Row],[Equipo]],Catalogos!$I$4:$J$34,2,FALSE)</f>
      </c>
      <c r="F107" s="3"/>
      <c r="G107" s="3"/>
      <c r="H107" s="3">
        <f t="shared" si="6"/>
      </c>
      <c r="I107" s="4">
        <v>28.3</v>
      </c>
      <c r="J107" s="4">
        <f t="shared" si="7"/>
      </c>
    </row>
    <row r="108" spans="1:10">
      <c r="A108" s="2"/>
      <c r="E108">
        <f>VLOOKUP(TablaMarimba[[#This Row],[Equipo]],Catalogos!$I$4:$J$34,2,FALSE)</f>
      </c>
      <c r="F108" s="3"/>
      <c r="G108" s="3"/>
      <c r="H108" s="3">
        <f t="shared" si="6"/>
      </c>
      <c r="I108" s="4">
        <v>28.3</v>
      </c>
      <c r="J108" s="4">
        <f t="shared" si="7"/>
      </c>
    </row>
    <row r="109" spans="1:10">
      <c r="A109" s="2"/>
      <c r="E109">
        <f>VLOOKUP(TablaMarimba[[#This Row],[Equipo]],Catalogos!$I$4:$J$34,2,FALSE)</f>
      </c>
      <c r="F109" s="3"/>
      <c r="G109" s="3"/>
      <c r="H109" s="3">
        <f t="shared" si="6"/>
      </c>
      <c r="I109" s="4">
        <v>28.3</v>
      </c>
      <c r="J109" s="4">
        <f t="shared" si="7"/>
      </c>
    </row>
    <row r="110" spans="1:10">
      <c r="A110" s="2"/>
      <c r="E110">
        <f>VLOOKUP(TablaMarimba[[#This Row],[Equipo]],Catalogos!$I$4:$J$34,2,FALSE)</f>
      </c>
      <c r="F110" s="3"/>
      <c r="G110" s="3"/>
      <c r="H110" s="3">
        <f t="shared" si="6"/>
      </c>
      <c r="I110" s="4">
        <v>28.3</v>
      </c>
      <c r="J110" s="4">
        <f t="shared" si="7"/>
      </c>
    </row>
    <row r="111" spans="1:10">
      <c r="A111" s="2"/>
      <c r="E111">
        <f>VLOOKUP(TablaMarimba[[#This Row],[Equipo]],Catalogos!$I$4:$J$34,2,FALSE)</f>
      </c>
      <c r="F111" s="3"/>
      <c r="G111" s="3"/>
      <c r="H111" s="3">
        <f t="shared" si="6"/>
      </c>
      <c r="I111" s="4">
        <v>28.3</v>
      </c>
      <c r="J111" s="4">
        <f t="shared" si="7"/>
      </c>
    </row>
    <row r="112" spans="1:10">
      <c r="A112" s="2"/>
      <c r="E112">
        <f>VLOOKUP(TablaMarimba[[#This Row],[Equipo]],Catalogos!$I$4:$J$34,2,FALSE)</f>
      </c>
      <c r="F112" s="3"/>
      <c r="G112" s="3"/>
      <c r="H112" s="3">
        <f t="shared" si="6"/>
      </c>
      <c r="I112" s="4">
        <v>28.3</v>
      </c>
      <c r="J112" s="4">
        <f t="shared" si="7"/>
      </c>
    </row>
    <row r="113" spans="1:10">
      <c r="A113" s="2"/>
      <c r="E113">
        <f>VLOOKUP(TablaMarimba[[#This Row],[Equipo]],Catalogos!$I$4:$J$34,2,FALSE)</f>
      </c>
      <c r="F113" s="3"/>
      <c r="G113" s="3"/>
      <c r="H113" s="3">
        <f t="shared" si="6"/>
      </c>
      <c r="I113" s="4">
        <v>28.3</v>
      </c>
      <c r="J113" s="4">
        <f t="shared" si="7"/>
      </c>
    </row>
    <row r="114" spans="1:10">
      <c r="A114" s="2"/>
      <c r="E114">
        <f>VLOOKUP(TablaMarimba[[#This Row],[Equipo]],Catalogos!$I$4:$J$34,2,FALSE)</f>
      </c>
      <c r="F114" s="3"/>
      <c r="G114" s="3"/>
      <c r="H114" s="3">
        <f t="shared" si="6"/>
      </c>
      <c r="I114" s="4">
        <v>28.3</v>
      </c>
      <c r="J114" s="4">
        <f t="shared" si="7"/>
      </c>
    </row>
    <row r="115" spans="1:10">
      <c r="A115" s="2"/>
      <c r="E115">
        <f>VLOOKUP(TablaMarimba[[#This Row],[Equipo]],Catalogos!$I$4:$J$34,2,FALSE)</f>
      </c>
      <c r="F115" s="3"/>
      <c r="G115" s="3"/>
      <c r="H115" s="3">
        <f t="shared" si="6"/>
      </c>
      <c r="I115" s="4">
        <v>28.3</v>
      </c>
      <c r="J115" s="4">
        <f t="shared" si="7"/>
      </c>
    </row>
    <row r="116" spans="1:10">
      <c r="A116" s="2"/>
      <c r="E116">
        <f>VLOOKUP(TablaMarimba[[#This Row],[Equipo]],Catalogos!$I$4:$J$34,2,FALSE)</f>
      </c>
      <c r="F116" s="3"/>
      <c r="G116" s="3"/>
      <c r="H116" s="3">
        <f t="shared" si="6"/>
      </c>
      <c r="I116" s="4">
        <v>28.3</v>
      </c>
      <c r="J116" s="4">
        <f t="shared" si="7"/>
      </c>
    </row>
    <row r="117" spans="1:10">
      <c r="A117" s="2"/>
      <c r="E117">
        <f>VLOOKUP(TablaMarimba[[#This Row],[Equipo]],Catalogos!$I$4:$J$34,2,FALSE)</f>
      </c>
      <c r="F117" s="3"/>
      <c r="G117" s="3"/>
      <c r="H117" s="3">
        <f t="shared" si="6"/>
      </c>
      <c r="I117" s="4">
        <v>28.3</v>
      </c>
      <c r="J117" s="4">
        <f t="shared" si="7"/>
      </c>
    </row>
    <row r="118" spans="1:10">
      <c r="A118" s="2"/>
      <c r="E118">
        <f>VLOOKUP(TablaMarimba[[#This Row],[Equipo]],Catalogos!$I$4:$J$34,2,FALSE)</f>
      </c>
      <c r="F118" s="3"/>
      <c r="G118" s="3"/>
      <c r="H118" s="3">
        <f t="shared" si="6"/>
      </c>
      <c r="I118" s="4">
        <v>28.3</v>
      </c>
      <c r="J118" s="4">
        <f t="shared" si="7"/>
      </c>
    </row>
    <row r="119" spans="1:10">
      <c r="A119" s="2"/>
      <c r="E119">
        <f>VLOOKUP(TablaMarimba[[#This Row],[Equipo]],Catalogos!$I$4:$J$34,2,FALSE)</f>
      </c>
      <c r="F119" s="3"/>
      <c r="G119" s="3"/>
      <c r="H119" s="3">
        <f t="shared" si="6"/>
      </c>
      <c r="I119" s="4">
        <v>28.3</v>
      </c>
      <c r="J119" s="4">
        <f t="shared" si="7"/>
      </c>
    </row>
    <row r="120" spans="1:10">
      <c r="A120" s="2"/>
      <c r="E120">
        <f>VLOOKUP(TablaMarimba[[#This Row],[Equipo]],Catalogos!$I$4:$J$34,2,FALSE)</f>
      </c>
      <c r="F120" s="3"/>
      <c r="G120" s="3"/>
      <c r="H120" s="3">
        <f t="shared" si="6"/>
      </c>
      <c r="I120" s="4">
        <v>28.3</v>
      </c>
      <c r="J120" s="4">
        <f t="shared" si="7"/>
      </c>
    </row>
    <row r="121" spans="1:10">
      <c r="A121" s="2"/>
      <c r="E121">
        <f>VLOOKUP(TablaMarimba[[#This Row],[Equipo]],Catalogos!$I$4:$J$34,2,FALSE)</f>
      </c>
      <c r="F121" s="3"/>
      <c r="G121" s="3"/>
      <c r="H121" s="3">
        <f t="shared" si="6"/>
      </c>
      <c r="I121" s="4">
        <v>28.3</v>
      </c>
      <c r="J121" s="4">
        <f t="shared" si="7"/>
      </c>
    </row>
    <row r="122" spans="1:10">
      <c r="A122" s="2"/>
      <c r="E122">
        <f>VLOOKUP(TablaMarimba[[#This Row],[Equipo]],Catalogos!$I$4:$J$34,2,FALSE)</f>
      </c>
      <c r="F122" s="3"/>
      <c r="G122" s="3"/>
      <c r="H122" s="3">
        <f t="shared" si="6"/>
      </c>
      <c r="I122" s="4">
        <v>28.3</v>
      </c>
      <c r="J122" s="4">
        <f t="shared" si="7"/>
      </c>
    </row>
    <row r="123" spans="1:10">
      <c r="A123" s="2"/>
      <c r="E123">
        <f>VLOOKUP(TablaMarimba[[#This Row],[Equipo]],Catalogos!$I$4:$J$34,2,FALSE)</f>
      </c>
      <c r="F123" s="3"/>
      <c r="G123" s="3"/>
      <c r="H123" s="3">
        <f t="shared" si="6"/>
      </c>
      <c r="I123" s="4">
        <v>28.3</v>
      </c>
      <c r="J123" s="4">
        <f t="shared" si="7"/>
      </c>
    </row>
    <row r="124" spans="1:10">
      <c r="A124" s="2"/>
      <c r="E124">
        <f>VLOOKUP(TablaMarimba[[#This Row],[Equipo]],Catalogos!$I$4:$J$34,2,FALSE)</f>
      </c>
      <c r="F124" s="3"/>
      <c r="G124" s="3"/>
      <c r="H124" s="3">
        <f t="shared" si="6"/>
      </c>
      <c r="I124" s="4">
        <v>28.3</v>
      </c>
      <c r="J124" s="4">
        <f t="shared" si="7"/>
      </c>
    </row>
    <row r="125" spans="1:10">
      <c r="A125" s="2"/>
      <c r="E125">
        <f>VLOOKUP(TablaMarimba[[#This Row],[Equipo]],Catalogos!$I$4:$J$34,2,FALSE)</f>
      </c>
      <c r="F125" s="3"/>
      <c r="G125" s="3"/>
      <c r="H125" s="3">
        <f t="shared" si="6"/>
      </c>
      <c r="I125" s="4">
        <v>28.3</v>
      </c>
      <c r="J125" s="4">
        <f t="shared" si="7"/>
      </c>
    </row>
    <row r="126" spans="1:10">
      <c r="A126" s="2"/>
      <c r="E126">
        <f>VLOOKUP(TablaMarimba[[#This Row],[Equipo]],Catalogos!$I$4:$J$34,2,FALSE)</f>
      </c>
      <c r="F126" s="3"/>
      <c r="G126" s="3"/>
      <c r="H126" s="3">
        <f t="shared" si="6"/>
      </c>
      <c r="I126" s="4">
        <v>28.3</v>
      </c>
      <c r="J126" s="4">
        <f t="shared" si="7"/>
      </c>
    </row>
    <row r="127" spans="1:10">
      <c r="A127" s="2"/>
      <c r="E127">
        <f>VLOOKUP(TablaMarimba[[#This Row],[Equipo]],Catalogos!$I$4:$J$34,2,FALSE)</f>
      </c>
      <c r="F127" s="3"/>
      <c r="G127" s="3"/>
      <c r="H127" s="3">
        <f t="shared" si="6"/>
      </c>
      <c r="I127" s="4">
        <v>28.3</v>
      </c>
      <c r="J127" s="4">
        <f t="shared" si="7"/>
      </c>
    </row>
    <row r="128" spans="1:10">
      <c r="A128" s="2"/>
      <c r="E128">
        <f>VLOOKUP(TablaMarimba[[#This Row],[Equipo]],Catalogos!$I$4:$J$34,2,FALSE)</f>
      </c>
      <c r="F128" s="3"/>
      <c r="G128" s="3"/>
      <c r="H128" s="3">
        <f t="shared" si="6"/>
      </c>
      <c r="I128" s="4">
        <v>28.3</v>
      </c>
      <c r="J128" s="4">
        <f t="shared" si="7"/>
      </c>
    </row>
    <row r="129" spans="1:10">
      <c r="A129" s="2"/>
      <c r="E129">
        <f>VLOOKUP(TablaMarimba[[#This Row],[Equipo]],Catalogos!$I$4:$J$34,2,FALSE)</f>
      </c>
      <c r="F129" s="3"/>
      <c r="G129" s="3"/>
      <c r="H129" s="3">
        <f t="shared" si="6"/>
      </c>
      <c r="I129" s="4">
        <v>28.3</v>
      </c>
      <c r="J129" s="4">
        <f t="shared" si="7"/>
      </c>
    </row>
    <row r="130" spans="1:10">
      <c r="A130" s="2"/>
      <c r="E130">
        <f>VLOOKUP(TablaMarimba[[#This Row],[Equipo]],Catalogos!$I$4:$J$34,2,FALSE)</f>
      </c>
      <c r="F130" s="3"/>
      <c r="G130" s="3"/>
      <c r="H130" s="3">
        <f t="shared" si="6"/>
      </c>
      <c r="I130" s="4">
        <v>28.3</v>
      </c>
      <c r="J130" s="4">
        <f t="shared" si="7"/>
      </c>
    </row>
    <row r="131" spans="1:10">
      <c r="A131" s="2"/>
      <c r="E131">
        <f>VLOOKUP(TablaMarimba[[#This Row],[Equipo]],Catalogos!$I$4:$J$34,2,FALSE)</f>
      </c>
      <c r="F131" s="3"/>
      <c r="G131" s="3"/>
      <c r="H131" s="3">
        <f t="shared" si="6"/>
      </c>
      <c r="I131" s="4">
        <v>28.3</v>
      </c>
      <c r="J131" s="4">
        <f t="shared" si="7"/>
      </c>
    </row>
    <row r="132" spans="1:10">
      <c r="A132" s="2"/>
      <c r="E132">
        <f>VLOOKUP(TablaMarimba[[#This Row],[Equipo]],Catalogos!$I$4:$J$34,2,FALSE)</f>
      </c>
      <c r="F132" s="3"/>
      <c r="G132" s="3"/>
      <c r="H132" s="3">
        <f t="shared" si="6"/>
      </c>
      <c r="I132" s="4">
        <v>28.3</v>
      </c>
      <c r="J132" s="4">
        <f t="shared" si="7"/>
      </c>
    </row>
    <row r="133" spans="1:10">
      <c r="A133" s="2"/>
      <c r="E133">
        <f>VLOOKUP(TablaMarimba[[#This Row],[Equipo]],Catalogos!$I$4:$J$34,2,FALSE)</f>
      </c>
      <c r="F133" s="3"/>
      <c r="G133" s="3"/>
      <c r="H133" s="3">
        <f t="shared" ref="H133:H164" si="8">IF(ROW()=5,F133-G133,H132+F133-G133)</f>
      </c>
      <c r="I133" s="4">
        <v>28.3</v>
      </c>
      <c r="J133" s="4">
        <f t="shared" ref="J133:J164" si="9">IFERROR((F133+G133)*I133,0)</f>
      </c>
    </row>
    <row r="134" spans="1:10">
      <c r="A134" s="2"/>
      <c r="E134">
        <f>VLOOKUP(TablaMarimba[[#This Row],[Equipo]],Catalogos!$I$4:$J$34,2,FALSE)</f>
      </c>
      <c r="F134" s="3"/>
      <c r="G134" s="3"/>
      <c r="H134" s="3">
        <f t="shared" si="8"/>
      </c>
      <c r="I134" s="4">
        <v>28.3</v>
      </c>
      <c r="J134" s="4">
        <f t="shared" si="9"/>
      </c>
    </row>
    <row r="135" spans="1:10">
      <c r="A135" s="2"/>
      <c r="E135">
        <f>VLOOKUP(TablaMarimba[[#This Row],[Equipo]],Catalogos!$I$4:$J$34,2,FALSE)</f>
      </c>
      <c r="F135" s="3"/>
      <c r="G135" s="3"/>
      <c r="H135" s="3">
        <f t="shared" si="8"/>
      </c>
      <c r="I135" s="4">
        <v>28.3</v>
      </c>
      <c r="J135" s="4">
        <f t="shared" si="9"/>
      </c>
    </row>
    <row r="136" spans="1:10">
      <c r="A136" s="2"/>
      <c r="E136">
        <f>VLOOKUP(TablaMarimba[[#This Row],[Equipo]],Catalogos!$I$4:$J$34,2,FALSE)</f>
      </c>
      <c r="F136" s="3"/>
      <c r="G136" s="3"/>
      <c r="H136" s="3">
        <f t="shared" si="8"/>
      </c>
      <c r="I136" s="4">
        <v>28.3</v>
      </c>
      <c r="J136" s="4">
        <f t="shared" si="9"/>
      </c>
    </row>
    <row r="137" spans="1:10">
      <c r="A137" s="2"/>
      <c r="E137">
        <f>VLOOKUP(TablaMarimba[[#This Row],[Equipo]],Catalogos!$I$4:$J$34,2,FALSE)</f>
      </c>
      <c r="F137" s="3"/>
      <c r="G137" s="3"/>
      <c r="H137" s="3">
        <f t="shared" si="8"/>
      </c>
      <c r="I137" s="4">
        <v>28.3</v>
      </c>
      <c r="J137" s="4">
        <f t="shared" si="9"/>
      </c>
    </row>
    <row r="138" spans="1:10">
      <c r="A138" s="2"/>
      <c r="E138">
        <f>VLOOKUP(TablaMarimba[[#This Row],[Equipo]],Catalogos!$I$4:$J$34,2,FALSE)</f>
      </c>
      <c r="F138" s="3"/>
      <c r="G138" s="3"/>
      <c r="H138" s="3">
        <f t="shared" si="8"/>
      </c>
      <c r="I138" s="4">
        <v>28.3</v>
      </c>
      <c r="J138" s="4">
        <f t="shared" si="9"/>
      </c>
    </row>
    <row r="139" spans="1:10">
      <c r="A139" s="2"/>
      <c r="E139">
        <f>VLOOKUP(TablaMarimba[[#This Row],[Equipo]],Catalogos!$I$4:$J$34,2,FALSE)</f>
      </c>
      <c r="F139" s="3"/>
      <c r="G139" s="3"/>
      <c r="H139" s="3">
        <f t="shared" si="8"/>
      </c>
      <c r="I139" s="4">
        <v>28.3</v>
      </c>
      <c r="J139" s="4">
        <f t="shared" si="9"/>
      </c>
    </row>
    <row r="140" spans="1:10">
      <c r="A140" s="2"/>
      <c r="E140">
        <f>VLOOKUP(TablaMarimba[[#This Row],[Equipo]],Catalogos!$I$4:$J$34,2,FALSE)</f>
      </c>
      <c r="F140" s="3"/>
      <c r="G140" s="3"/>
      <c r="H140" s="3">
        <f t="shared" si="8"/>
      </c>
      <c r="I140" s="4">
        <v>28.3</v>
      </c>
      <c r="J140" s="4">
        <f t="shared" si="9"/>
      </c>
    </row>
    <row r="141" spans="1:10">
      <c r="A141" s="2"/>
      <c r="E141">
        <f>VLOOKUP(TablaMarimba[[#This Row],[Equipo]],Catalogos!$I$4:$J$34,2,FALSE)</f>
      </c>
      <c r="F141" s="3"/>
      <c r="G141" s="3"/>
      <c r="H141" s="3">
        <f t="shared" si="8"/>
      </c>
      <c r="I141" s="4">
        <v>28.3</v>
      </c>
      <c r="J141" s="4">
        <f t="shared" si="9"/>
      </c>
    </row>
    <row r="142" spans="1:10">
      <c r="A142" s="2"/>
      <c r="E142">
        <f>VLOOKUP(TablaMarimba[[#This Row],[Equipo]],Catalogos!$I$4:$J$34,2,FALSE)</f>
      </c>
      <c r="F142" s="3"/>
      <c r="G142" s="3"/>
      <c r="H142" s="3">
        <f t="shared" si="8"/>
      </c>
      <c r="I142" s="4">
        <v>28.3</v>
      </c>
      <c r="J142" s="4">
        <f t="shared" si="9"/>
      </c>
    </row>
    <row r="143" spans="1:10">
      <c r="A143" s="2"/>
      <c r="E143">
        <f>VLOOKUP(TablaMarimba[[#This Row],[Equipo]],Catalogos!$I$4:$J$34,2,FALSE)</f>
      </c>
      <c r="F143" s="3"/>
      <c r="G143" s="3"/>
      <c r="H143" s="3">
        <f t="shared" si="8"/>
      </c>
      <c r="I143" s="4">
        <v>28.3</v>
      </c>
      <c r="J143" s="4">
        <f t="shared" si="9"/>
      </c>
    </row>
    <row r="144" spans="1:10">
      <c r="A144" s="2"/>
      <c r="E144">
        <f>VLOOKUP(TablaMarimba[[#This Row],[Equipo]],Catalogos!$I$4:$J$34,2,FALSE)</f>
      </c>
      <c r="F144" s="3"/>
      <c r="G144" s="3"/>
      <c r="H144" s="3">
        <f t="shared" si="8"/>
      </c>
      <c r="I144" s="4">
        <v>28.3</v>
      </c>
      <c r="J144" s="4">
        <f t="shared" si="9"/>
      </c>
    </row>
    <row r="145" spans="1:10">
      <c r="A145" s="2"/>
      <c r="E145">
        <f>VLOOKUP(TablaMarimba[[#This Row],[Equipo]],Catalogos!$I$4:$J$34,2,FALSE)</f>
      </c>
      <c r="F145" s="3"/>
      <c r="G145" s="3"/>
      <c r="H145" s="3">
        <f t="shared" si="8"/>
      </c>
      <c r="I145" s="4">
        <v>28.3</v>
      </c>
      <c r="J145" s="4">
        <f t="shared" si="9"/>
      </c>
    </row>
    <row r="146" spans="1:10">
      <c r="A146" s="2"/>
      <c r="E146">
        <f>VLOOKUP(TablaMarimba[[#This Row],[Equipo]],Catalogos!$I$4:$J$34,2,FALSE)</f>
      </c>
      <c r="F146" s="3"/>
      <c r="G146" s="3"/>
      <c r="H146" s="3">
        <f t="shared" si="8"/>
      </c>
      <c r="I146" s="4">
        <v>28.3</v>
      </c>
      <c r="J146" s="4">
        <f t="shared" si="9"/>
      </c>
    </row>
    <row r="147" spans="1:10">
      <c r="A147" s="2"/>
      <c r="E147">
        <f>VLOOKUP(TablaMarimba[[#This Row],[Equipo]],Catalogos!$I$4:$J$34,2,FALSE)</f>
      </c>
      <c r="F147" s="3"/>
      <c r="G147" s="3"/>
      <c r="H147" s="3">
        <f t="shared" si="8"/>
      </c>
      <c r="I147" s="4">
        <v>28.3</v>
      </c>
      <c r="J147" s="4">
        <f t="shared" si="9"/>
      </c>
    </row>
    <row r="148" spans="1:10">
      <c r="A148" s="2"/>
      <c r="E148">
        <f>VLOOKUP(TablaMarimba[[#This Row],[Equipo]],Catalogos!$I$4:$J$34,2,FALSE)</f>
      </c>
      <c r="F148" s="3"/>
      <c r="G148" s="3"/>
      <c r="H148" s="3">
        <f t="shared" si="8"/>
      </c>
      <c r="I148" s="4">
        <v>28.3</v>
      </c>
      <c r="J148" s="4">
        <f t="shared" si="9"/>
      </c>
    </row>
    <row r="149" spans="1:10">
      <c r="A149" s="2"/>
      <c r="E149">
        <f>VLOOKUP(TablaMarimba[[#This Row],[Equipo]],Catalogos!$I$4:$J$34,2,FALSE)</f>
      </c>
      <c r="F149" s="3"/>
      <c r="G149" s="3"/>
      <c r="H149" s="3">
        <f t="shared" si="8"/>
      </c>
      <c r="I149" s="4">
        <v>28.3</v>
      </c>
      <c r="J149" s="4">
        <f t="shared" si="9"/>
      </c>
    </row>
    <row r="150" spans="1:10">
      <c r="A150" s="2"/>
      <c r="E150">
        <f>VLOOKUP(TablaMarimba[[#This Row],[Equipo]],Catalogos!$I$4:$J$34,2,FALSE)</f>
      </c>
      <c r="F150" s="3"/>
      <c r="G150" s="3"/>
      <c r="H150" s="3">
        <f t="shared" si="8"/>
      </c>
      <c r="I150" s="4">
        <v>28.3</v>
      </c>
      <c r="J150" s="4">
        <f t="shared" si="9"/>
      </c>
    </row>
    <row r="151" spans="1:10">
      <c r="A151" s="2"/>
      <c r="E151">
        <f>VLOOKUP(TablaMarimba[[#This Row],[Equipo]],Catalogos!$I$4:$J$34,2,FALSE)</f>
      </c>
      <c r="F151" s="3"/>
      <c r="G151" s="3"/>
      <c r="H151" s="3">
        <f t="shared" si="8"/>
      </c>
      <c r="I151" s="4">
        <v>28.3</v>
      </c>
      <c r="J151" s="4">
        <f t="shared" si="9"/>
      </c>
    </row>
    <row r="152" spans="1:10">
      <c r="A152" s="2"/>
      <c r="E152">
        <f>VLOOKUP(TablaMarimba[[#This Row],[Equipo]],Catalogos!$I$4:$J$34,2,FALSE)</f>
      </c>
      <c r="F152" s="3"/>
      <c r="G152" s="3"/>
      <c r="H152" s="3">
        <f t="shared" si="8"/>
      </c>
      <c r="I152" s="4">
        <v>28.3</v>
      </c>
      <c r="J152" s="4">
        <f t="shared" si="9"/>
      </c>
    </row>
    <row r="153" spans="1:10">
      <c r="A153" s="2"/>
      <c r="E153">
        <f>VLOOKUP(TablaMarimba[[#This Row],[Equipo]],Catalogos!$I$4:$J$34,2,FALSE)</f>
      </c>
      <c r="F153" s="3"/>
      <c r="G153" s="3"/>
      <c r="H153" s="3">
        <f t="shared" si="8"/>
      </c>
      <c r="I153" s="4">
        <v>28.3</v>
      </c>
      <c r="J153" s="4">
        <f t="shared" si="9"/>
      </c>
    </row>
    <row r="154" spans="1:10">
      <c r="A154" s="2"/>
      <c r="E154">
        <f>VLOOKUP(TablaMarimba[[#This Row],[Equipo]],Catalogos!$I$4:$J$34,2,FALSE)</f>
      </c>
      <c r="F154" s="3"/>
      <c r="G154" s="3"/>
      <c r="H154" s="3">
        <f t="shared" si="8"/>
      </c>
      <c r="I154" s="4">
        <v>28.3</v>
      </c>
      <c r="J154" s="4">
        <f t="shared" si="9"/>
      </c>
    </row>
    <row r="155" spans="1:10">
      <c r="A155" s="2"/>
      <c r="E155">
        <f>VLOOKUP(TablaMarimba[[#This Row],[Equipo]],Catalogos!$I$4:$J$34,2,FALSE)</f>
      </c>
      <c r="F155" s="3"/>
      <c r="G155" s="3"/>
      <c r="H155" s="3">
        <f t="shared" si="8"/>
      </c>
      <c r="I155" s="4">
        <v>28.3</v>
      </c>
      <c r="J155" s="4">
        <f t="shared" si="9"/>
      </c>
    </row>
    <row r="156" spans="1:10">
      <c r="A156" s="2"/>
      <c r="E156">
        <f>VLOOKUP(TablaMarimba[[#This Row],[Equipo]],Catalogos!$I$4:$J$34,2,FALSE)</f>
      </c>
      <c r="F156" s="3"/>
      <c r="G156" s="3"/>
      <c r="H156" s="3">
        <f t="shared" si="8"/>
      </c>
      <c r="I156" s="4">
        <v>28.3</v>
      </c>
      <c r="J156" s="4">
        <f t="shared" si="9"/>
      </c>
    </row>
    <row r="157" spans="1:10">
      <c r="A157" s="2"/>
      <c r="E157">
        <f>VLOOKUP(TablaMarimba[[#This Row],[Equipo]],Catalogos!$I$4:$J$34,2,FALSE)</f>
      </c>
      <c r="F157" s="3"/>
      <c r="G157" s="3"/>
      <c r="H157" s="3">
        <f t="shared" si="8"/>
      </c>
      <c r="I157" s="4">
        <v>28.3</v>
      </c>
      <c r="J157" s="4">
        <f t="shared" si="9"/>
      </c>
    </row>
    <row r="158" spans="1:10">
      <c r="A158" s="2"/>
      <c r="E158">
        <f>VLOOKUP(TablaMarimba[[#This Row],[Equipo]],Catalogos!$I$4:$J$34,2,FALSE)</f>
      </c>
      <c r="F158" s="3"/>
      <c r="G158" s="3"/>
      <c r="H158" s="3">
        <f t="shared" si="8"/>
      </c>
      <c r="I158" s="4">
        <v>28.3</v>
      </c>
      <c r="J158" s="4">
        <f t="shared" si="9"/>
      </c>
    </row>
    <row r="159" spans="1:10">
      <c r="A159" s="2"/>
      <c r="E159">
        <f>VLOOKUP(TablaMarimba[[#This Row],[Equipo]],Catalogos!$I$4:$J$34,2,FALSE)</f>
      </c>
      <c r="F159" s="3"/>
      <c r="G159" s="3"/>
      <c r="H159" s="3">
        <f t="shared" si="8"/>
      </c>
      <c r="I159" s="4">
        <v>28.3</v>
      </c>
      <c r="J159" s="4">
        <f t="shared" si="9"/>
      </c>
    </row>
    <row r="160" spans="1:10">
      <c r="A160" s="2"/>
      <c r="E160">
        <f>VLOOKUP(TablaMarimba[[#This Row],[Equipo]],Catalogos!$I$4:$J$34,2,FALSE)</f>
      </c>
      <c r="F160" s="3"/>
      <c r="G160" s="3"/>
      <c r="H160" s="3">
        <f t="shared" si="8"/>
      </c>
      <c r="I160" s="4">
        <v>28.3</v>
      </c>
      <c r="J160" s="4">
        <f t="shared" si="9"/>
      </c>
    </row>
    <row r="161" spans="1:10">
      <c r="A161" s="2"/>
      <c r="E161">
        <f>VLOOKUP(TablaMarimba[[#This Row],[Equipo]],Catalogos!$I$4:$J$34,2,FALSE)</f>
      </c>
      <c r="F161" s="3"/>
      <c r="G161" s="3"/>
      <c r="H161" s="3">
        <f t="shared" si="8"/>
      </c>
      <c r="I161" s="4">
        <v>28.3</v>
      </c>
      <c r="J161" s="4">
        <f t="shared" si="9"/>
      </c>
    </row>
    <row r="162" spans="1:10">
      <c r="A162" s="2"/>
      <c r="E162">
        <f>VLOOKUP(TablaMarimba[[#This Row],[Equipo]],Catalogos!$I$4:$J$34,2,FALSE)</f>
      </c>
      <c r="F162" s="3"/>
      <c r="G162" s="3"/>
      <c r="H162" s="3">
        <f t="shared" si="8"/>
      </c>
      <c r="I162" s="4">
        <v>28.3</v>
      </c>
      <c r="J162" s="4">
        <f t="shared" si="9"/>
      </c>
    </row>
    <row r="163" spans="1:10">
      <c r="A163" s="2"/>
      <c r="E163">
        <f>VLOOKUP(TablaMarimba[[#This Row],[Equipo]],Catalogos!$I$4:$J$34,2,FALSE)</f>
      </c>
      <c r="F163" s="3"/>
      <c r="G163" s="3"/>
      <c r="H163" s="3">
        <f t="shared" si="8"/>
      </c>
      <c r="I163" s="4">
        <v>28.3</v>
      </c>
      <c r="J163" s="4">
        <f t="shared" si="9"/>
      </c>
    </row>
    <row r="164" spans="1:10">
      <c r="A164" s="2"/>
      <c r="E164">
        <f>VLOOKUP(TablaMarimba[[#This Row],[Equipo]],Catalogos!$I$4:$J$34,2,FALSE)</f>
      </c>
      <c r="F164" s="3"/>
      <c r="G164" s="3"/>
      <c r="H164" s="3">
        <f t="shared" si="8"/>
      </c>
      <c r="I164" s="4">
        <v>28.3</v>
      </c>
      <c r="J164" s="4">
        <f t="shared" si="9"/>
      </c>
    </row>
    <row r="165" spans="1:10">
      <c r="A165" s="2"/>
      <c r="E165">
        <f>VLOOKUP(TablaMarimba[[#This Row],[Equipo]],Catalogos!$I$4:$J$34,2,FALSE)</f>
      </c>
      <c r="F165" s="3"/>
      <c r="G165" s="3"/>
      <c r="H165" s="3">
        <f t="shared" ref="H165:H196" si="10">IF(ROW()=5,F165-G165,H164+F165-G165)</f>
      </c>
      <c r="I165" s="4">
        <v>28.3</v>
      </c>
      <c r="J165" s="4">
        <f t="shared" ref="J165:J196" si="11">IFERROR((F165+G165)*I165,0)</f>
      </c>
    </row>
    <row r="166" spans="1:10">
      <c r="A166" s="2"/>
      <c r="E166">
        <f>VLOOKUP(TablaMarimba[[#This Row],[Equipo]],Catalogos!$I$4:$J$34,2,FALSE)</f>
      </c>
      <c r="F166" s="3"/>
      <c r="G166" s="3"/>
      <c r="H166" s="3">
        <f t="shared" si="10"/>
      </c>
      <c r="I166" s="4">
        <v>28.3</v>
      </c>
      <c r="J166" s="4">
        <f t="shared" si="11"/>
      </c>
    </row>
    <row r="167" spans="1:10">
      <c r="A167" s="2"/>
      <c r="E167">
        <f>VLOOKUP(TablaMarimba[[#This Row],[Equipo]],Catalogos!$I$4:$J$34,2,FALSE)</f>
      </c>
      <c r="F167" s="3"/>
      <c r="G167" s="3"/>
      <c r="H167" s="3">
        <f t="shared" si="10"/>
      </c>
      <c r="I167" s="4">
        <v>28.3</v>
      </c>
      <c r="J167" s="4">
        <f t="shared" si="11"/>
      </c>
    </row>
    <row r="168" spans="1:10">
      <c r="A168" s="2"/>
      <c r="E168">
        <f>VLOOKUP(TablaMarimba[[#This Row],[Equipo]],Catalogos!$I$4:$J$34,2,FALSE)</f>
      </c>
      <c r="F168" s="3"/>
      <c r="G168" s="3"/>
      <c r="H168" s="3">
        <f t="shared" si="10"/>
      </c>
      <c r="I168" s="4">
        <v>28.3</v>
      </c>
      <c r="J168" s="4">
        <f t="shared" si="11"/>
      </c>
    </row>
    <row r="169" spans="1:10">
      <c r="A169" s="2"/>
      <c r="E169">
        <f>VLOOKUP(TablaMarimba[[#This Row],[Equipo]],Catalogos!$I$4:$J$34,2,FALSE)</f>
      </c>
      <c r="F169" s="3"/>
      <c r="G169" s="3"/>
      <c r="H169" s="3">
        <f t="shared" si="10"/>
      </c>
      <c r="I169" s="4">
        <v>28.3</v>
      </c>
      <c r="J169" s="4">
        <f t="shared" si="11"/>
      </c>
    </row>
    <row r="170" spans="1:10">
      <c r="A170" s="2"/>
      <c r="E170">
        <f>VLOOKUP(TablaMarimba[[#This Row],[Equipo]],Catalogos!$I$4:$J$34,2,FALSE)</f>
      </c>
      <c r="F170" s="3"/>
      <c r="G170" s="3"/>
      <c r="H170" s="3">
        <f t="shared" si="10"/>
      </c>
      <c r="I170" s="4">
        <v>28.3</v>
      </c>
      <c r="J170" s="4">
        <f t="shared" si="11"/>
      </c>
    </row>
    <row r="171" spans="1:10">
      <c r="A171" s="2"/>
      <c r="E171">
        <f>VLOOKUP(TablaMarimba[[#This Row],[Equipo]],Catalogos!$I$4:$J$34,2,FALSE)</f>
      </c>
      <c r="F171" s="3"/>
      <c r="G171" s="3"/>
      <c r="H171" s="3">
        <f t="shared" si="10"/>
      </c>
      <c r="I171" s="4">
        <v>28.3</v>
      </c>
      <c r="J171" s="4">
        <f t="shared" si="11"/>
      </c>
    </row>
    <row r="172" spans="1:10">
      <c r="A172" s="2"/>
      <c r="E172">
        <f>VLOOKUP(TablaMarimba[[#This Row],[Equipo]],Catalogos!$I$4:$J$34,2,FALSE)</f>
      </c>
      <c r="F172" s="3"/>
      <c r="G172" s="3"/>
      <c r="H172" s="3">
        <f t="shared" si="10"/>
      </c>
      <c r="I172" s="4">
        <v>28.3</v>
      </c>
      <c r="J172" s="4">
        <f t="shared" si="11"/>
      </c>
    </row>
    <row r="173" spans="1:10">
      <c r="A173" s="2"/>
      <c r="E173">
        <f>VLOOKUP(TablaMarimba[[#This Row],[Equipo]],Catalogos!$I$4:$J$34,2,FALSE)</f>
      </c>
      <c r="F173" s="3"/>
      <c r="G173" s="3"/>
      <c r="H173" s="3">
        <f t="shared" si="10"/>
      </c>
      <c r="I173" s="4">
        <v>28.3</v>
      </c>
      <c r="J173" s="4">
        <f t="shared" si="11"/>
      </c>
    </row>
    <row r="174" spans="1:10">
      <c r="A174" s="2"/>
      <c r="E174">
        <f>VLOOKUP(TablaMarimba[[#This Row],[Equipo]],Catalogos!$I$4:$J$34,2,FALSE)</f>
      </c>
      <c r="F174" s="3"/>
      <c r="G174" s="3"/>
      <c r="H174" s="3">
        <f t="shared" si="10"/>
      </c>
      <c r="I174" s="4">
        <v>28.3</v>
      </c>
      <c r="J174" s="4">
        <f t="shared" si="11"/>
      </c>
    </row>
    <row r="175" spans="1:10">
      <c r="A175" s="2"/>
      <c r="E175">
        <f>VLOOKUP(TablaMarimba[[#This Row],[Equipo]],Catalogos!$I$4:$J$34,2,FALSE)</f>
      </c>
      <c r="F175" s="3"/>
      <c r="G175" s="3"/>
      <c r="H175" s="3">
        <f t="shared" si="10"/>
      </c>
      <c r="I175" s="4">
        <v>28.3</v>
      </c>
      <c r="J175" s="4">
        <f t="shared" si="11"/>
      </c>
    </row>
    <row r="176" spans="1:10">
      <c r="A176" s="2"/>
      <c r="E176">
        <f>VLOOKUP(TablaMarimba[[#This Row],[Equipo]],Catalogos!$I$4:$J$34,2,FALSE)</f>
      </c>
      <c r="F176" s="3"/>
      <c r="G176" s="3"/>
      <c r="H176" s="3">
        <f t="shared" si="10"/>
      </c>
      <c r="I176" s="4">
        <v>28.3</v>
      </c>
      <c r="J176" s="4">
        <f t="shared" si="11"/>
      </c>
    </row>
    <row r="177" spans="1:10">
      <c r="A177" s="2"/>
      <c r="E177">
        <f>VLOOKUP(TablaMarimba[[#This Row],[Equipo]],Catalogos!$I$4:$J$34,2,FALSE)</f>
      </c>
      <c r="F177" s="3"/>
      <c r="G177" s="3"/>
      <c r="H177" s="3">
        <f t="shared" si="10"/>
      </c>
      <c r="I177" s="4">
        <v>28.3</v>
      </c>
      <c r="J177" s="4">
        <f t="shared" si="11"/>
      </c>
    </row>
    <row r="178" spans="1:10">
      <c r="A178" s="2"/>
      <c r="E178">
        <f>VLOOKUP(TablaMarimba[[#This Row],[Equipo]],Catalogos!$I$4:$J$34,2,FALSE)</f>
      </c>
      <c r="F178" s="3"/>
      <c r="G178" s="3"/>
      <c r="H178" s="3">
        <f t="shared" si="10"/>
      </c>
      <c r="I178" s="4">
        <v>28.3</v>
      </c>
      <c r="J178" s="4">
        <f t="shared" si="11"/>
      </c>
    </row>
    <row r="179" spans="1:10">
      <c r="A179" s="2"/>
      <c r="E179">
        <f>VLOOKUP(TablaMarimba[[#This Row],[Equipo]],Catalogos!$I$4:$J$34,2,FALSE)</f>
      </c>
      <c r="F179" s="3"/>
      <c r="G179" s="3"/>
      <c r="H179" s="3">
        <f t="shared" si="10"/>
      </c>
      <c r="I179" s="4">
        <v>28.3</v>
      </c>
      <c r="J179" s="4">
        <f t="shared" si="11"/>
      </c>
    </row>
    <row r="180" spans="1:10">
      <c r="A180" s="2"/>
      <c r="E180">
        <f>VLOOKUP(TablaMarimba[[#This Row],[Equipo]],Catalogos!$I$4:$J$34,2,FALSE)</f>
      </c>
      <c r="F180" s="3"/>
      <c r="G180" s="3"/>
      <c r="H180" s="3">
        <f t="shared" si="10"/>
      </c>
      <c r="I180" s="4">
        <v>28.3</v>
      </c>
      <c r="J180" s="4">
        <f t="shared" si="11"/>
      </c>
    </row>
    <row r="181" spans="1:10">
      <c r="A181" s="2"/>
      <c r="E181">
        <f>VLOOKUP(TablaMarimba[[#This Row],[Equipo]],Catalogos!$I$4:$J$34,2,FALSE)</f>
      </c>
      <c r="F181" s="3"/>
      <c r="G181" s="3"/>
      <c r="H181" s="3">
        <f t="shared" si="10"/>
      </c>
      <c r="I181" s="4">
        <v>28.3</v>
      </c>
      <c r="J181" s="4">
        <f t="shared" si="11"/>
      </c>
    </row>
    <row r="182" spans="1:10">
      <c r="A182" s="2"/>
      <c r="E182">
        <f>VLOOKUP(TablaMarimba[[#This Row],[Equipo]],Catalogos!$I$4:$J$34,2,FALSE)</f>
      </c>
      <c r="F182" s="3"/>
      <c r="G182" s="3"/>
      <c r="H182" s="3">
        <f t="shared" si="10"/>
      </c>
      <c r="I182" s="4">
        <v>28.3</v>
      </c>
      <c r="J182" s="4">
        <f t="shared" si="11"/>
      </c>
    </row>
    <row r="183" spans="1:10">
      <c r="A183" s="2"/>
      <c r="E183">
        <f>VLOOKUP(TablaMarimba[[#This Row],[Equipo]],Catalogos!$I$4:$J$34,2,FALSE)</f>
      </c>
      <c r="F183" s="3"/>
      <c r="G183" s="3"/>
      <c r="H183" s="3">
        <f t="shared" si="10"/>
      </c>
      <c r="I183" s="4">
        <v>28.3</v>
      </c>
      <c r="J183" s="4">
        <f t="shared" si="11"/>
      </c>
    </row>
    <row r="184" spans="1:10">
      <c r="A184" s="2"/>
      <c r="E184">
        <f>VLOOKUP(TablaMarimba[[#This Row],[Equipo]],Catalogos!$I$4:$J$34,2,FALSE)</f>
      </c>
      <c r="F184" s="3"/>
      <c r="G184" s="3"/>
      <c r="H184" s="3">
        <f t="shared" si="10"/>
      </c>
      <c r="I184" s="4">
        <v>28.3</v>
      </c>
      <c r="J184" s="4">
        <f t="shared" si="11"/>
      </c>
    </row>
    <row r="185" spans="1:10">
      <c r="A185" s="2"/>
      <c r="E185">
        <f>VLOOKUP(TablaMarimba[[#This Row],[Equipo]],Catalogos!$I$4:$J$34,2,FALSE)</f>
      </c>
      <c r="F185" s="3"/>
      <c r="G185" s="3"/>
      <c r="H185" s="3">
        <f t="shared" si="10"/>
      </c>
      <c r="I185" s="4">
        <v>28.3</v>
      </c>
      <c r="J185" s="4">
        <f t="shared" si="11"/>
      </c>
    </row>
    <row r="186" spans="1:10">
      <c r="A186" s="2"/>
      <c r="E186">
        <f>VLOOKUP(TablaMarimba[[#This Row],[Equipo]],Catalogos!$I$4:$J$34,2,FALSE)</f>
      </c>
      <c r="F186" s="3"/>
      <c r="G186" s="3"/>
      <c r="H186" s="3">
        <f t="shared" si="10"/>
      </c>
      <c r="I186" s="4">
        <v>28.3</v>
      </c>
      <c r="J186" s="4">
        <f t="shared" si="11"/>
      </c>
    </row>
    <row r="187" spans="1:10">
      <c r="A187" s="2"/>
      <c r="E187">
        <f>VLOOKUP(TablaMarimba[[#This Row],[Equipo]],Catalogos!$I$4:$J$34,2,FALSE)</f>
      </c>
      <c r="F187" s="3"/>
      <c r="G187" s="3"/>
      <c r="H187" s="3">
        <f t="shared" si="10"/>
      </c>
      <c r="I187" s="4">
        <v>28.3</v>
      </c>
      <c r="J187" s="4">
        <f t="shared" si="11"/>
      </c>
    </row>
    <row r="188" spans="1:10">
      <c r="A188" s="2"/>
      <c r="E188">
        <f>VLOOKUP(TablaMarimba[[#This Row],[Equipo]],Catalogos!$I$4:$J$34,2,FALSE)</f>
      </c>
      <c r="F188" s="3"/>
      <c r="G188" s="3"/>
      <c r="H188" s="3">
        <f t="shared" si="10"/>
      </c>
      <c r="I188" s="4">
        <v>28.3</v>
      </c>
      <c r="J188" s="4">
        <f t="shared" si="11"/>
      </c>
    </row>
    <row r="189" spans="1:10">
      <c r="A189" s="2"/>
      <c r="E189">
        <f>VLOOKUP(TablaMarimba[[#This Row],[Equipo]],Catalogos!$I$4:$J$34,2,FALSE)</f>
      </c>
      <c r="F189" s="3"/>
      <c r="G189" s="3"/>
      <c r="H189" s="3">
        <f t="shared" si="10"/>
      </c>
      <c r="I189" s="4">
        <v>28.3</v>
      </c>
      <c r="J189" s="4">
        <f t="shared" si="11"/>
      </c>
    </row>
    <row r="190" spans="1:10">
      <c r="A190" s="2"/>
      <c r="E190">
        <f>VLOOKUP(TablaMarimba[[#This Row],[Equipo]],Catalogos!$I$4:$J$34,2,FALSE)</f>
      </c>
      <c r="F190" s="3"/>
      <c r="G190" s="3"/>
      <c r="H190" s="3">
        <f t="shared" si="10"/>
      </c>
      <c r="I190" s="4">
        <v>28.3</v>
      </c>
      <c r="J190" s="4">
        <f t="shared" si="11"/>
      </c>
    </row>
    <row r="191" spans="1:10">
      <c r="A191" s="2"/>
      <c r="E191">
        <f>VLOOKUP(TablaMarimba[[#This Row],[Equipo]],Catalogos!$I$4:$J$34,2,FALSE)</f>
      </c>
      <c r="F191" s="3"/>
      <c r="G191" s="3"/>
      <c r="H191" s="3">
        <f t="shared" si="10"/>
      </c>
      <c r="I191" s="4">
        <v>28.3</v>
      </c>
      <c r="J191" s="4">
        <f t="shared" si="11"/>
      </c>
    </row>
    <row r="192" spans="1:10">
      <c r="A192" s="2"/>
      <c r="E192">
        <f>VLOOKUP(TablaMarimba[[#This Row],[Equipo]],Catalogos!$I$4:$J$34,2,FALSE)</f>
      </c>
      <c r="F192" s="3"/>
      <c r="G192" s="3"/>
      <c r="H192" s="3">
        <f t="shared" si="10"/>
      </c>
      <c r="I192" s="4">
        <v>28.3</v>
      </c>
      <c r="J192" s="4">
        <f t="shared" si="11"/>
      </c>
    </row>
    <row r="193" spans="1:10">
      <c r="A193" s="2"/>
      <c r="E193">
        <f>VLOOKUP(TablaMarimba[[#This Row],[Equipo]],Catalogos!$I$4:$J$34,2,FALSE)</f>
      </c>
      <c r="F193" s="3"/>
      <c r="G193" s="3"/>
      <c r="H193" s="3">
        <f t="shared" si="10"/>
      </c>
      <c r="I193" s="4">
        <v>28.3</v>
      </c>
      <c r="J193" s="4">
        <f t="shared" si="11"/>
      </c>
    </row>
    <row r="194" spans="1:10">
      <c r="A194" s="2"/>
      <c r="E194">
        <f>VLOOKUP(TablaMarimba[[#This Row],[Equipo]],Catalogos!$I$4:$J$34,2,FALSE)</f>
      </c>
      <c r="F194" s="3"/>
      <c r="G194" s="3"/>
      <c r="H194" s="3">
        <f t="shared" si="10"/>
      </c>
      <c r="I194" s="4">
        <v>28.3</v>
      </c>
      <c r="J194" s="4">
        <f t="shared" si="11"/>
      </c>
    </row>
    <row r="195" spans="1:10">
      <c r="A195" s="2"/>
      <c r="E195">
        <f>VLOOKUP(TablaMarimba[[#This Row],[Equipo]],Catalogos!$I$4:$J$34,2,FALSE)</f>
      </c>
      <c r="F195" s="3"/>
      <c r="G195" s="3"/>
      <c r="H195" s="3">
        <f t="shared" si="10"/>
      </c>
      <c r="I195" s="4">
        <v>28.3</v>
      </c>
      <c r="J195" s="4">
        <f t="shared" si="11"/>
      </c>
    </row>
    <row r="196" spans="1:10">
      <c r="A196" s="2"/>
      <c r="E196">
        <f>VLOOKUP(TablaMarimba[[#This Row],[Equipo]],Catalogos!$I$4:$J$34,2,FALSE)</f>
      </c>
      <c r="F196" s="3"/>
      <c r="G196" s="3"/>
      <c r="H196" s="3">
        <f t="shared" si="10"/>
      </c>
      <c r="I196" s="4">
        <v>28.3</v>
      </c>
      <c r="J196" s="4">
        <f t="shared" si="11"/>
      </c>
    </row>
    <row r="197" spans="1:10">
      <c r="A197" s="2"/>
      <c r="E197">
        <f>VLOOKUP(TablaMarimba[[#This Row],[Equipo]],Catalogos!$I$4:$J$34,2,FALSE)</f>
      </c>
      <c r="F197" s="3"/>
      <c r="G197" s="3"/>
      <c r="H197" s="3">
        <f t="shared" ref="H197:H204" si="12">IF(ROW()=5,F197-G197,H196+F197-G197)</f>
      </c>
      <c r="I197" s="4">
        <v>28.3</v>
      </c>
      <c r="J197" s="4">
        <f t="shared" ref="J197:J204" si="13">IFERROR((F197+G197)*I197,0)</f>
      </c>
    </row>
    <row r="198" spans="1:10">
      <c r="A198" s="2"/>
      <c r="E198">
        <f>VLOOKUP(TablaMarimba[[#This Row],[Equipo]],Catalogos!$I$4:$J$34,2,FALSE)</f>
      </c>
      <c r="F198" s="3"/>
      <c r="G198" s="3"/>
      <c r="H198" s="3">
        <f t="shared" si="12"/>
      </c>
      <c r="I198" s="4">
        <v>28.3</v>
      </c>
      <c r="J198" s="4">
        <f t="shared" si="13"/>
      </c>
    </row>
    <row r="199" spans="1:10">
      <c r="A199" s="2"/>
      <c r="E199">
        <f>VLOOKUP(TablaMarimba[[#This Row],[Equipo]],Catalogos!$I$4:$J$34,2,FALSE)</f>
      </c>
      <c r="F199" s="3"/>
      <c r="G199" s="3"/>
      <c r="H199" s="3">
        <f t="shared" si="12"/>
      </c>
      <c r="I199" s="4">
        <v>28.3</v>
      </c>
      <c r="J199" s="4">
        <f t="shared" si="13"/>
      </c>
    </row>
    <row r="200" spans="1:10">
      <c r="A200" s="2"/>
      <c r="E200">
        <f>VLOOKUP(TablaMarimba[[#This Row],[Equipo]],Catalogos!$I$4:$J$34,2,FALSE)</f>
      </c>
      <c r="F200" s="3"/>
      <c r="G200" s="3"/>
      <c r="H200" s="3">
        <f t="shared" si="12"/>
      </c>
      <c r="I200" s="4">
        <v>28.3</v>
      </c>
      <c r="J200" s="4">
        <f t="shared" si="13"/>
      </c>
    </row>
    <row r="201" spans="1:10">
      <c r="A201" s="2"/>
      <c r="E201">
        <f>VLOOKUP(TablaMarimba[[#This Row],[Equipo]],Catalogos!$I$4:$J$34,2,FALSE)</f>
      </c>
      <c r="F201" s="3"/>
      <c r="G201" s="3"/>
      <c r="H201" s="3">
        <f t="shared" si="12"/>
      </c>
      <c r="I201" s="4">
        <v>28.3</v>
      </c>
      <c r="J201" s="4">
        <f t="shared" si="13"/>
      </c>
    </row>
    <row r="202" spans="1:10">
      <c r="A202" s="2"/>
      <c r="E202">
        <f>VLOOKUP(TablaMarimba[[#This Row],[Equipo]],Catalogos!$I$4:$J$34,2,FALSE)</f>
      </c>
      <c r="F202" s="3"/>
      <c r="G202" s="3"/>
      <c r="H202" s="3">
        <f t="shared" si="12"/>
      </c>
      <c r="I202" s="4">
        <v>28.3</v>
      </c>
      <c r="J202" s="4">
        <f t="shared" si="13"/>
      </c>
    </row>
    <row r="203" spans="1:10">
      <c r="A203" s="2"/>
      <c r="E203">
        <f>VLOOKUP(TablaMarimba[[#This Row],[Equipo]],Catalogos!$I$4:$J$34,2,FALSE)</f>
      </c>
      <c r="F203" s="3"/>
      <c r="G203" s="3"/>
      <c r="H203" s="3">
        <f t="shared" si="12"/>
      </c>
      <c r="I203" s="4">
        <v>28.3</v>
      </c>
      <c r="J203" s="4">
        <f t="shared" si="13"/>
      </c>
    </row>
    <row r="204" spans="1:10">
      <c r="A204" s="2"/>
      <c r="E204">
        <f>VLOOKUP(TablaMarimba[[#This Row],[Equipo]],Catalogos!$I$4:$J$34,2,FALSE)</f>
      </c>
      <c r="F204" s="3"/>
      <c r="G204" s="3"/>
      <c r="H204" s="3">
        <f t="shared" si="12"/>
      </c>
      <c r="I204" s="4">
        <v>28.3</v>
      </c>
      <c r="J204" s="4">
        <f t="shared" si="13"/>
      </c>
    </row>
  </sheetData>
  <mergeCells count="1">
    <mergeCell ref="A1:L1"/>
  </mergeCells>
  <dataValidations count="2">
    <dataValidation type="list" sqref="B5:B204" xr:uid="{00000000-0002-0000-0200-000000000000}">
      <formula1>"Entrada desde Pegaso,Salida a Obra,Ajuste"</formula1>
    </dataValidation>
    <dataValidation sqref="E5:E204" xr:uid="{00000000-0002-0000-0200-000002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1000000}">
          <x14:formula1>
            <xm:f>Catalogos!$B$4:$B$7</xm:f>
          </x14:formula1>
          <xm:sqref>C5:C204</xm:sqref>
        </x14:dataValidation>
        <x14:dataValidation type="list" allowBlank="1" showInputMessage="1" showErrorMessage="1" xr:uid="{3E6D9B6D-EF91-479C-AFA6-53D2BE2844F1}">
          <x14:formula1>
            <xm:f>Catalogos!$I$4:$I$34</xm:f>
          </x14:formula1>
          <xm:sqref>D5:D204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EB62-CA52-438F-916E-51DDA6085DD1}">
  <sheetPr/>
  <sheetViews>
    <sheetView workbookViewId="0">
      <selection activeCell="A4" sqref="A4:K4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1" ht="22.35" customHeight="1">
      <c r="A1" t="s" s="17">
        <v>159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t="s">
        <v>49</v>
      </c>
      <c r="C2" t="s">
        <v>23</v>
      </c>
      <c r="E2" t="s">
        <v>24</v>
      </c>
      <c r="G2" t="s">
        <v>50</v>
      </c>
      <c r="I2" t="s">
        <v>42</v>
      </c>
    </row>
    <row r="4" spans="1:11" ht="27.6">
      <c r="A4" t="s" s="1">
        <v>170</v>
      </c>
      <c r="B4" t="s" s="1">
        <v>3</v>
      </c>
      <c r="C4" t="s" s="1">
        <v>169</v>
      </c>
      <c r="D4" t="s" s="1">
        <v>45</v>
      </c>
      <c r="E4" t="s" s="1">
        <v>46</v>
      </c>
      <c r="F4" t="s" s="1">
        <v>162</v>
      </c>
      <c r="G4" t="s" s="1">
        <v>35</v>
      </c>
      <c r="H4" t="s" s="1">
        <v>36</v>
      </c>
      <c r="I4" t="s" s="1">
        <v>203</v>
      </c>
      <c r="J4" t="s" s="1">
        <v>54</v>
      </c>
      <c r="K4" t="s" s="1">
        <v>37</v>
      </c>
    </row>
    <row r="5" spans="1:11">
      <c r="A5" s="2">
        <v>46180</v>
      </c>
      <c r="B5" t="s">
        <v>6</v>
      </c>
      <c r="C5" s="2">
        <v>46181</v>
      </c>
      <c r="D5" t="s">
        <v>160</v>
      </c>
      <c r="E5">
        <f>VLOOKUP(TablaObra5[[#This Row],[Equipo]],Catalogos!$I$3:$J$34,2,FALSE)</f>
      </c>
      <c r="F5" s="3">
        <v>200</v>
      </c>
      <c r="G5" s="4">
        <v>28.3</v>
      </c>
      <c r="H5" s="4">
        <f t="shared" ref="H5:H70" si="0">IFERROR(F5*G5,0)</f>
      </c>
      <c r="I5">
        <f>VLOOKUP(TablaObra5[[#This Row],[Obra]],Catalogos!$B$3:$C$8,2,FALSE)</f>
      </c>
    </row>
    <row r="6" spans="1:11">
      <c r="A6" s="2">
        <v>46180</v>
      </c>
      <c r="B6" t="s">
        <v>6</v>
      </c>
      <c r="C6" s="2">
        <v>46181</v>
      </c>
      <c r="D6" t="s">
        <v>164</v>
      </c>
      <c r="E6">
        <f>VLOOKUP(TablaObra5[[#This Row],[Equipo]],Catalogos!$I$3:$J$34,2,FALSE)</f>
      </c>
      <c r="F6" s="3">
        <v>300</v>
      </c>
      <c r="G6" s="4">
        <v>28.3</v>
      </c>
      <c r="H6" s="4">
        <f t="shared" si="0"/>
      </c>
      <c r="I6">
        <f>VLOOKUP(TablaObra5[[#This Row],[Obra]],Catalogos!$B$3:$C$8,2,FALSE)</f>
      </c>
    </row>
    <row r="7" spans="1:11">
      <c r="A7" s="2">
        <v>46180</v>
      </c>
      <c r="B7" t="s">
        <v>6</v>
      </c>
      <c r="C7" s="2">
        <v>46181</v>
      </c>
      <c r="D7" t="s">
        <v>95</v>
      </c>
      <c r="E7">
        <f>VLOOKUP(TablaObra5[[#This Row],[Equipo]],Catalogos!$I$3:$J$34,2,FALSE)</f>
      </c>
      <c r="F7" s="3">
        <v>30</v>
      </c>
      <c r="G7" s="4">
        <v>28.3</v>
      </c>
      <c r="H7" s="4">
        <f t="shared" si="0"/>
      </c>
      <c r="I7">
        <f>VLOOKUP(TablaObra5[[#This Row],[Obra]],Catalogos!$B$3:$C$8,2,FALSE)</f>
      </c>
    </row>
    <row r="8" spans="1:11">
      <c r="A8" s="2">
        <v>46180</v>
      </c>
      <c r="B8" t="s">
        <v>6</v>
      </c>
      <c r="C8" s="2">
        <v>46181</v>
      </c>
      <c r="D8" t="s">
        <v>165</v>
      </c>
      <c r="E8">
        <f>VLOOKUP(TablaObra5[[#This Row],[Equipo]],Catalogos!$I$3:$J$34,2,FALSE)</f>
      </c>
      <c r="F8" s="3">
        <v>20</v>
      </c>
      <c r="G8" s="4">
        <v>28.3</v>
      </c>
      <c r="H8" s="4">
        <f t="shared" si="0"/>
      </c>
      <c r="I8">
        <f>VLOOKUP(TablaObra5[[#This Row],[Obra]],Catalogos!$B$3:$C$8,2,FALSE)</f>
      </c>
    </row>
    <row r="9" spans="1:11">
      <c r="A9" s="2">
        <v>46180</v>
      </c>
      <c r="B9" t="s">
        <v>6</v>
      </c>
      <c r="C9" s="2">
        <v>46181</v>
      </c>
      <c r="D9" t="s">
        <v>181</v>
      </c>
      <c r="E9">
        <f>VLOOKUP(TablaObra5[[#This Row],[Equipo]],Catalogos!$I$3:$J$34,2,FALSE)</f>
      </c>
      <c r="F9" s="3">
        <v>30</v>
      </c>
      <c r="G9" s="4">
        <v>28.3</v>
      </c>
      <c r="H9" s="4">
        <f t="shared" si="0"/>
      </c>
      <c r="I9">
        <f>VLOOKUP(TablaObra5[[#This Row],[Obra]],Catalogos!$B$3:$C$8,2,FALSE)</f>
      </c>
    </row>
    <row r="10" spans="1:11">
      <c r="A10" s="2">
        <v>46180</v>
      </c>
      <c r="B10" t="s">
        <v>6</v>
      </c>
      <c r="C10" s="2">
        <v>46181</v>
      </c>
      <c r="D10" t="s">
        <v>86</v>
      </c>
      <c r="E10">
        <f>VLOOKUP(TablaObra5[[#This Row],[Equipo]],Catalogos!$I$3:$J$34,2,FALSE)</f>
      </c>
      <c r="F10" s="3">
        <v>30</v>
      </c>
      <c r="G10" s="4">
        <v>28.3</v>
      </c>
      <c r="H10" s="4">
        <f t="shared" si="0"/>
      </c>
      <c r="I10">
        <f>VLOOKUP(TablaObra5[[#This Row],[Obra]],Catalogos!$B$3:$C$8,2,FALSE)</f>
      </c>
    </row>
    <row r="11" spans="1:11">
      <c r="A11" s="2">
        <v>46180</v>
      </c>
      <c r="B11" t="s">
        <v>6</v>
      </c>
      <c r="C11" s="2">
        <v>46181</v>
      </c>
      <c r="D11" t="s">
        <v>198</v>
      </c>
      <c r="E11">
        <f>VLOOKUP(TablaObra5[[#This Row],[Equipo]],Catalogos!$I$3:$J$34,2,FALSE)</f>
      </c>
      <c r="F11" s="3">
        <v>30</v>
      </c>
      <c r="G11" s="4">
        <v>28.3</v>
      </c>
      <c r="H11" s="4">
        <f t="shared" si="0"/>
      </c>
      <c r="I11">
        <f>VLOOKUP(TablaObra5[[#This Row],[Obra]],Catalogos!$B$3:$C$8,2,FALSE)</f>
      </c>
    </row>
    <row r="12" spans="1:11">
      <c r="A12" s="2">
        <v>46180</v>
      </c>
      <c r="B12" t="s">
        <v>8</v>
      </c>
      <c r="C12" s="2">
        <v>46181</v>
      </c>
      <c r="D12" t="s">
        <v>95</v>
      </c>
      <c r="E12">
        <f>VLOOKUP(TablaObra5[[#This Row],[Equipo]],Catalogos!$I$3:$J$34,2,FALSE)</f>
      </c>
      <c r="F12" s="3">
        <v>50</v>
      </c>
      <c r="G12" s="4">
        <v>28.3</v>
      </c>
      <c r="H12" s="4">
        <f t="shared" si="0"/>
      </c>
      <c r="I12">
        <f>VLOOKUP(TablaObra5[[#This Row],[Obra]],Catalogos!$B$3:$C$8,2,FALSE)</f>
      </c>
    </row>
    <row r="13" spans="1:11">
      <c r="A13" s="2">
        <v>46180</v>
      </c>
      <c r="B13" t="s">
        <v>8</v>
      </c>
      <c r="C13" s="2">
        <v>46181</v>
      </c>
      <c r="D13" t="s">
        <v>181</v>
      </c>
      <c r="E13">
        <f>VLOOKUP(TablaObra5[[#This Row],[Equipo]],Catalogos!$I$3:$J$34,2,FALSE)</f>
      </c>
      <c r="F13" s="3">
        <v>50</v>
      </c>
      <c r="G13" s="4">
        <v>28.3</v>
      </c>
      <c r="H13" s="4">
        <f t="shared" si="0"/>
      </c>
      <c r="I13">
        <f>VLOOKUP(TablaObra5[[#This Row],[Obra]],Catalogos!$B$3:$C$8,2,FALSE)</f>
      </c>
    </row>
    <row r="14" spans="1:11">
      <c r="A14" s="2">
        <v>46180</v>
      </c>
      <c r="B14" t="s">
        <v>8</v>
      </c>
      <c r="C14" s="2">
        <v>46181</v>
      </c>
      <c r="D14" t="s">
        <v>100</v>
      </c>
      <c r="E14">
        <f>VLOOKUP(TablaObra5[[#This Row],[Equipo]],Catalogos!$I$3:$J$34,2,FALSE)</f>
      </c>
      <c r="F14" s="3">
        <v>60</v>
      </c>
      <c r="G14" s="4">
        <v>28.3</v>
      </c>
      <c r="H14" s="4">
        <f t="shared" si="0"/>
      </c>
      <c r="I14">
        <f>VLOOKUP(TablaObra5[[#This Row],[Obra]],Catalogos!$B$3:$C$8,2,FALSE)</f>
      </c>
    </row>
    <row r="15" spans="1:11">
      <c r="A15" s="2">
        <v>46181</v>
      </c>
      <c r="B15" t="s">
        <v>210</v>
      </c>
      <c r="C15" s="2"/>
      <c r="D15" t="s">
        <v>95</v>
      </c>
      <c r="E15">
        <f>VLOOKUP(TablaObra5[[#This Row],[Equipo]],Catalogos!$I$3:$J$34,2,FALSE)</f>
      </c>
      <c r="F15" s="3">
        <v>100</v>
      </c>
      <c r="G15" s="4">
        <v>28.3</v>
      </c>
      <c r="H15" s="4">
        <f>IFERROR(F15*G15,0)</f>
      </c>
      <c r="I15">
        <f>VLOOKUP(TablaObra5[[#This Row],[Obra]],Catalogos!$B$3:$C$8,2,FALSE)</f>
      </c>
    </row>
    <row r="16" spans="1:11">
      <c r="A16" s="2">
        <v>46181</v>
      </c>
      <c r="B16" t="s">
        <v>10</v>
      </c>
      <c r="C16" s="2">
        <v>46181</v>
      </c>
      <c r="D16" t="s">
        <v>171</v>
      </c>
      <c r="E16">
        <f>VLOOKUP(TablaObra5[[#This Row],[Equipo]],Catalogos!$I$3:$J$34,2,FALSE)</f>
      </c>
      <c r="F16" s="3">
        <v>250</v>
      </c>
      <c r="G16" s="4">
        <v>28.3</v>
      </c>
      <c r="H16" s="4">
        <f t="shared" si="0"/>
      </c>
      <c r="I16">
        <f>VLOOKUP(TablaObra5[[#This Row],[Obra]],Catalogos!$B$3:$C$8,2,FALSE)</f>
      </c>
    </row>
    <row r="17" spans="1:9">
      <c r="A17" s="2">
        <v>46181</v>
      </c>
      <c r="B17" t="s">
        <v>10</v>
      </c>
      <c r="C17" s="2">
        <v>46181</v>
      </c>
      <c r="D17" t="s">
        <v>173</v>
      </c>
      <c r="E17">
        <f>VLOOKUP(TablaObra5[[#This Row],[Equipo]],Catalogos!$I$3:$J$34,2,FALSE)</f>
      </c>
      <c r="F17" s="3">
        <v>150</v>
      </c>
      <c r="G17" s="4">
        <v>28.3</v>
      </c>
      <c r="H17" s="4">
        <f t="shared" si="0"/>
      </c>
      <c r="I17">
        <f>VLOOKUP(TablaObra5[[#This Row],[Obra]],Catalogos!$B$3:$C$8,2,FALSE)</f>
      </c>
    </row>
    <row r="18" spans="1:9">
      <c r="A18" s="2">
        <v>46181</v>
      </c>
      <c r="B18" t="s">
        <v>10</v>
      </c>
      <c r="C18" s="2">
        <v>46181</v>
      </c>
      <c r="D18" t="s">
        <v>175</v>
      </c>
      <c r="E18">
        <f>VLOOKUP(TablaObra5[[#This Row],[Equipo]],Catalogos!$I$3:$J$34,2,FALSE)</f>
      </c>
      <c r="F18" s="3">
        <v>40</v>
      </c>
      <c r="G18" s="4">
        <v>28.3</v>
      </c>
      <c r="H18" s="4">
        <f t="shared" si="0"/>
      </c>
      <c r="I18">
        <f>VLOOKUP(TablaObra5[[#This Row],[Obra]],Catalogos!$B$3:$C$8,2,FALSE)</f>
      </c>
    </row>
    <row r="19" spans="1:9">
      <c r="A19" s="2">
        <v>46181</v>
      </c>
      <c r="B19" t="s">
        <v>10</v>
      </c>
      <c r="C19" s="2">
        <v>46181</v>
      </c>
      <c r="D19" t="s">
        <v>177</v>
      </c>
      <c r="E19">
        <f>VLOOKUP(TablaObra5[[#This Row],[Equipo]],Catalogos!$I$3:$J$34,2,FALSE)</f>
      </c>
      <c r="F19" s="3">
        <v>60</v>
      </c>
      <c r="G19" s="4">
        <v>28.3</v>
      </c>
      <c r="H19" s="4">
        <f t="shared" si="0"/>
      </c>
      <c r="I19">
        <f>VLOOKUP(TablaObra5[[#This Row],[Obra]],Catalogos!$B$3:$C$8,2,FALSE)</f>
      </c>
    </row>
    <row r="20" spans="1:9">
      <c r="A20" s="2">
        <v>46181</v>
      </c>
      <c r="B20" t="s">
        <v>10</v>
      </c>
      <c r="C20" s="2">
        <v>46181</v>
      </c>
      <c r="D20" t="s">
        <v>179</v>
      </c>
      <c r="E20">
        <f>VLOOKUP(TablaObra5[[#This Row],[Equipo]],Catalogos!$I$3:$J$34,2,FALSE)</f>
      </c>
      <c r="F20" s="3">
        <v>100</v>
      </c>
      <c r="G20" s="4">
        <v>28.3</v>
      </c>
      <c r="H20" s="4">
        <f t="shared" si="0"/>
      </c>
      <c r="I20">
        <f>VLOOKUP(TablaObra5[[#This Row],[Obra]],Catalogos!$B$3:$C$8,2,FALSE)</f>
      </c>
    </row>
    <row r="21" spans="1:9">
      <c r="A21" s="2">
        <v>46181</v>
      </c>
      <c r="B21" t="s">
        <v>10</v>
      </c>
      <c r="C21" s="2">
        <v>46181</v>
      </c>
      <c r="D21" t="s">
        <v>182</v>
      </c>
      <c r="E21">
        <f>VLOOKUP(TablaObra5[[#This Row],[Equipo]],Catalogos!$I$3:$J$34,2,FALSE)</f>
      </c>
      <c r="F21" s="3">
        <v>100</v>
      </c>
      <c r="G21" s="4">
        <v>28.3</v>
      </c>
      <c r="H21" s="4">
        <f t="shared" si="0"/>
      </c>
      <c r="I21">
        <f>VLOOKUP(TablaObra5[[#This Row],[Obra]],Catalogos!$B$3:$C$8,2,FALSE)</f>
      </c>
    </row>
    <row r="22" spans="1:9">
      <c r="A22" s="2">
        <v>46181</v>
      </c>
      <c r="B22" t="s">
        <v>10</v>
      </c>
      <c r="C22" s="2">
        <v>46181</v>
      </c>
      <c r="D22" t="s">
        <v>198</v>
      </c>
      <c r="E22">
        <f>VLOOKUP(TablaObra5[[#This Row],[Equipo]],Catalogos!$I$3:$J$34,2,FALSE)</f>
      </c>
      <c r="F22" s="3">
        <v>20</v>
      </c>
      <c r="G22" s="4">
        <v>28.3</v>
      </c>
      <c r="H22" s="4">
        <f t="shared" si="0"/>
      </c>
      <c r="I22">
        <f>VLOOKUP(TablaObra5[[#This Row],[Obra]],Catalogos!$B$3:$C$8,2,FALSE)</f>
      </c>
    </row>
    <row r="23" spans="1:9">
      <c r="A23" s="2">
        <v>46181</v>
      </c>
      <c r="B23" t="s">
        <v>10</v>
      </c>
      <c r="C23" s="2">
        <v>46181</v>
      </c>
      <c r="D23" t="s">
        <v>184</v>
      </c>
      <c r="E23">
        <f>VLOOKUP(TablaObra5[[#This Row],[Equipo]],Catalogos!$I$3:$J$34,2,FALSE)</f>
      </c>
      <c r="F23" s="3">
        <v>50</v>
      </c>
      <c r="G23" s="4">
        <v>28.3</v>
      </c>
      <c r="H23" s="4">
        <f t="shared" si="0"/>
      </c>
      <c r="I23">
        <f>VLOOKUP(TablaObra5[[#This Row],[Obra]],Catalogos!$B$3:$C$8,2,FALSE)</f>
      </c>
    </row>
    <row r="24" spans="1:9">
      <c r="A24" s="2">
        <v>46181</v>
      </c>
      <c r="B24" t="s">
        <v>10</v>
      </c>
      <c r="C24" s="2">
        <v>46181</v>
      </c>
      <c r="D24" t="s">
        <v>186</v>
      </c>
      <c r="E24">
        <f>VLOOKUP(TablaObra5[[#This Row],[Equipo]],Catalogos!$I$3:$J$34,2,FALSE)</f>
      </c>
      <c r="F24" s="3">
        <v>50</v>
      </c>
      <c r="G24" s="4">
        <v>28.3</v>
      </c>
      <c r="H24" s="4">
        <f t="shared" si="0"/>
      </c>
      <c r="I24">
        <f>VLOOKUP(TablaObra5[[#This Row],[Obra]],Catalogos!$B$3:$C$8,2,FALSE)</f>
      </c>
    </row>
    <row r="25" spans="1:9">
      <c r="A25" s="2">
        <v>46181</v>
      </c>
      <c r="B25" t="s">
        <v>10</v>
      </c>
      <c r="C25" s="2">
        <v>46181</v>
      </c>
      <c r="D25" t="s">
        <v>188</v>
      </c>
      <c r="E25">
        <f>VLOOKUP(TablaObra5[[#This Row],[Equipo]],Catalogos!$I$3:$J$34,2,FALSE)</f>
      </c>
      <c r="F25" s="3">
        <v>50</v>
      </c>
      <c r="G25" s="4">
        <v>28.3</v>
      </c>
      <c r="H25" s="4">
        <f t="shared" si="0"/>
      </c>
      <c r="I25">
        <f>VLOOKUP(TablaObra5[[#This Row],[Obra]],Catalogos!$B$3:$C$8,2,FALSE)</f>
      </c>
    </row>
    <row r="26" spans="1:9">
      <c r="A26" s="2">
        <v>46181</v>
      </c>
      <c r="B26" t="s">
        <v>10</v>
      </c>
      <c r="C26" s="2">
        <v>46181</v>
      </c>
      <c r="D26" t="s">
        <v>190</v>
      </c>
      <c r="E26">
        <f>VLOOKUP(TablaObra5[[#This Row],[Equipo]],Catalogos!$I$3:$J$34,2,FALSE)</f>
      </c>
      <c r="F26" s="3">
        <v>20</v>
      </c>
      <c r="G26" s="4">
        <v>28.3</v>
      </c>
      <c r="H26" s="4">
        <f t="shared" si="0"/>
      </c>
      <c r="I26">
        <f>VLOOKUP(TablaObra5[[#This Row],[Obra]],Catalogos!$B$3:$C$8,2,FALSE)</f>
      </c>
    </row>
    <row r="27" spans="1:9">
      <c r="A27" s="2">
        <v>46181</v>
      </c>
      <c r="B27" t="s">
        <v>10</v>
      </c>
      <c r="C27" s="2">
        <v>46181</v>
      </c>
      <c r="D27" t="s">
        <v>192</v>
      </c>
      <c r="E27">
        <f>VLOOKUP(TablaObra5[[#This Row],[Equipo]],Catalogos!$I$3:$J$34,2,FALSE)</f>
      </c>
      <c r="F27" s="3">
        <v>50</v>
      </c>
      <c r="G27" s="4">
        <v>28.3</v>
      </c>
      <c r="H27" s="4">
        <f t="shared" si="0"/>
      </c>
      <c r="I27">
        <f>VLOOKUP(TablaObra5[[#This Row],[Obra]],Catalogos!$B$3:$C$8,2,FALSE)</f>
      </c>
    </row>
    <row r="28" spans="1:9">
      <c r="A28" s="2">
        <v>46181</v>
      </c>
      <c r="B28" t="s">
        <v>10</v>
      </c>
      <c r="C28" s="2">
        <v>46181</v>
      </c>
      <c r="D28" t="s">
        <v>194</v>
      </c>
      <c r="E28">
        <f>VLOOKUP(TablaObra5[[#This Row],[Equipo]],Catalogos!$I$3:$J$34,2,FALSE)</f>
      </c>
      <c r="F28" s="3">
        <v>40</v>
      </c>
      <c r="G28" s="4">
        <v>28.3</v>
      </c>
      <c r="H28" s="4">
        <f t="shared" si="0"/>
      </c>
      <c r="I28">
        <f>VLOOKUP(TablaObra5[[#This Row],[Obra]],Catalogos!$B$3:$C$8,2,FALSE)</f>
      </c>
    </row>
    <row r="29" spans="1:9">
      <c r="A29" s="2">
        <v>46181</v>
      </c>
      <c r="B29" t="s">
        <v>10</v>
      </c>
      <c r="C29" s="2">
        <v>46181</v>
      </c>
      <c r="D29" t="s">
        <v>196</v>
      </c>
      <c r="E29">
        <f>VLOOKUP(TablaObra5[[#This Row],[Equipo]],Catalogos!$I$3:$J$34,2,FALSE)</f>
      </c>
      <c r="F29" s="3">
        <v>10</v>
      </c>
      <c r="G29" s="4">
        <v>28.3</v>
      </c>
      <c r="H29" s="4">
        <f t="shared" si="0"/>
      </c>
      <c r="I29">
        <f>VLOOKUP(TablaObra5[[#This Row],[Obra]],Catalogos!$B$3:$C$8,2,FALSE)</f>
      </c>
    </row>
    <row r="30" spans="1:9">
      <c r="A30" s="2">
        <v>46182</v>
      </c>
      <c r="B30" t="s">
        <v>10</v>
      </c>
      <c r="C30" s="2">
        <v>46182</v>
      </c>
      <c r="D30" t="s">
        <v>171</v>
      </c>
      <c r="E30">
        <f>VLOOKUP(TablaObra5[[#This Row],[Equipo]],Catalogos!$I$3:$J$34,2,FALSE)</f>
      </c>
      <c r="F30" s="3">
        <v>250</v>
      </c>
      <c r="G30" s="4">
        <v>28.3</v>
      </c>
      <c r="H30" s="4">
        <f t="shared" si="0"/>
      </c>
      <c r="I30">
        <f>VLOOKUP(TablaObra5[[#This Row],[Obra]],Catalogos!$B$3:$C$8,2,FALSE)</f>
      </c>
    </row>
    <row r="31" spans="1:9">
      <c r="A31" s="2">
        <v>46182</v>
      </c>
      <c r="B31" t="s">
        <v>10</v>
      </c>
      <c r="C31" s="2">
        <v>46182</v>
      </c>
      <c r="D31" t="s">
        <v>175</v>
      </c>
      <c r="E31">
        <f>VLOOKUP(TablaObra5[[#This Row],[Equipo]],Catalogos!$I$3:$J$34,2,FALSE)</f>
      </c>
      <c r="F31" s="3">
        <v>40</v>
      </c>
      <c r="G31" s="4">
        <v>28.3</v>
      </c>
      <c r="H31" s="4">
        <f t="shared" si="0"/>
      </c>
      <c r="I31">
        <f>VLOOKUP(TablaObra5[[#This Row],[Obra]],Catalogos!$B$3:$C$8,2,FALSE)</f>
      </c>
    </row>
    <row r="32" spans="1:9">
      <c r="A32" s="2">
        <v>46182</v>
      </c>
      <c r="B32" t="s">
        <v>10</v>
      </c>
      <c r="C32" s="2">
        <v>46182</v>
      </c>
      <c r="D32" t="s">
        <v>177</v>
      </c>
      <c r="E32">
        <f>VLOOKUP(TablaObra5[[#This Row],[Equipo]],Catalogos!$I$3:$J$34,2,FALSE)</f>
      </c>
      <c r="F32" s="3">
        <v>60</v>
      </c>
      <c r="G32" s="4">
        <v>28.3</v>
      </c>
      <c r="H32" s="4">
        <f t="shared" si="0"/>
      </c>
      <c r="I32">
        <f>VLOOKUP(TablaObra5[[#This Row],[Obra]],Catalogos!$B$3:$C$8,2,FALSE)</f>
      </c>
    </row>
    <row r="33" spans="1:11">
      <c r="A33" s="2">
        <v>46182</v>
      </c>
      <c r="B33" t="s">
        <v>10</v>
      </c>
      <c r="C33" s="2">
        <v>46182</v>
      </c>
      <c r="D33" t="s">
        <v>179</v>
      </c>
      <c r="E33">
        <f>VLOOKUP(TablaObra5[[#This Row],[Equipo]],Catalogos!$I$3:$J$34,2,FALSE)</f>
      </c>
      <c r="F33" s="3">
        <v>100</v>
      </c>
      <c r="G33" s="4">
        <v>28.3</v>
      </c>
      <c r="H33" s="4">
        <f t="shared" si="0"/>
      </c>
      <c r="I33">
        <f>VLOOKUP(TablaObra5[[#This Row],[Obra]],Catalogos!$B$3:$C$8,2,FALSE)</f>
      </c>
    </row>
    <row r="34" spans="1:11">
      <c r="A34" s="2">
        <v>46182</v>
      </c>
      <c r="B34" t="s">
        <v>10</v>
      </c>
      <c r="C34" s="2">
        <v>46182</v>
      </c>
      <c r="D34" t="s">
        <v>182</v>
      </c>
      <c r="E34">
        <f>VLOOKUP(TablaObra5[[#This Row],[Equipo]],Catalogos!$I$3:$J$34,2,FALSE)</f>
      </c>
      <c r="F34" s="3">
        <v>100</v>
      </c>
      <c r="G34" s="4">
        <v>28.3</v>
      </c>
      <c r="H34" s="4">
        <f t="shared" si="0"/>
      </c>
      <c r="I34">
        <f>VLOOKUP(TablaObra5[[#This Row],[Obra]],Catalogos!$B$3:$C$8,2,FALSE)</f>
      </c>
    </row>
    <row r="35" spans="1:11">
      <c r="A35" s="2">
        <v>46182</v>
      </c>
      <c r="B35" t="s">
        <v>10</v>
      </c>
      <c r="C35" s="2">
        <v>46182</v>
      </c>
      <c r="D35" t="s">
        <v>198</v>
      </c>
      <c r="E35">
        <f>VLOOKUP(TablaObra5[[#This Row],[Equipo]],Catalogos!$I$3:$J$34,2,FALSE)</f>
      </c>
      <c r="F35" s="3">
        <v>20</v>
      </c>
      <c r="G35" s="4">
        <v>28.3</v>
      </c>
      <c r="H35" s="4">
        <f t="shared" si="0"/>
      </c>
      <c r="I35">
        <f>VLOOKUP(TablaObra5[[#This Row],[Obra]],Catalogos!$B$3:$C$8,2,FALSE)</f>
      </c>
    </row>
    <row r="36" spans="1:11">
      <c r="A36" s="2">
        <v>46182</v>
      </c>
      <c r="B36" t="s">
        <v>10</v>
      </c>
      <c r="C36" s="2">
        <v>46182</v>
      </c>
      <c r="D36" t="s">
        <v>184</v>
      </c>
      <c r="E36">
        <f>VLOOKUP(TablaObra5[[#This Row],[Equipo]],Catalogos!$I$3:$J$34,2,FALSE)</f>
      </c>
      <c r="F36" s="3">
        <v>50</v>
      </c>
      <c r="G36" s="4">
        <v>28.3</v>
      </c>
      <c r="H36" s="4">
        <f t="shared" si="0"/>
      </c>
      <c r="I36">
        <f>VLOOKUP(TablaObra5[[#This Row],[Obra]],Catalogos!$B$3:$C$8,2,FALSE)</f>
      </c>
    </row>
    <row r="37" spans="1:11">
      <c r="A37" s="2">
        <v>46182</v>
      </c>
      <c r="B37" t="s">
        <v>10</v>
      </c>
      <c r="C37" s="2">
        <v>46182</v>
      </c>
      <c r="D37" t="s">
        <v>186</v>
      </c>
      <c r="E37">
        <f>VLOOKUP(TablaObra5[[#This Row],[Equipo]],Catalogos!$I$3:$J$34,2,FALSE)</f>
      </c>
      <c r="F37" s="3">
        <v>50</v>
      </c>
      <c r="G37" s="4">
        <v>28.3</v>
      </c>
      <c r="H37" s="4">
        <f t="shared" si="0"/>
      </c>
      <c r="I37">
        <f>VLOOKUP(TablaObra5[[#This Row],[Obra]],Catalogos!$B$3:$C$8,2,FALSE)</f>
      </c>
    </row>
    <row r="38" spans="1:11">
      <c r="A38" s="2">
        <v>46182</v>
      </c>
      <c r="B38" t="s">
        <v>10</v>
      </c>
      <c r="C38" s="2">
        <v>46182</v>
      </c>
      <c r="D38" t="s">
        <v>188</v>
      </c>
      <c r="E38">
        <f>VLOOKUP(TablaObra5[[#This Row],[Equipo]],Catalogos!$I$3:$J$34,2,FALSE)</f>
      </c>
      <c r="F38" s="3">
        <v>50</v>
      </c>
      <c r="G38" s="4">
        <v>28.3</v>
      </c>
      <c r="H38" s="4">
        <f t="shared" si="0"/>
      </c>
      <c r="I38">
        <f>VLOOKUP(TablaObra5[[#This Row],[Obra]],Catalogos!$B$3:$C$8,2,FALSE)</f>
      </c>
    </row>
    <row r="39" spans="1:11">
      <c r="A39" s="2">
        <v>46182</v>
      </c>
      <c r="B39" t="s">
        <v>10</v>
      </c>
      <c r="C39" s="2">
        <v>46182</v>
      </c>
      <c r="D39" t="s">
        <v>192</v>
      </c>
      <c r="E39">
        <f>VLOOKUP(TablaObra5[[#This Row],[Equipo]],Catalogos!$I$3:$J$34,2,FALSE)</f>
      </c>
      <c r="F39" s="3">
        <v>40</v>
      </c>
      <c r="G39" s="4">
        <v>28.3</v>
      </c>
      <c r="H39" s="4">
        <f t="shared" si="0"/>
      </c>
      <c r="I39">
        <f>VLOOKUP(TablaObra5[[#This Row],[Obra]],Catalogos!$B$3:$C$8,2,FALSE)</f>
      </c>
    </row>
    <row r="40" spans="1:11">
      <c r="A40" s="2">
        <v>46182</v>
      </c>
      <c r="B40" t="s">
        <v>10</v>
      </c>
      <c r="C40" s="2">
        <v>46182</v>
      </c>
      <c r="D40" t="s">
        <v>194</v>
      </c>
      <c r="E40">
        <f>VLOOKUP(TablaObra5[[#This Row],[Equipo]],Catalogos!$I$3:$J$34,2,FALSE)</f>
      </c>
      <c r="F40" s="3">
        <v>30</v>
      </c>
      <c r="G40" s="4">
        <v>28.3</v>
      </c>
      <c r="H40" s="4">
        <f t="shared" si="0"/>
      </c>
      <c r="I40">
        <f>VLOOKUP(TablaObra5[[#This Row],[Obra]],Catalogos!$B$3:$C$8,2,FALSE)</f>
      </c>
    </row>
    <row r="41" spans="1:11">
      <c r="A41" s="2">
        <v>46182</v>
      </c>
      <c r="B41" t="s">
        <v>8</v>
      </c>
      <c r="C41" s="2">
        <v>46182</v>
      </c>
      <c r="D41" t="s">
        <v>95</v>
      </c>
      <c r="E41">
        <f>VLOOKUP(TablaObra5[[#This Row],[Equipo]],Catalogos!$I$3:$J$34,2,FALSE)</f>
      </c>
      <c r="F41" s="3">
        <v>50</v>
      </c>
      <c r="G41" s="4">
        <v>28.3</v>
      </c>
      <c r="H41" s="4">
        <f t="shared" si="0"/>
      </c>
      <c r="I41">
        <f>VLOOKUP(TablaObra5[[#This Row],[Obra]],Catalogos!$B$3:$C$8,2,FALSE)</f>
      </c>
      <c r="K41" t="s">
        <v>202</v>
      </c>
    </row>
    <row r="42" spans="1:11">
      <c r="A42" s="2">
        <v>46182</v>
      </c>
      <c r="B42" t="s">
        <v>8</v>
      </c>
      <c r="C42" s="2">
        <v>46182</v>
      </c>
      <c r="D42" t="s">
        <v>181</v>
      </c>
      <c r="E42">
        <f>VLOOKUP(TablaObra5[[#This Row],[Equipo]],Catalogos!$I$3:$J$34,2,FALSE)</f>
      </c>
      <c r="F42" s="3">
        <v>50</v>
      </c>
      <c r="G42" s="4">
        <v>28.3</v>
      </c>
      <c r="H42" s="4">
        <f t="shared" si="0"/>
      </c>
      <c r="I42">
        <f>VLOOKUP(TablaObra5[[#This Row],[Obra]],Catalogos!$B$3:$C$8,2,FALSE)</f>
      </c>
    </row>
    <row r="43" spans="1:11">
      <c r="A43" s="2">
        <v>46182</v>
      </c>
      <c r="B43" t="s">
        <v>8</v>
      </c>
      <c r="C43" s="2">
        <v>46182</v>
      </c>
      <c r="D43" t="s">
        <v>100</v>
      </c>
      <c r="E43">
        <f>VLOOKUP(TablaObra5[[#This Row],[Equipo]],Catalogos!$I$3:$J$34,2,FALSE)</f>
      </c>
      <c r="F43" s="3">
        <v>60</v>
      </c>
      <c r="G43" s="4">
        <v>28.3</v>
      </c>
      <c r="H43" s="4">
        <f t="shared" si="0"/>
      </c>
      <c r="I43">
        <f>VLOOKUP(TablaObra5[[#This Row],[Obra]],Catalogos!$B$3:$C$8,2,FALSE)</f>
      </c>
    </row>
    <row r="44" spans="1:11">
      <c r="A44" s="2">
        <v>46182</v>
      </c>
      <c r="B44" t="s">
        <v>8</v>
      </c>
      <c r="C44" s="2">
        <v>46182</v>
      </c>
      <c r="D44" t="s">
        <v>200</v>
      </c>
      <c r="E44">
        <f>VLOOKUP(TablaObra5[[#This Row],[Equipo]],Catalogos!$I$3:$J$34,2,FALSE)</f>
      </c>
      <c r="F44" s="3">
        <v>50</v>
      </c>
      <c r="G44" s="4">
        <v>28.3</v>
      </c>
      <c r="H44" s="4">
        <f t="shared" si="0"/>
      </c>
      <c r="I44">
        <f>VLOOKUP(TablaObra5[[#This Row],[Obra]],Catalogos!$B$3:$C$8,2,FALSE)</f>
      </c>
    </row>
    <row r="45" spans="1:11">
      <c r="A45" s="2">
        <v>46182</v>
      </c>
      <c r="B45" t="s">
        <v>210</v>
      </c>
      <c r="C45" s="2"/>
      <c r="D45" t="s">
        <v>95</v>
      </c>
      <c r="E45">
        <f>VLOOKUP(TablaObra5[[#This Row],[Equipo]],Catalogos!$I$3:$J$34,2,FALSE)</f>
      </c>
      <c r="F45" s="3">
        <v>100</v>
      </c>
      <c r="G45" s="4">
        <v>28.3</v>
      </c>
      <c r="H45" s="4">
        <f>IFERROR(F45*G45,0)</f>
      </c>
      <c r="I45">
        <f>VLOOKUP(TablaObra5[[#This Row],[Obra]],Catalogos!$B$3:$C$8,2,FALSE)</f>
      </c>
    </row>
    <row r="46" spans="1:11">
      <c r="A46" s="2">
        <v>46183</v>
      </c>
      <c r="B46" t="s">
        <v>6</v>
      </c>
      <c r="C46" s="2">
        <v>46183</v>
      </c>
      <c r="D46" t="s">
        <v>164</v>
      </c>
      <c r="E46">
        <f>VLOOKUP(TablaObra5[[#This Row],[Equipo]],Catalogos!$I$3:$J$34,2,FALSE)</f>
      </c>
      <c r="F46" s="3">
        <v>250</v>
      </c>
      <c r="G46" s="4">
        <v>28.3</v>
      </c>
      <c r="H46" s="4">
        <f t="shared" si="0"/>
      </c>
      <c r="I46">
        <f>VLOOKUP(TablaObra5[[#This Row],[Obra]],Catalogos!$B$3:$C$8,2,FALSE)</f>
      </c>
    </row>
    <row r="47" spans="1:11">
      <c r="A47" s="2">
        <v>46183</v>
      </c>
      <c r="B47" t="s">
        <v>6</v>
      </c>
      <c r="C47" s="2">
        <v>46183</v>
      </c>
      <c r="D47" t="s">
        <v>95</v>
      </c>
      <c r="E47">
        <f>VLOOKUP(TablaObra5[[#This Row],[Equipo]],Catalogos!$I$3:$J$34,2,FALSE)</f>
      </c>
      <c r="F47" s="3">
        <v>30</v>
      </c>
      <c r="G47" s="4">
        <v>28.3</v>
      </c>
      <c r="H47" s="4">
        <f t="shared" si="0"/>
      </c>
      <c r="I47">
        <f>VLOOKUP(TablaObra5[[#This Row],[Obra]],Catalogos!$B$3:$C$8,2,FALSE)</f>
      </c>
    </row>
    <row r="48" spans="1:11">
      <c r="A48" s="2">
        <v>46183</v>
      </c>
      <c r="B48" t="s">
        <v>6</v>
      </c>
      <c r="C48" s="2">
        <v>46183</v>
      </c>
      <c r="D48" t="s">
        <v>165</v>
      </c>
      <c r="E48">
        <f>VLOOKUP(TablaObra5[[#This Row],[Equipo]],Catalogos!$I$3:$J$34,2,FALSE)</f>
      </c>
      <c r="F48" s="3">
        <v>20</v>
      </c>
      <c r="G48" s="4">
        <v>28.3</v>
      </c>
      <c r="H48" s="4">
        <f t="shared" si="0"/>
      </c>
      <c r="I48">
        <f>VLOOKUP(TablaObra5[[#This Row],[Obra]],Catalogos!$B$3:$C$8,2,FALSE)</f>
      </c>
    </row>
    <row r="49" spans="1:11">
      <c r="A49" s="2">
        <v>46183</v>
      </c>
      <c r="B49" t="s">
        <v>6</v>
      </c>
      <c r="C49" s="2">
        <v>46183</v>
      </c>
      <c r="D49" t="s">
        <v>192</v>
      </c>
      <c r="E49">
        <f>VLOOKUP(TablaObra5[[#This Row],[Equipo]],Catalogos!$I$3:$J$34,2,FALSE)</f>
      </c>
      <c r="F49" s="3">
        <v>20</v>
      </c>
      <c r="G49" s="4">
        <v>28.3</v>
      </c>
      <c r="H49" s="4">
        <f t="shared" si="0"/>
      </c>
      <c r="I49">
        <f>VLOOKUP(TablaObra5[[#This Row],[Obra]],Catalogos!$B$3:$C$8,2,FALSE)</f>
      </c>
    </row>
    <row r="50" spans="1:11">
      <c r="A50" s="2">
        <v>46184</v>
      </c>
      <c r="B50" t="s">
        <v>8</v>
      </c>
      <c r="C50" s="2">
        <v>46184</v>
      </c>
      <c r="D50" t="s">
        <v>100</v>
      </c>
      <c r="E50">
        <f>VLOOKUP(TablaObra5[[#This Row],[Equipo]],Catalogos!$I$3:$J$34,2,FALSE)</f>
      </c>
      <c r="F50" s="3">
        <v>80</v>
      </c>
      <c r="G50" s="4">
        <v>28.3</v>
      </c>
      <c r="H50" s="4">
        <f t="shared" si="0"/>
      </c>
      <c r="I50">
        <f>VLOOKUP(TablaObra5[[#This Row],[Obra]],Catalogos!$B$3:$C$8,2,FALSE)</f>
      </c>
    </row>
    <row r="51" spans="1:11">
      <c r="A51" s="2">
        <v>46184</v>
      </c>
      <c r="B51" t="s">
        <v>8</v>
      </c>
      <c r="C51" s="2">
        <v>46184</v>
      </c>
      <c r="D51" t="s">
        <v>190</v>
      </c>
      <c r="E51">
        <f>VLOOKUP(TablaObra5[[#This Row],[Equipo]],Catalogos!$I$3:$J$34,2,FALSE)</f>
      </c>
      <c r="F51" s="3">
        <v>80</v>
      </c>
      <c r="G51" s="4">
        <v>28.3</v>
      </c>
      <c r="H51" s="4">
        <f t="shared" si="0"/>
      </c>
      <c r="I51">
        <f>VLOOKUP(TablaObra5[[#This Row],[Obra]],Catalogos!$B$3:$C$8,2,FALSE)</f>
      </c>
    </row>
    <row r="52" spans="1:11">
      <c r="A52" s="2">
        <v>46184</v>
      </c>
      <c r="B52" t="s">
        <v>8</v>
      </c>
      <c r="C52" s="2">
        <v>46184</v>
      </c>
      <c r="D52" t="s">
        <v>95</v>
      </c>
      <c r="E52">
        <f>VLOOKUP(TablaObra5[[#This Row],[Equipo]],Catalogos!$I$3:$J$34,2,FALSE)</f>
      </c>
      <c r="F52" s="3">
        <v>70</v>
      </c>
      <c r="G52" s="4">
        <v>28.3</v>
      </c>
      <c r="H52" s="4">
        <f t="shared" si="0"/>
      </c>
      <c r="I52">
        <f>VLOOKUP(TablaObra5[[#This Row],[Obra]],Catalogos!$B$3:$C$8,2,FALSE)</f>
      </c>
    </row>
    <row r="53" spans="1:11">
      <c r="A53" s="2">
        <v>46184</v>
      </c>
      <c r="B53" t="s">
        <v>8</v>
      </c>
      <c r="C53" s="2">
        <v>46184</v>
      </c>
      <c r="D53" t="s">
        <v>200</v>
      </c>
      <c r="E53">
        <f>VLOOKUP(TablaObra5[[#This Row],[Equipo]],Catalogos!$I$3:$J$34,2,FALSE)</f>
      </c>
      <c r="F53" s="3">
        <v>40</v>
      </c>
      <c r="G53" s="4">
        <v>28.3</v>
      </c>
      <c r="H53" s="4">
        <f t="shared" si="0"/>
      </c>
      <c r="I53">
        <f>VLOOKUP(TablaObra5[[#This Row],[Obra]],Catalogos!$B$3:$C$8,2,FALSE)</f>
      </c>
    </row>
    <row r="54" spans="1:11">
      <c r="A54" s="2">
        <v>46184</v>
      </c>
      <c r="B54" t="s">
        <v>8</v>
      </c>
      <c r="C54" s="2">
        <v>46184</v>
      </c>
      <c r="D54" t="s">
        <v>160</v>
      </c>
      <c r="E54">
        <f>VLOOKUP(TablaObra5[[#This Row],[Equipo]],Catalogos!$I$3:$J$34,2,FALSE)</f>
      </c>
      <c r="F54" s="3">
        <v>150</v>
      </c>
      <c r="G54" s="4">
        <v>28.3</v>
      </c>
      <c r="H54" s="4">
        <f t="shared" si="0"/>
      </c>
      <c r="I54">
        <f>VLOOKUP(TablaObra5[[#This Row],[Obra]],Catalogos!$B$3:$C$8,2,FALSE)</f>
      </c>
    </row>
    <row r="55" spans="1:11">
      <c r="A55" s="2">
        <v>46184</v>
      </c>
      <c r="B55" t="s">
        <v>8</v>
      </c>
      <c r="C55" s="2">
        <v>46184</v>
      </c>
      <c r="D55" t="s">
        <v>198</v>
      </c>
      <c r="E55">
        <f>VLOOKUP(TablaObra5[[#This Row],[Equipo]],Catalogos!$I$3:$J$34,2,FALSE)</f>
      </c>
      <c r="F55" s="3">
        <v>30</v>
      </c>
      <c r="G55" s="4">
        <v>28.3</v>
      </c>
      <c r="H55" s="4">
        <f t="shared" si="0"/>
      </c>
      <c r="I55">
        <f>VLOOKUP(TablaObra5[[#This Row],[Obra]],Catalogos!$B$3:$C$8,2,FALSE)</f>
      </c>
    </row>
    <row r="56" spans="1:11">
      <c r="A56" s="2">
        <v>46184</v>
      </c>
      <c r="B56" t="s">
        <v>8</v>
      </c>
      <c r="C56" s="2">
        <v>46184</v>
      </c>
      <c r="D56" t="s">
        <v>196</v>
      </c>
      <c r="E56">
        <f>VLOOKUP(TablaObra5[[#This Row],[Equipo]],Catalogos!$I$3:$J$34,2,FALSE)</f>
      </c>
      <c r="F56" s="3">
        <v>10</v>
      </c>
      <c r="G56" s="4">
        <v>28.3</v>
      </c>
      <c r="H56" s="4">
        <f t="shared" si="0"/>
      </c>
      <c r="I56">
        <f>VLOOKUP(TablaObra5[[#This Row],[Obra]],Catalogos!$B$3:$C$8,2,FALSE)</f>
      </c>
    </row>
    <row r="57" spans="1:11">
      <c r="A57" s="2">
        <v>46184</v>
      </c>
      <c r="B57" t="s">
        <v>210</v>
      </c>
      <c r="C57" s="2"/>
      <c r="D57" t="s">
        <v>95</v>
      </c>
      <c r="E57">
        <f>VLOOKUP(TablaObra5[[#This Row],[Equipo]],Catalogos!$I$3:$J$34,2,FALSE)</f>
      </c>
      <c r="F57" s="3">
        <v>50</v>
      </c>
      <c r="G57" s="4">
        <v>28.3</v>
      </c>
      <c r="H57" s="4">
        <f t="shared" si="0"/>
      </c>
      <c r="I57">
        <f>VLOOKUP(TablaObra5[[#This Row],[Obra]],Catalogos!$B$3:$C$8,2,FALSE)</f>
      </c>
      <c r="K57" t="s">
        <v>208</v>
      </c>
    </row>
    <row r="58" spans="1:11">
      <c r="A58" s="2">
        <v>46184</v>
      </c>
      <c r="B58" t="s">
        <v>210</v>
      </c>
      <c r="D58" t="s">
        <v>96</v>
      </c>
      <c r="E58">
        <f>VLOOKUP(TablaObra5[[#This Row],[Equipo]],Catalogos!$I$3:$J$34,2,FALSE)</f>
      </c>
      <c r="F58" s="3">
        <v>10</v>
      </c>
      <c r="G58" s="4">
        <v>28.3</v>
      </c>
      <c r="H58" s="4">
        <f t="shared" si="0"/>
      </c>
      <c r="I58">
        <f>VLOOKUP(TablaObra5[[#This Row],[Obra]],Catalogos!$B$3:$C$8,2,FALSE)</f>
      </c>
      <c r="K58" t="s">
        <v>208</v>
      </c>
    </row>
    <row r="59" spans="1:11">
      <c r="A59" s="2">
        <v>46184</v>
      </c>
      <c r="B59" t="s">
        <v>210</v>
      </c>
      <c r="D59" t="s">
        <v>198</v>
      </c>
      <c r="E59">
        <f>VLOOKUP(TablaObra5[[#This Row],[Equipo]],Catalogos!$I$3:$J$34,2,FALSE)</f>
      </c>
      <c r="F59" s="3">
        <v>10</v>
      </c>
      <c r="G59" s="4">
        <v>28.3</v>
      </c>
      <c r="H59" s="4">
        <f t="shared" si="0"/>
      </c>
      <c r="I59">
        <f>VLOOKUP(TablaObra5[[#This Row],[Obra]],Catalogos!$B$3:$C$8,2,FALSE)</f>
      </c>
      <c r="K59" t="s">
        <v>208</v>
      </c>
    </row>
    <row r="60" spans="1:11">
      <c r="A60" s="2">
        <v>46185</v>
      </c>
      <c r="B60" t="s">
        <v>6</v>
      </c>
      <c r="C60" s="2">
        <v>46185</v>
      </c>
      <c r="D60" t="s">
        <v>164</v>
      </c>
      <c r="E60">
        <f>VLOOKUP(TablaObra5[[#This Row],[Equipo]],Catalogos!$I$3:$J$34,2,FALSE)</f>
      </c>
      <c r="F60" s="3">
        <v>250</v>
      </c>
      <c r="G60" s="4">
        <v>28.3</v>
      </c>
      <c r="H60" s="4">
        <f t="shared" si="0"/>
      </c>
      <c r="I60">
        <f>VLOOKUP(TablaObra5[[#This Row],[Obra]],Catalogos!$B$3:$C$8,2,FALSE)</f>
      </c>
    </row>
    <row r="61" spans="1:11">
      <c r="A61" s="2">
        <v>46185</v>
      </c>
      <c r="B61" t="s">
        <v>6</v>
      </c>
      <c r="C61" s="2">
        <v>46185</v>
      </c>
      <c r="D61" t="s">
        <v>160</v>
      </c>
      <c r="E61">
        <f>VLOOKUP(TablaObra5[[#This Row],[Equipo]],Catalogos!$I$3:$J$34,2,FALSE)</f>
      </c>
      <c r="F61" s="3">
        <v>150</v>
      </c>
      <c r="G61" s="4">
        <v>28.3</v>
      </c>
      <c r="H61" s="4">
        <f t="shared" si="0"/>
      </c>
      <c r="I61">
        <f>VLOOKUP(TablaObra5[[#This Row],[Obra]],Catalogos!$B$3:$C$8,2,FALSE)</f>
      </c>
    </row>
    <row r="62" spans="1:11">
      <c r="A62" s="2">
        <v>46185</v>
      </c>
      <c r="B62" t="s">
        <v>6</v>
      </c>
      <c r="C62" s="2">
        <v>46185</v>
      </c>
      <c r="D62" t="s">
        <v>86</v>
      </c>
      <c r="E62">
        <f>VLOOKUP(TablaObra5[[#This Row],[Equipo]],Catalogos!$I$3:$J$34,2,FALSE)</f>
      </c>
      <c r="F62" s="3">
        <v>40</v>
      </c>
      <c r="G62" s="4">
        <v>28.3</v>
      </c>
      <c r="H62" s="4">
        <f t="shared" si="0"/>
      </c>
      <c r="I62">
        <f>VLOOKUP(TablaObra5[[#This Row],[Obra]],Catalogos!$B$3:$C$8,2,FALSE)</f>
      </c>
    </row>
    <row r="63" spans="1:11">
      <c r="A63" s="2">
        <v>46185</v>
      </c>
      <c r="B63" t="s">
        <v>6</v>
      </c>
      <c r="C63" s="2">
        <v>46185</v>
      </c>
      <c r="D63" t="s">
        <v>181</v>
      </c>
      <c r="E63">
        <f>VLOOKUP(TablaObra5[[#This Row],[Equipo]],Catalogos!$I$3:$J$34,2,FALSE)</f>
      </c>
      <c r="F63" s="3">
        <v>30</v>
      </c>
      <c r="G63" s="4">
        <v>28.3</v>
      </c>
      <c r="H63" s="4">
        <f t="shared" si="0"/>
      </c>
      <c r="I63">
        <f>VLOOKUP(TablaObra5[[#This Row],[Obra]],Catalogos!$B$3:$C$8,2,FALSE)</f>
      </c>
    </row>
    <row r="64" spans="1:11">
      <c r="A64" s="2">
        <v>46185</v>
      </c>
      <c r="B64" t="s">
        <v>6</v>
      </c>
      <c r="C64" s="2">
        <v>46185</v>
      </c>
      <c r="D64" t="s">
        <v>95</v>
      </c>
      <c r="E64">
        <f>VLOOKUP(TablaObra5[[#This Row],[Equipo]],Catalogos!$I$3:$J$34,2,FALSE)</f>
      </c>
      <c r="F64" s="3">
        <v>30</v>
      </c>
      <c r="G64" s="4">
        <v>28.3</v>
      </c>
      <c r="H64" s="4">
        <f t="shared" si="0"/>
      </c>
      <c r="I64">
        <f>VLOOKUP(TablaObra5[[#This Row],[Obra]],Catalogos!$B$3:$C$8,2,FALSE)</f>
      </c>
    </row>
    <row r="65" spans="1:9">
      <c r="A65" s="2">
        <v>46185</v>
      </c>
      <c r="B65" t="s">
        <v>6</v>
      </c>
      <c r="C65" s="2">
        <v>46185</v>
      </c>
      <c r="D65" t="s">
        <v>165</v>
      </c>
      <c r="E65">
        <f>VLOOKUP(TablaObra5[[#This Row],[Equipo]],Catalogos!$I$3:$J$34,2,FALSE)</f>
      </c>
      <c r="F65" s="3">
        <v>20</v>
      </c>
      <c r="G65" s="4">
        <v>28.3</v>
      </c>
      <c r="H65" s="4">
        <f t="shared" si="0"/>
      </c>
      <c r="I65">
        <f>VLOOKUP(TablaObra5[[#This Row],[Obra]],Catalogos!$B$3:$C$8,2,FALSE)</f>
      </c>
    </row>
    <row r="66" spans="1:9">
      <c r="A66" s="2">
        <v>46185</v>
      </c>
      <c r="B66" t="s">
        <v>6</v>
      </c>
      <c r="C66" s="2">
        <v>46185</v>
      </c>
      <c r="D66" t="s">
        <v>192</v>
      </c>
      <c r="E66">
        <f>VLOOKUP(TablaObra5[[#This Row],[Equipo]],Catalogos!$I$3:$J$34,2,FALSE)</f>
      </c>
      <c r="F66" s="3">
        <v>20</v>
      </c>
      <c r="G66" s="4">
        <v>28.3</v>
      </c>
      <c r="H66" s="4">
        <f t="shared" si="0"/>
      </c>
      <c r="I66">
        <f>VLOOKUP(TablaObra5[[#This Row],[Obra]],Catalogos!$B$3:$C$8,2,FALSE)</f>
      </c>
    </row>
    <row r="67" spans="1:9">
      <c r="A67" s="2">
        <v>46185</v>
      </c>
      <c r="B67" t="s">
        <v>10</v>
      </c>
      <c r="C67" s="2">
        <v>46185</v>
      </c>
      <c r="D67" t="s">
        <v>171</v>
      </c>
      <c r="E67">
        <f>VLOOKUP(TablaObra5[[#This Row],[Equipo]],Catalogos!$I$3:$J$34,2,FALSE)</f>
      </c>
      <c r="F67" s="3">
        <v>250</v>
      </c>
      <c r="G67" s="4">
        <v>28.3</v>
      </c>
      <c r="H67" s="4">
        <f t="shared" si="0"/>
      </c>
      <c r="I67">
        <f>VLOOKUP(TablaObra5[[#This Row],[Obra]],Catalogos!$B$3:$C$8,2,FALSE)</f>
      </c>
    </row>
    <row r="68" spans="1:9">
      <c r="A68" s="2">
        <v>46185</v>
      </c>
      <c r="B68" t="s">
        <v>10</v>
      </c>
      <c r="C68" s="2">
        <v>46185</v>
      </c>
      <c r="D68" t="s">
        <v>175</v>
      </c>
      <c r="E68">
        <f>VLOOKUP(TablaObra5[[#This Row],[Equipo]],Catalogos!$I$3:$J$34,2,FALSE)</f>
      </c>
      <c r="F68" s="3">
        <v>40</v>
      </c>
      <c r="G68" s="4">
        <v>28.3</v>
      </c>
      <c r="H68" s="4">
        <f t="shared" si="0"/>
      </c>
      <c r="I68">
        <f>VLOOKUP(TablaObra5[[#This Row],[Obra]],Catalogos!$B$3:$C$8,2,FALSE)</f>
      </c>
    </row>
    <row r="69" spans="1:9">
      <c r="A69" s="2">
        <v>46185</v>
      </c>
      <c r="B69" t="s">
        <v>10</v>
      </c>
      <c r="C69" s="2">
        <v>46185</v>
      </c>
      <c r="D69" t="s">
        <v>177</v>
      </c>
      <c r="E69">
        <f>VLOOKUP(TablaObra5[[#This Row],[Equipo]],Catalogos!$I$3:$J$34,2,FALSE)</f>
      </c>
      <c r="F69" s="3">
        <v>60</v>
      </c>
      <c r="G69" s="4">
        <v>28.3</v>
      </c>
      <c r="H69" s="4">
        <f t="shared" si="0"/>
      </c>
      <c r="I69">
        <f>VLOOKUP(TablaObra5[[#This Row],[Obra]],Catalogos!$B$3:$C$8,2,FALSE)</f>
      </c>
    </row>
    <row r="70" spans="1:9">
      <c r="A70" s="2">
        <v>46185</v>
      </c>
      <c r="B70" t="s">
        <v>10</v>
      </c>
      <c r="C70" s="2">
        <v>46185</v>
      </c>
      <c r="D70" t="s">
        <v>182</v>
      </c>
      <c r="E70">
        <f>VLOOKUP(TablaObra5[[#This Row],[Equipo]],Catalogos!$I$3:$J$34,2,FALSE)</f>
      </c>
      <c r="F70" s="3">
        <v>100</v>
      </c>
      <c r="G70" s="4">
        <v>28.3</v>
      </c>
      <c r="H70" s="4">
        <f t="shared" si="0"/>
      </c>
      <c r="I70">
        <f>VLOOKUP(TablaObra5[[#This Row],[Obra]],Catalogos!$B$3:$C$8,2,FALSE)</f>
      </c>
    </row>
    <row r="71" spans="1:9">
      <c r="A71" s="2">
        <v>46185</v>
      </c>
      <c r="B71" t="s">
        <v>10</v>
      </c>
      <c r="C71" s="2">
        <v>46185</v>
      </c>
      <c r="D71" t="s">
        <v>198</v>
      </c>
      <c r="E71">
        <f>VLOOKUP(TablaObra5[[#This Row],[Equipo]],Catalogos!$I$3:$J$34,2,FALSE)</f>
      </c>
      <c r="F71" s="3">
        <v>20</v>
      </c>
      <c r="G71" s="4">
        <v>28.3</v>
      </c>
      <c r="H71" s="4">
        <f t="shared" ref="H71:H134" si="1">IFERROR(F71*G71,0)</f>
      </c>
      <c r="I71">
        <f>VLOOKUP(TablaObra5[[#This Row],[Obra]],Catalogos!$B$3:$C$8,2,FALSE)</f>
      </c>
    </row>
    <row r="72" spans="1:9">
      <c r="A72" s="2">
        <v>46185</v>
      </c>
      <c r="B72" t="s">
        <v>10</v>
      </c>
      <c r="C72" s="2">
        <v>46185</v>
      </c>
      <c r="D72" t="s">
        <v>184</v>
      </c>
      <c r="E72">
        <f>VLOOKUP(TablaObra5[[#This Row],[Equipo]],Catalogos!$I$3:$J$34,2,FALSE)</f>
      </c>
      <c r="F72" s="3">
        <v>50</v>
      </c>
      <c r="G72" s="4">
        <v>28.3</v>
      </c>
      <c r="H72" s="4">
        <f t="shared" si="1"/>
      </c>
      <c r="I72">
        <f>VLOOKUP(TablaObra5[[#This Row],[Obra]],Catalogos!$B$3:$C$8,2,FALSE)</f>
      </c>
    </row>
    <row r="73" spans="1:9">
      <c r="A73" s="2">
        <v>46185</v>
      </c>
      <c r="B73" t="s">
        <v>10</v>
      </c>
      <c r="C73" s="2">
        <v>46185</v>
      </c>
      <c r="D73" t="s">
        <v>186</v>
      </c>
      <c r="E73">
        <f>VLOOKUP(TablaObra5[[#This Row],[Equipo]],Catalogos!$I$3:$J$34,2,FALSE)</f>
      </c>
      <c r="F73" s="3">
        <v>50</v>
      </c>
      <c r="G73" s="4">
        <v>28.3</v>
      </c>
      <c r="H73" s="4">
        <f t="shared" si="1"/>
      </c>
      <c r="I73">
        <f>VLOOKUP(TablaObra5[[#This Row],[Obra]],Catalogos!$B$3:$C$8,2,FALSE)</f>
      </c>
    </row>
    <row r="74" spans="1:9">
      <c r="A74" s="2">
        <v>46185</v>
      </c>
      <c r="B74" t="s">
        <v>10</v>
      </c>
      <c r="C74" s="2">
        <v>46185</v>
      </c>
      <c r="D74" t="s">
        <v>188</v>
      </c>
      <c r="E74">
        <f>VLOOKUP(TablaObra5[[#This Row],[Equipo]],Catalogos!$I$3:$J$34,2,FALSE)</f>
      </c>
      <c r="F74" s="3">
        <v>50</v>
      </c>
      <c r="G74" s="4">
        <v>28.3</v>
      </c>
      <c r="H74" s="4">
        <f t="shared" si="1"/>
      </c>
      <c r="I74">
        <f>VLOOKUP(TablaObra5[[#This Row],[Obra]],Catalogos!$B$3:$C$8,2,FALSE)</f>
      </c>
    </row>
    <row r="75" spans="1:9">
      <c r="A75" s="2"/>
      <c r="E75">
        <f>VLOOKUP(TablaObra5[[#This Row],[Equipo]],Catalogos!$I$3:$J$34,2,FALSE)</f>
      </c>
      <c r="F75" s="3"/>
      <c r="G75" s="4">
        <v>28.3</v>
      </c>
      <c r="H75" s="4">
        <f t="shared" si="1"/>
      </c>
      <c r="I75">
        <f>VLOOKUP(TablaObra5[[#This Row],[Obra]],Catalogos!$B$3:$C$8,2,FALSE)</f>
      </c>
    </row>
    <row r="76" spans="1:9">
      <c r="A76" s="2"/>
      <c r="E76">
        <f>VLOOKUP(TablaObra5[[#This Row],[Equipo]],Catalogos!$I$3:$J$34,2,FALSE)</f>
      </c>
      <c r="F76" s="3"/>
      <c r="G76" s="4">
        <v>28.3</v>
      </c>
      <c r="H76" s="4">
        <f t="shared" si="1"/>
      </c>
      <c r="I76">
        <f>VLOOKUP(TablaObra5[[#This Row],[Obra]],Catalogos!$B$3:$C$8,2,FALSE)</f>
      </c>
    </row>
    <row r="77" spans="1:9">
      <c r="A77" s="2"/>
      <c r="E77">
        <f>VLOOKUP(TablaObra5[[#This Row],[Equipo]],Catalogos!$I$3:$J$34,2,FALSE)</f>
      </c>
      <c r="F77" s="3"/>
      <c r="G77" s="4">
        <v>28.3</v>
      </c>
      <c r="H77" s="4">
        <f t="shared" si="1"/>
      </c>
      <c r="I77">
        <f>VLOOKUP(TablaObra5[[#This Row],[Obra]],Catalogos!$B$3:$C$8,2,FALSE)</f>
      </c>
    </row>
    <row r="78" spans="1:9">
      <c r="A78" s="2"/>
      <c r="E78">
        <f>VLOOKUP(TablaObra5[[#This Row],[Equipo]],Catalogos!$I$3:$J$34,2,FALSE)</f>
      </c>
      <c r="F78" s="3"/>
      <c r="G78" s="4">
        <v>28.3</v>
      </c>
      <c r="H78" s="4">
        <f t="shared" si="1"/>
      </c>
      <c r="I78">
        <f>VLOOKUP(TablaObra5[[#This Row],[Obra]],Catalogos!$B$3:$C$8,2,FALSE)</f>
      </c>
    </row>
    <row r="79" spans="1:9">
      <c r="A79" s="2"/>
      <c r="E79">
        <f>VLOOKUP(TablaObra5[[#This Row],[Equipo]],Catalogos!$I$3:$J$34,2,FALSE)</f>
      </c>
      <c r="F79" s="3"/>
      <c r="G79" s="4">
        <v>28.3</v>
      </c>
      <c r="H79" s="4">
        <f t="shared" si="1"/>
      </c>
      <c r="I79">
        <f>VLOOKUP(TablaObra5[[#This Row],[Obra]],Catalogos!$B$3:$C$8,2,FALSE)</f>
      </c>
    </row>
    <row r="80" spans="1:9">
      <c r="A80" s="2"/>
      <c r="E80">
        <f>VLOOKUP(TablaObra5[[#This Row],[Equipo]],Catalogos!$I$3:$J$34,2,FALSE)</f>
      </c>
      <c r="F80" s="3"/>
      <c r="G80" s="4">
        <v>28.3</v>
      </c>
      <c r="H80" s="4">
        <f t="shared" si="1"/>
      </c>
      <c r="I80">
        <f>VLOOKUP(TablaObra5[[#This Row],[Obra]],Catalogos!$B$3:$C$8,2,FALSE)</f>
      </c>
    </row>
    <row r="81" spans="1:9">
      <c r="A81" s="2"/>
      <c r="E81">
        <f>VLOOKUP(TablaObra5[[#This Row],[Equipo]],Catalogos!$I$3:$J$34,2,FALSE)</f>
      </c>
      <c r="F81" s="3"/>
      <c r="G81" s="4">
        <v>28.3</v>
      </c>
      <c r="H81" s="4">
        <f t="shared" si="1"/>
      </c>
      <c r="I81">
        <f>VLOOKUP(TablaObra5[[#This Row],[Obra]],Catalogos!$B$3:$C$8,2,FALSE)</f>
      </c>
    </row>
    <row r="82" spans="1:9">
      <c r="A82" s="2"/>
      <c r="E82">
        <f>VLOOKUP(TablaObra5[[#This Row],[Equipo]],Catalogos!$I$3:$J$34,2,FALSE)</f>
      </c>
      <c r="F82" s="3"/>
      <c r="G82" s="4">
        <v>28.3</v>
      </c>
      <c r="H82" s="4">
        <f t="shared" si="1"/>
      </c>
      <c r="I82">
        <f>VLOOKUP(TablaObra5[[#This Row],[Obra]],Catalogos!$B$3:$C$8,2,FALSE)</f>
      </c>
    </row>
    <row r="83" spans="1:9">
      <c r="A83" s="2"/>
      <c r="E83">
        <f>VLOOKUP(TablaObra5[[#This Row],[Equipo]],Catalogos!$I$3:$J$34,2,FALSE)</f>
      </c>
      <c r="F83" s="3"/>
      <c r="G83" s="4">
        <v>28.3</v>
      </c>
      <c r="H83" s="4">
        <f t="shared" si="1"/>
      </c>
      <c r="I83">
        <f>VLOOKUP(TablaObra5[[#This Row],[Obra]],Catalogos!$B$3:$C$8,2,FALSE)</f>
      </c>
    </row>
    <row r="84" spans="1:9">
      <c r="A84" s="2"/>
      <c r="E84">
        <f>VLOOKUP(TablaObra5[[#This Row],[Equipo]],Catalogos!$I$3:$J$34,2,FALSE)</f>
      </c>
      <c r="F84" s="3"/>
      <c r="G84" s="4">
        <v>28.3</v>
      </c>
      <c r="H84" s="4">
        <f t="shared" si="1"/>
      </c>
      <c r="I84">
        <f>VLOOKUP(TablaObra5[[#This Row],[Obra]],Catalogos!$B$3:$C$8,2,FALSE)</f>
      </c>
    </row>
    <row r="85" spans="1:9">
      <c r="A85" s="2"/>
      <c r="E85">
        <f>VLOOKUP(TablaObra5[[#This Row],[Equipo]],Catalogos!$I$3:$J$34,2,FALSE)</f>
      </c>
      <c r="F85" s="3"/>
      <c r="G85" s="4">
        <v>28.3</v>
      </c>
      <c r="H85" s="4">
        <f t="shared" si="1"/>
      </c>
      <c r="I85">
        <f>VLOOKUP(TablaObra5[[#This Row],[Obra]],Catalogos!$B$3:$C$8,2,FALSE)</f>
      </c>
    </row>
    <row r="86" spans="1:9">
      <c r="A86" s="2"/>
      <c r="E86">
        <f>VLOOKUP(TablaObra5[[#This Row],[Equipo]],Catalogos!$I$3:$J$34,2,FALSE)</f>
      </c>
      <c r="F86" s="3"/>
      <c r="G86" s="4">
        <v>28.3</v>
      </c>
      <c r="H86" s="4">
        <f t="shared" si="1"/>
      </c>
      <c r="I86">
        <f>VLOOKUP(TablaObra5[[#This Row],[Obra]],Catalogos!$B$3:$C$8,2,FALSE)</f>
      </c>
    </row>
    <row r="87" spans="1:9">
      <c r="A87" s="2"/>
      <c r="E87">
        <f>VLOOKUP(TablaObra5[[#This Row],[Equipo]],Catalogos!$I$3:$J$34,2,FALSE)</f>
      </c>
      <c r="F87" s="3"/>
      <c r="G87" s="4">
        <v>28.3</v>
      </c>
      <c r="H87" s="4">
        <f t="shared" si="1"/>
      </c>
      <c r="I87">
        <f>VLOOKUP(TablaObra5[[#This Row],[Obra]],Catalogos!$B$3:$C$8,2,FALSE)</f>
      </c>
    </row>
    <row r="88" spans="1:9">
      <c r="A88" s="2"/>
      <c r="E88">
        <f>VLOOKUP(TablaObra5[[#This Row],[Equipo]],Catalogos!$I$3:$J$34,2,FALSE)</f>
      </c>
      <c r="F88" s="3"/>
      <c r="G88" s="4">
        <v>28.3</v>
      </c>
      <c r="H88" s="4">
        <f t="shared" si="1"/>
      </c>
      <c r="I88">
        <f>VLOOKUP(TablaObra5[[#This Row],[Obra]],Catalogos!$B$3:$C$8,2,FALSE)</f>
      </c>
    </row>
    <row r="89" spans="1:9">
      <c r="A89" s="2"/>
      <c r="E89">
        <f>VLOOKUP(TablaObra5[[#This Row],[Equipo]],Catalogos!$I$3:$J$34,2,FALSE)</f>
      </c>
      <c r="F89" s="3"/>
      <c r="G89" s="4">
        <v>28.3</v>
      </c>
      <c r="H89" s="4">
        <f t="shared" si="1"/>
      </c>
      <c r="I89">
        <f>VLOOKUP(TablaObra5[[#This Row],[Obra]],Catalogos!$B$3:$C$8,2,FALSE)</f>
      </c>
    </row>
    <row r="90" spans="1:9">
      <c r="A90" s="2"/>
      <c r="E90">
        <f>VLOOKUP(TablaObra5[[#This Row],[Equipo]],Catalogos!$I$3:$J$34,2,FALSE)</f>
      </c>
      <c r="F90" s="3"/>
      <c r="G90" s="4">
        <v>28.3</v>
      </c>
      <c r="H90" s="4">
        <f t="shared" si="1"/>
      </c>
      <c r="I90">
        <f>VLOOKUP(TablaObra5[[#This Row],[Obra]],Catalogos!$B$3:$C$8,2,FALSE)</f>
      </c>
    </row>
    <row r="91" spans="1:9">
      <c r="A91" s="2"/>
      <c r="E91">
        <f>VLOOKUP(TablaObra5[[#This Row],[Equipo]],Catalogos!$I$3:$J$34,2,FALSE)</f>
      </c>
      <c r="F91" s="3"/>
      <c r="G91" s="4">
        <v>28.3</v>
      </c>
      <c r="H91" s="4">
        <f t="shared" si="1"/>
      </c>
      <c r="I91">
        <f>VLOOKUP(TablaObra5[[#This Row],[Obra]],Catalogos!$B$3:$C$8,2,FALSE)</f>
      </c>
    </row>
    <row r="92" spans="1:9">
      <c r="A92" s="2"/>
      <c r="E92">
        <f>VLOOKUP(TablaObra5[[#This Row],[Equipo]],Catalogos!$I$3:$J$34,2,FALSE)</f>
      </c>
      <c r="F92" s="3"/>
      <c r="G92" s="4">
        <v>28.3</v>
      </c>
      <c r="H92" s="4">
        <f t="shared" si="1"/>
      </c>
      <c r="I92">
        <f>VLOOKUP(TablaObra5[[#This Row],[Obra]],Catalogos!$B$3:$C$8,2,FALSE)</f>
      </c>
    </row>
    <row r="93" spans="1:9">
      <c r="A93" s="2"/>
      <c r="E93">
        <f>VLOOKUP(TablaObra5[[#This Row],[Equipo]],Catalogos!$I$3:$J$34,2,FALSE)</f>
      </c>
      <c r="F93" s="3"/>
      <c r="G93" s="4">
        <v>28.3</v>
      </c>
      <c r="H93" s="4">
        <f t="shared" si="1"/>
      </c>
      <c r="I93">
        <f>VLOOKUP(TablaObra5[[#This Row],[Obra]],Catalogos!$B$3:$C$8,2,FALSE)</f>
      </c>
    </row>
    <row r="94" spans="1:9">
      <c r="A94" s="2"/>
      <c r="E94">
        <f>VLOOKUP(TablaObra5[[#This Row],[Equipo]],Catalogos!$I$3:$J$34,2,FALSE)</f>
      </c>
      <c r="F94" s="3"/>
      <c r="G94" s="4">
        <v>28.3</v>
      </c>
      <c r="H94" s="4">
        <f t="shared" si="1"/>
      </c>
      <c r="I94">
        <f>VLOOKUP(TablaObra5[[#This Row],[Obra]],Catalogos!$B$3:$C$8,2,FALSE)</f>
      </c>
    </row>
    <row r="95" spans="1:9">
      <c r="A95" s="2"/>
      <c r="E95">
        <f>VLOOKUP(TablaObra5[[#This Row],[Equipo]],Catalogos!$I$3:$J$34,2,FALSE)</f>
      </c>
      <c r="F95" s="3"/>
      <c r="G95" s="4">
        <v>28.3</v>
      </c>
      <c r="H95" s="4">
        <f t="shared" si="1"/>
      </c>
      <c r="I95">
        <f>VLOOKUP(TablaObra5[[#This Row],[Obra]],Catalogos!$B$3:$C$8,2,FALSE)</f>
      </c>
    </row>
    <row r="96" spans="1:9">
      <c r="A96" s="2"/>
      <c r="E96">
        <f>VLOOKUP(TablaObra5[[#This Row],[Equipo]],Catalogos!$I$3:$J$34,2,FALSE)</f>
      </c>
      <c r="F96" s="3"/>
      <c r="G96" s="4">
        <v>28.3</v>
      </c>
      <c r="H96" s="4">
        <f t="shared" si="1"/>
      </c>
      <c r="I96">
        <f>VLOOKUP(TablaObra5[[#This Row],[Obra]],Catalogos!$B$3:$C$8,2,FALSE)</f>
      </c>
    </row>
    <row r="97" spans="1:9">
      <c r="A97" s="2"/>
      <c r="E97">
        <f>VLOOKUP(TablaObra5[[#This Row],[Equipo]],Catalogos!$I$3:$J$34,2,FALSE)</f>
      </c>
      <c r="F97" s="3"/>
      <c r="G97" s="4">
        <v>28.3</v>
      </c>
      <c r="H97" s="4">
        <f t="shared" si="1"/>
      </c>
      <c r="I97">
        <f>VLOOKUP(TablaObra5[[#This Row],[Obra]],Catalogos!$B$3:$C$8,2,FALSE)</f>
      </c>
    </row>
    <row r="98" spans="1:9">
      <c r="A98" s="2"/>
      <c r="E98">
        <f>VLOOKUP(TablaObra5[[#This Row],[Equipo]],Catalogos!$I$3:$J$34,2,FALSE)</f>
      </c>
      <c r="F98" s="3"/>
      <c r="G98" s="4">
        <v>28.3</v>
      </c>
      <c r="H98" s="4">
        <f t="shared" si="1"/>
      </c>
      <c r="I98">
        <f>VLOOKUP(TablaObra5[[#This Row],[Obra]],Catalogos!$B$3:$C$8,2,FALSE)</f>
      </c>
    </row>
    <row r="99" spans="1:9">
      <c r="A99" s="2"/>
      <c r="E99">
        <f>VLOOKUP(TablaObra5[[#This Row],[Equipo]],Catalogos!$I$3:$J$34,2,FALSE)</f>
      </c>
      <c r="F99" s="3"/>
      <c r="G99" s="4">
        <v>28.3</v>
      </c>
      <c r="H99" s="4">
        <f t="shared" si="1"/>
      </c>
      <c r="I99">
        <f>VLOOKUP(TablaObra5[[#This Row],[Obra]],Catalogos!$B$3:$C$8,2,FALSE)</f>
      </c>
    </row>
    <row r="100" spans="1:9">
      <c r="A100" s="2"/>
      <c r="E100">
        <f>VLOOKUP(TablaObra5[[#This Row],[Equipo]],Catalogos!$I$3:$J$34,2,FALSE)</f>
      </c>
      <c r="F100" s="3"/>
      <c r="G100" s="4">
        <v>28.3</v>
      </c>
      <c r="H100" s="4">
        <f t="shared" si="1"/>
      </c>
      <c r="I100">
        <f>VLOOKUP(TablaObra5[[#This Row],[Obra]],Catalogos!$B$3:$C$8,2,FALSE)</f>
      </c>
    </row>
    <row r="101" spans="1:9">
      <c r="A101" s="2"/>
      <c r="E101">
        <f>VLOOKUP(TablaObra5[[#This Row],[Equipo]],Catalogos!$I$3:$J$34,2,FALSE)</f>
      </c>
      <c r="F101" s="3"/>
      <c r="G101" s="4">
        <v>28.3</v>
      </c>
      <c r="H101" s="4">
        <f t="shared" si="1"/>
      </c>
      <c r="I101">
        <f>VLOOKUP(TablaObra5[[#This Row],[Obra]],Catalogos!$B$3:$C$8,2,FALSE)</f>
      </c>
    </row>
    <row r="102" spans="1:9">
      <c r="A102" s="2"/>
      <c r="E102">
        <f>VLOOKUP(TablaObra5[[#This Row],[Equipo]],Catalogos!$I$3:$J$34,2,FALSE)</f>
      </c>
      <c r="F102" s="3"/>
      <c r="G102" s="4">
        <v>28.3</v>
      </c>
      <c r="H102" s="4">
        <f t="shared" si="1"/>
      </c>
      <c r="I102">
        <f>VLOOKUP(TablaObra5[[#This Row],[Obra]],Catalogos!$B$3:$C$8,2,FALSE)</f>
      </c>
    </row>
    <row r="103" spans="1:9">
      <c r="A103" s="2"/>
      <c r="E103">
        <f>VLOOKUP(TablaObra5[[#This Row],[Equipo]],Catalogos!$I$3:$J$34,2,FALSE)</f>
      </c>
      <c r="F103" s="3"/>
      <c r="G103" s="4">
        <v>28.3</v>
      </c>
      <c r="H103" s="4">
        <f t="shared" si="1"/>
      </c>
      <c r="I103">
        <f>VLOOKUP(TablaObra5[[#This Row],[Obra]],Catalogos!$B$3:$C$8,2,FALSE)</f>
      </c>
    </row>
    <row r="104" spans="1:9">
      <c r="A104" s="2"/>
      <c r="E104">
        <f>VLOOKUP(TablaObra5[[#This Row],[Equipo]],Catalogos!$I$3:$J$34,2,FALSE)</f>
      </c>
      <c r="F104" s="3"/>
      <c r="G104" s="4">
        <v>28.3</v>
      </c>
      <c r="H104" s="4">
        <f t="shared" si="1"/>
      </c>
      <c r="I104">
        <f>VLOOKUP(TablaObra5[[#This Row],[Obra]],Catalogos!$B$3:$C$8,2,FALSE)</f>
      </c>
    </row>
    <row r="105" spans="1:9">
      <c r="A105" s="2"/>
      <c r="E105">
        <f>VLOOKUP(TablaObra5[[#This Row],[Equipo]],Catalogos!$I$3:$J$34,2,FALSE)</f>
      </c>
      <c r="F105" s="3"/>
      <c r="G105" s="4">
        <v>28.3</v>
      </c>
      <c r="H105" s="4">
        <f t="shared" si="1"/>
      </c>
      <c r="I105">
        <f>VLOOKUP(TablaObra5[[#This Row],[Obra]],Catalogos!$B$3:$C$8,2,FALSE)</f>
      </c>
    </row>
    <row r="106" spans="1:9">
      <c r="A106" s="2"/>
      <c r="E106">
        <f>VLOOKUP(TablaObra5[[#This Row],[Equipo]],Catalogos!$I$3:$J$34,2,FALSE)</f>
      </c>
      <c r="F106" s="3"/>
      <c r="G106" s="4">
        <v>28.3</v>
      </c>
      <c r="H106" s="4">
        <f t="shared" si="1"/>
      </c>
      <c r="I106">
        <f>VLOOKUP(TablaObra5[[#This Row],[Obra]],Catalogos!$B$3:$C$8,2,FALSE)</f>
      </c>
    </row>
    <row r="107" spans="1:9">
      <c r="A107" s="2"/>
      <c r="E107">
        <f>VLOOKUP(TablaObra5[[#This Row],[Equipo]],Catalogos!$I$3:$J$34,2,FALSE)</f>
      </c>
      <c r="F107" s="3"/>
      <c r="G107" s="4">
        <v>28.3</v>
      </c>
      <c r="H107" s="4">
        <f t="shared" si="1"/>
      </c>
      <c r="I107">
        <f>VLOOKUP(TablaObra5[[#This Row],[Obra]],Catalogos!$B$3:$C$8,2,FALSE)</f>
      </c>
    </row>
    <row r="108" spans="1:9">
      <c r="A108" s="2"/>
      <c r="E108">
        <f>VLOOKUP(TablaObra5[[#This Row],[Equipo]],Catalogos!$I$3:$J$34,2,FALSE)</f>
      </c>
      <c r="F108" s="3"/>
      <c r="G108" s="4">
        <v>28.3</v>
      </c>
      <c r="H108" s="4">
        <f t="shared" si="1"/>
      </c>
      <c r="I108">
        <f>VLOOKUP(TablaObra5[[#This Row],[Obra]],Catalogos!$B$3:$C$8,2,FALSE)</f>
      </c>
    </row>
    <row r="109" spans="1:9">
      <c r="A109" s="2"/>
      <c r="E109">
        <f>VLOOKUP(TablaObra5[[#This Row],[Equipo]],Catalogos!$I$3:$J$34,2,FALSE)</f>
      </c>
      <c r="F109" s="3"/>
      <c r="G109" s="4">
        <v>28.3</v>
      </c>
      <c r="H109" s="4">
        <f t="shared" si="1"/>
      </c>
      <c r="I109">
        <f>VLOOKUP(TablaObra5[[#This Row],[Obra]],Catalogos!$B$3:$C$8,2,FALSE)</f>
      </c>
    </row>
    <row r="110" spans="1:9">
      <c r="A110" s="2"/>
      <c r="E110">
        <f>VLOOKUP(TablaObra5[[#This Row],[Equipo]],Catalogos!$I$3:$J$34,2,FALSE)</f>
      </c>
      <c r="F110" s="3"/>
      <c r="G110" s="4">
        <v>28.3</v>
      </c>
      <c r="H110" s="4">
        <f t="shared" si="1"/>
      </c>
      <c r="I110">
        <f>VLOOKUP(TablaObra5[[#This Row],[Obra]],Catalogos!$B$3:$C$8,2,FALSE)</f>
      </c>
    </row>
    <row r="111" spans="1:9">
      <c r="A111" s="2"/>
      <c r="E111">
        <f>VLOOKUP(TablaObra5[[#This Row],[Equipo]],Catalogos!$I$3:$J$34,2,FALSE)</f>
      </c>
      <c r="F111" s="3"/>
      <c r="G111" s="4">
        <v>28.3</v>
      </c>
      <c r="H111" s="4">
        <f t="shared" si="1"/>
      </c>
      <c r="I111">
        <f>VLOOKUP(TablaObra5[[#This Row],[Obra]],Catalogos!$B$3:$C$8,2,FALSE)</f>
      </c>
    </row>
    <row r="112" spans="1:9">
      <c r="A112" s="2"/>
      <c r="E112">
        <f>VLOOKUP(TablaObra5[[#This Row],[Equipo]],Catalogos!$I$3:$J$34,2,FALSE)</f>
      </c>
      <c r="F112" s="3"/>
      <c r="G112" s="4">
        <v>28.3</v>
      </c>
      <c r="H112" s="4">
        <f t="shared" si="1"/>
      </c>
      <c r="I112">
        <f>VLOOKUP(TablaObra5[[#This Row],[Obra]],Catalogos!$B$3:$C$8,2,FALSE)</f>
      </c>
    </row>
    <row r="113" spans="1:9">
      <c r="A113" s="2"/>
      <c r="E113">
        <f>VLOOKUP(TablaObra5[[#This Row],[Equipo]],Catalogos!$I$3:$J$34,2,FALSE)</f>
      </c>
      <c r="F113" s="3"/>
      <c r="G113" s="4">
        <v>28.3</v>
      </c>
      <c r="H113" s="4">
        <f t="shared" si="1"/>
      </c>
      <c r="I113">
        <f>VLOOKUP(TablaObra5[[#This Row],[Obra]],Catalogos!$B$3:$C$8,2,FALSE)</f>
      </c>
    </row>
    <row r="114" spans="1:9">
      <c r="A114" s="2"/>
      <c r="E114">
        <f>VLOOKUP(TablaObra5[[#This Row],[Equipo]],Catalogos!$I$3:$J$34,2,FALSE)</f>
      </c>
      <c r="F114" s="3"/>
      <c r="G114" s="4">
        <v>28.3</v>
      </c>
      <c r="H114" s="4">
        <f t="shared" si="1"/>
      </c>
      <c r="I114">
        <f>VLOOKUP(TablaObra5[[#This Row],[Obra]],Catalogos!$B$3:$C$8,2,FALSE)</f>
      </c>
    </row>
    <row r="115" spans="1:9">
      <c r="A115" s="2"/>
      <c r="E115">
        <f>VLOOKUP(TablaObra5[[#This Row],[Equipo]],Catalogos!$I$3:$J$34,2,FALSE)</f>
      </c>
      <c r="F115" s="3"/>
      <c r="G115" s="4">
        <v>28.3</v>
      </c>
      <c r="H115" s="4">
        <f t="shared" si="1"/>
      </c>
      <c r="I115">
        <f>VLOOKUP(TablaObra5[[#This Row],[Obra]],Catalogos!$B$3:$C$8,2,FALSE)</f>
      </c>
    </row>
    <row r="116" spans="1:9">
      <c r="A116" s="2"/>
      <c r="E116">
        <f>VLOOKUP(TablaObra5[[#This Row],[Equipo]],Catalogos!$I$3:$J$34,2,FALSE)</f>
      </c>
      <c r="F116" s="3"/>
      <c r="G116" s="4">
        <v>28.3</v>
      </c>
      <c r="H116" s="4">
        <f t="shared" si="1"/>
      </c>
      <c r="I116">
        <f>VLOOKUP(TablaObra5[[#This Row],[Obra]],Catalogos!$B$3:$C$8,2,FALSE)</f>
      </c>
    </row>
    <row r="117" spans="1:9">
      <c r="A117" s="2"/>
      <c r="E117">
        <f>VLOOKUP(TablaObra5[[#This Row],[Equipo]],Catalogos!$I$3:$J$34,2,FALSE)</f>
      </c>
      <c r="F117" s="3"/>
      <c r="G117" s="4">
        <v>28.3</v>
      </c>
      <c r="H117" s="4">
        <f t="shared" si="1"/>
      </c>
      <c r="I117">
        <f>VLOOKUP(TablaObra5[[#This Row],[Obra]],Catalogos!$B$3:$C$8,2,FALSE)</f>
      </c>
    </row>
    <row r="118" spans="1:9">
      <c r="A118" s="2"/>
      <c r="E118">
        <f>VLOOKUP(TablaObra5[[#This Row],[Equipo]],Catalogos!$I$3:$J$34,2,FALSE)</f>
      </c>
      <c r="F118" s="3"/>
      <c r="G118" s="4">
        <v>28.3</v>
      </c>
      <c r="H118" s="4">
        <f t="shared" si="1"/>
      </c>
      <c r="I118">
        <f>VLOOKUP(TablaObra5[[#This Row],[Obra]],Catalogos!$B$3:$C$8,2,FALSE)</f>
      </c>
    </row>
    <row r="119" spans="1:9">
      <c r="A119" s="2"/>
      <c r="E119">
        <f>VLOOKUP(TablaObra5[[#This Row],[Equipo]],Catalogos!$I$3:$J$34,2,FALSE)</f>
      </c>
      <c r="F119" s="3"/>
      <c r="G119" s="4">
        <v>28.3</v>
      </c>
      <c r="H119" s="4">
        <f t="shared" si="1"/>
      </c>
      <c r="I119">
        <f>VLOOKUP(TablaObra5[[#This Row],[Obra]],Catalogos!$B$3:$C$8,2,FALSE)</f>
      </c>
    </row>
    <row r="120" spans="1:9">
      <c r="A120" s="2"/>
      <c r="E120">
        <f>VLOOKUP(TablaObra5[[#This Row],[Equipo]],Catalogos!$I$3:$J$34,2,FALSE)</f>
      </c>
      <c r="F120" s="3"/>
      <c r="G120" s="4">
        <v>28.3</v>
      </c>
      <c r="H120" s="4">
        <f t="shared" si="1"/>
      </c>
      <c r="I120">
        <f>VLOOKUP(TablaObra5[[#This Row],[Obra]],Catalogos!$B$3:$C$8,2,FALSE)</f>
      </c>
    </row>
    <row r="121" spans="1:9">
      <c r="A121" s="2"/>
      <c r="E121">
        <f>VLOOKUP(TablaObra5[[#This Row],[Equipo]],Catalogos!$I$3:$J$34,2,FALSE)</f>
      </c>
      <c r="F121" s="3"/>
      <c r="G121" s="4">
        <v>28.3</v>
      </c>
      <c r="H121" s="4">
        <f t="shared" si="1"/>
      </c>
      <c r="I121">
        <f>VLOOKUP(TablaObra5[[#This Row],[Obra]],Catalogos!$B$3:$C$8,2,FALSE)</f>
      </c>
    </row>
    <row r="122" spans="1:9">
      <c r="A122" s="2"/>
      <c r="E122">
        <f>VLOOKUP(TablaObra5[[#This Row],[Equipo]],Catalogos!$I$3:$J$34,2,FALSE)</f>
      </c>
      <c r="F122" s="3"/>
      <c r="G122" s="4">
        <v>28.3</v>
      </c>
      <c r="H122" s="4">
        <f t="shared" si="1"/>
      </c>
      <c r="I122">
        <f>VLOOKUP(TablaObra5[[#This Row],[Obra]],Catalogos!$B$3:$C$8,2,FALSE)</f>
      </c>
    </row>
    <row r="123" spans="1:9">
      <c r="A123" s="2"/>
      <c r="E123">
        <f>VLOOKUP(TablaObra5[[#This Row],[Equipo]],Catalogos!$I$3:$J$34,2,FALSE)</f>
      </c>
      <c r="F123" s="3"/>
      <c r="G123" s="4">
        <v>28.3</v>
      </c>
      <c r="H123" s="4">
        <f t="shared" si="1"/>
      </c>
      <c r="I123">
        <f>VLOOKUP(TablaObra5[[#This Row],[Obra]],Catalogos!$B$3:$C$8,2,FALSE)</f>
      </c>
    </row>
    <row r="124" spans="1:9">
      <c r="A124" s="2"/>
      <c r="E124">
        <f>VLOOKUP(TablaObra5[[#This Row],[Equipo]],Catalogos!$I$3:$J$34,2,FALSE)</f>
      </c>
      <c r="F124" s="3"/>
      <c r="G124" s="4">
        <v>28.3</v>
      </c>
      <c r="H124" s="4">
        <f t="shared" si="1"/>
      </c>
      <c r="I124">
        <f>VLOOKUP(TablaObra5[[#This Row],[Obra]],Catalogos!$B$3:$C$8,2,FALSE)</f>
      </c>
    </row>
    <row r="125" spans="1:9">
      <c r="A125" s="2"/>
      <c r="E125">
        <f>VLOOKUP(TablaObra5[[#This Row],[Equipo]],Catalogos!$I$3:$J$34,2,FALSE)</f>
      </c>
      <c r="F125" s="3"/>
      <c r="G125" s="4">
        <v>28.3</v>
      </c>
      <c r="H125" s="4">
        <f t="shared" si="1"/>
      </c>
      <c r="I125">
        <f>VLOOKUP(TablaObra5[[#This Row],[Obra]],Catalogos!$B$3:$C$8,2,FALSE)</f>
      </c>
    </row>
    <row r="126" spans="1:9">
      <c r="A126" s="2"/>
      <c r="E126">
        <f>VLOOKUP(TablaObra5[[#This Row],[Equipo]],Catalogos!$I$3:$J$34,2,FALSE)</f>
      </c>
      <c r="F126" s="3"/>
      <c r="G126" s="4">
        <v>28.3</v>
      </c>
      <c r="H126" s="4">
        <f t="shared" si="1"/>
      </c>
      <c r="I126">
        <f>VLOOKUP(TablaObra5[[#This Row],[Obra]],Catalogos!$B$3:$C$8,2,FALSE)</f>
      </c>
    </row>
    <row r="127" spans="1:9">
      <c r="A127" s="2"/>
      <c r="E127">
        <f>VLOOKUP(TablaObra5[[#This Row],[Equipo]],Catalogos!$I$3:$J$34,2,FALSE)</f>
      </c>
      <c r="F127" s="3"/>
      <c r="G127" s="4">
        <v>28.3</v>
      </c>
      <c r="H127" s="4">
        <f t="shared" si="1"/>
      </c>
      <c r="I127">
        <f>VLOOKUP(TablaObra5[[#This Row],[Obra]],Catalogos!$B$3:$C$8,2,FALSE)</f>
      </c>
    </row>
    <row r="128" spans="1:9">
      <c r="A128" s="2"/>
      <c r="E128">
        <f>VLOOKUP(TablaObra5[[#This Row],[Equipo]],Catalogos!$I$3:$J$34,2,FALSE)</f>
      </c>
      <c r="F128" s="3"/>
      <c r="G128" s="4">
        <v>28.3</v>
      </c>
      <c r="H128" s="4">
        <f t="shared" si="1"/>
      </c>
      <c r="I128">
        <f>VLOOKUP(TablaObra5[[#This Row],[Obra]],Catalogos!$B$3:$C$8,2,FALSE)</f>
      </c>
    </row>
    <row r="129" spans="1:9">
      <c r="A129" s="2"/>
      <c r="E129">
        <f>VLOOKUP(TablaObra5[[#This Row],[Equipo]],Catalogos!$I$3:$J$34,2,FALSE)</f>
      </c>
      <c r="F129" s="3"/>
      <c r="G129" s="4">
        <v>28.3</v>
      </c>
      <c r="H129" s="4">
        <f t="shared" si="1"/>
      </c>
      <c r="I129">
        <f>VLOOKUP(TablaObra5[[#This Row],[Obra]],Catalogos!$B$3:$C$8,2,FALSE)</f>
      </c>
    </row>
    <row r="130" spans="1:9">
      <c r="A130" s="2"/>
      <c r="E130">
        <f>VLOOKUP(TablaObra5[[#This Row],[Equipo]],Catalogos!$I$3:$J$34,2,FALSE)</f>
      </c>
      <c r="F130" s="3"/>
      <c r="G130" s="4">
        <v>28.3</v>
      </c>
      <c r="H130" s="4">
        <f t="shared" si="1"/>
      </c>
      <c r="I130">
        <f>VLOOKUP(TablaObra5[[#This Row],[Obra]],Catalogos!$B$3:$C$8,2,FALSE)</f>
      </c>
    </row>
    <row r="131" spans="1:9">
      <c r="A131" s="2"/>
      <c r="E131">
        <f>VLOOKUP(TablaObra5[[#This Row],[Equipo]],Catalogos!$I$3:$J$34,2,FALSE)</f>
      </c>
      <c r="F131" s="3"/>
      <c r="G131" s="4">
        <v>28.3</v>
      </c>
      <c r="H131" s="4">
        <f t="shared" si="1"/>
      </c>
      <c r="I131">
        <f>VLOOKUP(TablaObra5[[#This Row],[Obra]],Catalogos!$B$3:$C$8,2,FALSE)</f>
      </c>
    </row>
    <row r="132" spans="1:9">
      <c r="A132" s="2"/>
      <c r="E132">
        <f>VLOOKUP(TablaObra5[[#This Row],[Equipo]],Catalogos!$I$3:$J$34,2,FALSE)</f>
      </c>
      <c r="F132" s="3"/>
      <c r="G132" s="4">
        <v>28.3</v>
      </c>
      <c r="H132" s="4">
        <f t="shared" si="1"/>
      </c>
      <c r="I132">
        <f>VLOOKUP(TablaObra5[[#This Row],[Obra]],Catalogos!$B$3:$C$8,2,FALSE)</f>
      </c>
    </row>
    <row r="133" spans="1:9">
      <c r="A133" s="2"/>
      <c r="E133">
        <f>VLOOKUP(TablaObra5[[#This Row],[Equipo]],Catalogos!$I$3:$J$34,2,FALSE)</f>
      </c>
      <c r="F133" s="3"/>
      <c r="G133" s="4">
        <v>28.3</v>
      </c>
      <c r="H133" s="4">
        <f t="shared" si="1"/>
      </c>
      <c r="I133">
        <f>VLOOKUP(TablaObra5[[#This Row],[Obra]],Catalogos!$B$3:$C$8,2,FALSE)</f>
      </c>
    </row>
    <row r="134" spans="1:9">
      <c r="A134" s="2"/>
      <c r="E134">
        <f>VLOOKUP(TablaObra5[[#This Row],[Equipo]],Catalogos!$I$3:$J$34,2,FALSE)</f>
      </c>
      <c r="F134" s="3"/>
      <c r="G134" s="4">
        <v>28.3</v>
      </c>
      <c r="H134" s="4">
        <f t="shared" si="1"/>
      </c>
      <c r="I134">
        <f>VLOOKUP(TablaObra5[[#This Row],[Obra]],Catalogos!$B$3:$C$8,2,FALSE)</f>
      </c>
    </row>
    <row r="135" spans="1:9">
      <c r="A135" s="2"/>
      <c r="E135">
        <f>VLOOKUP(TablaObra5[[#This Row],[Equipo]],Catalogos!$I$3:$J$34,2,FALSE)</f>
      </c>
      <c r="F135" s="3"/>
      <c r="G135" s="4">
        <v>28.3</v>
      </c>
      <c r="H135" s="4">
        <f t="shared" ref="H135:H198" si="2">IFERROR(F135*G135,0)</f>
      </c>
      <c r="I135">
        <f>VLOOKUP(TablaObra5[[#This Row],[Obra]],Catalogos!$B$3:$C$8,2,FALSE)</f>
      </c>
    </row>
    <row r="136" spans="1:9">
      <c r="A136" s="2"/>
      <c r="E136">
        <f>VLOOKUP(TablaObra5[[#This Row],[Equipo]],Catalogos!$I$3:$J$34,2,FALSE)</f>
      </c>
      <c r="F136" s="3"/>
      <c r="G136" s="4">
        <v>28.3</v>
      </c>
      <c r="H136" s="4">
        <f t="shared" si="2"/>
      </c>
      <c r="I136">
        <f>VLOOKUP(TablaObra5[[#This Row],[Obra]],Catalogos!$B$3:$C$8,2,FALSE)</f>
      </c>
    </row>
    <row r="137" spans="1:9">
      <c r="A137" s="2"/>
      <c r="E137">
        <f>VLOOKUP(TablaObra5[[#This Row],[Equipo]],Catalogos!$I$3:$J$34,2,FALSE)</f>
      </c>
      <c r="F137" s="3"/>
      <c r="G137" s="4">
        <v>28.3</v>
      </c>
      <c r="H137" s="4">
        <f t="shared" si="2"/>
      </c>
      <c r="I137">
        <f>VLOOKUP(TablaObra5[[#This Row],[Obra]],Catalogos!$B$3:$C$8,2,FALSE)</f>
      </c>
    </row>
    <row r="138" spans="1:9">
      <c r="A138" s="2"/>
      <c r="E138">
        <f>VLOOKUP(TablaObra5[[#This Row],[Equipo]],Catalogos!$I$3:$J$34,2,FALSE)</f>
      </c>
      <c r="F138" s="3"/>
      <c r="G138" s="4">
        <v>28.3</v>
      </c>
      <c r="H138" s="4">
        <f t="shared" si="2"/>
      </c>
      <c r="I138">
        <f>VLOOKUP(TablaObra5[[#This Row],[Obra]],Catalogos!$B$3:$C$8,2,FALSE)</f>
      </c>
    </row>
    <row r="139" spans="1:9">
      <c r="A139" s="2"/>
      <c r="E139">
        <f>VLOOKUP(TablaObra5[[#This Row],[Equipo]],Catalogos!$I$3:$J$34,2,FALSE)</f>
      </c>
      <c r="F139" s="3"/>
      <c r="G139" s="4">
        <v>28.3</v>
      </c>
      <c r="H139" s="4">
        <f t="shared" si="2"/>
      </c>
      <c r="I139">
        <f>VLOOKUP(TablaObra5[[#This Row],[Obra]],Catalogos!$B$3:$C$8,2,FALSE)</f>
      </c>
    </row>
    <row r="140" spans="1:9">
      <c r="A140" s="2"/>
      <c r="E140">
        <f>VLOOKUP(TablaObra5[[#This Row],[Equipo]],Catalogos!$I$3:$J$34,2,FALSE)</f>
      </c>
      <c r="F140" s="3"/>
      <c r="G140" s="4">
        <v>28.3</v>
      </c>
      <c r="H140" s="4">
        <f t="shared" si="2"/>
      </c>
      <c r="I140">
        <f>VLOOKUP(TablaObra5[[#This Row],[Obra]],Catalogos!$B$3:$C$8,2,FALSE)</f>
      </c>
    </row>
    <row r="141" spans="1:9">
      <c r="A141" s="2"/>
      <c r="E141">
        <f>VLOOKUP(TablaObra5[[#This Row],[Equipo]],Catalogos!$I$3:$J$34,2,FALSE)</f>
      </c>
      <c r="F141" s="3"/>
      <c r="G141" s="4">
        <v>28.3</v>
      </c>
      <c r="H141" s="4">
        <f t="shared" si="2"/>
      </c>
      <c r="I141">
        <f>VLOOKUP(TablaObra5[[#This Row],[Obra]],Catalogos!$B$3:$C$8,2,FALSE)</f>
      </c>
    </row>
    <row r="142" spans="1:9">
      <c r="A142" s="2"/>
      <c r="E142">
        <f>VLOOKUP(TablaObra5[[#This Row],[Equipo]],Catalogos!$I$3:$J$34,2,FALSE)</f>
      </c>
      <c r="F142" s="3"/>
      <c r="G142" s="4">
        <v>28.3</v>
      </c>
      <c r="H142" s="4">
        <f t="shared" si="2"/>
      </c>
      <c r="I142">
        <f>VLOOKUP(TablaObra5[[#This Row],[Obra]],Catalogos!$B$3:$C$8,2,FALSE)</f>
      </c>
    </row>
    <row r="143" spans="1:9">
      <c r="A143" s="2"/>
      <c r="E143">
        <f>VLOOKUP(TablaObra5[[#This Row],[Equipo]],Catalogos!$I$3:$J$34,2,FALSE)</f>
      </c>
      <c r="F143" s="3"/>
      <c r="G143" s="4">
        <v>28.3</v>
      </c>
      <c r="H143" s="4">
        <f t="shared" si="2"/>
      </c>
      <c r="I143">
        <f>VLOOKUP(TablaObra5[[#This Row],[Obra]],Catalogos!$B$3:$C$8,2,FALSE)</f>
      </c>
    </row>
    <row r="144" spans="1:9">
      <c r="A144" s="2"/>
      <c r="E144">
        <f>VLOOKUP(TablaObra5[[#This Row],[Equipo]],Catalogos!$I$3:$J$34,2,FALSE)</f>
      </c>
      <c r="F144" s="3"/>
      <c r="G144" s="4">
        <v>28.3</v>
      </c>
      <c r="H144" s="4">
        <f t="shared" si="2"/>
      </c>
      <c r="I144">
        <f>VLOOKUP(TablaObra5[[#This Row],[Obra]],Catalogos!$B$3:$C$8,2,FALSE)</f>
      </c>
    </row>
    <row r="145" spans="1:9">
      <c r="A145" s="2"/>
      <c r="E145">
        <f>VLOOKUP(TablaObra5[[#This Row],[Equipo]],Catalogos!$I$3:$J$34,2,FALSE)</f>
      </c>
      <c r="F145" s="3"/>
      <c r="G145" s="4">
        <v>28.3</v>
      </c>
      <c r="H145" s="4">
        <f t="shared" si="2"/>
      </c>
      <c r="I145">
        <f>VLOOKUP(TablaObra5[[#This Row],[Obra]],Catalogos!$B$3:$C$8,2,FALSE)</f>
      </c>
    </row>
    <row r="146" spans="1:9">
      <c r="A146" s="2"/>
      <c r="E146">
        <f>VLOOKUP(TablaObra5[[#This Row],[Equipo]],Catalogos!$I$3:$J$34,2,FALSE)</f>
      </c>
      <c r="F146" s="3"/>
      <c r="G146" s="4">
        <v>28.3</v>
      </c>
      <c r="H146" s="4">
        <f t="shared" si="2"/>
      </c>
      <c r="I146">
        <f>VLOOKUP(TablaObra5[[#This Row],[Obra]],Catalogos!$B$3:$C$8,2,FALSE)</f>
      </c>
    </row>
    <row r="147" spans="1:9">
      <c r="A147" s="2"/>
      <c r="E147">
        <f>VLOOKUP(TablaObra5[[#This Row],[Equipo]],Catalogos!$I$3:$J$34,2,FALSE)</f>
      </c>
      <c r="F147" s="3"/>
      <c r="G147" s="4">
        <v>28.3</v>
      </c>
      <c r="H147" s="4">
        <f t="shared" si="2"/>
      </c>
      <c r="I147">
        <f>VLOOKUP(TablaObra5[[#This Row],[Obra]],Catalogos!$B$3:$C$8,2,FALSE)</f>
      </c>
    </row>
    <row r="148" spans="1:9">
      <c r="A148" s="2"/>
      <c r="E148">
        <f>VLOOKUP(TablaObra5[[#This Row],[Equipo]],Catalogos!$I$3:$J$34,2,FALSE)</f>
      </c>
      <c r="F148" s="3"/>
      <c r="G148" s="4">
        <v>28.3</v>
      </c>
      <c r="H148" s="4">
        <f t="shared" si="2"/>
      </c>
      <c r="I148">
        <f>VLOOKUP(TablaObra5[[#This Row],[Obra]],Catalogos!$B$3:$C$8,2,FALSE)</f>
      </c>
    </row>
    <row r="149" spans="1:9">
      <c r="A149" s="2"/>
      <c r="E149">
        <f>VLOOKUP(TablaObra5[[#This Row],[Equipo]],Catalogos!$I$3:$J$34,2,FALSE)</f>
      </c>
      <c r="F149" s="3"/>
      <c r="G149" s="4">
        <v>28.3</v>
      </c>
      <c r="H149" s="4">
        <f t="shared" si="2"/>
      </c>
      <c r="I149">
        <f>VLOOKUP(TablaObra5[[#This Row],[Obra]],Catalogos!$B$3:$C$8,2,FALSE)</f>
      </c>
    </row>
    <row r="150" spans="1:9">
      <c r="A150" s="2"/>
      <c r="E150">
        <f>VLOOKUP(TablaObra5[[#This Row],[Equipo]],Catalogos!$I$3:$J$34,2,FALSE)</f>
      </c>
      <c r="F150" s="3"/>
      <c r="G150" s="4">
        <v>28.3</v>
      </c>
      <c r="H150" s="4">
        <f t="shared" si="2"/>
      </c>
      <c r="I150">
        <f>VLOOKUP(TablaObra5[[#This Row],[Obra]],Catalogos!$B$3:$C$8,2,FALSE)</f>
      </c>
    </row>
    <row r="151" spans="1:9">
      <c r="A151" s="2"/>
      <c r="E151">
        <f>VLOOKUP(TablaObra5[[#This Row],[Equipo]],Catalogos!$I$3:$J$34,2,FALSE)</f>
      </c>
      <c r="F151" s="3"/>
      <c r="G151" s="4">
        <v>28.3</v>
      </c>
      <c r="H151" s="4">
        <f t="shared" si="2"/>
      </c>
      <c r="I151">
        <f>VLOOKUP(TablaObra5[[#This Row],[Obra]],Catalogos!$B$3:$C$8,2,FALSE)</f>
      </c>
    </row>
    <row r="152" spans="1:9">
      <c r="A152" s="2"/>
      <c r="E152">
        <f>VLOOKUP(TablaObra5[[#This Row],[Equipo]],Catalogos!$I$3:$J$34,2,FALSE)</f>
      </c>
      <c r="F152" s="3"/>
      <c r="G152" s="4">
        <v>28.3</v>
      </c>
      <c r="H152" s="4">
        <f t="shared" si="2"/>
      </c>
      <c r="I152">
        <f>VLOOKUP(TablaObra5[[#This Row],[Obra]],Catalogos!$B$3:$C$8,2,FALSE)</f>
      </c>
    </row>
    <row r="153" spans="1:9">
      <c r="A153" s="2"/>
      <c r="E153">
        <f>VLOOKUP(TablaObra5[[#This Row],[Equipo]],Catalogos!$I$3:$J$34,2,FALSE)</f>
      </c>
      <c r="F153" s="3"/>
      <c r="G153" s="4">
        <v>28.3</v>
      </c>
      <c r="H153" s="4">
        <f t="shared" si="2"/>
      </c>
      <c r="I153">
        <f>VLOOKUP(TablaObra5[[#This Row],[Obra]],Catalogos!$B$3:$C$8,2,FALSE)</f>
      </c>
    </row>
    <row r="154" spans="1:9">
      <c r="A154" s="2"/>
      <c r="E154">
        <f>VLOOKUP(TablaObra5[[#This Row],[Equipo]],Catalogos!$I$3:$J$34,2,FALSE)</f>
      </c>
      <c r="F154" s="3"/>
      <c r="G154" s="4">
        <v>28.3</v>
      </c>
      <c r="H154" s="4">
        <f t="shared" si="2"/>
      </c>
      <c r="I154">
        <f>VLOOKUP(TablaObra5[[#This Row],[Obra]],Catalogos!$B$3:$C$8,2,FALSE)</f>
      </c>
    </row>
    <row r="155" spans="1:9">
      <c r="A155" s="2"/>
      <c r="E155">
        <f>VLOOKUP(TablaObra5[[#This Row],[Equipo]],Catalogos!$I$3:$J$34,2,FALSE)</f>
      </c>
      <c r="F155" s="3"/>
      <c r="G155" s="4">
        <v>28.3</v>
      </c>
      <c r="H155" s="4">
        <f t="shared" si="2"/>
      </c>
      <c r="I155">
        <f>VLOOKUP(TablaObra5[[#This Row],[Obra]],Catalogos!$B$3:$C$8,2,FALSE)</f>
      </c>
    </row>
    <row r="156" spans="1:9">
      <c r="A156" s="2"/>
      <c r="E156">
        <f>VLOOKUP(TablaObra5[[#This Row],[Equipo]],Catalogos!$I$3:$J$34,2,FALSE)</f>
      </c>
      <c r="F156" s="3"/>
      <c r="G156" s="4">
        <v>28.3</v>
      </c>
      <c r="H156" s="4">
        <f t="shared" si="2"/>
      </c>
      <c r="I156">
        <f>VLOOKUP(TablaObra5[[#This Row],[Obra]],Catalogos!$B$3:$C$8,2,FALSE)</f>
      </c>
    </row>
    <row r="157" spans="1:9">
      <c r="A157" s="2"/>
      <c r="E157">
        <f>VLOOKUP(TablaObra5[[#This Row],[Equipo]],Catalogos!$I$3:$J$34,2,FALSE)</f>
      </c>
      <c r="F157" s="3"/>
      <c r="G157" s="4">
        <v>28.3</v>
      </c>
      <c r="H157" s="4">
        <f t="shared" si="2"/>
      </c>
      <c r="I157">
        <f>VLOOKUP(TablaObra5[[#This Row],[Obra]],Catalogos!$B$3:$C$8,2,FALSE)</f>
      </c>
    </row>
    <row r="158" spans="1:9">
      <c r="A158" s="2"/>
      <c r="E158">
        <f>VLOOKUP(TablaObra5[[#This Row],[Equipo]],Catalogos!$I$3:$J$34,2,FALSE)</f>
      </c>
      <c r="F158" s="3"/>
      <c r="G158" s="4">
        <v>28.3</v>
      </c>
      <c r="H158" s="4">
        <f t="shared" si="2"/>
      </c>
      <c r="I158">
        <f>VLOOKUP(TablaObra5[[#This Row],[Obra]],Catalogos!$B$3:$C$8,2,FALSE)</f>
      </c>
    </row>
    <row r="159" spans="1:9">
      <c r="A159" s="2"/>
      <c r="E159">
        <f>VLOOKUP(TablaObra5[[#This Row],[Equipo]],Catalogos!$I$3:$J$34,2,FALSE)</f>
      </c>
      <c r="F159" s="3"/>
      <c r="G159" s="4">
        <v>28.3</v>
      </c>
      <c r="H159" s="4">
        <f t="shared" si="2"/>
      </c>
      <c r="I159">
        <f>VLOOKUP(TablaObra5[[#This Row],[Obra]],Catalogos!$B$3:$C$8,2,FALSE)</f>
      </c>
    </row>
    <row r="160" spans="1:9">
      <c r="A160" s="2"/>
      <c r="E160">
        <f>VLOOKUP(TablaObra5[[#This Row],[Equipo]],Catalogos!$I$3:$J$34,2,FALSE)</f>
      </c>
      <c r="F160" s="3"/>
      <c r="G160" s="4">
        <v>28.3</v>
      </c>
      <c r="H160" s="4">
        <f t="shared" si="2"/>
      </c>
      <c r="I160">
        <f>VLOOKUP(TablaObra5[[#This Row],[Obra]],Catalogos!$B$3:$C$8,2,FALSE)</f>
      </c>
    </row>
    <row r="161" spans="1:9">
      <c r="A161" s="2"/>
      <c r="E161">
        <f>VLOOKUP(TablaObra5[[#This Row],[Equipo]],Catalogos!$I$3:$J$34,2,FALSE)</f>
      </c>
      <c r="F161" s="3"/>
      <c r="G161" s="4">
        <v>28.3</v>
      </c>
      <c r="H161" s="4">
        <f t="shared" si="2"/>
      </c>
      <c r="I161">
        <f>VLOOKUP(TablaObra5[[#This Row],[Obra]],Catalogos!$B$3:$C$8,2,FALSE)</f>
      </c>
    </row>
    <row r="162" spans="1:9">
      <c r="A162" s="2"/>
      <c r="E162">
        <f>VLOOKUP(TablaObra5[[#This Row],[Equipo]],Catalogos!$I$3:$J$34,2,FALSE)</f>
      </c>
      <c r="F162" s="3"/>
      <c r="G162" s="4">
        <v>28.3</v>
      </c>
      <c r="H162" s="4">
        <f t="shared" si="2"/>
      </c>
      <c r="I162">
        <f>VLOOKUP(TablaObra5[[#This Row],[Obra]],Catalogos!$B$3:$C$8,2,FALSE)</f>
      </c>
    </row>
    <row r="163" spans="1:9">
      <c r="A163" s="2"/>
      <c r="E163">
        <f>VLOOKUP(TablaObra5[[#This Row],[Equipo]],Catalogos!$I$3:$J$34,2,FALSE)</f>
      </c>
      <c r="F163" s="3"/>
      <c r="G163" s="4">
        <v>28.3</v>
      </c>
      <c r="H163" s="4">
        <f t="shared" si="2"/>
      </c>
      <c r="I163">
        <f>VLOOKUP(TablaObra5[[#This Row],[Obra]],Catalogos!$B$3:$C$8,2,FALSE)</f>
      </c>
    </row>
    <row r="164" spans="1:9">
      <c r="A164" s="2"/>
      <c r="E164">
        <f>VLOOKUP(TablaObra5[[#This Row],[Equipo]],Catalogos!$I$3:$J$34,2,FALSE)</f>
      </c>
      <c r="F164" s="3"/>
      <c r="G164" s="4">
        <v>28.3</v>
      </c>
      <c r="H164" s="4">
        <f t="shared" si="2"/>
      </c>
      <c r="I164">
        <f>VLOOKUP(TablaObra5[[#This Row],[Obra]],Catalogos!$B$3:$C$8,2,FALSE)</f>
      </c>
    </row>
    <row r="165" spans="1:9">
      <c r="A165" s="2"/>
      <c r="E165">
        <f>VLOOKUP(TablaObra5[[#This Row],[Equipo]],Catalogos!$I$3:$J$34,2,FALSE)</f>
      </c>
      <c r="F165" s="3"/>
      <c r="G165" s="4">
        <v>28.3</v>
      </c>
      <c r="H165" s="4">
        <f t="shared" si="2"/>
      </c>
      <c r="I165">
        <f>VLOOKUP(TablaObra5[[#This Row],[Obra]],Catalogos!$B$3:$C$8,2,FALSE)</f>
      </c>
    </row>
    <row r="166" spans="1:9">
      <c r="A166" s="2"/>
      <c r="E166">
        <f>VLOOKUP(TablaObra5[[#This Row],[Equipo]],Catalogos!$I$3:$J$34,2,FALSE)</f>
      </c>
      <c r="F166" s="3"/>
      <c r="G166" s="4">
        <v>28.3</v>
      </c>
      <c r="H166" s="4">
        <f t="shared" si="2"/>
      </c>
      <c r="I166">
        <f>VLOOKUP(TablaObra5[[#This Row],[Obra]],Catalogos!$B$3:$C$8,2,FALSE)</f>
      </c>
    </row>
    <row r="167" spans="1:9">
      <c r="A167" s="2"/>
      <c r="E167">
        <f>VLOOKUP(TablaObra5[[#This Row],[Equipo]],Catalogos!$I$3:$J$34,2,FALSE)</f>
      </c>
      <c r="F167" s="3"/>
      <c r="G167" s="4">
        <v>28.3</v>
      </c>
      <c r="H167" s="4">
        <f t="shared" si="2"/>
      </c>
      <c r="I167">
        <f>VLOOKUP(TablaObra5[[#This Row],[Obra]],Catalogos!$B$3:$C$8,2,FALSE)</f>
      </c>
    </row>
    <row r="168" spans="1:9">
      <c r="A168" s="2"/>
      <c r="E168">
        <f>VLOOKUP(TablaObra5[[#This Row],[Equipo]],Catalogos!$I$3:$J$34,2,FALSE)</f>
      </c>
      <c r="F168" s="3"/>
      <c r="G168" s="4">
        <v>28.3</v>
      </c>
      <c r="H168" s="4">
        <f t="shared" si="2"/>
      </c>
      <c r="I168">
        <f>VLOOKUP(TablaObra5[[#This Row],[Obra]],Catalogos!$B$3:$C$8,2,FALSE)</f>
      </c>
    </row>
    <row r="169" spans="1:9">
      <c r="A169" s="2"/>
      <c r="E169">
        <f>VLOOKUP(TablaObra5[[#This Row],[Equipo]],Catalogos!$I$3:$J$34,2,FALSE)</f>
      </c>
      <c r="F169" s="3"/>
      <c r="G169" s="4">
        <v>28.3</v>
      </c>
      <c r="H169" s="4">
        <f t="shared" si="2"/>
      </c>
      <c r="I169">
        <f>VLOOKUP(TablaObra5[[#This Row],[Obra]],Catalogos!$B$3:$C$8,2,FALSE)</f>
      </c>
    </row>
    <row r="170" spans="1:9">
      <c r="A170" s="2"/>
      <c r="E170">
        <f>VLOOKUP(TablaObra5[[#This Row],[Equipo]],Catalogos!$I$3:$J$34,2,FALSE)</f>
      </c>
      <c r="F170" s="3"/>
      <c r="G170" s="4">
        <v>28.3</v>
      </c>
      <c r="H170" s="4">
        <f t="shared" si="2"/>
      </c>
      <c r="I170">
        <f>VLOOKUP(TablaObra5[[#This Row],[Obra]],Catalogos!$B$3:$C$8,2,FALSE)</f>
      </c>
    </row>
    <row r="171" spans="1:9">
      <c r="A171" s="2"/>
      <c r="E171">
        <f>VLOOKUP(TablaObra5[[#This Row],[Equipo]],Catalogos!$I$3:$J$34,2,FALSE)</f>
      </c>
      <c r="F171" s="3"/>
      <c r="G171" s="4">
        <v>28.3</v>
      </c>
      <c r="H171" s="4">
        <f t="shared" si="2"/>
      </c>
      <c r="I171">
        <f>VLOOKUP(TablaObra5[[#This Row],[Obra]],Catalogos!$B$3:$C$8,2,FALSE)</f>
      </c>
    </row>
    <row r="172" spans="1:9">
      <c r="A172" s="2"/>
      <c r="E172">
        <f>VLOOKUP(TablaObra5[[#This Row],[Equipo]],Catalogos!$I$3:$J$34,2,FALSE)</f>
      </c>
      <c r="F172" s="3"/>
      <c r="G172" s="4">
        <v>28.3</v>
      </c>
      <c r="H172" s="4">
        <f t="shared" si="2"/>
      </c>
      <c r="I172">
        <f>VLOOKUP(TablaObra5[[#This Row],[Obra]],Catalogos!$B$3:$C$8,2,FALSE)</f>
      </c>
    </row>
    <row r="173" spans="1:9">
      <c r="A173" s="2"/>
      <c r="E173">
        <f>VLOOKUP(TablaObra5[[#This Row],[Equipo]],Catalogos!$I$3:$J$34,2,FALSE)</f>
      </c>
      <c r="F173" s="3"/>
      <c r="G173" s="4">
        <v>28.3</v>
      </c>
      <c r="H173" s="4">
        <f t="shared" si="2"/>
      </c>
      <c r="I173">
        <f>VLOOKUP(TablaObra5[[#This Row],[Obra]],Catalogos!$B$3:$C$8,2,FALSE)</f>
      </c>
    </row>
    <row r="174" spans="1:9">
      <c r="A174" s="2"/>
      <c r="E174">
        <f>VLOOKUP(TablaObra5[[#This Row],[Equipo]],Catalogos!$I$3:$J$34,2,FALSE)</f>
      </c>
      <c r="F174" s="3"/>
      <c r="G174" s="4">
        <v>28.3</v>
      </c>
      <c r="H174" s="4">
        <f t="shared" si="2"/>
      </c>
      <c r="I174">
        <f>VLOOKUP(TablaObra5[[#This Row],[Obra]],Catalogos!$B$3:$C$8,2,FALSE)</f>
      </c>
    </row>
    <row r="175" spans="1:9">
      <c r="A175" s="2"/>
      <c r="E175">
        <f>VLOOKUP(TablaObra5[[#This Row],[Equipo]],Catalogos!$I$3:$J$34,2,FALSE)</f>
      </c>
      <c r="F175" s="3"/>
      <c r="G175" s="4">
        <v>28.3</v>
      </c>
      <c r="H175" s="4">
        <f t="shared" si="2"/>
      </c>
      <c r="I175">
        <f>VLOOKUP(TablaObra5[[#This Row],[Obra]],Catalogos!$B$3:$C$8,2,FALSE)</f>
      </c>
    </row>
    <row r="176" spans="1:9">
      <c r="A176" s="2"/>
      <c r="E176">
        <f>VLOOKUP(TablaObra5[[#This Row],[Equipo]],Catalogos!$I$3:$J$34,2,FALSE)</f>
      </c>
      <c r="F176" s="3"/>
      <c r="G176" s="4">
        <v>28.3</v>
      </c>
      <c r="H176" s="4">
        <f t="shared" si="2"/>
      </c>
      <c r="I176">
        <f>VLOOKUP(TablaObra5[[#This Row],[Obra]],Catalogos!$B$3:$C$8,2,FALSE)</f>
      </c>
    </row>
    <row r="177" spans="1:9">
      <c r="A177" s="2"/>
      <c r="E177">
        <f>VLOOKUP(TablaObra5[[#This Row],[Equipo]],Catalogos!$I$3:$J$34,2,FALSE)</f>
      </c>
      <c r="F177" s="3"/>
      <c r="G177" s="4">
        <v>28.3</v>
      </c>
      <c r="H177" s="4">
        <f t="shared" si="2"/>
      </c>
      <c r="I177">
        <f>VLOOKUP(TablaObra5[[#This Row],[Obra]],Catalogos!$B$3:$C$8,2,FALSE)</f>
      </c>
    </row>
    <row r="178" spans="1:9">
      <c r="A178" s="2"/>
      <c r="E178">
        <f>VLOOKUP(TablaObra5[[#This Row],[Equipo]],Catalogos!$I$3:$J$34,2,FALSE)</f>
      </c>
      <c r="F178" s="3"/>
      <c r="G178" s="4">
        <v>28.3</v>
      </c>
      <c r="H178" s="4">
        <f t="shared" si="2"/>
      </c>
      <c r="I178">
        <f>VLOOKUP(TablaObra5[[#This Row],[Obra]],Catalogos!$B$3:$C$8,2,FALSE)</f>
      </c>
    </row>
    <row r="179" spans="1:9">
      <c r="A179" s="2"/>
      <c r="E179">
        <f>VLOOKUP(TablaObra5[[#This Row],[Equipo]],Catalogos!$I$3:$J$34,2,FALSE)</f>
      </c>
      <c r="F179" s="3"/>
      <c r="G179" s="4">
        <v>28.3</v>
      </c>
      <c r="H179" s="4">
        <f t="shared" si="2"/>
      </c>
      <c r="I179">
        <f>VLOOKUP(TablaObra5[[#This Row],[Obra]],Catalogos!$B$3:$C$8,2,FALSE)</f>
      </c>
    </row>
    <row r="180" spans="1:9">
      <c r="A180" s="2"/>
      <c r="E180">
        <f>VLOOKUP(TablaObra5[[#This Row],[Equipo]],Catalogos!$I$3:$J$34,2,FALSE)</f>
      </c>
      <c r="F180" s="3"/>
      <c r="G180" s="4">
        <v>28.3</v>
      </c>
      <c r="H180" s="4">
        <f t="shared" si="2"/>
      </c>
      <c r="I180">
        <f>VLOOKUP(TablaObra5[[#This Row],[Obra]],Catalogos!$B$3:$C$8,2,FALSE)</f>
      </c>
    </row>
    <row r="181" spans="1:9">
      <c r="A181" s="2"/>
      <c r="E181">
        <f>VLOOKUP(TablaObra5[[#This Row],[Equipo]],Catalogos!$I$3:$J$34,2,FALSE)</f>
      </c>
      <c r="F181" s="3"/>
      <c r="G181" s="4">
        <v>28.3</v>
      </c>
      <c r="H181" s="4">
        <f t="shared" si="2"/>
      </c>
      <c r="I181">
        <f>VLOOKUP(TablaObra5[[#This Row],[Obra]],Catalogos!$B$3:$C$8,2,FALSE)</f>
      </c>
    </row>
    <row r="182" spans="1:9">
      <c r="A182" s="2"/>
      <c r="E182">
        <f>VLOOKUP(TablaObra5[[#This Row],[Equipo]],Catalogos!$I$3:$J$34,2,FALSE)</f>
      </c>
      <c r="F182" s="3"/>
      <c r="G182" s="4">
        <v>28.3</v>
      </c>
      <c r="H182" s="4">
        <f t="shared" si="2"/>
      </c>
      <c r="I182">
        <f>VLOOKUP(TablaObra5[[#This Row],[Obra]],Catalogos!$B$3:$C$8,2,FALSE)</f>
      </c>
    </row>
    <row r="183" spans="1:9">
      <c r="A183" s="2"/>
      <c r="E183">
        <f>VLOOKUP(TablaObra5[[#This Row],[Equipo]],Catalogos!$I$3:$J$34,2,FALSE)</f>
      </c>
      <c r="F183" s="3"/>
      <c r="G183" s="4">
        <v>28.3</v>
      </c>
      <c r="H183" s="4">
        <f t="shared" si="2"/>
      </c>
      <c r="I183">
        <f>VLOOKUP(TablaObra5[[#This Row],[Obra]],Catalogos!$B$3:$C$8,2,FALSE)</f>
      </c>
    </row>
    <row r="184" spans="1:9">
      <c r="A184" s="2"/>
      <c r="E184">
        <f>VLOOKUP(TablaObra5[[#This Row],[Equipo]],Catalogos!$I$3:$J$34,2,FALSE)</f>
      </c>
      <c r="F184" s="3"/>
      <c r="G184" s="4">
        <v>28.3</v>
      </c>
      <c r="H184" s="4">
        <f t="shared" si="2"/>
      </c>
      <c r="I184">
        <f>VLOOKUP(TablaObra5[[#This Row],[Obra]],Catalogos!$B$3:$C$8,2,FALSE)</f>
      </c>
    </row>
    <row r="185" spans="1:9">
      <c r="A185" s="2"/>
      <c r="E185">
        <f>VLOOKUP(TablaObra5[[#This Row],[Equipo]],Catalogos!$I$3:$J$34,2,FALSE)</f>
      </c>
      <c r="F185" s="3"/>
      <c r="G185" s="4">
        <v>28.3</v>
      </c>
      <c r="H185" s="4">
        <f t="shared" si="2"/>
      </c>
      <c r="I185">
        <f>VLOOKUP(TablaObra5[[#This Row],[Obra]],Catalogos!$B$3:$C$8,2,FALSE)</f>
      </c>
    </row>
    <row r="186" spans="1:9">
      <c r="A186" s="2"/>
      <c r="E186">
        <f>VLOOKUP(TablaObra5[[#This Row],[Equipo]],Catalogos!$I$3:$J$34,2,FALSE)</f>
      </c>
      <c r="F186" s="3"/>
      <c r="G186" s="4">
        <v>28.3</v>
      </c>
      <c r="H186" s="4">
        <f t="shared" si="2"/>
      </c>
      <c r="I186">
        <f>VLOOKUP(TablaObra5[[#This Row],[Obra]],Catalogos!$B$3:$C$8,2,FALSE)</f>
      </c>
    </row>
    <row r="187" spans="1:9">
      <c r="A187" s="2"/>
      <c r="E187">
        <f>VLOOKUP(TablaObra5[[#This Row],[Equipo]],Catalogos!$I$3:$J$34,2,FALSE)</f>
      </c>
      <c r="F187" s="3"/>
      <c r="G187" s="4">
        <v>28.3</v>
      </c>
      <c r="H187" s="4">
        <f t="shared" si="2"/>
      </c>
      <c r="I187">
        <f>VLOOKUP(TablaObra5[[#This Row],[Obra]],Catalogos!$B$3:$C$8,2,FALSE)</f>
      </c>
    </row>
    <row r="188" spans="1:9">
      <c r="A188" s="2"/>
      <c r="E188">
        <f>VLOOKUP(TablaObra5[[#This Row],[Equipo]],Catalogos!$I$3:$J$34,2,FALSE)</f>
      </c>
      <c r="F188" s="3"/>
      <c r="G188" s="4">
        <v>28.3</v>
      </c>
      <c r="H188" s="4">
        <f t="shared" si="2"/>
      </c>
      <c r="I188">
        <f>VLOOKUP(TablaObra5[[#This Row],[Obra]],Catalogos!$B$3:$C$8,2,FALSE)</f>
      </c>
    </row>
    <row r="189" spans="1:9">
      <c r="A189" s="2"/>
      <c r="E189">
        <f>VLOOKUP(TablaObra5[[#This Row],[Equipo]],Catalogos!$I$3:$J$34,2,FALSE)</f>
      </c>
      <c r="F189" s="3"/>
      <c r="G189" s="4">
        <v>28.3</v>
      </c>
      <c r="H189" s="4">
        <f t="shared" si="2"/>
      </c>
      <c r="I189">
        <f>VLOOKUP(TablaObra5[[#This Row],[Obra]],Catalogos!$B$3:$C$8,2,FALSE)</f>
      </c>
    </row>
    <row r="190" spans="1:9">
      <c r="A190" s="2"/>
      <c r="E190">
        <f>VLOOKUP(TablaObra5[[#This Row],[Equipo]],Catalogos!$I$3:$J$34,2,FALSE)</f>
      </c>
      <c r="F190" s="3"/>
      <c r="G190" s="4">
        <v>28.3</v>
      </c>
      <c r="H190" s="4">
        <f t="shared" si="2"/>
      </c>
      <c r="I190">
        <f>VLOOKUP(TablaObra5[[#This Row],[Obra]],Catalogos!$B$3:$C$8,2,FALSE)</f>
      </c>
    </row>
    <row r="191" spans="1:9">
      <c r="A191" s="2"/>
      <c r="E191">
        <f>VLOOKUP(TablaObra5[[#This Row],[Equipo]],Catalogos!$I$3:$J$34,2,FALSE)</f>
      </c>
      <c r="F191" s="3"/>
      <c r="G191" s="4">
        <v>28.3</v>
      </c>
      <c r="H191" s="4">
        <f t="shared" si="2"/>
      </c>
      <c r="I191">
        <f>VLOOKUP(TablaObra5[[#This Row],[Obra]],Catalogos!$B$3:$C$8,2,FALSE)</f>
      </c>
    </row>
    <row r="192" spans="1:9">
      <c r="A192" s="2"/>
      <c r="E192">
        <f>VLOOKUP(TablaObra5[[#This Row],[Equipo]],Catalogos!$I$3:$J$34,2,FALSE)</f>
      </c>
      <c r="F192" s="3"/>
      <c r="G192" s="4">
        <v>28.3</v>
      </c>
      <c r="H192" s="4">
        <f t="shared" si="2"/>
      </c>
      <c r="I192">
        <f>VLOOKUP(TablaObra5[[#This Row],[Obra]],Catalogos!$B$3:$C$8,2,FALSE)</f>
      </c>
    </row>
    <row r="193" spans="1:9">
      <c r="A193" s="2"/>
      <c r="E193">
        <f>VLOOKUP(TablaObra5[[#This Row],[Equipo]],Catalogos!$I$3:$J$34,2,FALSE)</f>
      </c>
      <c r="F193" s="3"/>
      <c r="G193" s="4">
        <v>28.3</v>
      </c>
      <c r="H193" s="4">
        <f t="shared" si="2"/>
      </c>
      <c r="I193">
        <f>VLOOKUP(TablaObra5[[#This Row],[Obra]],Catalogos!$B$3:$C$8,2,FALSE)</f>
      </c>
    </row>
    <row r="194" spans="1:9">
      <c r="A194" s="2"/>
      <c r="E194">
        <f>VLOOKUP(TablaObra5[[#This Row],[Equipo]],Catalogos!$I$3:$J$34,2,FALSE)</f>
      </c>
      <c r="F194" s="3"/>
      <c r="G194" s="4">
        <v>28.3</v>
      </c>
      <c r="H194" s="4">
        <f t="shared" si="2"/>
      </c>
      <c r="I194">
        <f>VLOOKUP(TablaObra5[[#This Row],[Obra]],Catalogos!$B$3:$C$8,2,FALSE)</f>
      </c>
    </row>
    <row r="195" spans="1:9">
      <c r="A195" s="2"/>
      <c r="E195">
        <f>VLOOKUP(TablaObra5[[#This Row],[Equipo]],Catalogos!$I$3:$J$34,2,FALSE)</f>
      </c>
      <c r="F195" s="3"/>
      <c r="G195" s="4">
        <v>28.3</v>
      </c>
      <c r="H195" s="4">
        <f t="shared" si="2"/>
      </c>
      <c r="I195">
        <f>VLOOKUP(TablaObra5[[#This Row],[Obra]],Catalogos!$B$3:$C$8,2,FALSE)</f>
      </c>
    </row>
    <row r="196" spans="1:9">
      <c r="A196" s="2"/>
      <c r="E196">
        <f>VLOOKUP(TablaObra5[[#This Row],[Equipo]],Catalogos!$I$3:$J$34,2,FALSE)</f>
      </c>
      <c r="F196" s="3"/>
      <c r="G196" s="4">
        <v>28.3</v>
      </c>
      <c r="H196" s="4">
        <f t="shared" si="2"/>
      </c>
      <c r="I196">
        <f>VLOOKUP(TablaObra5[[#This Row],[Obra]],Catalogos!$B$3:$C$8,2,FALSE)</f>
      </c>
    </row>
    <row r="197" spans="1:9">
      <c r="A197" s="2"/>
      <c r="E197">
        <f>VLOOKUP(TablaObra5[[#This Row],[Equipo]],Catalogos!$I$3:$J$34,2,FALSE)</f>
      </c>
      <c r="F197" s="3"/>
      <c r="G197" s="4">
        <v>28.3</v>
      </c>
      <c r="H197" s="4">
        <f t="shared" si="2"/>
      </c>
      <c r="I197">
        <f>VLOOKUP(TablaObra5[[#This Row],[Obra]],Catalogos!$B$3:$C$8,2,FALSE)</f>
      </c>
    </row>
    <row r="198" spans="1:9">
      <c r="A198" s="2"/>
      <c r="E198">
        <f>VLOOKUP(TablaObra5[[#This Row],[Equipo]],Catalogos!$I$3:$J$34,2,FALSE)</f>
      </c>
      <c r="F198" s="3"/>
      <c r="G198" s="4">
        <v>28.3</v>
      </c>
      <c r="H198" s="4">
        <f t="shared" si="2"/>
      </c>
      <c r="I198">
        <f>VLOOKUP(TablaObra5[[#This Row],[Obra]],Catalogos!$B$3:$C$8,2,FALSE)</f>
      </c>
    </row>
    <row r="199" spans="1:9">
      <c r="A199" s="2"/>
      <c r="E199">
        <f>VLOOKUP(TablaObra5[[#This Row],[Equipo]],Catalogos!$I$3:$J$34,2,FALSE)</f>
      </c>
      <c r="F199" s="3"/>
      <c r="G199" s="4">
        <v>28.3</v>
      </c>
      <c r="H199" s="4">
        <f t="shared" ref="H199:H262" si="3">IFERROR(F199*G199,0)</f>
      </c>
      <c r="I199">
        <f>VLOOKUP(TablaObra5[[#This Row],[Obra]],Catalogos!$B$3:$C$8,2,FALSE)</f>
      </c>
    </row>
    <row r="200" spans="1:9">
      <c r="A200" s="2"/>
      <c r="E200">
        <f>VLOOKUP(TablaObra5[[#This Row],[Equipo]],Catalogos!$I$3:$J$34,2,FALSE)</f>
      </c>
      <c r="F200" s="3"/>
      <c r="G200" s="4">
        <v>28.3</v>
      </c>
      <c r="H200" s="4">
        <f t="shared" si="3"/>
      </c>
      <c r="I200">
        <f>VLOOKUP(TablaObra5[[#This Row],[Obra]],Catalogos!$B$3:$C$8,2,FALSE)</f>
      </c>
    </row>
    <row r="201" spans="1:9">
      <c r="A201" s="2"/>
      <c r="E201">
        <f>VLOOKUP(TablaObra5[[#This Row],[Equipo]],Catalogos!$I$3:$J$34,2,FALSE)</f>
      </c>
      <c r="F201" s="3"/>
      <c r="G201" s="4">
        <v>28.3</v>
      </c>
      <c r="H201" s="4">
        <f t="shared" si="3"/>
      </c>
      <c r="I201">
        <f>VLOOKUP(TablaObra5[[#This Row],[Obra]],Catalogos!$B$3:$C$8,2,FALSE)</f>
      </c>
    </row>
    <row r="202" spans="1:9">
      <c r="A202" s="2"/>
      <c r="E202">
        <f>VLOOKUP(TablaObra5[[#This Row],[Equipo]],Catalogos!$I$3:$J$34,2,FALSE)</f>
      </c>
      <c r="F202" s="3"/>
      <c r="G202" s="4">
        <v>28.3</v>
      </c>
      <c r="H202" s="4">
        <f t="shared" si="3"/>
      </c>
      <c r="I202">
        <f>VLOOKUP(TablaObra5[[#This Row],[Obra]],Catalogos!$B$3:$C$8,2,FALSE)</f>
      </c>
    </row>
    <row r="203" spans="1:9">
      <c r="A203" s="2"/>
      <c r="E203">
        <f>VLOOKUP(TablaObra5[[#This Row],[Equipo]],Catalogos!$I$3:$J$34,2,FALSE)</f>
      </c>
      <c r="F203" s="3"/>
      <c r="G203" s="4">
        <v>28.3</v>
      </c>
      <c r="H203" s="4">
        <f t="shared" si="3"/>
      </c>
      <c r="I203">
        <f>VLOOKUP(TablaObra5[[#This Row],[Obra]],Catalogos!$B$3:$C$8,2,FALSE)</f>
      </c>
    </row>
    <row r="204" spans="1:9">
      <c r="A204" s="2"/>
      <c r="E204">
        <f>VLOOKUP(TablaObra5[[#This Row],[Equipo]],Catalogos!$I$3:$J$34,2,FALSE)</f>
      </c>
      <c r="F204" s="3"/>
      <c r="G204" s="4">
        <v>28.3</v>
      </c>
      <c r="H204" s="4">
        <f t="shared" si="3"/>
      </c>
      <c r="I204">
        <f>VLOOKUP(TablaObra5[[#This Row],[Obra]],Catalogos!$B$3:$C$8,2,FALSE)</f>
      </c>
    </row>
    <row r="205" spans="1:9">
      <c r="A205" s="2"/>
      <c r="E205">
        <f>VLOOKUP(TablaObra5[[#This Row],[Equipo]],Catalogos!$I$3:$J$34,2,FALSE)</f>
      </c>
      <c r="F205" s="3"/>
      <c r="G205" s="4">
        <v>28.3</v>
      </c>
      <c r="H205" s="4">
        <f t="shared" si="3"/>
      </c>
      <c r="I205">
        <f>VLOOKUP(TablaObra5[[#This Row],[Obra]],Catalogos!$B$3:$C$8,2,FALSE)</f>
      </c>
    </row>
    <row r="206" spans="1:9">
      <c r="A206" s="2"/>
      <c r="E206">
        <f>VLOOKUP(TablaObra5[[#This Row],[Equipo]],Catalogos!$I$3:$J$34,2,FALSE)</f>
      </c>
      <c r="F206" s="3"/>
      <c r="G206" s="4">
        <v>28.3</v>
      </c>
      <c r="H206" s="4">
        <f t="shared" si="3"/>
      </c>
      <c r="I206">
        <f>VLOOKUP(TablaObra5[[#This Row],[Obra]],Catalogos!$B$3:$C$8,2,FALSE)</f>
      </c>
    </row>
    <row r="207" spans="1:9">
      <c r="A207" s="2"/>
      <c r="E207">
        <f>VLOOKUP(TablaObra5[[#This Row],[Equipo]],Catalogos!$I$3:$J$34,2,FALSE)</f>
      </c>
      <c r="F207" s="3"/>
      <c r="G207" s="4">
        <v>28.3</v>
      </c>
      <c r="H207" s="4">
        <f t="shared" si="3"/>
      </c>
      <c r="I207">
        <f>VLOOKUP(TablaObra5[[#This Row],[Obra]],Catalogos!$B$3:$C$8,2,FALSE)</f>
      </c>
    </row>
    <row r="208" spans="1:9">
      <c r="A208" s="2"/>
      <c r="E208">
        <f>VLOOKUP(TablaObra5[[#This Row],[Equipo]],Catalogos!$I$3:$J$34,2,FALSE)</f>
      </c>
      <c r="F208" s="3"/>
      <c r="G208" s="4">
        <v>28.3</v>
      </c>
      <c r="H208" s="4">
        <f t="shared" si="3"/>
      </c>
      <c r="I208">
        <f>VLOOKUP(TablaObra5[[#This Row],[Obra]],Catalogos!$B$3:$C$8,2,FALSE)</f>
      </c>
    </row>
    <row r="209" spans="1:9">
      <c r="A209" s="2"/>
      <c r="E209">
        <f>VLOOKUP(TablaObra5[[#This Row],[Equipo]],Catalogos!$I$3:$J$34,2,FALSE)</f>
      </c>
      <c r="F209" s="3"/>
      <c r="G209" s="4">
        <v>28.3</v>
      </c>
      <c r="H209" s="4">
        <f t="shared" si="3"/>
      </c>
      <c r="I209">
        <f>VLOOKUP(TablaObra5[[#This Row],[Obra]],Catalogos!$B$3:$C$8,2,FALSE)</f>
      </c>
    </row>
    <row r="210" spans="1:9">
      <c r="A210" s="2"/>
      <c r="E210">
        <f>VLOOKUP(TablaObra5[[#This Row],[Equipo]],Catalogos!$I$3:$J$34,2,FALSE)</f>
      </c>
      <c r="F210" s="3"/>
      <c r="G210" s="4">
        <v>28.3</v>
      </c>
      <c r="H210" s="4">
        <f t="shared" si="3"/>
      </c>
      <c r="I210">
        <f>VLOOKUP(TablaObra5[[#This Row],[Obra]],Catalogos!$B$3:$C$8,2,FALSE)</f>
      </c>
    </row>
    <row r="211" spans="1:9">
      <c r="A211" s="2"/>
      <c r="E211">
        <f>VLOOKUP(TablaObra5[[#This Row],[Equipo]],Catalogos!$I$3:$J$34,2,FALSE)</f>
      </c>
      <c r="F211" s="3"/>
      <c r="G211" s="4">
        <v>28.3</v>
      </c>
      <c r="H211" s="4">
        <f t="shared" si="3"/>
      </c>
      <c r="I211">
        <f>VLOOKUP(TablaObra5[[#This Row],[Obra]],Catalogos!$B$3:$C$8,2,FALSE)</f>
      </c>
    </row>
    <row r="212" spans="1:9">
      <c r="A212" s="2"/>
      <c r="E212">
        <f>VLOOKUP(TablaObra5[[#This Row],[Equipo]],Catalogos!$I$3:$J$34,2,FALSE)</f>
      </c>
      <c r="F212" s="3"/>
      <c r="G212" s="4">
        <v>28.3</v>
      </c>
      <c r="H212" s="4">
        <f t="shared" si="3"/>
      </c>
      <c r="I212">
        <f>VLOOKUP(TablaObra5[[#This Row],[Obra]],Catalogos!$B$3:$C$8,2,FALSE)</f>
      </c>
    </row>
    <row r="213" spans="1:9">
      <c r="A213" s="2"/>
      <c r="E213">
        <f>VLOOKUP(TablaObra5[[#This Row],[Equipo]],Catalogos!$I$3:$J$34,2,FALSE)</f>
      </c>
      <c r="F213" s="3"/>
      <c r="G213" s="4">
        <v>28.3</v>
      </c>
      <c r="H213" s="4">
        <f t="shared" si="3"/>
      </c>
      <c r="I213">
        <f>VLOOKUP(TablaObra5[[#This Row],[Obra]],Catalogos!$B$3:$C$8,2,FALSE)</f>
      </c>
    </row>
    <row r="214" spans="1:9">
      <c r="A214" s="2"/>
      <c r="E214">
        <f>VLOOKUP(TablaObra5[[#This Row],[Equipo]],Catalogos!$I$3:$J$34,2,FALSE)</f>
      </c>
      <c r="F214" s="3"/>
      <c r="G214" s="4">
        <v>28.3</v>
      </c>
      <c r="H214" s="4">
        <f t="shared" si="3"/>
      </c>
      <c r="I214">
        <f>VLOOKUP(TablaObra5[[#This Row],[Obra]],Catalogos!$B$3:$C$8,2,FALSE)</f>
      </c>
    </row>
    <row r="215" spans="1:9">
      <c r="A215" s="2"/>
      <c r="E215">
        <f>VLOOKUP(TablaObra5[[#This Row],[Equipo]],Catalogos!$I$3:$J$34,2,FALSE)</f>
      </c>
      <c r="F215" s="3"/>
      <c r="G215" s="4">
        <v>28.3</v>
      </c>
      <c r="H215" s="4">
        <f t="shared" si="3"/>
      </c>
      <c r="I215">
        <f>VLOOKUP(TablaObra5[[#This Row],[Obra]],Catalogos!$B$3:$C$8,2,FALSE)</f>
      </c>
    </row>
    <row r="216" spans="1:9">
      <c r="A216" s="2"/>
      <c r="E216">
        <f>VLOOKUP(TablaObra5[[#This Row],[Equipo]],Catalogos!$I$3:$J$34,2,FALSE)</f>
      </c>
      <c r="F216" s="3"/>
      <c r="G216" s="4">
        <v>28.3</v>
      </c>
      <c r="H216" s="4">
        <f t="shared" si="3"/>
      </c>
      <c r="I216">
        <f>VLOOKUP(TablaObra5[[#This Row],[Obra]],Catalogos!$B$3:$C$8,2,FALSE)</f>
      </c>
    </row>
    <row r="217" spans="1:9">
      <c r="A217" s="2"/>
      <c r="E217">
        <f>VLOOKUP(TablaObra5[[#This Row],[Equipo]],Catalogos!$I$3:$J$34,2,FALSE)</f>
      </c>
      <c r="F217" s="3"/>
      <c r="G217" s="4">
        <v>28.3</v>
      </c>
      <c r="H217" s="4">
        <f t="shared" si="3"/>
      </c>
      <c r="I217">
        <f>VLOOKUP(TablaObra5[[#This Row],[Obra]],Catalogos!$B$3:$C$8,2,FALSE)</f>
      </c>
    </row>
    <row r="218" spans="1:9">
      <c r="A218" s="2"/>
      <c r="E218">
        <f>VLOOKUP(TablaObra5[[#This Row],[Equipo]],Catalogos!$I$3:$J$34,2,FALSE)</f>
      </c>
      <c r="F218" s="3"/>
      <c r="G218" s="4">
        <v>28.3</v>
      </c>
      <c r="H218" s="4">
        <f t="shared" si="3"/>
      </c>
      <c r="I218">
        <f>VLOOKUP(TablaObra5[[#This Row],[Obra]],Catalogos!$B$3:$C$8,2,FALSE)</f>
      </c>
    </row>
    <row r="219" spans="1:9">
      <c r="A219" s="2"/>
      <c r="E219">
        <f>VLOOKUP(TablaObra5[[#This Row],[Equipo]],Catalogos!$I$3:$J$34,2,FALSE)</f>
      </c>
      <c r="F219" s="3"/>
      <c r="G219" s="4">
        <v>28.3</v>
      </c>
      <c r="H219" s="4">
        <f t="shared" si="3"/>
      </c>
      <c r="I219">
        <f>VLOOKUP(TablaObra5[[#This Row],[Obra]],Catalogos!$B$3:$C$8,2,FALSE)</f>
      </c>
    </row>
    <row r="220" spans="1:9">
      <c r="A220" s="2"/>
      <c r="E220">
        <f>VLOOKUP(TablaObra5[[#This Row],[Equipo]],Catalogos!$I$3:$J$34,2,FALSE)</f>
      </c>
      <c r="F220" s="3"/>
      <c r="G220" s="4">
        <v>28.3</v>
      </c>
      <c r="H220" s="4">
        <f t="shared" si="3"/>
      </c>
      <c r="I220">
        <f>VLOOKUP(TablaObra5[[#This Row],[Obra]],Catalogos!$B$3:$C$8,2,FALSE)</f>
      </c>
    </row>
    <row r="221" spans="1:9">
      <c r="A221" s="2"/>
      <c r="E221">
        <f>VLOOKUP(TablaObra5[[#This Row],[Equipo]],Catalogos!$I$3:$J$34,2,FALSE)</f>
      </c>
      <c r="F221" s="3"/>
      <c r="G221" s="4">
        <v>28.3</v>
      </c>
      <c r="H221" s="4">
        <f t="shared" si="3"/>
      </c>
      <c r="I221">
        <f>VLOOKUP(TablaObra5[[#This Row],[Obra]],Catalogos!$B$3:$C$8,2,FALSE)</f>
      </c>
    </row>
    <row r="222" spans="1:9">
      <c r="A222" s="2"/>
      <c r="E222">
        <f>VLOOKUP(TablaObra5[[#This Row],[Equipo]],Catalogos!$I$3:$J$34,2,FALSE)</f>
      </c>
      <c r="F222" s="3"/>
      <c r="G222" s="4">
        <v>28.3</v>
      </c>
      <c r="H222" s="4">
        <f t="shared" si="3"/>
      </c>
      <c r="I222">
        <f>VLOOKUP(TablaObra5[[#This Row],[Obra]],Catalogos!$B$3:$C$8,2,FALSE)</f>
      </c>
    </row>
    <row r="223" spans="1:9">
      <c r="A223" s="2"/>
      <c r="E223">
        <f>VLOOKUP(TablaObra5[[#This Row],[Equipo]],Catalogos!$I$3:$J$34,2,FALSE)</f>
      </c>
      <c r="F223" s="3"/>
      <c r="G223" s="4">
        <v>28.3</v>
      </c>
      <c r="H223" s="4">
        <f t="shared" si="3"/>
      </c>
      <c r="I223">
        <f>VLOOKUP(TablaObra5[[#This Row],[Obra]],Catalogos!$B$3:$C$8,2,FALSE)</f>
      </c>
    </row>
    <row r="224" spans="1:9">
      <c r="A224" s="2"/>
      <c r="E224">
        <f>VLOOKUP(TablaObra5[[#This Row],[Equipo]],Catalogos!$I$3:$J$34,2,FALSE)</f>
      </c>
      <c r="F224" s="3"/>
      <c r="G224" s="4">
        <v>28.3</v>
      </c>
      <c r="H224" s="4">
        <f t="shared" si="3"/>
      </c>
      <c r="I224">
        <f>VLOOKUP(TablaObra5[[#This Row],[Obra]],Catalogos!$B$3:$C$8,2,FALSE)</f>
      </c>
    </row>
    <row r="225" spans="1:9">
      <c r="A225" s="2"/>
      <c r="E225">
        <f>VLOOKUP(TablaObra5[[#This Row],[Equipo]],Catalogos!$I$3:$J$34,2,FALSE)</f>
      </c>
      <c r="F225" s="3"/>
      <c r="G225" s="4">
        <v>28.3</v>
      </c>
      <c r="H225" s="4">
        <f t="shared" si="3"/>
      </c>
      <c r="I225">
        <f>VLOOKUP(TablaObra5[[#This Row],[Obra]],Catalogos!$B$3:$C$8,2,FALSE)</f>
      </c>
    </row>
    <row r="226" spans="1:9">
      <c r="A226" s="2"/>
      <c r="E226">
        <f>VLOOKUP(TablaObra5[[#This Row],[Equipo]],Catalogos!$I$3:$J$34,2,FALSE)</f>
      </c>
      <c r="F226" s="3"/>
      <c r="G226" s="4">
        <v>28.3</v>
      </c>
      <c r="H226" s="4">
        <f t="shared" si="3"/>
      </c>
      <c r="I226">
        <f>VLOOKUP(TablaObra5[[#This Row],[Obra]],Catalogos!$B$3:$C$8,2,FALSE)</f>
      </c>
    </row>
    <row r="227" spans="1:9">
      <c r="A227" s="2"/>
      <c r="E227">
        <f>VLOOKUP(TablaObra5[[#This Row],[Equipo]],Catalogos!$I$3:$J$34,2,FALSE)</f>
      </c>
      <c r="F227" s="3"/>
      <c r="G227" s="4">
        <v>28.3</v>
      </c>
      <c r="H227" s="4">
        <f t="shared" si="3"/>
      </c>
      <c r="I227">
        <f>VLOOKUP(TablaObra5[[#This Row],[Obra]],Catalogos!$B$3:$C$8,2,FALSE)</f>
      </c>
    </row>
    <row r="228" spans="1:9">
      <c r="A228" s="2"/>
      <c r="E228">
        <f>VLOOKUP(TablaObra5[[#This Row],[Equipo]],Catalogos!$I$3:$J$34,2,FALSE)</f>
      </c>
      <c r="F228" s="3"/>
      <c r="G228" s="4">
        <v>28.3</v>
      </c>
      <c r="H228" s="4">
        <f t="shared" si="3"/>
      </c>
      <c r="I228">
        <f>VLOOKUP(TablaObra5[[#This Row],[Obra]],Catalogos!$B$3:$C$8,2,FALSE)</f>
      </c>
    </row>
    <row r="229" spans="1:9">
      <c r="A229" s="2"/>
      <c r="E229">
        <f>VLOOKUP(TablaObra5[[#This Row],[Equipo]],Catalogos!$I$3:$J$34,2,FALSE)</f>
      </c>
      <c r="F229" s="3"/>
      <c r="G229" s="4">
        <v>28.3</v>
      </c>
      <c r="H229" s="4">
        <f t="shared" si="3"/>
      </c>
      <c r="I229">
        <f>VLOOKUP(TablaObra5[[#This Row],[Obra]],Catalogos!$B$3:$C$8,2,FALSE)</f>
      </c>
    </row>
    <row r="230" spans="1:9">
      <c r="A230" s="2"/>
      <c r="E230">
        <f>VLOOKUP(TablaObra5[[#This Row],[Equipo]],Catalogos!$I$3:$J$34,2,FALSE)</f>
      </c>
      <c r="F230" s="3"/>
      <c r="G230" s="4">
        <v>28.3</v>
      </c>
      <c r="H230" s="4">
        <f t="shared" si="3"/>
      </c>
      <c r="I230">
        <f>VLOOKUP(TablaObra5[[#This Row],[Obra]],Catalogos!$B$3:$C$8,2,FALSE)</f>
      </c>
    </row>
    <row r="231" spans="1:9">
      <c r="A231" s="2"/>
      <c r="E231">
        <f>VLOOKUP(TablaObra5[[#This Row],[Equipo]],Catalogos!$I$3:$J$34,2,FALSE)</f>
      </c>
      <c r="F231" s="3"/>
      <c r="G231" s="4">
        <v>28.3</v>
      </c>
      <c r="H231" s="4">
        <f t="shared" si="3"/>
      </c>
      <c r="I231">
        <f>VLOOKUP(TablaObra5[[#This Row],[Obra]],Catalogos!$B$3:$C$8,2,FALSE)</f>
      </c>
    </row>
    <row r="232" spans="1:9">
      <c r="A232" s="2"/>
      <c r="E232">
        <f>VLOOKUP(TablaObra5[[#This Row],[Equipo]],Catalogos!$I$3:$J$34,2,FALSE)</f>
      </c>
      <c r="F232" s="3"/>
      <c r="G232" s="4">
        <v>28.3</v>
      </c>
      <c r="H232" s="4">
        <f t="shared" si="3"/>
      </c>
      <c r="I232">
        <f>VLOOKUP(TablaObra5[[#This Row],[Obra]],Catalogos!$B$3:$C$8,2,FALSE)</f>
      </c>
    </row>
    <row r="233" spans="1:9">
      <c r="A233" s="2"/>
      <c r="E233">
        <f>VLOOKUP(TablaObra5[[#This Row],[Equipo]],Catalogos!$I$3:$J$34,2,FALSE)</f>
      </c>
      <c r="F233" s="3"/>
      <c r="G233" s="4">
        <v>28.3</v>
      </c>
      <c r="H233" s="4">
        <f t="shared" si="3"/>
      </c>
      <c r="I233">
        <f>VLOOKUP(TablaObra5[[#This Row],[Obra]],Catalogos!$B$3:$C$8,2,FALSE)</f>
      </c>
    </row>
    <row r="234" spans="1:9">
      <c r="A234" s="2"/>
      <c r="E234">
        <f>VLOOKUP(TablaObra5[[#This Row],[Equipo]],Catalogos!$I$3:$J$34,2,FALSE)</f>
      </c>
      <c r="F234" s="3"/>
      <c r="G234" s="4">
        <v>28.3</v>
      </c>
      <c r="H234" s="4">
        <f t="shared" si="3"/>
      </c>
      <c r="I234">
        <f>VLOOKUP(TablaObra5[[#This Row],[Obra]],Catalogos!$B$3:$C$8,2,FALSE)</f>
      </c>
    </row>
    <row r="235" spans="1:9">
      <c r="A235" s="2"/>
      <c r="E235">
        <f>VLOOKUP(TablaObra5[[#This Row],[Equipo]],Catalogos!$I$3:$J$34,2,FALSE)</f>
      </c>
      <c r="F235" s="3"/>
      <c r="G235" s="4">
        <v>28.3</v>
      </c>
      <c r="H235" s="4">
        <f t="shared" si="3"/>
      </c>
      <c r="I235">
        <f>VLOOKUP(TablaObra5[[#This Row],[Obra]],Catalogos!$B$3:$C$8,2,FALSE)</f>
      </c>
    </row>
    <row r="236" spans="1:9">
      <c r="A236" s="2"/>
      <c r="E236">
        <f>VLOOKUP(TablaObra5[[#This Row],[Equipo]],Catalogos!$I$3:$J$34,2,FALSE)</f>
      </c>
      <c r="F236" s="3"/>
      <c r="G236" s="4">
        <v>28.3</v>
      </c>
      <c r="H236" s="4">
        <f t="shared" si="3"/>
      </c>
      <c r="I236">
        <f>VLOOKUP(TablaObra5[[#This Row],[Obra]],Catalogos!$B$3:$C$8,2,FALSE)</f>
      </c>
    </row>
    <row r="237" spans="1:9">
      <c r="A237" s="2"/>
      <c r="E237">
        <f>VLOOKUP(TablaObra5[[#This Row],[Equipo]],Catalogos!$I$3:$J$34,2,FALSE)</f>
      </c>
      <c r="F237" s="3"/>
      <c r="G237" s="4">
        <v>28.3</v>
      </c>
      <c r="H237" s="4">
        <f t="shared" si="3"/>
      </c>
      <c r="I237">
        <f>VLOOKUP(TablaObra5[[#This Row],[Obra]],Catalogos!$B$3:$C$8,2,FALSE)</f>
      </c>
    </row>
    <row r="238" spans="1:9">
      <c r="A238" s="2"/>
      <c r="E238">
        <f>VLOOKUP(TablaObra5[[#This Row],[Equipo]],Catalogos!$I$3:$J$34,2,FALSE)</f>
      </c>
      <c r="F238" s="3"/>
      <c r="G238" s="4">
        <v>28.3</v>
      </c>
      <c r="H238" s="4">
        <f t="shared" si="3"/>
      </c>
      <c r="I238">
        <f>VLOOKUP(TablaObra5[[#This Row],[Obra]],Catalogos!$B$3:$C$8,2,FALSE)</f>
      </c>
    </row>
    <row r="239" spans="1:9">
      <c r="A239" s="2"/>
      <c r="E239">
        <f>VLOOKUP(TablaObra5[[#This Row],[Equipo]],Catalogos!$I$3:$J$34,2,FALSE)</f>
      </c>
      <c r="F239" s="3"/>
      <c r="G239" s="4">
        <v>28.3</v>
      </c>
      <c r="H239" s="4">
        <f t="shared" si="3"/>
      </c>
      <c r="I239">
        <f>VLOOKUP(TablaObra5[[#This Row],[Obra]],Catalogos!$B$3:$C$8,2,FALSE)</f>
      </c>
    </row>
    <row r="240" spans="1:9">
      <c r="A240" s="2"/>
      <c r="E240">
        <f>VLOOKUP(TablaObra5[[#This Row],[Equipo]],Catalogos!$I$3:$J$34,2,FALSE)</f>
      </c>
      <c r="F240" s="3"/>
      <c r="G240" s="4">
        <v>28.3</v>
      </c>
      <c r="H240" s="4">
        <f t="shared" si="3"/>
      </c>
      <c r="I240">
        <f>VLOOKUP(TablaObra5[[#This Row],[Obra]],Catalogos!$B$3:$C$8,2,FALSE)</f>
      </c>
    </row>
    <row r="241" spans="1:9">
      <c r="A241" s="2"/>
      <c r="E241">
        <f>VLOOKUP(TablaObra5[[#This Row],[Equipo]],Catalogos!$I$3:$J$34,2,FALSE)</f>
      </c>
      <c r="F241" s="3"/>
      <c r="G241" s="4">
        <v>28.3</v>
      </c>
      <c r="H241" s="4">
        <f t="shared" si="3"/>
      </c>
      <c r="I241">
        <f>VLOOKUP(TablaObra5[[#This Row],[Obra]],Catalogos!$B$3:$C$8,2,FALSE)</f>
      </c>
    </row>
    <row r="242" spans="1:9">
      <c r="A242" s="2"/>
      <c r="E242">
        <f>VLOOKUP(TablaObra5[[#This Row],[Equipo]],Catalogos!$I$3:$J$34,2,FALSE)</f>
      </c>
      <c r="F242" s="3"/>
      <c r="G242" s="4">
        <v>28.3</v>
      </c>
      <c r="H242" s="4">
        <f t="shared" si="3"/>
      </c>
      <c r="I242">
        <f>VLOOKUP(TablaObra5[[#This Row],[Obra]],Catalogos!$B$3:$C$8,2,FALSE)</f>
      </c>
    </row>
    <row r="243" spans="1:9">
      <c r="A243" s="2"/>
      <c r="E243">
        <f>VLOOKUP(TablaObra5[[#This Row],[Equipo]],Catalogos!$I$3:$J$34,2,FALSE)</f>
      </c>
      <c r="F243" s="3"/>
      <c r="G243" s="4">
        <v>28.3</v>
      </c>
      <c r="H243" s="4">
        <f t="shared" si="3"/>
      </c>
      <c r="I243">
        <f>VLOOKUP(TablaObra5[[#This Row],[Obra]],Catalogos!$B$3:$C$8,2,FALSE)</f>
      </c>
    </row>
    <row r="244" spans="1:9">
      <c r="A244" s="2"/>
      <c r="E244">
        <f>VLOOKUP(TablaObra5[[#This Row],[Equipo]],Catalogos!$I$3:$J$34,2,FALSE)</f>
      </c>
      <c r="F244" s="3"/>
      <c r="G244" s="4">
        <v>28.3</v>
      </c>
      <c r="H244" s="4">
        <f t="shared" si="3"/>
      </c>
      <c r="I244">
        <f>VLOOKUP(TablaObra5[[#This Row],[Obra]],Catalogos!$B$3:$C$8,2,FALSE)</f>
      </c>
    </row>
    <row r="245" spans="1:9">
      <c r="A245" s="2"/>
      <c r="E245">
        <f>VLOOKUP(TablaObra5[[#This Row],[Equipo]],Catalogos!$I$3:$J$34,2,FALSE)</f>
      </c>
      <c r="F245" s="3"/>
      <c r="G245" s="4">
        <v>28.3</v>
      </c>
      <c r="H245" s="4">
        <f t="shared" si="3"/>
      </c>
      <c r="I245">
        <f>VLOOKUP(TablaObra5[[#This Row],[Obra]],Catalogos!$B$3:$C$8,2,FALSE)</f>
      </c>
    </row>
    <row r="246" spans="1:9">
      <c r="A246" s="2"/>
      <c r="E246">
        <f>VLOOKUP(TablaObra5[[#This Row],[Equipo]],Catalogos!$I$3:$J$34,2,FALSE)</f>
      </c>
      <c r="F246" s="3"/>
      <c r="G246" s="4">
        <v>28.3</v>
      </c>
      <c r="H246" s="4">
        <f t="shared" si="3"/>
      </c>
      <c r="I246">
        <f>VLOOKUP(TablaObra5[[#This Row],[Obra]],Catalogos!$B$3:$C$8,2,FALSE)</f>
      </c>
    </row>
    <row r="247" spans="1:9">
      <c r="A247" s="2"/>
      <c r="E247">
        <f>VLOOKUP(TablaObra5[[#This Row],[Equipo]],Catalogos!$I$3:$J$34,2,FALSE)</f>
      </c>
      <c r="F247" s="3"/>
      <c r="G247" s="4">
        <v>28.3</v>
      </c>
      <c r="H247" s="4">
        <f t="shared" si="3"/>
      </c>
      <c r="I247">
        <f>VLOOKUP(TablaObra5[[#This Row],[Obra]],Catalogos!$B$3:$C$8,2,FALSE)</f>
      </c>
    </row>
    <row r="248" spans="1:9">
      <c r="A248" s="2"/>
      <c r="E248">
        <f>VLOOKUP(TablaObra5[[#This Row],[Equipo]],Catalogos!$I$3:$J$34,2,FALSE)</f>
      </c>
      <c r="F248" s="3"/>
      <c r="G248" s="4">
        <v>28.3</v>
      </c>
      <c r="H248" s="4">
        <f t="shared" si="3"/>
      </c>
      <c r="I248">
        <f>VLOOKUP(TablaObra5[[#This Row],[Obra]],Catalogos!$B$3:$C$8,2,FALSE)</f>
      </c>
    </row>
    <row r="249" spans="1:9">
      <c r="A249" s="2"/>
      <c r="E249">
        <f>VLOOKUP(TablaObra5[[#This Row],[Equipo]],Catalogos!$I$3:$J$34,2,FALSE)</f>
      </c>
      <c r="F249" s="3"/>
      <c r="G249" s="4">
        <v>28.3</v>
      </c>
      <c r="H249" s="4">
        <f t="shared" si="3"/>
      </c>
      <c r="I249">
        <f>VLOOKUP(TablaObra5[[#This Row],[Obra]],Catalogos!$B$3:$C$8,2,FALSE)</f>
      </c>
    </row>
    <row r="250" spans="1:9">
      <c r="A250" s="2"/>
      <c r="E250">
        <f>VLOOKUP(TablaObra5[[#This Row],[Equipo]],Catalogos!$I$3:$J$34,2,FALSE)</f>
      </c>
      <c r="F250" s="3"/>
      <c r="G250" s="4">
        <v>28.3</v>
      </c>
      <c r="H250" s="4">
        <f t="shared" si="3"/>
      </c>
      <c r="I250">
        <f>VLOOKUP(TablaObra5[[#This Row],[Obra]],Catalogos!$B$3:$C$8,2,FALSE)</f>
      </c>
    </row>
    <row r="251" spans="1:9">
      <c r="A251" s="2"/>
      <c r="E251">
        <f>VLOOKUP(TablaObra5[[#This Row],[Equipo]],Catalogos!$I$3:$J$34,2,FALSE)</f>
      </c>
      <c r="F251" s="3"/>
      <c r="G251" s="4">
        <v>28.3</v>
      </c>
      <c r="H251" s="4">
        <f t="shared" si="3"/>
      </c>
      <c r="I251">
        <f>VLOOKUP(TablaObra5[[#This Row],[Obra]],Catalogos!$B$3:$C$8,2,FALSE)</f>
      </c>
    </row>
    <row r="252" spans="1:9">
      <c r="A252" s="2"/>
      <c r="E252">
        <f>VLOOKUP(TablaObra5[[#This Row],[Equipo]],Catalogos!$I$3:$J$34,2,FALSE)</f>
      </c>
      <c r="F252" s="3"/>
      <c r="G252" s="4">
        <v>28.3</v>
      </c>
      <c r="H252" s="4">
        <f t="shared" si="3"/>
      </c>
      <c r="I252">
        <f>VLOOKUP(TablaObra5[[#This Row],[Obra]],Catalogos!$B$3:$C$8,2,FALSE)</f>
      </c>
    </row>
    <row r="253" spans="1:9">
      <c r="A253" s="2"/>
      <c r="E253">
        <f>VLOOKUP(TablaObra5[[#This Row],[Equipo]],Catalogos!$I$3:$J$34,2,FALSE)</f>
      </c>
      <c r="F253" s="3"/>
      <c r="G253" s="4">
        <v>28.3</v>
      </c>
      <c r="H253" s="4">
        <f t="shared" si="3"/>
      </c>
      <c r="I253">
        <f>VLOOKUP(TablaObra5[[#This Row],[Obra]],Catalogos!$B$3:$C$8,2,FALSE)</f>
      </c>
    </row>
    <row r="254" spans="1:9">
      <c r="A254" s="2"/>
      <c r="E254">
        <f>VLOOKUP(TablaObra5[[#This Row],[Equipo]],Catalogos!$I$3:$J$34,2,FALSE)</f>
      </c>
      <c r="F254" s="3"/>
      <c r="G254" s="4">
        <v>28.3</v>
      </c>
      <c r="H254" s="4">
        <f t="shared" si="3"/>
      </c>
      <c r="I254">
        <f>VLOOKUP(TablaObra5[[#This Row],[Obra]],Catalogos!$B$3:$C$8,2,FALSE)</f>
      </c>
    </row>
    <row r="255" spans="1:9">
      <c r="A255" s="2"/>
      <c r="E255">
        <f>VLOOKUP(TablaObra5[[#This Row],[Equipo]],Catalogos!$I$3:$J$34,2,FALSE)</f>
      </c>
      <c r="F255" s="3"/>
      <c r="G255" s="4">
        <v>28.3</v>
      </c>
      <c r="H255" s="4">
        <f t="shared" si="3"/>
      </c>
      <c r="I255">
        <f>VLOOKUP(TablaObra5[[#This Row],[Obra]],Catalogos!$B$3:$C$8,2,FALSE)</f>
      </c>
    </row>
    <row r="256" spans="1:9">
      <c r="A256" s="2"/>
      <c r="E256">
        <f>VLOOKUP(TablaObra5[[#This Row],[Equipo]],Catalogos!$I$3:$J$34,2,FALSE)</f>
      </c>
      <c r="F256" s="3"/>
      <c r="G256" s="4">
        <v>28.3</v>
      </c>
      <c r="H256" s="4">
        <f t="shared" si="3"/>
      </c>
      <c r="I256">
        <f>VLOOKUP(TablaObra5[[#This Row],[Obra]],Catalogos!$B$3:$C$8,2,FALSE)</f>
      </c>
    </row>
    <row r="257" spans="1:9">
      <c r="A257" s="2"/>
      <c r="E257">
        <f>VLOOKUP(TablaObra5[[#This Row],[Equipo]],Catalogos!$I$3:$J$34,2,FALSE)</f>
      </c>
      <c r="F257" s="3"/>
      <c r="G257" s="4">
        <v>28.3</v>
      </c>
      <c r="H257" s="4">
        <f t="shared" si="3"/>
      </c>
      <c r="I257">
        <f>VLOOKUP(TablaObra5[[#This Row],[Obra]],Catalogos!$B$3:$C$8,2,FALSE)</f>
      </c>
    </row>
    <row r="258" spans="1:9">
      <c r="A258" s="2"/>
      <c r="E258">
        <f>VLOOKUP(TablaObra5[[#This Row],[Equipo]],Catalogos!$I$3:$J$34,2,FALSE)</f>
      </c>
      <c r="F258" s="3"/>
      <c r="G258" s="4">
        <v>28.3</v>
      </c>
      <c r="H258" s="4">
        <f t="shared" si="3"/>
      </c>
      <c r="I258">
        <f>VLOOKUP(TablaObra5[[#This Row],[Obra]],Catalogos!$B$3:$C$8,2,FALSE)</f>
      </c>
    </row>
    <row r="259" spans="1:9">
      <c r="A259" s="2"/>
      <c r="E259">
        <f>VLOOKUP(TablaObra5[[#This Row],[Equipo]],Catalogos!$I$3:$J$34,2,FALSE)</f>
      </c>
      <c r="F259" s="3"/>
      <c r="G259" s="4">
        <v>28.3</v>
      </c>
      <c r="H259" s="4">
        <f t="shared" si="3"/>
      </c>
      <c r="I259">
        <f>VLOOKUP(TablaObra5[[#This Row],[Obra]],Catalogos!$B$3:$C$8,2,FALSE)</f>
      </c>
    </row>
    <row r="260" spans="1:9">
      <c r="A260" s="2"/>
      <c r="E260">
        <f>VLOOKUP(TablaObra5[[#This Row],[Equipo]],Catalogos!$I$3:$J$34,2,FALSE)</f>
      </c>
      <c r="F260" s="3"/>
      <c r="G260" s="4">
        <v>28.3</v>
      </c>
      <c r="H260" s="4">
        <f t="shared" si="3"/>
      </c>
      <c r="I260">
        <f>VLOOKUP(TablaObra5[[#This Row],[Obra]],Catalogos!$B$3:$C$8,2,FALSE)</f>
      </c>
    </row>
    <row r="261" spans="1:9">
      <c r="A261" s="2"/>
      <c r="E261">
        <f>VLOOKUP(TablaObra5[[#This Row],[Equipo]],Catalogos!$I$3:$J$34,2,FALSE)</f>
      </c>
      <c r="F261" s="3"/>
      <c r="G261" s="4">
        <v>28.3</v>
      </c>
      <c r="H261" s="4">
        <f t="shared" si="3"/>
      </c>
      <c r="I261">
        <f>VLOOKUP(TablaObra5[[#This Row],[Obra]],Catalogos!$B$3:$C$8,2,FALSE)</f>
      </c>
    </row>
    <row r="262" spans="1:9">
      <c r="A262" s="2"/>
      <c r="E262">
        <f>VLOOKUP(TablaObra5[[#This Row],[Equipo]],Catalogos!$I$3:$J$34,2,FALSE)</f>
      </c>
      <c r="F262" s="3"/>
      <c r="G262" s="4">
        <v>28.3</v>
      </c>
      <c r="H262" s="4">
        <f t="shared" si="3"/>
      </c>
      <c r="I262">
        <f>VLOOKUP(TablaObra5[[#This Row],[Obra]],Catalogos!$B$3:$C$8,2,FALSE)</f>
      </c>
    </row>
    <row r="263" spans="1:9">
      <c r="A263" s="2"/>
      <c r="E263">
        <f>VLOOKUP(TablaObra5[[#This Row],[Equipo]],Catalogos!$I$3:$J$34,2,FALSE)</f>
      </c>
      <c r="F263" s="3"/>
      <c r="G263" s="4">
        <v>28.3</v>
      </c>
      <c r="H263" s="4">
        <f t="shared" ref="H263:H306" si="4">IFERROR(F263*G263,0)</f>
      </c>
      <c r="I263">
        <f>VLOOKUP(TablaObra5[[#This Row],[Obra]],Catalogos!$B$3:$C$8,2,FALSE)</f>
      </c>
    </row>
    <row r="264" spans="1:9">
      <c r="A264" s="2"/>
      <c r="E264">
        <f>VLOOKUP(TablaObra5[[#This Row],[Equipo]],Catalogos!$I$3:$J$34,2,FALSE)</f>
      </c>
      <c r="F264" s="3"/>
      <c r="G264" s="4">
        <v>28.3</v>
      </c>
      <c r="H264" s="4">
        <f t="shared" si="4"/>
      </c>
      <c r="I264">
        <f>VLOOKUP(TablaObra5[[#This Row],[Obra]],Catalogos!$B$3:$C$8,2,FALSE)</f>
      </c>
    </row>
    <row r="265" spans="1:9">
      <c r="A265" s="2"/>
      <c r="E265">
        <f>VLOOKUP(TablaObra5[[#This Row],[Equipo]],Catalogos!$I$3:$J$34,2,FALSE)</f>
      </c>
      <c r="F265" s="3"/>
      <c r="G265" s="4">
        <v>28.3</v>
      </c>
      <c r="H265" s="4">
        <f t="shared" si="4"/>
      </c>
      <c r="I265">
        <f>VLOOKUP(TablaObra5[[#This Row],[Obra]],Catalogos!$B$3:$C$8,2,FALSE)</f>
      </c>
    </row>
    <row r="266" spans="1:9">
      <c r="A266" s="2"/>
      <c r="E266">
        <f>VLOOKUP(TablaObra5[[#This Row],[Equipo]],Catalogos!$I$3:$J$34,2,FALSE)</f>
      </c>
      <c r="F266" s="3"/>
      <c r="G266" s="4">
        <v>28.3</v>
      </c>
      <c r="H266" s="4">
        <f t="shared" si="4"/>
      </c>
      <c r="I266">
        <f>VLOOKUP(TablaObra5[[#This Row],[Obra]],Catalogos!$B$3:$C$8,2,FALSE)</f>
      </c>
    </row>
    <row r="267" spans="1:9">
      <c r="A267" s="2"/>
      <c r="E267">
        <f>VLOOKUP(TablaObra5[[#This Row],[Equipo]],Catalogos!$I$3:$J$34,2,FALSE)</f>
      </c>
      <c r="F267" s="3"/>
      <c r="G267" s="4">
        <v>28.3</v>
      </c>
      <c r="H267" s="4">
        <f t="shared" si="4"/>
      </c>
      <c r="I267">
        <f>VLOOKUP(TablaObra5[[#This Row],[Obra]],Catalogos!$B$3:$C$8,2,FALSE)</f>
      </c>
    </row>
    <row r="268" spans="1:9">
      <c r="A268" s="2"/>
      <c r="E268">
        <f>VLOOKUP(TablaObra5[[#This Row],[Equipo]],Catalogos!$I$3:$J$34,2,FALSE)</f>
      </c>
      <c r="F268" s="3"/>
      <c r="G268" s="4">
        <v>28.3</v>
      </c>
      <c r="H268" s="4">
        <f t="shared" si="4"/>
      </c>
      <c r="I268">
        <f>VLOOKUP(TablaObra5[[#This Row],[Obra]],Catalogos!$B$3:$C$8,2,FALSE)</f>
      </c>
    </row>
    <row r="269" spans="1:9">
      <c r="A269" s="2"/>
      <c r="E269">
        <f>VLOOKUP(TablaObra5[[#This Row],[Equipo]],Catalogos!$I$3:$J$34,2,FALSE)</f>
      </c>
      <c r="F269" s="3"/>
      <c r="G269" s="4">
        <v>28.3</v>
      </c>
      <c r="H269" s="4">
        <f t="shared" si="4"/>
      </c>
      <c r="I269">
        <f>VLOOKUP(TablaObra5[[#This Row],[Obra]],Catalogos!$B$3:$C$8,2,FALSE)</f>
      </c>
    </row>
    <row r="270" spans="1:9">
      <c r="A270" s="2"/>
      <c r="E270">
        <f>VLOOKUP(TablaObra5[[#This Row],[Equipo]],Catalogos!$I$3:$J$34,2,FALSE)</f>
      </c>
      <c r="F270" s="3"/>
      <c r="G270" s="4">
        <v>28.3</v>
      </c>
      <c r="H270" s="4">
        <f t="shared" si="4"/>
      </c>
      <c r="I270">
        <f>VLOOKUP(TablaObra5[[#This Row],[Obra]],Catalogos!$B$3:$C$8,2,FALSE)</f>
      </c>
    </row>
    <row r="271" spans="1:9">
      <c r="A271" s="2"/>
      <c r="E271">
        <f>VLOOKUP(TablaObra5[[#This Row],[Equipo]],Catalogos!$I$3:$J$34,2,FALSE)</f>
      </c>
      <c r="F271" s="3"/>
      <c r="G271" s="4">
        <v>28.3</v>
      </c>
      <c r="H271" s="4">
        <f t="shared" si="4"/>
      </c>
      <c r="I271">
        <f>VLOOKUP(TablaObra5[[#This Row],[Obra]],Catalogos!$B$3:$C$8,2,FALSE)</f>
      </c>
    </row>
    <row r="272" spans="1:9">
      <c r="A272" s="2"/>
      <c r="E272">
        <f>VLOOKUP(TablaObra5[[#This Row],[Equipo]],Catalogos!$I$3:$J$34,2,FALSE)</f>
      </c>
      <c r="F272" s="3"/>
      <c r="G272" s="4">
        <v>28.3</v>
      </c>
      <c r="H272" s="4">
        <f t="shared" si="4"/>
      </c>
      <c r="I272">
        <f>VLOOKUP(TablaObra5[[#This Row],[Obra]],Catalogos!$B$3:$C$8,2,FALSE)</f>
      </c>
    </row>
    <row r="273" spans="1:9">
      <c r="A273" s="2"/>
      <c r="E273">
        <f>VLOOKUP(TablaObra5[[#This Row],[Equipo]],Catalogos!$I$3:$J$34,2,FALSE)</f>
      </c>
      <c r="F273" s="3"/>
      <c r="G273" s="4">
        <v>28.3</v>
      </c>
      <c r="H273" s="4">
        <f t="shared" si="4"/>
      </c>
      <c r="I273">
        <f>VLOOKUP(TablaObra5[[#This Row],[Obra]],Catalogos!$B$3:$C$8,2,FALSE)</f>
      </c>
    </row>
    <row r="274" spans="1:9">
      <c r="A274" s="2"/>
      <c r="E274">
        <f>VLOOKUP(TablaObra5[[#This Row],[Equipo]],Catalogos!$I$3:$J$34,2,FALSE)</f>
      </c>
      <c r="F274" s="3"/>
      <c r="G274" s="4">
        <v>28.3</v>
      </c>
      <c r="H274" s="4">
        <f t="shared" si="4"/>
      </c>
      <c r="I274">
        <f>VLOOKUP(TablaObra5[[#This Row],[Obra]],Catalogos!$B$3:$C$8,2,FALSE)</f>
      </c>
    </row>
    <row r="275" spans="1:9">
      <c r="A275" s="2"/>
      <c r="E275">
        <f>VLOOKUP(TablaObra5[[#This Row],[Equipo]],Catalogos!$I$3:$J$34,2,FALSE)</f>
      </c>
      <c r="F275" s="3"/>
      <c r="G275" s="4">
        <v>28.3</v>
      </c>
      <c r="H275" s="4">
        <f t="shared" si="4"/>
      </c>
      <c r="I275">
        <f>VLOOKUP(TablaObra5[[#This Row],[Obra]],Catalogos!$B$3:$C$8,2,FALSE)</f>
      </c>
    </row>
    <row r="276" spans="1:9">
      <c r="A276" s="2"/>
      <c r="E276">
        <f>VLOOKUP(TablaObra5[[#This Row],[Equipo]],Catalogos!$I$3:$J$34,2,FALSE)</f>
      </c>
      <c r="F276" s="3"/>
      <c r="G276" s="4">
        <v>28.3</v>
      </c>
      <c r="H276" s="4">
        <f t="shared" si="4"/>
      </c>
      <c r="I276">
        <f>VLOOKUP(TablaObra5[[#This Row],[Obra]],Catalogos!$B$3:$C$8,2,FALSE)</f>
      </c>
    </row>
    <row r="277" spans="1:9">
      <c r="A277" s="2"/>
      <c r="E277">
        <f>VLOOKUP(TablaObra5[[#This Row],[Equipo]],Catalogos!$I$3:$J$34,2,FALSE)</f>
      </c>
      <c r="F277" s="3"/>
      <c r="G277" s="4">
        <v>28.3</v>
      </c>
      <c r="H277" s="4">
        <f t="shared" si="4"/>
      </c>
      <c r="I277">
        <f>VLOOKUP(TablaObra5[[#This Row],[Obra]],Catalogos!$B$3:$C$8,2,FALSE)</f>
      </c>
    </row>
    <row r="278" spans="1:9">
      <c r="A278" s="2"/>
      <c r="E278">
        <f>VLOOKUP(TablaObra5[[#This Row],[Equipo]],Catalogos!$I$3:$J$34,2,FALSE)</f>
      </c>
      <c r="F278" s="3"/>
      <c r="G278" s="4">
        <v>28.3</v>
      </c>
      <c r="H278" s="4">
        <f t="shared" si="4"/>
      </c>
      <c r="I278">
        <f>VLOOKUP(TablaObra5[[#This Row],[Obra]],Catalogos!$B$3:$C$8,2,FALSE)</f>
      </c>
    </row>
    <row r="279" spans="1:9">
      <c r="A279" s="2"/>
      <c r="E279">
        <f>VLOOKUP(TablaObra5[[#This Row],[Equipo]],Catalogos!$I$3:$J$34,2,FALSE)</f>
      </c>
      <c r="F279" s="3"/>
      <c r="G279" s="4">
        <v>28.3</v>
      </c>
      <c r="H279" s="4">
        <f t="shared" si="4"/>
      </c>
      <c r="I279">
        <f>VLOOKUP(TablaObra5[[#This Row],[Obra]],Catalogos!$B$3:$C$8,2,FALSE)</f>
      </c>
    </row>
    <row r="280" spans="1:9">
      <c r="A280" s="2"/>
      <c r="E280">
        <f>VLOOKUP(TablaObra5[[#This Row],[Equipo]],Catalogos!$I$3:$J$34,2,FALSE)</f>
      </c>
      <c r="F280" s="3"/>
      <c r="G280" s="4">
        <v>28.3</v>
      </c>
      <c r="H280" s="4">
        <f t="shared" si="4"/>
      </c>
      <c r="I280">
        <f>VLOOKUP(TablaObra5[[#This Row],[Obra]],Catalogos!$B$3:$C$8,2,FALSE)</f>
      </c>
    </row>
    <row r="281" spans="1:9">
      <c r="A281" s="2"/>
      <c r="E281">
        <f>VLOOKUP(TablaObra5[[#This Row],[Equipo]],Catalogos!$I$3:$J$34,2,FALSE)</f>
      </c>
      <c r="F281" s="3"/>
      <c r="G281" s="4">
        <v>28.3</v>
      </c>
      <c r="H281" s="4">
        <f t="shared" si="4"/>
      </c>
      <c r="I281">
        <f>VLOOKUP(TablaObra5[[#This Row],[Obra]],Catalogos!$B$3:$C$8,2,FALSE)</f>
      </c>
    </row>
    <row r="282" spans="1:9">
      <c r="A282" s="2"/>
      <c r="E282">
        <f>VLOOKUP(TablaObra5[[#This Row],[Equipo]],Catalogos!$I$3:$J$34,2,FALSE)</f>
      </c>
      <c r="F282" s="3"/>
      <c r="G282" s="4">
        <v>28.3</v>
      </c>
      <c r="H282" s="4">
        <f t="shared" si="4"/>
      </c>
      <c r="I282">
        <f>VLOOKUP(TablaObra5[[#This Row],[Obra]],Catalogos!$B$3:$C$8,2,FALSE)</f>
      </c>
    </row>
    <row r="283" spans="1:9">
      <c r="A283" s="2"/>
      <c r="E283">
        <f>VLOOKUP(TablaObra5[[#This Row],[Equipo]],Catalogos!$I$3:$J$34,2,FALSE)</f>
      </c>
      <c r="F283" s="3"/>
      <c r="G283" s="4">
        <v>28.3</v>
      </c>
      <c r="H283" s="4">
        <f t="shared" si="4"/>
      </c>
      <c r="I283">
        <f>VLOOKUP(TablaObra5[[#This Row],[Obra]],Catalogos!$B$3:$C$8,2,FALSE)</f>
      </c>
    </row>
    <row r="284" spans="1:9">
      <c r="A284" s="2"/>
      <c r="E284">
        <f>VLOOKUP(TablaObra5[[#This Row],[Equipo]],Catalogos!$I$3:$J$34,2,FALSE)</f>
      </c>
      <c r="F284" s="3"/>
      <c r="G284" s="4">
        <v>28.3</v>
      </c>
      <c r="H284" s="4">
        <f t="shared" si="4"/>
      </c>
      <c r="I284">
        <f>VLOOKUP(TablaObra5[[#This Row],[Obra]],Catalogos!$B$3:$C$8,2,FALSE)</f>
      </c>
    </row>
    <row r="285" spans="1:9">
      <c r="A285" s="2"/>
      <c r="E285">
        <f>VLOOKUP(TablaObra5[[#This Row],[Equipo]],Catalogos!$I$3:$J$34,2,FALSE)</f>
      </c>
      <c r="F285" s="3"/>
      <c r="G285" s="4">
        <v>28.3</v>
      </c>
      <c r="H285" s="4">
        <f t="shared" si="4"/>
      </c>
      <c r="I285">
        <f>VLOOKUP(TablaObra5[[#This Row],[Obra]],Catalogos!$B$3:$C$8,2,FALSE)</f>
      </c>
    </row>
    <row r="286" spans="1:9">
      <c r="A286" s="2"/>
      <c r="E286">
        <f>VLOOKUP(TablaObra5[[#This Row],[Equipo]],Catalogos!$I$3:$J$34,2,FALSE)</f>
      </c>
      <c r="F286" s="3"/>
      <c r="G286" s="4">
        <v>28.3</v>
      </c>
      <c r="H286" s="4">
        <f t="shared" si="4"/>
      </c>
      <c r="I286">
        <f>VLOOKUP(TablaObra5[[#This Row],[Obra]],Catalogos!$B$3:$C$8,2,FALSE)</f>
      </c>
    </row>
    <row r="287" spans="1:9">
      <c r="A287" s="2"/>
      <c r="E287">
        <f>VLOOKUP(TablaObra5[[#This Row],[Equipo]],Catalogos!$I$3:$J$34,2,FALSE)</f>
      </c>
      <c r="F287" s="3"/>
      <c r="G287" s="4">
        <v>28.3</v>
      </c>
      <c r="H287" s="4">
        <f t="shared" si="4"/>
      </c>
      <c r="I287">
        <f>VLOOKUP(TablaObra5[[#This Row],[Obra]],Catalogos!$B$3:$C$8,2,FALSE)</f>
      </c>
    </row>
    <row r="288" spans="1:9">
      <c r="A288" s="2"/>
      <c r="E288">
        <f>VLOOKUP(TablaObra5[[#This Row],[Equipo]],Catalogos!$I$3:$J$34,2,FALSE)</f>
      </c>
      <c r="F288" s="3"/>
      <c r="G288" s="4">
        <v>28.3</v>
      </c>
      <c r="H288" s="4">
        <f t="shared" si="4"/>
      </c>
      <c r="I288">
        <f>VLOOKUP(TablaObra5[[#This Row],[Obra]],Catalogos!$B$3:$C$8,2,FALSE)</f>
      </c>
    </row>
    <row r="289" spans="1:9">
      <c r="A289" s="2"/>
      <c r="E289">
        <f>VLOOKUP(TablaObra5[[#This Row],[Equipo]],Catalogos!$I$3:$J$34,2,FALSE)</f>
      </c>
      <c r="F289" s="3"/>
      <c r="G289" s="4">
        <v>28.3</v>
      </c>
      <c r="H289" s="4">
        <f t="shared" si="4"/>
      </c>
      <c r="I289">
        <f>VLOOKUP(TablaObra5[[#This Row],[Obra]],Catalogos!$B$3:$C$8,2,FALSE)</f>
      </c>
    </row>
    <row r="290" spans="1:9">
      <c r="A290" s="2"/>
      <c r="E290">
        <f>VLOOKUP(TablaObra5[[#This Row],[Equipo]],Catalogos!$I$3:$J$34,2,FALSE)</f>
      </c>
      <c r="F290" s="3"/>
      <c r="G290" s="4">
        <v>28.3</v>
      </c>
      <c r="H290" s="4">
        <f t="shared" si="4"/>
      </c>
      <c r="I290">
        <f>VLOOKUP(TablaObra5[[#This Row],[Obra]],Catalogos!$B$3:$C$8,2,FALSE)</f>
      </c>
    </row>
    <row r="291" spans="1:9">
      <c r="A291" s="2"/>
      <c r="E291">
        <f>VLOOKUP(TablaObra5[[#This Row],[Equipo]],Catalogos!$I$3:$J$34,2,FALSE)</f>
      </c>
      <c r="F291" s="3"/>
      <c r="G291" s="4">
        <v>28.3</v>
      </c>
      <c r="H291" s="4">
        <f t="shared" si="4"/>
      </c>
      <c r="I291">
        <f>VLOOKUP(TablaObra5[[#This Row],[Obra]],Catalogos!$B$3:$C$8,2,FALSE)</f>
      </c>
    </row>
    <row r="292" spans="1:9">
      <c r="A292" s="2"/>
      <c r="E292">
        <f>VLOOKUP(TablaObra5[[#This Row],[Equipo]],Catalogos!$I$3:$J$34,2,FALSE)</f>
      </c>
      <c r="F292" s="3"/>
      <c r="G292" s="4">
        <v>28.3</v>
      </c>
      <c r="H292" s="4">
        <f t="shared" si="4"/>
      </c>
      <c r="I292">
        <f>VLOOKUP(TablaObra5[[#This Row],[Obra]],Catalogos!$B$3:$C$8,2,FALSE)</f>
      </c>
    </row>
    <row r="293" spans="1:9">
      <c r="A293" s="2"/>
      <c r="E293">
        <f>VLOOKUP(TablaObra5[[#This Row],[Equipo]],Catalogos!$I$3:$J$34,2,FALSE)</f>
      </c>
      <c r="F293" s="3"/>
      <c r="G293" s="4">
        <v>28.3</v>
      </c>
      <c r="H293" s="4">
        <f t="shared" si="4"/>
      </c>
      <c r="I293">
        <f>VLOOKUP(TablaObra5[[#This Row],[Obra]],Catalogos!$B$3:$C$8,2,FALSE)</f>
      </c>
    </row>
    <row r="294" spans="1:9">
      <c r="A294" s="2"/>
      <c r="E294">
        <f>VLOOKUP(TablaObra5[[#This Row],[Equipo]],Catalogos!$I$3:$J$34,2,FALSE)</f>
      </c>
      <c r="F294" s="3"/>
      <c r="G294" s="4">
        <v>28.3</v>
      </c>
      <c r="H294" s="4">
        <f t="shared" si="4"/>
      </c>
      <c r="I294">
        <f>VLOOKUP(TablaObra5[[#This Row],[Obra]],Catalogos!$B$3:$C$8,2,FALSE)</f>
      </c>
    </row>
    <row r="295" spans="1:9">
      <c r="A295" s="2"/>
      <c r="E295">
        <f>VLOOKUP(TablaObra5[[#This Row],[Equipo]],Catalogos!$I$3:$J$34,2,FALSE)</f>
      </c>
      <c r="F295" s="3"/>
      <c r="G295" s="4">
        <v>28.3</v>
      </c>
      <c r="H295" s="4">
        <f t="shared" si="4"/>
      </c>
      <c r="I295">
        <f>VLOOKUP(TablaObra5[[#This Row],[Obra]],Catalogos!$B$3:$C$8,2,FALSE)</f>
      </c>
    </row>
    <row r="296" spans="1:9">
      <c r="A296" s="2"/>
      <c r="E296">
        <f>VLOOKUP(TablaObra5[[#This Row],[Equipo]],Catalogos!$I$3:$J$34,2,FALSE)</f>
      </c>
      <c r="F296" s="3"/>
      <c r="G296" s="4">
        <v>28.3</v>
      </c>
      <c r="H296" s="4">
        <f t="shared" si="4"/>
      </c>
      <c r="I296">
        <f>VLOOKUP(TablaObra5[[#This Row],[Obra]],Catalogos!$B$3:$C$8,2,FALSE)</f>
      </c>
    </row>
    <row r="297" spans="1:9">
      <c r="A297" s="2"/>
      <c r="E297">
        <f>VLOOKUP(TablaObra5[[#This Row],[Equipo]],Catalogos!$I$3:$J$34,2,FALSE)</f>
      </c>
      <c r="F297" s="3"/>
      <c r="G297" s="4">
        <v>28.3</v>
      </c>
      <c r="H297" s="4">
        <f t="shared" si="4"/>
      </c>
      <c r="I297">
        <f>VLOOKUP(TablaObra5[[#This Row],[Obra]],Catalogos!$B$3:$C$8,2,FALSE)</f>
      </c>
    </row>
    <row r="298" spans="1:9">
      <c r="A298" s="2"/>
      <c r="E298">
        <f>VLOOKUP(TablaObra5[[#This Row],[Equipo]],Catalogos!$I$3:$J$34,2,FALSE)</f>
      </c>
      <c r="F298" s="3"/>
      <c r="G298" s="4">
        <v>28.3</v>
      </c>
      <c r="H298" s="4">
        <f t="shared" si="4"/>
      </c>
      <c r="I298">
        <f>VLOOKUP(TablaObra5[[#This Row],[Obra]],Catalogos!$B$3:$C$8,2,FALSE)</f>
      </c>
    </row>
    <row r="299" spans="1:9">
      <c r="A299" s="2"/>
      <c r="E299">
        <f>VLOOKUP(TablaObra5[[#This Row],[Equipo]],Catalogos!$I$3:$J$34,2,FALSE)</f>
      </c>
      <c r="F299" s="3"/>
      <c r="G299" s="4">
        <v>28.3</v>
      </c>
      <c r="H299" s="4">
        <f t="shared" si="4"/>
      </c>
      <c r="I299">
        <f>VLOOKUP(TablaObra5[[#This Row],[Obra]],Catalogos!$B$3:$C$8,2,FALSE)</f>
      </c>
    </row>
    <row r="300" spans="1:9">
      <c r="A300" s="2"/>
      <c r="E300">
        <f>VLOOKUP(TablaObra5[[#This Row],[Equipo]],Catalogos!$I$3:$J$34,2,FALSE)</f>
      </c>
      <c r="F300" s="3"/>
      <c r="G300" s="4">
        <v>28.3</v>
      </c>
      <c r="H300" s="4">
        <f t="shared" si="4"/>
      </c>
      <c r="I300">
        <f>VLOOKUP(TablaObra5[[#This Row],[Obra]],Catalogos!$B$3:$C$8,2,FALSE)</f>
      </c>
    </row>
    <row r="301" spans="1:9">
      <c r="A301" s="2"/>
      <c r="E301">
        <f>VLOOKUP(TablaObra5[[#This Row],[Equipo]],Catalogos!$I$3:$J$34,2,FALSE)</f>
      </c>
      <c r="F301" s="3"/>
      <c r="G301" s="4">
        <v>28.3</v>
      </c>
      <c r="H301" s="4">
        <f t="shared" si="4"/>
      </c>
      <c r="I301">
        <f>VLOOKUP(TablaObra5[[#This Row],[Obra]],Catalogos!$B$3:$C$8,2,FALSE)</f>
      </c>
    </row>
    <row r="302" spans="1:9">
      <c r="A302" s="2"/>
      <c r="E302">
        <f>VLOOKUP(TablaObra5[[#This Row],[Equipo]],Catalogos!$I$3:$J$34,2,FALSE)</f>
      </c>
      <c r="F302" s="3"/>
      <c r="G302" s="4">
        <v>28.3</v>
      </c>
      <c r="H302" s="4">
        <f t="shared" si="4"/>
      </c>
      <c r="I302">
        <f>VLOOKUP(TablaObra5[[#This Row],[Obra]],Catalogos!$B$3:$C$8,2,FALSE)</f>
      </c>
    </row>
    <row r="303" spans="1:9">
      <c r="A303" s="2"/>
      <c r="E303">
        <f>VLOOKUP(TablaObra5[[#This Row],[Equipo]],Catalogos!$I$3:$J$34,2,FALSE)</f>
      </c>
      <c r="F303" s="3"/>
      <c r="G303" s="4">
        <v>28.3</v>
      </c>
      <c r="H303" s="4">
        <f t="shared" si="4"/>
      </c>
      <c r="I303">
        <f>VLOOKUP(TablaObra5[[#This Row],[Obra]],Catalogos!$B$3:$C$8,2,FALSE)</f>
      </c>
    </row>
    <row r="304" spans="1:9">
      <c r="A304" s="2"/>
      <c r="E304">
        <f>VLOOKUP(TablaObra5[[#This Row],[Equipo]],Catalogos!$I$3:$J$34,2,FALSE)</f>
      </c>
      <c r="F304" s="3"/>
      <c r="G304" s="4">
        <v>28.3</v>
      </c>
      <c r="H304" s="4">
        <f t="shared" si="4"/>
      </c>
      <c r="I304">
        <f>VLOOKUP(TablaObra5[[#This Row],[Obra]],Catalogos!$B$3:$C$8,2,FALSE)</f>
      </c>
    </row>
    <row r="305" spans="1:9">
      <c r="A305" s="2"/>
      <c r="E305">
        <f>VLOOKUP(TablaObra5[[#This Row],[Equipo]],Catalogos!$I$3:$J$34,2,FALSE)</f>
      </c>
      <c r="F305" s="3"/>
      <c r="G305" s="4">
        <v>28.3</v>
      </c>
      <c r="H305" s="4">
        <f t="shared" si="4"/>
      </c>
      <c r="I305">
        <f>VLOOKUP(TablaObra5[[#This Row],[Obra]],Catalogos!$B$3:$C$8,2,FALSE)</f>
      </c>
    </row>
    <row r="306" spans="1:9">
      <c r="A306" s="2"/>
      <c r="E306">
        <f>VLOOKUP(TablaObra5[[#This Row],[Equipo]],Catalogos!$I$3:$J$34,2,FALSE)</f>
      </c>
      <c r="F306" s="3"/>
      <c r="G306" s="4">
        <v>28.3</v>
      </c>
      <c r="H306" s="4">
        <f t="shared" si="4"/>
      </c>
      <c r="I306">
        <f>VLOOKUP(TablaObra5[[#This Row],[Obra]],Catalogos!$B$3:$C$8,2,FALSE)</f>
      </c>
    </row>
  </sheetData>
  <mergeCells count="1">
    <mergeCell ref="A1:K1"/>
  </mergeCells>
  <dataValidations count="3">
    <dataValidation type="list" sqref="J5:J306" xr:uid="{F088CA72-B887-4919-9599-320A81590B37}">
      <formula1>"Sin incidencia,Fuga,Reparación,Equipo parado,Consumo extraordinario,Otro"</formula1>
    </dataValidation>
    <dataValidation type="list" sqref="C297:C306" xr:uid="{D8D37BB4-CAF1-4599-8863-3A840616BA64}">
      <formula1>"Marimba M-01,Pegaso Directo,Otro"</formula1>
    </dataValidation>
    <dataValidation sqref="C5:C296" xr:uid="{C565FAA6-1CA1-46BD-AD92-EB4A143CBC04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81A2BCB4-9A02-457A-8743-3B88717955A6}">
          <x14:formula1>
            <xm:f>Catalogos!$B$4:$B$8</xm:f>
          </x14:formula1>
          <xm:sqref>B5:B306</xm:sqref>
        </x14:dataValidation>
        <x14:dataValidation type="list" allowBlank="1" showInputMessage="1" showErrorMessage="1" xr:uid="{EDD8FA59-820A-4415-A53B-84EF3A3D37B6}">
          <x14:formula1>
            <xm:f>Catalogos!$I$4:$I$34</xm:f>
          </x14:formula1>
          <xm:sqref>D5:D306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/>
  <sheetViews>
    <sheetView zoomScale="88" workbookViewId="0">
      <selection activeCell="L39" sqref="L39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3" ht="22.35" customHeight="1">
      <c r="A1" t="s" s="17">
        <v>48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3">
      <c r="A2" t="s">
        <v>49</v>
      </c>
      <c r="C2" t="s">
        <v>23</v>
      </c>
      <c r="E2" t="s">
        <v>24</v>
      </c>
      <c r="G2" t="s">
        <v>50</v>
      </c>
      <c r="I2" t="s">
        <v>42</v>
      </c>
    </row>
    <row r="4" spans="1:13" ht="27.6">
      <c r="A4" t="s" s="1">
        <v>28</v>
      </c>
      <c r="B4" t="s" s="1">
        <v>3</v>
      </c>
      <c r="C4" t="s" s="1">
        <v>51</v>
      </c>
      <c r="D4" t="s" s="1">
        <v>45</v>
      </c>
      <c r="E4" t="s" s="1">
        <v>46</v>
      </c>
      <c r="F4" t="s" s="1">
        <v>52</v>
      </c>
      <c r="G4" t="s" s="1">
        <v>35</v>
      </c>
      <c r="H4" t="s" s="1">
        <v>36</v>
      </c>
      <c r="I4" t="s" s="1">
        <v>53</v>
      </c>
      <c r="J4" t="s" s="1">
        <v>54</v>
      </c>
      <c r="K4" t="s" s="1">
        <v>37</v>
      </c>
    </row>
    <row r="5" spans="1:13">
      <c r="A5" s="2">
        <v>46181</v>
      </c>
      <c r="B5" t="s">
        <v>6</v>
      </c>
      <c r="C5" t="s">
        <v>89</v>
      </c>
      <c r="D5" t="s">
        <v>181</v>
      </c>
      <c r="E5">
        <f>VLOOKUP(TablaObra[[#This Row],[Equipo]],Catalogos!I$4:J$34,2,FALSE)</f>
      </c>
      <c r="F5" s="3">
        <v>30</v>
      </c>
      <c r="G5" s="4">
        <v>28.3</v>
      </c>
      <c r="H5" s="4">
        <f t="shared" ref="H5:H68" si="0">IFERROR(F5*G5,0)</f>
      </c>
    </row>
    <row r="6" spans="1:13">
      <c r="A6" s="2">
        <v>46181</v>
      </c>
      <c r="B6" t="s">
        <v>6</v>
      </c>
      <c r="C6" t="s">
        <v>89</v>
      </c>
      <c r="D6" t="s">
        <v>86</v>
      </c>
      <c r="E6">
        <f>VLOOKUP(TablaObra[[#This Row],[Equipo]],Catalogos!I$4:J$34,2,FALSE)</f>
      </c>
      <c r="F6" s="3">
        <v>32</v>
      </c>
      <c r="G6" s="4">
        <v>28.3</v>
      </c>
      <c r="H6" s="4">
        <f t="shared" si="0"/>
      </c>
    </row>
    <row r="7" spans="1:13">
      <c r="A7" s="2">
        <v>46181</v>
      </c>
      <c r="B7" t="s">
        <v>6</v>
      </c>
      <c r="C7" t="s">
        <v>89</v>
      </c>
      <c r="D7" t="s">
        <v>164</v>
      </c>
      <c r="E7">
        <f>VLOOKUP(TablaObra[[#This Row],[Equipo]],Catalogos!I$4:J$34,2,FALSE)</f>
      </c>
      <c r="F7" s="3">
        <v>277</v>
      </c>
      <c r="G7" s="4">
        <v>28.3</v>
      </c>
      <c r="H7" s="4">
        <f t="shared" si="0"/>
      </c>
    </row>
    <row r="8" spans="1:13">
      <c r="A8" s="2">
        <v>46181</v>
      </c>
      <c r="B8" t="s">
        <v>6</v>
      </c>
      <c r="C8" t="s">
        <v>89</v>
      </c>
      <c r="D8" t="s">
        <v>95</v>
      </c>
      <c r="E8">
        <f>VLOOKUP(TablaObra[[#This Row],[Equipo]],Catalogos!I$4:J$34,2,FALSE)</f>
      </c>
      <c r="F8" s="3">
        <v>30</v>
      </c>
      <c r="G8" s="4">
        <v>28.3</v>
      </c>
      <c r="H8" s="4">
        <f t="shared" si="0"/>
      </c>
    </row>
    <row r="9" spans="1:13">
      <c r="A9" s="2">
        <v>46181</v>
      </c>
      <c r="B9" t="s">
        <v>8</v>
      </c>
      <c r="C9" t="s">
        <v>89</v>
      </c>
      <c r="D9" t="s">
        <v>160</v>
      </c>
      <c r="E9">
        <f>VLOOKUP(TablaObra[[#This Row],[Equipo]],Catalogos!I$4:J$34,2,FALSE)</f>
      </c>
      <c r="F9" s="3">
        <v>97</v>
      </c>
      <c r="G9" s="4">
        <v>28.3</v>
      </c>
      <c r="H9" s="4">
        <f t="shared" si="0"/>
      </c>
    </row>
    <row r="10" spans="1:13">
      <c r="A10" s="2">
        <v>46181</v>
      </c>
      <c r="B10" t="s">
        <v>10</v>
      </c>
      <c r="C10" t="s">
        <v>89</v>
      </c>
      <c r="D10" t="s">
        <v>171</v>
      </c>
      <c r="E10">
        <f>VLOOKUP(TablaObra[[#This Row],[Equipo]],Catalogos!I$4:J$34,2,FALSE)</f>
      </c>
      <c r="F10" s="3">
        <v>198</v>
      </c>
      <c r="G10" s="4">
        <v>28.3</v>
      </c>
      <c r="H10" s="4">
        <f t="shared" si="0"/>
      </c>
    </row>
    <row r="11" spans="1:13">
      <c r="A11" s="2">
        <v>46181</v>
      </c>
      <c r="B11" t="s">
        <v>10</v>
      </c>
      <c r="C11" t="s">
        <v>89</v>
      </c>
      <c r="D11" t="s">
        <v>192</v>
      </c>
      <c r="E11">
        <f>VLOOKUP(TablaObra[[#This Row],[Equipo]],Catalogos!I$4:J$34,2,FALSE)</f>
      </c>
      <c r="F11" s="3">
        <v>10</v>
      </c>
      <c r="G11" s="4">
        <v>28.3</v>
      </c>
      <c r="H11" s="4">
        <f t="shared" si="0"/>
      </c>
    </row>
    <row r="12" spans="1:13">
      <c r="A12" s="2">
        <v>46181</v>
      </c>
      <c r="B12" t="s">
        <v>10</v>
      </c>
      <c r="C12" t="s">
        <v>89</v>
      </c>
      <c r="D12" t="s">
        <v>186</v>
      </c>
      <c r="E12">
        <f>VLOOKUP(TablaObra[[#This Row],[Equipo]],Catalogos!I$4:J$34,2,FALSE)</f>
      </c>
      <c r="F12" s="3">
        <v>27</v>
      </c>
      <c r="G12" s="4">
        <v>28.3</v>
      </c>
      <c r="H12" s="4">
        <f t="shared" si="0"/>
      </c>
    </row>
    <row r="13" spans="1:13">
      <c r="A13" s="2">
        <v>46181</v>
      </c>
      <c r="B13" t="s">
        <v>10</v>
      </c>
      <c r="C13" t="s">
        <v>89</v>
      </c>
      <c r="D13" t="s">
        <v>194</v>
      </c>
      <c r="E13">
        <f>VLOOKUP(TablaObra[[#This Row],[Equipo]],Catalogos!I$4:J$34,2,FALSE)</f>
      </c>
      <c r="F13" s="3">
        <v>30</v>
      </c>
      <c r="G13" s="4">
        <v>28.3</v>
      </c>
      <c r="H13" s="4">
        <f t="shared" si="0"/>
      </c>
    </row>
    <row r="14" spans="1:13">
      <c r="A14" s="2">
        <v>46181</v>
      </c>
      <c r="B14" t="s">
        <v>10</v>
      </c>
      <c r="C14" t="s">
        <v>89</v>
      </c>
      <c r="D14" t="s">
        <v>177</v>
      </c>
      <c r="E14">
        <f>VLOOKUP(TablaObra[[#This Row],[Equipo]],Catalogos!I$4:J$34,2,FALSE)</f>
      </c>
      <c r="F14" s="3">
        <v>40</v>
      </c>
      <c r="G14" s="4">
        <v>28.3</v>
      </c>
      <c r="H14" s="4">
        <f t="shared" si="0"/>
      </c>
      <c r="M14" s="3">
        <f>SUM(F5:F64)</f>
      </c>
    </row>
    <row r="15" spans="1:13">
      <c r="A15" s="2">
        <v>46181</v>
      </c>
      <c r="B15" t="s">
        <v>10</v>
      </c>
      <c r="C15" t="s">
        <v>89</v>
      </c>
      <c r="D15" t="s">
        <v>182</v>
      </c>
      <c r="E15">
        <f>VLOOKUP(TablaObra[[#This Row],[Equipo]],Catalogos!I$4:J$34,2,FALSE)</f>
      </c>
      <c r="F15" s="3">
        <v>120</v>
      </c>
      <c r="G15" s="4">
        <v>28.3</v>
      </c>
      <c r="H15" s="4">
        <f t="shared" si="0"/>
      </c>
    </row>
    <row r="16" spans="1:13">
      <c r="A16" s="2">
        <v>46181</v>
      </c>
      <c r="B16" t="s">
        <v>10</v>
      </c>
      <c r="C16" t="s">
        <v>89</v>
      </c>
      <c r="D16" t="s">
        <v>188</v>
      </c>
      <c r="E16">
        <f>VLOOKUP(TablaObra[[#This Row],[Equipo]],Catalogos!I$4:J$34,2,FALSE)</f>
      </c>
      <c r="F16" s="3">
        <v>30</v>
      </c>
      <c r="G16" s="4">
        <v>28.3</v>
      </c>
      <c r="H16" s="4">
        <f t="shared" si="0"/>
      </c>
    </row>
    <row r="17" spans="1:8">
      <c r="A17" s="2">
        <v>46181</v>
      </c>
      <c r="B17" t="s">
        <v>210</v>
      </c>
      <c r="C17" t="s">
        <v>156</v>
      </c>
      <c r="D17" t="s">
        <v>211</v>
      </c>
      <c r="E17">
        <f>VLOOKUP(TablaObra[[#This Row],[Equipo]],Catalogos!I$4:J$34,2,FALSE)</f>
      </c>
      <c r="F17" s="3">
        <v>100</v>
      </c>
      <c r="G17" s="4">
        <v>28.3</v>
      </c>
      <c r="H17" s="4">
        <f t="shared" si="0"/>
      </c>
    </row>
    <row r="18" spans="1:8">
      <c r="A18" s="2">
        <v>46181</v>
      </c>
      <c r="B18" t="s">
        <v>214</v>
      </c>
      <c r="C18" t="s">
        <v>156</v>
      </c>
      <c r="D18" t="s">
        <v>211</v>
      </c>
      <c r="E18">
        <f>VLOOKUP(TablaObra[[#This Row],[Equipo]],Catalogos!I$4:J$34,2,FALSE)</f>
      </c>
      <c r="F18" s="3">
        <v>200</v>
      </c>
      <c r="G18" s="4">
        <v>28.3</v>
      </c>
      <c r="H18" s="4">
        <f t="shared" si="0"/>
      </c>
    </row>
    <row r="19" spans="1:8">
      <c r="A19" s="2">
        <v>46181</v>
      </c>
      <c r="B19" t="s">
        <v>214</v>
      </c>
      <c r="C19" t="s">
        <v>156</v>
      </c>
      <c r="D19" t="s">
        <v>211</v>
      </c>
      <c r="E19">
        <f>VLOOKUP(TablaObra[[#This Row],[Equipo]],Catalogos!I$4:J$34,2,FALSE)</f>
      </c>
      <c r="F19" s="3">
        <v>209</v>
      </c>
      <c r="G19" s="4">
        <v>28.3</v>
      </c>
      <c r="H19" s="4">
        <f t="shared" si="0"/>
      </c>
    </row>
    <row r="20" spans="1:8">
      <c r="A20" s="2">
        <v>46182</v>
      </c>
      <c r="B20" t="s">
        <v>10</v>
      </c>
      <c r="C20" t="s">
        <v>89</v>
      </c>
      <c r="D20" t="s">
        <v>175</v>
      </c>
      <c r="E20">
        <f>VLOOKUP(TablaObra[[#This Row],[Equipo]],Catalogos!I$4:J$34,2,FALSE)</f>
      </c>
      <c r="F20" s="3">
        <v>30</v>
      </c>
      <c r="G20" s="4">
        <v>28.3</v>
      </c>
      <c r="H20" s="4">
        <f t="shared" si="0"/>
      </c>
    </row>
    <row r="21" spans="1:8">
      <c r="A21" s="2">
        <v>46182</v>
      </c>
      <c r="B21" t="s">
        <v>10</v>
      </c>
      <c r="C21" t="s">
        <v>89</v>
      </c>
      <c r="D21" t="s">
        <v>179</v>
      </c>
      <c r="E21">
        <f>VLOOKUP(TablaObra[[#This Row],[Equipo]],Catalogos!I$4:J$34,2,FALSE)</f>
      </c>
      <c r="F21" s="3">
        <v>100</v>
      </c>
      <c r="G21" s="4">
        <v>28.3</v>
      </c>
      <c r="H21" s="4">
        <f t="shared" si="0"/>
      </c>
    </row>
    <row r="22" spans="1:8">
      <c r="A22" s="2">
        <v>46182</v>
      </c>
      <c r="B22" t="s">
        <v>10</v>
      </c>
      <c r="C22" t="s">
        <v>89</v>
      </c>
      <c r="D22" t="s">
        <v>184</v>
      </c>
      <c r="E22">
        <f>VLOOKUP(TablaObra[[#This Row],[Equipo]],Catalogos!I$4:J$34,2,FALSE)</f>
      </c>
      <c r="F22" s="3">
        <v>30</v>
      </c>
      <c r="G22" s="4">
        <v>28.3</v>
      </c>
      <c r="H22" s="4">
        <f t="shared" si="0"/>
      </c>
    </row>
    <row r="23" spans="1:8">
      <c r="A23" s="2">
        <v>46182</v>
      </c>
      <c r="B23" t="s">
        <v>10</v>
      </c>
      <c r="C23" t="s">
        <v>89</v>
      </c>
      <c r="D23" t="s">
        <v>171</v>
      </c>
      <c r="E23">
        <f>VLOOKUP(TablaObra[[#This Row],[Equipo]],Catalogos!I$4:J$34,2,FALSE)</f>
      </c>
      <c r="F23" s="3">
        <v>150</v>
      </c>
      <c r="G23" s="4">
        <v>28.3</v>
      </c>
      <c r="H23" s="4">
        <f t="shared" si="0"/>
      </c>
    </row>
    <row r="24" spans="1:8">
      <c r="A24" s="2">
        <v>46182</v>
      </c>
      <c r="B24" t="s">
        <v>10</v>
      </c>
      <c r="C24" t="s">
        <v>89</v>
      </c>
      <c r="D24" t="s">
        <v>188</v>
      </c>
      <c r="E24">
        <f>VLOOKUP(TablaObra[[#This Row],[Equipo]],Catalogos!I$4:J$34,2,FALSE)</f>
      </c>
      <c r="F24" s="3">
        <v>50</v>
      </c>
      <c r="G24" s="4">
        <v>28.3</v>
      </c>
      <c r="H24" s="4">
        <f t="shared" si="0"/>
      </c>
    </row>
    <row r="25" spans="1:8">
      <c r="A25" s="2">
        <v>46182</v>
      </c>
      <c r="B25" t="s">
        <v>10</v>
      </c>
      <c r="C25" t="s">
        <v>89</v>
      </c>
      <c r="D25" t="s">
        <v>182</v>
      </c>
      <c r="E25">
        <f>VLOOKUP(TablaObra[[#This Row],[Equipo]],Catalogos!I$4:J$34,2,FALSE)</f>
      </c>
      <c r="F25" s="3">
        <v>136</v>
      </c>
      <c r="G25" s="4">
        <v>28.3</v>
      </c>
      <c r="H25" s="4">
        <f t="shared" si="0"/>
      </c>
    </row>
    <row r="26" spans="1:8">
      <c r="A26" s="2">
        <v>46182</v>
      </c>
      <c r="B26" t="s">
        <v>10</v>
      </c>
      <c r="C26" t="s">
        <v>89</v>
      </c>
      <c r="D26" t="s">
        <v>184</v>
      </c>
      <c r="E26">
        <f>VLOOKUP(TablaObra[[#This Row],[Equipo]],Catalogos!I$4:J$34,2,FALSE)</f>
      </c>
      <c r="F26" s="3">
        <v>30</v>
      </c>
      <c r="G26" s="4">
        <v>28.3</v>
      </c>
      <c r="H26" s="4">
        <f t="shared" si="0"/>
      </c>
    </row>
    <row r="27" spans="1:8">
      <c r="A27" s="2">
        <v>46182</v>
      </c>
      <c r="B27" t="s">
        <v>10</v>
      </c>
      <c r="C27" t="s">
        <v>89</v>
      </c>
      <c r="D27" t="s">
        <v>181</v>
      </c>
      <c r="E27">
        <f>VLOOKUP(TablaObra[[#This Row],[Equipo]],Catalogos!I$4:J$34,2,FALSE)</f>
      </c>
      <c r="F27" s="3">
        <v>30</v>
      </c>
      <c r="G27" s="4">
        <v>28.3</v>
      </c>
      <c r="H27" s="4">
        <f t="shared" si="0"/>
      </c>
    </row>
    <row r="28" spans="1:8">
      <c r="A28" s="2">
        <v>46182</v>
      </c>
      <c r="B28" t="s">
        <v>10</v>
      </c>
      <c r="C28" t="s">
        <v>89</v>
      </c>
      <c r="D28" t="s">
        <v>179</v>
      </c>
      <c r="E28">
        <f>VLOOKUP(TablaObra[[#This Row],[Equipo]],Catalogos!I$4:J$34,2,FALSE)</f>
      </c>
      <c r="F28" s="3">
        <v>100</v>
      </c>
      <c r="G28" s="4">
        <v>28.3</v>
      </c>
      <c r="H28" s="4">
        <f t="shared" si="0"/>
      </c>
    </row>
    <row r="29" spans="1:8">
      <c r="A29" s="2">
        <v>46182</v>
      </c>
      <c r="B29" t="s">
        <v>10</v>
      </c>
      <c r="C29" t="s">
        <v>89</v>
      </c>
      <c r="D29" t="s">
        <v>177</v>
      </c>
      <c r="E29">
        <f>VLOOKUP(TablaObra[[#This Row],[Equipo]],Catalogos!I$4:J$34,2,FALSE)</f>
      </c>
      <c r="F29" s="3">
        <v>60</v>
      </c>
      <c r="G29" s="4">
        <v>28.3</v>
      </c>
      <c r="H29" s="4">
        <f t="shared" si="0"/>
      </c>
    </row>
    <row r="30" spans="1:8">
      <c r="A30" s="2">
        <v>46182</v>
      </c>
      <c r="B30" t="s">
        <v>10</v>
      </c>
      <c r="C30" t="s">
        <v>89</v>
      </c>
      <c r="D30" t="s">
        <v>194</v>
      </c>
      <c r="E30">
        <f>VLOOKUP(TablaObra[[#This Row],[Equipo]],Catalogos!I$4:J$34,2,FALSE)</f>
      </c>
      <c r="F30" s="3">
        <v>20</v>
      </c>
      <c r="G30" s="4">
        <v>28.3</v>
      </c>
      <c r="H30" s="4">
        <f t="shared" si="0"/>
      </c>
    </row>
    <row r="31" spans="1:8">
      <c r="A31" s="2">
        <v>46182</v>
      </c>
      <c r="B31" t="s">
        <v>8</v>
      </c>
      <c r="C31" t="s">
        <v>156</v>
      </c>
      <c r="D31" t="s">
        <v>95</v>
      </c>
      <c r="E31">
        <f>VLOOKUP(TablaObra[[#This Row],[Equipo]],Catalogos!I$4:J$34,2,FALSE)</f>
      </c>
      <c r="F31" s="3">
        <v>70</v>
      </c>
      <c r="G31" s="4">
        <v>28.3</v>
      </c>
      <c r="H31" s="4">
        <f t="shared" si="0"/>
      </c>
    </row>
    <row r="32" spans="1:8">
      <c r="A32" s="2">
        <v>46182</v>
      </c>
      <c r="B32" t="s">
        <v>8</v>
      </c>
      <c r="C32" t="s">
        <v>156</v>
      </c>
      <c r="D32" t="s">
        <v>200</v>
      </c>
      <c r="E32">
        <f>VLOOKUP(TablaObra[[#This Row],[Equipo]],Catalogos!I$4:J$34,2,FALSE)</f>
      </c>
      <c r="F32" s="3">
        <v>50</v>
      </c>
      <c r="G32" s="4">
        <v>28.3</v>
      </c>
      <c r="H32" s="4">
        <f t="shared" si="0"/>
      </c>
    </row>
    <row r="33" spans="1:11">
      <c r="A33" s="2">
        <v>46182</v>
      </c>
      <c r="B33" t="s">
        <v>8</v>
      </c>
      <c r="C33" t="s">
        <v>156</v>
      </c>
      <c r="D33" t="s">
        <v>100</v>
      </c>
      <c r="E33">
        <f>VLOOKUP(TablaObra[[#This Row],[Equipo]],Catalogos!I$4:J$34,2,FALSE)</f>
      </c>
      <c r="F33" s="3">
        <v>60</v>
      </c>
      <c r="G33" s="4">
        <v>28.3</v>
      </c>
      <c r="H33" s="4">
        <f t="shared" si="0"/>
      </c>
    </row>
    <row r="34" spans="1:11">
      <c r="A34" s="2">
        <v>46183</v>
      </c>
      <c r="B34" t="s">
        <v>6</v>
      </c>
      <c r="C34" t="s">
        <v>89</v>
      </c>
      <c r="D34" t="s">
        <v>165</v>
      </c>
      <c r="E34">
        <f>VLOOKUP(TablaObra[[#This Row],[Equipo]],Catalogos!I$4:J$34,2,FALSE)</f>
      </c>
      <c r="F34" s="3">
        <v>20</v>
      </c>
      <c r="G34" s="4">
        <v>28.3</v>
      </c>
      <c r="H34" s="4">
        <f t="shared" si="0"/>
      </c>
    </row>
    <row r="35" spans="1:11">
      <c r="A35" s="2">
        <v>46183</v>
      </c>
      <c r="B35" t="s">
        <v>6</v>
      </c>
      <c r="C35" t="s">
        <v>89</v>
      </c>
      <c r="D35" t="s">
        <v>164</v>
      </c>
      <c r="E35">
        <f>VLOOKUP(TablaObra[[#This Row],[Equipo]],Catalogos!I$4:J$34,2,FALSE)</f>
      </c>
      <c r="F35" s="3">
        <v>250</v>
      </c>
      <c r="G35" s="4">
        <v>28.3</v>
      </c>
      <c r="H35" s="4">
        <f t="shared" si="0"/>
      </c>
    </row>
    <row r="36" spans="1:11">
      <c r="A36" s="2">
        <v>46183</v>
      </c>
      <c r="B36" t="s">
        <v>6</v>
      </c>
      <c r="C36" t="s">
        <v>89</v>
      </c>
      <c r="D36" t="s">
        <v>95</v>
      </c>
      <c r="E36">
        <f>VLOOKUP(TablaObra[[#This Row],[Equipo]],Catalogos!I$4:J$34,2,FALSE)</f>
      </c>
      <c r="F36" s="3">
        <v>30</v>
      </c>
      <c r="G36" s="4">
        <v>28.3</v>
      </c>
      <c r="H36" s="4">
        <f t="shared" si="0"/>
      </c>
    </row>
    <row r="37" spans="1:11">
      <c r="A37" s="2">
        <v>46183</v>
      </c>
      <c r="B37" t="s">
        <v>210</v>
      </c>
      <c r="C37" t="s">
        <v>156</v>
      </c>
      <c r="D37" t="s">
        <v>211</v>
      </c>
      <c r="E37">
        <f>VLOOKUP(TablaObra[[#This Row],[Equipo]],Catalogos!I$4:J$34,2,FALSE)</f>
      </c>
      <c r="F37" s="3">
        <v>100</v>
      </c>
      <c r="G37" s="4">
        <v>28.3</v>
      </c>
      <c r="H37" s="4">
        <f t="shared" si="0"/>
      </c>
    </row>
    <row r="38" spans="1:11">
      <c r="A38" s="2">
        <v>46184</v>
      </c>
      <c r="B38" t="s">
        <v>6</v>
      </c>
      <c r="C38" t="s">
        <v>89</v>
      </c>
      <c r="D38" t="s">
        <v>86</v>
      </c>
      <c r="E38">
        <f>VLOOKUP(TablaObra[[#This Row],[Equipo]],Catalogos!I$4:J$34,2,FALSE)</f>
      </c>
      <c r="F38" s="3">
        <v>30</v>
      </c>
      <c r="G38" s="4">
        <v>28.3</v>
      </c>
      <c r="H38" s="4">
        <f t="shared" si="0"/>
      </c>
      <c r="K38" t="s">
        <v>226</v>
      </c>
    </row>
    <row r="39" spans="1:11">
      <c r="A39" s="2">
        <v>46184</v>
      </c>
      <c r="B39" t="s">
        <v>6</v>
      </c>
      <c r="C39" t="s">
        <v>89</v>
      </c>
      <c r="D39" t="s">
        <v>181</v>
      </c>
      <c r="E39">
        <f>VLOOKUP(TablaObra[[#This Row],[Equipo]],Catalogos!I$4:J$34,2,FALSE)</f>
      </c>
      <c r="F39" s="3">
        <v>30</v>
      </c>
      <c r="G39" s="4">
        <v>28.3</v>
      </c>
      <c r="H39" s="4">
        <f t="shared" si="0"/>
      </c>
      <c r="K39" t="s">
        <v>226</v>
      </c>
    </row>
    <row r="40" spans="1:11">
      <c r="A40" s="2">
        <v>46184</v>
      </c>
      <c r="B40" t="s">
        <v>6</v>
      </c>
      <c r="C40" t="s">
        <v>89</v>
      </c>
      <c r="D40" t="s">
        <v>160</v>
      </c>
      <c r="E40">
        <f>VLOOKUP(TablaObra[[#This Row],[Equipo]],Catalogos!I$4:J$34,2,FALSE)</f>
      </c>
      <c r="F40" s="3">
        <v>136</v>
      </c>
      <c r="G40" s="4">
        <v>28.3</v>
      </c>
      <c r="H40" s="4">
        <f t="shared" si="0"/>
      </c>
      <c r="K40" t="s">
        <v>226</v>
      </c>
    </row>
    <row r="41" spans="1:11">
      <c r="A41" s="2">
        <v>46184</v>
      </c>
      <c r="B41" t="s">
        <v>6</v>
      </c>
      <c r="C41" t="s">
        <v>89</v>
      </c>
      <c r="D41" t="s">
        <v>165</v>
      </c>
      <c r="E41">
        <f>VLOOKUP(TablaObra[[#This Row],[Equipo]],Catalogos!I$4:J$34,2,FALSE)</f>
      </c>
      <c r="F41" s="3">
        <v>20</v>
      </c>
      <c r="G41" s="4">
        <v>28.3</v>
      </c>
      <c r="H41" s="4">
        <f t="shared" si="0"/>
      </c>
      <c r="K41" t="s">
        <v>226</v>
      </c>
    </row>
    <row r="42" spans="1:11">
      <c r="A42" s="2">
        <v>46184</v>
      </c>
      <c r="B42" t="s">
        <v>6</v>
      </c>
      <c r="C42" t="s">
        <v>89</v>
      </c>
      <c r="D42" t="s">
        <v>95</v>
      </c>
      <c r="E42">
        <f>VLOOKUP(TablaObra[[#This Row],[Equipo]],Catalogos!I$4:J$34,2,FALSE)</f>
      </c>
      <c r="F42" s="3">
        <v>20</v>
      </c>
      <c r="G42" s="4">
        <v>28.3</v>
      </c>
      <c r="H42" s="4">
        <f t="shared" si="0"/>
      </c>
      <c r="K42" t="s">
        <v>226</v>
      </c>
    </row>
    <row r="43" spans="1:11">
      <c r="A43" s="2">
        <v>46184</v>
      </c>
      <c r="B43" t="s">
        <v>6</v>
      </c>
      <c r="C43" t="s">
        <v>89</v>
      </c>
      <c r="D43" t="s">
        <v>192</v>
      </c>
      <c r="E43">
        <f>VLOOKUP(TablaObra[[#This Row],[Equipo]],Catalogos!I$4:J$34,2,FALSE)</f>
      </c>
      <c r="F43" s="3">
        <v>20</v>
      </c>
      <c r="G43" s="4">
        <v>28.3</v>
      </c>
      <c r="H43" s="4">
        <f t="shared" si="0"/>
      </c>
      <c r="K43" t="s">
        <v>226</v>
      </c>
    </row>
    <row r="44" spans="1:11">
      <c r="A44" s="2">
        <v>46184</v>
      </c>
      <c r="B44" t="s">
        <v>214</v>
      </c>
      <c r="C44" t="s">
        <v>156</v>
      </c>
      <c r="D44" t="s">
        <v>217</v>
      </c>
      <c r="E44">
        <f>VLOOKUP(TablaObra[[#This Row],[Equipo]],Catalogos!I$4:J$34,2,FALSE)</f>
      </c>
      <c r="F44" s="3">
        <v>238</v>
      </c>
      <c r="G44" s="4">
        <v>28.3</v>
      </c>
      <c r="H44" s="4">
        <f t="shared" si="0"/>
      </c>
    </row>
    <row r="45" spans="1:11">
      <c r="A45" s="2">
        <v>46184</v>
      </c>
      <c r="B45" t="s">
        <v>8</v>
      </c>
      <c r="C45" t="s">
        <v>156</v>
      </c>
      <c r="D45" t="s">
        <v>100</v>
      </c>
      <c r="E45">
        <f>VLOOKUP(TablaObra[[#This Row],[Equipo]],Catalogos!I$4:J$34,2,FALSE)</f>
      </c>
      <c r="F45" s="3">
        <v>80</v>
      </c>
      <c r="G45" s="4">
        <v>28.3</v>
      </c>
      <c r="H45" s="4">
        <f t="shared" si="0"/>
      </c>
    </row>
    <row r="46" spans="1:11">
      <c r="A46" s="2">
        <v>46184</v>
      </c>
      <c r="B46" t="s">
        <v>8</v>
      </c>
      <c r="C46" t="s">
        <v>156</v>
      </c>
      <c r="D46" t="s">
        <v>194</v>
      </c>
      <c r="E46">
        <f>VLOOKUP(TablaObra[[#This Row],[Equipo]],Catalogos!I$4:J$34,2,FALSE)</f>
      </c>
      <c r="F46" s="3">
        <v>50</v>
      </c>
      <c r="G46" s="4">
        <v>28.3</v>
      </c>
      <c r="H46" s="4">
        <f t="shared" si="0"/>
      </c>
    </row>
    <row r="47" spans="1:11">
      <c r="A47" s="2">
        <v>46184</v>
      </c>
      <c r="B47" t="s">
        <v>8</v>
      </c>
      <c r="C47" t="s">
        <v>156</v>
      </c>
      <c r="D47" t="s">
        <v>95</v>
      </c>
      <c r="E47">
        <f>VLOOKUP(TablaObra[[#This Row],[Equipo]],Catalogos!I$4:J$34,2,FALSE)</f>
      </c>
      <c r="F47" s="3">
        <v>70</v>
      </c>
      <c r="G47" s="4">
        <v>28.3</v>
      </c>
      <c r="H47" s="4">
        <f t="shared" si="0"/>
      </c>
    </row>
    <row r="48" spans="1:11">
      <c r="A48" s="2">
        <v>46184</v>
      </c>
      <c r="B48" t="s">
        <v>8</v>
      </c>
      <c r="C48" t="s">
        <v>156</v>
      </c>
      <c r="D48" t="s">
        <v>190</v>
      </c>
      <c r="E48">
        <f>VLOOKUP(TablaObra[[#This Row],[Equipo]],Catalogos!I$4:J$34,2,FALSE)</f>
      </c>
      <c r="F48" s="3">
        <v>80</v>
      </c>
      <c r="G48" s="4">
        <v>28.3</v>
      </c>
      <c r="H48" s="4">
        <f t="shared" si="0"/>
      </c>
    </row>
    <row r="49" spans="1:8">
      <c r="A49" s="2">
        <v>46184</v>
      </c>
      <c r="B49" t="s">
        <v>8</v>
      </c>
      <c r="C49" t="s">
        <v>156</v>
      </c>
      <c r="D49" t="s">
        <v>160</v>
      </c>
      <c r="E49">
        <f>VLOOKUP(TablaObra[[#This Row],[Equipo]],Catalogos!I$4:J$34,2,FALSE)</f>
      </c>
      <c r="F49" s="3">
        <v>185</v>
      </c>
      <c r="G49" s="4">
        <v>28.3</v>
      </c>
      <c r="H49" s="4">
        <f t="shared" si="0"/>
      </c>
    </row>
    <row r="50" spans="1:8">
      <c r="A50" s="2">
        <v>46184</v>
      </c>
      <c r="B50" t="s">
        <v>8</v>
      </c>
      <c r="C50" t="s">
        <v>156</v>
      </c>
      <c r="D50" t="s">
        <v>200</v>
      </c>
      <c r="E50">
        <f>VLOOKUP(TablaObra[[#This Row],[Equipo]],Catalogos!I$4:J$34,2,FALSE)</f>
      </c>
      <c r="F50" s="3">
        <v>50</v>
      </c>
      <c r="G50" s="4">
        <v>28.3</v>
      </c>
      <c r="H50" s="4">
        <f t="shared" si="0"/>
      </c>
    </row>
    <row r="51" spans="1:8">
      <c r="A51" s="2">
        <v>46184</v>
      </c>
      <c r="B51" t="s">
        <v>8</v>
      </c>
      <c r="C51" t="s">
        <v>156</v>
      </c>
      <c r="D51" t="s">
        <v>200</v>
      </c>
      <c r="E51">
        <f>VLOOKUP(TablaObra[[#This Row],[Equipo]],Catalogos!I$4:J$34,2,FALSE)</f>
      </c>
      <c r="F51" s="3">
        <v>40</v>
      </c>
      <c r="G51" s="4">
        <v>28.3</v>
      </c>
      <c r="H51" s="4">
        <f t="shared" si="0"/>
      </c>
    </row>
    <row r="52" spans="1:8">
      <c r="A52" s="2">
        <v>46184</v>
      </c>
      <c r="B52" t="s">
        <v>8</v>
      </c>
      <c r="C52" t="s">
        <v>156</v>
      </c>
      <c r="D52" t="s">
        <v>181</v>
      </c>
      <c r="E52">
        <f>VLOOKUP(TablaObra[[#This Row],[Equipo]],Catalogos!I$4:J$34,2,FALSE)</f>
      </c>
      <c r="F52" s="3">
        <v>40</v>
      </c>
      <c r="G52" s="4">
        <v>28.3</v>
      </c>
      <c r="H52" s="4">
        <f t="shared" si="0"/>
      </c>
    </row>
    <row r="53" spans="1:8">
      <c r="A53" s="2">
        <v>46185</v>
      </c>
      <c r="B53" t="s">
        <v>10</v>
      </c>
      <c r="C53" t="s">
        <v>89</v>
      </c>
      <c r="D53" t="s">
        <v>184</v>
      </c>
      <c r="E53">
        <f>VLOOKUP(TablaObra[[#This Row],[Equipo]],Catalogos!I$4:J$34,2,FALSE)</f>
      </c>
      <c r="F53" s="3">
        <v>32</v>
      </c>
      <c r="G53" s="4">
        <v>28.3</v>
      </c>
      <c r="H53" s="4">
        <f t="shared" si="0"/>
      </c>
    </row>
    <row r="54" spans="1:8">
      <c r="A54" s="2">
        <v>46185</v>
      </c>
      <c r="B54" t="s">
        <v>10</v>
      </c>
      <c r="C54" t="s">
        <v>89</v>
      </c>
      <c r="D54" t="s">
        <v>186</v>
      </c>
      <c r="E54">
        <f>VLOOKUP(TablaObra[[#This Row],[Equipo]],Catalogos!I$4:J$34,2,FALSE)</f>
      </c>
      <c r="F54" s="3">
        <v>30</v>
      </c>
      <c r="G54" s="4">
        <v>28.3</v>
      </c>
      <c r="H54" s="4">
        <f t="shared" si="0"/>
      </c>
    </row>
    <row r="55" spans="1:8">
      <c r="A55" s="2">
        <v>46185</v>
      </c>
      <c r="B55" t="s">
        <v>10</v>
      </c>
      <c r="C55" t="s">
        <v>89</v>
      </c>
      <c r="D55" t="s">
        <v>175</v>
      </c>
      <c r="E55">
        <f>VLOOKUP(TablaObra[[#This Row],[Equipo]],Catalogos!I$4:J$34,2,FALSE)</f>
      </c>
      <c r="F55" s="3">
        <v>30</v>
      </c>
      <c r="G55" s="4">
        <v>28.3</v>
      </c>
      <c r="H55" s="4">
        <f t="shared" si="0"/>
      </c>
    </row>
    <row r="56" spans="1:8">
      <c r="A56" s="2">
        <v>46185</v>
      </c>
      <c r="B56" t="s">
        <v>10</v>
      </c>
      <c r="C56" t="s">
        <v>89</v>
      </c>
      <c r="D56" t="s">
        <v>177</v>
      </c>
      <c r="E56">
        <f>VLOOKUP(TablaObra[[#This Row],[Equipo]],Catalogos!I$4:J$34,2,FALSE)</f>
      </c>
      <c r="F56" s="3">
        <v>50</v>
      </c>
      <c r="G56" s="4">
        <v>28.3</v>
      </c>
      <c r="H56" s="4">
        <f t="shared" si="0"/>
      </c>
    </row>
    <row r="57" spans="1:8">
      <c r="A57" s="2">
        <v>46185</v>
      </c>
      <c r="B57" t="s">
        <v>10</v>
      </c>
      <c r="C57" t="s">
        <v>89</v>
      </c>
      <c r="D57" t="s">
        <v>182</v>
      </c>
      <c r="E57">
        <f>VLOOKUP(TablaObra[[#This Row],[Equipo]],Catalogos!I$4:J$34,2,FALSE)</f>
      </c>
      <c r="F57" s="3">
        <v>120</v>
      </c>
      <c r="G57" s="4">
        <v>28.3</v>
      </c>
      <c r="H57" s="4">
        <f t="shared" si="0"/>
      </c>
    </row>
    <row r="58" spans="1:8">
      <c r="A58" s="2">
        <v>46185</v>
      </c>
      <c r="B58" t="s">
        <v>10</v>
      </c>
      <c r="C58" t="s">
        <v>89</v>
      </c>
      <c r="D58" t="s">
        <v>188</v>
      </c>
      <c r="E58">
        <f>VLOOKUP(TablaObra[[#This Row],[Equipo]],Catalogos!I$4:J$34,2,FALSE)</f>
      </c>
      <c r="F58" s="3">
        <v>40</v>
      </c>
      <c r="G58" s="4">
        <v>28.3</v>
      </c>
      <c r="H58" s="4">
        <f t="shared" si="0"/>
      </c>
    </row>
    <row r="59" spans="1:8">
      <c r="A59" s="2">
        <v>46185</v>
      </c>
      <c r="B59" t="s">
        <v>10</v>
      </c>
      <c r="C59" t="s">
        <v>89</v>
      </c>
      <c r="D59" t="s">
        <v>171</v>
      </c>
      <c r="E59">
        <f>VLOOKUP(TablaObra[[#This Row],[Equipo]],Catalogos!I$4:J$34,2,FALSE)</f>
      </c>
      <c r="F59" s="3">
        <v>200</v>
      </c>
      <c r="G59" s="4">
        <v>28.3</v>
      </c>
      <c r="H59" s="4">
        <f t="shared" si="0"/>
      </c>
    </row>
    <row r="60" spans="1:8">
      <c r="A60" s="2">
        <v>46185</v>
      </c>
      <c r="B60" t="s">
        <v>6</v>
      </c>
      <c r="C60" t="s">
        <v>89</v>
      </c>
      <c r="D60" t="s">
        <v>165</v>
      </c>
      <c r="E60">
        <f>VLOOKUP(TablaObra[[#This Row],[Equipo]],Catalogos!I$4:J$34,2,FALSE)</f>
      </c>
      <c r="F60" s="3">
        <v>20</v>
      </c>
      <c r="G60" s="4">
        <v>28.3</v>
      </c>
      <c r="H60" s="4">
        <f t="shared" si="0"/>
      </c>
    </row>
    <row r="61" spans="1:8">
      <c r="A61" s="2">
        <v>46185</v>
      </c>
      <c r="B61" t="s">
        <v>6</v>
      </c>
      <c r="C61" t="s">
        <v>89</v>
      </c>
      <c r="D61" t="s">
        <v>181</v>
      </c>
      <c r="E61">
        <f>VLOOKUP(TablaObra[[#This Row],[Equipo]],Catalogos!I$4:J$34,2,FALSE)</f>
      </c>
      <c r="F61" s="3">
        <v>30</v>
      </c>
      <c r="G61" s="4">
        <v>28.3</v>
      </c>
      <c r="H61" s="4">
        <f t="shared" si="0"/>
      </c>
    </row>
    <row r="62" spans="1:8">
      <c r="A62" s="2">
        <v>46185</v>
      </c>
      <c r="B62" t="s">
        <v>6</v>
      </c>
      <c r="C62" t="s">
        <v>89</v>
      </c>
      <c r="D62" t="s">
        <v>192</v>
      </c>
      <c r="E62">
        <f>VLOOKUP(TablaObra[[#This Row],[Equipo]],Catalogos!I$4:J$34,2,FALSE)</f>
      </c>
      <c r="F62" s="3">
        <v>20</v>
      </c>
      <c r="G62" s="4">
        <v>28.3</v>
      </c>
      <c r="H62" s="4">
        <f t="shared" si="0"/>
      </c>
    </row>
    <row r="63" spans="1:8">
      <c r="A63" s="2">
        <v>46185</v>
      </c>
      <c r="B63" t="s">
        <v>6</v>
      </c>
      <c r="C63" t="s">
        <v>89</v>
      </c>
      <c r="D63" t="s">
        <v>86</v>
      </c>
      <c r="E63">
        <f>VLOOKUP(TablaObra[[#This Row],[Equipo]],Catalogos!I$4:J$34,2,FALSE)</f>
      </c>
      <c r="F63" s="3">
        <v>40</v>
      </c>
      <c r="G63" s="4">
        <v>28.3</v>
      </c>
      <c r="H63" s="4">
        <f t="shared" si="0"/>
      </c>
    </row>
    <row r="64" spans="1:8">
      <c r="A64" s="2">
        <v>46185</v>
      </c>
      <c r="B64" t="s">
        <v>6</v>
      </c>
      <c r="C64" t="s">
        <v>89</v>
      </c>
      <c r="D64" t="s">
        <v>164</v>
      </c>
      <c r="E64">
        <f>VLOOKUP(TablaObra[[#This Row],[Equipo]],Catalogos!I$4:J$34,2,FALSE)</f>
      </c>
      <c r="F64" s="3">
        <v>250</v>
      </c>
      <c r="G64" s="4">
        <v>28.3</v>
      </c>
      <c r="H64" s="4">
        <f t="shared" si="0"/>
      </c>
    </row>
    <row r="65" spans="1:8">
      <c r="A65" s="2"/>
      <c r="E65">
        <f>VLOOKUP(TablaObra[[#This Row],[Equipo]],Catalogos!I$4:J$34,2,FALSE)</f>
      </c>
      <c r="F65" s="3"/>
      <c r="G65" s="4">
        <v>28.3</v>
      </c>
      <c r="H65" s="4">
        <f t="shared" si="0"/>
      </c>
    </row>
    <row r="66" spans="1:8">
      <c r="A66" s="2"/>
      <c r="E66">
        <f>VLOOKUP(TablaObra[[#This Row],[Equipo]],Catalogos!I$4:J$34,2,FALSE)</f>
      </c>
      <c r="F66" s="3"/>
      <c r="G66" s="4">
        <v>28.3</v>
      </c>
      <c r="H66" s="4">
        <f t="shared" si="0"/>
      </c>
    </row>
    <row r="67" spans="1:8">
      <c r="A67" s="2"/>
      <c r="E67">
        <f>VLOOKUP(TablaObra[[#This Row],[Equipo]],Catalogos!I$4:J$34,2,FALSE)</f>
      </c>
      <c r="F67" s="3"/>
      <c r="G67" s="4">
        <v>28.3</v>
      </c>
      <c r="H67" s="4">
        <f t="shared" si="0"/>
      </c>
    </row>
    <row r="68" spans="1:8">
      <c r="A68" s="2"/>
      <c r="E68">
        <f>VLOOKUP(TablaObra[[#This Row],[Equipo]],Catalogos!I$4:J$34,2,FALSE)</f>
      </c>
      <c r="F68" s="3"/>
      <c r="G68" s="4">
        <v>28.3</v>
      </c>
      <c r="H68" s="4">
        <f t="shared" si="0"/>
      </c>
    </row>
    <row r="69" spans="1:8">
      <c r="A69" s="2"/>
      <c r="E69">
        <f>VLOOKUP(TablaObra[[#This Row],[Equipo]],Catalogos!I$4:J$34,2,FALSE)</f>
      </c>
      <c r="F69" s="3"/>
      <c r="G69" s="4">
        <v>28.3</v>
      </c>
      <c r="H69" s="4">
        <f t="shared" ref="H69:H132" si="1">IFERROR(F69*G69,0)</f>
      </c>
    </row>
    <row r="70" spans="1:8">
      <c r="A70" s="2"/>
      <c r="E70">
        <f>VLOOKUP(TablaObra[[#This Row],[Equipo]],Catalogos!I$4:J$34,2,FALSE)</f>
      </c>
      <c r="F70" s="3"/>
      <c r="G70" s="4">
        <v>28.3</v>
      </c>
      <c r="H70" s="4">
        <f t="shared" si="1"/>
      </c>
    </row>
    <row r="71" spans="1:8">
      <c r="A71" s="2"/>
      <c r="E71">
        <f>VLOOKUP(TablaObra[[#This Row],[Equipo]],Catalogos!I$4:J$34,2,FALSE)</f>
      </c>
      <c r="F71" s="3"/>
      <c r="G71" s="4">
        <v>28.3</v>
      </c>
      <c r="H71" s="4">
        <f t="shared" si="1"/>
      </c>
    </row>
    <row r="72" spans="1:8">
      <c r="A72" s="2"/>
      <c r="E72">
        <f>VLOOKUP(TablaObra[[#This Row],[Equipo]],Catalogos!I$4:J$34,2,FALSE)</f>
      </c>
      <c r="F72" s="3"/>
      <c r="G72" s="4">
        <v>28.3</v>
      </c>
      <c r="H72" s="4">
        <f t="shared" si="1"/>
      </c>
    </row>
    <row r="73" spans="1:8">
      <c r="A73" s="2"/>
      <c r="E73">
        <f>VLOOKUP(TablaObra[[#This Row],[Equipo]],Catalogos!I$4:J$34,2,FALSE)</f>
      </c>
      <c r="F73" s="3"/>
      <c r="G73" s="4">
        <v>28.3</v>
      </c>
      <c r="H73" s="4">
        <f t="shared" si="1"/>
      </c>
    </row>
    <row r="74" spans="1:8">
      <c r="A74" s="2"/>
      <c r="E74">
        <f>VLOOKUP(TablaObra[[#This Row],[Equipo]],Catalogos!I$4:J$34,2,FALSE)</f>
      </c>
      <c r="F74" s="3"/>
      <c r="G74" s="4">
        <v>28.3</v>
      </c>
      <c r="H74" s="4">
        <f t="shared" si="1"/>
      </c>
    </row>
    <row r="75" spans="1:8">
      <c r="A75" s="2"/>
      <c r="E75">
        <f>VLOOKUP(TablaObra[[#This Row],[Equipo]],Catalogos!I$4:J$34,2,FALSE)</f>
      </c>
      <c r="F75" s="3"/>
      <c r="G75" s="4">
        <v>28.3</v>
      </c>
      <c r="H75" s="4">
        <f t="shared" si="1"/>
      </c>
    </row>
    <row r="76" spans="1:8">
      <c r="A76" s="2"/>
      <c r="E76">
        <f>VLOOKUP(TablaObra[[#This Row],[Equipo]],Catalogos!I$4:J$34,2,FALSE)</f>
      </c>
      <c r="F76" s="3"/>
      <c r="G76" s="4">
        <v>28.3</v>
      </c>
      <c r="H76" s="4">
        <f t="shared" si="1"/>
      </c>
    </row>
    <row r="77" spans="1:8">
      <c r="A77" s="2"/>
      <c r="E77">
        <f>VLOOKUP(TablaObra[[#This Row],[Equipo]],Catalogos!I$4:J$34,2,FALSE)</f>
      </c>
      <c r="F77" s="3"/>
      <c r="G77" s="4">
        <v>28.3</v>
      </c>
      <c r="H77" s="4">
        <f t="shared" si="1"/>
      </c>
    </row>
    <row r="78" spans="1:8">
      <c r="A78" s="2"/>
      <c r="E78">
        <f>VLOOKUP(TablaObra[[#This Row],[Equipo]],Catalogos!I$4:J$34,2,FALSE)</f>
      </c>
      <c r="F78" s="3"/>
      <c r="G78" s="4">
        <v>28.3</v>
      </c>
      <c r="H78" s="4">
        <f t="shared" si="1"/>
      </c>
    </row>
    <row r="79" spans="1:8">
      <c r="A79" s="2"/>
      <c r="E79">
        <f>VLOOKUP(TablaObra[[#This Row],[Equipo]],Catalogos!I$4:J$34,2,FALSE)</f>
      </c>
      <c r="F79" s="3"/>
      <c r="G79" s="4">
        <v>28.3</v>
      </c>
      <c r="H79" s="4">
        <f t="shared" si="1"/>
      </c>
    </row>
    <row r="80" spans="1:8">
      <c r="A80" s="2"/>
      <c r="E80">
        <f>VLOOKUP(TablaObra[[#This Row],[Equipo]],Catalogos!I$4:J$34,2,FALSE)</f>
      </c>
      <c r="F80" s="3"/>
      <c r="G80" s="4">
        <v>28.3</v>
      </c>
      <c r="H80" s="4">
        <f t="shared" si="1"/>
      </c>
    </row>
    <row r="81" spans="1:8">
      <c r="A81" s="2"/>
      <c r="E81">
        <f>VLOOKUP(TablaObra[[#This Row],[Equipo]],Catalogos!I$4:J$34,2,FALSE)</f>
      </c>
      <c r="F81" s="3"/>
      <c r="G81" s="4">
        <v>28.3</v>
      </c>
      <c r="H81" s="4">
        <f t="shared" si="1"/>
      </c>
    </row>
    <row r="82" spans="1:8">
      <c r="A82" s="2"/>
      <c r="E82">
        <f>VLOOKUP(TablaObra[[#This Row],[Equipo]],Catalogos!I$4:J$34,2,FALSE)</f>
      </c>
      <c r="F82" s="3"/>
      <c r="G82" s="4">
        <v>28.3</v>
      </c>
      <c r="H82" s="4">
        <f t="shared" si="1"/>
      </c>
    </row>
    <row r="83" spans="1:8">
      <c r="A83" s="2"/>
      <c r="E83">
        <f>VLOOKUP(TablaObra[[#This Row],[Equipo]],Catalogos!I$4:J$34,2,FALSE)</f>
      </c>
      <c r="F83" s="3"/>
      <c r="G83" s="4">
        <v>28.3</v>
      </c>
      <c r="H83" s="4">
        <f t="shared" si="1"/>
      </c>
    </row>
    <row r="84" spans="1:8">
      <c r="A84" s="2"/>
      <c r="E84">
        <f>VLOOKUP(TablaObra[[#This Row],[Equipo]],Catalogos!I$4:J$34,2,FALSE)</f>
      </c>
      <c r="F84" s="3"/>
      <c r="G84" s="4">
        <v>28.3</v>
      </c>
      <c r="H84" s="4">
        <f t="shared" si="1"/>
      </c>
    </row>
    <row r="85" spans="1:8">
      <c r="A85" s="2"/>
      <c r="E85">
        <f>VLOOKUP(TablaObra[[#This Row],[Equipo]],Catalogos!I$4:J$34,2,FALSE)</f>
      </c>
      <c r="F85" s="3"/>
      <c r="G85" s="4">
        <v>28.3</v>
      </c>
      <c r="H85" s="4">
        <f t="shared" si="1"/>
      </c>
    </row>
    <row r="86" spans="1:8">
      <c r="A86" s="2"/>
      <c r="E86">
        <f>VLOOKUP(TablaObra[[#This Row],[Equipo]],Catalogos!I$4:J$34,2,FALSE)</f>
      </c>
      <c r="F86" s="3"/>
      <c r="G86" s="4">
        <v>28.3</v>
      </c>
      <c r="H86" s="4">
        <f t="shared" si="1"/>
      </c>
    </row>
    <row r="87" spans="1:8">
      <c r="A87" s="2"/>
      <c r="E87">
        <f>VLOOKUP(TablaObra[[#This Row],[Equipo]],Catalogos!I$4:J$34,2,FALSE)</f>
      </c>
      <c r="F87" s="3"/>
      <c r="G87" s="4">
        <v>28.3</v>
      </c>
      <c r="H87" s="4">
        <f t="shared" si="1"/>
      </c>
    </row>
    <row r="88" spans="1:8">
      <c r="A88" s="2"/>
      <c r="E88">
        <f>VLOOKUP(TablaObra[[#This Row],[Equipo]],Catalogos!I$4:J$34,2,FALSE)</f>
      </c>
      <c r="F88" s="3"/>
      <c r="G88" s="4">
        <v>28.3</v>
      </c>
      <c r="H88" s="4">
        <f t="shared" si="1"/>
      </c>
    </row>
    <row r="89" spans="1:8">
      <c r="A89" s="2"/>
      <c r="E89">
        <f>VLOOKUP(TablaObra[[#This Row],[Equipo]],Catalogos!I$4:J$34,2,FALSE)</f>
      </c>
      <c r="F89" s="3"/>
      <c r="G89" s="4">
        <v>28.3</v>
      </c>
      <c r="H89" s="4">
        <f t="shared" si="1"/>
      </c>
    </row>
    <row r="90" spans="1:8">
      <c r="A90" s="2"/>
      <c r="E90">
        <f>VLOOKUP(TablaObra[[#This Row],[Equipo]],Catalogos!I$4:J$34,2,FALSE)</f>
      </c>
      <c r="F90" s="3"/>
      <c r="G90" s="4">
        <v>28.3</v>
      </c>
      <c r="H90" s="4">
        <f t="shared" si="1"/>
      </c>
    </row>
    <row r="91" spans="1:8">
      <c r="A91" s="2"/>
      <c r="E91">
        <f>VLOOKUP(TablaObra[[#This Row],[Equipo]],Catalogos!I$4:J$34,2,FALSE)</f>
      </c>
      <c r="F91" s="3"/>
      <c r="G91" s="4">
        <v>28.3</v>
      </c>
      <c r="H91" s="4">
        <f t="shared" si="1"/>
      </c>
    </row>
    <row r="92" spans="1:8">
      <c r="A92" s="2"/>
      <c r="E92">
        <f>VLOOKUP(TablaObra[[#This Row],[Equipo]],Catalogos!I$4:J$34,2,FALSE)</f>
      </c>
      <c r="F92" s="3"/>
      <c r="G92" s="4">
        <v>28.3</v>
      </c>
      <c r="H92" s="4">
        <f t="shared" si="1"/>
      </c>
    </row>
    <row r="93" spans="1:8">
      <c r="A93" s="2"/>
      <c r="E93">
        <f>VLOOKUP(TablaObra[[#This Row],[Equipo]],Catalogos!I$4:J$34,2,FALSE)</f>
      </c>
      <c r="F93" s="3"/>
      <c r="G93" s="4">
        <v>28.3</v>
      </c>
      <c r="H93" s="4">
        <f t="shared" si="1"/>
      </c>
    </row>
    <row r="94" spans="1:8">
      <c r="A94" s="2"/>
      <c r="E94">
        <f>VLOOKUP(TablaObra[[#This Row],[Equipo]],Catalogos!I$4:J$34,2,FALSE)</f>
      </c>
      <c r="F94" s="3"/>
      <c r="G94" s="4">
        <v>28.3</v>
      </c>
      <c r="H94" s="4">
        <f t="shared" si="1"/>
      </c>
    </row>
    <row r="95" spans="1:8">
      <c r="A95" s="2"/>
      <c r="E95">
        <f>VLOOKUP(TablaObra[[#This Row],[Equipo]],Catalogos!I$4:J$34,2,FALSE)</f>
      </c>
      <c r="F95" s="3"/>
      <c r="G95" s="4">
        <v>28.3</v>
      </c>
      <c r="H95" s="4">
        <f t="shared" si="1"/>
      </c>
    </row>
    <row r="96" spans="1:8">
      <c r="A96" s="2"/>
      <c r="E96">
        <f>VLOOKUP(TablaObra[[#This Row],[Equipo]],Catalogos!I$4:J$34,2,FALSE)</f>
      </c>
      <c r="F96" s="3"/>
      <c r="G96" s="4">
        <v>28.3</v>
      </c>
      <c r="H96" s="4">
        <f t="shared" si="1"/>
      </c>
    </row>
    <row r="97" spans="1:8">
      <c r="A97" s="2"/>
      <c r="E97">
        <f>VLOOKUP(TablaObra[[#This Row],[Equipo]],Catalogos!I$4:J$34,2,FALSE)</f>
      </c>
      <c r="F97" s="3"/>
      <c r="G97" s="4">
        <v>28.3</v>
      </c>
      <c r="H97" s="4">
        <f t="shared" si="1"/>
      </c>
    </row>
    <row r="98" spans="1:8">
      <c r="A98" s="2"/>
      <c r="E98">
        <f>VLOOKUP(TablaObra[[#This Row],[Equipo]],Catalogos!I$4:J$34,2,FALSE)</f>
      </c>
      <c r="F98" s="3"/>
      <c r="G98" s="4">
        <v>28.3</v>
      </c>
      <c r="H98" s="4">
        <f t="shared" si="1"/>
      </c>
    </row>
    <row r="99" spans="1:8">
      <c r="A99" s="2"/>
      <c r="E99">
        <f>VLOOKUP(TablaObra[[#This Row],[Equipo]],Catalogos!I$4:J$34,2,FALSE)</f>
      </c>
      <c r="F99" s="3"/>
      <c r="G99" s="4">
        <v>28.3</v>
      </c>
      <c r="H99" s="4">
        <f t="shared" si="1"/>
      </c>
    </row>
    <row r="100" spans="1:8">
      <c r="A100" s="2"/>
      <c r="E100">
        <f>VLOOKUP(TablaObra[[#This Row],[Equipo]],Catalogos!I$4:J$34,2,FALSE)</f>
      </c>
      <c r="F100" s="3"/>
      <c r="G100" s="4">
        <v>28.3</v>
      </c>
      <c r="H100" s="4">
        <f t="shared" si="1"/>
      </c>
    </row>
    <row r="101" spans="1:8">
      <c r="A101" s="2"/>
      <c r="E101">
        <f>VLOOKUP(TablaObra[[#This Row],[Equipo]],Catalogos!I$4:J$34,2,FALSE)</f>
      </c>
      <c r="F101" s="3"/>
      <c r="G101" s="4">
        <v>28.3</v>
      </c>
      <c r="H101" s="4">
        <f t="shared" si="1"/>
      </c>
    </row>
    <row r="102" spans="1:8">
      <c r="A102" s="2"/>
      <c r="E102">
        <f>VLOOKUP(TablaObra[[#This Row],[Equipo]],Catalogos!I$4:J$34,2,FALSE)</f>
      </c>
      <c r="F102" s="3"/>
      <c r="G102" s="4">
        <v>28.3</v>
      </c>
      <c r="H102" s="4">
        <f t="shared" si="1"/>
      </c>
    </row>
    <row r="103" spans="1:8">
      <c r="A103" s="2"/>
      <c r="E103">
        <f>VLOOKUP(TablaObra[[#This Row],[Equipo]],Catalogos!I$4:J$34,2,FALSE)</f>
      </c>
      <c r="F103" s="3"/>
      <c r="G103" s="4">
        <v>28.3</v>
      </c>
      <c r="H103" s="4">
        <f t="shared" si="1"/>
      </c>
    </row>
    <row r="104" spans="1:8">
      <c r="A104" s="2"/>
      <c r="E104">
        <f>VLOOKUP(TablaObra[[#This Row],[Equipo]],Catalogos!I$4:J$34,2,FALSE)</f>
      </c>
      <c r="F104" s="3"/>
      <c r="G104" s="4">
        <v>28.3</v>
      </c>
      <c r="H104" s="4">
        <f t="shared" si="1"/>
      </c>
    </row>
    <row r="105" spans="1:8">
      <c r="A105" s="2"/>
      <c r="E105">
        <f>VLOOKUP(TablaObra[[#This Row],[Equipo]],Catalogos!I$4:J$34,2,FALSE)</f>
      </c>
      <c r="F105" s="3"/>
      <c r="G105" s="4">
        <v>28.3</v>
      </c>
      <c r="H105" s="4">
        <f t="shared" si="1"/>
      </c>
    </row>
    <row r="106" spans="1:8">
      <c r="A106" s="2"/>
      <c r="E106">
        <f>VLOOKUP(TablaObra[[#This Row],[Equipo]],Catalogos!I$4:J$34,2,FALSE)</f>
      </c>
      <c r="F106" s="3"/>
      <c r="G106" s="4">
        <v>28.3</v>
      </c>
      <c r="H106" s="4">
        <f t="shared" si="1"/>
      </c>
    </row>
    <row r="107" spans="1:8">
      <c r="A107" s="2"/>
      <c r="E107">
        <f>VLOOKUP(TablaObra[[#This Row],[Equipo]],Catalogos!I$4:J$34,2,FALSE)</f>
      </c>
      <c r="F107" s="3"/>
      <c r="G107" s="4">
        <v>28.3</v>
      </c>
      <c r="H107" s="4">
        <f t="shared" si="1"/>
      </c>
    </row>
    <row r="108" spans="1:8">
      <c r="A108" s="2"/>
      <c r="E108">
        <f>VLOOKUP(TablaObra[[#This Row],[Equipo]],Catalogos!I$4:J$34,2,FALSE)</f>
      </c>
      <c r="F108" s="3"/>
      <c r="G108" s="4">
        <v>28.3</v>
      </c>
      <c r="H108" s="4">
        <f t="shared" si="1"/>
      </c>
    </row>
    <row r="109" spans="1:8">
      <c r="A109" s="2"/>
      <c r="E109">
        <f>VLOOKUP(TablaObra[[#This Row],[Equipo]],Catalogos!I$4:J$34,2,FALSE)</f>
      </c>
      <c r="F109" s="3"/>
      <c r="G109" s="4">
        <v>28.3</v>
      </c>
      <c r="H109" s="4">
        <f t="shared" si="1"/>
      </c>
    </row>
    <row r="110" spans="1:8">
      <c r="A110" s="2"/>
      <c r="E110">
        <f>VLOOKUP(TablaObra[[#This Row],[Equipo]],Catalogos!I$4:J$34,2,FALSE)</f>
      </c>
      <c r="F110" s="3"/>
      <c r="G110" s="4">
        <v>28.3</v>
      </c>
      <c r="H110" s="4">
        <f t="shared" si="1"/>
      </c>
    </row>
    <row r="111" spans="1:8">
      <c r="A111" s="2"/>
      <c r="E111">
        <f>VLOOKUP(TablaObra[[#This Row],[Equipo]],Catalogos!I$4:J$34,2,FALSE)</f>
      </c>
      <c r="F111" s="3"/>
      <c r="G111" s="4">
        <v>28.3</v>
      </c>
      <c r="H111" s="4">
        <f t="shared" si="1"/>
      </c>
    </row>
    <row r="112" spans="1:8">
      <c r="A112" s="2"/>
      <c r="E112">
        <f>VLOOKUP(TablaObra[[#This Row],[Equipo]],Catalogos!I$4:J$34,2,FALSE)</f>
      </c>
      <c r="F112" s="3"/>
      <c r="G112" s="4">
        <v>28.3</v>
      </c>
      <c r="H112" s="4">
        <f t="shared" si="1"/>
      </c>
    </row>
    <row r="113" spans="1:8">
      <c r="A113" s="2"/>
      <c r="E113">
        <f>VLOOKUP(TablaObra[[#This Row],[Equipo]],Catalogos!I$4:J$34,2,FALSE)</f>
      </c>
      <c r="F113" s="3"/>
      <c r="G113" s="4">
        <v>28.3</v>
      </c>
      <c r="H113" s="4">
        <f t="shared" si="1"/>
      </c>
    </row>
    <row r="114" spans="1:8">
      <c r="A114" s="2"/>
      <c r="E114">
        <f>VLOOKUP(TablaObra[[#This Row],[Equipo]],Catalogos!I$4:J$34,2,FALSE)</f>
      </c>
      <c r="F114" s="3"/>
      <c r="G114" s="4">
        <v>28.3</v>
      </c>
      <c r="H114" s="4">
        <f t="shared" si="1"/>
      </c>
    </row>
    <row r="115" spans="1:8">
      <c r="A115" s="2"/>
      <c r="E115">
        <f>VLOOKUP(TablaObra[[#This Row],[Equipo]],Catalogos!I$4:J$34,2,FALSE)</f>
      </c>
      <c r="F115" s="3"/>
      <c r="G115" s="4">
        <v>28.3</v>
      </c>
      <c r="H115" s="4">
        <f t="shared" si="1"/>
      </c>
    </row>
    <row r="116" spans="1:8">
      <c r="A116" s="2"/>
      <c r="E116">
        <f>VLOOKUP(TablaObra[[#This Row],[Equipo]],Catalogos!I$4:J$34,2,FALSE)</f>
      </c>
      <c r="F116" s="3"/>
      <c r="G116" s="4">
        <v>28.3</v>
      </c>
      <c r="H116" s="4">
        <f t="shared" si="1"/>
      </c>
    </row>
    <row r="117" spans="1:8">
      <c r="A117" s="2"/>
      <c r="E117">
        <f>VLOOKUP(TablaObra[[#This Row],[Equipo]],Catalogos!I$4:J$34,2,FALSE)</f>
      </c>
      <c r="F117" s="3"/>
      <c r="G117" s="4">
        <v>28.3</v>
      </c>
      <c r="H117" s="4">
        <f t="shared" si="1"/>
      </c>
    </row>
    <row r="118" spans="1:8">
      <c r="A118" s="2"/>
      <c r="E118">
        <f>VLOOKUP(TablaObra[[#This Row],[Equipo]],Catalogos!I$4:J$34,2,FALSE)</f>
      </c>
      <c r="F118" s="3"/>
      <c r="G118" s="4">
        <v>28.3</v>
      </c>
      <c r="H118" s="4">
        <f t="shared" si="1"/>
      </c>
    </row>
    <row r="119" spans="1:8">
      <c r="A119" s="2"/>
      <c r="E119">
        <f>VLOOKUP(TablaObra[[#This Row],[Equipo]],Catalogos!I$4:J$34,2,FALSE)</f>
      </c>
      <c r="F119" s="3"/>
      <c r="G119" s="4">
        <v>28.3</v>
      </c>
      <c r="H119" s="4">
        <f t="shared" si="1"/>
      </c>
    </row>
    <row r="120" spans="1:8">
      <c r="A120" s="2"/>
      <c r="E120">
        <f>VLOOKUP(TablaObra[[#This Row],[Equipo]],Catalogos!I$4:J$34,2,FALSE)</f>
      </c>
      <c r="F120" s="3"/>
      <c r="G120" s="4">
        <v>28.3</v>
      </c>
      <c r="H120" s="4">
        <f t="shared" si="1"/>
      </c>
    </row>
    <row r="121" spans="1:8">
      <c r="A121" s="2"/>
      <c r="E121">
        <f>VLOOKUP(TablaObra[[#This Row],[Equipo]],Catalogos!I$4:J$34,2,FALSE)</f>
      </c>
      <c r="F121" s="3"/>
      <c r="G121" s="4">
        <v>28.3</v>
      </c>
      <c r="H121" s="4">
        <f t="shared" si="1"/>
      </c>
    </row>
    <row r="122" spans="1:8">
      <c r="A122" s="2"/>
      <c r="E122">
        <f>VLOOKUP(TablaObra[[#This Row],[Equipo]],Catalogos!I$4:J$34,2,FALSE)</f>
      </c>
      <c r="F122" s="3"/>
      <c r="G122" s="4">
        <v>28.3</v>
      </c>
      <c r="H122" s="4">
        <f t="shared" si="1"/>
      </c>
    </row>
    <row r="123" spans="1:8">
      <c r="A123" s="2"/>
      <c r="E123">
        <f>VLOOKUP(TablaObra[[#This Row],[Equipo]],Catalogos!I$4:J$34,2,FALSE)</f>
      </c>
      <c r="F123" s="3"/>
      <c r="G123" s="4">
        <v>28.3</v>
      </c>
      <c r="H123" s="4">
        <f t="shared" si="1"/>
      </c>
    </row>
    <row r="124" spans="1:8">
      <c r="A124" s="2"/>
      <c r="E124">
        <f>VLOOKUP(TablaObra[[#This Row],[Equipo]],Catalogos!I$4:J$34,2,FALSE)</f>
      </c>
      <c r="F124" s="3"/>
      <c r="G124" s="4">
        <v>28.3</v>
      </c>
      <c r="H124" s="4">
        <f t="shared" si="1"/>
      </c>
    </row>
    <row r="125" spans="1:8">
      <c r="A125" s="2"/>
      <c r="E125">
        <f>VLOOKUP(TablaObra[[#This Row],[Equipo]],Catalogos!I$4:J$34,2,FALSE)</f>
      </c>
      <c r="F125" s="3"/>
      <c r="G125" s="4">
        <v>28.3</v>
      </c>
      <c r="H125" s="4">
        <f t="shared" si="1"/>
      </c>
    </row>
    <row r="126" spans="1:8">
      <c r="A126" s="2"/>
      <c r="E126">
        <f>VLOOKUP(TablaObra[[#This Row],[Equipo]],Catalogos!I$4:J$34,2,FALSE)</f>
      </c>
      <c r="F126" s="3"/>
      <c r="G126" s="4">
        <v>28.3</v>
      </c>
      <c r="H126" s="4">
        <f t="shared" si="1"/>
      </c>
    </row>
    <row r="127" spans="1:8">
      <c r="A127" s="2"/>
      <c r="E127">
        <f>VLOOKUP(TablaObra[[#This Row],[Equipo]],Catalogos!I$4:J$34,2,FALSE)</f>
      </c>
      <c r="F127" s="3"/>
      <c r="G127" s="4">
        <v>28.3</v>
      </c>
      <c r="H127" s="4">
        <f t="shared" si="1"/>
      </c>
    </row>
    <row r="128" spans="1:8">
      <c r="A128" s="2"/>
      <c r="E128">
        <f>VLOOKUP(TablaObra[[#This Row],[Equipo]],Catalogos!I$4:J$34,2,FALSE)</f>
      </c>
      <c r="F128" s="3"/>
      <c r="G128" s="4">
        <v>28.3</v>
      </c>
      <c r="H128" s="4">
        <f t="shared" si="1"/>
      </c>
    </row>
    <row r="129" spans="1:8">
      <c r="A129" s="2"/>
      <c r="E129">
        <f>VLOOKUP(TablaObra[[#This Row],[Equipo]],Catalogos!I$4:J$34,2,FALSE)</f>
      </c>
      <c r="F129" s="3"/>
      <c r="G129" s="4">
        <v>28.3</v>
      </c>
      <c r="H129" s="4">
        <f t="shared" si="1"/>
      </c>
    </row>
    <row r="130" spans="1:8">
      <c r="A130" s="2"/>
      <c r="E130">
        <f>VLOOKUP(TablaObra[[#This Row],[Equipo]],Catalogos!I$4:J$34,2,FALSE)</f>
      </c>
      <c r="F130" s="3"/>
      <c r="G130" s="4">
        <v>28.3</v>
      </c>
      <c r="H130" s="4">
        <f t="shared" si="1"/>
      </c>
    </row>
    <row r="131" spans="1:8">
      <c r="A131" s="2"/>
      <c r="E131">
        <f>VLOOKUP(TablaObra[[#This Row],[Equipo]],Catalogos!I$4:J$34,2,FALSE)</f>
      </c>
      <c r="F131" s="3"/>
      <c r="G131" s="4">
        <v>28.3</v>
      </c>
      <c r="H131" s="4">
        <f t="shared" si="1"/>
      </c>
    </row>
    <row r="132" spans="1:8">
      <c r="A132" s="2"/>
      <c r="E132">
        <f>VLOOKUP(TablaObra[[#This Row],[Equipo]],Catalogos!I$4:J$34,2,FALSE)</f>
      </c>
      <c r="F132" s="3"/>
      <c r="G132" s="4">
        <v>28.3</v>
      </c>
      <c r="H132" s="4">
        <f t="shared" si="1"/>
      </c>
    </row>
    <row r="133" spans="1:8">
      <c r="A133" s="2"/>
      <c r="E133">
        <f>VLOOKUP(TablaObra[[#This Row],[Equipo]],Catalogos!I$4:J$34,2,FALSE)</f>
      </c>
      <c r="F133" s="3"/>
      <c r="G133" s="4">
        <v>28.3</v>
      </c>
      <c r="H133" s="4">
        <f t="shared" ref="H133:H196" si="2">IFERROR(F133*G133,0)</f>
      </c>
    </row>
    <row r="134" spans="1:8">
      <c r="A134" s="2"/>
      <c r="E134">
        <f>VLOOKUP(TablaObra[[#This Row],[Equipo]],Catalogos!I$4:J$34,2,FALSE)</f>
      </c>
      <c r="F134" s="3"/>
      <c r="G134" s="4">
        <v>28.3</v>
      </c>
      <c r="H134" s="4">
        <f t="shared" si="2"/>
      </c>
    </row>
    <row r="135" spans="1:8">
      <c r="A135" s="2"/>
      <c r="E135">
        <f>VLOOKUP(TablaObra[[#This Row],[Equipo]],Catalogos!I$4:J$34,2,FALSE)</f>
      </c>
      <c r="F135" s="3"/>
      <c r="G135" s="4">
        <v>28.3</v>
      </c>
      <c r="H135" s="4">
        <f t="shared" si="2"/>
      </c>
    </row>
    <row r="136" spans="1:8">
      <c r="A136" s="2"/>
      <c r="E136">
        <f>VLOOKUP(TablaObra[[#This Row],[Equipo]],Catalogos!I$4:J$34,2,FALSE)</f>
      </c>
      <c r="F136" s="3"/>
      <c r="G136" s="4">
        <v>28.3</v>
      </c>
      <c r="H136" s="4">
        <f t="shared" si="2"/>
      </c>
    </row>
    <row r="137" spans="1:8">
      <c r="A137" s="2"/>
      <c r="E137">
        <f>VLOOKUP(TablaObra[[#This Row],[Equipo]],Catalogos!I$4:J$34,2,FALSE)</f>
      </c>
      <c r="F137" s="3"/>
      <c r="G137" s="4">
        <v>28.3</v>
      </c>
      <c r="H137" s="4">
        <f t="shared" si="2"/>
      </c>
    </row>
    <row r="138" spans="1:8">
      <c r="A138" s="2"/>
      <c r="E138">
        <f>VLOOKUP(TablaObra[[#This Row],[Equipo]],Catalogos!I$4:J$34,2,FALSE)</f>
      </c>
      <c r="F138" s="3"/>
      <c r="G138" s="4">
        <v>28.3</v>
      </c>
      <c r="H138" s="4">
        <f t="shared" si="2"/>
      </c>
    </row>
    <row r="139" spans="1:8">
      <c r="A139" s="2"/>
      <c r="E139">
        <f>VLOOKUP(TablaObra[[#This Row],[Equipo]],Catalogos!I$4:J$34,2,FALSE)</f>
      </c>
      <c r="F139" s="3"/>
      <c r="G139" s="4">
        <v>28.3</v>
      </c>
      <c r="H139" s="4">
        <f t="shared" si="2"/>
      </c>
    </row>
    <row r="140" spans="1:8">
      <c r="A140" s="2"/>
      <c r="E140">
        <f>VLOOKUP(TablaObra[[#This Row],[Equipo]],Catalogos!I$4:J$34,2,FALSE)</f>
      </c>
      <c r="F140" s="3"/>
      <c r="G140" s="4">
        <v>28.3</v>
      </c>
      <c r="H140" s="4">
        <f t="shared" si="2"/>
      </c>
    </row>
    <row r="141" spans="1:8">
      <c r="A141" s="2"/>
      <c r="E141">
        <f>VLOOKUP(TablaObra[[#This Row],[Equipo]],Catalogos!I$4:J$34,2,FALSE)</f>
      </c>
      <c r="F141" s="3"/>
      <c r="G141" s="4">
        <v>28.3</v>
      </c>
      <c r="H141" s="4">
        <f t="shared" si="2"/>
      </c>
    </row>
    <row r="142" spans="1:8">
      <c r="A142" s="2"/>
      <c r="E142">
        <f>VLOOKUP(TablaObra[[#This Row],[Equipo]],Catalogos!I$4:J$34,2,FALSE)</f>
      </c>
      <c r="F142" s="3"/>
      <c r="G142" s="4">
        <v>28.3</v>
      </c>
      <c r="H142" s="4">
        <f t="shared" si="2"/>
      </c>
    </row>
    <row r="143" spans="1:8">
      <c r="A143" s="2"/>
      <c r="E143">
        <f>VLOOKUP(TablaObra[[#This Row],[Equipo]],Catalogos!I$4:J$34,2,FALSE)</f>
      </c>
      <c r="F143" s="3"/>
      <c r="G143" s="4">
        <v>28.3</v>
      </c>
      <c r="H143" s="4">
        <f t="shared" si="2"/>
      </c>
    </row>
    <row r="144" spans="1:8">
      <c r="A144" s="2"/>
      <c r="E144">
        <f>VLOOKUP(TablaObra[[#This Row],[Equipo]],Catalogos!I$4:J$34,2,FALSE)</f>
      </c>
      <c r="F144" s="3"/>
      <c r="G144" s="4">
        <v>28.3</v>
      </c>
      <c r="H144" s="4">
        <f t="shared" si="2"/>
      </c>
    </row>
    <row r="145" spans="1:8">
      <c r="A145" s="2"/>
      <c r="E145">
        <f>VLOOKUP(TablaObra[[#This Row],[Equipo]],Catalogos!I$4:J$34,2,FALSE)</f>
      </c>
      <c r="F145" s="3"/>
      <c r="G145" s="4">
        <v>28.3</v>
      </c>
      <c r="H145" s="4">
        <f t="shared" si="2"/>
      </c>
    </row>
    <row r="146" spans="1:8">
      <c r="A146" s="2"/>
      <c r="E146">
        <f>VLOOKUP(TablaObra[[#This Row],[Equipo]],Catalogos!I$4:J$34,2,FALSE)</f>
      </c>
      <c r="F146" s="3"/>
      <c r="G146" s="4"/>
      <c r="H146" s="4">
        <f t="shared" si="2"/>
      </c>
    </row>
    <row r="147" spans="1:8">
      <c r="A147" s="2"/>
      <c r="E147">
        <f>VLOOKUP(TablaObra[[#This Row],[Equipo]],Catalogos!I$4:J$34,2,FALSE)</f>
      </c>
      <c r="F147" s="3"/>
      <c r="G147" s="4"/>
      <c r="H147" s="4">
        <f t="shared" si="2"/>
      </c>
    </row>
    <row r="148" spans="1:8">
      <c r="A148" s="2"/>
      <c r="E148">
        <f>VLOOKUP(TablaObra[[#This Row],[Equipo]],Catalogos!I$4:J$34,2,FALSE)</f>
      </c>
      <c r="F148" s="3"/>
      <c r="G148" s="4"/>
      <c r="H148" s="4">
        <f t="shared" si="2"/>
      </c>
    </row>
    <row r="149" spans="1:8">
      <c r="A149" s="2"/>
      <c r="E149">
        <f>VLOOKUP(TablaObra[[#This Row],[Equipo]],Catalogos!I$4:J$34,2,FALSE)</f>
      </c>
      <c r="F149" s="3"/>
      <c r="G149" s="4"/>
      <c r="H149" s="4">
        <f t="shared" si="2"/>
      </c>
    </row>
    <row r="150" spans="1:8">
      <c r="A150" s="2"/>
      <c r="E150">
        <f>VLOOKUP(TablaObra[[#This Row],[Equipo]],Catalogos!I$4:J$34,2,FALSE)</f>
      </c>
      <c r="F150" s="3"/>
      <c r="G150" s="4"/>
      <c r="H150" s="4">
        <f t="shared" si="2"/>
      </c>
    </row>
    <row r="151" spans="1:8">
      <c r="A151" s="2"/>
      <c r="E151">
        <f>VLOOKUP(TablaObra[[#This Row],[Equipo]],Catalogos!I$4:J$34,2,FALSE)</f>
      </c>
      <c r="F151" s="3"/>
      <c r="G151" s="4"/>
      <c r="H151" s="4">
        <f t="shared" si="2"/>
      </c>
    </row>
    <row r="152" spans="1:8">
      <c r="A152" s="2"/>
      <c r="E152">
        <f>VLOOKUP(TablaObra[[#This Row],[Equipo]],Catalogos!I$4:J$34,2,FALSE)</f>
      </c>
      <c r="F152" s="3"/>
      <c r="G152" s="4"/>
      <c r="H152" s="4">
        <f t="shared" si="2"/>
      </c>
    </row>
    <row r="153" spans="1:8">
      <c r="A153" s="2"/>
      <c r="E153">
        <f>VLOOKUP(TablaObra[[#This Row],[Equipo]],Catalogos!I$4:J$34,2,FALSE)</f>
      </c>
      <c r="F153" s="3"/>
      <c r="G153" s="4"/>
      <c r="H153" s="4">
        <f t="shared" si="2"/>
      </c>
    </row>
    <row r="154" spans="1:8">
      <c r="A154" s="2"/>
      <c r="E154">
        <f>VLOOKUP(TablaObra[[#This Row],[Equipo]],Catalogos!I$4:J$34,2,FALSE)</f>
      </c>
      <c r="F154" s="3"/>
      <c r="G154" s="4"/>
      <c r="H154" s="4">
        <f t="shared" si="2"/>
      </c>
    </row>
    <row r="155" spans="1:8">
      <c r="A155" s="2"/>
      <c r="E155">
        <f>VLOOKUP(TablaObra[[#This Row],[Equipo]],Catalogos!I$4:J$34,2,FALSE)</f>
      </c>
      <c r="F155" s="3"/>
      <c r="G155" s="4"/>
      <c r="H155" s="4">
        <f t="shared" si="2"/>
      </c>
    </row>
    <row r="156" spans="1:8">
      <c r="A156" s="2"/>
      <c r="E156">
        <f>VLOOKUP(TablaObra[[#This Row],[Equipo]],Catalogos!I$4:J$34,2,FALSE)</f>
      </c>
      <c r="F156" s="3"/>
      <c r="G156" s="4"/>
      <c r="H156" s="4">
        <f t="shared" si="2"/>
      </c>
    </row>
    <row r="157" spans="1:8">
      <c r="A157" s="2"/>
      <c r="E157">
        <f>VLOOKUP(TablaObra[[#This Row],[Equipo]],Catalogos!I$4:J$34,2,FALSE)</f>
      </c>
      <c r="F157" s="3"/>
      <c r="G157" s="4"/>
      <c r="H157" s="4">
        <f t="shared" si="2"/>
      </c>
    </row>
    <row r="158" spans="1:8">
      <c r="A158" s="2"/>
      <c r="E158">
        <f>VLOOKUP(TablaObra[[#This Row],[Equipo]],Catalogos!I$4:J$34,2,FALSE)</f>
      </c>
      <c r="F158" s="3"/>
      <c r="G158" s="4"/>
      <c r="H158" s="4">
        <f t="shared" si="2"/>
      </c>
    </row>
    <row r="159" spans="1:8">
      <c r="A159" s="2"/>
      <c r="E159">
        <f>VLOOKUP(TablaObra[[#This Row],[Equipo]],Catalogos!I$4:J$34,2,FALSE)</f>
      </c>
      <c r="F159" s="3"/>
      <c r="G159" s="4"/>
      <c r="H159" s="4">
        <f t="shared" si="2"/>
      </c>
    </row>
    <row r="160" spans="1:8">
      <c r="A160" s="2"/>
      <c r="E160">
        <f>VLOOKUP(TablaObra[[#This Row],[Equipo]],Catalogos!I$4:J$34,2,FALSE)</f>
      </c>
      <c r="F160" s="3"/>
      <c r="G160" s="4"/>
      <c r="H160" s="4">
        <f t="shared" si="2"/>
      </c>
    </row>
    <row r="161" spans="1:8">
      <c r="A161" s="2"/>
      <c r="E161">
        <f>VLOOKUP(TablaObra[[#This Row],[Equipo]],Catalogos!I$4:J$34,2,FALSE)</f>
      </c>
      <c r="F161" s="3"/>
      <c r="G161" s="4"/>
      <c r="H161" s="4">
        <f t="shared" si="2"/>
      </c>
    </row>
    <row r="162" spans="1:8">
      <c r="A162" s="2"/>
      <c r="E162">
        <f>VLOOKUP(TablaObra[[#This Row],[Equipo]],Catalogos!I$4:J$34,2,FALSE)</f>
      </c>
      <c r="F162" s="3"/>
      <c r="G162" s="4"/>
      <c r="H162" s="4">
        <f t="shared" si="2"/>
      </c>
    </row>
    <row r="163" spans="1:8">
      <c r="A163" s="2"/>
      <c r="E163">
        <f>VLOOKUP(TablaObra[[#This Row],[Equipo]],Catalogos!I$4:J$34,2,FALSE)</f>
      </c>
      <c r="F163" s="3"/>
      <c r="G163" s="4"/>
      <c r="H163" s="4">
        <f t="shared" si="2"/>
      </c>
    </row>
    <row r="164" spans="1:8">
      <c r="A164" s="2"/>
      <c r="E164">
        <f>VLOOKUP(TablaObra[[#This Row],[Equipo]],Catalogos!I$4:J$34,2,FALSE)</f>
      </c>
      <c r="F164" s="3"/>
      <c r="G164" s="4"/>
      <c r="H164" s="4">
        <f t="shared" si="2"/>
      </c>
    </row>
    <row r="165" spans="1:8">
      <c r="A165" s="2"/>
      <c r="E165">
        <f>VLOOKUP(TablaObra[[#This Row],[Equipo]],Catalogos!I$4:J$34,2,FALSE)</f>
      </c>
      <c r="F165" s="3"/>
      <c r="G165" s="4"/>
      <c r="H165" s="4">
        <f t="shared" si="2"/>
      </c>
    </row>
    <row r="166" spans="1:8">
      <c r="A166" s="2"/>
      <c r="E166">
        <f>VLOOKUP(TablaObra[[#This Row],[Equipo]],Catalogos!I$4:J$34,2,FALSE)</f>
      </c>
      <c r="F166" s="3"/>
      <c r="G166" s="4"/>
      <c r="H166" s="4">
        <f t="shared" si="2"/>
      </c>
    </row>
    <row r="167" spans="1:8">
      <c r="A167" s="2"/>
      <c r="E167">
        <f>VLOOKUP(TablaObra[[#This Row],[Equipo]],Catalogos!I$4:J$34,2,FALSE)</f>
      </c>
      <c r="F167" s="3"/>
      <c r="G167" s="4"/>
      <c r="H167" s="4">
        <f t="shared" si="2"/>
      </c>
    </row>
    <row r="168" spans="1:8">
      <c r="A168" s="2"/>
      <c r="E168">
        <f>VLOOKUP(TablaObra[[#This Row],[Equipo]],Catalogos!I$4:J$34,2,FALSE)</f>
      </c>
      <c r="F168" s="3"/>
      <c r="G168" s="4"/>
      <c r="H168" s="4">
        <f t="shared" si="2"/>
      </c>
    </row>
    <row r="169" spans="1:8">
      <c r="A169" s="2"/>
      <c r="E169">
        <f>VLOOKUP(TablaObra[[#This Row],[Equipo]],Catalogos!I$4:J$34,2,FALSE)</f>
      </c>
      <c r="F169" s="3"/>
      <c r="G169" s="4"/>
      <c r="H169" s="4">
        <f t="shared" si="2"/>
      </c>
    </row>
    <row r="170" spans="1:8">
      <c r="A170" s="2"/>
      <c r="E170">
        <f>VLOOKUP(TablaObra[[#This Row],[Equipo]],Catalogos!I$4:J$34,2,FALSE)</f>
      </c>
      <c r="F170" s="3"/>
      <c r="G170" s="4"/>
      <c r="H170" s="4">
        <f t="shared" si="2"/>
      </c>
    </row>
    <row r="171" spans="1:8">
      <c r="A171" s="2"/>
      <c r="E171">
        <f>VLOOKUP(TablaObra[[#This Row],[Equipo]],Catalogos!I$4:J$34,2,FALSE)</f>
      </c>
      <c r="F171" s="3"/>
      <c r="G171" s="4"/>
      <c r="H171" s="4">
        <f t="shared" si="2"/>
      </c>
    </row>
    <row r="172" spans="1:8">
      <c r="A172" s="2"/>
      <c r="E172">
        <f>VLOOKUP(TablaObra[[#This Row],[Equipo]],Catalogos!I$4:J$34,2,FALSE)</f>
      </c>
      <c r="F172" s="3"/>
      <c r="G172" s="4"/>
      <c r="H172" s="4">
        <f t="shared" si="2"/>
      </c>
    </row>
    <row r="173" spans="1:8">
      <c r="A173" s="2"/>
      <c r="E173">
        <f>VLOOKUP(TablaObra[[#This Row],[Equipo]],Catalogos!I$4:J$34,2,FALSE)</f>
      </c>
      <c r="F173" s="3"/>
      <c r="G173" s="4"/>
      <c r="H173" s="4">
        <f t="shared" si="2"/>
      </c>
    </row>
    <row r="174" spans="1:8">
      <c r="A174" s="2"/>
      <c r="E174">
        <f>VLOOKUP(TablaObra[[#This Row],[Equipo]],Catalogos!I$4:J$34,2,FALSE)</f>
      </c>
      <c r="F174" s="3"/>
      <c r="G174" s="4"/>
      <c r="H174" s="4">
        <f t="shared" si="2"/>
      </c>
    </row>
    <row r="175" spans="1:8">
      <c r="A175" s="2"/>
      <c r="E175">
        <f>VLOOKUP(TablaObra[[#This Row],[Equipo]],Catalogos!I$4:J$34,2,FALSE)</f>
      </c>
      <c r="F175" s="3"/>
      <c r="G175" s="4"/>
      <c r="H175" s="4">
        <f t="shared" si="2"/>
      </c>
    </row>
    <row r="176" spans="1:8">
      <c r="A176" s="2"/>
      <c r="E176">
        <f>VLOOKUP(TablaObra[[#This Row],[Equipo]],Catalogos!I$4:J$34,2,FALSE)</f>
      </c>
      <c r="F176" s="3"/>
      <c r="G176" s="4"/>
      <c r="H176" s="4">
        <f t="shared" si="2"/>
      </c>
    </row>
    <row r="177" spans="1:8">
      <c r="A177" s="2"/>
      <c r="E177">
        <f>VLOOKUP(TablaObra[[#This Row],[Equipo]],Catalogos!I$4:J$34,2,FALSE)</f>
      </c>
      <c r="F177" s="3"/>
      <c r="G177" s="4"/>
      <c r="H177" s="4">
        <f t="shared" si="2"/>
      </c>
    </row>
    <row r="178" spans="1:8">
      <c r="A178" s="2"/>
      <c r="E178">
        <f>VLOOKUP(TablaObra[[#This Row],[Equipo]],Catalogos!I$4:J$34,2,FALSE)</f>
      </c>
      <c r="F178" s="3"/>
      <c r="G178" s="4"/>
      <c r="H178" s="4">
        <f t="shared" si="2"/>
      </c>
    </row>
    <row r="179" spans="1:8">
      <c r="A179" s="2"/>
      <c r="E179">
        <f>VLOOKUP(TablaObra[[#This Row],[Equipo]],Catalogos!I$4:J$34,2,FALSE)</f>
      </c>
      <c r="F179" s="3"/>
      <c r="G179" s="4"/>
      <c r="H179" s="4">
        <f t="shared" si="2"/>
      </c>
    </row>
    <row r="180" spans="1:8">
      <c r="A180" s="2"/>
      <c r="E180">
        <f>VLOOKUP(TablaObra[[#This Row],[Equipo]],Catalogos!I$4:J$34,2,FALSE)</f>
      </c>
      <c r="F180" s="3"/>
      <c r="G180" s="4"/>
      <c r="H180" s="4">
        <f t="shared" si="2"/>
      </c>
    </row>
    <row r="181" spans="1:8">
      <c r="A181" s="2"/>
      <c r="E181">
        <f>VLOOKUP(TablaObra[[#This Row],[Equipo]],Catalogos!I$4:J$34,2,FALSE)</f>
      </c>
      <c r="F181" s="3"/>
      <c r="G181" s="4"/>
      <c r="H181" s="4">
        <f t="shared" si="2"/>
      </c>
    </row>
    <row r="182" spans="1:8">
      <c r="A182" s="2"/>
      <c r="E182">
        <f>VLOOKUP(TablaObra[[#This Row],[Equipo]],Catalogos!I$4:J$34,2,FALSE)</f>
      </c>
      <c r="F182" s="3"/>
      <c r="G182" s="4"/>
      <c r="H182" s="4">
        <f t="shared" si="2"/>
      </c>
    </row>
    <row r="183" spans="1:8">
      <c r="A183" s="2"/>
      <c r="E183">
        <f>VLOOKUP(TablaObra[[#This Row],[Equipo]],Catalogos!I$4:J$34,2,FALSE)</f>
      </c>
      <c r="F183" s="3"/>
      <c r="G183" s="4"/>
      <c r="H183" s="4">
        <f t="shared" si="2"/>
      </c>
    </row>
    <row r="184" spans="1:8">
      <c r="A184" s="2"/>
      <c r="E184">
        <f>VLOOKUP(TablaObra[[#This Row],[Equipo]],Catalogos!I$4:J$34,2,FALSE)</f>
      </c>
      <c r="F184" s="3"/>
      <c r="G184" s="4"/>
      <c r="H184" s="4">
        <f t="shared" si="2"/>
      </c>
    </row>
    <row r="185" spans="1:8">
      <c r="A185" s="2"/>
      <c r="E185">
        <f>VLOOKUP(TablaObra[[#This Row],[Equipo]],Catalogos!I$4:J$34,2,FALSE)</f>
      </c>
      <c r="F185" s="3"/>
      <c r="G185" s="4"/>
      <c r="H185" s="4">
        <f t="shared" si="2"/>
      </c>
    </row>
    <row r="186" spans="1:8">
      <c r="A186" s="2"/>
      <c r="E186">
        <f>VLOOKUP(TablaObra[[#This Row],[Equipo]],Catalogos!I$4:J$34,2,FALSE)</f>
      </c>
      <c r="F186" s="3"/>
      <c r="G186" s="4"/>
      <c r="H186" s="4">
        <f t="shared" si="2"/>
      </c>
    </row>
    <row r="187" spans="1:8">
      <c r="A187" s="2"/>
      <c r="E187">
        <f>VLOOKUP(TablaObra[[#This Row],[Equipo]],Catalogos!I$4:J$34,2,FALSE)</f>
      </c>
      <c r="F187" s="3"/>
      <c r="G187" s="4"/>
      <c r="H187" s="4">
        <f t="shared" si="2"/>
      </c>
    </row>
    <row r="188" spans="1:8">
      <c r="A188" s="2"/>
      <c r="E188">
        <f>VLOOKUP(TablaObra[[#This Row],[Equipo]],Catalogos!I$4:J$34,2,FALSE)</f>
      </c>
      <c r="F188" s="3"/>
      <c r="G188" s="4"/>
      <c r="H188" s="4">
        <f t="shared" si="2"/>
      </c>
    </row>
    <row r="189" spans="1:8">
      <c r="A189" s="2"/>
      <c r="E189">
        <f>VLOOKUP(TablaObra[[#This Row],[Equipo]],Catalogos!I$4:J$34,2,FALSE)</f>
      </c>
      <c r="F189" s="3"/>
      <c r="G189" s="4"/>
      <c r="H189" s="4">
        <f t="shared" si="2"/>
      </c>
    </row>
    <row r="190" spans="1:8">
      <c r="A190" s="2"/>
      <c r="E190">
        <f>VLOOKUP(TablaObra[[#This Row],[Equipo]],Catalogos!I$4:J$34,2,FALSE)</f>
      </c>
      <c r="F190" s="3"/>
      <c r="G190" s="4"/>
      <c r="H190" s="4">
        <f t="shared" si="2"/>
      </c>
    </row>
    <row r="191" spans="1:8">
      <c r="A191" s="2"/>
      <c r="E191">
        <f>VLOOKUP(TablaObra[[#This Row],[Equipo]],Catalogos!I$4:J$34,2,FALSE)</f>
      </c>
      <c r="F191" s="3"/>
      <c r="G191" s="4"/>
      <c r="H191" s="4">
        <f t="shared" si="2"/>
      </c>
    </row>
    <row r="192" spans="1:8">
      <c r="A192" s="2"/>
      <c r="E192">
        <f>VLOOKUP(TablaObra[[#This Row],[Equipo]],Catalogos!I$4:J$34,2,FALSE)</f>
      </c>
      <c r="F192" s="3"/>
      <c r="G192" s="4"/>
      <c r="H192" s="4">
        <f t="shared" si="2"/>
      </c>
    </row>
    <row r="193" spans="1:8">
      <c r="A193" s="2"/>
      <c r="E193">
        <f>VLOOKUP(TablaObra[[#This Row],[Equipo]],Catalogos!I$4:J$34,2,FALSE)</f>
      </c>
      <c r="F193" s="3"/>
      <c r="G193" s="4"/>
      <c r="H193" s="4">
        <f t="shared" si="2"/>
      </c>
    </row>
    <row r="194" spans="1:8">
      <c r="A194" s="2"/>
      <c r="E194">
        <f>VLOOKUP(TablaObra[[#This Row],[Equipo]],Catalogos!I$4:J$34,2,FALSE)</f>
      </c>
      <c r="F194" s="3"/>
      <c r="G194" s="4"/>
      <c r="H194" s="4">
        <f t="shared" si="2"/>
      </c>
    </row>
    <row r="195" spans="1:8">
      <c r="A195" s="2"/>
      <c r="E195">
        <f>VLOOKUP(TablaObra[[#This Row],[Equipo]],Catalogos!I$4:J$34,2,FALSE)</f>
      </c>
      <c r="F195" s="3"/>
      <c r="G195" s="4"/>
      <c r="H195" s="4">
        <f t="shared" si="2"/>
      </c>
    </row>
    <row r="196" spans="1:8">
      <c r="A196" s="2"/>
      <c r="E196">
        <f>VLOOKUP(TablaObra[[#This Row],[Equipo]],Catalogos!I$4:J$34,2,FALSE)</f>
      </c>
      <c r="F196" s="3"/>
      <c r="G196" s="4"/>
      <c r="H196" s="4">
        <f t="shared" si="2"/>
      </c>
    </row>
    <row r="197" spans="1:8">
      <c r="A197" s="2"/>
      <c r="E197">
        <f>VLOOKUP(TablaObra[[#This Row],[Equipo]],Catalogos!I$4:J$34,2,FALSE)</f>
      </c>
      <c r="F197" s="3"/>
      <c r="G197" s="4"/>
      <c r="H197" s="4">
        <f t="shared" ref="H197:H260" si="3">IFERROR(F197*G197,0)</f>
      </c>
    </row>
    <row r="198" spans="1:8">
      <c r="A198" s="2"/>
      <c r="E198">
        <f>VLOOKUP(TablaObra[[#This Row],[Equipo]],Catalogos!I$4:J$34,2,FALSE)</f>
      </c>
      <c r="F198" s="3"/>
      <c r="G198" s="4"/>
      <c r="H198" s="4">
        <f t="shared" si="3"/>
      </c>
    </row>
    <row r="199" spans="1:8">
      <c r="A199" s="2"/>
      <c r="E199">
        <f>VLOOKUP(TablaObra[[#This Row],[Equipo]],Catalogos!I$4:J$34,2,FALSE)</f>
      </c>
      <c r="F199" s="3"/>
      <c r="G199" s="4"/>
      <c r="H199" s="4">
        <f t="shared" si="3"/>
      </c>
    </row>
    <row r="200" spans="1:8">
      <c r="A200" s="2"/>
      <c r="E200">
        <f>VLOOKUP(TablaObra[[#This Row],[Equipo]],Catalogos!I$4:J$34,2,FALSE)</f>
      </c>
      <c r="F200" s="3"/>
      <c r="G200" s="4"/>
      <c r="H200" s="4">
        <f t="shared" si="3"/>
      </c>
    </row>
    <row r="201" spans="1:8">
      <c r="A201" s="2"/>
      <c r="E201">
        <f>VLOOKUP(TablaObra[[#This Row],[Equipo]],Catalogos!I$4:J$34,2,FALSE)</f>
      </c>
      <c r="F201" s="3"/>
      <c r="G201" s="4"/>
      <c r="H201" s="4">
        <f t="shared" si="3"/>
      </c>
    </row>
    <row r="202" spans="1:8">
      <c r="A202" s="2"/>
      <c r="E202">
        <f>VLOOKUP(TablaObra[[#This Row],[Equipo]],Catalogos!I$4:J$34,2,FALSE)</f>
      </c>
      <c r="F202" s="3"/>
      <c r="G202" s="4"/>
      <c r="H202" s="4">
        <f t="shared" si="3"/>
      </c>
    </row>
    <row r="203" spans="1:8">
      <c r="A203" s="2"/>
      <c r="E203">
        <f>VLOOKUP(TablaObra[[#This Row],[Equipo]],Catalogos!I$4:J$34,2,FALSE)</f>
      </c>
      <c r="F203" s="3"/>
      <c r="G203" s="4"/>
      <c r="H203" s="4">
        <f t="shared" si="3"/>
      </c>
    </row>
    <row r="204" spans="1:8">
      <c r="A204" s="2"/>
      <c r="E204">
        <f>VLOOKUP(TablaObra[[#This Row],[Equipo]],Catalogos!I$4:J$34,2,FALSE)</f>
      </c>
      <c r="F204" s="3"/>
      <c r="G204" s="4"/>
      <c r="H204" s="4">
        <f t="shared" si="3"/>
      </c>
    </row>
    <row r="205" spans="1:8">
      <c r="A205" s="2"/>
      <c r="E205">
        <f>VLOOKUP(TablaObra[[#This Row],[Equipo]],Catalogos!I$4:J$34,2,FALSE)</f>
      </c>
      <c r="F205" s="3"/>
      <c r="G205" s="4"/>
      <c r="H205" s="4">
        <f t="shared" si="3"/>
      </c>
    </row>
    <row r="206" spans="1:8">
      <c r="A206" s="2"/>
      <c r="E206">
        <f>VLOOKUP(TablaObra[[#This Row],[Equipo]],Catalogos!I$4:J$34,2,FALSE)</f>
      </c>
      <c r="F206" s="3"/>
      <c r="G206" s="4"/>
      <c r="H206" s="4">
        <f t="shared" si="3"/>
      </c>
    </row>
    <row r="207" spans="1:8">
      <c r="A207" s="2"/>
      <c r="E207">
        <f>VLOOKUP(TablaObra[[#This Row],[Equipo]],Catalogos!I$4:J$34,2,FALSE)</f>
      </c>
      <c r="F207" s="3"/>
      <c r="G207" s="4"/>
      <c r="H207" s="4">
        <f t="shared" si="3"/>
      </c>
    </row>
    <row r="208" spans="1:8">
      <c r="A208" s="2"/>
      <c r="E208">
        <f>VLOOKUP(TablaObra[[#This Row],[Equipo]],Catalogos!I$4:J$34,2,FALSE)</f>
      </c>
      <c r="F208" s="3"/>
      <c r="G208" s="4"/>
      <c r="H208" s="4">
        <f t="shared" si="3"/>
      </c>
    </row>
    <row r="209" spans="1:8">
      <c r="A209" s="2"/>
      <c r="E209">
        <f>VLOOKUP(TablaObra[[#This Row],[Equipo]],Catalogos!I$4:J$34,2,FALSE)</f>
      </c>
      <c r="F209" s="3"/>
      <c r="G209" s="4"/>
      <c r="H209" s="4">
        <f t="shared" si="3"/>
      </c>
    </row>
    <row r="210" spans="1:8">
      <c r="A210" s="2"/>
      <c r="E210">
        <f>VLOOKUP(TablaObra[[#This Row],[Equipo]],Catalogos!I$4:J$34,2,FALSE)</f>
      </c>
      <c r="F210" s="3"/>
      <c r="G210" s="4"/>
      <c r="H210" s="4">
        <f t="shared" si="3"/>
      </c>
    </row>
    <row r="211" spans="1:8">
      <c r="A211" s="2"/>
      <c r="E211">
        <f>VLOOKUP(TablaObra[[#This Row],[Equipo]],Catalogos!I$4:J$34,2,FALSE)</f>
      </c>
      <c r="F211" s="3"/>
      <c r="G211" s="4"/>
      <c r="H211" s="4">
        <f t="shared" si="3"/>
      </c>
    </row>
    <row r="212" spans="1:8">
      <c r="A212" s="2"/>
      <c r="E212">
        <f>VLOOKUP(TablaObra[[#This Row],[Equipo]],Catalogos!I$4:J$34,2,FALSE)</f>
      </c>
      <c r="F212" s="3"/>
      <c r="G212" s="4"/>
      <c r="H212" s="4">
        <f t="shared" si="3"/>
      </c>
    </row>
    <row r="213" spans="1:8">
      <c r="A213" s="2"/>
      <c r="E213">
        <f>VLOOKUP(TablaObra[[#This Row],[Equipo]],Catalogos!I$4:J$34,2,FALSE)</f>
      </c>
      <c r="F213" s="3"/>
      <c r="G213" s="4"/>
      <c r="H213" s="4">
        <f t="shared" si="3"/>
      </c>
    </row>
    <row r="214" spans="1:8">
      <c r="A214" s="2"/>
      <c r="E214">
        <f>VLOOKUP(TablaObra[[#This Row],[Equipo]],Catalogos!I$4:J$34,2,FALSE)</f>
      </c>
      <c r="F214" s="3"/>
      <c r="G214" s="4"/>
      <c r="H214" s="4">
        <f t="shared" si="3"/>
      </c>
    </row>
    <row r="215" spans="1:8">
      <c r="A215" s="2"/>
      <c r="E215">
        <f>VLOOKUP(TablaObra[[#This Row],[Equipo]],Catalogos!I$4:J$34,2,FALSE)</f>
      </c>
      <c r="F215" s="3"/>
      <c r="G215" s="4"/>
      <c r="H215" s="4">
        <f t="shared" si="3"/>
      </c>
    </row>
    <row r="216" spans="1:8">
      <c r="A216" s="2"/>
      <c r="E216">
        <f>VLOOKUP(TablaObra[[#This Row],[Equipo]],Catalogos!I$4:J$34,2,FALSE)</f>
      </c>
      <c r="F216" s="3"/>
      <c r="G216" s="4"/>
      <c r="H216" s="4">
        <f t="shared" si="3"/>
      </c>
    </row>
    <row r="217" spans="1:8">
      <c r="A217" s="2"/>
      <c r="E217">
        <f>VLOOKUP(TablaObra[[#This Row],[Equipo]],Catalogos!I$4:J$34,2,FALSE)</f>
      </c>
      <c r="F217" s="3"/>
      <c r="G217" s="4"/>
      <c r="H217" s="4">
        <f t="shared" si="3"/>
      </c>
    </row>
    <row r="218" spans="1:8">
      <c r="A218" s="2"/>
      <c r="E218">
        <f>VLOOKUP(TablaObra[[#This Row],[Equipo]],Catalogos!I$4:J$34,2,FALSE)</f>
      </c>
      <c r="F218" s="3"/>
      <c r="G218" s="4"/>
      <c r="H218" s="4">
        <f t="shared" si="3"/>
      </c>
    </row>
    <row r="219" spans="1:8">
      <c r="A219" s="2"/>
      <c r="E219">
        <f>VLOOKUP(TablaObra[[#This Row],[Equipo]],Catalogos!I$4:J$34,2,FALSE)</f>
      </c>
      <c r="F219" s="3"/>
      <c r="G219" s="4"/>
      <c r="H219" s="4">
        <f t="shared" si="3"/>
      </c>
    </row>
    <row r="220" spans="1:8">
      <c r="A220" s="2"/>
      <c r="E220">
        <f>VLOOKUP(TablaObra[[#This Row],[Equipo]],Catalogos!I$4:J$34,2,FALSE)</f>
      </c>
      <c r="F220" s="3"/>
      <c r="G220" s="4"/>
      <c r="H220" s="4">
        <f t="shared" si="3"/>
      </c>
    </row>
    <row r="221" spans="1:8">
      <c r="A221" s="2"/>
      <c r="E221">
        <f>VLOOKUP(TablaObra[[#This Row],[Equipo]],Catalogos!I$4:J$34,2,FALSE)</f>
      </c>
      <c r="F221" s="3"/>
      <c r="G221" s="4"/>
      <c r="H221" s="4">
        <f t="shared" si="3"/>
      </c>
    </row>
    <row r="222" spans="1:8">
      <c r="A222" s="2"/>
      <c r="E222">
        <f>VLOOKUP(TablaObra[[#This Row],[Equipo]],Catalogos!I$4:J$34,2,FALSE)</f>
      </c>
      <c r="F222" s="3"/>
      <c r="G222" s="4"/>
      <c r="H222" s="4">
        <f t="shared" si="3"/>
      </c>
    </row>
    <row r="223" spans="1:8">
      <c r="A223" s="2"/>
      <c r="E223">
        <f>VLOOKUP(TablaObra[[#This Row],[Equipo]],Catalogos!I$4:J$34,2,FALSE)</f>
      </c>
      <c r="F223" s="3"/>
      <c r="G223" s="4"/>
      <c r="H223" s="4">
        <f t="shared" si="3"/>
      </c>
    </row>
    <row r="224" spans="1:8">
      <c r="A224" s="2"/>
      <c r="E224">
        <f>VLOOKUP(TablaObra[[#This Row],[Equipo]],Catalogos!I$4:J$34,2,FALSE)</f>
      </c>
      <c r="F224" s="3"/>
      <c r="G224" s="4"/>
      <c r="H224" s="4">
        <f t="shared" si="3"/>
      </c>
    </row>
    <row r="225" spans="1:8">
      <c r="A225" s="2"/>
      <c r="E225">
        <f>VLOOKUP(TablaObra[[#This Row],[Equipo]],Catalogos!I$4:J$34,2,FALSE)</f>
      </c>
      <c r="F225" s="3"/>
      <c r="G225" s="4"/>
      <c r="H225" s="4">
        <f t="shared" si="3"/>
      </c>
    </row>
    <row r="226" spans="1:8">
      <c r="A226" s="2"/>
      <c r="E226">
        <f>VLOOKUP(TablaObra[[#This Row],[Equipo]],Catalogos!I$4:J$34,2,FALSE)</f>
      </c>
      <c r="F226" s="3"/>
      <c r="G226" s="4"/>
      <c r="H226" s="4">
        <f t="shared" si="3"/>
      </c>
    </row>
    <row r="227" spans="1:8">
      <c r="A227" s="2"/>
      <c r="E227">
        <f>VLOOKUP(TablaObra[[#This Row],[Equipo]],Catalogos!I$4:J$34,2,FALSE)</f>
      </c>
      <c r="F227" s="3"/>
      <c r="G227" s="4"/>
      <c r="H227" s="4">
        <f t="shared" si="3"/>
      </c>
    </row>
    <row r="228" spans="1:8">
      <c r="A228" s="2"/>
      <c r="E228">
        <f>VLOOKUP(TablaObra[[#This Row],[Equipo]],Catalogos!I$4:J$34,2,FALSE)</f>
      </c>
      <c r="F228" s="3"/>
      <c r="G228" s="4"/>
      <c r="H228" s="4">
        <f t="shared" si="3"/>
      </c>
    </row>
    <row r="229" spans="1:8">
      <c r="A229" s="2"/>
      <c r="E229">
        <f>VLOOKUP(TablaObra[[#This Row],[Equipo]],Catalogos!I$4:J$34,2,FALSE)</f>
      </c>
      <c r="F229" s="3"/>
      <c r="G229" s="4"/>
      <c r="H229" s="4">
        <f t="shared" si="3"/>
      </c>
    </row>
    <row r="230" spans="1:8">
      <c r="A230" s="2"/>
      <c r="E230">
        <f>VLOOKUP(TablaObra[[#This Row],[Equipo]],Catalogos!I$4:J$34,2,FALSE)</f>
      </c>
      <c r="F230" s="3"/>
      <c r="G230" s="4"/>
      <c r="H230" s="4">
        <f t="shared" si="3"/>
      </c>
    </row>
    <row r="231" spans="1:8">
      <c r="A231" s="2"/>
      <c r="E231">
        <f>VLOOKUP(TablaObra[[#This Row],[Equipo]],Catalogos!I$4:J$34,2,FALSE)</f>
      </c>
      <c r="F231" s="3"/>
      <c r="G231" s="4"/>
      <c r="H231" s="4">
        <f t="shared" si="3"/>
      </c>
    </row>
    <row r="232" spans="1:8">
      <c r="A232" s="2"/>
      <c r="E232">
        <f>VLOOKUP(TablaObra[[#This Row],[Equipo]],Catalogos!I$4:J$34,2,FALSE)</f>
      </c>
      <c r="F232" s="3"/>
      <c r="G232" s="4"/>
      <c r="H232" s="4">
        <f t="shared" si="3"/>
      </c>
    </row>
    <row r="233" spans="1:8">
      <c r="A233" s="2"/>
      <c r="E233">
        <f>VLOOKUP(TablaObra[[#This Row],[Equipo]],Catalogos!I$4:J$34,2,FALSE)</f>
      </c>
      <c r="F233" s="3"/>
      <c r="G233" s="4"/>
      <c r="H233" s="4">
        <f t="shared" si="3"/>
      </c>
    </row>
    <row r="234" spans="1:8">
      <c r="A234" s="2"/>
      <c r="E234">
        <f>VLOOKUP(TablaObra[[#This Row],[Equipo]],Catalogos!I$4:J$34,2,FALSE)</f>
      </c>
      <c r="F234" s="3"/>
      <c r="G234" s="4"/>
      <c r="H234" s="4">
        <f t="shared" si="3"/>
      </c>
    </row>
    <row r="235" spans="1:8">
      <c r="A235" s="2"/>
      <c r="E235">
        <f>VLOOKUP(TablaObra[[#This Row],[Equipo]],Catalogos!I$4:J$34,2,FALSE)</f>
      </c>
      <c r="F235" s="3"/>
      <c r="G235" s="4"/>
      <c r="H235" s="4">
        <f t="shared" si="3"/>
      </c>
    </row>
    <row r="236" spans="1:8">
      <c r="A236" s="2"/>
      <c r="E236">
        <f>VLOOKUP(TablaObra[[#This Row],[Equipo]],Catalogos!I$4:J$34,2,FALSE)</f>
      </c>
      <c r="F236" s="3"/>
      <c r="G236" s="4"/>
      <c r="H236" s="4">
        <f t="shared" si="3"/>
      </c>
    </row>
    <row r="237" spans="1:8">
      <c r="A237" s="2"/>
      <c r="E237">
        <f>VLOOKUP(TablaObra[[#This Row],[Equipo]],Catalogos!I$4:J$34,2,FALSE)</f>
      </c>
      <c r="F237" s="3"/>
      <c r="G237" s="4"/>
      <c r="H237" s="4">
        <f t="shared" si="3"/>
      </c>
    </row>
    <row r="238" spans="1:8">
      <c r="A238" s="2"/>
      <c r="E238">
        <f>VLOOKUP(TablaObra[[#This Row],[Equipo]],Catalogos!I$4:J$34,2,FALSE)</f>
      </c>
      <c r="F238" s="3"/>
      <c r="G238" s="4"/>
      <c r="H238" s="4">
        <f t="shared" si="3"/>
      </c>
    </row>
    <row r="239" spans="1:8">
      <c r="A239" s="2"/>
      <c r="E239">
        <f>VLOOKUP(TablaObra[[#This Row],[Equipo]],Catalogos!I$4:J$34,2,FALSE)</f>
      </c>
      <c r="F239" s="3"/>
      <c r="G239" s="4"/>
      <c r="H239" s="4">
        <f t="shared" si="3"/>
      </c>
    </row>
    <row r="240" spans="1:8">
      <c r="A240" s="2"/>
      <c r="E240">
        <f>VLOOKUP(TablaObra[[#This Row],[Equipo]],Catalogos!I$4:J$34,2,FALSE)</f>
      </c>
      <c r="F240" s="3"/>
      <c r="G240" s="4"/>
      <c r="H240" s="4">
        <f t="shared" si="3"/>
      </c>
    </row>
    <row r="241" spans="1:8">
      <c r="A241" s="2"/>
      <c r="E241">
        <f>VLOOKUP(TablaObra[[#This Row],[Equipo]],Catalogos!I$4:J$34,2,FALSE)</f>
      </c>
      <c r="F241" s="3"/>
      <c r="G241" s="4"/>
      <c r="H241" s="4">
        <f t="shared" si="3"/>
      </c>
    </row>
    <row r="242" spans="1:8">
      <c r="A242" s="2"/>
      <c r="E242">
        <f>VLOOKUP(TablaObra[[#This Row],[Equipo]],Catalogos!I$4:J$34,2,FALSE)</f>
      </c>
      <c r="F242" s="3"/>
      <c r="G242" s="4"/>
      <c r="H242" s="4">
        <f t="shared" si="3"/>
      </c>
    </row>
    <row r="243" spans="1:8">
      <c r="A243" s="2"/>
      <c r="E243">
        <f>VLOOKUP(TablaObra[[#This Row],[Equipo]],Catalogos!I$4:J$34,2,FALSE)</f>
      </c>
      <c r="F243" s="3"/>
      <c r="G243" s="4"/>
      <c r="H243" s="4">
        <f t="shared" si="3"/>
      </c>
    </row>
    <row r="244" spans="1:8">
      <c r="A244" s="2"/>
      <c r="E244">
        <f>VLOOKUP(TablaObra[[#This Row],[Equipo]],Catalogos!I$4:J$34,2,FALSE)</f>
      </c>
      <c r="F244" s="3"/>
      <c r="G244" s="4"/>
      <c r="H244" s="4">
        <f t="shared" si="3"/>
      </c>
    </row>
    <row r="245" spans="1:8">
      <c r="A245" s="2"/>
      <c r="E245">
        <f>VLOOKUP(TablaObra[[#This Row],[Equipo]],Catalogos!I$4:J$34,2,FALSE)</f>
      </c>
      <c r="F245" s="3"/>
      <c r="G245" s="4"/>
      <c r="H245" s="4">
        <f t="shared" si="3"/>
      </c>
    </row>
    <row r="246" spans="1:8">
      <c r="A246" s="2"/>
      <c r="E246">
        <f>VLOOKUP(TablaObra[[#This Row],[Equipo]],Catalogos!I$4:J$34,2,FALSE)</f>
      </c>
      <c r="F246" s="3"/>
      <c r="G246" s="4"/>
      <c r="H246" s="4">
        <f t="shared" si="3"/>
      </c>
    </row>
    <row r="247" spans="1:8">
      <c r="A247" s="2"/>
      <c r="E247">
        <f>VLOOKUP(TablaObra[[#This Row],[Equipo]],Catalogos!I$4:J$34,2,FALSE)</f>
      </c>
      <c r="F247" s="3"/>
      <c r="G247" s="4"/>
      <c r="H247" s="4">
        <f t="shared" si="3"/>
      </c>
    </row>
    <row r="248" spans="1:8">
      <c r="A248" s="2"/>
      <c r="E248">
        <f>VLOOKUP(TablaObra[[#This Row],[Equipo]],Catalogos!I$4:J$34,2,FALSE)</f>
      </c>
      <c r="F248" s="3"/>
      <c r="G248" s="4"/>
      <c r="H248" s="4">
        <f t="shared" si="3"/>
      </c>
    </row>
    <row r="249" spans="1:8">
      <c r="A249" s="2"/>
      <c r="E249">
        <f>VLOOKUP(TablaObra[[#This Row],[Equipo]],Catalogos!I$4:J$34,2,FALSE)</f>
      </c>
      <c r="F249" s="3"/>
      <c r="G249" s="4"/>
      <c r="H249" s="4">
        <f t="shared" si="3"/>
      </c>
    </row>
    <row r="250" spans="1:8">
      <c r="A250" s="2"/>
      <c r="E250">
        <f>VLOOKUP(TablaObra[[#This Row],[Equipo]],Catalogos!I$4:J$34,2,FALSE)</f>
      </c>
      <c r="F250" s="3"/>
      <c r="G250" s="4"/>
      <c r="H250" s="4">
        <f t="shared" si="3"/>
      </c>
    </row>
    <row r="251" spans="1:8">
      <c r="A251" s="2"/>
      <c r="E251">
        <f>VLOOKUP(TablaObra[[#This Row],[Equipo]],Catalogos!I$4:J$34,2,FALSE)</f>
      </c>
      <c r="F251" s="3"/>
      <c r="G251" s="4"/>
      <c r="H251" s="4">
        <f t="shared" si="3"/>
      </c>
    </row>
    <row r="252" spans="1:8">
      <c r="A252" s="2"/>
      <c r="E252">
        <f>VLOOKUP(TablaObra[[#This Row],[Equipo]],Catalogos!I$4:J$34,2,FALSE)</f>
      </c>
      <c r="F252" s="3"/>
      <c r="G252" s="4"/>
      <c r="H252" s="4">
        <f t="shared" si="3"/>
      </c>
    </row>
    <row r="253" spans="1:8">
      <c r="A253" s="2"/>
      <c r="E253">
        <f>VLOOKUP(TablaObra[[#This Row],[Equipo]],Catalogos!I$4:J$34,2,FALSE)</f>
      </c>
      <c r="F253" s="3"/>
      <c r="G253" s="4"/>
      <c r="H253" s="4">
        <f t="shared" si="3"/>
      </c>
    </row>
    <row r="254" spans="1:8">
      <c r="A254" s="2"/>
      <c r="E254">
        <f>VLOOKUP(TablaObra[[#This Row],[Equipo]],Catalogos!I$4:J$34,2,FALSE)</f>
      </c>
      <c r="F254" s="3"/>
      <c r="G254" s="4"/>
      <c r="H254" s="4">
        <f t="shared" si="3"/>
      </c>
    </row>
    <row r="255" spans="1:8">
      <c r="A255" s="2"/>
      <c r="E255">
        <f>VLOOKUP(TablaObra[[#This Row],[Equipo]],Catalogos!I$4:J$34,2,FALSE)</f>
      </c>
      <c r="F255" s="3"/>
      <c r="G255" s="4"/>
      <c r="H255" s="4">
        <f t="shared" si="3"/>
      </c>
    </row>
    <row r="256" spans="1:8">
      <c r="A256" s="2"/>
      <c r="E256">
        <f>VLOOKUP(TablaObra[[#This Row],[Equipo]],Catalogos!I$4:J$34,2,FALSE)</f>
      </c>
      <c r="F256" s="3"/>
      <c r="G256" s="4"/>
      <c r="H256" s="4">
        <f t="shared" si="3"/>
      </c>
    </row>
    <row r="257" spans="1:8">
      <c r="A257" s="2"/>
      <c r="E257">
        <f>VLOOKUP(TablaObra[[#This Row],[Equipo]],Catalogos!I$4:J$34,2,FALSE)</f>
      </c>
      <c r="F257" s="3"/>
      <c r="G257" s="4"/>
      <c r="H257" s="4">
        <f t="shared" si="3"/>
      </c>
    </row>
    <row r="258" spans="1:8">
      <c r="A258" s="2"/>
      <c r="E258">
        <f>VLOOKUP(TablaObra[[#This Row],[Equipo]],Catalogos!I$4:J$34,2,FALSE)</f>
      </c>
      <c r="F258" s="3"/>
      <c r="G258" s="4"/>
      <c r="H258" s="4">
        <f t="shared" si="3"/>
      </c>
    </row>
    <row r="259" spans="1:8">
      <c r="A259" s="2"/>
      <c r="E259">
        <f>VLOOKUP(TablaObra[[#This Row],[Equipo]],Catalogos!I$4:J$34,2,FALSE)</f>
      </c>
      <c r="F259" s="3"/>
      <c r="G259" s="4"/>
      <c r="H259" s="4">
        <f t="shared" si="3"/>
      </c>
    </row>
    <row r="260" spans="1:8">
      <c r="A260" s="2"/>
      <c r="E260">
        <f>VLOOKUP(TablaObra[[#This Row],[Equipo]],Catalogos!I$4:J$34,2,FALSE)</f>
      </c>
      <c r="F260" s="3"/>
      <c r="G260" s="4"/>
      <c r="H260" s="4">
        <f t="shared" si="3"/>
      </c>
    </row>
    <row r="261" spans="1:8">
      <c r="A261" s="2"/>
      <c r="E261">
        <f>VLOOKUP(TablaObra[[#This Row],[Equipo]],Catalogos!I$4:J$34,2,FALSE)</f>
      </c>
      <c r="F261" s="3"/>
      <c r="G261" s="4"/>
      <c r="H261" s="4">
        <f t="shared" ref="H261:H304" si="4">IFERROR(F261*G261,0)</f>
      </c>
    </row>
    <row r="262" spans="1:8">
      <c r="A262" s="2"/>
      <c r="E262">
        <f>VLOOKUP(TablaObra[[#This Row],[Equipo]],Catalogos!I$4:J$34,2,FALSE)</f>
      </c>
      <c r="F262" s="3"/>
      <c r="G262" s="4"/>
      <c r="H262" s="4">
        <f t="shared" si="4"/>
      </c>
    </row>
    <row r="263" spans="1:8">
      <c r="A263" s="2"/>
      <c r="E263">
        <f>VLOOKUP(TablaObra[[#This Row],[Equipo]],Catalogos!I$4:J$34,2,FALSE)</f>
      </c>
      <c r="F263" s="3"/>
      <c r="G263" s="4"/>
      <c r="H263" s="4">
        <f t="shared" si="4"/>
      </c>
    </row>
    <row r="264" spans="1:8">
      <c r="A264" s="2"/>
      <c r="E264">
        <f>VLOOKUP(TablaObra[[#This Row],[Equipo]],Catalogos!I$4:J$34,2,FALSE)</f>
      </c>
      <c r="F264" s="3"/>
      <c r="G264" s="4"/>
      <c r="H264" s="4">
        <f t="shared" si="4"/>
      </c>
    </row>
    <row r="265" spans="1:8">
      <c r="A265" s="2"/>
      <c r="E265">
        <f>VLOOKUP(TablaObra[[#This Row],[Equipo]],Catalogos!I$4:J$34,2,FALSE)</f>
      </c>
      <c r="F265" s="3"/>
      <c r="G265" s="4"/>
      <c r="H265" s="4">
        <f t="shared" si="4"/>
      </c>
    </row>
    <row r="266" spans="1:8">
      <c r="A266" s="2"/>
      <c r="E266">
        <f>VLOOKUP(TablaObra[[#This Row],[Equipo]],Catalogos!I$4:J$34,2,FALSE)</f>
      </c>
      <c r="F266" s="3"/>
      <c r="G266" s="4"/>
      <c r="H266" s="4">
        <f t="shared" si="4"/>
      </c>
    </row>
    <row r="267" spans="1:8">
      <c r="A267" s="2"/>
      <c r="E267">
        <f>VLOOKUP(TablaObra[[#This Row],[Equipo]],Catalogos!I$4:J$34,2,FALSE)</f>
      </c>
      <c r="F267" s="3"/>
      <c r="G267" s="4"/>
      <c r="H267" s="4">
        <f t="shared" si="4"/>
      </c>
    </row>
    <row r="268" spans="1:8">
      <c r="A268" s="2"/>
      <c r="E268">
        <f>VLOOKUP(TablaObra[[#This Row],[Equipo]],Catalogos!I$4:J$34,2,FALSE)</f>
      </c>
      <c r="F268" s="3"/>
      <c r="G268" s="4"/>
      <c r="H268" s="4">
        <f t="shared" si="4"/>
      </c>
    </row>
    <row r="269" spans="1:8">
      <c r="A269" s="2"/>
      <c r="E269">
        <f>VLOOKUP(TablaObra[[#This Row],[Equipo]],Catalogos!I$4:J$34,2,FALSE)</f>
      </c>
      <c r="F269" s="3"/>
      <c r="G269" s="4"/>
      <c r="H269" s="4">
        <f t="shared" si="4"/>
      </c>
    </row>
    <row r="270" spans="1:8">
      <c r="A270" s="2"/>
      <c r="E270">
        <f>VLOOKUP(TablaObra[[#This Row],[Equipo]],Catalogos!I$4:J$34,2,FALSE)</f>
      </c>
      <c r="F270" s="3"/>
      <c r="G270" s="4"/>
      <c r="H270" s="4">
        <f t="shared" si="4"/>
      </c>
    </row>
    <row r="271" spans="1:8">
      <c r="A271" s="2"/>
      <c r="E271">
        <f>VLOOKUP(TablaObra[[#This Row],[Equipo]],Catalogos!I$4:J$34,2,FALSE)</f>
      </c>
      <c r="F271" s="3"/>
      <c r="G271" s="4"/>
      <c r="H271" s="4">
        <f t="shared" si="4"/>
      </c>
    </row>
    <row r="272" spans="1:8">
      <c r="A272" s="2"/>
      <c r="E272">
        <f>VLOOKUP(TablaObra[[#This Row],[Equipo]],Catalogos!I$4:J$34,2,FALSE)</f>
      </c>
      <c r="F272" s="3"/>
      <c r="G272" s="4"/>
      <c r="H272" s="4">
        <f t="shared" si="4"/>
      </c>
    </row>
    <row r="273" spans="1:8">
      <c r="A273" s="2"/>
      <c r="E273">
        <f>VLOOKUP(TablaObra[[#This Row],[Equipo]],Catalogos!I$4:J$34,2,FALSE)</f>
      </c>
      <c r="F273" s="3"/>
      <c r="G273" s="4"/>
      <c r="H273" s="4">
        <f t="shared" si="4"/>
      </c>
    </row>
    <row r="274" spans="1:8">
      <c r="A274" s="2"/>
      <c r="E274">
        <f>VLOOKUP(TablaObra[[#This Row],[Equipo]],Catalogos!I$4:J$34,2,FALSE)</f>
      </c>
      <c r="F274" s="3"/>
      <c r="G274" s="4"/>
      <c r="H274" s="4">
        <f t="shared" si="4"/>
      </c>
    </row>
    <row r="275" spans="1:8">
      <c r="A275" s="2"/>
      <c r="E275">
        <f>VLOOKUP(TablaObra[[#This Row],[Equipo]],Catalogos!I$4:J$34,2,FALSE)</f>
      </c>
      <c r="F275" s="3"/>
      <c r="G275" s="4"/>
      <c r="H275" s="4">
        <f t="shared" si="4"/>
      </c>
    </row>
    <row r="276" spans="1:8">
      <c r="A276" s="2"/>
      <c r="E276">
        <f>VLOOKUP(TablaObra[[#This Row],[Equipo]],Catalogos!I$4:J$34,2,FALSE)</f>
      </c>
      <c r="F276" s="3"/>
      <c r="G276" s="4"/>
      <c r="H276" s="4">
        <f t="shared" si="4"/>
      </c>
    </row>
    <row r="277" spans="1:8">
      <c r="A277" s="2"/>
      <c r="E277">
        <f>VLOOKUP(TablaObra[[#This Row],[Equipo]],Catalogos!I$4:J$34,2,FALSE)</f>
      </c>
      <c r="F277" s="3"/>
      <c r="G277" s="4"/>
      <c r="H277" s="4">
        <f t="shared" si="4"/>
      </c>
    </row>
    <row r="278" spans="1:8">
      <c r="A278" s="2"/>
      <c r="E278">
        <f>VLOOKUP(TablaObra[[#This Row],[Equipo]],Catalogos!I$4:J$34,2,FALSE)</f>
      </c>
      <c r="F278" s="3"/>
      <c r="G278" s="4"/>
      <c r="H278" s="4">
        <f t="shared" si="4"/>
      </c>
    </row>
    <row r="279" spans="1:8">
      <c r="A279" s="2"/>
      <c r="E279">
        <f>VLOOKUP(TablaObra[[#This Row],[Equipo]],Catalogos!I$4:J$34,2,FALSE)</f>
      </c>
      <c r="F279" s="3"/>
      <c r="G279" s="4"/>
      <c r="H279" s="4">
        <f t="shared" si="4"/>
      </c>
    </row>
    <row r="280" spans="1:8">
      <c r="A280" s="2"/>
      <c r="E280">
        <f>VLOOKUP(TablaObra[[#This Row],[Equipo]],Catalogos!I$4:J$34,2,FALSE)</f>
      </c>
      <c r="F280" s="3"/>
      <c r="G280" s="4"/>
      <c r="H280" s="4">
        <f t="shared" si="4"/>
      </c>
    </row>
    <row r="281" spans="1:8">
      <c r="A281" s="2"/>
      <c r="E281">
        <f>VLOOKUP(TablaObra[[#This Row],[Equipo]],Catalogos!I$4:J$34,2,FALSE)</f>
      </c>
      <c r="F281" s="3"/>
      <c r="G281" s="4"/>
      <c r="H281" s="4">
        <f t="shared" si="4"/>
      </c>
    </row>
    <row r="282" spans="1:8">
      <c r="A282" s="2"/>
      <c r="E282">
        <f>VLOOKUP(TablaObra[[#This Row],[Equipo]],Catalogos!I$4:J$34,2,FALSE)</f>
      </c>
      <c r="F282" s="3"/>
      <c r="G282" s="4"/>
      <c r="H282" s="4">
        <f t="shared" si="4"/>
      </c>
    </row>
    <row r="283" spans="1:8">
      <c r="A283" s="2"/>
      <c r="E283">
        <f>VLOOKUP(TablaObra[[#This Row],[Equipo]],Catalogos!I$4:J$34,2,FALSE)</f>
      </c>
      <c r="F283" s="3"/>
      <c r="G283" s="4"/>
      <c r="H283" s="4">
        <f t="shared" si="4"/>
      </c>
    </row>
    <row r="284" spans="1:8">
      <c r="A284" s="2"/>
      <c r="E284">
        <f>VLOOKUP(TablaObra[[#This Row],[Equipo]],Catalogos!I$4:J$34,2,FALSE)</f>
      </c>
      <c r="F284" s="3"/>
      <c r="G284" s="4"/>
      <c r="H284" s="4">
        <f t="shared" si="4"/>
      </c>
    </row>
    <row r="285" spans="1:8">
      <c r="A285" s="2"/>
      <c r="E285">
        <f>VLOOKUP(TablaObra[[#This Row],[Equipo]],Catalogos!I$4:J$34,2,FALSE)</f>
      </c>
      <c r="F285" s="3"/>
      <c r="G285" s="4"/>
      <c r="H285" s="4">
        <f t="shared" si="4"/>
      </c>
    </row>
    <row r="286" spans="1:8">
      <c r="A286" s="2"/>
      <c r="E286">
        <f>VLOOKUP(TablaObra[[#This Row],[Equipo]],Catalogos!I$4:J$34,2,FALSE)</f>
      </c>
      <c r="F286" s="3"/>
      <c r="G286" s="4"/>
      <c r="H286" s="4">
        <f t="shared" si="4"/>
      </c>
    </row>
    <row r="287" spans="1:8">
      <c r="A287" s="2"/>
      <c r="E287">
        <f>VLOOKUP(TablaObra[[#This Row],[Equipo]],Catalogos!I$4:J$34,2,FALSE)</f>
      </c>
      <c r="F287" s="3"/>
      <c r="G287" s="4"/>
      <c r="H287" s="4">
        <f t="shared" si="4"/>
      </c>
    </row>
    <row r="288" spans="1:8">
      <c r="A288" s="2"/>
      <c r="E288">
        <f>VLOOKUP(TablaObra[[#This Row],[Equipo]],Catalogos!I$4:J$34,2,FALSE)</f>
      </c>
      <c r="F288" s="3"/>
      <c r="G288" s="4"/>
      <c r="H288" s="4">
        <f t="shared" si="4"/>
      </c>
    </row>
    <row r="289" spans="1:8">
      <c r="A289" s="2"/>
      <c r="E289">
        <f>VLOOKUP(TablaObra[[#This Row],[Equipo]],Catalogos!I$4:J$34,2,FALSE)</f>
      </c>
      <c r="F289" s="3"/>
      <c r="G289" s="4"/>
      <c r="H289" s="4">
        <f t="shared" si="4"/>
      </c>
    </row>
    <row r="290" spans="1:8">
      <c r="A290" s="2"/>
      <c r="E290">
        <f>VLOOKUP(TablaObra[[#This Row],[Equipo]],Catalogos!I$4:J$34,2,FALSE)</f>
      </c>
      <c r="F290" s="3"/>
      <c r="G290" s="4"/>
      <c r="H290" s="4">
        <f t="shared" si="4"/>
      </c>
    </row>
    <row r="291" spans="1:8">
      <c r="A291" s="2"/>
      <c r="E291">
        <f>VLOOKUP(TablaObra[[#This Row],[Equipo]],Catalogos!I$4:J$34,2,FALSE)</f>
      </c>
      <c r="F291" s="3"/>
      <c r="G291" s="4"/>
      <c r="H291" s="4">
        <f t="shared" si="4"/>
      </c>
    </row>
    <row r="292" spans="1:8">
      <c r="A292" s="2"/>
      <c r="E292">
        <f>VLOOKUP(TablaObra[[#This Row],[Equipo]],Catalogos!I$4:J$34,2,FALSE)</f>
      </c>
      <c r="F292" s="3"/>
      <c r="G292" s="4"/>
      <c r="H292" s="4">
        <f t="shared" si="4"/>
      </c>
    </row>
    <row r="293" spans="1:8">
      <c r="A293" s="2"/>
      <c r="E293">
        <f>VLOOKUP(TablaObra[[#This Row],[Equipo]],Catalogos!I$4:J$34,2,FALSE)</f>
      </c>
      <c r="F293" s="3"/>
      <c r="G293" s="4"/>
      <c r="H293" s="4">
        <f t="shared" si="4"/>
      </c>
    </row>
    <row r="294" spans="1:8">
      <c r="A294" s="2"/>
      <c r="E294">
        <f>VLOOKUP(TablaObra[[#This Row],[Equipo]],Catalogos!I$4:J$34,2,FALSE)</f>
      </c>
      <c r="F294" s="3"/>
      <c r="G294" s="4"/>
      <c r="H294" s="4">
        <f t="shared" si="4"/>
      </c>
    </row>
    <row r="295" spans="1:8">
      <c r="A295" s="2"/>
      <c r="E295">
        <f>VLOOKUP(TablaObra[[#This Row],[Equipo]],Catalogos!I$4:J$34,2,FALSE)</f>
      </c>
      <c r="F295" s="3"/>
      <c r="G295" s="4"/>
      <c r="H295" s="4">
        <f t="shared" si="4"/>
      </c>
    </row>
    <row r="296" spans="1:8">
      <c r="A296" s="2"/>
      <c r="E296">
        <f>VLOOKUP(TablaObra[[#This Row],[Equipo]],Catalogos!I$4:J$34,2,FALSE)</f>
      </c>
      <c r="F296" s="3"/>
      <c r="G296" s="4"/>
      <c r="H296" s="4">
        <f t="shared" si="4"/>
      </c>
    </row>
    <row r="297" spans="1:8">
      <c r="A297" s="2"/>
      <c r="E297">
        <f>VLOOKUP(TablaObra[[#This Row],[Equipo]],Catalogos!I$4:J$34,2,FALSE)</f>
      </c>
      <c r="F297" s="3"/>
      <c r="G297" s="4"/>
      <c r="H297" s="4">
        <f t="shared" si="4"/>
      </c>
    </row>
    <row r="298" spans="1:8">
      <c r="A298" s="2"/>
      <c r="E298">
        <f>VLOOKUP(TablaObra[[#This Row],[Equipo]],Catalogos!I$4:J$34,2,FALSE)</f>
      </c>
      <c r="F298" s="3"/>
      <c r="G298" s="4"/>
      <c r="H298" s="4">
        <f t="shared" si="4"/>
      </c>
    </row>
    <row r="299" spans="1:8">
      <c r="A299" s="2"/>
      <c r="E299">
        <f>VLOOKUP(TablaObra[[#This Row],[Equipo]],Catalogos!I$4:J$34,2,FALSE)</f>
      </c>
      <c r="F299" s="3"/>
      <c r="G299" s="4"/>
      <c r="H299" s="4">
        <f t="shared" si="4"/>
      </c>
    </row>
    <row r="300" spans="1:8">
      <c r="A300" s="2"/>
      <c r="E300">
        <f>VLOOKUP(TablaObra[[#This Row],[Equipo]],Catalogos!I$4:J$34,2,FALSE)</f>
      </c>
      <c r="F300" s="3"/>
      <c r="G300" s="4"/>
      <c r="H300" s="4">
        <f t="shared" si="4"/>
      </c>
    </row>
    <row r="301" spans="1:8">
      <c r="A301" s="2"/>
      <c r="E301">
        <f>VLOOKUP(TablaObra[[#This Row],[Equipo]],Catalogos!I$4:J$34,2,FALSE)</f>
      </c>
      <c r="F301" s="3"/>
      <c r="G301" s="4"/>
      <c r="H301" s="4">
        <f t="shared" si="4"/>
      </c>
    </row>
    <row r="302" spans="1:8">
      <c r="A302" s="2"/>
      <c r="E302">
        <f>VLOOKUP(TablaObra[[#This Row],[Equipo]],Catalogos!I$4:J$34,2,FALSE)</f>
      </c>
      <c r="F302" s="3"/>
      <c r="G302" s="4"/>
      <c r="H302" s="4">
        <f t="shared" si="4"/>
      </c>
    </row>
    <row r="303" spans="1:8">
      <c r="A303" s="2"/>
      <c r="E303">
        <f>VLOOKUP(TablaObra[[#This Row],[Equipo]],Catalogos!I$4:J$34,2,FALSE)</f>
      </c>
      <c r="F303" s="3"/>
      <c r="G303" s="4"/>
      <c r="H303" s="4">
        <f t="shared" si="4"/>
      </c>
    </row>
    <row r="304" spans="1:8">
      <c r="A304" s="2"/>
      <c r="E304">
        <f>VLOOKUP(TablaObra[[#This Row],[Equipo]],Catalogos!I$4:J$34,2,FALSE)</f>
      </c>
      <c r="F304" s="3"/>
      <c r="G304" s="4"/>
      <c r="H304" s="4">
        <f t="shared" si="4"/>
      </c>
    </row>
  </sheetData>
  <mergeCells count="1">
    <mergeCell ref="A1:K1"/>
  </mergeCells>
  <phoneticPr fontId="4" type="noConversion"/>
  <dataValidations count="2">
    <dataValidation type="list" sqref="C5:C304" xr:uid="{00000000-0002-0000-0300-000001000000}">
      <formula1>"Marimba M-01,Pegaso Directo,Otro"</formula1>
    </dataValidation>
    <dataValidation type="list" sqref="J5:J304" xr:uid="{00000000-0002-0000-0300-000003000000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Catalogos!$B$4:$B$7</xm:f>
          </x14:formula1>
          <xm:sqref>B5:B16 B20:B30 B34:B36 B53:B304 B38:B43</xm:sqref>
        </x14:dataValidation>
        <x14:dataValidation type="list" xr:uid="{00000000-0002-0000-0300-000002000000}">
          <x14:formula1>
            <xm:f>Catalogos!$J$4:$J$18</xm:f>
          </x14:formula1>
          <xm:sqref>E5:E304</xm:sqref>
        </x14:dataValidation>
        <x14:dataValidation type="list" allowBlank="1" showInputMessage="1" showErrorMessage="1" xr:uid="{0213A8B7-428E-4AE7-8F37-5C74E56EF22F}">
          <x14:formula1>
            <xm:f>Catalogos!$I$4:$I$34</xm:f>
          </x14:formula1>
          <xm:sqref>D5:D16 D20:D30 D34:D36 D38:D43 D53:D64</xm:sqref>
        </x14:dataValidation>
        <x14:dataValidation type="list" allowBlank="1" showInputMessage="1" showErrorMessage="1" xr:uid="{2900498E-9E6E-4E60-8E33-7E6D2B9F4253}">
          <x14:formula1>
            <xm:f>Catalogos!$B$4:$B$10</xm:f>
          </x14:formula1>
          <xm:sqref>B17:B19 B31:B33 B37 B44:B52</xm:sqref>
        </x14:dataValidation>
        <x14:dataValidation type="list" xr:uid="{BB7DC188-A8F4-4AD4-83EB-ADE54C2DEA41}">
          <x14:formula1>
            <xm:f>Catalogos!$I$4:$I$34</xm:f>
          </x14:formula1>
          <xm:sqref>D17:D19 D31:D33 D37 D44:D52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workbookViewId="0">
      <selection activeCell="F13" sqref="F13"/>
    </sheetView>
  </sheetViews>
  <sheetFormatPr baseColWidth="10" defaultColWidth="8.796875" defaultRowHeight="13.8"/>
  <cols>
    <col min="1" max="1" width="32" customWidth="1"/>
    <col min="2" max="3" width="18" customWidth="1"/>
    <col min="4" max="4" width="14" customWidth="1"/>
    <col min="5" max="8" width="16" customWidth="1"/>
  </cols>
  <sheetData>
    <row r="1" spans="1:8" ht="22.35" customHeight="1">
      <c r="A1" t="s" s="17">
        <v>55</v>
      </c>
      <c r="B1" s="18"/>
      <c r="C1" s="18"/>
      <c r="D1" s="18"/>
      <c r="E1" s="18"/>
      <c r="F1" s="18"/>
      <c r="G1" s="18"/>
      <c r="H1" s="18"/>
    </row>
    <row r="3" spans="1:8">
      <c r="A3" t="s" s="1">
        <v>56</v>
      </c>
      <c r="B3" t="s" s="1">
        <v>2</v>
      </c>
    </row>
    <row r="4" spans="1:8">
      <c r="A4" t="s">
        <v>57</v>
      </c>
      <c r="B4" s="3">
        <f>SUM(Captura_Pegaso!G5:G206)</f>
      </c>
    </row>
    <row r="5" spans="1:8">
      <c r="A5" t="s">
        <v>58</v>
      </c>
      <c r="B5" s="3">
        <f>SUMIF(Captura_Pegaso!B5:B206,"Salida a Marimba",Captura_Pegaso!H5:H206)</f>
      </c>
    </row>
    <row r="6" spans="1:8">
      <c r="A6" t="s">
        <v>59</v>
      </c>
      <c r="B6" s="3">
        <f>SUMIF(Captura_Pegaso!B5:B206,"Salida Directa Máquina",Captura_Pegaso!H5:H206)</f>
      </c>
    </row>
    <row r="7" spans="1:8">
      <c r="A7" t="s">
        <v>60</v>
      </c>
      <c r="B7" s="3">
        <f>SUMIF(Captura_Marimba_M01!B5:B204,"Entrada desde Pegaso",Captura_Marimba_M01!F5:F204)</f>
      </c>
    </row>
    <row r="8" spans="1:8">
      <c r="A8" t="s">
        <v>61</v>
      </c>
      <c r="B8" s="3">
        <f>SUMIF(Captura_Marimba_M01!B5:B204,"Salida a Obra",Captura_Marimba_M01!G5:G204)</f>
      </c>
      <c r="C8" s="3"/>
    </row>
    <row r="9" spans="1:8">
      <c r="A9" t="s">
        <v>62</v>
      </c>
      <c r="B9" s="3">
        <f>SUM(Captura_Obra!F5:F304)</f>
      </c>
    </row>
    <row r="10" spans="1:8">
      <c r="A10" t="s">
        <v>63</v>
      </c>
      <c r="B10" s="3">
        <f>B5-B7</f>
      </c>
    </row>
    <row r="11" spans="1:8">
      <c r="A11" t="s">
        <v>64</v>
      </c>
      <c r="B11" s="3">
        <f>B8-(B9-B6)</f>
      </c>
    </row>
    <row r="12" spans="1:8">
      <c r="A12" t="s">
        <v>65</v>
      </c>
      <c r="B12" s="3">
        <f>B10+B11</f>
      </c>
    </row>
    <row r="13" spans="1:8">
      <c r="B13" s="3"/>
    </row>
    <row r="14" spans="1:8">
      <c r="A14" t="s" s="1">
        <v>3</v>
      </c>
      <c r="B14" t="s" s="5">
        <v>52</v>
      </c>
      <c r="C14" t="s" s="1">
        <v>4</v>
      </c>
      <c r="D14" t="s" s="1">
        <v>66</v>
      </c>
    </row>
    <row r="15" spans="1:8">
      <c r="A15" t="s">
        <v>6</v>
      </c>
      <c r="B15" s="3">
        <f>SUMIF(Captura_Obra!B:B,A15,Captura_Obra!F:F)</f>
      </c>
      <c r="C15" s="4">
        <f>SUMIF(Captura_Obra!B:B,A15,Captura_Obra!H:H)</f>
      </c>
      <c r="D15" s="6">
        <f>IFERROR(B15/$B$21,0)</f>
      </c>
    </row>
    <row r="16" spans="1:8">
      <c r="A16" t="s">
        <v>8</v>
      </c>
      <c r="B16" s="3">
        <f>SUMIF(Captura_Obra!B:B,A16,Captura_Obra!F:F)</f>
      </c>
      <c r="C16" s="4">
        <f>SUMIF(Captura_Obra!B:B,A16,Captura_Obra!H:H)</f>
      </c>
      <c r="D16" s="6">
        <f>IFERROR(B16/$B$21,0)</f>
      </c>
    </row>
    <row r="17" spans="1:8">
      <c r="A17" t="s">
        <v>10</v>
      </c>
      <c r="B17" s="3">
        <f>SUMIF(Captura_Obra!B:B,A17,Captura_Obra!F:F)</f>
      </c>
      <c r="C17" s="4">
        <f>SUMIF(Captura_Obra!B:B,A17,Captura_Obra!H:H)</f>
      </c>
      <c r="D17" s="6">
        <f>IFERROR(B17/$B$21,0)</f>
      </c>
    </row>
    <row r="18" spans="1:8">
      <c r="A18" t="s">
        <v>210</v>
      </c>
      <c r="B18" s="3">
        <f>SUMIF(Captura_Obra!B:B,A18,Captura_Obra!F:F)</f>
      </c>
      <c r="C18" s="4">
        <f>SUMIF(Captura_Obra!B:B,A18,Captura_Obra!H:H)</f>
      </c>
      <c r="D18" s="6">
        <f t="shared" ref="D18:D20" si="0">IFERROR(B18/$B$21,0)</f>
      </c>
    </row>
    <row r="19" spans="1:8">
      <c r="A19" t="s">
        <v>214</v>
      </c>
      <c r="B19" s="3">
        <f>SUMIF(Captura_Obra!B:B,A19,Captura_Obra!F:F)</f>
      </c>
      <c r="C19" s="4">
        <f>SUMIF(Captura_Obra!B:B,A19,Captura_Obra!H:H)</f>
      </c>
      <c r="D19" s="6">
        <f t="shared" si="0"/>
      </c>
    </row>
    <row r="20" spans="1:8">
      <c r="A20" t="s" s="9">
        <v>224</v>
      </c>
      <c r="B20" s="3">
        <f>SUMIF(Captura_Obra!B:B,A20,Captura_Obra!F:F)</f>
      </c>
      <c r="C20" s="4">
        <f>SUMIF(Captura_Obra!B:B,A20,Captura_Obra!H:H)</f>
      </c>
      <c r="D20" s="6">
        <f t="shared" si="0"/>
      </c>
    </row>
    <row r="21" spans="1:8">
      <c r="A21" t="s">
        <v>12</v>
      </c>
      <c r="B21" s="3">
        <f>SUM(B15:B20)</f>
      </c>
      <c r="C21" s="4">
        <f>SUM(C15:C20)</f>
      </c>
      <c r="D21" s="6">
        <f>SUM(D15:D20)</f>
      </c>
    </row>
    <row r="23" spans="1:8">
      <c r="A23" t="s" s="1">
        <v>67</v>
      </c>
      <c r="B23" s="1"/>
      <c r="C23" s="1"/>
      <c r="D23" s="1"/>
      <c r="E23" s="1"/>
      <c r="F23" s="1"/>
      <c r="G23" s="1"/>
      <c r="H23" s="1"/>
    </row>
    <row r="24" spans="1:8">
      <c r="A24" t="s">
        <v>68</v>
      </c>
      <c r="C24" t="s">
        <v>28</v>
      </c>
      <c r="E24" t="s">
        <v>69</v>
      </c>
      <c r="G24" t="s">
        <v>37</v>
      </c>
    </row>
    <row r="25" spans="1:8">
      <c r="E25" t="s">
        <v>70</v>
      </c>
    </row>
    <row r="26" spans="1:8">
      <c r="A26" t="s">
        <v>71</v>
      </c>
    </row>
  </sheetData>
  <mergeCells count="1">
    <mergeCell ref="A1:H1"/>
  </mergeCells>
  <conditionalFormatting sqref="B10:B12">
    <cfRule type="expression" dxfId="0" priority="1">
      <formula>B10&lt;&gt;0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/>
  <sheetViews>
    <sheetView workbookViewId="0">
      <selection activeCell="B8" sqref="B8:B10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22" customWidth="1"/>
    <col min="10" max="10" width="12.09765625" customWidth="1"/>
  </cols>
  <sheetData>
    <row r="1" spans="1:10" ht="22.35" customHeight="1">
      <c r="A1" t="s" s="17">
        <v>72</v>
      </c>
      <c r="B1" s="18"/>
      <c r="C1" s="18"/>
      <c r="D1" s="18"/>
      <c r="E1" s="18"/>
      <c r="F1" s="18"/>
      <c r="G1" s="18"/>
      <c r="H1" s="18"/>
      <c r="I1" s="18"/>
      <c r="K1" s="368"/>
      <c r="L1" s="369"/>
    </row>
    <row r="2">
      <c r="K2" t="s" s="336">
        <v>278</v>
      </c>
      <c r="L2" t="s" s="337">
        <v>279</v>
      </c>
    </row>
    <row r="3" spans="1:10">
      <c r="A3" t="s" s="1">
        <v>73</v>
      </c>
      <c r="B3" t="s" s="1">
        <v>3</v>
      </c>
      <c r="C3" t="s" s="1">
        <v>204</v>
      </c>
      <c r="E3" t="s" s="1">
        <v>74</v>
      </c>
      <c r="F3" t="s" s="1">
        <v>75</v>
      </c>
      <c r="I3" t="s" s="1">
        <v>76</v>
      </c>
      <c r="J3" t="s" s="1">
        <v>46</v>
      </c>
      <c r="K3" s="370"/>
      <c r="L3" s="371"/>
    </row>
    <row r="4" spans="1:10">
      <c r="A4" t="s">
        <v>77</v>
      </c>
      <c r="B4" t="s">
        <v>6</v>
      </c>
      <c r="C4" t="s">
        <v>205</v>
      </c>
      <c r="E4" t="s">
        <v>78</v>
      </c>
      <c r="F4" t="s">
        <v>79</v>
      </c>
      <c r="I4" t="s">
        <v>81</v>
      </c>
      <c r="J4" t="s">
        <v>80</v>
      </c>
      <c r="K4" t="s" s="372">
        <v>6</v>
      </c>
      <c r="L4" s="338">
        <v>46181</v>
      </c>
    </row>
    <row r="5" spans="1:10">
      <c r="A5" t="s">
        <v>82</v>
      </c>
      <c r="B5" t="s">
        <v>8</v>
      </c>
      <c r="C5" t="s">
        <v>206</v>
      </c>
      <c r="E5" t="s">
        <v>83</v>
      </c>
      <c r="F5" t="s">
        <v>84</v>
      </c>
      <c r="I5" t="s">
        <v>86</v>
      </c>
      <c r="J5" t="s">
        <v>85</v>
      </c>
      <c r="K5" t="s" s="373">
        <v>8</v>
      </c>
      <c r="L5" s="339">
        <v>46188</v>
      </c>
    </row>
    <row r="6" spans="1:10">
      <c r="A6" t="s">
        <v>220</v>
      </c>
      <c r="B6" t="s">
        <v>213</v>
      </c>
      <c r="E6" t="s">
        <v>221</v>
      </c>
      <c r="F6" t="s">
        <v>214</v>
      </c>
      <c r="I6" t="s">
        <v>91</v>
      </c>
      <c r="J6" t="s">
        <v>90</v>
      </c>
      <c r="K6" t="s" s="374">
        <v>10</v>
      </c>
      <c r="L6" s="340">
        <v>46195</v>
      </c>
    </row>
    <row r="7" spans="1:10">
      <c r="A7" t="s">
        <v>87</v>
      </c>
      <c r="B7" t="s">
        <v>10</v>
      </c>
      <c r="C7" t="s">
        <v>207</v>
      </c>
      <c r="E7" t="s">
        <v>88</v>
      </c>
      <c r="F7" t="s">
        <v>89</v>
      </c>
      <c r="I7" t="s">
        <v>95</v>
      </c>
      <c r="J7" t="s">
        <v>94</v>
      </c>
      <c r="K7" t="s" s="375">
        <v>210</v>
      </c>
      <c r="L7" s="341">
        <v>46202</v>
      </c>
    </row>
    <row r="8" spans="1:10">
      <c r="A8" t="s">
        <v>219</v>
      </c>
      <c r="B8" t="s">
        <v>210</v>
      </c>
      <c r="C8" t="s">
        <v>223</v>
      </c>
      <c r="E8" t="s">
        <v>92</v>
      </c>
      <c r="F8" t="s">
        <v>93</v>
      </c>
      <c r="I8" t="s">
        <v>98</v>
      </c>
      <c r="J8" t="s">
        <v>97</v>
      </c>
      <c r="K8" t="s" s="376">
        <v>280</v>
      </c>
      <c r="L8" s="342">
        <v>46209</v>
      </c>
    </row>
    <row r="9" spans="1:10">
      <c r="A9" t="s">
        <v>221</v>
      </c>
      <c r="B9" t="s">
        <v>214</v>
      </c>
      <c r="E9" t="s">
        <v>222</v>
      </c>
      <c r="F9" t="s">
        <v>215</v>
      </c>
      <c r="I9" t="s">
        <v>100</v>
      </c>
      <c r="J9" t="s">
        <v>99</v>
      </c>
      <c r="K9" s="377"/>
      <c r="L9" s="343">
        <v>46216</v>
      </c>
    </row>
    <row r="10" spans="1:10">
      <c r="A10" t="s" s="9">
        <v>222</v>
      </c>
      <c r="B10" t="s" s="9">
        <v>224</v>
      </c>
      <c r="C10" s="8"/>
      <c r="E10" t="s">
        <v>216</v>
      </c>
      <c r="F10" t="s">
        <v>96</v>
      </c>
      <c r="I10" t="s">
        <v>102</v>
      </c>
      <c r="J10" t="s">
        <v>101</v>
      </c>
      <c r="K10" s="378"/>
      <c r="L10" s="344">
        <v>46223</v>
      </c>
    </row>
    <row r="11" spans="1:10">
      <c r="I11" t="s">
        <v>104</v>
      </c>
      <c r="J11" t="s">
        <v>103</v>
      </c>
      <c r="K11" s="379"/>
      <c r="L11" s="345">
        <v>46230</v>
      </c>
    </row>
    <row r="12" spans="1:10">
      <c r="I12" t="s">
        <v>171</v>
      </c>
      <c r="J12" t="s">
        <v>172</v>
      </c>
      <c r="K12" s="380"/>
      <c r="L12" s="346">
        <v>46237</v>
      </c>
    </row>
    <row r="13" spans="1:10">
      <c r="I13" t="s">
        <v>173</v>
      </c>
      <c r="J13" t="s">
        <v>174</v>
      </c>
      <c r="K13" s="381"/>
      <c r="L13" s="347">
        <v>46244</v>
      </c>
    </row>
    <row r="14" spans="1:10">
      <c r="I14" t="s">
        <v>175</v>
      </c>
      <c r="J14" t="s">
        <v>176</v>
      </c>
      <c r="K14" s="382"/>
      <c r="L14" s="348">
        <v>46251</v>
      </c>
    </row>
    <row r="15" spans="1:10">
      <c r="I15" t="s">
        <v>177</v>
      </c>
      <c r="J15" t="s">
        <v>178</v>
      </c>
      <c r="K15" s="383"/>
      <c r="L15" s="349">
        <v>46258</v>
      </c>
    </row>
    <row r="16" spans="1:10">
      <c r="I16" t="s">
        <v>179</v>
      </c>
      <c r="J16" t="s">
        <v>180</v>
      </c>
      <c r="K16" s="384"/>
      <c r="L16" s="350">
        <v>46265</v>
      </c>
    </row>
    <row r="17" spans="9:10">
      <c r="I17" t="s">
        <v>106</v>
      </c>
      <c r="J17" t="s">
        <v>105</v>
      </c>
      <c r="K17" s="385"/>
      <c r="L17" s="351">
        <v>46272</v>
      </c>
    </row>
    <row r="18" spans="9:10">
      <c r="I18" t="s">
        <v>160</v>
      </c>
      <c r="J18" t="s">
        <v>161</v>
      </c>
      <c r="K18" s="386"/>
      <c r="L18" s="352">
        <v>46279</v>
      </c>
    </row>
    <row r="19" spans="9:10">
      <c r="I19" t="s">
        <v>164</v>
      </c>
      <c r="J19" t="s">
        <v>163</v>
      </c>
      <c r="K19" s="387"/>
      <c r="L19" s="353">
        <v>46286</v>
      </c>
    </row>
    <row r="20" spans="9:10">
      <c r="I20" t="s">
        <v>165</v>
      </c>
      <c r="J20" t="s">
        <v>166</v>
      </c>
      <c r="K20" s="388"/>
      <c r="L20" s="354">
        <v>46293</v>
      </c>
    </row>
    <row r="21" spans="9:10">
      <c r="I21" t="s">
        <v>181</v>
      </c>
      <c r="J21" t="s">
        <v>167</v>
      </c>
      <c r="K21" s="389"/>
      <c r="L21" s="355">
        <v>46300</v>
      </c>
    </row>
    <row r="22" spans="9:10">
      <c r="I22" t="s">
        <v>182</v>
      </c>
      <c r="J22" t="s">
        <v>183</v>
      </c>
      <c r="K22" s="390"/>
      <c r="L22" s="356">
        <v>46307</v>
      </c>
    </row>
    <row r="23" spans="9:10">
      <c r="I23" t="s">
        <v>184</v>
      </c>
      <c r="J23" t="s">
        <v>185</v>
      </c>
      <c r="K23" s="391"/>
      <c r="L23" s="357">
        <v>46314</v>
      </c>
    </row>
    <row r="24" spans="9:10">
      <c r="I24" t="s">
        <v>186</v>
      </c>
      <c r="J24" t="s">
        <v>187</v>
      </c>
      <c r="K24" s="392"/>
      <c r="L24" s="358">
        <v>46321</v>
      </c>
    </row>
    <row r="25" spans="9:10">
      <c r="I25" t="s">
        <v>188</v>
      </c>
      <c r="J25" t="s">
        <v>189</v>
      </c>
      <c r="K25" s="393"/>
      <c r="L25" s="359">
        <v>46328</v>
      </c>
    </row>
    <row r="26" spans="9:10">
      <c r="I26" t="s">
        <v>190</v>
      </c>
      <c r="J26" t="s">
        <v>191</v>
      </c>
      <c r="K26" s="394"/>
      <c r="L26" s="360">
        <v>46335</v>
      </c>
    </row>
    <row r="27" spans="9:10">
      <c r="I27" t="s">
        <v>192</v>
      </c>
      <c r="J27" t="s">
        <v>193</v>
      </c>
      <c r="K27" s="395"/>
      <c r="L27" s="361">
        <v>46342</v>
      </c>
    </row>
    <row r="28" spans="9:10">
      <c r="I28" t="s">
        <v>194</v>
      </c>
      <c r="J28" t="s">
        <v>195</v>
      </c>
      <c r="K28" s="396"/>
      <c r="L28" s="362">
        <v>46349</v>
      </c>
    </row>
    <row r="29" spans="9:10">
      <c r="I29" t="s">
        <v>198</v>
      </c>
      <c r="J29" t="s">
        <v>199</v>
      </c>
      <c r="K29" s="397"/>
      <c r="L29" s="363">
        <v>46356</v>
      </c>
    </row>
    <row r="30" spans="9:10">
      <c r="I30" t="s">
        <v>196</v>
      </c>
      <c r="J30" t="s">
        <v>197</v>
      </c>
      <c r="K30" s="398"/>
      <c r="L30" s="364">
        <v>46363</v>
      </c>
    </row>
    <row r="31" spans="9:10">
      <c r="I31" t="s">
        <v>200</v>
      </c>
      <c r="J31" t="s">
        <v>201</v>
      </c>
      <c r="K31" s="399"/>
      <c r="L31" s="365">
        <v>46370</v>
      </c>
    </row>
    <row r="32" spans="9:10">
      <c r="I32" t="s">
        <v>211</v>
      </c>
      <c r="J32" t="s">
        <v>212</v>
      </c>
      <c r="K32" s="400"/>
      <c r="L32" s="366">
        <v>46377</v>
      </c>
    </row>
    <row r="33" spans="9:10">
      <c r="I33" t="s">
        <v>217</v>
      </c>
      <c r="J33" t="s">
        <v>218</v>
      </c>
      <c r="K33" s="401"/>
      <c r="L33" s="367">
        <v>46384</v>
      </c>
    </row>
    <row r="34" spans="9:10">
      <c r="I34" t="s">
        <v>96</v>
      </c>
      <c r="J34" t="s">
        <v>168</v>
      </c>
      <c r="K34" s="402"/>
      <c r="L34" s="403"/>
    </row>
    <row r="35">
      <c r="K35" s="404"/>
      <c r="L35" s="405"/>
    </row>
    <row r="36">
      <c r="K36"/>
      <c r="L36"/>
    </row>
    <row r="37">
      <c r="K37"/>
      <c r="L37"/>
    </row>
    <row r="38">
      <c r="K38"/>
      <c r="L38"/>
    </row>
    <row r="39">
      <c r="K39"/>
      <c r="L39"/>
    </row>
    <row r="40">
      <c r="K40"/>
      <c r="L40"/>
    </row>
    <row r="41">
      <c r="K41"/>
      <c r="L41"/>
    </row>
    <row r="42">
      <c r="K42"/>
      <c r="L42"/>
    </row>
    <row r="43">
      <c r="K43"/>
      <c r="L43"/>
    </row>
    <row r="44">
      <c r="K44"/>
      <c r="L44"/>
    </row>
    <row r="45">
      <c r="K45"/>
      <c r="L45"/>
    </row>
    <row r="46">
      <c r="K46"/>
      <c r="L46"/>
    </row>
    <row r="47">
      <c r="K47"/>
      <c r="L47"/>
    </row>
    <row r="48">
      <c r="K48"/>
      <c r="L48"/>
    </row>
    <row r="49">
      <c r="K49"/>
      <c r="L49"/>
    </row>
    <row r="50">
      <c r="K50"/>
      <c r="L50"/>
    </row>
    <row r="51">
      <c r="K51"/>
      <c r="L51"/>
    </row>
    <row r="52">
      <c r="K52"/>
      <c r="L52"/>
    </row>
    <row r="53">
      <c r="K53"/>
      <c r="L53"/>
    </row>
    <row r="54">
      <c r="K54"/>
      <c r="L54"/>
    </row>
    <row r="55">
      <c r="K55"/>
      <c r="L55"/>
    </row>
    <row r="56">
      <c r="K56"/>
      <c r="L56"/>
    </row>
    <row r="57">
      <c r="K57"/>
      <c r="L57"/>
    </row>
    <row r="58">
      <c r="K58"/>
      <c r="L58"/>
    </row>
    <row r="59">
      <c r="K59"/>
      <c r="L59"/>
    </row>
    <row r="60">
      <c r="K60"/>
      <c r="L60"/>
    </row>
    <row r="61">
      <c r="K61"/>
      <c r="L61"/>
    </row>
    <row r="62">
      <c r="K62"/>
      <c r="L62"/>
    </row>
    <row r="63">
      <c r="K63"/>
      <c r="L63"/>
    </row>
    <row r="64">
      <c r="K64"/>
      <c r="L64"/>
    </row>
    <row r="65">
      <c r="K65"/>
      <c r="L65"/>
    </row>
    <row r="66">
      <c r="K66"/>
      <c r="L66"/>
    </row>
    <row r="67">
      <c r="K67"/>
      <c r="L67"/>
    </row>
    <row r="68">
      <c r="K68"/>
      <c r="L68"/>
    </row>
    <row r="69">
      <c r="K69"/>
      <c r="L69"/>
    </row>
    <row r="70">
      <c r="K70"/>
      <c r="L70"/>
    </row>
    <row r="71">
      <c r="K71"/>
      <c r="L71"/>
    </row>
    <row r="72">
      <c r="K72"/>
      <c r="L72"/>
    </row>
    <row r="73">
      <c r="K73"/>
      <c r="L73"/>
    </row>
    <row r="74">
      <c r="K74"/>
      <c r="L74"/>
    </row>
    <row r="75">
      <c r="K75"/>
      <c r="L75"/>
    </row>
    <row r="76">
      <c r="K76"/>
      <c r="L76"/>
    </row>
    <row r="77">
      <c r="K77"/>
      <c r="L77"/>
    </row>
    <row r="78">
      <c r="K78"/>
      <c r="L78"/>
    </row>
    <row r="79">
      <c r="K79"/>
      <c r="L79"/>
    </row>
    <row r="80">
      <c r="K80"/>
      <c r="L80"/>
    </row>
    <row r="81">
      <c r="K81"/>
      <c r="L81"/>
    </row>
    <row r="82">
      <c r="K82"/>
      <c r="L82"/>
    </row>
    <row r="83">
      <c r="K83"/>
      <c r="L83"/>
    </row>
    <row r="84">
      <c r="K84"/>
      <c r="L84"/>
    </row>
    <row r="85">
      <c r="K85"/>
      <c r="L85"/>
    </row>
    <row r="86">
      <c r="K86"/>
      <c r="L86"/>
    </row>
    <row r="87">
      <c r="K87"/>
      <c r="L87"/>
    </row>
    <row r="88">
      <c r="K88"/>
      <c r="L88"/>
    </row>
    <row r="89">
      <c r="K89"/>
      <c r="L89"/>
    </row>
    <row r="90">
      <c r="K90"/>
      <c r="L90"/>
    </row>
    <row r="91">
      <c r="K91"/>
      <c r="L91"/>
    </row>
    <row r="92">
      <c r="K92"/>
      <c r="L92"/>
    </row>
    <row r="93">
      <c r="K93"/>
      <c r="L93"/>
    </row>
    <row r="94">
      <c r="K94"/>
      <c r="L94"/>
    </row>
    <row r="95">
      <c r="K95"/>
      <c r="L95"/>
    </row>
    <row r="96">
      <c r="K96"/>
      <c r="L96"/>
    </row>
    <row r="97">
      <c r="K97"/>
      <c r="L97"/>
    </row>
    <row r="98">
      <c r="K98"/>
      <c r="L98"/>
    </row>
    <row r="99">
      <c r="K99"/>
      <c r="L99"/>
    </row>
    <row r="100">
      <c r="K100"/>
      <c r="L100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/>
  <sheetViews>
    <sheetView workbookViewId="0">
      <selection activeCell="A16" sqref="A16:H16"/>
    </sheetView>
  </sheetViews>
  <sheetFormatPr baseColWidth="10" defaultColWidth="8.796875" defaultRowHeight="13.8"/>
  <cols>
    <col min="1" max="1" width="14" customWidth="1"/>
    <col min="2" max="2" width="18" customWidth="1"/>
    <col min="3" max="4" width="22" customWidth="1"/>
    <col min="5" max="7" width="18" customWidth="1"/>
    <col min="8" max="8" width="28" customWidth="1"/>
    <col min="9" max="9" width="12.796875" customWidth="1"/>
  </cols>
  <sheetData>
    <row r="1" spans="1:9" ht="22.35" customHeight="1">
      <c r="A1" t="s" s="17">
        <v>107</v>
      </c>
      <c r="B1" s="18"/>
      <c r="C1" s="18"/>
      <c r="D1" s="18"/>
      <c r="E1" s="18"/>
      <c r="F1" s="18"/>
      <c r="G1" s="18"/>
      <c r="H1" s="18"/>
    </row>
    <row r="3" spans="1:9" ht="41.4" customHeight="1">
      <c r="A3" t="s" s="19">
        <v>108</v>
      </c>
      <c r="B3" s="19"/>
      <c r="C3" s="19"/>
      <c r="D3" s="19"/>
      <c r="E3" s="19"/>
      <c r="F3" s="19"/>
      <c r="G3" s="19"/>
      <c r="H3" s="19"/>
    </row>
    <row r="4" spans="1:9">
      <c r="A4" t="s" s="7">
        <v>23</v>
      </c>
      <c r="B4" t="s" s="7">
        <v>22</v>
      </c>
      <c r="C4" t="s" s="7">
        <v>109</v>
      </c>
      <c r="D4" t="s" s="7">
        <v>110</v>
      </c>
      <c r="E4" t="s" s="7">
        <v>111</v>
      </c>
      <c r="F4" t="s" s="7">
        <v>112</v>
      </c>
      <c r="G4" s="7"/>
      <c r="H4" s="7"/>
    </row>
    <row r="5" spans="1:9">
      <c r="A5" s="7"/>
      <c r="B5" s="7"/>
      <c r="C5" s="7"/>
      <c r="D5" s="7"/>
      <c r="E5" s="7"/>
      <c r="F5" s="7"/>
      <c r="G5" s="7"/>
      <c r="H5" s="7"/>
    </row>
    <row r="6" spans="1:9" ht="27.6">
      <c r="A6" t="s" s="1">
        <v>28</v>
      </c>
      <c r="B6" t="s" s="1">
        <v>43</v>
      </c>
      <c r="C6" t="s" s="1">
        <v>30</v>
      </c>
      <c r="D6" t="s" s="1">
        <v>3</v>
      </c>
      <c r="E6" t="s" s="1">
        <v>31</v>
      </c>
      <c r="F6" t="s" s="1">
        <v>32</v>
      </c>
      <c r="G6" t="s" s="1">
        <v>33</v>
      </c>
      <c r="H6" t="s" s="1">
        <v>158</v>
      </c>
      <c r="I6" t="s" s="1">
        <v>157</v>
      </c>
    </row>
    <row r="7" spans="1:9">
      <c r="A7" s="7"/>
      <c r="B7" s="7"/>
      <c r="C7" s="7"/>
      <c r="D7" s="7"/>
      <c r="E7" s="7"/>
      <c r="F7" s="7"/>
      <c r="G7" s="7"/>
      <c r="H7" s="7"/>
    </row>
    <row r="8" spans="1:9">
      <c r="A8" s="7"/>
      <c r="B8" s="7"/>
      <c r="C8" s="7"/>
      <c r="D8" s="7"/>
      <c r="E8" s="7"/>
      <c r="F8" s="7"/>
      <c r="G8" s="7"/>
      <c r="H8" s="7"/>
    </row>
    <row r="9" spans="1:9">
      <c r="A9" s="7"/>
      <c r="B9" s="7"/>
      <c r="C9" s="7"/>
      <c r="D9" s="7"/>
      <c r="E9" s="7"/>
      <c r="F9" s="7"/>
      <c r="G9" s="7"/>
      <c r="H9" s="7"/>
    </row>
    <row r="10" spans="1:9">
      <c r="A10" s="7"/>
      <c r="B10" s="7"/>
      <c r="C10" s="7"/>
      <c r="D10" s="7"/>
      <c r="E10" s="7"/>
      <c r="F10" s="7"/>
      <c r="G10" s="7"/>
      <c r="H10" s="7"/>
    </row>
    <row r="11" spans="1:9">
      <c r="A11" s="7"/>
      <c r="B11" s="7"/>
      <c r="C11" s="7"/>
      <c r="D11" s="7"/>
      <c r="E11" s="7"/>
      <c r="F11" s="7"/>
      <c r="G11" s="7"/>
      <c r="H11" s="7"/>
    </row>
    <row r="12" spans="1:9">
      <c r="A12" s="7"/>
      <c r="B12" s="7"/>
      <c r="C12" s="7"/>
      <c r="D12" s="7"/>
      <c r="E12" s="7"/>
      <c r="F12" s="7"/>
      <c r="G12" s="7"/>
      <c r="H12" s="7"/>
    </row>
    <row r="13" spans="1:9">
      <c r="A13" s="7"/>
      <c r="B13" s="7"/>
      <c r="C13" s="7"/>
      <c r="D13" s="7"/>
      <c r="E13" s="7"/>
      <c r="F13" s="7"/>
      <c r="G13" s="7"/>
      <c r="H13" s="7"/>
    </row>
    <row r="14" spans="1:9">
      <c r="A14" s="7"/>
      <c r="B14" s="7"/>
      <c r="C14" s="7"/>
      <c r="D14" s="7"/>
      <c r="E14" s="7"/>
      <c r="F14" s="7"/>
      <c r="G14" s="7"/>
      <c r="H14" s="7"/>
    </row>
    <row r="15" spans="1:9">
      <c r="A15" s="7"/>
      <c r="B15" s="7"/>
      <c r="C15" s="7"/>
      <c r="D15" s="7"/>
      <c r="E15" s="7"/>
      <c r="F15" s="7"/>
      <c r="G15" s="7"/>
      <c r="H15" s="7"/>
    </row>
    <row r="16" spans="1:9" ht="55.2" customHeight="1">
      <c r="A16" t="s" s="19">
        <v>113</v>
      </c>
      <c r="B16" s="19"/>
      <c r="C16" s="19"/>
      <c r="D16" s="19"/>
      <c r="E16" s="19"/>
      <c r="F16" s="19"/>
      <c r="G16" s="19"/>
      <c r="H16" s="19"/>
    </row>
    <row r="17" spans="1:8">
      <c r="A17" t="s" s="7">
        <v>23</v>
      </c>
      <c r="B17" t="s" s="7">
        <v>39</v>
      </c>
      <c r="C17" t="s" s="7">
        <v>114</v>
      </c>
      <c r="D17" t="s" s="7">
        <v>115</v>
      </c>
      <c r="E17" t="s" s="7">
        <v>111</v>
      </c>
      <c r="F17" t="s" s="7">
        <v>112</v>
      </c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t="s" s="1">
        <v>28</v>
      </c>
      <c r="B19" t="s" s="1">
        <v>43</v>
      </c>
      <c r="C19" t="s" s="1">
        <v>3</v>
      </c>
      <c r="D19" t="s" s="1">
        <v>45</v>
      </c>
      <c r="E19" t="s" s="1">
        <v>46</v>
      </c>
      <c r="F19" t="s" s="1">
        <v>32</v>
      </c>
      <c r="G19" t="s" s="1">
        <v>33</v>
      </c>
      <c r="H19" t="s" s="1">
        <v>37</v>
      </c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 ht="41.4" customHeight="1">
      <c r="A29" t="s" s="19">
        <v>116</v>
      </c>
      <c r="B29" s="19"/>
      <c r="C29" s="19"/>
      <c r="D29" s="19"/>
      <c r="E29" s="19"/>
      <c r="F29" s="19"/>
      <c r="G29" s="19"/>
      <c r="H29" s="19"/>
    </row>
    <row r="30" spans="1:8">
      <c r="A30" t="s" s="7">
        <v>23</v>
      </c>
      <c r="B30" t="s" s="7">
        <v>50</v>
      </c>
      <c r="C30" t="s" s="7">
        <v>49</v>
      </c>
      <c r="D30" t="s" s="7">
        <v>111</v>
      </c>
      <c r="E30" t="s" s="7">
        <v>112</v>
      </c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t="s" s="1">
        <v>28</v>
      </c>
      <c r="B32" t="s" s="1">
        <v>51</v>
      </c>
      <c r="C32" t="s" s="1">
        <v>45</v>
      </c>
      <c r="D32" t="s" s="1">
        <v>46</v>
      </c>
      <c r="E32" t="s" s="1">
        <v>52</v>
      </c>
      <c r="F32" t="s" s="1">
        <v>117</v>
      </c>
      <c r="G32" t="s" s="1">
        <v>54</v>
      </c>
      <c r="H32" t="s" s="1">
        <v>37</v>
      </c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</sheetData>
  <mergeCells count="4">
    <mergeCell ref="A1:H1"/>
    <mergeCell ref="A16:H16"/>
    <mergeCell ref="A29:H29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/>
  <sheetViews>
    <sheetView workbookViewId="0">
      <selection sqref="A1:H1"/>
    </sheetView>
  </sheetViews>
  <sheetFormatPr baseColWidth="10" defaultColWidth="8.796875" defaultRowHeight="13.8"/>
  <cols>
    <col min="1" max="1" width="8" customWidth="1"/>
    <col min="2" max="2" width="24" customWidth="1"/>
    <col min="3" max="3" width="75" customWidth="1"/>
    <col min="4" max="8" width="10" customWidth="1"/>
  </cols>
  <sheetData>
    <row r="1" spans="1:8" ht="22.35" customHeight="1">
      <c r="A1" t="s" s="17">
        <v>118</v>
      </c>
      <c r="B1" s="18"/>
      <c r="C1" s="18"/>
      <c r="D1" s="18"/>
      <c r="E1" s="18"/>
      <c r="F1" s="18"/>
      <c r="G1" s="18"/>
      <c r="H1" s="18"/>
    </row>
    <row r="3" spans="1:8">
      <c r="A3" s="1">
        <v>1</v>
      </c>
      <c r="B3" t="s" s="1">
        <v>120</v>
      </c>
      <c r="C3" t="s" s="1">
        <v>121</v>
      </c>
    </row>
    <row r="4" spans="1:8" ht="27.6">
      <c r="A4" s="7">
        <v>2</v>
      </c>
      <c r="B4" t="s" s="7">
        <v>123</v>
      </c>
      <c r="C4" t="s" s="7">
        <v>124</v>
      </c>
    </row>
    <row r="5" spans="1:8" ht="27.6">
      <c r="A5" s="7">
        <v>3</v>
      </c>
      <c r="B5" t="s" s="7">
        <v>126</v>
      </c>
      <c r="C5" t="s" s="7">
        <v>127</v>
      </c>
    </row>
    <row r="6" spans="1:8" ht="27.6">
      <c r="A6" s="7">
        <v>4</v>
      </c>
      <c r="B6" t="s" s="7">
        <v>129</v>
      </c>
      <c r="C6" t="s" s="7">
        <v>130</v>
      </c>
    </row>
    <row r="7" spans="1:8">
      <c r="A7" s="7">
        <v>5</v>
      </c>
      <c r="B7" t="s" s="7">
        <v>132</v>
      </c>
      <c r="C7" t="s" s="7">
        <v>133</v>
      </c>
    </row>
    <row r="8" spans="1:8" ht="27.6">
      <c r="A8" s="7">
        <v>6</v>
      </c>
      <c r="B8" t="s" s="7">
        <v>135</v>
      </c>
      <c r="C8" t="s" s="7">
        <v>136</v>
      </c>
    </row>
    <row r="9" spans="1:8">
      <c r="A9" s="7">
        <v>7</v>
      </c>
      <c r="B9" t="s" s="7">
        <v>4</v>
      </c>
      <c r="C9" t="s" s="7">
        <v>138</v>
      </c>
    </row>
    <row r="10" spans="1:8" ht="27.6">
      <c r="A10" s="7">
        <v>8</v>
      </c>
      <c r="B10" t="s" s="7">
        <v>140</v>
      </c>
      <c r="C10" t="s" s="7">
        <v>141</v>
      </c>
    </row>
    <row r="11" spans="1:8" ht="27.6">
      <c r="A11" s="7">
        <v>9</v>
      </c>
      <c r="B11" t="s" s="7">
        <v>143</v>
      </c>
      <c r="C11" t="s" s="7">
        <v>144</v>
      </c>
    </row>
    <row r="12" spans="1:8">
      <c r="A12" s="7">
        <v>10</v>
      </c>
      <c r="B12" t="s" s="7">
        <v>146</v>
      </c>
      <c r="C12" t="s" s="7">
        <v>147</v>
      </c>
    </row>
    <row r="13" spans="1:8">
      <c r="A13" s="7"/>
      <c r="B13" s="7"/>
      <c r="C13" s="7"/>
    </row>
    <row r="14" spans="1:8" ht="27.6">
      <c r="A14" t="s" s="7">
        <v>148</v>
      </c>
      <c r="B14" s="7"/>
      <c r="C14" t="s" s="7">
        <v>149</v>
      </c>
    </row>
    <row r="15" spans="1:8">
      <c r="A15" s="7"/>
      <c r="B15" s="7"/>
      <c r="C15" s="7"/>
    </row>
    <row r="16" spans="1:8" ht="41.4">
      <c r="A16" t="s" s="7">
        <v>150</v>
      </c>
      <c r="B16" s="7"/>
      <c r="C16" t="s" s="7">
        <v>151</v>
      </c>
    </row>
    <row r="17" spans="1:3">
      <c r="A17" s="7"/>
      <c r="B17" s="7"/>
      <c r="C17" s="7"/>
    </row>
    <row r="18" spans="1:3" ht="27.6">
      <c r="A18" t="s" s="7">
        <v>152</v>
      </c>
      <c r="B18" s="7"/>
      <c r="C18" t="s" s="7">
        <v>153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</vt:lpstr>
      <vt:lpstr>Dashboard_Ejecutivo</vt:lpstr>
      <vt:lpstr>Captura_Pegaso</vt:lpstr>
      <vt:lpstr>Captura_Marimba_M01</vt:lpstr>
      <vt:lpstr>Solicitudes</vt:lpstr>
      <vt:lpstr>Captura_Obra</vt:lpstr>
      <vt:lpstr>Conciliacion</vt:lpstr>
      <vt:lpstr>Catalogos</vt:lpstr>
      <vt:lpstr>Formatos_Fisicos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Jesus Jaramillo</cp:lastModifiedBy>
  <dcterms:created xsi:type="dcterms:W3CDTF">2026-06-08T23:01:45Z</dcterms:created>
  <dcterms:modified xsi:type="dcterms:W3CDTF">2026-06-17T21:01:25Z</dcterms:modified>
</cp:coreProperties>
</file>